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bre-my.sharepoint.com/personal/satyabrata_mohanty1_cbre_com/Documents/Desktop/Satya/Breakdown/"/>
    </mc:Choice>
  </mc:AlternateContent>
  <xr:revisionPtr revIDLastSave="37" documentId="11_E44DA780956387A99F79EDC4B45AFD3917CB68FD" xr6:coauthVersionLast="47" xr6:coauthVersionMax="47" xr10:uidLastSave="{84DDC1DD-86A3-40BF-9DA9-9DB60BA2BF01}"/>
  <bookViews>
    <workbookView xWindow="-110" yWindow="-110" windowWidth="19420" windowHeight="11500" activeTab="1" xr2:uid="{00000000-000D-0000-FFFF-FFFF00000000}"/>
  </bookViews>
  <sheets>
    <sheet name="📊 Dashboard" sheetId="1" r:id="rId1"/>
    <sheet name="🛠️ Breakdown Tracker 2026" sheetId="2" r:id="rId2"/>
    <sheet name="📁 Historical Tracker 2024-2025" sheetId="3" r:id="rId3"/>
    <sheet name="⚙️ Lookup Lists" sheetId="4" r:id="rId4"/>
  </sheets>
  <definedNames>
    <definedName name="_xlnm._FilterDatabase" localSheetId="2" hidden="1">'📁 Historical Tracker 2024-2025'!$A$4:$S$305</definedName>
    <definedName name="_xlnm._FilterDatabase" localSheetId="1" hidden="1">'🛠️ Breakdown Tracker 2026'!$A$2:$S$201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 l="1"/>
  <c r="O4" i="2"/>
  <c r="O5" i="2"/>
  <c r="P5" i="2" s="1"/>
  <c r="O6" i="2"/>
  <c r="O7" i="2"/>
  <c r="O8" i="2"/>
  <c r="O9" i="2"/>
  <c r="O10" i="2"/>
  <c r="P10" i="2" s="1"/>
  <c r="O11" i="2"/>
  <c r="P11" i="2" s="1"/>
  <c r="O12" i="2"/>
  <c r="P12" i="2" s="1"/>
  <c r="O13" i="2"/>
  <c r="P13" i="2" s="1"/>
  <c r="O14" i="2"/>
  <c r="P14" i="2" s="1"/>
  <c r="O15" i="2"/>
  <c r="P15" i="2" s="1"/>
  <c r="O16" i="2"/>
  <c r="P16" i="2" s="1"/>
  <c r="O17" i="2"/>
  <c r="O18" i="2"/>
  <c r="O19" i="2"/>
  <c r="O20" i="2"/>
  <c r="O21" i="2"/>
  <c r="O22" i="2"/>
  <c r="O23" i="2"/>
  <c r="O24" i="2"/>
  <c r="P24" i="2" s="1"/>
  <c r="O25" i="2"/>
  <c r="P25" i="2" s="1"/>
  <c r="O26" i="2"/>
  <c r="O27" i="2"/>
  <c r="P27" i="2" s="1"/>
  <c r="O28" i="2"/>
  <c r="P28" i="2" s="1"/>
  <c r="O29" i="2"/>
  <c r="P29" i="2" s="1"/>
  <c r="O30" i="2"/>
  <c r="P30" i="2" s="1"/>
  <c r="O31" i="2"/>
  <c r="O32" i="2"/>
  <c r="O33" i="2"/>
  <c r="P33" i="2" s="1"/>
  <c r="O34" i="2"/>
  <c r="O35" i="2"/>
  <c r="O36" i="2"/>
  <c r="O37" i="2"/>
  <c r="O38" i="2"/>
  <c r="P38" i="2" s="1"/>
  <c r="O39" i="2"/>
  <c r="O40" i="2"/>
  <c r="P40" i="2" s="1"/>
  <c r="O41" i="2"/>
  <c r="P41" i="2" s="1"/>
  <c r="O42" i="2"/>
  <c r="P42" i="2" s="1"/>
  <c r="O43" i="2"/>
  <c r="P43" i="2" s="1"/>
  <c r="O44" i="2"/>
  <c r="P44" i="2" s="1"/>
  <c r="O45" i="2"/>
  <c r="P45" i="2" s="1"/>
  <c r="O46" i="2"/>
  <c r="O47" i="2"/>
  <c r="O48" i="2"/>
  <c r="O49" i="2"/>
  <c r="P49" i="2" s="1"/>
  <c r="O50" i="2"/>
  <c r="O51" i="2"/>
  <c r="P51" i="2" s="1"/>
  <c r="O52" i="2"/>
  <c r="P52" i="2" s="1"/>
  <c r="O53" i="2"/>
  <c r="P53" i="2" s="1"/>
  <c r="O54" i="2"/>
  <c r="P54" i="2" s="1"/>
  <c r="O55" i="2"/>
  <c r="P55" i="2" s="1"/>
  <c r="O56" i="2"/>
  <c r="P56" i="2" s="1"/>
  <c r="O57" i="2"/>
  <c r="P57" i="2" s="1"/>
  <c r="O58" i="2"/>
  <c r="P58" i="2" s="1"/>
  <c r="O59" i="2"/>
  <c r="O60" i="2"/>
  <c r="O61" i="2"/>
  <c r="P61" i="2" s="1"/>
  <c r="O62" i="2"/>
  <c r="O63" i="2"/>
  <c r="O64" i="2"/>
  <c r="O65" i="2"/>
  <c r="O66" i="2"/>
  <c r="P66" i="2" s="1"/>
  <c r="O67" i="2"/>
  <c r="P67" i="2" s="1"/>
  <c r="O68" i="2"/>
  <c r="P68" i="2" s="1"/>
  <c r="O69" i="2"/>
  <c r="P69" i="2" s="1"/>
  <c r="O70" i="2"/>
  <c r="P70" i="2" s="1"/>
  <c r="O71" i="2"/>
  <c r="P71" i="2" s="1"/>
  <c r="O72" i="2"/>
  <c r="P72" i="2" s="1"/>
  <c r="O73" i="2"/>
  <c r="P73" i="2" s="1"/>
  <c r="O74" i="2"/>
  <c r="O75" i="2"/>
  <c r="O76" i="2"/>
  <c r="O77" i="2"/>
  <c r="O78" i="2"/>
  <c r="O79" i="2"/>
  <c r="P79" i="2" s="1"/>
  <c r="O80" i="2"/>
  <c r="P80" i="2" s="1"/>
  <c r="O81" i="2"/>
  <c r="P81" i="2" s="1"/>
  <c r="O82" i="2"/>
  <c r="P82" i="2" s="1"/>
  <c r="O83" i="2"/>
  <c r="P83" i="2" s="1"/>
  <c r="O84" i="2"/>
  <c r="P84" i="2" s="1"/>
  <c r="O85" i="2"/>
  <c r="P85" i="2" s="1"/>
  <c r="O86" i="2"/>
  <c r="P86" i="2" s="1"/>
  <c r="O87" i="2"/>
  <c r="O88" i="2"/>
  <c r="O89" i="2"/>
  <c r="P89" i="2" s="1"/>
  <c r="O90" i="2"/>
  <c r="O91" i="2"/>
  <c r="P91" i="2" s="1"/>
  <c r="O92" i="2"/>
  <c r="P92" i="2" s="1"/>
  <c r="O93" i="2"/>
  <c r="P93" i="2" s="1"/>
  <c r="O94" i="2"/>
  <c r="P94" i="2" s="1"/>
  <c r="O95" i="2"/>
  <c r="P95" i="2" s="1"/>
  <c r="O96" i="2"/>
  <c r="P96" i="2" s="1"/>
  <c r="O97" i="2"/>
  <c r="P97" i="2" s="1"/>
  <c r="O98" i="2"/>
  <c r="O99" i="2"/>
  <c r="P99" i="2" s="1"/>
  <c r="O100" i="2"/>
  <c r="P100" i="2" s="1"/>
  <c r="O101" i="2"/>
  <c r="O102" i="2"/>
  <c r="O103" i="2"/>
  <c r="O104" i="2"/>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O117" i="2"/>
  <c r="P117" i="2" s="1"/>
  <c r="O118" i="2"/>
  <c r="O119" i="2"/>
  <c r="P119" i="2" s="1"/>
  <c r="O120" i="2"/>
  <c r="P120" i="2" s="1"/>
  <c r="O121" i="2"/>
  <c r="O122" i="2"/>
  <c r="P122" i="2" s="1"/>
  <c r="O123" i="2"/>
  <c r="P123" i="2" s="1"/>
  <c r="O124" i="2"/>
  <c r="P124" i="2" s="1"/>
  <c r="O125" i="2"/>
  <c r="P125" i="2" s="1"/>
  <c r="O126" i="2"/>
  <c r="P126" i="2" s="1"/>
  <c r="O127" i="2"/>
  <c r="P127" i="2" s="1"/>
  <c r="O128" i="2"/>
  <c r="P128" i="2" s="1"/>
  <c r="O129" i="2"/>
  <c r="O130" i="2"/>
  <c r="O131" i="2"/>
  <c r="P131" i="2" s="1"/>
  <c r="O132" i="2"/>
  <c r="O133" i="2"/>
  <c r="P133" i="2" s="1"/>
  <c r="O134" i="2"/>
  <c r="P134" i="2" s="1"/>
  <c r="O135" i="2"/>
  <c r="O136" i="2"/>
  <c r="P136" i="2" s="1"/>
  <c r="O137" i="2"/>
  <c r="P137" i="2" s="1"/>
  <c r="O138" i="2"/>
  <c r="P138" i="2" s="1"/>
  <c r="O139" i="2"/>
  <c r="P139" i="2" s="1"/>
  <c r="O140" i="2"/>
  <c r="P140" i="2" s="1"/>
  <c r="O141" i="2"/>
  <c r="P141" i="2" s="1"/>
  <c r="O142" i="2"/>
  <c r="P142" i="2" s="1"/>
  <c r="O143" i="2"/>
  <c r="P143" i="2" s="1"/>
  <c r="O144" i="2"/>
  <c r="O145" i="2"/>
  <c r="O146" i="2"/>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O159" i="2"/>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O172" i="2"/>
  <c r="O173" i="2"/>
  <c r="P173" i="2" s="1"/>
  <c r="O174" i="2"/>
  <c r="P174" i="2" s="1"/>
  <c r="O175" i="2"/>
  <c r="P175" i="2" s="1"/>
  <c r="O176" i="2"/>
  <c r="O177" i="2"/>
  <c r="P177" i="2" s="1"/>
  <c r="O200" i="2"/>
  <c r="P200" i="2" s="1"/>
  <c r="R305" i="3"/>
  <c r="Q305" i="3"/>
  <c r="O305" i="3"/>
  <c r="P305" i="3" s="1"/>
  <c r="A305" i="3"/>
  <c r="R304" i="3"/>
  <c r="Q304" i="3"/>
  <c r="O304" i="3"/>
  <c r="P304" i="3" s="1"/>
  <c r="A304" i="3"/>
  <c r="R303" i="3"/>
  <c r="Q303" i="3"/>
  <c r="O303" i="3"/>
  <c r="P303" i="3" s="1"/>
  <c r="A303" i="3"/>
  <c r="R302" i="3"/>
  <c r="Q302" i="3"/>
  <c r="O302" i="3"/>
  <c r="P302" i="3" s="1"/>
  <c r="A302" i="3"/>
  <c r="R301" i="3"/>
  <c r="Q301" i="3"/>
  <c r="O301" i="3"/>
  <c r="P301" i="3" s="1"/>
  <c r="A301" i="3"/>
  <c r="R300" i="3"/>
  <c r="Q300" i="3"/>
  <c r="O300" i="3"/>
  <c r="P300" i="3" s="1"/>
  <c r="A300" i="3"/>
  <c r="R299" i="3"/>
  <c r="Q299" i="3"/>
  <c r="O299" i="3"/>
  <c r="P299" i="3" s="1"/>
  <c r="A299" i="3"/>
  <c r="R298" i="3"/>
  <c r="Q298" i="3"/>
  <c r="O298" i="3"/>
  <c r="P298" i="3" s="1"/>
  <c r="A298" i="3"/>
  <c r="R297" i="3"/>
  <c r="Q297" i="3"/>
  <c r="O297" i="3"/>
  <c r="P297" i="3" s="1"/>
  <c r="A297" i="3"/>
  <c r="R296" i="3"/>
  <c r="Q296" i="3"/>
  <c r="O296" i="3"/>
  <c r="P296" i="3" s="1"/>
  <c r="A296" i="3"/>
  <c r="R295" i="3"/>
  <c r="Q295" i="3"/>
  <c r="O295" i="3"/>
  <c r="P295" i="3" s="1"/>
  <c r="R294" i="3"/>
  <c r="Q294" i="3"/>
  <c r="O294" i="3"/>
  <c r="P294" i="3" s="1"/>
  <c r="R293" i="3"/>
  <c r="Q293" i="3"/>
  <c r="O293" i="3"/>
  <c r="P293" i="3" s="1"/>
  <c r="R292" i="3"/>
  <c r="Q292" i="3"/>
  <c r="O292" i="3"/>
  <c r="P292" i="3" s="1"/>
  <c r="R291" i="3"/>
  <c r="Q291" i="3"/>
  <c r="O291" i="3"/>
  <c r="P291" i="3" s="1"/>
  <c r="R290" i="3"/>
  <c r="Q290" i="3"/>
  <c r="O290" i="3"/>
  <c r="P290" i="3" s="1"/>
  <c r="R289" i="3"/>
  <c r="Q289" i="3"/>
  <c r="O289" i="3"/>
  <c r="P289" i="3" s="1"/>
  <c r="R288" i="3"/>
  <c r="Q288" i="3"/>
  <c r="O288" i="3"/>
  <c r="P288" i="3" s="1"/>
  <c r="R287" i="3"/>
  <c r="Q287" i="3"/>
  <c r="O287" i="3"/>
  <c r="P287" i="3" s="1"/>
  <c r="R286" i="3"/>
  <c r="Q286" i="3"/>
  <c r="O286" i="3"/>
  <c r="P286" i="3" s="1"/>
  <c r="R285" i="3"/>
  <c r="Q285" i="3"/>
  <c r="O285" i="3"/>
  <c r="P285" i="3" s="1"/>
  <c r="R284" i="3"/>
  <c r="Q284" i="3"/>
  <c r="O284" i="3"/>
  <c r="P284" i="3" s="1"/>
  <c r="R283" i="3"/>
  <c r="Q283" i="3"/>
  <c r="O283" i="3"/>
  <c r="P283" i="3" s="1"/>
  <c r="R282" i="3"/>
  <c r="Q282" i="3"/>
  <c r="O282" i="3"/>
  <c r="P282" i="3" s="1"/>
  <c r="R281" i="3"/>
  <c r="Q281" i="3"/>
  <c r="O281" i="3"/>
  <c r="P281" i="3" s="1"/>
  <c r="R280" i="3"/>
  <c r="Q280" i="3"/>
  <c r="O280" i="3"/>
  <c r="P280" i="3" s="1"/>
  <c r="R279" i="3"/>
  <c r="Q279" i="3"/>
  <c r="O279" i="3"/>
  <c r="P279" i="3" s="1"/>
  <c r="R278" i="3"/>
  <c r="Q278" i="3"/>
  <c r="O278" i="3"/>
  <c r="P278" i="3" s="1"/>
  <c r="R277" i="3"/>
  <c r="Q277" i="3"/>
  <c r="O277" i="3"/>
  <c r="P277" i="3" s="1"/>
  <c r="R276" i="3"/>
  <c r="Q276" i="3"/>
  <c r="O276" i="3"/>
  <c r="P276" i="3" s="1"/>
  <c r="R275" i="3"/>
  <c r="Q275" i="3"/>
  <c r="O275" i="3"/>
  <c r="P275" i="3" s="1"/>
  <c r="R274" i="3"/>
  <c r="Q274" i="3"/>
  <c r="O274" i="3"/>
  <c r="P274" i="3" s="1"/>
  <c r="R273" i="3"/>
  <c r="Q273" i="3"/>
  <c r="O273" i="3"/>
  <c r="P273" i="3" s="1"/>
  <c r="R272" i="3"/>
  <c r="Q272" i="3"/>
  <c r="O272" i="3"/>
  <c r="P272" i="3" s="1"/>
  <c r="R271" i="3"/>
  <c r="Q271" i="3"/>
  <c r="O271" i="3"/>
  <c r="P271" i="3" s="1"/>
  <c r="R270" i="3"/>
  <c r="Q270" i="3"/>
  <c r="O270" i="3"/>
  <c r="P270" i="3" s="1"/>
  <c r="R269" i="3"/>
  <c r="Q269" i="3"/>
  <c r="O269" i="3"/>
  <c r="P269" i="3" s="1"/>
  <c r="R268" i="3"/>
  <c r="Q268" i="3"/>
  <c r="O268" i="3"/>
  <c r="P268" i="3" s="1"/>
  <c r="R267" i="3"/>
  <c r="Q267" i="3"/>
  <c r="O267" i="3"/>
  <c r="P267" i="3" s="1"/>
  <c r="R266" i="3"/>
  <c r="Q266" i="3"/>
  <c r="O266" i="3"/>
  <c r="P266" i="3" s="1"/>
  <c r="R265" i="3"/>
  <c r="Q265" i="3"/>
  <c r="O265" i="3"/>
  <c r="P265" i="3" s="1"/>
  <c r="R264" i="3"/>
  <c r="Q264" i="3"/>
  <c r="O264" i="3"/>
  <c r="P264" i="3" s="1"/>
  <c r="R263" i="3"/>
  <c r="Q263" i="3"/>
  <c r="O263" i="3"/>
  <c r="P263" i="3" s="1"/>
  <c r="R262" i="3"/>
  <c r="Q262" i="3"/>
  <c r="O262" i="3"/>
  <c r="P262" i="3" s="1"/>
  <c r="R261" i="3"/>
  <c r="Q261" i="3"/>
  <c r="O261" i="3"/>
  <c r="P261" i="3" s="1"/>
  <c r="R260" i="3"/>
  <c r="Q260" i="3"/>
  <c r="O260" i="3"/>
  <c r="P260" i="3" s="1"/>
  <c r="R259" i="3"/>
  <c r="Q259" i="3"/>
  <c r="O259" i="3"/>
  <c r="P259" i="3" s="1"/>
  <c r="R258" i="3"/>
  <c r="Q258" i="3"/>
  <c r="O258" i="3"/>
  <c r="P258" i="3" s="1"/>
  <c r="R257" i="3"/>
  <c r="Q257" i="3"/>
  <c r="O257" i="3"/>
  <c r="P257" i="3" s="1"/>
  <c r="R256" i="3"/>
  <c r="Q256" i="3"/>
  <c r="O256" i="3"/>
  <c r="P256" i="3" s="1"/>
  <c r="R255" i="3"/>
  <c r="Q255" i="3"/>
  <c r="O255" i="3"/>
  <c r="P255" i="3" s="1"/>
  <c r="R254" i="3"/>
  <c r="Q254" i="3"/>
  <c r="O254" i="3"/>
  <c r="P254" i="3" s="1"/>
  <c r="R253" i="3"/>
  <c r="Q253" i="3"/>
  <c r="O253" i="3"/>
  <c r="P253" i="3" s="1"/>
  <c r="R252" i="3"/>
  <c r="Q252" i="3"/>
  <c r="O252" i="3"/>
  <c r="P252" i="3" s="1"/>
  <c r="R251" i="3"/>
  <c r="Q251" i="3"/>
  <c r="O251" i="3"/>
  <c r="P251" i="3" s="1"/>
  <c r="R250" i="3"/>
  <c r="Q250" i="3"/>
  <c r="O250" i="3"/>
  <c r="P250" i="3" s="1"/>
  <c r="R249" i="3"/>
  <c r="Q249" i="3"/>
  <c r="O249" i="3"/>
  <c r="P249" i="3" s="1"/>
  <c r="R248" i="3"/>
  <c r="Q248" i="3"/>
  <c r="O248" i="3"/>
  <c r="P248" i="3" s="1"/>
  <c r="R247" i="3"/>
  <c r="Q247" i="3"/>
  <c r="O247" i="3"/>
  <c r="P247" i="3" s="1"/>
  <c r="R246" i="3"/>
  <c r="Q246" i="3"/>
  <c r="O246" i="3"/>
  <c r="P246" i="3" s="1"/>
  <c r="R245" i="3"/>
  <c r="Q245" i="3"/>
  <c r="O245" i="3"/>
  <c r="P245" i="3" s="1"/>
  <c r="R244" i="3"/>
  <c r="Q244" i="3"/>
  <c r="O244" i="3"/>
  <c r="P244" i="3" s="1"/>
  <c r="R243" i="3"/>
  <c r="Q243" i="3"/>
  <c r="O243" i="3"/>
  <c r="P243" i="3" s="1"/>
  <c r="R242" i="3"/>
  <c r="Q242" i="3"/>
  <c r="O242" i="3"/>
  <c r="P242" i="3" s="1"/>
  <c r="R241" i="3"/>
  <c r="Q241" i="3"/>
  <c r="O241" i="3"/>
  <c r="P241" i="3" s="1"/>
  <c r="R240" i="3"/>
  <c r="Q240" i="3"/>
  <c r="O240" i="3"/>
  <c r="P240" i="3" s="1"/>
  <c r="R239" i="3"/>
  <c r="Q239" i="3"/>
  <c r="O239" i="3"/>
  <c r="P239" i="3" s="1"/>
  <c r="R238" i="3"/>
  <c r="Q238" i="3"/>
  <c r="O238" i="3"/>
  <c r="P238" i="3" s="1"/>
  <c r="R237" i="3"/>
  <c r="Q237" i="3"/>
  <c r="O237" i="3"/>
  <c r="P237" i="3" s="1"/>
  <c r="R236" i="3"/>
  <c r="Q236" i="3"/>
  <c r="O236" i="3"/>
  <c r="P236" i="3" s="1"/>
  <c r="R235" i="3"/>
  <c r="Q235" i="3"/>
  <c r="O235" i="3"/>
  <c r="P235" i="3" s="1"/>
  <c r="R234" i="3"/>
  <c r="Q234" i="3"/>
  <c r="O234" i="3"/>
  <c r="P234" i="3" s="1"/>
  <c r="R233" i="3"/>
  <c r="Q233" i="3"/>
  <c r="O233" i="3"/>
  <c r="P233" i="3" s="1"/>
  <c r="R232" i="3"/>
  <c r="Q232" i="3"/>
  <c r="O232" i="3"/>
  <c r="P232" i="3" s="1"/>
  <c r="R231" i="3"/>
  <c r="Q231" i="3"/>
  <c r="O231" i="3"/>
  <c r="P231" i="3" s="1"/>
  <c r="R230" i="3"/>
  <c r="Q230" i="3"/>
  <c r="O230" i="3"/>
  <c r="P230" i="3" s="1"/>
  <c r="R229" i="3"/>
  <c r="Q229" i="3"/>
  <c r="O229" i="3"/>
  <c r="P229" i="3" s="1"/>
  <c r="R228" i="3"/>
  <c r="Q228" i="3"/>
  <c r="O228" i="3"/>
  <c r="P228" i="3" s="1"/>
  <c r="R227" i="3"/>
  <c r="Q227" i="3"/>
  <c r="O227" i="3"/>
  <c r="P227" i="3" s="1"/>
  <c r="R226" i="3"/>
  <c r="Q226" i="3"/>
  <c r="O226" i="3"/>
  <c r="P226" i="3" s="1"/>
  <c r="R225" i="3"/>
  <c r="Q225" i="3"/>
  <c r="O225" i="3"/>
  <c r="P225" i="3" s="1"/>
  <c r="R224" i="3"/>
  <c r="Q224" i="3"/>
  <c r="O224" i="3"/>
  <c r="P224" i="3" s="1"/>
  <c r="R223" i="3"/>
  <c r="Q223" i="3"/>
  <c r="O223" i="3"/>
  <c r="P223" i="3" s="1"/>
  <c r="R222" i="3"/>
  <c r="Q222" i="3"/>
  <c r="O222" i="3"/>
  <c r="P222" i="3" s="1"/>
  <c r="R221" i="3"/>
  <c r="Q221" i="3"/>
  <c r="O221" i="3"/>
  <c r="P221" i="3" s="1"/>
  <c r="R220" i="3"/>
  <c r="Q220" i="3"/>
  <c r="O220" i="3"/>
  <c r="P220" i="3" s="1"/>
  <c r="R219" i="3"/>
  <c r="Q219" i="3"/>
  <c r="O219" i="3"/>
  <c r="P219" i="3" s="1"/>
  <c r="R218" i="3"/>
  <c r="Q218" i="3"/>
  <c r="O218" i="3"/>
  <c r="P218" i="3" s="1"/>
  <c r="R217" i="3"/>
  <c r="Q217" i="3"/>
  <c r="O217" i="3"/>
  <c r="P217" i="3" s="1"/>
  <c r="R216" i="3"/>
  <c r="Q216" i="3"/>
  <c r="O216" i="3"/>
  <c r="P216" i="3" s="1"/>
  <c r="R215" i="3"/>
  <c r="Q215" i="3"/>
  <c r="O215" i="3"/>
  <c r="P215" i="3" s="1"/>
  <c r="R214" i="3"/>
  <c r="Q214" i="3"/>
  <c r="O214" i="3"/>
  <c r="P214" i="3" s="1"/>
  <c r="R213" i="3"/>
  <c r="Q213" i="3"/>
  <c r="O213" i="3"/>
  <c r="P213" i="3" s="1"/>
  <c r="R212" i="3"/>
  <c r="Q212" i="3"/>
  <c r="O212" i="3"/>
  <c r="P212" i="3" s="1"/>
  <c r="R211" i="3"/>
  <c r="Q211" i="3"/>
  <c r="O211" i="3"/>
  <c r="P211" i="3" s="1"/>
  <c r="R210" i="3"/>
  <c r="Q210" i="3"/>
  <c r="O210" i="3"/>
  <c r="P210" i="3" s="1"/>
  <c r="R209" i="3"/>
  <c r="Q209" i="3"/>
  <c r="O209" i="3"/>
  <c r="P209" i="3" s="1"/>
  <c r="R208" i="3"/>
  <c r="Q208" i="3"/>
  <c r="O208" i="3"/>
  <c r="P208" i="3" s="1"/>
  <c r="R207" i="3"/>
  <c r="Q207" i="3"/>
  <c r="O207" i="3"/>
  <c r="P207" i="3" s="1"/>
  <c r="R206" i="3"/>
  <c r="Q206" i="3"/>
  <c r="O206" i="3"/>
  <c r="P206" i="3" s="1"/>
  <c r="R205" i="3"/>
  <c r="Q205" i="3"/>
  <c r="O205" i="3"/>
  <c r="P205" i="3" s="1"/>
  <c r="R204" i="3"/>
  <c r="Q204" i="3"/>
  <c r="O204" i="3"/>
  <c r="P204" i="3" s="1"/>
  <c r="R203" i="3"/>
  <c r="Q203" i="3"/>
  <c r="O203" i="3"/>
  <c r="P203" i="3" s="1"/>
  <c r="R202" i="3"/>
  <c r="Q202" i="3"/>
  <c r="O202" i="3"/>
  <c r="P202" i="3" s="1"/>
  <c r="R201" i="3"/>
  <c r="Q201" i="3"/>
  <c r="O201" i="3"/>
  <c r="P201" i="3" s="1"/>
  <c r="R200" i="3"/>
  <c r="Q200" i="3"/>
  <c r="O200" i="3"/>
  <c r="P200" i="3" s="1"/>
  <c r="R199" i="3"/>
  <c r="Q199" i="3"/>
  <c r="O199" i="3"/>
  <c r="P199" i="3" s="1"/>
  <c r="R198" i="3"/>
  <c r="Q198" i="3"/>
  <c r="O198" i="3"/>
  <c r="P198" i="3" s="1"/>
  <c r="R197" i="3"/>
  <c r="Q197" i="3"/>
  <c r="O197" i="3"/>
  <c r="P197" i="3" s="1"/>
  <c r="R196" i="3"/>
  <c r="Q196" i="3"/>
  <c r="O196" i="3"/>
  <c r="P196" i="3" s="1"/>
  <c r="R195" i="3"/>
  <c r="Q195" i="3"/>
  <c r="O195" i="3"/>
  <c r="P195" i="3" s="1"/>
  <c r="R194" i="3"/>
  <c r="Q194" i="3"/>
  <c r="O194" i="3"/>
  <c r="P194" i="3" s="1"/>
  <c r="R193" i="3"/>
  <c r="Q193" i="3"/>
  <c r="O193" i="3"/>
  <c r="P193" i="3" s="1"/>
  <c r="R192" i="3"/>
  <c r="Q192" i="3"/>
  <c r="O192" i="3"/>
  <c r="P192" i="3" s="1"/>
  <c r="R191" i="3"/>
  <c r="Q191" i="3"/>
  <c r="O191" i="3"/>
  <c r="P191" i="3" s="1"/>
  <c r="R190" i="3"/>
  <c r="Q190" i="3"/>
  <c r="O190" i="3"/>
  <c r="P190" i="3" s="1"/>
  <c r="R189" i="3"/>
  <c r="Q189" i="3"/>
  <c r="O189" i="3"/>
  <c r="P189" i="3" s="1"/>
  <c r="R188" i="3"/>
  <c r="Q188" i="3"/>
  <c r="O188" i="3"/>
  <c r="P188" i="3" s="1"/>
  <c r="R187" i="3"/>
  <c r="Q187" i="3"/>
  <c r="O187" i="3"/>
  <c r="P187" i="3" s="1"/>
  <c r="R186" i="3"/>
  <c r="Q186" i="3"/>
  <c r="O186" i="3"/>
  <c r="P186" i="3" s="1"/>
  <c r="R185" i="3"/>
  <c r="Q185" i="3"/>
  <c r="O185" i="3"/>
  <c r="P185" i="3" s="1"/>
  <c r="R184" i="3"/>
  <c r="Q184" i="3"/>
  <c r="O184" i="3"/>
  <c r="P184" i="3" s="1"/>
  <c r="R183" i="3"/>
  <c r="Q183" i="3"/>
  <c r="O183" i="3"/>
  <c r="P183" i="3" s="1"/>
  <c r="R182" i="3"/>
  <c r="Q182" i="3"/>
  <c r="O182" i="3"/>
  <c r="P182" i="3" s="1"/>
  <c r="R181" i="3"/>
  <c r="Q181" i="3"/>
  <c r="O181" i="3"/>
  <c r="P181" i="3" s="1"/>
  <c r="R180" i="3"/>
  <c r="Q180" i="3"/>
  <c r="O180" i="3"/>
  <c r="P180" i="3" s="1"/>
  <c r="R179" i="3"/>
  <c r="Q179" i="3"/>
  <c r="O179" i="3"/>
  <c r="P179" i="3" s="1"/>
  <c r="R178" i="3"/>
  <c r="Q178" i="3"/>
  <c r="O178" i="3"/>
  <c r="P178" i="3" s="1"/>
  <c r="R177" i="3"/>
  <c r="Q177" i="3"/>
  <c r="O177" i="3"/>
  <c r="P177" i="3" s="1"/>
  <c r="R176" i="3"/>
  <c r="Q176" i="3"/>
  <c r="O176" i="3"/>
  <c r="P176" i="3" s="1"/>
  <c r="R175" i="3"/>
  <c r="Q175" i="3"/>
  <c r="O175" i="3"/>
  <c r="P175" i="3" s="1"/>
  <c r="R174" i="3"/>
  <c r="Q174" i="3"/>
  <c r="O174" i="3"/>
  <c r="P174" i="3" s="1"/>
  <c r="R173" i="3"/>
  <c r="Q173" i="3"/>
  <c r="O173" i="3"/>
  <c r="P173" i="3" s="1"/>
  <c r="R172" i="3"/>
  <c r="Q172" i="3"/>
  <c r="O172" i="3"/>
  <c r="P172" i="3" s="1"/>
  <c r="R171" i="3"/>
  <c r="Q171" i="3"/>
  <c r="O171" i="3"/>
  <c r="P171" i="3" s="1"/>
  <c r="R170" i="3"/>
  <c r="Q170" i="3"/>
  <c r="O170" i="3"/>
  <c r="P170" i="3" s="1"/>
  <c r="R169" i="3"/>
  <c r="Q169" i="3"/>
  <c r="O169" i="3"/>
  <c r="P169" i="3" s="1"/>
  <c r="R168" i="3"/>
  <c r="Q168" i="3"/>
  <c r="O168" i="3"/>
  <c r="P168" i="3" s="1"/>
  <c r="R167" i="3"/>
  <c r="Q167" i="3"/>
  <c r="O167" i="3"/>
  <c r="P167" i="3" s="1"/>
  <c r="R166" i="3"/>
  <c r="Q166" i="3"/>
  <c r="O166" i="3"/>
  <c r="P166" i="3" s="1"/>
  <c r="R165" i="3"/>
  <c r="Q165" i="3"/>
  <c r="O165" i="3"/>
  <c r="P165" i="3" s="1"/>
  <c r="R164" i="3"/>
  <c r="Q164" i="3"/>
  <c r="O164" i="3"/>
  <c r="P164" i="3" s="1"/>
  <c r="R163" i="3"/>
  <c r="Q163" i="3"/>
  <c r="O163" i="3"/>
  <c r="P163" i="3" s="1"/>
  <c r="R162" i="3"/>
  <c r="Q162" i="3"/>
  <c r="O162" i="3"/>
  <c r="P162" i="3" s="1"/>
  <c r="R161" i="3"/>
  <c r="Q161" i="3"/>
  <c r="O161" i="3"/>
  <c r="P161" i="3" s="1"/>
  <c r="R160" i="3"/>
  <c r="Q160" i="3"/>
  <c r="O160" i="3"/>
  <c r="P160" i="3" s="1"/>
  <c r="R159" i="3"/>
  <c r="Q159" i="3"/>
  <c r="O159" i="3"/>
  <c r="P159" i="3" s="1"/>
  <c r="R158" i="3"/>
  <c r="Q158" i="3"/>
  <c r="O158" i="3"/>
  <c r="P158" i="3" s="1"/>
  <c r="R157" i="3"/>
  <c r="Q157" i="3"/>
  <c r="O157" i="3"/>
  <c r="P157" i="3" s="1"/>
  <c r="R156" i="3"/>
  <c r="Q156" i="3"/>
  <c r="O156" i="3"/>
  <c r="P156" i="3" s="1"/>
  <c r="R155" i="3"/>
  <c r="Q155" i="3"/>
  <c r="O155" i="3"/>
  <c r="P155" i="3" s="1"/>
  <c r="R154" i="3"/>
  <c r="Q154" i="3"/>
  <c r="O154" i="3"/>
  <c r="P154" i="3" s="1"/>
  <c r="R153" i="3"/>
  <c r="Q153" i="3"/>
  <c r="O153" i="3"/>
  <c r="P153" i="3" s="1"/>
  <c r="R152" i="3"/>
  <c r="Q152" i="3"/>
  <c r="O152" i="3"/>
  <c r="P152" i="3" s="1"/>
  <c r="R151" i="3"/>
  <c r="Q151" i="3"/>
  <c r="O151" i="3"/>
  <c r="P151" i="3" s="1"/>
  <c r="R150" i="3"/>
  <c r="Q150" i="3"/>
  <c r="O150" i="3"/>
  <c r="P150" i="3" s="1"/>
  <c r="R149" i="3"/>
  <c r="Q149" i="3"/>
  <c r="O149" i="3"/>
  <c r="P149" i="3" s="1"/>
  <c r="R148" i="3"/>
  <c r="Q148" i="3"/>
  <c r="O148" i="3"/>
  <c r="P148" i="3" s="1"/>
  <c r="R147" i="3"/>
  <c r="Q147" i="3"/>
  <c r="O147" i="3"/>
  <c r="P147" i="3" s="1"/>
  <c r="R146" i="3"/>
  <c r="Q146" i="3"/>
  <c r="O146" i="3"/>
  <c r="P146" i="3" s="1"/>
  <c r="R145" i="3"/>
  <c r="Q145" i="3"/>
  <c r="O145" i="3"/>
  <c r="P145" i="3" s="1"/>
  <c r="R144" i="3"/>
  <c r="Q144" i="3"/>
  <c r="O144" i="3"/>
  <c r="P144" i="3" s="1"/>
  <c r="R143" i="3"/>
  <c r="Q143" i="3"/>
  <c r="O143" i="3"/>
  <c r="P143" i="3" s="1"/>
  <c r="R142" i="3"/>
  <c r="Q142" i="3"/>
  <c r="O142" i="3"/>
  <c r="P142" i="3" s="1"/>
  <c r="R141" i="3"/>
  <c r="Q141" i="3"/>
  <c r="O141" i="3"/>
  <c r="P141" i="3" s="1"/>
  <c r="R140" i="3"/>
  <c r="Q140" i="3"/>
  <c r="O140" i="3"/>
  <c r="P140" i="3" s="1"/>
  <c r="R139" i="3"/>
  <c r="Q139" i="3"/>
  <c r="O139" i="3"/>
  <c r="P139" i="3" s="1"/>
  <c r="R138" i="3"/>
  <c r="Q138" i="3"/>
  <c r="O138" i="3"/>
  <c r="P138" i="3" s="1"/>
  <c r="R137" i="3"/>
  <c r="Q137" i="3"/>
  <c r="O137" i="3"/>
  <c r="P137" i="3" s="1"/>
  <c r="R136" i="3"/>
  <c r="Q136" i="3"/>
  <c r="O136" i="3"/>
  <c r="P136" i="3" s="1"/>
  <c r="R135" i="3"/>
  <c r="Q135" i="3"/>
  <c r="O135" i="3"/>
  <c r="P135" i="3" s="1"/>
  <c r="R134" i="3"/>
  <c r="Q134" i="3"/>
  <c r="O134" i="3"/>
  <c r="P134" i="3" s="1"/>
  <c r="R133" i="3"/>
  <c r="Q133" i="3"/>
  <c r="O133" i="3"/>
  <c r="P133" i="3" s="1"/>
  <c r="R132" i="3"/>
  <c r="Q132" i="3"/>
  <c r="O132" i="3"/>
  <c r="P132" i="3" s="1"/>
  <c r="R131" i="3"/>
  <c r="Q131" i="3"/>
  <c r="O131" i="3"/>
  <c r="P131" i="3" s="1"/>
  <c r="R130" i="3"/>
  <c r="Q130" i="3"/>
  <c r="O130" i="3"/>
  <c r="P130" i="3" s="1"/>
  <c r="R129" i="3"/>
  <c r="Q129" i="3"/>
  <c r="O129" i="3"/>
  <c r="P129" i="3" s="1"/>
  <c r="R128" i="3"/>
  <c r="Q128" i="3"/>
  <c r="O128" i="3"/>
  <c r="P128" i="3" s="1"/>
  <c r="R127" i="3"/>
  <c r="Q127" i="3"/>
  <c r="O127" i="3"/>
  <c r="P127" i="3" s="1"/>
  <c r="R126" i="3"/>
  <c r="Q126" i="3"/>
  <c r="O126" i="3"/>
  <c r="P126" i="3" s="1"/>
  <c r="R125" i="3"/>
  <c r="Q125" i="3"/>
  <c r="O125" i="3"/>
  <c r="P125" i="3" s="1"/>
  <c r="R124" i="3"/>
  <c r="Q124" i="3"/>
  <c r="O124" i="3"/>
  <c r="P124" i="3" s="1"/>
  <c r="R123" i="3"/>
  <c r="Q123" i="3"/>
  <c r="O123" i="3"/>
  <c r="P123" i="3" s="1"/>
  <c r="R122" i="3"/>
  <c r="Q122" i="3"/>
  <c r="O122" i="3"/>
  <c r="P122" i="3" s="1"/>
  <c r="R121" i="3"/>
  <c r="Q121" i="3"/>
  <c r="O121" i="3"/>
  <c r="P121" i="3" s="1"/>
  <c r="R120" i="3"/>
  <c r="Q120" i="3"/>
  <c r="O120" i="3"/>
  <c r="P120" i="3" s="1"/>
  <c r="R119" i="3"/>
  <c r="Q119" i="3"/>
  <c r="O119" i="3"/>
  <c r="P119" i="3" s="1"/>
  <c r="R118" i="3"/>
  <c r="Q118" i="3"/>
  <c r="O118" i="3"/>
  <c r="P118" i="3" s="1"/>
  <c r="R117" i="3"/>
  <c r="Q117" i="3"/>
  <c r="O117" i="3"/>
  <c r="P117" i="3" s="1"/>
  <c r="R116" i="3"/>
  <c r="Q116" i="3"/>
  <c r="O116" i="3"/>
  <c r="P116" i="3" s="1"/>
  <c r="R115" i="3"/>
  <c r="Q115" i="3"/>
  <c r="O115" i="3"/>
  <c r="P115" i="3" s="1"/>
  <c r="R114" i="3"/>
  <c r="Q114" i="3"/>
  <c r="O114" i="3"/>
  <c r="P114" i="3" s="1"/>
  <c r="R113" i="3"/>
  <c r="Q113" i="3"/>
  <c r="O113" i="3"/>
  <c r="P113" i="3" s="1"/>
  <c r="R112" i="3"/>
  <c r="Q112" i="3"/>
  <c r="O112" i="3"/>
  <c r="P112" i="3" s="1"/>
  <c r="R111" i="3"/>
  <c r="Q111" i="3"/>
  <c r="O111" i="3"/>
  <c r="P111" i="3" s="1"/>
  <c r="R110" i="3"/>
  <c r="Q110" i="3"/>
  <c r="O110" i="3"/>
  <c r="P110" i="3" s="1"/>
  <c r="R109" i="3"/>
  <c r="Q109" i="3"/>
  <c r="O109" i="3"/>
  <c r="P109" i="3" s="1"/>
  <c r="R108" i="3"/>
  <c r="Q108" i="3"/>
  <c r="O108" i="3"/>
  <c r="P108" i="3" s="1"/>
  <c r="R107" i="3"/>
  <c r="Q107" i="3"/>
  <c r="O107" i="3"/>
  <c r="P107" i="3" s="1"/>
  <c r="R106" i="3"/>
  <c r="Q106" i="3"/>
  <c r="O106" i="3"/>
  <c r="P106" i="3" s="1"/>
  <c r="R105" i="3"/>
  <c r="Q105" i="3"/>
  <c r="O105" i="3"/>
  <c r="P105" i="3" s="1"/>
  <c r="R104" i="3"/>
  <c r="Q104" i="3"/>
  <c r="O104" i="3"/>
  <c r="P104" i="3" s="1"/>
  <c r="R103" i="3"/>
  <c r="Q103" i="3"/>
  <c r="O103" i="3"/>
  <c r="P103" i="3" s="1"/>
  <c r="R102" i="3"/>
  <c r="Q102" i="3"/>
  <c r="O102" i="3"/>
  <c r="P102" i="3" s="1"/>
  <c r="R101" i="3"/>
  <c r="Q101" i="3"/>
  <c r="O101" i="3"/>
  <c r="P101" i="3" s="1"/>
  <c r="R100" i="3"/>
  <c r="Q100" i="3"/>
  <c r="O100" i="3"/>
  <c r="P100" i="3" s="1"/>
  <c r="R99" i="3"/>
  <c r="Q99" i="3"/>
  <c r="O99" i="3"/>
  <c r="P99" i="3" s="1"/>
  <c r="R98" i="3"/>
  <c r="Q98" i="3"/>
  <c r="O98" i="3"/>
  <c r="P98" i="3" s="1"/>
  <c r="R97" i="3"/>
  <c r="Q97" i="3"/>
  <c r="O97" i="3"/>
  <c r="P97" i="3" s="1"/>
  <c r="R96" i="3"/>
  <c r="Q96" i="3"/>
  <c r="O96" i="3"/>
  <c r="P96" i="3" s="1"/>
  <c r="R95" i="3"/>
  <c r="Q95" i="3"/>
  <c r="O95" i="3"/>
  <c r="P95" i="3" s="1"/>
  <c r="R94" i="3"/>
  <c r="Q94" i="3"/>
  <c r="O94" i="3"/>
  <c r="P94" i="3" s="1"/>
  <c r="R93" i="3"/>
  <c r="Q93" i="3"/>
  <c r="O93" i="3"/>
  <c r="P93" i="3" s="1"/>
  <c r="R92" i="3"/>
  <c r="Q92" i="3"/>
  <c r="O92" i="3"/>
  <c r="P92" i="3" s="1"/>
  <c r="R91" i="3"/>
  <c r="Q91" i="3"/>
  <c r="O91" i="3"/>
  <c r="P91" i="3" s="1"/>
  <c r="R90" i="3"/>
  <c r="Q90" i="3"/>
  <c r="O90" i="3"/>
  <c r="P90" i="3" s="1"/>
  <c r="R89" i="3"/>
  <c r="Q89" i="3"/>
  <c r="O89" i="3"/>
  <c r="P89" i="3" s="1"/>
  <c r="R88" i="3"/>
  <c r="Q88" i="3"/>
  <c r="O88" i="3"/>
  <c r="P88" i="3" s="1"/>
  <c r="R87" i="3"/>
  <c r="Q87" i="3"/>
  <c r="O87" i="3"/>
  <c r="P87" i="3" s="1"/>
  <c r="R86" i="3"/>
  <c r="Q86" i="3"/>
  <c r="O86" i="3"/>
  <c r="P86" i="3" s="1"/>
  <c r="R85" i="3"/>
  <c r="Q85" i="3"/>
  <c r="O85" i="3"/>
  <c r="P85" i="3" s="1"/>
  <c r="R84" i="3"/>
  <c r="Q84" i="3"/>
  <c r="O84" i="3"/>
  <c r="P84" i="3" s="1"/>
  <c r="R83" i="3"/>
  <c r="Q83" i="3"/>
  <c r="O83" i="3"/>
  <c r="P83" i="3" s="1"/>
  <c r="R82" i="3"/>
  <c r="Q82" i="3"/>
  <c r="O82" i="3"/>
  <c r="P82" i="3" s="1"/>
  <c r="R81" i="3"/>
  <c r="Q81" i="3"/>
  <c r="O81" i="3"/>
  <c r="P81" i="3" s="1"/>
  <c r="R80" i="3"/>
  <c r="Q80" i="3"/>
  <c r="O80" i="3"/>
  <c r="P80" i="3" s="1"/>
  <c r="R79" i="3"/>
  <c r="Q79" i="3"/>
  <c r="O79" i="3"/>
  <c r="P79" i="3" s="1"/>
  <c r="R78" i="3"/>
  <c r="Q78" i="3"/>
  <c r="O78" i="3"/>
  <c r="P78" i="3" s="1"/>
  <c r="R77" i="3"/>
  <c r="Q77" i="3"/>
  <c r="O77" i="3"/>
  <c r="P77" i="3" s="1"/>
  <c r="R76" i="3"/>
  <c r="Q76" i="3"/>
  <c r="O76" i="3"/>
  <c r="P76" i="3" s="1"/>
  <c r="R75" i="3"/>
  <c r="Q75" i="3"/>
  <c r="O75" i="3"/>
  <c r="P75" i="3" s="1"/>
  <c r="R74" i="3"/>
  <c r="Q74" i="3"/>
  <c r="O74" i="3"/>
  <c r="P74" i="3" s="1"/>
  <c r="R73" i="3"/>
  <c r="Q73" i="3"/>
  <c r="O73" i="3"/>
  <c r="P73" i="3" s="1"/>
  <c r="R72" i="3"/>
  <c r="Q72" i="3"/>
  <c r="O72" i="3"/>
  <c r="P72" i="3" s="1"/>
  <c r="R71" i="3"/>
  <c r="Q71" i="3"/>
  <c r="O71" i="3"/>
  <c r="P71" i="3" s="1"/>
  <c r="R70" i="3"/>
  <c r="Q70" i="3"/>
  <c r="O70" i="3"/>
  <c r="P70" i="3" s="1"/>
  <c r="R69" i="3"/>
  <c r="Q69" i="3"/>
  <c r="O69" i="3"/>
  <c r="P69" i="3" s="1"/>
  <c r="R68" i="3"/>
  <c r="Q68" i="3"/>
  <c r="O68" i="3"/>
  <c r="P68" i="3" s="1"/>
  <c r="R67" i="3"/>
  <c r="Q67" i="3"/>
  <c r="O67" i="3"/>
  <c r="P67" i="3" s="1"/>
  <c r="R66" i="3"/>
  <c r="Q66" i="3"/>
  <c r="O66" i="3"/>
  <c r="P66" i="3" s="1"/>
  <c r="R65" i="3"/>
  <c r="Q65" i="3"/>
  <c r="O65" i="3"/>
  <c r="P65" i="3" s="1"/>
  <c r="R64" i="3"/>
  <c r="Q64" i="3"/>
  <c r="O64" i="3"/>
  <c r="P64" i="3" s="1"/>
  <c r="R63" i="3"/>
  <c r="Q63" i="3"/>
  <c r="O63" i="3"/>
  <c r="P63" i="3" s="1"/>
  <c r="R62" i="3"/>
  <c r="Q62" i="3"/>
  <c r="O62" i="3"/>
  <c r="P62" i="3" s="1"/>
  <c r="R61" i="3"/>
  <c r="Q61" i="3"/>
  <c r="O61" i="3"/>
  <c r="P61" i="3" s="1"/>
  <c r="R60" i="3"/>
  <c r="Q60" i="3"/>
  <c r="O60" i="3"/>
  <c r="P60" i="3" s="1"/>
  <c r="R59" i="3"/>
  <c r="Q59" i="3"/>
  <c r="O59" i="3"/>
  <c r="P59" i="3" s="1"/>
  <c r="R58" i="3"/>
  <c r="Q58" i="3"/>
  <c r="O58" i="3"/>
  <c r="P58" i="3" s="1"/>
  <c r="R57" i="3"/>
  <c r="Q57" i="3"/>
  <c r="O57" i="3"/>
  <c r="P57" i="3" s="1"/>
  <c r="R56" i="3"/>
  <c r="Q56" i="3"/>
  <c r="O56" i="3"/>
  <c r="P56" i="3" s="1"/>
  <c r="R55" i="3"/>
  <c r="Q55" i="3"/>
  <c r="O55" i="3"/>
  <c r="P55" i="3" s="1"/>
  <c r="R54" i="3"/>
  <c r="Q54" i="3"/>
  <c r="O54" i="3"/>
  <c r="P54" i="3" s="1"/>
  <c r="R53" i="3"/>
  <c r="Q53" i="3"/>
  <c r="O53" i="3"/>
  <c r="P53" i="3" s="1"/>
  <c r="R52" i="3"/>
  <c r="Q52" i="3"/>
  <c r="O52" i="3"/>
  <c r="P52" i="3" s="1"/>
  <c r="R51" i="3"/>
  <c r="Q51" i="3"/>
  <c r="O51" i="3"/>
  <c r="P51" i="3" s="1"/>
  <c r="R50" i="3"/>
  <c r="Q50" i="3"/>
  <c r="O50" i="3"/>
  <c r="P50" i="3" s="1"/>
  <c r="R49" i="3"/>
  <c r="Q49" i="3"/>
  <c r="O49" i="3"/>
  <c r="P49" i="3" s="1"/>
  <c r="R48" i="3"/>
  <c r="Q48" i="3"/>
  <c r="O48" i="3"/>
  <c r="P48" i="3" s="1"/>
  <c r="R47" i="3"/>
  <c r="Q47" i="3"/>
  <c r="O47" i="3"/>
  <c r="P47" i="3" s="1"/>
  <c r="R46" i="3"/>
  <c r="Q46" i="3"/>
  <c r="O46" i="3"/>
  <c r="P46" i="3" s="1"/>
  <c r="R45" i="3"/>
  <c r="Q45" i="3"/>
  <c r="O45" i="3"/>
  <c r="P45" i="3" s="1"/>
  <c r="R44" i="3"/>
  <c r="Q44" i="3"/>
  <c r="O44" i="3"/>
  <c r="P44" i="3" s="1"/>
  <c r="R43" i="3"/>
  <c r="Q43" i="3"/>
  <c r="O43" i="3"/>
  <c r="P43" i="3" s="1"/>
  <c r="R42" i="3"/>
  <c r="Q42" i="3"/>
  <c r="O42" i="3"/>
  <c r="P42" i="3" s="1"/>
  <c r="R41" i="3"/>
  <c r="Q41" i="3"/>
  <c r="O41" i="3"/>
  <c r="P41" i="3" s="1"/>
  <c r="R40" i="3"/>
  <c r="Q40" i="3"/>
  <c r="O40" i="3"/>
  <c r="P40" i="3" s="1"/>
  <c r="R39" i="3"/>
  <c r="Q39" i="3"/>
  <c r="O39" i="3"/>
  <c r="P39" i="3" s="1"/>
  <c r="R38" i="3"/>
  <c r="Q38" i="3"/>
  <c r="O38" i="3"/>
  <c r="P38" i="3" s="1"/>
  <c r="R37" i="3"/>
  <c r="Q37" i="3"/>
  <c r="O37" i="3"/>
  <c r="P37" i="3" s="1"/>
  <c r="R36" i="3"/>
  <c r="Q36" i="3"/>
  <c r="O36" i="3"/>
  <c r="P36" i="3" s="1"/>
  <c r="R35" i="3"/>
  <c r="Q35" i="3"/>
  <c r="O35" i="3"/>
  <c r="P35" i="3" s="1"/>
  <c r="R34" i="3"/>
  <c r="Q34" i="3"/>
  <c r="O34" i="3"/>
  <c r="P34" i="3" s="1"/>
  <c r="R33" i="3"/>
  <c r="Q33" i="3"/>
  <c r="O33" i="3"/>
  <c r="P33" i="3" s="1"/>
  <c r="R32" i="3"/>
  <c r="Q32" i="3"/>
  <c r="O32" i="3"/>
  <c r="P32" i="3" s="1"/>
  <c r="R31" i="3"/>
  <c r="Q31" i="3"/>
  <c r="O31" i="3"/>
  <c r="P31" i="3" s="1"/>
  <c r="R30" i="3"/>
  <c r="Q30" i="3"/>
  <c r="O30" i="3"/>
  <c r="P30" i="3" s="1"/>
  <c r="R29" i="3"/>
  <c r="Q29" i="3"/>
  <c r="O29" i="3"/>
  <c r="P29" i="3" s="1"/>
  <c r="R28" i="3"/>
  <c r="Q28" i="3"/>
  <c r="O28" i="3"/>
  <c r="P28" i="3" s="1"/>
  <c r="R27" i="3"/>
  <c r="Q27" i="3"/>
  <c r="O27" i="3"/>
  <c r="P27" i="3" s="1"/>
  <c r="R26" i="3"/>
  <c r="Q26" i="3"/>
  <c r="O26" i="3"/>
  <c r="P26" i="3" s="1"/>
  <c r="R25" i="3"/>
  <c r="Q25" i="3"/>
  <c r="O25" i="3"/>
  <c r="P25" i="3" s="1"/>
  <c r="R24" i="3"/>
  <c r="Q24" i="3"/>
  <c r="O24" i="3"/>
  <c r="P24" i="3" s="1"/>
  <c r="R23" i="3"/>
  <c r="Q23" i="3"/>
  <c r="O23" i="3"/>
  <c r="P23" i="3" s="1"/>
  <c r="R22" i="3"/>
  <c r="Q22" i="3"/>
  <c r="O22" i="3"/>
  <c r="P22" i="3" s="1"/>
  <c r="R21" i="3"/>
  <c r="Q21" i="3"/>
  <c r="O21" i="3"/>
  <c r="P21" i="3" s="1"/>
  <c r="R20" i="3"/>
  <c r="Q20" i="3"/>
  <c r="O20" i="3"/>
  <c r="P20" i="3" s="1"/>
  <c r="R19" i="3"/>
  <c r="Q19" i="3"/>
  <c r="O19" i="3"/>
  <c r="P19" i="3" s="1"/>
  <c r="R18" i="3"/>
  <c r="Q18" i="3"/>
  <c r="O18" i="3"/>
  <c r="P18" i="3" s="1"/>
  <c r="R17" i="3"/>
  <c r="Q17" i="3"/>
  <c r="O17" i="3"/>
  <c r="P17" i="3" s="1"/>
  <c r="R16" i="3"/>
  <c r="Q16" i="3"/>
  <c r="O16" i="3"/>
  <c r="P16" i="3" s="1"/>
  <c r="R15" i="3"/>
  <c r="Q15" i="3"/>
  <c r="O15" i="3"/>
  <c r="P15" i="3" s="1"/>
  <c r="R14" i="3"/>
  <c r="Q14" i="3"/>
  <c r="O14" i="3"/>
  <c r="P14" i="3" s="1"/>
  <c r="R13" i="3"/>
  <c r="Q13" i="3"/>
  <c r="O13" i="3"/>
  <c r="P13" i="3" s="1"/>
  <c r="R12" i="3"/>
  <c r="Q12" i="3"/>
  <c r="O12" i="3"/>
  <c r="P12" i="3" s="1"/>
  <c r="R11" i="3"/>
  <c r="Q11" i="3"/>
  <c r="O11" i="3"/>
  <c r="P11" i="3" s="1"/>
  <c r="R10" i="3"/>
  <c r="Q10" i="3"/>
  <c r="O10" i="3"/>
  <c r="P10" i="3" s="1"/>
  <c r="R9" i="3"/>
  <c r="Q9" i="3"/>
  <c r="O9" i="3"/>
  <c r="P9" i="3" s="1"/>
  <c r="R8" i="3"/>
  <c r="Q8" i="3"/>
  <c r="O8" i="3"/>
  <c r="P8" i="3" s="1"/>
  <c r="R7" i="3"/>
  <c r="Q7" i="3"/>
  <c r="O7" i="3"/>
  <c r="P7" i="3" s="1"/>
  <c r="R6" i="3"/>
  <c r="Q6" i="3"/>
  <c r="O6" i="3"/>
  <c r="P6" i="3" s="1"/>
  <c r="R5" i="3"/>
  <c r="Q5" i="3"/>
  <c r="O5" i="3"/>
  <c r="R200" i="2"/>
  <c r="Q200" i="2"/>
  <c r="A200" i="2"/>
  <c r="R177" i="2"/>
  <c r="Q177" i="2"/>
  <c r="A177" i="2"/>
  <c r="R176" i="2"/>
  <c r="Q176" i="2"/>
  <c r="P176" i="2"/>
  <c r="A176" i="2"/>
  <c r="R175" i="2"/>
  <c r="Q175" i="2"/>
  <c r="A175" i="2"/>
  <c r="R174" i="2"/>
  <c r="Q174" i="2"/>
  <c r="A174" i="2"/>
  <c r="R173" i="2"/>
  <c r="Q173" i="2"/>
  <c r="A173" i="2"/>
  <c r="R172" i="2"/>
  <c r="Q172" i="2"/>
  <c r="P172" i="2"/>
  <c r="A172" i="2"/>
  <c r="R171" i="2"/>
  <c r="Q171" i="2"/>
  <c r="P171" i="2"/>
  <c r="A171" i="2"/>
  <c r="R170" i="2"/>
  <c r="Q170" i="2"/>
  <c r="A170" i="2"/>
  <c r="R169" i="2"/>
  <c r="Q169" i="2"/>
  <c r="A169" i="2"/>
  <c r="R168" i="2"/>
  <c r="Q168" i="2"/>
  <c r="R167" i="2"/>
  <c r="Q167" i="2"/>
  <c r="R166" i="2"/>
  <c r="Q166" i="2"/>
  <c r="R165" i="2"/>
  <c r="Q165" i="2"/>
  <c r="R164" i="2"/>
  <c r="Q164" i="2"/>
  <c r="R163" i="2"/>
  <c r="Q163" i="2"/>
  <c r="R162" i="2"/>
  <c r="Q162" i="2"/>
  <c r="R161" i="2"/>
  <c r="Q161" i="2"/>
  <c r="R160" i="2"/>
  <c r="Q160" i="2"/>
  <c r="R159" i="2"/>
  <c r="Q159" i="2"/>
  <c r="P159" i="2"/>
  <c r="R158" i="2"/>
  <c r="Q158" i="2"/>
  <c r="R157" i="2"/>
  <c r="Q157" i="2"/>
  <c r="R156" i="2"/>
  <c r="Q156" i="2"/>
  <c r="R155" i="2"/>
  <c r="Q155" i="2"/>
  <c r="R154" i="2"/>
  <c r="Q154" i="2"/>
  <c r="R153" i="2"/>
  <c r="Q153" i="2"/>
  <c r="R152" i="2"/>
  <c r="Q152" i="2"/>
  <c r="R151" i="2"/>
  <c r="Q151" i="2"/>
  <c r="R150" i="2"/>
  <c r="Q150" i="2"/>
  <c r="R149" i="2"/>
  <c r="Q149" i="2"/>
  <c r="R148" i="2"/>
  <c r="Q148" i="2"/>
  <c r="R147" i="2"/>
  <c r="Q147" i="2"/>
  <c r="R146" i="2"/>
  <c r="Q146" i="2"/>
  <c r="P146" i="2"/>
  <c r="R145" i="2"/>
  <c r="Q145" i="2"/>
  <c r="P145" i="2"/>
  <c r="R144" i="2"/>
  <c r="Q144" i="2"/>
  <c r="P144" i="2"/>
  <c r="R143" i="2"/>
  <c r="Q143" i="2"/>
  <c r="R142" i="2"/>
  <c r="Q142" i="2"/>
  <c r="R141" i="2"/>
  <c r="Q141" i="2"/>
  <c r="R140" i="2"/>
  <c r="Q140" i="2"/>
  <c r="R139" i="2"/>
  <c r="Q139" i="2"/>
  <c r="R138" i="2"/>
  <c r="Q138" i="2"/>
  <c r="R137" i="2"/>
  <c r="Q137" i="2"/>
  <c r="R136" i="2"/>
  <c r="Q136" i="2"/>
  <c r="R135" i="2"/>
  <c r="Q135" i="2"/>
  <c r="P135" i="2"/>
  <c r="R134" i="2"/>
  <c r="Q134" i="2"/>
  <c r="R133" i="2"/>
  <c r="Q133" i="2"/>
  <c r="R132" i="2"/>
  <c r="Q132" i="2"/>
  <c r="P132" i="2"/>
  <c r="R131" i="2"/>
  <c r="Q131" i="2"/>
  <c r="R130" i="2"/>
  <c r="Q130" i="2"/>
  <c r="P130" i="2"/>
  <c r="R129" i="2"/>
  <c r="Q129" i="2"/>
  <c r="P129" i="2"/>
  <c r="R128" i="2"/>
  <c r="Q128" i="2"/>
  <c r="R127" i="2"/>
  <c r="Q127" i="2"/>
  <c r="R126" i="2"/>
  <c r="Q126" i="2"/>
  <c r="R125" i="2"/>
  <c r="Q125" i="2"/>
  <c r="R124" i="2"/>
  <c r="Q124" i="2"/>
  <c r="R123" i="2"/>
  <c r="Q123" i="2"/>
  <c r="R122" i="2"/>
  <c r="Q122" i="2"/>
  <c r="R121" i="2"/>
  <c r="Q121" i="2"/>
  <c r="P121" i="2"/>
  <c r="R120" i="2"/>
  <c r="Q120" i="2"/>
  <c r="R119" i="2"/>
  <c r="Q119" i="2"/>
  <c r="R118" i="2"/>
  <c r="Q118" i="2"/>
  <c r="P118" i="2"/>
  <c r="R117" i="2"/>
  <c r="Q117" i="2"/>
  <c r="R116" i="2"/>
  <c r="Q116" i="2"/>
  <c r="P116" i="2"/>
  <c r="R115" i="2"/>
  <c r="Q115" i="2"/>
  <c r="R114" i="2"/>
  <c r="Q114" i="2"/>
  <c r="R113" i="2"/>
  <c r="Q113" i="2"/>
  <c r="R112" i="2"/>
  <c r="Q112" i="2"/>
  <c r="R111" i="2"/>
  <c r="Q111" i="2"/>
  <c r="R110" i="2"/>
  <c r="Q110" i="2"/>
  <c r="R109" i="2"/>
  <c r="Q109" i="2"/>
  <c r="R108" i="2"/>
  <c r="Q108" i="2"/>
  <c r="R107" i="2"/>
  <c r="Q107" i="2"/>
  <c r="R106" i="2"/>
  <c r="Q106" i="2"/>
  <c r="R105" i="2"/>
  <c r="Q105" i="2"/>
  <c r="R104" i="2"/>
  <c r="Q104" i="2"/>
  <c r="P104" i="2"/>
  <c r="R103" i="2"/>
  <c r="Q103" i="2"/>
  <c r="P103" i="2"/>
  <c r="R102" i="2"/>
  <c r="Q102" i="2"/>
  <c r="P102" i="2"/>
  <c r="R101" i="2"/>
  <c r="Q101" i="2"/>
  <c r="P101" i="2"/>
  <c r="R100" i="2"/>
  <c r="Q100" i="2"/>
  <c r="R99" i="2"/>
  <c r="Q99" i="2"/>
  <c r="R98" i="2"/>
  <c r="Q98" i="2"/>
  <c r="R97" i="2"/>
  <c r="Q97" i="2"/>
  <c r="R96" i="2"/>
  <c r="Q96" i="2"/>
  <c r="R95" i="2"/>
  <c r="Q95" i="2"/>
  <c r="R94" i="2"/>
  <c r="Q94" i="2"/>
  <c r="R93" i="2"/>
  <c r="Q93" i="2"/>
  <c r="R92" i="2"/>
  <c r="Q92" i="2"/>
  <c r="R91" i="2"/>
  <c r="Q91" i="2"/>
  <c r="R90" i="2"/>
  <c r="Q90" i="2"/>
  <c r="P90" i="2"/>
  <c r="R89" i="2"/>
  <c r="Q89" i="2"/>
  <c r="R88" i="2"/>
  <c r="Q88" i="2"/>
  <c r="P88" i="2"/>
  <c r="R87" i="2"/>
  <c r="Q87" i="2"/>
  <c r="P87" i="2"/>
  <c r="R86" i="2"/>
  <c r="Q86" i="2"/>
  <c r="R85" i="2"/>
  <c r="Q85" i="2"/>
  <c r="R84" i="2"/>
  <c r="Q84" i="2"/>
  <c r="R83" i="2"/>
  <c r="Q83" i="2"/>
  <c r="R82" i="2"/>
  <c r="Q82" i="2"/>
  <c r="R81" i="2"/>
  <c r="Q81" i="2"/>
  <c r="R80" i="2"/>
  <c r="Q80" i="2"/>
  <c r="R79" i="2"/>
  <c r="Q79" i="2"/>
  <c r="R78" i="2"/>
  <c r="Q78" i="2"/>
  <c r="P78" i="2"/>
  <c r="R77" i="2"/>
  <c r="Q77" i="2"/>
  <c r="P77" i="2"/>
  <c r="R76" i="2"/>
  <c r="Q76" i="2"/>
  <c r="P76" i="2"/>
  <c r="R75" i="2"/>
  <c r="Q75" i="2"/>
  <c r="P75" i="2"/>
  <c r="R74" i="2"/>
  <c r="Q74" i="2"/>
  <c r="R73" i="2"/>
  <c r="Q73" i="2"/>
  <c r="R72" i="2"/>
  <c r="Q72" i="2"/>
  <c r="R71" i="2"/>
  <c r="Q71" i="2"/>
  <c r="R70" i="2"/>
  <c r="Q70" i="2"/>
  <c r="R69" i="2"/>
  <c r="Q69" i="2"/>
  <c r="R68" i="2"/>
  <c r="Q68" i="2"/>
  <c r="R67" i="2"/>
  <c r="Q67" i="2"/>
  <c r="R66" i="2"/>
  <c r="Q66" i="2"/>
  <c r="R65" i="2"/>
  <c r="Q65" i="2"/>
  <c r="P65" i="2"/>
  <c r="R64" i="2"/>
  <c r="Q64" i="2"/>
  <c r="P64" i="2"/>
  <c r="R63" i="2"/>
  <c r="Q63" i="2"/>
  <c r="P63" i="2"/>
  <c r="R62" i="2"/>
  <c r="Q62" i="2"/>
  <c r="P62" i="2"/>
  <c r="R61" i="2"/>
  <c r="Q61" i="2"/>
  <c r="R60" i="2"/>
  <c r="Q60" i="2"/>
  <c r="P60" i="2"/>
  <c r="R59" i="2"/>
  <c r="Q59" i="2"/>
  <c r="P59" i="2"/>
  <c r="R58" i="2"/>
  <c r="Q58" i="2"/>
  <c r="R57" i="2"/>
  <c r="Q57" i="2"/>
  <c r="R56" i="2"/>
  <c r="Q56" i="2"/>
  <c r="R55" i="2"/>
  <c r="Q55" i="2"/>
  <c r="R54" i="2"/>
  <c r="Q54" i="2"/>
  <c r="R53" i="2"/>
  <c r="Q53" i="2"/>
  <c r="R52" i="2"/>
  <c r="Q52" i="2"/>
  <c r="R51" i="2"/>
  <c r="Q51" i="2"/>
  <c r="R50" i="2"/>
  <c r="Q50" i="2"/>
  <c r="P50" i="2"/>
  <c r="R49" i="2"/>
  <c r="Q49" i="2"/>
  <c r="R48" i="2"/>
  <c r="Q48" i="2"/>
  <c r="P48" i="2"/>
  <c r="R47" i="2"/>
  <c r="Q47" i="2"/>
  <c r="P47" i="2"/>
  <c r="R46" i="2"/>
  <c r="Q46" i="2"/>
  <c r="P46" i="2"/>
  <c r="R45" i="2"/>
  <c r="Q45" i="2"/>
  <c r="R44" i="2"/>
  <c r="Q44" i="2"/>
  <c r="R43" i="2"/>
  <c r="Q43" i="2"/>
  <c r="R42" i="2"/>
  <c r="Q42" i="2"/>
  <c r="R41" i="2"/>
  <c r="Q41" i="2"/>
  <c r="R40" i="2"/>
  <c r="Q40" i="2"/>
  <c r="R39" i="2"/>
  <c r="Q39" i="2"/>
  <c r="R38" i="2"/>
  <c r="Q38" i="2"/>
  <c r="R37" i="2"/>
  <c r="Q37" i="2"/>
  <c r="P37" i="2"/>
  <c r="R36" i="2"/>
  <c r="Q36" i="2"/>
  <c r="P36" i="2"/>
  <c r="R35" i="2"/>
  <c r="Q35" i="2"/>
  <c r="P35" i="2"/>
  <c r="R34" i="2"/>
  <c r="Q34" i="2"/>
  <c r="P34" i="2"/>
  <c r="R33" i="2"/>
  <c r="Q33" i="2"/>
  <c r="R32" i="2"/>
  <c r="Q32" i="2"/>
  <c r="P32" i="2"/>
  <c r="R31" i="2"/>
  <c r="Q31" i="2"/>
  <c r="P31" i="2"/>
  <c r="R30" i="2"/>
  <c r="Q30" i="2"/>
  <c r="R29" i="2"/>
  <c r="Q29" i="2"/>
  <c r="R28" i="2"/>
  <c r="Q28" i="2"/>
  <c r="R27" i="2"/>
  <c r="Q27" i="2"/>
  <c r="R26" i="2"/>
  <c r="Q26" i="2"/>
  <c r="R25" i="2"/>
  <c r="Q25" i="2"/>
  <c r="R24" i="2"/>
  <c r="Q24" i="2"/>
  <c r="R23" i="2"/>
  <c r="Q23" i="2"/>
  <c r="P23" i="2"/>
  <c r="R22" i="2"/>
  <c r="Q22" i="2"/>
  <c r="P22" i="2"/>
  <c r="R21" i="2"/>
  <c r="Q21" i="2"/>
  <c r="P21" i="2"/>
  <c r="R20" i="2"/>
  <c r="Q20" i="2"/>
  <c r="P20" i="2"/>
  <c r="R19" i="2"/>
  <c r="Q19" i="2"/>
  <c r="P19" i="2"/>
  <c r="R18" i="2"/>
  <c r="Q18" i="2"/>
  <c r="R17" i="2"/>
  <c r="Q17" i="2"/>
  <c r="P17" i="2"/>
  <c r="R16" i="2"/>
  <c r="Q16" i="2"/>
  <c r="R15" i="2"/>
  <c r="Q15" i="2"/>
  <c r="R14" i="2"/>
  <c r="Q14" i="2"/>
  <c r="R13" i="2"/>
  <c r="Q13" i="2"/>
  <c r="R12" i="2"/>
  <c r="Q12" i="2"/>
  <c r="R11" i="2"/>
  <c r="Q11" i="2"/>
  <c r="R10" i="2"/>
  <c r="Q10" i="2"/>
  <c r="R9" i="2"/>
  <c r="Q9" i="2"/>
  <c r="P9" i="2"/>
  <c r="R8" i="2"/>
  <c r="Q8" i="2"/>
  <c r="P8" i="2"/>
  <c r="R7" i="2"/>
  <c r="Q7" i="2"/>
  <c r="P7" i="2"/>
  <c r="R6" i="2"/>
  <c r="Q6" i="2"/>
  <c r="P6" i="2"/>
  <c r="R5" i="2"/>
  <c r="Q5" i="2"/>
  <c r="R4" i="2"/>
  <c r="Q4" i="2"/>
  <c r="R3" i="2"/>
  <c r="Q3" i="2"/>
  <c r="P3" i="2"/>
  <c r="H48" i="1"/>
  <c r="G48" i="1"/>
  <c r="I48" i="1" s="1"/>
  <c r="G47" i="1"/>
  <c r="I47" i="1" s="1"/>
  <c r="G46" i="1"/>
  <c r="I46" i="1" s="1"/>
  <c r="D46" i="1"/>
  <c r="C46" i="1"/>
  <c r="E46" i="1" s="1"/>
  <c r="G45" i="1"/>
  <c r="I45" i="1" s="1"/>
  <c r="D45" i="1"/>
  <c r="C45" i="1"/>
  <c r="E45" i="1" s="1"/>
  <c r="G44" i="1"/>
  <c r="I44" i="1" s="1"/>
  <c r="D44" i="1"/>
  <c r="C44" i="1"/>
  <c r="E44" i="1" s="1"/>
  <c r="G43" i="1"/>
  <c r="I43" i="1" s="1"/>
  <c r="D43" i="1"/>
  <c r="C43" i="1"/>
  <c r="E43" i="1" s="1"/>
  <c r="I39" i="1"/>
  <c r="F39" i="1"/>
  <c r="E39" i="1"/>
  <c r="I38" i="1"/>
  <c r="F38" i="1"/>
  <c r="E38" i="1"/>
  <c r="I37" i="1"/>
  <c r="G37" i="1"/>
  <c r="H37" i="1" s="1"/>
  <c r="F37" i="1"/>
  <c r="E37" i="1"/>
  <c r="I36" i="1"/>
  <c r="F36" i="1"/>
  <c r="E36" i="1"/>
  <c r="I35" i="1"/>
  <c r="F35" i="1"/>
  <c r="E35" i="1"/>
  <c r="I34" i="1"/>
  <c r="G34" i="1"/>
  <c r="H34" i="1" s="1"/>
  <c r="F34" i="1"/>
  <c r="E34" i="1"/>
  <c r="F33" i="1"/>
  <c r="E33" i="1"/>
  <c r="F32" i="1"/>
  <c r="E32" i="1"/>
  <c r="F31" i="1"/>
  <c r="E31" i="1"/>
  <c r="I30" i="1"/>
  <c r="F30" i="1"/>
  <c r="E30" i="1"/>
  <c r="F25" i="1"/>
  <c r="E25" i="1"/>
  <c r="D25" i="1"/>
  <c r="C25" i="1"/>
  <c r="F24" i="1"/>
  <c r="E24" i="1"/>
  <c r="D24" i="1"/>
  <c r="C24" i="1"/>
  <c r="H19" i="1"/>
  <c r="E19" i="1"/>
  <c r="D19" i="1"/>
  <c r="C19" i="1"/>
  <c r="H18" i="1"/>
  <c r="E18" i="1"/>
  <c r="D18" i="1"/>
  <c r="C18" i="1"/>
  <c r="H17" i="1"/>
  <c r="E17" i="1"/>
  <c r="D17" i="1"/>
  <c r="C17" i="1"/>
  <c r="H16" i="1"/>
  <c r="E16" i="1"/>
  <c r="D16" i="1"/>
  <c r="C16" i="1"/>
  <c r="H15" i="1"/>
  <c r="E15" i="1"/>
  <c r="D15" i="1"/>
  <c r="C15" i="1"/>
  <c r="H14" i="1"/>
  <c r="E14" i="1"/>
  <c r="D14" i="1"/>
  <c r="C14" i="1"/>
  <c r="F9" i="1"/>
  <c r="F5" i="1"/>
  <c r="D5" i="1"/>
  <c r="O201" i="2" l="1"/>
  <c r="H5" i="1"/>
  <c r="I14" i="1"/>
  <c r="D20" i="1"/>
  <c r="G18" i="1"/>
  <c r="G36" i="1"/>
  <c r="H36" i="1" s="1"/>
  <c r="I32" i="1"/>
  <c r="G39" i="1"/>
  <c r="H39" i="1" s="1"/>
  <c r="G33" i="1"/>
  <c r="H33" i="1" s="1"/>
  <c r="E20" i="1"/>
  <c r="G19" i="1"/>
  <c r="G17" i="1"/>
  <c r="C26" i="1"/>
  <c r="B5" i="1"/>
  <c r="H9" i="1" s="1"/>
  <c r="Q201" i="2"/>
  <c r="B9" i="1"/>
  <c r="I33" i="1"/>
  <c r="G38" i="1"/>
  <c r="H38" i="1" s="1"/>
  <c r="I16" i="1"/>
  <c r="O306" i="3"/>
  <c r="P158" i="2"/>
  <c r="P5" i="3"/>
  <c r="P306" i="3" s="1"/>
  <c r="G24" i="1"/>
  <c r="G20" i="1"/>
  <c r="I19" i="1"/>
  <c r="G32" i="1"/>
  <c r="H32" i="1" s="1"/>
  <c r="H44" i="1"/>
  <c r="D9" i="1"/>
  <c r="I17" i="1"/>
  <c r="R201" i="2"/>
  <c r="R306" i="3"/>
  <c r="F19" i="1"/>
  <c r="G25" i="1"/>
  <c r="F14" i="1"/>
  <c r="G30" i="1"/>
  <c r="H30" i="1" s="1"/>
  <c r="H45" i="1"/>
  <c r="F17" i="1"/>
  <c r="C20" i="1"/>
  <c r="H24" i="1" s="1"/>
  <c r="I15" i="1"/>
  <c r="H20" i="1"/>
  <c r="P74" i="2"/>
  <c r="F16" i="1"/>
  <c r="I18" i="1"/>
  <c r="H43" i="1"/>
  <c r="G35" i="1"/>
  <c r="H35" i="1" s="1"/>
  <c r="I31" i="1"/>
  <c r="G14" i="1"/>
  <c r="P4" i="2"/>
  <c r="F15" i="1"/>
  <c r="D26" i="1"/>
  <c r="P18" i="2"/>
  <c r="P26" i="2"/>
  <c r="G15" i="1"/>
  <c r="E26" i="1"/>
  <c r="H47" i="1"/>
  <c r="F18" i="1"/>
  <c r="Q306" i="3"/>
  <c r="P98" i="2"/>
  <c r="G16" i="1"/>
  <c r="F26" i="1"/>
  <c r="P39" i="2"/>
  <c r="H46" i="1"/>
  <c r="G31" i="1"/>
  <c r="H31" i="1" s="1"/>
  <c r="P201" i="2" l="1"/>
  <c r="I20" i="1"/>
  <c r="H25" i="1"/>
  <c r="H26" i="1" s="1"/>
  <c r="G26" i="1"/>
  <c r="F20" i="1"/>
</calcChain>
</file>

<file path=xl/sharedStrings.xml><?xml version="1.0" encoding="utf-8"?>
<sst xmlns="http://schemas.openxmlformats.org/spreadsheetml/2006/main" count="4741" uniqueCount="858">
  <si>
    <t>🏢 CBRE FACILITY MANAGEMENT — EQUIPMENT BREAKDOWN &amp; DOWNTIME DASHBOARD</t>
  </si>
  <si>
    <t>Real-Time Asset Reliability, Complete vs. Partial Breakdown Analysis &amp; Maintenance MTTR KPI Overview (2026)</t>
  </si>
  <si>
    <t>📋  TOTAL BREAKDOWNS</t>
  </si>
  <si>
    <t>🔴  COMPLETE BREAKDOWNS</t>
  </si>
  <si>
    <t>🟡  PARTIAL BREAKDOWNS</t>
  </si>
  <si>
    <t>🎯  RESOLUTION RATE</t>
  </si>
  <si>
    <t>Equipment breakdowns in 2026</t>
  </si>
  <si>
    <t>Full equipment shutdown</t>
  </si>
  <si>
    <t>Operational with issue (0 Downtime)</t>
  </si>
  <si>
    <t>Breakdowns resolved &amp; restored</t>
  </si>
  <si>
    <t>⏱️  TOTAL DOWNTIME</t>
  </si>
  <si>
    <t>⏳  AVERAGE MTTR (HRS)</t>
  </si>
  <si>
    <t>🚨  ACTIVE WIP / OPEN</t>
  </si>
  <si>
    <t>🛡️  FLEET RELIABILITY</t>
  </si>
  <si>
    <t>Total machine downtime hours</t>
  </si>
  <si>
    <t>Mean Time to Resolve Breakdowns</t>
  </si>
  <si>
    <t>Breakdowns pending resolution</t>
  </si>
  <si>
    <t>Breakdown resistance rate</t>
  </si>
  <si>
    <t>📊 TABLE 1: SIMPLE CATEGORY BREAKDOWN &amp; DOWNTIME SUMMARY (2026)</t>
  </si>
  <si>
    <t>Equipment Category</t>
  </si>
  <si>
    <t>Total Breakdowns</t>
  </si>
  <si>
    <t>🔴 Complete Down</t>
  </si>
  <si>
    <t>🟡 Partial Issues</t>
  </si>
  <si>
    <t>Total Downtime (Hrs)</t>
  </si>
  <si>
    <t>Avg MTTR (Hrs)</t>
  </si>
  <si>
    <t>Active WIP / Open</t>
  </si>
  <si>
    <t>% Share</t>
  </si>
  <si>
    <t>🚰 Water &amp; Plumbing</t>
  </si>
  <si>
    <t>❄️ HVAC &amp; Cooling</t>
  </si>
  <si>
    <t>⚡ Electrical &amp; Power</t>
  </si>
  <si>
    <t>🍽️ Cafeteria Equipment</t>
  </si>
  <si>
    <t>🚪 Doors &amp; Access Gates</t>
  </si>
  <si>
    <t>🚨 Fire, Safety &amp; BMS</t>
  </si>
  <si>
    <t>TOTAL / FLEET BREAKDOWNS</t>
  </si>
  <si>
    <t>⚙️ TABLE 2: OPERATIONAL BREAKDOWN SEVERITY &amp; DOWNTIME TRACKING RULES</t>
  </si>
  <si>
    <t>Operational Severity Level</t>
  </si>
  <si>
    <t>Closed</t>
  </si>
  <si>
    <t>In Progress (WIP)</t>
  </si>
  <si>
    <t>Open / Pending</t>
  </si>
  <si>
    <t>Downtime Calculation Rule / Policy Applied</t>
  </si>
  <si>
    <t>🔴 Complete Breakdown (Full Downtime)</t>
  </si>
  <si>
    <t>🔴 100% Breakdown Downtime Counted (Start to Resolution)</t>
  </si>
  <si>
    <t>🟡 Partial Breakdown (Machine Operational)</t>
  </si>
  <si>
    <t>🟡 Machine Operational - 0.0 Hrs Downtime (Not Counted)</t>
  </si>
  <si>
    <t>TOTAL</t>
  </si>
  <si>
    <t>Fleet Downtime Accounting Standard</t>
  </si>
  <si>
    <t>🏆 TABLE 3: TOP 10 CRITICAL ASSETS BY BREAKDOWN DOWNTIME (2026)</t>
  </si>
  <si>
    <t>Rank</t>
  </si>
  <si>
    <t>Equipment / Asset Name</t>
  </si>
  <si>
    <t>Primary Category</t>
  </si>
  <si>
    <t>Downtime (Days)</t>
  </si>
  <si>
    <t>#1</t>
  </si>
  <si>
    <t>RO Water System</t>
  </si>
  <si>
    <t>Water &amp; Plumbing</t>
  </si>
  <si>
    <t>#2</t>
  </si>
  <si>
    <t>Zip Tap</t>
  </si>
  <si>
    <t>#3</t>
  </si>
  <si>
    <t>CSU (Ceiling Suspended Unit)</t>
  </si>
  <si>
    <t>HVAC &amp; Cooling</t>
  </si>
  <si>
    <t>#4</t>
  </si>
  <si>
    <t>VAV (Variable Air Volume)</t>
  </si>
  <si>
    <t>#5</t>
  </si>
  <si>
    <t>Speedstile Gate</t>
  </si>
  <si>
    <t>Doors &amp; Access Gates</t>
  </si>
  <si>
    <t>#6</t>
  </si>
  <si>
    <t>BMS System</t>
  </si>
  <si>
    <t>Fire, Safety &amp; BMS</t>
  </si>
  <si>
    <t>#7</t>
  </si>
  <si>
    <t>UPS &amp; Battery System</t>
  </si>
  <si>
    <t>Electrical &amp; Power</t>
  </si>
  <si>
    <t>#8</t>
  </si>
  <si>
    <t>Toaster Machine</t>
  </si>
  <si>
    <t>Cafeteria Equipment</t>
  </si>
  <si>
    <t>#9</t>
  </si>
  <si>
    <t>Ice Maker Machine</t>
  </si>
  <si>
    <t>#10</t>
  </si>
  <si>
    <t>Dishwashing Machine</t>
  </si>
  <si>
    <t>🛠️ SERVICE PROVIDER RESOLUTION MATRIX</t>
  </si>
  <si>
    <t>📅 2026 MONTHLY BREAKDOWN &amp; RESOLUTION TREND</t>
  </si>
  <si>
    <t>Handled By</t>
  </si>
  <si>
    <t>Total Jobs</t>
  </si>
  <si>
    <t>Breakdowns</t>
  </si>
  <si>
    <t>Closed Rate</t>
  </si>
  <si>
    <t>Month (2026)</t>
  </si>
  <si>
    <t>Downtime (Hrs)</t>
  </si>
  <si>
    <t>Closure %</t>
  </si>
  <si>
    <t>In-House Team</t>
  </si>
  <si>
    <t>Jan 2026</t>
  </si>
  <si>
    <t>Vendor / OEM</t>
  </si>
  <si>
    <t>Feb 2026</t>
  </si>
  <si>
    <t>DLF / Landlord Team</t>
  </si>
  <si>
    <t>Mar 2026</t>
  </si>
  <si>
    <t>Project Team</t>
  </si>
  <si>
    <t>Apr 2026</t>
  </si>
  <si>
    <t>May 2026</t>
  </si>
  <si>
    <t>Jun 2026</t>
  </si>
  <si>
    <t>Sr. No.</t>
  </si>
  <si>
    <t>Start Date</t>
  </si>
  <si>
    <t>Start Time</t>
  </si>
  <si>
    <t>Equipment / Asset</t>
  </si>
  <si>
    <t>Category</t>
  </si>
  <si>
    <t>Location / Zone</t>
  </si>
  <si>
    <t>Nature of Breakdown / Malfunction</t>
  </si>
  <si>
    <t>Operational Impact</t>
  </si>
  <si>
    <t>Ticket No.</t>
  </si>
  <si>
    <t>Action Taken / Resolution Summary</t>
  </si>
  <si>
    <t>Status</t>
  </si>
  <si>
    <t>Closing Date</t>
  </si>
  <si>
    <t>Closing Time</t>
  </si>
  <si>
    <t>Breakdown Downtime (Hrs)</t>
  </si>
  <si>
    <t>Breakdown Downtime (Days)</t>
  </si>
  <si>
    <t>Total Lead Time (Hrs)</t>
  </si>
  <si>
    <t>Complete Breakdown Flag</t>
  </si>
  <si>
    <t>Remarks / Vendor Details</t>
  </si>
  <si>
    <t>Main Facility Floor</t>
  </si>
  <si>
    <t>Water Pressure issue</t>
  </si>
  <si>
    <t>104989</t>
  </si>
  <si>
    <t>Inspected, serviced and restored to normal operation by In-House Team</t>
  </si>
  <si>
    <t>Standard Resolution</t>
  </si>
  <si>
    <t>Zone F Floor</t>
  </si>
  <si>
    <t>Zone - F, RO Water TDS issue</t>
  </si>
  <si>
    <t>105158</t>
  </si>
  <si>
    <t>Zone A - Social Hub</t>
  </si>
  <si>
    <t>Zone A, Social hub Water Leakage issue</t>
  </si>
  <si>
    <t>106282</t>
  </si>
  <si>
    <t>Mother's Room</t>
  </si>
  <si>
    <t>Mother Room, Zip Tap Display Sensor issue</t>
  </si>
  <si>
    <t>106283</t>
  </si>
  <si>
    <t>Zone -F, RO Water TDS issue</t>
  </si>
  <si>
    <t>106572</t>
  </si>
  <si>
    <t>Light not working needs to be checked</t>
  </si>
  <si>
    <t>N/A</t>
  </si>
  <si>
    <t>Washroom Door</t>
  </si>
  <si>
    <t>Zone E - Male Washroom</t>
  </si>
  <si>
    <t>Zone - E, Male washroom door not properly close</t>
  </si>
  <si>
    <t>Repaired by inhouse team</t>
  </si>
  <si>
    <t>Cafeteria</t>
  </si>
  <si>
    <t>Cafeteria / Pantry</t>
  </si>
  <si>
    <t>Tuck shop DB earthing needs to be connected</t>
  </si>
  <si>
    <t>Social Hub 1</t>
  </si>
  <si>
    <t>Social hub 1, RO Water TDS issue</t>
  </si>
  <si>
    <t>107240</t>
  </si>
  <si>
    <t>OEM Vendor technician aligned, issue diagnosed &amp; rectified</t>
  </si>
  <si>
    <t>Vendor</t>
  </si>
  <si>
    <t>Zone 2 Floor</t>
  </si>
  <si>
    <t>Zone -2, RO Water TDS issue</t>
  </si>
  <si>
    <t>107342</t>
  </si>
  <si>
    <t>Hydraulic Table Motor</t>
  </si>
  <si>
    <t>Zone A - Workstation Floor</t>
  </si>
  <si>
    <t>Zone A, W/S 033 Hydraulic Table Remote issue</t>
  </si>
  <si>
    <t>Geyser / Water Heater</t>
  </si>
  <si>
    <t>Zone - E, male Washroom Leakage issue</t>
  </si>
  <si>
    <t>VAR Unit</t>
  </si>
  <si>
    <t>Zone F - Social Hub</t>
  </si>
  <si>
    <t>Zone -F, Social Hub VAR Machine Sound issue</t>
  </si>
  <si>
    <t>107749</t>
  </si>
  <si>
    <t>Zip Tap Display Sensor issue</t>
  </si>
  <si>
    <t>107750</t>
  </si>
  <si>
    <t>Zone A, Social Hub TDS Issue</t>
  </si>
  <si>
    <t>107751</t>
  </si>
  <si>
    <t>Bms System air quality error showing</t>
  </si>
  <si>
    <t>Washroom</t>
  </si>
  <si>
    <t>Accessible / Visitor Washroom</t>
  </si>
  <si>
    <t>Visitor washroom inline fan not working</t>
  </si>
  <si>
    <t>Soap Dispenser</t>
  </si>
  <si>
    <t>Zone -E, Female Washroom one Soap dispenser not working</t>
  </si>
  <si>
    <t>PA System</t>
  </si>
  <si>
    <t>Security Room</t>
  </si>
  <si>
    <t>Security Room, PA System Fan Faulty</t>
  </si>
  <si>
    <t>Fan Changed By Vendor</t>
  </si>
  <si>
    <t>Lighting Circuit / Fixture</t>
  </si>
  <si>
    <t>Replaced nos 2, dim lights in the social hub area of zone - F</t>
  </si>
  <si>
    <t>UPS Battery room, Battery Nos 1 has been replaced.</t>
  </si>
  <si>
    <t>Gas Suppression System (GSS)</t>
  </si>
  <si>
    <t>panel timing issue</t>
  </si>
  <si>
    <t>Earth Pit System</t>
  </si>
  <si>
    <t>Basement 2</t>
  </si>
  <si>
    <t>Basement- 2, Earthpit Re installation</t>
  </si>
  <si>
    <t>installation by vendor team</t>
  </si>
  <si>
    <t>Cafeteria, Mother room Zip tap display sensor issue</t>
  </si>
  <si>
    <t>109853</t>
  </si>
  <si>
    <t>Sensor card replaced</t>
  </si>
  <si>
    <t>Cafeteria, island bar Zip tap display sensor issue</t>
  </si>
  <si>
    <t>109856</t>
  </si>
  <si>
    <t>Cafeteria, pantry zip tap display sensor issue</t>
  </si>
  <si>
    <t>109686</t>
  </si>
  <si>
    <t>Universal controller card replaced</t>
  </si>
  <si>
    <t>Zone -E, Female washroom nos-1, soap dispenser not working</t>
  </si>
  <si>
    <t>HRT Paper Dispenser</t>
  </si>
  <si>
    <t>HRT Dispenser not Working</t>
  </si>
  <si>
    <t>Entrance Main Door</t>
  </si>
  <si>
    <t>Cafeteria door Speed issue</t>
  </si>
  <si>
    <t>Cafeteria Ro heating issue</t>
  </si>
  <si>
    <t>BMS System Licence issue</t>
  </si>
  <si>
    <t>Vendor Licence Renewal</t>
  </si>
  <si>
    <t>zone- A, social hub RO TDS Issue</t>
  </si>
  <si>
    <t>Zone - A, social hub Leakage issue</t>
  </si>
  <si>
    <t>Zone -A, Social hub RO TDS issue</t>
  </si>
  <si>
    <t>114672</t>
  </si>
  <si>
    <t>Zone B - Male Washroom</t>
  </si>
  <si>
    <t>Zone B , female washroom HRT Dispenser not Working</t>
  </si>
  <si>
    <t>Exhaust / Inline Fan</t>
  </si>
  <si>
    <t>Zone E, female washroom Inline fan noise issue</t>
  </si>
  <si>
    <t>Door Closer / Auto Mechanism</t>
  </si>
  <si>
    <t>the male washroom door in Zone E is not closing properly</t>
  </si>
  <si>
    <t>The Fire Exit Door needs to be repaired.</t>
  </si>
  <si>
    <t>Zone - E, female washroom HRT Dispenser not Working</t>
  </si>
  <si>
    <t>Cafeteria, Pantry csu chilled water line water dripping issue</t>
  </si>
  <si>
    <t>By Vendor</t>
  </si>
  <si>
    <t>Strip light Above the mirror in the male washroom in zone - B</t>
  </si>
  <si>
    <t>The VAV Data of ahu no. 3 is not showing in the Bms system.</t>
  </si>
  <si>
    <t>Resolved By Vendor</t>
  </si>
  <si>
    <t>Zone F - Accessible / Visitor Washroom</t>
  </si>
  <si>
    <t>Zone - F Accessible washroom door is not closing properly</t>
  </si>
  <si>
    <t>Zone -E, male Washroom HRT Dispenser not working</t>
  </si>
  <si>
    <t>Fire Hose Cabinet (FHC)</t>
  </si>
  <si>
    <t>Zone C Floor</t>
  </si>
  <si>
    <t>Zone - C, FHC glass is broken</t>
  </si>
  <si>
    <t>Replaced by DLF Team</t>
  </si>
  <si>
    <t>Cafeteria, Dishwash csu chilled water line water dripping issue</t>
  </si>
  <si>
    <t>Repaired by Vendor team</t>
  </si>
  <si>
    <t>Sanitary Fixture &amp; WC Flush</t>
  </si>
  <si>
    <t>Zone E, female washroom Flush plate Repair issue</t>
  </si>
  <si>
    <t>Zone E male washroom wc flash plate needs to be repaired</t>
  </si>
  <si>
    <t>Cafeteria area iceland baar juice machine power supply issue needs to be checked</t>
  </si>
  <si>
    <t>2nos light not working needs to be changed</t>
  </si>
  <si>
    <t>Zip tap leakage issue needs to be checked</t>
  </si>
  <si>
    <t>All floor 8nos VAV communication issue needs to be checked</t>
  </si>
  <si>
    <t>Zone A - Social Hub 2</t>
  </si>
  <si>
    <t>Social Hub 2 ,1 Nos light Change in Zone A</t>
  </si>
  <si>
    <t>Cafeteria, Pantry Zip Tap water leakage problem</t>
  </si>
  <si>
    <t>124663</t>
  </si>
  <si>
    <t>Nab Logo Smps DB Cleaning And 1nos connector change</t>
  </si>
  <si>
    <t>Microwave Oven</t>
  </si>
  <si>
    <t>Cafeteria microwave not working needs to be checked</t>
  </si>
  <si>
    <t>Investigation in progress; technician / spare parts aligned</t>
  </si>
  <si>
    <t>Coffee / Tea Dispenser</t>
  </si>
  <si>
    <t>Cafeteria ccd machine not working needs to be checked</t>
  </si>
  <si>
    <t>Drainage / Sump Pump</t>
  </si>
  <si>
    <t>Cafeteria Island , sum pump issue</t>
  </si>
  <si>
    <t>N\A</t>
  </si>
  <si>
    <t>Dishwash, CSU Drain line Blockage issue</t>
  </si>
  <si>
    <t>Cafeteria, Pantry Zip Tap display issue</t>
  </si>
  <si>
    <t>Fire / Heat Detector</t>
  </si>
  <si>
    <t>Heat Detector issue</t>
  </si>
  <si>
    <t>Zone -E, Female washroom nos-1, soap dispenser issue</t>
  </si>
  <si>
    <t>Cafeteria, Dish wash Fan noise issue</t>
  </si>
  <si>
    <t>Zone - B, Male washroom Door Need to repair</t>
  </si>
  <si>
    <t>Door closer Change by inhouse team</t>
  </si>
  <si>
    <t>IT Build room VAV issue</t>
  </si>
  <si>
    <t>Resolved inhouse team</t>
  </si>
  <si>
    <t>121483</t>
  </si>
  <si>
    <t>Zone B , female washroom HRT Dispenser issue</t>
  </si>
  <si>
    <t>Zone - E, Male washroom Door Need to repair</t>
  </si>
  <si>
    <t>CSU NO 2 Drain line Blockage issue</t>
  </si>
  <si>
    <t>BMS ASP Controller crash issue</t>
  </si>
  <si>
    <t>Replaced By Vendor</t>
  </si>
  <si>
    <t>Zone B Floor</t>
  </si>
  <si>
    <t>Zone B Urinal blockage &amp; leakage issue</t>
  </si>
  <si>
    <t>Zone - B male washroom mirror light Driver change work</t>
  </si>
  <si>
    <t>Cafeteria, Pantry Zip Tap RO hydro heating issue</t>
  </si>
  <si>
    <t>123012</t>
  </si>
  <si>
    <t>Reception Area</t>
  </si>
  <si>
    <t>Reception, RO TDS Issue</t>
  </si>
  <si>
    <t>123013</t>
  </si>
  <si>
    <t>Cafeteria, pantry store drain line blockage issue</t>
  </si>
  <si>
    <t>Framery / Phone Booth Pod</t>
  </si>
  <si>
    <t>Zone E - Workstation Floor</t>
  </si>
  <si>
    <t>Zone - E, Near W/s 599, POD Hydraulic Table issue</t>
  </si>
  <si>
    <t>Cafeteria Zip tap joint flexible drain pipe leakege issue</t>
  </si>
  <si>
    <t>Reception, RO sound issue</t>
  </si>
  <si>
    <t>Zone - B, Male washroom WC Flush plate change work</t>
  </si>
  <si>
    <t>Cafeteria, pantry RO Sound issue</t>
  </si>
  <si>
    <t>124052</t>
  </si>
  <si>
    <t>Zone - A Social hub, RO Sound issue</t>
  </si>
  <si>
    <t>124055</t>
  </si>
  <si>
    <t>Zone - F Social hub, RO Sound issue</t>
  </si>
  <si>
    <t>124056</t>
  </si>
  <si>
    <t>Zone - A Social hub, RO Sensor issue</t>
  </si>
  <si>
    <t>Cafeteria, pantry Zip Tap Sensor issue</t>
  </si>
  <si>
    <t>123280</t>
  </si>
  <si>
    <t>Refrigerator</t>
  </si>
  <si>
    <t>Tuck Shop Fridge Sound issue</t>
  </si>
  <si>
    <t>Vendor By Fan moter change</t>
  </si>
  <si>
    <t>Microwave Heating issue</t>
  </si>
  <si>
    <t>Vendor By Pcb Card change</t>
  </si>
  <si>
    <t>Sensor Water Tap</t>
  </si>
  <si>
    <t>Zone - E, Female Washroom Tap sensor issue</t>
  </si>
  <si>
    <t>Sensor Change by inhouse team</t>
  </si>
  <si>
    <t>Shoe Shine Machine</t>
  </si>
  <si>
    <t>Zone - E, male washroom Shoe Shine machine Not Working</t>
  </si>
  <si>
    <t>RO Machine Water leakage issue</t>
  </si>
  <si>
    <t>124275</t>
  </si>
  <si>
    <t>Resolve By Vendor</t>
  </si>
  <si>
    <t>Zone E near W/S-598, Phone Booth Hydraulic table repair work</t>
  </si>
  <si>
    <t>Ticket logged; preliminary inspection scheduled</t>
  </si>
  <si>
    <t>Open</t>
  </si>
  <si>
    <t>Reception RO Water TDS issue</t>
  </si>
  <si>
    <t>Vendor By Memorial Filter change</t>
  </si>
  <si>
    <t>Washbasin &amp; Bottle Trap</t>
  </si>
  <si>
    <t>Zone - E, Male Washroom nos 1 Washbasin Bottle trap leakage issue</t>
  </si>
  <si>
    <t>Zone - E, Female washroom WC Flush Stuck</t>
  </si>
  <si>
    <t>Resolve By inhouse Team</t>
  </si>
  <si>
    <t>Cafeteria SL 1 Door repair work done</t>
  </si>
  <si>
    <t>All zip tap RO TDS issue</t>
  </si>
  <si>
    <t>126537</t>
  </si>
  <si>
    <t>Zone - B, male washroom Shoe Shine machine Not Working</t>
  </si>
  <si>
    <t>Cafetreria coffee machine water leakage</t>
  </si>
  <si>
    <t>1071</t>
  </si>
  <si>
    <t>Zone A - Cafeteria / Pantry</t>
  </si>
  <si>
    <t>Zone A and Cafeteria area RO TDS issue</t>
  </si>
  <si>
    <t>126539</t>
  </si>
  <si>
    <t>Zone - F Social Hub, RO TDS issue</t>
  </si>
  <si>
    <t>126542</t>
  </si>
  <si>
    <t>Zone -A Social hub Drain pump Not Working</t>
  </si>
  <si>
    <t>Micro Switch &amp; Membrain replaced by Vendor</t>
  </si>
  <si>
    <t>Cafeteria, CCD Machine not working.</t>
  </si>
  <si>
    <t>Cafeteria, iceland bar Sum Pump not working</t>
  </si>
  <si>
    <t>Micro switch Changed by vendor</t>
  </si>
  <si>
    <t>Zone - B, LRR Last Cubical Towords lift side Flush Doesn't Work</t>
  </si>
  <si>
    <t>Resolved By inhouse team</t>
  </si>
  <si>
    <t>Reception RO TDS issue</t>
  </si>
  <si>
    <t>129546</t>
  </si>
  <si>
    <t>Zone F RO TDS issue</t>
  </si>
  <si>
    <t>12947</t>
  </si>
  <si>
    <t>Zone A Floor</t>
  </si>
  <si>
    <t>Zone A Drain pump water leakage issue.</t>
  </si>
  <si>
    <t>Reception reception zip tap water pressure is low.</t>
  </si>
  <si>
    <t>130284</t>
  </si>
  <si>
    <t>Resolved by vendor</t>
  </si>
  <si>
    <t>Reception caféteria zip tap water pressure is low.</t>
  </si>
  <si>
    <t>130285</t>
  </si>
  <si>
    <t>Zone-A zip tap display not working</t>
  </si>
  <si>
    <t>At the reception, RO water is coming dirty from the zip ap.</t>
  </si>
  <si>
    <t>Resolved by DLF team</t>
  </si>
  <si>
    <t>Table</t>
  </si>
  <si>
    <t>The remote of the hydraulic table at zone A w/s 32 is not working</t>
  </si>
  <si>
    <t>Resolved By inhouse Team</t>
  </si>
  <si>
    <t>Bms Demo licence expired</t>
  </si>
  <si>
    <t>Accessible Washroom</t>
  </si>
  <si>
    <t>there is an issue with the door closer of the cafeteria accessible washroom</t>
  </si>
  <si>
    <t>Zone - A social hub RO System leakage issue</t>
  </si>
  <si>
    <t>134709</t>
  </si>
  <si>
    <t>Zone E male washroom wash basin bottle leakage issue</t>
  </si>
  <si>
    <t>Zone A social hub RO TDS issue</t>
  </si>
  <si>
    <t>134498</t>
  </si>
  <si>
    <t>membrane change by vendor</t>
  </si>
  <si>
    <t>Zone A social hub Zip Tap ambient sensor not Working</t>
  </si>
  <si>
    <t>134499</t>
  </si>
  <si>
    <t>Zone - F Social hub VAR unit TDS issue</t>
  </si>
  <si>
    <t>137318</t>
  </si>
  <si>
    <t>138410</t>
  </si>
  <si>
    <t>The V belts of both csu units in the cafeteria are broken</t>
  </si>
  <si>
    <t>139321</t>
  </si>
  <si>
    <t>Zone F Social hub VAR Unit ambient sensor issue</t>
  </si>
  <si>
    <t>Wip</t>
  </si>
  <si>
    <t>Zone E male washroom HRT not working</t>
  </si>
  <si>
    <t>Ambient temp sensor issue</t>
  </si>
  <si>
    <t>139921</t>
  </si>
  <si>
    <t>Zone E, Female washroom Washbasin tap sensor not working</t>
  </si>
  <si>
    <t>Zone B - Workstation Floor</t>
  </si>
  <si>
    <t>Zone B Near W/s 145 framery pod adjustment table not working</t>
  </si>
  <si>
    <t>Zone C - Workstation Floor</t>
  </si>
  <si>
    <t>Zone C Near W/s 282 framery pod adjustment table not working</t>
  </si>
  <si>
    <t>Mother room zip tap display not working</t>
  </si>
  <si>
    <t>140614</t>
  </si>
  <si>
    <t>Cafeteria, Pantry zip tap hot water sensor not working</t>
  </si>
  <si>
    <t>140744</t>
  </si>
  <si>
    <t>Zone A, Social hub RO TDS issue</t>
  </si>
  <si>
    <t>140976</t>
  </si>
  <si>
    <t>Cafeteria, Pantry zip tap display sensor issue</t>
  </si>
  <si>
    <t>141356</t>
  </si>
  <si>
    <t>Cafeteria, Pantry zip tap Cold water sensor issue</t>
  </si>
  <si>
    <t>142373</t>
  </si>
  <si>
    <t>Power Distribution Board</t>
  </si>
  <si>
    <t>Zone A netbox power socket board change work</t>
  </si>
  <si>
    <t>Social hub 1, Dishwasher machine Door do not open properly</t>
  </si>
  <si>
    <t>Cafeteria, Pantry Zip Tap heating issue</t>
  </si>
  <si>
    <t>142735</t>
  </si>
  <si>
    <t>Zone E Floor</t>
  </si>
  <si>
    <t>Zone E Framery POD Power Adapter replacement Work</t>
  </si>
  <si>
    <t>Cafeteria, pantry Zip Tap heating issue</t>
  </si>
  <si>
    <t>143407</t>
  </si>
  <si>
    <t>Cafeteria, pantry RO Water not coming</t>
  </si>
  <si>
    <t>143802</t>
  </si>
  <si>
    <t>Motor Changed by Vendor</t>
  </si>
  <si>
    <t>MR-103 VAV Communication issue.</t>
  </si>
  <si>
    <t>MR-101,MR-102, &amp; MR-305 VAV not working properly</t>
  </si>
  <si>
    <t>Cafeteria, Accessible washroom auto swing door not working</t>
  </si>
  <si>
    <t>145385</t>
  </si>
  <si>
    <t>Cafeteria, Pantry zip tap cold water temp sensor showing high</t>
  </si>
  <si>
    <t>146380</t>
  </si>
  <si>
    <t>Sensor Changed by Vendor</t>
  </si>
  <si>
    <t>Zone - E, Male washroom HRT not working</t>
  </si>
  <si>
    <t>Resolved by inhouse team</t>
  </si>
  <si>
    <t>VESDA Smoke Detection System</t>
  </si>
  <si>
    <t>Vesda System Error showing</t>
  </si>
  <si>
    <t>Cafeteria, Tuckshop freedge compressor not working</t>
  </si>
  <si>
    <t>Zone -B , Male washroom HRT not working</t>
  </si>
  <si>
    <t>MR - 303, Door Closer issue</t>
  </si>
  <si>
    <t>Door closer changed by inhouse team</t>
  </si>
  <si>
    <t>Zone - E, Male Washroom shoe shine machine noise issue</t>
  </si>
  <si>
    <t>Scrubbing Machine</t>
  </si>
  <si>
    <t>Wire faulty issue</t>
  </si>
  <si>
    <t>Chai Point Machine not working</t>
  </si>
  <si>
    <t>Zone - B, Framery pod Hydraulic table not working</t>
  </si>
  <si>
    <t>Cafeteria, Pantry zip tap dispay Ambient temp sensor issue</t>
  </si>
  <si>
    <t>150010</t>
  </si>
  <si>
    <t>Zone - E, Female washroom HRT not working</t>
  </si>
  <si>
    <t>Cafeteria, Handwash area HRT not working</t>
  </si>
  <si>
    <t>Floor Scrubbing Machine</t>
  </si>
  <si>
    <t>Zone D Floor</t>
  </si>
  <si>
    <t>Zone - D, Scrubber VFD Connection &amp; integration work</t>
  </si>
  <si>
    <t>Entire Floor RAW Water TDS issue</t>
  </si>
  <si>
    <t>UPS Room A</t>
  </si>
  <si>
    <t>Reception, Back side Near UPS Room A 2*2 light Nos 1 blinking issue</t>
  </si>
  <si>
    <t>Zone - A, social hub dishwash machine issue</t>
  </si>
  <si>
    <t>Cafeteria, Tuck shop freedge not working</t>
  </si>
  <si>
    <t>Social Hub 2</t>
  </si>
  <si>
    <t>RO Machine Water leakage issue in F zone social hub-2</t>
  </si>
  <si>
    <t>152411</t>
  </si>
  <si>
    <t>🏢 CBRE FACILITY MANAGEMENT — HISTORICAL BREAKDOWN RECORD (2024 - 2025)</t>
  </si>
  <si>
    <t>Consolidated Archive Log | Historical Equipment Breakdown &amp; Downtime Data</t>
  </si>
  <si>
    <t>Bain Marie</t>
  </si>
  <si>
    <t>Bain Marie industrial power Socket got melt during operations.</t>
  </si>
  <si>
    <t>Rectified and normal operation restored</t>
  </si>
  <si>
    <t>Social hub 2 zip tap sensor not working</t>
  </si>
  <si>
    <t>192855</t>
  </si>
  <si>
    <t>Social hub 1 Zip Tap cold water sensor not working</t>
  </si>
  <si>
    <t>192920</t>
  </si>
  <si>
    <t>Cafeteria area zip tap water leakage issue</t>
  </si>
  <si>
    <t>198213</t>
  </si>
  <si>
    <t>Flap Barrier Gate</t>
  </si>
  <si>
    <t>Cafeteria side flap barrier not working</t>
  </si>
  <si>
    <t>201278</t>
  </si>
  <si>
    <t>Zip tap not working due to malfunction</t>
  </si>
  <si>
    <t>258285</t>
  </si>
  <si>
    <t>2836452</t>
  </si>
  <si>
    <t>F Zone zip tap water leakage issue</t>
  </si>
  <si>
    <t>2948536</t>
  </si>
  <si>
    <t>Reception area side flap barrier not working</t>
  </si>
  <si>
    <t>321267</t>
  </si>
  <si>
    <t>3012321</t>
  </si>
  <si>
    <t>331290</t>
  </si>
  <si>
    <t>F zone zip tap Not working</t>
  </si>
  <si>
    <t>198442</t>
  </si>
  <si>
    <t>Zip tap water Flow issue</t>
  </si>
  <si>
    <t>198450</t>
  </si>
  <si>
    <t>Meeting / Board Room</t>
  </si>
  <si>
    <t>Board room side flap barrier not working</t>
  </si>
  <si>
    <t>28230</t>
  </si>
  <si>
    <t>Zone F zip tap water pressure issue</t>
  </si>
  <si>
    <t>198650</t>
  </si>
  <si>
    <t>201839</t>
  </si>
  <si>
    <t>Zone F zip tap water membran need to be changed</t>
  </si>
  <si>
    <t>210235</t>
  </si>
  <si>
    <t>Café zip tap sensor not working</t>
  </si>
  <si>
    <t>221276</t>
  </si>
  <si>
    <t>218939</t>
  </si>
  <si>
    <t>A Zone water tap card not working</t>
  </si>
  <si>
    <t>219153</t>
  </si>
  <si>
    <t>Café Ro machine water leakage issue</t>
  </si>
  <si>
    <t>219312</t>
  </si>
  <si>
    <t>mother room water tap not working</t>
  </si>
  <si>
    <t>221180</t>
  </si>
  <si>
    <t>A zone pantry hot water not comeing</t>
  </si>
  <si>
    <t>221234</t>
  </si>
  <si>
    <t>Zip tap hot water issue</t>
  </si>
  <si>
    <t>221352</t>
  </si>
  <si>
    <t>221432</t>
  </si>
  <si>
    <t>F Zone pantry area zip tap not working</t>
  </si>
  <si>
    <t>221562</t>
  </si>
  <si>
    <t>221812</t>
  </si>
  <si>
    <t>221953</t>
  </si>
  <si>
    <t>Social Hub</t>
  </si>
  <si>
    <t>Social hub Zip Tap hot water not working</t>
  </si>
  <si>
    <t>216676</t>
  </si>
  <si>
    <t>Mother room water tap not working</t>
  </si>
  <si>
    <t>217292</t>
  </si>
  <si>
    <t>Social hub A sensor range setting</t>
  </si>
  <si>
    <t>Zone B female washroom inline fan noise issue</t>
  </si>
  <si>
    <t>48313</t>
  </si>
  <si>
    <t>Cafeteria side entrance door closer not working</t>
  </si>
  <si>
    <t>Social hub F Zip Tap sensor not working</t>
  </si>
  <si>
    <t>218847</t>
  </si>
  <si>
    <t>Swing Door Operator</t>
  </si>
  <si>
    <t>Accessible washroom near server room door closer not working</t>
  </si>
  <si>
    <t>332460</t>
  </si>
  <si>
    <t>UPS room A 60KVA ups 02 battery fail</t>
  </si>
  <si>
    <t>359125</t>
  </si>
  <si>
    <t>Water Leak Detection (WLD)</t>
  </si>
  <si>
    <t>critical area WLD zone not configured</t>
  </si>
  <si>
    <t>3720</t>
  </si>
  <si>
    <t>Zone B Female Washroom Inline fan noise issue</t>
  </si>
  <si>
    <t>49097</t>
  </si>
  <si>
    <t>Reception Display not working</t>
  </si>
  <si>
    <t>220839</t>
  </si>
  <si>
    <t>WLD messy wire fixing</t>
  </si>
  <si>
    <t>Cafeteria Hot water Sensor issue</t>
  </si>
  <si>
    <t>221296</t>
  </si>
  <si>
    <t>PAC (Precision Air Conditioner)</t>
  </si>
  <si>
    <t>Pac 01 not changing cycle auto mode</t>
  </si>
  <si>
    <t>379957</t>
  </si>
  <si>
    <t>Cafeteria North-west speed stile not working</t>
  </si>
  <si>
    <t>63255</t>
  </si>
  <si>
    <t>Zone E Male washroom Suction not working</t>
  </si>
  <si>
    <t>Cafeteria side Speedstile faulty Leds need to replace</t>
  </si>
  <si>
    <t>336147</t>
  </si>
  <si>
    <t>Mother's room Zip Tap display not working</t>
  </si>
  <si>
    <t>221501</t>
  </si>
  <si>
    <t>Zone E Male washroom Sensor Tap not working</t>
  </si>
  <si>
    <t>Café island bar lights blinking</t>
  </si>
  <si>
    <t>Zone f social hub Zip tap not working</t>
  </si>
  <si>
    <t>Café CSU Actuator valve not working</t>
  </si>
  <si>
    <t>Café island bar Zip Tap Leakage issue</t>
  </si>
  <si>
    <t>222116</t>
  </si>
  <si>
    <t>Cafeteria one microwave not working</t>
  </si>
  <si>
    <t>Zone F accessible washroom drain line blockage</t>
  </si>
  <si>
    <t>Near mail room speed stile glass loose</t>
  </si>
  <si>
    <t>488477</t>
  </si>
  <si>
    <t>Reception area Zip Tap leakage issue</t>
  </si>
  <si>
    <t>Zone F social hub Zip tap not working</t>
  </si>
  <si>
    <t>Dishwasher machine Not working</t>
  </si>
  <si>
    <t>Ahu 1 all VAV CFM shows Zero value</t>
  </si>
  <si>
    <t>Near board room wide lane speed stile not working</t>
  </si>
  <si>
    <t>341132</t>
  </si>
  <si>
    <t>Csu 01 actuator motor replacement</t>
  </si>
  <si>
    <t>Social Hub 01</t>
  </si>
  <si>
    <t>Social hub 01 Zip Tap leakage issue</t>
  </si>
  <si>
    <t>223884</t>
  </si>
  <si>
    <t>Fire Alarm System Panel</t>
  </si>
  <si>
    <t>37nos Troubles showing in panel</t>
  </si>
  <si>
    <t>Cafeteria Zip Tap sensor not working</t>
  </si>
  <si>
    <t>223975</t>
  </si>
  <si>
    <t>Tuckshop and pantry area fridge cooling issue</t>
  </si>
  <si>
    <t>Accessible washroom near server room Soap dispenser not working</t>
  </si>
  <si>
    <t>PAC 01 showing low superhit alarm</t>
  </si>
  <si>
    <t>423295</t>
  </si>
  <si>
    <t>Visitor washroom drain pump not working</t>
  </si>
  <si>
    <t>Café dishwash area geyser not working</t>
  </si>
  <si>
    <t>Fire Extinguisher</t>
  </si>
  <si>
    <t>Zone A and B 2 Nos fire extinguisher pressure low</t>
  </si>
  <si>
    <t>Zone F 1 Nos Hydraulic table in Pod not working</t>
  </si>
  <si>
    <t>AHU (Air Handling Unit)</t>
  </si>
  <si>
    <t>Noise issue in Ahu 3 from AC ducts</t>
  </si>
  <si>
    <t>Trouble showing in FAS software</t>
  </si>
  <si>
    <t>Accessible washroom door is not working</t>
  </si>
  <si>
    <t>347600</t>
  </si>
  <si>
    <t>Zone E gents washroom water tap is not working</t>
  </si>
  <si>
    <t>C24122002894560</t>
  </si>
  <si>
    <t>Social hub 2 dishwash machine not working</t>
  </si>
  <si>
    <t>Zone f social hub Zip tap sensor not working</t>
  </si>
  <si>
    <t>Cafeteria zip tap movement work</t>
  </si>
  <si>
    <t>Mothers room zip tap not working</t>
  </si>
  <si>
    <t>Cafteteria zip tap hot water not coming</t>
  </si>
  <si>
    <t>Hand Sanitizer</t>
  </si>
  <si>
    <t>Reception hand sanitizer plate chage</t>
  </si>
  <si>
    <t>Cafteteria hand sanitizer not working</t>
  </si>
  <si>
    <t>Zone E gents washroom HRT Not working</t>
  </si>
  <si>
    <t>Zone E - Female Washroom</t>
  </si>
  <si>
    <t>Zone E ladies washroom HRT dispenser is not working</t>
  </si>
  <si>
    <t>Cafeteria speed stiles not working</t>
  </si>
  <si>
    <t>UPS room A WLD false alarm issue</t>
  </si>
  <si>
    <t>UPS Room B</t>
  </si>
  <si>
    <t>UPS room B VESDA is showing low flow alarm</t>
  </si>
  <si>
    <t>Mother room water lekage issue from geyser</t>
  </si>
  <si>
    <t>Zone E ladies washroom hot water is not coming</t>
  </si>
  <si>
    <t>Façade</t>
  </si>
  <si>
    <t>Façade glass needs to be check by DLF team</t>
  </si>
  <si>
    <t>Zone B - Female Washroom</t>
  </si>
  <si>
    <t>Zone B ladies washroom bottal trap needs to be fixed</t>
  </si>
  <si>
    <t>Fire Exit Door</t>
  </si>
  <si>
    <t>Fire exit door is not working</t>
  </si>
  <si>
    <t>Passenger Elevator</t>
  </si>
  <si>
    <t>M-elevator handle needs to be fixed</t>
  </si>
  <si>
    <t>Reception area zip tap is not working</t>
  </si>
  <si>
    <t>228778</t>
  </si>
  <si>
    <t>Zone A social hub area zip tap is not working</t>
  </si>
  <si>
    <t>228779</t>
  </si>
  <si>
    <t>Zone D near WS 335 and 384 POD desk hydraulic is not working</t>
  </si>
  <si>
    <t>Reception side zip tap is not working</t>
  </si>
  <si>
    <t>228798</t>
  </si>
  <si>
    <t>Reception side accessible wasshroom door not working</t>
  </si>
  <si>
    <t>Trafic and pittogram light is not working</t>
  </si>
  <si>
    <t>Zone D near WS 335,384 and 627 POD desk hydraulic is not working</t>
  </si>
  <si>
    <t>Zone F zip tap hot water sensor is not working</t>
  </si>
  <si>
    <t>229282</t>
  </si>
  <si>
    <t>Iceland bar zip tap is not working</t>
  </si>
  <si>
    <t>229283</t>
  </si>
  <si>
    <t>Social hub 2 Ice cube machine is not working</t>
  </si>
  <si>
    <t>229353</t>
  </si>
  <si>
    <t>Zone A Speedstile is not working</t>
  </si>
  <si>
    <t>Zone A - Male Washroom</t>
  </si>
  <si>
    <t>Zone A gents washroom exaust fan is not working properly</t>
  </si>
  <si>
    <t>Dishwash room CSU leakage issue</t>
  </si>
  <si>
    <t>Zone F zip tap Ambient water sensor is not working</t>
  </si>
  <si>
    <t>229761</t>
  </si>
  <si>
    <t>Zone A - Social Hub 1</t>
  </si>
  <si>
    <t>Zone A social hub 1 water flow is low</t>
  </si>
  <si>
    <t>229762</t>
  </si>
  <si>
    <t>Chair</t>
  </si>
  <si>
    <t>Workstation Floor</t>
  </si>
  <si>
    <t>4nos Workstation chair found faulty</t>
  </si>
  <si>
    <t>229946</t>
  </si>
  <si>
    <t>Cafeteria Accessible washroom door not working</t>
  </si>
  <si>
    <t>Reception area hydropac has sound issue</t>
  </si>
  <si>
    <t>Accessiblw washroom door not working</t>
  </si>
  <si>
    <t>Cafeteria zip tap not working</t>
  </si>
  <si>
    <t>Zone F social hub microwave is not working</t>
  </si>
  <si>
    <t>water leakage issue in Social hub 1</t>
  </si>
  <si>
    <t>232566</t>
  </si>
  <si>
    <t>water leakage issue in reception zip tap</t>
  </si>
  <si>
    <t>232567</t>
  </si>
  <si>
    <t>230275</t>
  </si>
  <si>
    <t>Zone D - Social Hub</t>
  </si>
  <si>
    <t>Zone D social hub dacorative light is not working</t>
  </si>
  <si>
    <t>VAV CFM is not showing in BMS system</t>
  </si>
  <si>
    <t>Cafeteria Zip tap ambient temperatur sensor is not working</t>
  </si>
  <si>
    <t>245676</t>
  </si>
  <si>
    <t>Cafeteria Flap Barrier is viberating &amp; sound issue</t>
  </si>
  <si>
    <t>Zone F - Social Hub 2</t>
  </si>
  <si>
    <t>Zone F social hub 2 VAR unit cold water temperture issue</t>
  </si>
  <si>
    <t>38075</t>
  </si>
  <si>
    <t>HVAC System</t>
  </si>
  <si>
    <t>AHU room 2 fire damper is not working</t>
  </si>
  <si>
    <t>Phone booth POD stands is loose</t>
  </si>
  <si>
    <t>Accessible washroom swing door is not working</t>
  </si>
  <si>
    <t>Speedstile door is not working is cafeteria</t>
  </si>
  <si>
    <t>Cafeteria pantry zip tap water leakage issue</t>
  </si>
  <si>
    <t>38849</t>
  </si>
  <si>
    <t>38894</t>
  </si>
  <si>
    <t>39434</t>
  </si>
  <si>
    <t>Mother room Ro zip tap is not working</t>
  </si>
  <si>
    <t>38436</t>
  </si>
  <si>
    <t>Cafeteria pantry zip tap is not working</t>
  </si>
  <si>
    <t>Cafeteria zip tap display is not wworking</t>
  </si>
  <si>
    <t>39956</t>
  </si>
  <si>
    <t>Wall mounted fan is not working</t>
  </si>
  <si>
    <t>VAR unit hot water is not working</t>
  </si>
  <si>
    <t>39902</t>
  </si>
  <si>
    <t>39903</t>
  </si>
  <si>
    <t>Zone F social hub 2 zip tap water leakage issue</t>
  </si>
  <si>
    <t>39904</t>
  </si>
  <si>
    <t>False alarm detected</t>
  </si>
  <si>
    <t>Reception area Speedstile not working issue</t>
  </si>
  <si>
    <t>Dishwash room CSU drain line blockage issue</t>
  </si>
  <si>
    <t>Fire Panel Trubble check</t>
  </si>
  <si>
    <t>Zone E gents washroom drainline blockage issue</t>
  </si>
  <si>
    <t>ZoneF social hub zip tap water leakage issue</t>
  </si>
  <si>
    <t>47412</t>
  </si>
  <si>
    <t>Workstation#455 chair hydraulic lock is not working</t>
  </si>
  <si>
    <t>Cafetera one microwave Heating Issue</t>
  </si>
  <si>
    <t>Zone E Female washroom sensor tap Not working</t>
  </si>
  <si>
    <t>Faulty sensor has been replaced</t>
  </si>
  <si>
    <t>Zone E Male washroom one sensor tap Not working</t>
  </si>
  <si>
    <t>Social hub 1 Ice maker machine not working</t>
  </si>
  <si>
    <t>Zone E male washroom HRT Dispenser not working</t>
  </si>
  <si>
    <t>Zone F social Hub Dishwasher area leakge issue</t>
  </si>
  <si>
    <t>Social hub 2 Ice maker machine not working</t>
  </si>
  <si>
    <t>Social hub 2 VAR unit Is not working.</t>
  </si>
  <si>
    <t>57513</t>
  </si>
  <si>
    <t>Cafeteria zip tap sound issue</t>
  </si>
  <si>
    <t>57514</t>
  </si>
  <si>
    <t>Social hub 2 VAR unit leakage issue</t>
  </si>
  <si>
    <t>58655</t>
  </si>
  <si>
    <t>Environmental Sensor</t>
  </si>
  <si>
    <t>Server Room</t>
  </si>
  <si>
    <t>Out of Server room Humidity and Temperature display not working</t>
  </si>
  <si>
    <t>50nos Trouble showing in Fire Panel</t>
  </si>
  <si>
    <t>Metting room 301 VAV thermostate is not working</t>
  </si>
  <si>
    <t>Cafetria ZIP tap is not working</t>
  </si>
  <si>
    <t>58996</t>
  </si>
  <si>
    <t>BMS system CPU is not working</t>
  </si>
  <si>
    <t>Social hub 2 zip tap is not working</t>
  </si>
  <si>
    <t>60815</t>
  </si>
  <si>
    <t>AHU 3 duct pressure issue</t>
  </si>
  <si>
    <t>Glass Door</t>
  </si>
  <si>
    <t>Cafeteria Entrance door Closing issue</t>
  </si>
  <si>
    <t>Cafeteria Toaster Motor Defective issue</t>
  </si>
  <si>
    <t>Zone - F Social Hub ice machine Solenoid Valve Defective</t>
  </si>
  <si>
    <t>Vendor aligned</t>
  </si>
  <si>
    <t>Server room pac no- 1 lp alarm issue</t>
  </si>
  <si>
    <t>Reception zip tap water leakage issue</t>
  </si>
  <si>
    <t>65444</t>
  </si>
  <si>
    <t>Washrooms ceiling grazer faulty lights Repair</t>
  </si>
  <si>
    <t>10343472</t>
  </si>
  <si>
    <t>GSS Panel timeing issue</t>
  </si>
  <si>
    <t>710123146</t>
  </si>
  <si>
    <t>Cafeteria speed stile trafic light is not working</t>
  </si>
  <si>
    <t>Zone E ladies washroom pad vending machine is not working</t>
  </si>
  <si>
    <t>PCB has been changed</t>
  </si>
  <si>
    <t>Zone -A Social hub zip tap ambient sensor issue</t>
  </si>
  <si>
    <t>65732</t>
  </si>
  <si>
    <t>Bms system login error issue</t>
  </si>
  <si>
    <t>Dish wash room dish wash machine proper not working</t>
  </si>
  <si>
    <t>Server room operational gss cylinder Pressure low issue</t>
  </si>
  <si>
    <t>Some vav faulty issue</t>
  </si>
  <si>
    <t>Accessible washroom door is not working infront of server room</t>
  </si>
  <si>
    <t>Near mail room narrow lane speed stile display is showing cross</t>
  </si>
  <si>
    <t>Accessible washroom door is not working infront of dishwash room</t>
  </si>
  <si>
    <t>Cafeteria pantry mother room side zip tap ambient water sensor is not working</t>
  </si>
  <si>
    <t>Aannouncement switch number 2(real earthquick) is not working</t>
  </si>
  <si>
    <t>Café pantry aqua tap ambiant water sensor not working</t>
  </si>
  <si>
    <t>69392</t>
  </si>
  <si>
    <t>Fragrance Dispenser</t>
  </si>
  <si>
    <t>Zone E gents washroom fregrance dispenser is not working</t>
  </si>
  <si>
    <t>Social hub 1 one microwave is not working</t>
  </si>
  <si>
    <t>Social hub 1, 2 nos light is not working</t>
  </si>
  <si>
    <t>Cafeteria 1 mocrowave has sound issue</t>
  </si>
  <si>
    <t>Visitor washroom fregrance dispenser is not working</t>
  </si>
  <si>
    <t>All faulty VAV and thermostate check</t>
  </si>
  <si>
    <t>Social hub 2 drain pump is not working</t>
  </si>
  <si>
    <t>74111</t>
  </si>
  <si>
    <t>Meeting room 103 VAV is not working</t>
  </si>
  <si>
    <t>PAC unit 1 Compresser pressor is low</t>
  </si>
  <si>
    <t>Fire flow switch activated in zone B</t>
  </si>
  <si>
    <t>DPT sensor connectivity</t>
  </si>
  <si>
    <t>Telephone Line</t>
  </si>
  <si>
    <t>Reception telephone is not working</t>
  </si>
  <si>
    <t>Emergancy UPS 2 nos battery has issue</t>
  </si>
  <si>
    <t>Gents washroom zone E one water tap is not working</t>
  </si>
  <si>
    <t>Reception zip tap sensor is not working</t>
  </si>
  <si>
    <t>74231</t>
  </si>
  <si>
    <t>Dishwash machine is not working properly</t>
  </si>
  <si>
    <t>Two door fridge is not working</t>
  </si>
  <si>
    <t>Socila hub 2 one drain pump is not working properly</t>
  </si>
  <si>
    <t>CSU VFD voltage dropping issue</t>
  </si>
  <si>
    <t>CO2 sensor not working</t>
  </si>
  <si>
    <t>Zone E gents washroom door is not working</t>
  </si>
  <si>
    <t>Reception door is not working</t>
  </si>
  <si>
    <t>Board room VAV is not working</t>
  </si>
  <si>
    <t>Meeting room 106 door is not working properly</t>
  </si>
  <si>
    <t>Cafeteria Service side door is not working</t>
  </si>
  <si>
    <t>TDS level is high</t>
  </si>
  <si>
    <t>Zone A socila hub coffee achine is not working</t>
  </si>
  <si>
    <t>Male Washroom</t>
  </si>
  <si>
    <t>Gents washroom main door is not working</t>
  </si>
  <si>
    <t>PAC unit 1 copper pipe insulation</t>
  </si>
  <si>
    <t>UPS Room</t>
  </si>
  <si>
    <t>UPS room temperature and humidity sensor calibration</t>
  </si>
  <si>
    <t>2025-09-20 00:00:00</t>
  </si>
  <si>
    <t>Social hub 1 Zip tap ambient water sensor is not working</t>
  </si>
  <si>
    <t>95926</t>
  </si>
  <si>
    <t>86219</t>
  </si>
  <si>
    <t>Meeting room 103, 105, 305, 306 VAV is not working</t>
  </si>
  <si>
    <t>Reception main entrance door is not working</t>
  </si>
  <si>
    <t>CSU number 1 is not working</t>
  </si>
  <si>
    <t>Cafeteria flap barier narow lane trafic light is not working</t>
  </si>
  <si>
    <t>88255</t>
  </si>
  <si>
    <t>Social hub 2 VAR unit TDS modulator is not working</t>
  </si>
  <si>
    <t>88256</t>
  </si>
  <si>
    <t>Reception area RO machine sound issue</t>
  </si>
  <si>
    <t>88756</t>
  </si>
  <si>
    <t>Social hub 2 coffee machine is not working</t>
  </si>
  <si>
    <t>PAC copper pipe insulation</t>
  </si>
  <si>
    <t>Social hub 1 RO machine is not working</t>
  </si>
  <si>
    <t>89236</t>
  </si>
  <si>
    <t>Dish wash Machine check work</t>
  </si>
  <si>
    <t>21780</t>
  </si>
  <si>
    <t>Leakage problem</t>
  </si>
  <si>
    <t>21775</t>
  </si>
  <si>
    <t>RO is not working</t>
  </si>
  <si>
    <t>91900</t>
  </si>
  <si>
    <t>Dishwash machine work</t>
  </si>
  <si>
    <t>45308</t>
  </si>
  <si>
    <t>TDS Issue</t>
  </si>
  <si>
    <t>92854</t>
  </si>
  <si>
    <t>Display not working</t>
  </si>
  <si>
    <t>92778</t>
  </si>
  <si>
    <t>TDS High</t>
  </si>
  <si>
    <t>92779</t>
  </si>
  <si>
    <t>Ambinet senser direct</t>
  </si>
  <si>
    <t>92780</t>
  </si>
  <si>
    <t>Fresh Air Unit</t>
  </si>
  <si>
    <t>VAV not workig</t>
  </si>
  <si>
    <t>57834</t>
  </si>
  <si>
    <t>Gas Suppression System</t>
  </si>
  <si>
    <t>Gas Supression system</t>
  </si>
  <si>
    <t>455</t>
  </si>
  <si>
    <t>BMS system demo License will expire renue work</t>
  </si>
  <si>
    <t>94216</t>
  </si>
  <si>
    <t>Tap card not working</t>
  </si>
  <si>
    <t>25227</t>
  </si>
  <si>
    <t>25066</t>
  </si>
  <si>
    <t>Tower issue solved unit work</t>
  </si>
  <si>
    <t>44840</t>
  </si>
  <si>
    <t>Cafeteria Pantry zip tap sensor display is not working</t>
  </si>
  <si>
    <t>95559</t>
  </si>
  <si>
    <t>95560</t>
  </si>
  <si>
    <t>Coffee machine is not working is cafeteria</t>
  </si>
  <si>
    <t>Fire panel timing issue</t>
  </si>
  <si>
    <t>Cafeteria, Island bar Zip Tap Display Not Working</t>
  </si>
  <si>
    <t>Zone A social hub, Water TDS issue</t>
  </si>
  <si>
    <t>96729</t>
  </si>
  <si>
    <t>Reception RO machine TDS issue</t>
  </si>
  <si>
    <t>96876</t>
  </si>
  <si>
    <t>Zone A Social Hub RO machine TDS issue</t>
  </si>
  <si>
    <t>96883</t>
  </si>
  <si>
    <t>Cafeteria, Flapbarier Picto Gram Light issue</t>
  </si>
  <si>
    <t>Zone A Social hub, RO Water TDS issue</t>
  </si>
  <si>
    <t>97111</t>
  </si>
  <si>
    <t>Reception, RO Water TDS issue</t>
  </si>
  <si>
    <t>97112</t>
  </si>
  <si>
    <t>Mother Room, RO TDS issue</t>
  </si>
  <si>
    <t>97129</t>
  </si>
  <si>
    <t>Bms System is Showing loss of Air Flow Alarm in PAC 2</t>
  </si>
  <si>
    <t>Fire Damper</t>
  </si>
  <si>
    <t>AHU 2 One Fire Damper has an issue, AHU is not turned off while damper is off mode</t>
  </si>
  <si>
    <t>Zone A, Social Hub Zip Tap water is Coming Slow</t>
  </si>
  <si>
    <t>97580</t>
  </si>
  <si>
    <t>Zone A, Social Hub Zip tap Display Sensor issue</t>
  </si>
  <si>
    <t>97807</t>
  </si>
  <si>
    <t>Reception, RO TDS issue</t>
  </si>
  <si>
    <t>97809</t>
  </si>
  <si>
    <t>97810</t>
  </si>
  <si>
    <t>98756</t>
  </si>
  <si>
    <t>Zone -B, Female Washroom Water Dripping From Geyser Line</t>
  </si>
  <si>
    <t>Reception, R.O Water Leakage &amp; Cold Sensor Not Working</t>
  </si>
  <si>
    <t>99000</t>
  </si>
  <si>
    <t>Cafeteria,Pantry Water is Continuously Coming From The zip Tap</t>
  </si>
  <si>
    <t>100075</t>
  </si>
  <si>
    <t>Mother Room, Zip Tap Display Ambient Sensor issue</t>
  </si>
  <si>
    <t>100076</t>
  </si>
  <si>
    <t>Cafeteria,Pantry CSU Chilled water Line Water Droping issue</t>
  </si>
  <si>
    <t>Cafeteria, island bar RO Water Leakage issue</t>
  </si>
  <si>
    <t>100970</t>
  </si>
  <si>
    <t>Zone-A, Social Hub RO TDS issue</t>
  </si>
  <si>
    <t>100972</t>
  </si>
  <si>
    <t>Cafeteria, Pantry RO Hot water leakage issue</t>
  </si>
  <si>
    <t>101119</t>
  </si>
  <si>
    <t>Cafeteria, Pantry RO water leakage issue</t>
  </si>
  <si>
    <t>101439</t>
  </si>
  <si>
    <t>Zone A, Social Hub Water is Coming out Slowly From the zip tap</t>
  </si>
  <si>
    <t>102817</t>
  </si>
  <si>
    <t>Cafeteria, Pantry Water leakage issue</t>
  </si>
  <si>
    <t>103064</t>
  </si>
  <si>
    <t>103065</t>
  </si>
  <si>
    <t>Cafeteria, Mother Room Zip tap Display Sensor issue</t>
  </si>
  <si>
    <t>103066</t>
  </si>
  <si>
    <t>Cafeteria, Pantry Zip Tap Display Ambient Sensor issue</t>
  </si>
  <si>
    <t>103067</t>
  </si>
  <si>
    <t>Reception, Zip Tap hot water Pressure issue</t>
  </si>
  <si>
    <t>13327</t>
  </si>
  <si>
    <t>Cafeteria, Pantry Leakage issue</t>
  </si>
  <si>
    <t>103483</t>
  </si>
  <si>
    <t>104036</t>
  </si>
  <si>
    <t>Cafeteria, Pantry Zip tap Display Ambient Sensor issue</t>
  </si>
  <si>
    <t>104037</t>
  </si>
  <si>
    <t>104038</t>
  </si>
  <si>
    <t>Hot Food Trolley</t>
  </si>
  <si>
    <t>Cafeteria, Pantry Hot Food Trolley Not Working</t>
  </si>
  <si>
    <t>104631</t>
  </si>
  <si>
    <t>Simple Category List</t>
  </si>
  <si>
    <t>Operational Impact / Severity</t>
  </si>
  <si>
    <t>Status Options</t>
  </si>
  <si>
    <t>Handled By / Service Provider</t>
  </si>
  <si>
    <t>Pending Spare Parts</t>
  </si>
  <si>
    <t>🏢 CBRE— EQUIPMENT BREAKDOWN TRACKER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</si>
</sst>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5" formatCode="dd\-mmm\-yyyy"/>
    <numFmt numFmtId="166" formatCode="hh:mm\ AM/PM"/>
    <numFmt numFmtId="167" formatCode="0.0"/>
    <numFmt numFmtId="168" formatCode="0.0%"/>
    <numFmt numFmtId="169" formatCode="#,##0.0\ &quot;Hrs&quot;"/>
    <numFmt numFmtId="170" formatCode="0.0\ &quot;Hrs&quot;"/>
    <numFmt numFmtId="171" formatCode="#,##0.0"/>
  </numFmts>
  <fonts count="36">
    <font>
      <sz val="11"/>
      <color theme="1"/>
      <name val="Calibri"/>
      <family val="2"/>
      <scheme val="minor"/>
    </font>
    <font>
      <b/>
      <sz val="11"/>
      <color rgb="FFFFFFFF"/>
      <name val="Segoe UI"/>
    </font>
    <font>
      <sz val="10"/>
      <name val="Segoe UI"/>
    </font>
    <font>
      <b/>
      <sz val="15"/>
      <color rgb="FFFFFFFF"/>
      <name val="Segoe UI"/>
    </font>
    <font>
      <i/>
      <sz val="10"/>
      <color rgb="FFCBD5E1"/>
      <name val="Segoe UI"/>
    </font>
    <font>
      <b/>
      <sz val="10.5"/>
      <color rgb="FFFFFFFF"/>
      <name val="Segoe UI"/>
    </font>
    <font>
      <b/>
      <sz val="10"/>
      <color rgb="FF0F2537"/>
      <name val="Segoe UI"/>
    </font>
    <font>
      <b/>
      <sz val="10"/>
      <name val="Segoe UI"/>
    </font>
    <font>
      <b/>
      <sz val="9"/>
      <color rgb="FF1B365D"/>
      <name val="Segoe UI"/>
    </font>
    <font>
      <b/>
      <sz val="17"/>
      <color rgb="FF0F2537"/>
      <name val="Segoe UI"/>
    </font>
    <font>
      <i/>
      <sz val="8.5"/>
      <color rgb="FF64748B"/>
      <name val="Segoe UI"/>
    </font>
    <font>
      <b/>
      <sz val="9"/>
      <color rgb="FFDC2626"/>
      <name val="Segoe UI"/>
    </font>
    <font>
      <b/>
      <sz val="17"/>
      <color rgb="FFB91C1C"/>
      <name val="Segoe UI"/>
    </font>
    <font>
      <b/>
      <sz val="9"/>
      <color rgb="FFD97706"/>
      <name val="Segoe UI"/>
    </font>
    <font>
      <b/>
      <sz val="17"/>
      <color rgb="FFB45309"/>
      <name val="Segoe UI"/>
    </font>
    <font>
      <b/>
      <sz val="9"/>
      <color rgb="FF16A34A"/>
      <name val="Segoe UI"/>
    </font>
    <font>
      <b/>
      <sz val="17"/>
      <color rgb="FF15803D"/>
      <name val="Segoe UI"/>
    </font>
    <font>
      <b/>
      <sz val="9"/>
      <color rgb="FF2563EB"/>
      <name val="Segoe UI"/>
    </font>
    <font>
      <b/>
      <sz val="17"/>
      <color rgb="FF1D4ED8"/>
      <name val="Segoe UI"/>
    </font>
    <font>
      <b/>
      <sz val="9"/>
      <color rgb="FF9333EA"/>
      <name val="Segoe UI"/>
    </font>
    <font>
      <b/>
      <sz val="17"/>
      <color rgb="FF7E22CE"/>
      <name val="Segoe UI"/>
    </font>
    <font>
      <b/>
      <sz val="9"/>
      <color rgb="FFE11D48"/>
      <name val="Segoe UI"/>
    </font>
    <font>
      <b/>
      <sz val="17"/>
      <color rgb="FFBE123C"/>
      <name val="Segoe UI"/>
    </font>
    <font>
      <b/>
      <sz val="10"/>
      <color rgb="FFFFFFFF"/>
      <name val="Segoe UI"/>
    </font>
    <font>
      <b/>
      <sz val="10"/>
      <color rgb="FFB91C1C"/>
      <name val="Segoe UI"/>
    </font>
    <font>
      <sz val="10"/>
      <color rgb="FFB45309"/>
      <name val="Segoe UI"/>
    </font>
    <font>
      <b/>
      <sz val="10"/>
      <color rgb="FF1D4ED8"/>
      <name val="Segoe UI"/>
    </font>
    <font>
      <i/>
      <sz val="9.5"/>
      <color rgb="FF334155"/>
      <name val="Segoe UI"/>
    </font>
    <font>
      <b/>
      <sz val="10"/>
      <color rgb="FFB45309"/>
      <name val="Segoe UI"/>
    </font>
    <font>
      <b/>
      <sz val="9"/>
      <color rgb="FFFFFFFF"/>
      <name val="Segoe UI"/>
    </font>
    <font>
      <sz val="9.5"/>
      <color rgb="FF475569"/>
      <name val="Segoe UI"/>
    </font>
    <font>
      <b/>
      <sz val="9.5"/>
      <color rgb="FFFFFFFF"/>
      <name val="Segoe UI"/>
    </font>
    <font>
      <b/>
      <sz val="9.5"/>
      <name val="Segoe UI"/>
    </font>
    <font>
      <sz val="9.5"/>
      <name val="Segoe UI"/>
    </font>
    <font>
      <b/>
      <sz val="9.5"/>
      <color rgb="FFB91C1C"/>
      <name val="Segoe UI"/>
    </font>
    <font>
      <b/>
      <sz val="9.5"/>
      <color rgb="FF1D4ED8"/>
      <name val="Segoe UI"/>
    </font>
  </fonts>
  <fills count="13">
    <fill>
      <patternFill patternType="none"/>
    </fill>
    <fill>
      <patternFill patternType="gray125"/>
    </fill>
    <fill>
      <patternFill patternType="solid">
        <fgColor rgb="FF1B365D"/>
        <bgColor rgb="FF1B365D"/>
      </patternFill>
    </fill>
    <fill>
      <patternFill patternType="solid">
        <fgColor rgb="FF0F2537"/>
        <bgColor rgb="FF0F2537"/>
      </patternFill>
    </fill>
    <fill>
      <patternFill patternType="solid">
        <fgColor rgb="FFFFFFFF"/>
        <bgColor rgb="FFFFFFFF"/>
      </patternFill>
    </fill>
    <fill>
      <patternFill patternType="solid">
        <fgColor rgb="FFF8FAFC"/>
        <bgColor rgb="FFF8FAFC"/>
      </patternFill>
    </fill>
    <fill>
      <patternFill patternType="solid">
        <fgColor rgb="FFFEF2F2"/>
        <bgColor rgb="FFFEF2F2"/>
      </patternFill>
    </fill>
    <fill>
      <patternFill patternType="solid">
        <fgColor rgb="FFFFFBEB"/>
        <bgColor rgb="FFFFFBEB"/>
      </patternFill>
    </fill>
    <fill>
      <patternFill patternType="solid">
        <fgColor rgb="FFF0FDF4"/>
        <bgColor rgb="FFF0FDF4"/>
      </patternFill>
    </fill>
    <fill>
      <patternFill patternType="solid">
        <fgColor rgb="FFEFF6FF"/>
        <bgColor rgb="FFEFF6FF"/>
      </patternFill>
    </fill>
    <fill>
      <patternFill patternType="solid">
        <fgColor rgb="FFFAF5FF"/>
        <bgColor rgb="FFFAF5FF"/>
      </patternFill>
    </fill>
    <fill>
      <patternFill patternType="solid">
        <fgColor rgb="FFFFF1F2"/>
        <bgColor rgb="FFFFF1F2"/>
      </patternFill>
    </fill>
    <fill>
      <patternFill patternType="solid">
        <fgColor rgb="FF2C3E50"/>
        <bgColor rgb="FF2C3E50"/>
      </patternFill>
    </fill>
  </fills>
  <borders count="23">
    <border>
      <left/>
      <right/>
      <top/>
      <bottom/>
      <diagonal/>
    </border>
    <border>
      <left style="medium">
        <color rgb="FF1B365D"/>
      </left>
      <right style="medium">
        <color rgb="FF1B365D"/>
      </right>
      <top style="medium">
        <color rgb="FF1B365D"/>
      </top>
      <bottom style="medium">
        <color rgb="FF1B365D"/>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1B365D"/>
      </top>
      <bottom style="double">
        <color rgb="FF1B365D"/>
      </bottom>
      <diagonal/>
    </border>
    <border>
      <left style="thin">
        <color rgb="FF94A3B8"/>
      </left>
      <right/>
      <top style="medium">
        <color rgb="FF1B365D"/>
      </top>
      <bottom/>
      <diagonal/>
    </border>
    <border>
      <left/>
      <right style="thin">
        <color rgb="FF94A3B8"/>
      </right>
      <top style="medium">
        <color rgb="FF1B365D"/>
      </top>
      <bottom/>
      <diagonal/>
    </border>
    <border>
      <left style="thin">
        <color rgb="FF94A3B8"/>
      </left>
      <right/>
      <top/>
      <bottom/>
      <diagonal/>
    </border>
    <border>
      <left/>
      <right style="thin">
        <color rgb="FF94A3B8"/>
      </right>
      <top/>
      <bottom/>
      <diagonal/>
    </border>
    <border>
      <left style="thin">
        <color rgb="FF94A3B8"/>
      </left>
      <right/>
      <top/>
      <bottom style="thin">
        <color rgb="FF94A3B8"/>
      </bottom>
      <diagonal/>
    </border>
    <border>
      <left/>
      <right style="thin">
        <color rgb="FF94A3B8"/>
      </right>
      <top/>
      <bottom style="thin">
        <color rgb="FF94A3B8"/>
      </bottom>
      <diagonal/>
    </border>
    <border>
      <left style="thin">
        <color rgb="FF94A3B8"/>
      </left>
      <right/>
      <top style="medium">
        <color rgb="FFDC2626"/>
      </top>
      <bottom/>
      <diagonal/>
    </border>
    <border>
      <left/>
      <right style="thin">
        <color rgb="FF94A3B8"/>
      </right>
      <top style="medium">
        <color rgb="FFDC2626"/>
      </top>
      <bottom/>
      <diagonal/>
    </border>
    <border>
      <left style="thin">
        <color rgb="FF94A3B8"/>
      </left>
      <right/>
      <top style="medium">
        <color rgb="FFD97706"/>
      </top>
      <bottom/>
      <diagonal/>
    </border>
    <border>
      <left/>
      <right style="thin">
        <color rgb="FF94A3B8"/>
      </right>
      <top style="medium">
        <color rgb="FFD97706"/>
      </top>
      <bottom/>
      <diagonal/>
    </border>
    <border>
      <left style="thin">
        <color rgb="FF94A3B8"/>
      </left>
      <right/>
      <top style="medium">
        <color rgb="FF16A34A"/>
      </top>
      <bottom/>
      <diagonal/>
    </border>
    <border>
      <left/>
      <right style="thin">
        <color rgb="FF94A3B8"/>
      </right>
      <top style="medium">
        <color rgb="FF16A34A"/>
      </top>
      <bottom/>
      <diagonal/>
    </border>
    <border>
      <left style="thin">
        <color rgb="FF94A3B8"/>
      </left>
      <right/>
      <top style="medium">
        <color rgb="FF2563EB"/>
      </top>
      <bottom/>
      <diagonal/>
    </border>
    <border>
      <left/>
      <right style="thin">
        <color rgb="FF94A3B8"/>
      </right>
      <top style="medium">
        <color rgb="FF2563EB"/>
      </top>
      <bottom/>
      <diagonal/>
    </border>
    <border>
      <left style="thin">
        <color rgb="FF94A3B8"/>
      </left>
      <right/>
      <top style="medium">
        <color rgb="FF9333EA"/>
      </top>
      <bottom/>
      <diagonal/>
    </border>
    <border>
      <left/>
      <right style="thin">
        <color rgb="FF94A3B8"/>
      </right>
      <top style="medium">
        <color rgb="FF9333EA"/>
      </top>
      <bottom/>
      <diagonal/>
    </border>
    <border>
      <left style="thin">
        <color rgb="FF94A3B8"/>
      </left>
      <right/>
      <top style="medium">
        <color rgb="FFE11D48"/>
      </top>
      <bottom/>
      <diagonal/>
    </border>
    <border>
      <left/>
      <right style="thin">
        <color rgb="FF94A3B8"/>
      </right>
      <top style="medium">
        <color rgb="FFE11D48"/>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9">
    <xf numFmtId="0" fontId="0" fillId="0" borderId="0" xfId="0"/>
    <xf numFmtId="0" fontId="23" fillId="12" borderId="2" xfId="0" applyFont="1" applyFill="1" applyBorder="1" applyAlignment="1">
      <alignment horizontal="center" vertical="center" wrapText="1"/>
    </xf>
    <xf numFmtId="0" fontId="6" fillId="4" borderId="2" xfId="0" applyFont="1" applyFill="1" applyBorder="1" applyAlignment="1">
      <alignment horizontal="left" vertical="center"/>
    </xf>
    <xf numFmtId="3" fontId="2" fillId="4" borderId="2" xfId="0" applyNumberFormat="1" applyFont="1" applyFill="1" applyBorder="1" applyAlignment="1">
      <alignment horizontal="center" vertical="center"/>
    </xf>
    <xf numFmtId="3" fontId="24" fillId="4" borderId="2" xfId="0" applyNumberFormat="1" applyFont="1" applyFill="1" applyBorder="1" applyAlignment="1">
      <alignment horizontal="center" vertical="center"/>
    </xf>
    <xf numFmtId="3" fontId="25" fillId="4" borderId="2" xfId="0" applyNumberFormat="1" applyFont="1" applyFill="1" applyBorder="1" applyAlignment="1">
      <alignment horizontal="center" vertical="center"/>
    </xf>
    <xf numFmtId="171" fontId="26" fillId="4" borderId="2" xfId="0" applyNumberFormat="1" applyFont="1" applyFill="1" applyBorder="1" applyAlignment="1">
      <alignment horizontal="right" vertical="center"/>
    </xf>
    <xf numFmtId="167" fontId="2" fillId="4" borderId="2" xfId="0" applyNumberFormat="1" applyFont="1" applyFill="1" applyBorder="1" applyAlignment="1">
      <alignment horizontal="right" vertical="center"/>
    </xf>
    <xf numFmtId="3" fontId="7" fillId="4" borderId="2" xfId="0" applyNumberFormat="1" applyFont="1" applyFill="1" applyBorder="1" applyAlignment="1">
      <alignment horizontal="center" vertical="center"/>
    </xf>
    <xf numFmtId="168" fontId="2" fillId="4" borderId="2" xfId="0" applyNumberFormat="1" applyFont="1" applyFill="1" applyBorder="1" applyAlignment="1">
      <alignment horizontal="right" vertical="center"/>
    </xf>
    <xf numFmtId="0" fontId="6" fillId="5" borderId="2" xfId="0" applyFont="1" applyFill="1" applyBorder="1" applyAlignment="1">
      <alignment horizontal="left" vertical="center"/>
    </xf>
    <xf numFmtId="3" fontId="2" fillId="5" borderId="2" xfId="0" applyNumberFormat="1" applyFont="1" applyFill="1" applyBorder="1" applyAlignment="1">
      <alignment horizontal="center" vertical="center"/>
    </xf>
    <xf numFmtId="3" fontId="24" fillId="5" borderId="2" xfId="0" applyNumberFormat="1" applyFont="1" applyFill="1" applyBorder="1" applyAlignment="1">
      <alignment horizontal="center" vertical="center"/>
    </xf>
    <xf numFmtId="3" fontId="25" fillId="5" borderId="2" xfId="0" applyNumberFormat="1" applyFont="1" applyFill="1" applyBorder="1" applyAlignment="1">
      <alignment horizontal="center" vertical="center"/>
    </xf>
    <xf numFmtId="171" fontId="26" fillId="5" borderId="2" xfId="0" applyNumberFormat="1" applyFont="1" applyFill="1" applyBorder="1" applyAlignment="1">
      <alignment horizontal="right" vertical="center"/>
    </xf>
    <xf numFmtId="167" fontId="2" fillId="5" borderId="2" xfId="0" applyNumberFormat="1" applyFont="1" applyFill="1" applyBorder="1" applyAlignment="1">
      <alignment horizontal="right" vertical="center"/>
    </xf>
    <xf numFmtId="3" fontId="7" fillId="5" borderId="2" xfId="0" applyNumberFormat="1" applyFont="1" applyFill="1" applyBorder="1" applyAlignment="1">
      <alignment horizontal="center" vertical="center"/>
    </xf>
    <xf numFmtId="168" fontId="2" fillId="5" borderId="2" xfId="0" applyNumberFormat="1" applyFont="1" applyFill="1" applyBorder="1" applyAlignment="1">
      <alignment horizontal="right" vertical="center"/>
    </xf>
    <xf numFmtId="0" fontId="23" fillId="2" borderId="3" xfId="0" applyFont="1" applyFill="1" applyBorder="1" applyAlignment="1">
      <alignment horizontal="left" vertical="center" indent="1"/>
    </xf>
    <xf numFmtId="3" fontId="23" fillId="2" borderId="3" xfId="0" applyNumberFormat="1" applyFont="1" applyFill="1" applyBorder="1" applyAlignment="1">
      <alignment horizontal="center" vertical="center"/>
    </xf>
    <xf numFmtId="171" fontId="23" fillId="2" borderId="3" xfId="0" applyNumberFormat="1" applyFont="1" applyFill="1" applyBorder="1" applyAlignment="1">
      <alignment horizontal="right" vertical="center"/>
    </xf>
    <xf numFmtId="167" fontId="23" fillId="2" borderId="3" xfId="0" applyNumberFormat="1" applyFont="1" applyFill="1" applyBorder="1" applyAlignment="1">
      <alignment horizontal="right" vertical="center"/>
    </xf>
    <xf numFmtId="168" fontId="23" fillId="2" borderId="3" xfId="0" applyNumberFormat="1" applyFont="1" applyFill="1" applyBorder="1" applyAlignment="1">
      <alignment horizontal="right" vertical="center"/>
    </xf>
    <xf numFmtId="0" fontId="24" fillId="6" borderId="2" xfId="0" applyFont="1" applyFill="1" applyBorder="1" applyAlignment="1">
      <alignment horizontal="left" vertical="center"/>
    </xf>
    <xf numFmtId="3" fontId="7" fillId="6" borderId="2" xfId="0" applyNumberFormat="1" applyFont="1" applyFill="1" applyBorder="1" applyAlignment="1">
      <alignment horizontal="center" vertical="center"/>
    </xf>
    <xf numFmtId="3" fontId="2" fillId="6" borderId="2" xfId="0" applyNumberFormat="1" applyFont="1" applyFill="1" applyBorder="1" applyAlignment="1">
      <alignment horizontal="center" vertical="center"/>
    </xf>
    <xf numFmtId="171" fontId="26" fillId="6" borderId="2" xfId="0" applyNumberFormat="1" applyFont="1" applyFill="1" applyBorder="1" applyAlignment="1">
      <alignment horizontal="right" vertical="center"/>
    </xf>
    <xf numFmtId="168" fontId="2" fillId="6" borderId="2" xfId="0" applyNumberFormat="1" applyFont="1" applyFill="1" applyBorder="1" applyAlignment="1">
      <alignment horizontal="right" vertical="center"/>
    </xf>
    <xf numFmtId="0" fontId="27" fillId="6" borderId="2" xfId="0" applyFont="1" applyFill="1" applyBorder="1" applyAlignment="1">
      <alignment horizontal="left" vertical="center" indent="1"/>
    </xf>
    <xf numFmtId="0" fontId="28" fillId="7" borderId="2" xfId="0" applyFont="1" applyFill="1" applyBorder="1" applyAlignment="1">
      <alignment horizontal="left" vertical="center"/>
    </xf>
    <xf numFmtId="3" fontId="7" fillId="7" borderId="2" xfId="0" applyNumberFormat="1" applyFont="1" applyFill="1" applyBorder="1" applyAlignment="1">
      <alignment horizontal="center" vertical="center"/>
    </xf>
    <xf numFmtId="3" fontId="2" fillId="7" borderId="2" xfId="0" applyNumberFormat="1" applyFont="1" applyFill="1" applyBorder="1" applyAlignment="1">
      <alignment horizontal="center" vertical="center"/>
    </xf>
    <xf numFmtId="171" fontId="26" fillId="7" borderId="2" xfId="0" applyNumberFormat="1" applyFont="1" applyFill="1" applyBorder="1" applyAlignment="1">
      <alignment horizontal="right" vertical="center"/>
    </xf>
    <xf numFmtId="168" fontId="2" fillId="7" borderId="2" xfId="0" applyNumberFormat="1" applyFont="1" applyFill="1" applyBorder="1" applyAlignment="1">
      <alignment horizontal="right" vertical="center"/>
    </xf>
    <xf numFmtId="0" fontId="27" fillId="7" borderId="2" xfId="0" applyFont="1" applyFill="1" applyBorder="1" applyAlignment="1">
      <alignment horizontal="left" vertical="center" indent="1"/>
    </xf>
    <xf numFmtId="0" fontId="29" fillId="2" borderId="3" xfId="0" applyFont="1" applyFill="1" applyBorder="1" applyAlignment="1">
      <alignment horizontal="center" vertical="center"/>
    </xf>
    <xf numFmtId="0" fontId="6" fillId="5" borderId="2" xfId="0" applyFont="1" applyFill="1" applyBorder="1" applyAlignment="1">
      <alignment horizontal="center" vertical="center"/>
    </xf>
    <xf numFmtId="0" fontId="7" fillId="5" borderId="2" xfId="0" applyFont="1" applyFill="1" applyBorder="1" applyAlignment="1">
      <alignment horizontal="left" vertical="center"/>
    </xf>
    <xf numFmtId="0" fontId="30" fillId="5" borderId="2" xfId="0" applyFont="1" applyFill="1" applyBorder="1" applyAlignment="1">
      <alignment horizontal="left" vertical="center"/>
    </xf>
    <xf numFmtId="2" fontId="2" fillId="5" borderId="2" xfId="0" applyNumberFormat="1" applyFont="1" applyFill="1" applyBorder="1" applyAlignment="1">
      <alignment horizontal="right" vertical="center"/>
    </xf>
    <xf numFmtId="0" fontId="6" fillId="4" borderId="2" xfId="0" applyFont="1" applyFill="1" applyBorder="1" applyAlignment="1">
      <alignment horizontal="center" vertical="center"/>
    </xf>
    <xf numFmtId="0" fontId="7" fillId="4" borderId="2" xfId="0" applyFont="1" applyFill="1" applyBorder="1" applyAlignment="1">
      <alignment horizontal="left" vertical="center"/>
    </xf>
    <xf numFmtId="0" fontId="30" fillId="4" borderId="2" xfId="0" applyFont="1" applyFill="1" applyBorder="1" applyAlignment="1">
      <alignment horizontal="left" vertical="center"/>
    </xf>
    <xf numFmtId="2" fontId="2" fillId="4" borderId="2" xfId="0" applyNumberFormat="1" applyFont="1" applyFill="1" applyBorder="1" applyAlignment="1">
      <alignment horizontal="right" vertical="center"/>
    </xf>
    <xf numFmtId="0" fontId="31" fillId="12" borderId="2" xfId="0" applyFont="1" applyFill="1" applyBorder="1" applyAlignment="1">
      <alignment horizontal="center" vertical="center"/>
    </xf>
    <xf numFmtId="0" fontId="32" fillId="4" borderId="2" xfId="0" applyFont="1" applyFill="1" applyBorder="1" applyAlignment="1">
      <alignment horizontal="left" vertical="center"/>
    </xf>
    <xf numFmtId="3" fontId="33" fillId="4" borderId="2" xfId="0" applyNumberFormat="1" applyFont="1" applyFill="1" applyBorder="1" applyAlignment="1">
      <alignment horizontal="center" vertical="center"/>
    </xf>
    <xf numFmtId="3" fontId="34" fillId="4" borderId="2" xfId="0" applyNumberFormat="1" applyFont="1" applyFill="1" applyBorder="1" applyAlignment="1">
      <alignment horizontal="center" vertical="center"/>
    </xf>
    <xf numFmtId="168" fontId="33" fillId="4" borderId="2" xfId="0" applyNumberFormat="1" applyFont="1" applyFill="1" applyBorder="1" applyAlignment="1">
      <alignment horizontal="right" vertical="center"/>
    </xf>
    <xf numFmtId="171" fontId="35" fillId="4" borderId="2" xfId="0" applyNumberFormat="1" applyFont="1" applyFill="1" applyBorder="1" applyAlignment="1">
      <alignment horizontal="right" vertical="center"/>
    </xf>
    <xf numFmtId="0" fontId="32" fillId="5" borderId="2" xfId="0" applyFont="1" applyFill="1" applyBorder="1" applyAlignment="1">
      <alignment horizontal="left" vertical="center"/>
    </xf>
    <xf numFmtId="3" fontId="33" fillId="5" borderId="2" xfId="0" applyNumberFormat="1" applyFont="1" applyFill="1" applyBorder="1" applyAlignment="1">
      <alignment horizontal="center" vertical="center"/>
    </xf>
    <xf numFmtId="3" fontId="34" fillId="5" borderId="2" xfId="0" applyNumberFormat="1" applyFont="1" applyFill="1" applyBorder="1" applyAlignment="1">
      <alignment horizontal="center" vertical="center"/>
    </xf>
    <xf numFmtId="168" fontId="33" fillId="5" borderId="2" xfId="0" applyNumberFormat="1" applyFont="1" applyFill="1" applyBorder="1" applyAlignment="1">
      <alignment horizontal="right" vertical="center"/>
    </xf>
    <xf numFmtId="171" fontId="35" fillId="5" borderId="2" xfId="0" applyNumberFormat="1" applyFont="1" applyFill="1" applyBorder="1" applyAlignment="1">
      <alignment horizontal="right" vertical="center"/>
    </xf>
    <xf numFmtId="0" fontId="5" fillId="2" borderId="1" xfId="0" applyFont="1" applyFill="1" applyBorder="1" applyAlignment="1">
      <alignment horizontal="center" vertical="center" wrapText="1"/>
    </xf>
    <xf numFmtId="0" fontId="2" fillId="4" borderId="2" xfId="0" applyFont="1" applyFill="1" applyBorder="1" applyAlignment="1">
      <alignment horizontal="center" vertical="center"/>
    </xf>
    <xf numFmtId="165" fontId="2" fillId="4" borderId="2" xfId="0" applyNumberFormat="1" applyFont="1" applyFill="1" applyBorder="1" applyAlignment="1">
      <alignment horizontal="center" vertical="center"/>
    </xf>
    <xf numFmtId="166" fontId="2" fillId="4" borderId="2" xfId="0" applyNumberFormat="1" applyFont="1" applyFill="1" applyBorder="1" applyAlignment="1">
      <alignment horizontal="center" vertical="center"/>
    </xf>
    <xf numFmtId="0" fontId="2" fillId="4" borderId="2" xfId="0" applyFont="1" applyFill="1" applyBorder="1" applyAlignment="1">
      <alignment horizontal="left" vertical="center"/>
    </xf>
    <xf numFmtId="0" fontId="7" fillId="4" borderId="2" xfId="0" applyFont="1" applyFill="1" applyBorder="1" applyAlignment="1">
      <alignment horizontal="center" vertical="center"/>
    </xf>
    <xf numFmtId="167" fontId="7" fillId="4" borderId="2" xfId="0" applyNumberFormat="1" applyFont="1" applyFill="1" applyBorder="1" applyAlignment="1">
      <alignment horizontal="right" vertical="center"/>
    </xf>
    <xf numFmtId="0" fontId="2" fillId="5" borderId="2" xfId="0" applyFont="1" applyFill="1" applyBorder="1" applyAlignment="1">
      <alignment horizontal="center" vertical="center"/>
    </xf>
    <xf numFmtId="165" fontId="2" fillId="5" borderId="2" xfId="0" applyNumberFormat="1" applyFont="1" applyFill="1" applyBorder="1" applyAlignment="1">
      <alignment horizontal="center" vertical="center"/>
    </xf>
    <xf numFmtId="166" fontId="2" fillId="5" borderId="2" xfId="0" applyNumberFormat="1" applyFont="1" applyFill="1" applyBorder="1" applyAlignment="1">
      <alignment horizontal="center" vertical="center"/>
    </xf>
    <xf numFmtId="0" fontId="2" fillId="5" borderId="2" xfId="0" applyFont="1" applyFill="1" applyBorder="1" applyAlignment="1">
      <alignment horizontal="left" vertical="center"/>
    </xf>
    <xf numFmtId="0" fontId="7" fillId="5" borderId="2" xfId="0" applyFont="1" applyFill="1" applyBorder="1" applyAlignment="1">
      <alignment horizontal="center" vertical="center"/>
    </xf>
    <xf numFmtId="167" fontId="7" fillId="5" borderId="2" xfId="0" applyNumberFormat="1" applyFont="1" applyFill="1" applyBorder="1" applyAlignment="1">
      <alignment horizontal="right" vertical="center"/>
    </xf>
    <xf numFmtId="165" fontId="0" fillId="0" borderId="2" xfId="0" applyNumberFormat="1" applyBorder="1" applyAlignment="1">
      <alignment horizontal="center" vertical="center"/>
    </xf>
    <xf numFmtId="166" fontId="0" fillId="0" borderId="2" xfId="0" applyNumberFormat="1" applyBorder="1" applyAlignment="1">
      <alignment horizontal="center" vertical="center"/>
    </xf>
    <xf numFmtId="0" fontId="0" fillId="0" borderId="2" xfId="0" applyBorder="1" applyAlignment="1">
      <alignment horizontal="left" vertical="center"/>
    </xf>
    <xf numFmtId="0" fontId="0" fillId="0" borderId="2" xfId="0" applyBorder="1" applyAlignment="1">
      <alignment horizontal="center" vertical="center"/>
    </xf>
    <xf numFmtId="167" fontId="7" fillId="0" borderId="2" xfId="0" applyNumberFormat="1" applyFont="1" applyBorder="1" applyAlignment="1">
      <alignment horizontal="right" vertical="center"/>
    </xf>
    <xf numFmtId="2" fontId="0" fillId="0" borderId="2" xfId="0" applyNumberFormat="1" applyBorder="1" applyAlignment="1">
      <alignment horizontal="right" vertical="center"/>
    </xf>
    <xf numFmtId="167" fontId="0" fillId="0" borderId="2" xfId="0" applyNumberFormat="1" applyBorder="1" applyAlignment="1">
      <alignment horizontal="right" vertical="center"/>
    </xf>
    <xf numFmtId="0" fontId="5" fillId="2" borderId="3" xfId="0" applyFont="1" applyFill="1" applyBorder="1" applyAlignment="1">
      <alignment horizontal="center" vertical="center"/>
    </xf>
    <xf numFmtId="0" fontId="0" fillId="2" borderId="3" xfId="0" applyFill="1" applyBorder="1"/>
    <xf numFmtId="167" fontId="5" fillId="2" borderId="3" xfId="0" applyNumberFormat="1" applyFont="1" applyFill="1" applyBorder="1" applyAlignment="1">
      <alignment horizontal="right" vertical="center"/>
    </xf>
    <xf numFmtId="2" fontId="5" fillId="2" borderId="3" xfId="0" applyNumberFormat="1" applyFont="1" applyFill="1" applyBorder="1" applyAlignment="1">
      <alignment horizontal="right" vertical="center"/>
    </xf>
    <xf numFmtId="0" fontId="1" fillId="2" borderId="0" xfId="0" applyFont="1" applyFill="1"/>
    <xf numFmtId="0" fontId="2" fillId="0" borderId="0" xfId="0" applyFont="1"/>
    <xf numFmtId="0" fontId="13" fillId="7" borderId="12" xfId="0" applyFont="1" applyFill="1" applyBorder="1" applyAlignment="1">
      <alignment horizontal="left" vertical="center" indent="1"/>
    </xf>
    <xf numFmtId="0" fontId="0" fillId="0" borderId="13" xfId="0" applyBorder="1"/>
    <xf numFmtId="0" fontId="10" fillId="10" borderId="8" xfId="0" applyFont="1" applyFill="1" applyBorder="1" applyAlignment="1">
      <alignment horizontal="center" vertical="center"/>
    </xf>
    <xf numFmtId="0" fontId="0" fillId="0" borderId="9" xfId="0" applyBorder="1"/>
    <xf numFmtId="0" fontId="10" fillId="11" borderId="8" xfId="0" applyFont="1" applyFill="1" applyBorder="1" applyAlignment="1">
      <alignment horizontal="center" vertical="center"/>
    </xf>
    <xf numFmtId="0" fontId="10" fillId="8" borderId="8" xfId="0" applyFont="1" applyFill="1" applyBorder="1" applyAlignment="1">
      <alignment horizontal="center" vertical="center"/>
    </xf>
    <xf numFmtId="0" fontId="10" fillId="7" borderId="8" xfId="0" applyFont="1" applyFill="1" applyBorder="1" applyAlignment="1">
      <alignment horizontal="center" vertical="center"/>
    </xf>
    <xf numFmtId="0" fontId="1" fillId="2" borderId="0" xfId="0" applyFont="1" applyFill="1" applyAlignment="1">
      <alignment horizontal="left" vertical="center" indent="1"/>
    </xf>
    <xf numFmtId="0" fontId="0" fillId="0" borderId="0" xfId="0"/>
    <xf numFmtId="0" fontId="15" fillId="8" borderId="14" xfId="0" applyFont="1" applyFill="1" applyBorder="1" applyAlignment="1">
      <alignment horizontal="left" vertical="center" indent="1"/>
    </xf>
    <xf numFmtId="0" fontId="0" fillId="0" borderId="15" xfId="0" applyBorder="1"/>
    <xf numFmtId="168" fontId="16" fillId="8" borderId="6" xfId="0" applyNumberFormat="1" applyFont="1" applyFill="1" applyBorder="1" applyAlignment="1">
      <alignment horizontal="center" vertical="center"/>
    </xf>
    <xf numFmtId="0" fontId="0" fillId="0" borderId="7" xfId="0" applyBorder="1"/>
    <xf numFmtId="0" fontId="10" fillId="6" borderId="8" xfId="0" applyFont="1" applyFill="1" applyBorder="1" applyAlignment="1">
      <alignment horizontal="center" vertical="center"/>
    </xf>
    <xf numFmtId="0" fontId="4" fillId="2" borderId="0" xfId="0" applyFont="1" applyFill="1" applyAlignment="1">
      <alignment horizontal="left" vertical="center" indent="1"/>
    </xf>
    <xf numFmtId="3" fontId="14" fillId="7" borderId="6" xfId="0" applyNumberFormat="1" applyFont="1" applyFill="1" applyBorder="1" applyAlignment="1">
      <alignment horizontal="center" vertical="center"/>
    </xf>
    <xf numFmtId="0" fontId="17" fillId="9" borderId="16" xfId="0" applyFont="1" applyFill="1" applyBorder="1" applyAlignment="1">
      <alignment horizontal="left" vertical="center" indent="1"/>
    </xf>
    <xf numFmtId="0" fontId="0" fillId="0" borderId="17" xfId="0" applyBorder="1"/>
    <xf numFmtId="0" fontId="3" fillId="3" borderId="0" xfId="0" applyFont="1" applyFill="1" applyAlignment="1">
      <alignment horizontal="left" vertical="center" indent="1"/>
    </xf>
    <xf numFmtId="0" fontId="21" fillId="11" borderId="20" xfId="0" applyFont="1" applyFill="1" applyBorder="1" applyAlignment="1">
      <alignment horizontal="left" vertical="center" indent="1"/>
    </xf>
    <xf numFmtId="0" fontId="0" fillId="0" borderId="21" xfId="0" applyBorder="1"/>
    <xf numFmtId="0" fontId="10" fillId="9" borderId="8" xfId="0" applyFont="1" applyFill="1" applyBorder="1" applyAlignment="1">
      <alignment horizontal="center" vertical="center"/>
    </xf>
    <xf numFmtId="0" fontId="11" fillId="6" borderId="10" xfId="0" applyFont="1" applyFill="1" applyBorder="1" applyAlignment="1">
      <alignment horizontal="left" vertical="center" indent="1"/>
    </xf>
    <xf numFmtId="0" fontId="0" fillId="0" borderId="11" xfId="0" applyBorder="1"/>
    <xf numFmtId="169" fontId="18" fillId="9" borderId="6" xfId="0" applyNumberFormat="1" applyFont="1" applyFill="1" applyBorder="1" applyAlignment="1">
      <alignment horizontal="center" vertical="center"/>
    </xf>
    <xf numFmtId="170" fontId="20" fillId="10" borderId="6" xfId="0" applyNumberFormat="1" applyFont="1" applyFill="1" applyBorder="1" applyAlignment="1">
      <alignment horizontal="center" vertical="center"/>
    </xf>
    <xf numFmtId="3" fontId="22" fillId="11" borderId="6" xfId="0" applyNumberFormat="1" applyFont="1" applyFill="1" applyBorder="1" applyAlignment="1">
      <alignment horizontal="center" vertical="center"/>
    </xf>
    <xf numFmtId="0" fontId="19" fillId="10" borderId="18" xfId="0" applyFont="1" applyFill="1" applyBorder="1" applyAlignment="1">
      <alignment horizontal="left" vertical="center" indent="1"/>
    </xf>
    <xf numFmtId="0" fontId="0" fillId="0" borderId="19" xfId="0" applyBorder="1"/>
    <xf numFmtId="0" fontId="10" fillId="5" borderId="8" xfId="0" applyFont="1" applyFill="1" applyBorder="1" applyAlignment="1">
      <alignment horizontal="center" vertical="center"/>
    </xf>
    <xf numFmtId="3" fontId="9" fillId="5" borderId="6" xfId="0" applyNumberFormat="1" applyFont="1" applyFill="1" applyBorder="1" applyAlignment="1">
      <alignment horizontal="center" vertical="center"/>
    </xf>
    <xf numFmtId="3" fontId="12" fillId="6" borderId="6" xfId="0" applyNumberFormat="1" applyFont="1" applyFill="1" applyBorder="1" applyAlignment="1">
      <alignment horizontal="center" vertical="center"/>
    </xf>
    <xf numFmtId="0" fontId="8" fillId="5" borderId="4" xfId="0" applyFont="1" applyFill="1" applyBorder="1" applyAlignment="1">
      <alignment horizontal="left" vertical="center" indent="1"/>
    </xf>
    <xf numFmtId="0" fontId="0" fillId="0" borderId="5" xfId="0" applyBorder="1"/>
    <xf numFmtId="0" fontId="0" fillId="0" borderId="0" xfId="0" applyAlignment="1">
      <alignment horizontal="center"/>
    </xf>
    <xf numFmtId="0" fontId="0" fillId="0" borderId="0" xfId="0" applyAlignment="1">
      <alignment horizontal="center" vertical="center"/>
    </xf>
    <xf numFmtId="0" fontId="5" fillId="2" borderId="22" xfId="0" applyFont="1" applyFill="1" applyBorder="1" applyAlignment="1">
      <alignment horizontal="center" vertical="center" wrapText="1"/>
    </xf>
    <xf numFmtId="0" fontId="2" fillId="4" borderId="22" xfId="0" applyFont="1" applyFill="1" applyBorder="1" applyAlignment="1">
      <alignment horizontal="center" vertical="center"/>
    </xf>
    <xf numFmtId="165" fontId="2" fillId="4" borderId="22" xfId="0" applyNumberFormat="1" applyFont="1" applyFill="1" applyBorder="1" applyAlignment="1">
      <alignment horizontal="center" vertical="center"/>
    </xf>
    <xf numFmtId="166" fontId="2" fillId="4" borderId="22" xfId="0" applyNumberFormat="1" applyFont="1" applyFill="1" applyBorder="1" applyAlignment="1">
      <alignment horizontal="center" vertical="center"/>
    </xf>
    <xf numFmtId="0" fontId="6" fillId="4" borderId="22" xfId="0" applyFont="1" applyFill="1" applyBorder="1" applyAlignment="1">
      <alignment horizontal="left" vertical="center"/>
    </xf>
    <xf numFmtId="0" fontId="2" fillId="4" borderId="22" xfId="0" applyFont="1" applyFill="1" applyBorder="1" applyAlignment="1">
      <alignment horizontal="left" vertical="center"/>
    </xf>
    <xf numFmtId="0" fontId="7" fillId="4" borderId="22" xfId="0" applyFont="1" applyFill="1" applyBorder="1" applyAlignment="1">
      <alignment horizontal="left" vertical="center"/>
    </xf>
    <xf numFmtId="0" fontId="7" fillId="4" borderId="22" xfId="0" applyFont="1" applyFill="1" applyBorder="1" applyAlignment="1">
      <alignment horizontal="center" vertical="center"/>
    </xf>
    <xf numFmtId="167" fontId="7" fillId="4" borderId="22" xfId="0" applyNumberFormat="1" applyFont="1" applyFill="1" applyBorder="1" applyAlignment="1">
      <alignment horizontal="center" vertical="center"/>
    </xf>
    <xf numFmtId="2" fontId="2" fillId="4" borderId="22" xfId="0" applyNumberFormat="1" applyFont="1" applyFill="1" applyBorder="1" applyAlignment="1">
      <alignment horizontal="center" vertical="center"/>
    </xf>
    <xf numFmtId="167" fontId="2" fillId="4" borderId="22" xfId="0" applyNumberFormat="1" applyFont="1" applyFill="1" applyBorder="1" applyAlignment="1">
      <alignment horizontal="center" vertical="center"/>
    </xf>
    <xf numFmtId="0" fontId="2" fillId="5" borderId="22" xfId="0" applyFont="1" applyFill="1" applyBorder="1" applyAlignment="1">
      <alignment horizontal="center" vertical="center"/>
    </xf>
    <xf numFmtId="165" fontId="2" fillId="5" borderId="22" xfId="0" applyNumberFormat="1" applyFont="1" applyFill="1" applyBorder="1" applyAlignment="1">
      <alignment horizontal="center" vertical="center"/>
    </xf>
    <xf numFmtId="166" fontId="2" fillId="5" borderId="22" xfId="0" applyNumberFormat="1" applyFont="1" applyFill="1" applyBorder="1" applyAlignment="1">
      <alignment horizontal="center" vertical="center"/>
    </xf>
    <xf numFmtId="0" fontId="6" fillId="5" borderId="22" xfId="0" applyFont="1" applyFill="1" applyBorder="1" applyAlignment="1">
      <alignment horizontal="left" vertical="center"/>
    </xf>
    <xf numFmtId="0" fontId="2" fillId="5" borderId="22" xfId="0" applyFont="1" applyFill="1" applyBorder="1" applyAlignment="1">
      <alignment horizontal="left" vertical="center"/>
    </xf>
    <xf numFmtId="0" fontId="7" fillId="5" borderId="22" xfId="0" applyFont="1" applyFill="1" applyBorder="1" applyAlignment="1">
      <alignment horizontal="left" vertical="center"/>
    </xf>
    <xf numFmtId="0" fontId="7" fillId="5" borderId="22" xfId="0" applyFont="1" applyFill="1" applyBorder="1" applyAlignment="1">
      <alignment horizontal="center" vertical="center"/>
    </xf>
    <xf numFmtId="167" fontId="7" fillId="5" borderId="22" xfId="0" applyNumberFormat="1" applyFont="1" applyFill="1" applyBorder="1" applyAlignment="1">
      <alignment horizontal="center" vertical="center"/>
    </xf>
    <xf numFmtId="2" fontId="2" fillId="5" borderId="22" xfId="0" applyNumberFormat="1" applyFont="1" applyFill="1" applyBorder="1" applyAlignment="1">
      <alignment horizontal="center" vertical="center"/>
    </xf>
    <xf numFmtId="167" fontId="2" fillId="5" borderId="22" xfId="0" applyNumberFormat="1" applyFont="1" applyFill="1" applyBorder="1" applyAlignment="1">
      <alignment horizontal="center" vertical="center"/>
    </xf>
    <xf numFmtId="165" fontId="0" fillId="0" borderId="22" xfId="0" applyNumberFormat="1" applyBorder="1" applyAlignment="1">
      <alignment horizontal="center" vertical="center"/>
    </xf>
    <xf numFmtId="166" fontId="0" fillId="0" borderId="22" xfId="0" applyNumberFormat="1" applyBorder="1" applyAlignment="1">
      <alignment horizontal="center" vertical="center"/>
    </xf>
    <xf numFmtId="0" fontId="0" fillId="0" borderId="22" xfId="0" applyBorder="1" applyAlignment="1">
      <alignment horizontal="left" vertical="center"/>
    </xf>
    <xf numFmtId="0" fontId="0" fillId="0" borderId="22" xfId="0" applyBorder="1" applyAlignment="1">
      <alignment horizontal="center" vertical="center"/>
    </xf>
    <xf numFmtId="167" fontId="7" fillId="0" borderId="22" xfId="0" applyNumberFormat="1" applyFont="1" applyBorder="1" applyAlignment="1">
      <alignment horizontal="center" vertical="center"/>
    </xf>
    <xf numFmtId="2" fontId="0" fillId="0" borderId="22" xfId="0" applyNumberFormat="1" applyBorder="1" applyAlignment="1">
      <alignment horizontal="center" vertical="center"/>
    </xf>
    <xf numFmtId="167" fontId="0" fillId="0" borderId="22" xfId="0" applyNumberFormat="1" applyBorder="1" applyAlignment="1">
      <alignment horizontal="center" vertical="center"/>
    </xf>
    <xf numFmtId="0" fontId="5" fillId="2" borderId="22" xfId="0" applyFont="1" applyFill="1" applyBorder="1" applyAlignment="1">
      <alignment horizontal="center" vertical="center"/>
    </xf>
    <xf numFmtId="0" fontId="0" fillId="2" borderId="22" xfId="0" applyFill="1" applyBorder="1"/>
    <xf numFmtId="167" fontId="5" fillId="2" borderId="22" xfId="0" applyNumberFormat="1" applyFont="1" applyFill="1" applyBorder="1" applyAlignment="1">
      <alignment horizontal="center" vertical="center"/>
    </xf>
    <xf numFmtId="2" fontId="5" fillId="2" borderId="22" xfId="0" applyNumberFormat="1" applyFont="1" applyFill="1" applyBorder="1" applyAlignment="1">
      <alignment horizontal="center" vertical="center"/>
    </xf>
  </cellXfs>
  <cellStyles count="1">
    <cellStyle name="Normal" xfId="0" builtinId="0"/>
  </cellStyles>
  <dxfs count="12">
    <dxf>
      <font>
        <b/>
        <sz val="10"/>
        <color rgb="FFB45309"/>
        <name val="Segoe UI"/>
      </font>
      <fill>
        <patternFill patternType="solid">
          <fgColor rgb="FFFEF3C7"/>
          <bgColor rgb="FFFEF3C7"/>
        </patternFill>
      </fill>
    </dxf>
    <dxf>
      <font>
        <b/>
        <sz val="10"/>
        <color rgb="FFB91C1C"/>
        <name val="Segoe UI"/>
      </font>
      <fill>
        <patternFill patternType="solid">
          <fgColor rgb="FFFEE2E2"/>
          <bgColor rgb="FFFEE2E2"/>
        </patternFill>
      </fill>
    </dxf>
    <dxf>
      <font>
        <b/>
        <sz val="10"/>
        <color rgb="FFB45309"/>
        <name val="Segoe UI"/>
      </font>
      <fill>
        <patternFill patternType="solid">
          <fgColor rgb="FFFEF3C7"/>
          <bgColor rgb="FFFEF3C7"/>
        </patternFill>
      </fill>
    </dxf>
    <dxf>
      <font>
        <b/>
        <sz val="10"/>
        <color rgb="FF15803D"/>
        <name val="Segoe UI"/>
      </font>
      <fill>
        <patternFill patternType="solid">
          <fgColor rgb="FFDCFCE7"/>
          <bgColor rgb="FFDCFCE7"/>
        </patternFill>
      </fill>
    </dxf>
    <dxf>
      <font>
        <b/>
        <sz val="10"/>
        <color rgb="FFB45309"/>
        <name val="Segoe UI"/>
      </font>
      <fill>
        <patternFill patternType="solid">
          <fgColor rgb="FFFEF3C7"/>
          <bgColor rgb="FFFEF3C7"/>
        </patternFill>
      </fill>
    </dxf>
    <dxf>
      <font>
        <b/>
        <sz val="10"/>
        <color rgb="FFB91C1C"/>
        <name val="Segoe UI"/>
      </font>
      <fill>
        <patternFill patternType="solid">
          <fgColor rgb="FFFEE2E2"/>
          <bgColor rgb="FFFEE2E2"/>
        </patternFill>
      </fill>
    </dxf>
    <dxf>
      <font>
        <b/>
        <sz val="10"/>
        <color rgb="FFB45309"/>
        <name val="Segoe UI"/>
      </font>
      <fill>
        <patternFill patternType="solid">
          <fgColor rgb="FFFEF3C7"/>
          <bgColor rgb="FFFEF3C7"/>
        </patternFill>
      </fill>
    </dxf>
    <dxf>
      <font>
        <b/>
        <sz val="10"/>
        <color rgb="FFB91C1C"/>
        <name val="Segoe UI"/>
      </font>
      <fill>
        <patternFill patternType="solid">
          <fgColor rgb="FFFEE2E2"/>
          <bgColor rgb="FFFEE2E2"/>
        </patternFill>
      </fill>
    </dxf>
    <dxf>
      <font>
        <b/>
        <sz val="10"/>
        <color rgb="FFB45309"/>
        <name val="Segoe UI"/>
      </font>
      <fill>
        <patternFill patternType="solid">
          <fgColor rgb="FFFEF3C7"/>
          <bgColor rgb="FFFEF3C7"/>
        </patternFill>
      </fill>
    </dxf>
    <dxf>
      <font>
        <b/>
        <sz val="10"/>
        <color rgb="FF15803D"/>
        <name val="Segoe UI"/>
      </font>
      <fill>
        <patternFill patternType="solid">
          <fgColor rgb="FFDCFCE7"/>
          <bgColor rgb="FFDCFCE7"/>
        </patternFill>
      </fill>
    </dxf>
    <dxf>
      <font>
        <b/>
        <sz val="10"/>
        <color rgb="FFB45309"/>
        <name val="Segoe UI"/>
      </font>
      <fill>
        <patternFill patternType="solid">
          <fgColor rgb="FFFEF3C7"/>
          <bgColor rgb="FFFEF3C7"/>
        </patternFill>
      </fill>
    </dxf>
    <dxf>
      <font>
        <b/>
        <sz val="10"/>
        <color rgb="FFB91C1C"/>
        <name val="Segoe UI"/>
      </font>
      <fill>
        <patternFill patternType="solid">
          <fgColor rgb="FFFEE2E2"/>
          <bgColor rgb="FFFEE2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48"/>
  <sheetViews>
    <sheetView workbookViewId="0">
      <selection activeCell="C15" sqref="C15"/>
    </sheetView>
  </sheetViews>
  <sheetFormatPr defaultRowHeight="14.5"/>
  <cols>
    <col min="1" max="1" width="3" customWidth="1"/>
    <col min="2" max="2" width="30" customWidth="1"/>
    <col min="3" max="7" width="18" customWidth="1"/>
    <col min="8" max="8" width="20" customWidth="1"/>
    <col min="9" max="9" width="34" customWidth="1"/>
  </cols>
  <sheetData>
    <row r="1" spans="2:9" ht="36" customHeight="1">
      <c r="B1" s="99" t="s">
        <v>0</v>
      </c>
      <c r="C1" s="89"/>
      <c r="D1" s="89"/>
      <c r="E1" s="89"/>
      <c r="F1" s="89"/>
      <c r="G1" s="89"/>
      <c r="H1" s="89"/>
      <c r="I1" s="89"/>
    </row>
    <row r="2" spans="2:9" ht="20" customHeight="1">
      <c r="B2" s="95" t="s">
        <v>1</v>
      </c>
      <c r="C2" s="89"/>
      <c r="D2" s="89"/>
      <c r="E2" s="89"/>
      <c r="F2" s="89"/>
      <c r="G2" s="89"/>
      <c r="H2" s="89"/>
      <c r="I2" s="89"/>
    </row>
    <row r="3" spans="2:9" ht="10" customHeight="1"/>
    <row r="4" spans="2:9" ht="18" customHeight="1">
      <c r="B4" s="113" t="s">
        <v>2</v>
      </c>
      <c r="C4" s="114"/>
      <c r="D4" s="103" t="s">
        <v>3</v>
      </c>
      <c r="E4" s="104"/>
      <c r="F4" s="81" t="s">
        <v>4</v>
      </c>
      <c r="G4" s="82"/>
      <c r="H4" s="90" t="s">
        <v>5</v>
      </c>
      <c r="I4" s="91"/>
    </row>
    <row r="5" spans="2:9" ht="28" customHeight="1">
      <c r="B5" s="111">
        <f>COUNT('🛠️ Breakdown Tracker 2026'!$A$3:$A$200)</f>
        <v>166</v>
      </c>
      <c r="C5" s="93"/>
      <c r="D5" s="112">
        <f>COUNTIF('🛠️ Breakdown Tracker 2026'!$H$3:$H$200, "*Complete*")</f>
        <v>44</v>
      </c>
      <c r="E5" s="93"/>
      <c r="F5" s="96">
        <f>COUNTIF('🛠️ Breakdown Tracker 2026'!$H$3:$H$200, "*Partial*")</f>
        <v>122</v>
      </c>
      <c r="G5" s="93"/>
      <c r="H5" s="92">
        <f>IFERROR(COUNTIF('🛠️ Breakdown Tracker 2026'!$L$3:$L$200, "Closed*") / COUNT('🛠️ Breakdown Tracker 2026'!$A$3:$A$200), 1)</f>
        <v>0.96987951807228912</v>
      </c>
      <c r="I5" s="93"/>
    </row>
    <row r="6" spans="2:9" ht="16" customHeight="1">
      <c r="B6" s="110" t="s">
        <v>6</v>
      </c>
      <c r="C6" s="84"/>
      <c r="D6" s="94" t="s">
        <v>7</v>
      </c>
      <c r="E6" s="84"/>
      <c r="F6" s="87" t="s">
        <v>8</v>
      </c>
      <c r="G6" s="84"/>
      <c r="H6" s="86" t="s">
        <v>9</v>
      </c>
      <c r="I6" s="84"/>
    </row>
    <row r="7" spans="2:9" ht="8" customHeight="1"/>
    <row r="8" spans="2:9" ht="18" customHeight="1">
      <c r="B8" s="97" t="s">
        <v>10</v>
      </c>
      <c r="C8" s="98"/>
      <c r="D8" s="108" t="s">
        <v>11</v>
      </c>
      <c r="E8" s="109"/>
      <c r="F8" s="100" t="s">
        <v>12</v>
      </c>
      <c r="G8" s="101"/>
      <c r="H8" s="90" t="s">
        <v>13</v>
      </c>
      <c r="I8" s="91"/>
    </row>
    <row r="9" spans="2:9" ht="28" customHeight="1">
      <c r="B9" s="105">
        <f ca="1">SUM('🛠️ Breakdown Tracker 2026'!$O$3:$O$200)</f>
        <v>6084.7999999999993</v>
      </c>
      <c r="C9" s="93"/>
      <c r="D9" s="106">
        <f ca="1">IFERROR(AVERAGEIF('🛠️ Breakdown Tracker 2026'!$H$3:$H$200, "*Complete*", '🛠️ Breakdown Tracker 2026'!$O$3:$O$200), 0)</f>
        <v>138.29090909090908</v>
      </c>
      <c r="E9" s="93"/>
      <c r="F9" s="107">
        <f>COUNTIF('🛠️ Breakdown Tracker 2026'!$L$3:$L$200, "*Progress*") + COUNTIF('🛠️ Breakdown Tracker 2026'!$L$3:$L$200, "Open*") + COUNTIF('🛠️ Breakdown Tracker 2026'!$L$3:$L$200, "*Spare*")</f>
        <v>5</v>
      </c>
      <c r="G9" s="93"/>
      <c r="H9" s="92">
        <f>1 - IFERROR(D5/B5, 0)</f>
        <v>0.73493975903614461</v>
      </c>
      <c r="I9" s="93"/>
    </row>
    <row r="10" spans="2:9" ht="16" customHeight="1">
      <c r="B10" s="102" t="s">
        <v>14</v>
      </c>
      <c r="C10" s="84"/>
      <c r="D10" s="83" t="s">
        <v>15</v>
      </c>
      <c r="E10" s="84"/>
      <c r="F10" s="85" t="s">
        <v>16</v>
      </c>
      <c r="G10" s="84"/>
      <c r="H10" s="86" t="s">
        <v>17</v>
      </c>
      <c r="I10" s="84"/>
    </row>
    <row r="11" spans="2:9" ht="14" customHeight="1"/>
    <row r="12" spans="2:9" ht="24" customHeight="1">
      <c r="B12" s="88" t="s">
        <v>18</v>
      </c>
      <c r="C12" s="89"/>
      <c r="D12" s="89"/>
      <c r="E12" s="89"/>
      <c r="F12" s="89"/>
      <c r="G12" s="89"/>
      <c r="H12" s="89"/>
      <c r="I12" s="89"/>
    </row>
    <row r="13" spans="2:9" ht="24" customHeight="1">
      <c r="B13" s="1" t="s">
        <v>19</v>
      </c>
      <c r="C13" s="1" t="s">
        <v>20</v>
      </c>
      <c r="D13" s="1" t="s">
        <v>21</v>
      </c>
      <c r="E13" s="1" t="s">
        <v>22</v>
      </c>
      <c r="F13" s="1" t="s">
        <v>23</v>
      </c>
      <c r="G13" s="1" t="s">
        <v>24</v>
      </c>
      <c r="H13" s="1" t="s">
        <v>25</v>
      </c>
      <c r="I13" s="1" t="s">
        <v>26</v>
      </c>
    </row>
    <row r="14" spans="2:9" ht="20" customHeight="1">
      <c r="B14" s="2" t="s">
        <v>27</v>
      </c>
      <c r="C14" s="3">
        <f>COUNTIF('🛠️ Breakdown Tracker 2026'!$E$3:$E$200, "Water &amp; Plumbing*")</f>
        <v>91</v>
      </c>
      <c r="D14" s="4">
        <f>COUNTIFS('🛠️ Breakdown Tracker 2026'!$E$3:$E$200, "Water &amp; Plumbing*", '🛠️ Breakdown Tracker 2026'!$H$3:$H$200, "*Complete*")</f>
        <v>24</v>
      </c>
      <c r="E14" s="5">
        <f>COUNTIFS('🛠️ Breakdown Tracker 2026'!$E$3:$E$200, "Water &amp; Plumbing*", '🛠️ Breakdown Tracker 2026'!$H$3:$H$200, "*Partial*")</f>
        <v>67</v>
      </c>
      <c r="F14" s="6">
        <f ca="1">SUMIFS('🛠️ Breakdown Tracker 2026'!$O$3:$O$200, '🛠️ Breakdown Tracker 2026'!$E$3:$E$200, "Water &amp; Plumbing*")</f>
        <v>420.7</v>
      </c>
      <c r="G14" s="7">
        <f ca="1">IFERROR(AVERAGEIFS('🛠️ Breakdown Tracker 2026'!$O$3:$O$200, '🛠️ Breakdown Tracker 2026'!$E$3:$E$200, "Water &amp; Plumbing*", '🛠️ Breakdown Tracker 2026'!$H$3:$H$200, "*Complete*"), 0)</f>
        <v>17.529166666666665</v>
      </c>
      <c r="H14" s="8">
        <f>COUNTIFS('🛠️ Breakdown Tracker 2026'!$E$3:$E$200, "Water &amp; Plumbing*", '🛠️ Breakdown Tracker 2026'!$L$3:$L$200, "&lt;&gt;Closed*")</f>
        <v>0</v>
      </c>
      <c r="I14" s="9">
        <f t="shared" ref="I14:I19" si="0">IFERROR(C14/SUM($C$14:$C$19), 0)</f>
        <v>0.54819277108433739</v>
      </c>
    </row>
    <row r="15" spans="2:9" ht="20" customHeight="1">
      <c r="B15" s="10" t="s">
        <v>28</v>
      </c>
      <c r="C15" s="11">
        <f>COUNTIF('🛠️ Breakdown Tracker 2026'!$E$3:$E$200, "HVAC &amp; Cooling*")</f>
        <v>10</v>
      </c>
      <c r="D15" s="12">
        <f>COUNTIFS('🛠️ Breakdown Tracker 2026'!$E$3:$E$200, "HVAC &amp; Cooling*", '🛠️ Breakdown Tracker 2026'!$H$3:$H$200, "*Complete*")</f>
        <v>3</v>
      </c>
      <c r="E15" s="13">
        <f>COUNTIFS('🛠️ Breakdown Tracker 2026'!$E$3:$E$200, "HVAC &amp; Cooling*", '🛠️ Breakdown Tracker 2026'!$H$3:$H$200, "*Partial*")</f>
        <v>7</v>
      </c>
      <c r="F15" s="14">
        <f ca="1">SUMIFS('🛠️ Breakdown Tracker 2026'!$O$3:$O$200, '🛠️ Breakdown Tracker 2026'!$E$3:$E$200, "HVAC &amp; Cooling*")</f>
        <v>154</v>
      </c>
      <c r="G15" s="15">
        <f ca="1">IFERROR(AVERAGEIFS('🛠️ Breakdown Tracker 2026'!$O$3:$O$200, '🛠️ Breakdown Tracker 2026'!$E$3:$E$200, "HVAC &amp; Cooling*", '🛠️ Breakdown Tracker 2026'!$H$3:$H$200, "*Complete*"), 0)</f>
        <v>51.333333333333336</v>
      </c>
      <c r="H15" s="16">
        <f>COUNTIFS('🛠️ Breakdown Tracker 2026'!$E$3:$E$200, "HVAC &amp; Cooling*", '🛠️ Breakdown Tracker 2026'!$L$3:$L$200, "&lt;&gt;Closed*")</f>
        <v>1</v>
      </c>
      <c r="I15" s="17">
        <f t="shared" si="0"/>
        <v>6.0240963855421686E-2</v>
      </c>
    </row>
    <row r="16" spans="2:9" ht="20" customHeight="1">
      <c r="B16" s="2" t="s">
        <v>29</v>
      </c>
      <c r="C16" s="3">
        <f>COUNTIF('🛠️ Breakdown Tracker 2026'!$E$3:$E$200, "Electrical &amp; Power*")</f>
        <v>24</v>
      </c>
      <c r="D16" s="4">
        <f>COUNTIFS('🛠️ Breakdown Tracker 2026'!$E$3:$E$200, "Electrical &amp; Power*", '🛠️ Breakdown Tracker 2026'!$H$3:$H$200, "*Complete*")</f>
        <v>8</v>
      </c>
      <c r="E16" s="5">
        <f>COUNTIFS('🛠️ Breakdown Tracker 2026'!$E$3:$E$200, "Electrical &amp; Power*", '🛠️ Breakdown Tracker 2026'!$H$3:$H$200, "*Partial*")</f>
        <v>16</v>
      </c>
      <c r="F16" s="6">
        <f ca="1">SUMIFS('🛠️ Breakdown Tracker 2026'!$O$3:$O$200, '🛠️ Breakdown Tracker 2026'!$E$3:$E$200, "Electrical &amp; Power*")</f>
        <v>684.69999999999993</v>
      </c>
      <c r="G16" s="7">
        <f ca="1">IFERROR(AVERAGEIFS('🛠️ Breakdown Tracker 2026'!$O$3:$O$200, '🛠️ Breakdown Tracker 2026'!$E$3:$E$200, "Electrical &amp; Power*", '🛠️ Breakdown Tracker 2026'!$H$3:$H$200, "*Complete*"), 0)</f>
        <v>85.587499999999991</v>
      </c>
      <c r="H16" s="8">
        <f>COUNTIFS('🛠️ Breakdown Tracker 2026'!$E$3:$E$200, "Electrical &amp; Power*", '🛠️ Breakdown Tracker 2026'!$L$3:$L$200, "&lt;&gt;Closed*")</f>
        <v>2</v>
      </c>
      <c r="I16" s="9">
        <f t="shared" si="0"/>
        <v>0.14457831325301204</v>
      </c>
    </row>
    <row r="17" spans="2:9" ht="20" customHeight="1">
      <c r="B17" s="10" t="s">
        <v>30</v>
      </c>
      <c r="C17" s="11">
        <f>COUNTIF('🛠️ Breakdown Tracker 2026'!$E$3:$E$200, "Cafeteria Equipment*")</f>
        <v>15</v>
      </c>
      <c r="D17" s="12">
        <f>COUNTIFS('🛠️ Breakdown Tracker 2026'!$E$3:$E$200, "Cafeteria Equipment*", '🛠️ Breakdown Tracker 2026'!$H$3:$H$200, "*Complete*")</f>
        <v>6</v>
      </c>
      <c r="E17" s="13">
        <f>COUNTIFS('🛠️ Breakdown Tracker 2026'!$E$3:$E$200, "Cafeteria Equipment*", '🛠️ Breakdown Tracker 2026'!$H$3:$H$200, "*Partial*")</f>
        <v>9</v>
      </c>
      <c r="F17" s="14">
        <f ca="1">SUMIFS('🛠️ Breakdown Tracker 2026'!$O$3:$O$200, '🛠️ Breakdown Tracker 2026'!$E$3:$E$200, "Cafeteria Equipment*")</f>
        <v>4472.2</v>
      </c>
      <c r="G17" s="15">
        <f ca="1">IFERROR(AVERAGEIFS('🛠️ Breakdown Tracker 2026'!$O$3:$O$200, '🛠️ Breakdown Tracker 2026'!$E$3:$E$200, "Cafeteria Equipment*", '🛠️ Breakdown Tracker 2026'!$H$3:$H$200, "*Complete*"), 0)</f>
        <v>745.36666666666667</v>
      </c>
      <c r="H17" s="16">
        <f>COUNTIFS('🛠️ Breakdown Tracker 2026'!$E$3:$E$200, "Cafeteria Equipment*", '🛠️ Breakdown Tracker 2026'!$L$3:$L$200, "&lt;&gt;Closed*")</f>
        <v>2</v>
      </c>
      <c r="I17" s="17">
        <f t="shared" si="0"/>
        <v>9.036144578313253E-2</v>
      </c>
    </row>
    <row r="18" spans="2:9" ht="20" customHeight="1">
      <c r="B18" s="2" t="s">
        <v>31</v>
      </c>
      <c r="C18" s="3">
        <f>COUNTIF('🛠️ Breakdown Tracker 2026'!$E$3:$E$200, "Doors &amp; Access Gates*")</f>
        <v>12</v>
      </c>
      <c r="D18" s="4">
        <f>COUNTIFS('🛠️ Breakdown Tracker 2026'!$E$3:$E$200, "Doors &amp; Access Gates*", '🛠️ Breakdown Tracker 2026'!$H$3:$H$200, "*Complete*")</f>
        <v>1</v>
      </c>
      <c r="E18" s="5">
        <f>COUNTIFS('🛠️ Breakdown Tracker 2026'!$E$3:$E$200, "Doors &amp; Access Gates*", '🛠️ Breakdown Tracker 2026'!$H$3:$H$200, "*Partial*")</f>
        <v>11</v>
      </c>
      <c r="F18" s="6">
        <f ca="1">SUMIFS('🛠️ Breakdown Tracker 2026'!$O$3:$O$200, '🛠️ Breakdown Tracker 2026'!$E$3:$E$200, "Doors &amp; Access Gates*")</f>
        <v>273.5</v>
      </c>
      <c r="G18" s="7">
        <f ca="1">IFERROR(AVERAGEIFS('🛠️ Breakdown Tracker 2026'!$O$3:$O$200, '🛠️ Breakdown Tracker 2026'!$E$3:$E$200, "Doors &amp; Access Gates*", '🛠️ Breakdown Tracker 2026'!$H$3:$H$200, "*Complete*"), 0)</f>
        <v>273.5</v>
      </c>
      <c r="H18" s="8">
        <f>COUNTIFS('🛠️ Breakdown Tracker 2026'!$E$3:$E$200, "Doors &amp; Access Gates*", '🛠️ Breakdown Tracker 2026'!$L$3:$L$200, "&lt;&gt;Closed*")</f>
        <v>0</v>
      </c>
      <c r="I18" s="9">
        <f t="shared" si="0"/>
        <v>7.2289156626506021E-2</v>
      </c>
    </row>
    <row r="19" spans="2:9" ht="20" customHeight="1">
      <c r="B19" s="10" t="s">
        <v>32</v>
      </c>
      <c r="C19" s="11">
        <f>COUNTIF('🛠️ Breakdown Tracker 2026'!$E$3:$E$200, "Fire, Safety &amp; BMS*")</f>
        <v>14</v>
      </c>
      <c r="D19" s="12">
        <f>COUNTIFS('🛠️ Breakdown Tracker 2026'!$E$3:$E$200, "Fire, Safety &amp; BMS*", '🛠️ Breakdown Tracker 2026'!$H$3:$H$200, "*Complete*")</f>
        <v>2</v>
      </c>
      <c r="E19" s="13">
        <f>COUNTIFS('🛠️ Breakdown Tracker 2026'!$E$3:$E$200, "Fire, Safety &amp; BMS*", '🛠️ Breakdown Tracker 2026'!$H$3:$H$200, "*Partial*")</f>
        <v>12</v>
      </c>
      <c r="F19" s="14">
        <f ca="1">SUMIFS('🛠️ Breakdown Tracker 2026'!$O$3:$O$200, '🛠️ Breakdown Tracker 2026'!$E$3:$E$200, "Fire, Safety &amp; BMS*")</f>
        <v>79.7</v>
      </c>
      <c r="G19" s="15">
        <f ca="1">IFERROR(AVERAGEIFS('🛠️ Breakdown Tracker 2026'!$O$3:$O$200, '🛠️ Breakdown Tracker 2026'!$E$3:$E$200, "Fire, Safety &amp; BMS*", '🛠️ Breakdown Tracker 2026'!$H$3:$H$200, "*Complete*"), 0)</f>
        <v>39.85</v>
      </c>
      <c r="H19" s="16">
        <f>COUNTIFS('🛠️ Breakdown Tracker 2026'!$E$3:$E$200, "Fire, Safety &amp; BMS*", '🛠️ Breakdown Tracker 2026'!$L$3:$L$200, "&lt;&gt;Closed*")</f>
        <v>0</v>
      </c>
      <c r="I19" s="17">
        <f t="shared" si="0"/>
        <v>8.4337349397590355E-2</v>
      </c>
    </row>
    <row r="20" spans="2:9" ht="22" customHeight="1">
      <c r="B20" s="18" t="s">
        <v>33</v>
      </c>
      <c r="C20" s="19">
        <f>SUM(C14:C19)</f>
        <v>166</v>
      </c>
      <c r="D20" s="19">
        <f>SUM(D14:D19)</f>
        <v>44</v>
      </c>
      <c r="E20" s="19">
        <f>SUM(E14:E19)</f>
        <v>122</v>
      </c>
      <c r="F20" s="20">
        <f ca="1">SUM(F14:F19)</f>
        <v>6084.8</v>
      </c>
      <c r="G20" s="21">
        <f ca="1">IFERROR(AVERAGEIF('🛠️ Breakdown Tracker 2026'!$H$3:$H$200, "*Complete*", '🛠️ Breakdown Tracker 2026'!$O$3:$O$200), 0)</f>
        <v>138.29090909090908</v>
      </c>
      <c r="H20" s="19">
        <f>SUM(H14:H19)</f>
        <v>5</v>
      </c>
      <c r="I20" s="22">
        <f>SUM(I14:I19)</f>
        <v>1</v>
      </c>
    </row>
    <row r="21" spans="2:9" ht="14" customHeight="1"/>
    <row r="22" spans="2:9" ht="24" customHeight="1">
      <c r="B22" s="88" t="s">
        <v>34</v>
      </c>
      <c r="C22" s="89"/>
      <c r="D22" s="89"/>
      <c r="E22" s="89"/>
      <c r="F22" s="89"/>
      <c r="G22" s="89"/>
      <c r="H22" s="89"/>
      <c r="I22" s="89"/>
    </row>
    <row r="23" spans="2:9" ht="24" customHeight="1">
      <c r="B23" s="1" t="s">
        <v>35</v>
      </c>
      <c r="C23" s="1" t="s">
        <v>20</v>
      </c>
      <c r="D23" s="1" t="s">
        <v>36</v>
      </c>
      <c r="E23" s="1" t="s">
        <v>37</v>
      </c>
      <c r="F23" s="1" t="s">
        <v>38</v>
      </c>
      <c r="G23" s="1" t="s">
        <v>23</v>
      </c>
      <c r="H23" s="1" t="s">
        <v>26</v>
      </c>
      <c r="I23" s="1" t="s">
        <v>39</v>
      </c>
    </row>
    <row r="24" spans="2:9" ht="21" customHeight="1">
      <c r="B24" s="23" t="s">
        <v>40</v>
      </c>
      <c r="C24" s="24">
        <f>COUNTIF('🛠️ Breakdown Tracker 2026'!$H$3:$H$200, "*Complete*")</f>
        <v>44</v>
      </c>
      <c r="D24" s="25">
        <f>COUNTIFS('🛠️ Breakdown Tracker 2026'!$H$3:$H$200, "*Complete*", '🛠️ Breakdown Tracker 2026'!$L$3:$L$200, "Closed*")</f>
        <v>43</v>
      </c>
      <c r="E24" s="25">
        <f>COUNTIFS('🛠️ Breakdown Tracker 2026'!$H$3:$H$200, "*Complete*", '🛠️ Breakdown Tracker 2026'!$L$3:$L$200, "*Progress*")</f>
        <v>1</v>
      </c>
      <c r="F24" s="25">
        <f>COUNTIFS('🛠️ Breakdown Tracker 2026'!$H$3:$H$200, "*Complete*", '🛠️ Breakdown Tracker 2026'!$L$3:$L$200, "Open*") + COUNTIFS('🛠️ Breakdown Tracker 2026'!$H$3:$H$200, "*Complete*", '🛠️ Breakdown Tracker 2026'!$L$3:$L$200, "*Spare*")</f>
        <v>0</v>
      </c>
      <c r="G24" s="26">
        <f ca="1">SUMIFS('🛠️ Breakdown Tracker 2026'!$O$3:$O$200, '🛠️ Breakdown Tracker 2026'!$H$3:$H$200, "*Complete*")</f>
        <v>6084.7999999999993</v>
      </c>
      <c r="H24" s="27">
        <f>IFERROR(C24/$C$20, 0)</f>
        <v>0.26506024096385544</v>
      </c>
      <c r="I24" s="28" t="s">
        <v>41</v>
      </c>
    </row>
    <row r="25" spans="2:9" ht="21" customHeight="1">
      <c r="B25" s="29" t="s">
        <v>42</v>
      </c>
      <c r="C25" s="30">
        <f>COUNTIF('🛠️ Breakdown Tracker 2026'!$H$3:$H$200, "*Partial*")</f>
        <v>122</v>
      </c>
      <c r="D25" s="31">
        <f>COUNTIFS('🛠️ Breakdown Tracker 2026'!$H$3:$H$200, "*Partial*", '🛠️ Breakdown Tracker 2026'!$L$3:$L$200, "Closed*")</f>
        <v>118</v>
      </c>
      <c r="E25" s="31">
        <f>COUNTIFS('🛠️ Breakdown Tracker 2026'!$H$3:$H$200, "*Partial*", '🛠️ Breakdown Tracker 2026'!$L$3:$L$200, "*Progress*")</f>
        <v>3</v>
      </c>
      <c r="F25" s="31">
        <f>COUNTIFS('🛠️ Breakdown Tracker 2026'!$H$3:$H$200, "*Partial*", '🛠️ Breakdown Tracker 2026'!$L$3:$L$200, "Open*") + COUNTIFS('🛠️ Breakdown Tracker 2026'!$H$3:$H$200, "*Partial*", '🛠️ Breakdown Tracker 2026'!$L$3:$L$200, "*Spare*")</f>
        <v>1</v>
      </c>
      <c r="G25" s="32">
        <f ca="1">SUMIFS('🛠️ Breakdown Tracker 2026'!$O$3:$O$200, '🛠️ Breakdown Tracker 2026'!$H$3:$H$200, "*Partial*")</f>
        <v>0</v>
      </c>
      <c r="H25" s="33">
        <f>IFERROR(C25/$C$20, 0)</f>
        <v>0.73493975903614461</v>
      </c>
      <c r="I25" s="34" t="s">
        <v>43</v>
      </c>
    </row>
    <row r="26" spans="2:9" ht="22" customHeight="1">
      <c r="B26" s="18" t="s">
        <v>44</v>
      </c>
      <c r="C26" s="19">
        <f t="shared" ref="C26:H26" si="1">SUM(C24:C25)</f>
        <v>166</v>
      </c>
      <c r="D26" s="19">
        <f t="shared" si="1"/>
        <v>161</v>
      </c>
      <c r="E26" s="19">
        <f t="shared" si="1"/>
        <v>4</v>
      </c>
      <c r="F26" s="19">
        <f t="shared" si="1"/>
        <v>1</v>
      </c>
      <c r="G26" s="20">
        <f t="shared" ca="1" si="1"/>
        <v>6084.7999999999993</v>
      </c>
      <c r="H26" s="22">
        <f t="shared" si="1"/>
        <v>1</v>
      </c>
      <c r="I26" s="35" t="s">
        <v>45</v>
      </c>
    </row>
    <row r="27" spans="2:9" ht="14" customHeight="1"/>
    <row r="28" spans="2:9" ht="24" customHeight="1">
      <c r="B28" s="88" t="s">
        <v>46</v>
      </c>
      <c r="C28" s="89"/>
      <c r="D28" s="89"/>
      <c r="E28" s="89"/>
      <c r="F28" s="89"/>
      <c r="G28" s="89"/>
      <c r="H28" s="89"/>
      <c r="I28" s="89"/>
    </row>
    <row r="29" spans="2:9" ht="24" customHeight="1">
      <c r="B29" s="1" t="s">
        <v>47</v>
      </c>
      <c r="C29" s="1" t="s">
        <v>48</v>
      </c>
      <c r="D29" s="1" t="s">
        <v>49</v>
      </c>
      <c r="E29" s="1" t="s">
        <v>20</v>
      </c>
      <c r="F29" s="1" t="s">
        <v>21</v>
      </c>
      <c r="G29" s="1" t="s">
        <v>23</v>
      </c>
      <c r="H29" s="1" t="s">
        <v>50</v>
      </c>
      <c r="I29" s="1" t="s">
        <v>24</v>
      </c>
    </row>
    <row r="30" spans="2:9" ht="20" customHeight="1">
      <c r="B30" s="36" t="s">
        <v>51</v>
      </c>
      <c r="C30" s="37" t="s">
        <v>52</v>
      </c>
      <c r="D30" s="38" t="s">
        <v>53</v>
      </c>
      <c r="E30" s="11">
        <f>COUNTIF('🛠️ Breakdown Tracker 2026'!$D$3:$D$200, "RO Water System*")</f>
        <v>32</v>
      </c>
      <c r="F30" s="12">
        <f>COUNTIFS('🛠️ Breakdown Tracker 2026'!$D$3:$D$200, "RO Water System*", '🛠️ Breakdown Tracker 2026'!$H$3:$H$200, "*Complete*")</f>
        <v>0</v>
      </c>
      <c r="G30" s="14">
        <f ca="1">SUMIFS('🛠️ Breakdown Tracker 2026'!$O$3:$O$200, '🛠️ Breakdown Tracker 2026'!$D$3:$D$200, "RO Water System*")</f>
        <v>0</v>
      </c>
      <c r="H30" s="39">
        <f t="shared" ref="H30:H39" ca="1" si="2">ROUND(G30/24, 2)</f>
        <v>0</v>
      </c>
      <c r="I30" s="15">
        <f>IFERROR(AVERAGEIFS('🛠️ Breakdown Tracker 2026'!$O$3:$O$200, '🛠️ Breakdown Tracker 2026'!$D$3:$D$200, "RO Water System*", '🛠️ Breakdown Tracker 2026'!$H$3:$H$200, "*Complete*"), 0)</f>
        <v>0</v>
      </c>
    </row>
    <row r="31" spans="2:9" ht="20" customHeight="1">
      <c r="B31" s="40" t="s">
        <v>54</v>
      </c>
      <c r="C31" s="41" t="s">
        <v>55</v>
      </c>
      <c r="D31" s="42" t="s">
        <v>53</v>
      </c>
      <c r="E31" s="3">
        <f>COUNTIF('🛠️ Breakdown Tracker 2026'!$D$3:$D$200, "Zip Tap*")</f>
        <v>26</v>
      </c>
      <c r="F31" s="4">
        <f>COUNTIFS('🛠️ Breakdown Tracker 2026'!$D$3:$D$200, "Zip Tap*", '🛠️ Breakdown Tracker 2026'!$H$3:$H$200, "*Complete*")</f>
        <v>7</v>
      </c>
      <c r="G31" s="6">
        <f ca="1">SUMIFS('🛠️ Breakdown Tracker 2026'!$O$3:$O$200, '🛠️ Breakdown Tracker 2026'!$D$3:$D$200, "Zip Tap*")</f>
        <v>260.90000000000003</v>
      </c>
      <c r="H31" s="43">
        <f t="shared" ca="1" si="2"/>
        <v>10.87</v>
      </c>
      <c r="I31" s="7">
        <f ca="1">IFERROR(AVERAGEIFS('🛠️ Breakdown Tracker 2026'!$O$3:$O$200, '🛠️ Breakdown Tracker 2026'!$D$3:$D$200, "Zip Tap*", '🛠️ Breakdown Tracker 2026'!$H$3:$H$200, "*Complete*"), 0)</f>
        <v>37.271428571428579</v>
      </c>
    </row>
    <row r="32" spans="2:9" ht="20" customHeight="1">
      <c r="B32" s="36" t="s">
        <v>56</v>
      </c>
      <c r="C32" s="37" t="s">
        <v>57</v>
      </c>
      <c r="D32" s="38" t="s">
        <v>58</v>
      </c>
      <c r="E32" s="11">
        <f>COUNTIF('🛠️ Breakdown Tracker 2026'!$D$3:$D$200, "CSU (Ceiling Suspended Unit)*")</f>
        <v>5</v>
      </c>
      <c r="F32" s="12">
        <f>COUNTIFS('🛠️ Breakdown Tracker 2026'!$D$3:$D$200, "CSU (Ceiling Suspended Unit)*", '🛠️ Breakdown Tracker 2026'!$H$3:$H$200, "*Complete*")</f>
        <v>1</v>
      </c>
      <c r="G32" s="14">
        <f ca="1">SUMIFS('🛠️ Breakdown Tracker 2026'!$O$3:$O$200, '🛠️ Breakdown Tracker 2026'!$D$3:$D$200, "CSU (Ceiling Suspended Unit)*")</f>
        <v>24.8</v>
      </c>
      <c r="H32" s="39">
        <f t="shared" ca="1" si="2"/>
        <v>1.03</v>
      </c>
      <c r="I32" s="15">
        <f ca="1">IFERROR(AVERAGEIFS('🛠️ Breakdown Tracker 2026'!$O$3:$O$200, '🛠️ Breakdown Tracker 2026'!$D$3:$D$200, "CSU (Ceiling Suspended Unit)*", '🛠️ Breakdown Tracker 2026'!$H$3:$H$200, "*Complete*"), 0)</f>
        <v>24.8</v>
      </c>
    </row>
    <row r="33" spans="2:9" ht="20" customHeight="1">
      <c r="B33" s="40" t="s">
        <v>59</v>
      </c>
      <c r="C33" s="41" t="s">
        <v>60</v>
      </c>
      <c r="D33" s="42" t="s">
        <v>58</v>
      </c>
      <c r="E33" s="3">
        <f>COUNTIF('🛠️ Breakdown Tracker 2026'!$D$3:$D$200, "VAV (Variable Air Volume)*")</f>
        <v>4</v>
      </c>
      <c r="F33" s="4">
        <f>COUNTIFS('🛠️ Breakdown Tracker 2026'!$D$3:$D$200, "VAV (Variable Air Volume)*", '🛠️ Breakdown Tracker 2026'!$H$3:$H$200, "*Complete*")</f>
        <v>1</v>
      </c>
      <c r="G33" s="6">
        <f ca="1">SUMIFS('🛠️ Breakdown Tracker 2026'!$O$3:$O$200, '🛠️ Breakdown Tracker 2026'!$D$3:$D$200, "VAV (Variable Air Volume)*")</f>
        <v>27.8</v>
      </c>
      <c r="H33" s="43">
        <f t="shared" ca="1" si="2"/>
        <v>1.1599999999999999</v>
      </c>
      <c r="I33" s="7">
        <f ca="1">IFERROR(AVERAGEIFS('🛠️ Breakdown Tracker 2026'!$O$3:$O$200, '🛠️ Breakdown Tracker 2026'!$D$3:$D$200, "VAV (Variable Air Volume)*", '🛠️ Breakdown Tracker 2026'!$H$3:$H$200, "*Complete*"), 0)</f>
        <v>27.8</v>
      </c>
    </row>
    <row r="34" spans="2:9" ht="20" customHeight="1">
      <c r="B34" s="36" t="s">
        <v>61</v>
      </c>
      <c r="C34" s="37" t="s">
        <v>62</v>
      </c>
      <c r="D34" s="38" t="s">
        <v>63</v>
      </c>
      <c r="E34" s="11">
        <f>COUNTIF('🛠️ Breakdown Tracker 2026'!$D$3:$D$200, "Speedstile Gate*")</f>
        <v>0</v>
      </c>
      <c r="F34" s="12">
        <f>COUNTIFS('🛠️ Breakdown Tracker 2026'!$D$3:$D$200, "Speedstile Gate*", '🛠️ Breakdown Tracker 2026'!$H$3:$H$200, "*Complete*")</f>
        <v>0</v>
      </c>
      <c r="G34" s="14">
        <f>SUMIFS('🛠️ Breakdown Tracker 2026'!$O$3:$O$200, '🛠️ Breakdown Tracker 2026'!$D$3:$D$200, "Speedstile Gate*")</f>
        <v>0</v>
      </c>
      <c r="H34" s="39">
        <f t="shared" si="2"/>
        <v>0</v>
      </c>
      <c r="I34" s="15">
        <f>IFERROR(AVERAGEIFS('🛠️ Breakdown Tracker 2026'!$O$3:$O$200, '🛠️ Breakdown Tracker 2026'!$D$3:$D$200, "Speedstile Gate*", '🛠️ Breakdown Tracker 2026'!$H$3:$H$200, "*Complete*"), 0)</f>
        <v>0</v>
      </c>
    </row>
    <row r="35" spans="2:9" ht="20" customHeight="1">
      <c r="B35" s="40" t="s">
        <v>64</v>
      </c>
      <c r="C35" s="41" t="s">
        <v>65</v>
      </c>
      <c r="D35" s="42" t="s">
        <v>66</v>
      </c>
      <c r="E35" s="3">
        <f>COUNTIF('🛠️ Breakdown Tracker 2026'!$D$3:$D$200, "BMS System*")</f>
        <v>5</v>
      </c>
      <c r="F35" s="4">
        <f>COUNTIFS('🛠️ Breakdown Tracker 2026'!$D$3:$D$200, "BMS System*", '🛠️ Breakdown Tracker 2026'!$H$3:$H$200, "*Complete*")</f>
        <v>0</v>
      </c>
      <c r="G35" s="6">
        <f ca="1">SUMIFS('🛠️ Breakdown Tracker 2026'!$O$3:$O$200, '🛠️ Breakdown Tracker 2026'!$D$3:$D$200, "BMS System*")</f>
        <v>0</v>
      </c>
      <c r="H35" s="43">
        <f t="shared" ca="1" si="2"/>
        <v>0</v>
      </c>
      <c r="I35" s="7">
        <f>IFERROR(AVERAGEIFS('🛠️ Breakdown Tracker 2026'!$O$3:$O$200, '🛠️ Breakdown Tracker 2026'!$D$3:$D$200, "BMS System*", '🛠️ Breakdown Tracker 2026'!$H$3:$H$200, "*Complete*"), 0)</f>
        <v>0</v>
      </c>
    </row>
    <row r="36" spans="2:9" ht="20" customHeight="1">
      <c r="B36" s="36" t="s">
        <v>67</v>
      </c>
      <c r="C36" s="37" t="s">
        <v>68</v>
      </c>
      <c r="D36" s="38" t="s">
        <v>69</v>
      </c>
      <c r="E36" s="11">
        <f>COUNTIF('🛠️ Breakdown Tracker 2026'!$D$3:$D$200, "UPS &amp; Battery System*")</f>
        <v>2</v>
      </c>
      <c r="F36" s="12">
        <f>COUNTIFS('🛠️ Breakdown Tracker 2026'!$D$3:$D$200, "UPS &amp; Battery System*", '🛠️ Breakdown Tracker 2026'!$H$3:$H$200, "*Complete*")</f>
        <v>1</v>
      </c>
      <c r="G36" s="14">
        <f ca="1">SUMIFS('🛠️ Breakdown Tracker 2026'!$O$3:$O$200, '🛠️ Breakdown Tracker 2026'!$D$3:$D$200, "UPS &amp; Battery System*")</f>
        <v>34</v>
      </c>
      <c r="H36" s="39">
        <f t="shared" ca="1" si="2"/>
        <v>1.42</v>
      </c>
      <c r="I36" s="15">
        <f ca="1">IFERROR(AVERAGEIFS('🛠️ Breakdown Tracker 2026'!$O$3:$O$200, '🛠️ Breakdown Tracker 2026'!$D$3:$D$200, "UPS &amp; Battery System*", '🛠️ Breakdown Tracker 2026'!$H$3:$H$200, "*Complete*"), 0)</f>
        <v>34</v>
      </c>
    </row>
    <row r="37" spans="2:9" ht="20" customHeight="1">
      <c r="B37" s="40" t="s">
        <v>70</v>
      </c>
      <c r="C37" s="41" t="s">
        <v>71</v>
      </c>
      <c r="D37" s="42" t="s">
        <v>72</v>
      </c>
      <c r="E37" s="3">
        <f>COUNTIF('🛠️ Breakdown Tracker 2026'!$D$3:$D$200, "Toaster Machine*")</f>
        <v>0</v>
      </c>
      <c r="F37" s="4">
        <f>COUNTIFS('🛠️ Breakdown Tracker 2026'!$D$3:$D$200, "Toaster Machine*", '🛠️ Breakdown Tracker 2026'!$H$3:$H$200, "*Complete*")</f>
        <v>0</v>
      </c>
      <c r="G37" s="6">
        <f>SUMIFS('🛠️ Breakdown Tracker 2026'!$O$3:$O$200, '🛠️ Breakdown Tracker 2026'!$D$3:$D$200, "Toaster Machine*")</f>
        <v>0</v>
      </c>
      <c r="H37" s="43">
        <f t="shared" si="2"/>
        <v>0</v>
      </c>
      <c r="I37" s="7">
        <f>IFERROR(AVERAGEIFS('🛠️ Breakdown Tracker 2026'!$O$3:$O$200, '🛠️ Breakdown Tracker 2026'!$D$3:$D$200, "Toaster Machine*", '🛠️ Breakdown Tracker 2026'!$H$3:$H$200, "*Complete*"), 0)</f>
        <v>0</v>
      </c>
    </row>
    <row r="38" spans="2:9" ht="20" customHeight="1">
      <c r="B38" s="36" t="s">
        <v>73</v>
      </c>
      <c r="C38" s="37" t="s">
        <v>74</v>
      </c>
      <c r="D38" s="38" t="s">
        <v>72</v>
      </c>
      <c r="E38" s="11">
        <f>COUNTIF('🛠️ Breakdown Tracker 2026'!$D$3:$D$200, "Ice Maker Machine*")</f>
        <v>2</v>
      </c>
      <c r="F38" s="12">
        <f>COUNTIFS('🛠️ Breakdown Tracker 2026'!$D$3:$D$200, "Ice Maker Machine*", '🛠️ Breakdown Tracker 2026'!$H$3:$H$200, "*Complete*")</f>
        <v>0</v>
      </c>
      <c r="G38" s="14">
        <f ca="1">SUMIFS('🛠️ Breakdown Tracker 2026'!$O$3:$O$200, '🛠️ Breakdown Tracker 2026'!$D$3:$D$200, "Ice Maker Machine*")</f>
        <v>0</v>
      </c>
      <c r="H38" s="39">
        <f t="shared" ca="1" si="2"/>
        <v>0</v>
      </c>
      <c r="I38" s="15">
        <f>IFERROR(AVERAGEIFS('🛠️ Breakdown Tracker 2026'!$O$3:$O$200, '🛠️ Breakdown Tracker 2026'!$D$3:$D$200, "Ice Maker Machine*", '🛠️ Breakdown Tracker 2026'!$H$3:$H$200, "*Complete*"), 0)</f>
        <v>0</v>
      </c>
    </row>
    <row r="39" spans="2:9" ht="20" customHeight="1">
      <c r="B39" s="40" t="s">
        <v>75</v>
      </c>
      <c r="C39" s="41" t="s">
        <v>76</v>
      </c>
      <c r="D39" s="42" t="s">
        <v>72</v>
      </c>
      <c r="E39" s="3">
        <f>COUNTIF('🛠️ Breakdown Tracker 2026'!$D$3:$D$200, "Dishwashing Machine*")</f>
        <v>2</v>
      </c>
      <c r="F39" s="4">
        <f>COUNTIFS('🛠️ Breakdown Tracker 2026'!$D$3:$D$200, "Dishwashing Machine*", '🛠️ Breakdown Tracker 2026'!$H$3:$H$200, "*Complete*")</f>
        <v>0</v>
      </c>
      <c r="G39" s="6">
        <f ca="1">SUMIFS('🛠️ Breakdown Tracker 2026'!$O$3:$O$200, '🛠️ Breakdown Tracker 2026'!$D$3:$D$200, "Dishwashing Machine*")</f>
        <v>0</v>
      </c>
      <c r="H39" s="43">
        <f t="shared" ca="1" si="2"/>
        <v>0</v>
      </c>
      <c r="I39" s="7">
        <f>IFERROR(AVERAGEIFS('🛠️ Breakdown Tracker 2026'!$O$3:$O$200, '🛠️ Breakdown Tracker 2026'!$D$3:$D$200, "Dishwashing Machine*", '🛠️ Breakdown Tracker 2026'!$H$3:$H$200, "*Complete*"), 0)</f>
        <v>0</v>
      </c>
    </row>
    <row r="40" spans="2:9" ht="14" customHeight="1"/>
    <row r="41" spans="2:9" ht="24" customHeight="1">
      <c r="B41" s="88" t="s">
        <v>77</v>
      </c>
      <c r="C41" s="89"/>
      <c r="D41" s="89"/>
      <c r="E41" s="89"/>
      <c r="F41" s="88" t="s">
        <v>78</v>
      </c>
      <c r="G41" s="89"/>
      <c r="H41" s="89"/>
      <c r="I41" s="89"/>
    </row>
    <row r="42" spans="2:9" ht="22" customHeight="1">
      <c r="B42" s="44" t="s">
        <v>79</v>
      </c>
      <c r="C42" s="44" t="s">
        <v>80</v>
      </c>
      <c r="D42" s="44" t="s">
        <v>81</v>
      </c>
      <c r="E42" s="44" t="s">
        <v>82</v>
      </c>
      <c r="F42" s="44" t="s">
        <v>83</v>
      </c>
      <c r="G42" s="44" t="s">
        <v>81</v>
      </c>
      <c r="H42" s="44" t="s">
        <v>84</v>
      </c>
      <c r="I42" s="44" t="s">
        <v>85</v>
      </c>
    </row>
    <row r="43" spans="2:9" ht="20" customHeight="1">
      <c r="B43" s="45" t="s">
        <v>86</v>
      </c>
      <c r="C43" s="46">
        <f>COUNTIF('🛠️ Breakdown Tracker 2026'!$K$3:$K$200, "In-House Team*")</f>
        <v>87</v>
      </c>
      <c r="D43" s="47">
        <f>COUNTIFS('🛠️ Breakdown Tracker 2026'!$K$3:$K$200, "In-House Team*", '🛠️ Breakdown Tracker 2026'!$H$3:$H$200, "*Complete*")</f>
        <v>25</v>
      </c>
      <c r="E43" s="48">
        <f>IFERROR(COUNTIFS('🛠️ Breakdown Tracker 2026'!$K$3:$K$200, "In-House Team*", '🛠️ Breakdown Tracker 2026'!$L$3:$L$200, "Closed*") / C43, 1)</f>
        <v>0.95402298850574707</v>
      </c>
      <c r="F43" s="45" t="s">
        <v>87</v>
      </c>
      <c r="G43" s="46">
        <f>COUNTIFS('🛠️ Breakdown Tracker 2026'!$B$3:$B$200, "&gt;="&amp;DATE(2026,1,1), '🛠️ Breakdown Tracker 2026'!$B$3:$B$200, "&lt;="&amp;DATE(2026,1,31))</f>
        <v>30</v>
      </c>
      <c r="H43" s="49">
        <f ca="1">SUMIFS('🛠️ Breakdown Tracker 2026'!$O$3:$O$200, '🛠️ Breakdown Tracker 2026'!$B$3:$B$200, "&gt;="&amp;DATE(2026,1,1), '🛠️ Breakdown Tracker 2026'!$B$3:$B$200, "&lt;="&amp;DATE(2026,1,31))</f>
        <v>406.20000000000005</v>
      </c>
      <c r="I43" s="48">
        <f>IFERROR(COUNTIFS('🛠️ Breakdown Tracker 2026'!$B$3:$B$200, "&gt;="&amp;DATE(2026,1,1), '🛠️ Breakdown Tracker 2026'!$B$3:$B$200, "&lt;="&amp;DATE(2026,1,31), '🛠️ Breakdown Tracker 2026'!$L$3:$L$200, "Closed*") / G43, 1)</f>
        <v>1</v>
      </c>
    </row>
    <row r="44" spans="2:9" ht="20" customHeight="1">
      <c r="B44" s="50" t="s">
        <v>88</v>
      </c>
      <c r="C44" s="51">
        <f>COUNTIF('🛠️ Breakdown Tracker 2026'!$K$3:$K$200, "Vendor / OEM*")</f>
        <v>76</v>
      </c>
      <c r="D44" s="52">
        <f>COUNTIFS('🛠️ Breakdown Tracker 2026'!$K$3:$K$200, "Vendor / OEM*", '🛠️ Breakdown Tracker 2026'!$H$3:$H$200, "*Complete*")</f>
        <v>18</v>
      </c>
      <c r="E44" s="53">
        <f>IFERROR(COUNTIFS('🛠️ Breakdown Tracker 2026'!$K$3:$K$200, "Vendor / OEM*", '🛠️ Breakdown Tracker 2026'!$L$3:$L$200, "Closed*") / C44, 1)</f>
        <v>0.98684210526315785</v>
      </c>
      <c r="F44" s="50" t="s">
        <v>89</v>
      </c>
      <c r="G44" s="51">
        <f>COUNTIFS('🛠️ Breakdown Tracker 2026'!$B$3:$B$200, "&gt;="&amp;DATE(2026,2,1), '🛠️ Breakdown Tracker 2026'!$B$3:$B$200, "&lt;="&amp;DATE(2026,2,28))</f>
        <v>40</v>
      </c>
      <c r="H44" s="54">
        <f ca="1">SUMIFS('🛠️ Breakdown Tracker 2026'!$O$3:$O$200, '🛠️ Breakdown Tracker 2026'!$B$3:$B$200, "&gt;="&amp;DATE(2026,2,1), '🛠️ Breakdown Tracker 2026'!$B$3:$B$200, "&lt;="&amp;DATE(2026,2,28))</f>
        <v>4442.3</v>
      </c>
      <c r="I44" s="53">
        <f>IFERROR(COUNTIFS('🛠️ Breakdown Tracker 2026'!$B$3:$B$200, "&gt;="&amp;DATE(2026,2,1), '🛠️ Breakdown Tracker 2026'!$B$3:$B$200, "&lt;="&amp;DATE(2026,2,28), '🛠️ Breakdown Tracker 2026'!$L$3:$L$200, "Closed*") / G44, 1)</f>
        <v>0.97499999999999998</v>
      </c>
    </row>
    <row r="45" spans="2:9" ht="20" customHeight="1">
      <c r="B45" s="45" t="s">
        <v>90</v>
      </c>
      <c r="C45" s="46">
        <f>COUNTIF('🛠️ Breakdown Tracker 2026'!$K$3:$K$200, "DLF / Landlord Team*")</f>
        <v>3</v>
      </c>
      <c r="D45" s="47">
        <f>COUNTIFS('🛠️ Breakdown Tracker 2026'!$K$3:$K$200, "DLF / Landlord Team*", '🛠️ Breakdown Tracker 2026'!$H$3:$H$200, "*Complete*")</f>
        <v>1</v>
      </c>
      <c r="E45" s="48">
        <f>IFERROR(COUNTIFS('🛠️ Breakdown Tracker 2026'!$K$3:$K$200, "DLF / Landlord Team*", '🛠️ Breakdown Tracker 2026'!$L$3:$L$200, "Closed*") / C45, 1)</f>
        <v>1</v>
      </c>
      <c r="F45" s="45" t="s">
        <v>91</v>
      </c>
      <c r="G45" s="46">
        <f>COUNTIFS('🛠️ Breakdown Tracker 2026'!$B$3:$B$200, "&gt;="&amp;DATE(2026,3,1), '🛠️ Breakdown Tracker 2026'!$B$3:$B$200, "&lt;="&amp;DATE(2026,3,31))</f>
        <v>41</v>
      </c>
      <c r="H45" s="49">
        <f ca="1">SUMIFS('🛠️ Breakdown Tracker 2026'!$O$3:$O$200, '🛠️ Breakdown Tracker 2026'!$B$3:$B$200, "&gt;="&amp;DATE(2026,3,1), '🛠️ Breakdown Tracker 2026'!$B$3:$B$200, "&lt;="&amp;DATE(2026,3,31))</f>
        <v>80.099999999999994</v>
      </c>
      <c r="I45" s="48">
        <f>IFERROR(COUNTIFS('🛠️ Breakdown Tracker 2026'!$B$3:$B$200, "&gt;="&amp;DATE(2026,3,1), '🛠️ Breakdown Tracker 2026'!$B$3:$B$200, "&lt;="&amp;DATE(2026,3,31), '🛠️ Breakdown Tracker 2026'!$L$3:$L$200, "Closed*") / G45, 1)</f>
        <v>0.95121951219512191</v>
      </c>
    </row>
    <row r="46" spans="2:9" ht="20" customHeight="1">
      <c r="B46" s="50" t="s">
        <v>92</v>
      </c>
      <c r="C46" s="51">
        <f>COUNTIF('🛠️ Breakdown Tracker 2026'!$K$3:$K$200, "Project Team*")</f>
        <v>0</v>
      </c>
      <c r="D46" s="52">
        <f>COUNTIFS('🛠️ Breakdown Tracker 2026'!$K$3:$K$200, "Project Team*", '🛠️ Breakdown Tracker 2026'!$H$3:$H$200, "*Complete*")</f>
        <v>0</v>
      </c>
      <c r="E46" s="53">
        <f>IFERROR(COUNTIFS('🛠️ Breakdown Tracker 2026'!$K$3:$K$200, "Project Team*", '🛠️ Breakdown Tracker 2026'!$L$3:$L$200, "Closed*") / C46, 1)</f>
        <v>1</v>
      </c>
      <c r="F46" s="50" t="s">
        <v>93</v>
      </c>
      <c r="G46" s="51">
        <f>COUNTIFS('🛠️ Breakdown Tracker 2026'!$B$3:$B$200, "&gt;="&amp;DATE(2026,4,1), '🛠️ Breakdown Tracker 2026'!$B$3:$B$200, "&lt;="&amp;DATE(2026,4,30))</f>
        <v>25</v>
      </c>
      <c r="H46" s="54">
        <f ca="1">SUMIFS('🛠️ Breakdown Tracker 2026'!$O$3:$O$200, '🛠️ Breakdown Tracker 2026'!$B$3:$B$200, "&gt;="&amp;DATE(2026,4,1), '🛠️ Breakdown Tracker 2026'!$B$3:$B$200, "&lt;="&amp;DATE(2026,4,30))</f>
        <v>642.29999999999995</v>
      </c>
      <c r="I46" s="53">
        <f>IFERROR(COUNTIFS('🛠️ Breakdown Tracker 2026'!$B$3:$B$200, "&gt;="&amp;DATE(2026,4,1), '🛠️ Breakdown Tracker 2026'!$B$3:$B$200, "&lt;="&amp;DATE(2026,4,30), '🛠️ Breakdown Tracker 2026'!$L$3:$L$200, "Closed*") / G46, 1)</f>
        <v>1</v>
      </c>
    </row>
    <row r="47" spans="2:9">
      <c r="F47" s="45" t="s">
        <v>94</v>
      </c>
      <c r="G47" s="46">
        <f>COUNTIFS('🛠️ Breakdown Tracker 2026'!$B$3:$B$200, "&gt;="&amp;DATE(2026,5,1), '🛠️ Breakdown Tracker 2026'!$B$3:$B$200, "&lt;="&amp;DATE(2026,5,31))</f>
        <v>30</v>
      </c>
      <c r="H47" s="49">
        <f ca="1">SUMIFS('🛠️ Breakdown Tracker 2026'!$O$3:$O$200, '🛠️ Breakdown Tracker 2026'!$B$3:$B$200, "&gt;="&amp;DATE(2026,5,1), '🛠️ Breakdown Tracker 2026'!$B$3:$B$200, "&lt;="&amp;DATE(2026,5,31))</f>
        <v>513.9</v>
      </c>
      <c r="I47" s="48">
        <f>IFERROR(COUNTIFS('🛠️ Breakdown Tracker 2026'!$B$3:$B$200, "&gt;="&amp;DATE(2026,5,1), '🛠️ Breakdown Tracker 2026'!$B$3:$B$200, "&lt;="&amp;DATE(2026,5,31), '🛠️ Breakdown Tracker 2026'!$L$3:$L$200, "Closed*") / G47, 1)</f>
        <v>0.93333333333333335</v>
      </c>
    </row>
    <row r="48" spans="2:9">
      <c r="F48" s="50" t="s">
        <v>95</v>
      </c>
      <c r="G48" s="51">
        <f>COUNTIFS('🛠️ Breakdown Tracker 2026'!$B$3:$B$200, "&gt;="&amp;DATE(2026,6,1), '🛠️ Breakdown Tracker 2026'!$B$3:$B$200, "&lt;="&amp;DATE(2026,6,30))</f>
        <v>0</v>
      </c>
      <c r="H48" s="54">
        <f>SUMIFS('🛠️ Breakdown Tracker 2026'!$O$3:$O$200, '🛠️ Breakdown Tracker 2026'!$B$3:$B$200, "&gt;="&amp;DATE(2026,6,1), '🛠️ Breakdown Tracker 2026'!$B$3:$B$200, "&lt;="&amp;DATE(2026,6,30))</f>
        <v>0</v>
      </c>
      <c r="I48" s="53">
        <f>IFERROR(COUNTIFS('🛠️ Breakdown Tracker 2026'!$B$3:$B$200, "&gt;="&amp;DATE(2026,6,1), '🛠️ Breakdown Tracker 2026'!$B$3:$B$200, "&lt;="&amp;DATE(2026,6,30), '🛠️ Breakdown Tracker 2026'!$L$3:$L$200, "Closed*") / G48, 1)</f>
        <v>1</v>
      </c>
    </row>
  </sheetData>
  <mergeCells count="31">
    <mergeCell ref="B1:I1"/>
    <mergeCell ref="F8:G8"/>
    <mergeCell ref="B10:C10"/>
    <mergeCell ref="B28:I28"/>
    <mergeCell ref="D4:E4"/>
    <mergeCell ref="B9:C9"/>
    <mergeCell ref="D9:E9"/>
    <mergeCell ref="F9:G9"/>
    <mergeCell ref="D8:E8"/>
    <mergeCell ref="B6:C6"/>
    <mergeCell ref="B5:C5"/>
    <mergeCell ref="D5:E5"/>
    <mergeCell ref="H5:I5"/>
    <mergeCell ref="H8:I8"/>
    <mergeCell ref="B4:C4"/>
    <mergeCell ref="B41:E41"/>
    <mergeCell ref="H6:I6"/>
    <mergeCell ref="B2:I2"/>
    <mergeCell ref="F5:G5"/>
    <mergeCell ref="B8:C8"/>
    <mergeCell ref="F41:I41"/>
    <mergeCell ref="B22:I22"/>
    <mergeCell ref="H4:I4"/>
    <mergeCell ref="H9:I9"/>
    <mergeCell ref="B12:I12"/>
    <mergeCell ref="D6:E6"/>
    <mergeCell ref="F4:G4"/>
    <mergeCell ref="D10:E10"/>
    <mergeCell ref="F10:G10"/>
    <mergeCell ref="H10:I10"/>
    <mergeCell ref="F6:G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201"/>
  <sheetViews>
    <sheetView tabSelected="1" workbookViewId="0">
      <pane xSplit="3" ySplit="2" topLeftCell="D160" activePane="bottomRight" state="frozen"/>
      <selection pane="topRight"/>
      <selection pane="bottomLeft"/>
      <selection pane="bottomRight" activeCell="D176" sqref="D176"/>
    </sheetView>
  </sheetViews>
  <sheetFormatPr defaultRowHeight="14.5"/>
  <cols>
    <col min="1" max="1" width="8" customWidth="1"/>
    <col min="2" max="2" width="14" customWidth="1"/>
    <col min="3" max="3" width="12" customWidth="1"/>
    <col min="4" max="4" width="26" customWidth="1"/>
    <col min="5" max="6" width="24" customWidth="1"/>
    <col min="7" max="7" width="42" customWidth="1"/>
    <col min="8" max="8" width="38" customWidth="1"/>
    <col min="9" max="9" width="14" customWidth="1"/>
    <col min="10" max="10" width="40" customWidth="1"/>
    <col min="11" max="11" width="20" customWidth="1"/>
    <col min="12" max="12" width="16" customWidth="1"/>
    <col min="13" max="13" width="14" customWidth="1"/>
    <col min="14" max="14" width="12" customWidth="1"/>
    <col min="15" max="15" width="21.26953125" style="115" customWidth="1"/>
    <col min="16" max="16" width="24" style="115" customWidth="1"/>
    <col min="17" max="17" width="20" style="116" customWidth="1"/>
    <col min="18" max="18" width="22" style="116" customWidth="1"/>
    <col min="19" max="19" width="30" customWidth="1"/>
  </cols>
  <sheetData>
    <row r="1" spans="1:19" ht="22.5">
      <c r="A1" s="99" t="s">
        <v>857</v>
      </c>
      <c r="B1" s="89"/>
      <c r="C1" s="89"/>
      <c r="D1" s="89"/>
      <c r="E1" s="89"/>
      <c r="F1" s="89"/>
      <c r="G1" s="89"/>
      <c r="H1" s="89"/>
      <c r="I1" s="89"/>
      <c r="J1" s="89"/>
      <c r="K1" s="89"/>
      <c r="L1" s="89"/>
      <c r="M1" s="89"/>
      <c r="N1" s="89"/>
      <c r="O1" s="89"/>
      <c r="P1" s="89"/>
      <c r="Q1" s="89"/>
      <c r="R1" s="89"/>
      <c r="S1" s="89"/>
    </row>
    <row r="2" spans="1:19" ht="34">
      <c r="A2" s="117" t="s">
        <v>96</v>
      </c>
      <c r="B2" s="117" t="s">
        <v>97</v>
      </c>
      <c r="C2" s="117" t="s">
        <v>98</v>
      </c>
      <c r="D2" s="117" t="s">
        <v>99</v>
      </c>
      <c r="E2" s="117" t="s">
        <v>100</v>
      </c>
      <c r="F2" s="117" t="s">
        <v>101</v>
      </c>
      <c r="G2" s="117" t="s">
        <v>102</v>
      </c>
      <c r="H2" s="117" t="s">
        <v>103</v>
      </c>
      <c r="I2" s="117" t="s">
        <v>104</v>
      </c>
      <c r="J2" s="117" t="s">
        <v>105</v>
      </c>
      <c r="K2" s="117" t="s">
        <v>79</v>
      </c>
      <c r="L2" s="117" t="s">
        <v>106</v>
      </c>
      <c r="M2" s="117" t="s">
        <v>107</v>
      </c>
      <c r="N2" s="117" t="s">
        <v>108</v>
      </c>
      <c r="O2" s="117" t="s">
        <v>109</v>
      </c>
      <c r="P2" s="117" t="s">
        <v>110</v>
      </c>
      <c r="Q2" s="117" t="s">
        <v>111</v>
      </c>
      <c r="R2" s="117" t="s">
        <v>112</v>
      </c>
      <c r="S2" s="117" t="s">
        <v>113</v>
      </c>
    </row>
    <row r="3" spans="1:19" ht="16">
      <c r="A3" s="118">
        <v>1</v>
      </c>
      <c r="B3" s="119">
        <v>46027</v>
      </c>
      <c r="C3" s="120">
        <v>0.48055555555555562</v>
      </c>
      <c r="D3" s="121" t="s">
        <v>52</v>
      </c>
      <c r="E3" s="122" t="s">
        <v>53</v>
      </c>
      <c r="F3" s="122" t="s">
        <v>114</v>
      </c>
      <c r="G3" s="122" t="s">
        <v>115</v>
      </c>
      <c r="H3" s="123" t="s">
        <v>42</v>
      </c>
      <c r="I3" s="118" t="s">
        <v>116</v>
      </c>
      <c r="J3" s="122" t="s">
        <v>117</v>
      </c>
      <c r="K3" s="122" t="s">
        <v>86</v>
      </c>
      <c r="L3" s="124" t="s">
        <v>36</v>
      </c>
      <c r="M3" s="119">
        <v>46027</v>
      </c>
      <c r="N3" s="120">
        <v>0.75</v>
      </c>
      <c r="O3" s="125">
        <f t="shared" ref="O3:O34" ca="1" si="0">IF(ISBLANK(B3), 0, IF(ISNUMBER(SEARCH("Complete", H3)), IF(ISBLANK(M3), IF(L3="Closed", 4, ROUND(MAX(0, (NOW() - (B3 + IF(ISBLANK(C3), TIME(9,0,0), C3))) * 24), 1)), ROUND(MAX(0, ((M3 + IF(ISBLANK(N3), TIME(18,0,0), N3)) - (B3 + IF(ISBLANK(C3), TIME(9,0,0), C3))) * 24), 1)), 0))</f>
        <v>0</v>
      </c>
      <c r="P3" s="126">
        <f ca="1">ROUND(O3 / 24, 2)</f>
        <v>0</v>
      </c>
      <c r="Q3" s="127">
        <f ca="1">IF(ISBLANK(B3), 0, IF(ISBLANK(M3), IF(L3="Closed", 4, ROUND(MAX(0, (NOW() - (B3 + IF(ISBLANK(C3), TIME(9,0,0), C3))) * 24), 1)), ROUND(MAX(0, ((M3 + IF(ISBLANK(N3), TIME(18,0,0), N3)) - (B3 + IF(ISBLANK(C3), TIME(9,0,0), C3))) * 24), 1)))</f>
        <v>6.5</v>
      </c>
      <c r="R3" s="118">
        <f>IF(ISNUMBER(SEARCH("Complete", H3)), 1, 0)</f>
        <v>0</v>
      </c>
      <c r="S3" s="122" t="s">
        <v>118</v>
      </c>
    </row>
    <row r="4" spans="1:19" ht="16">
      <c r="A4" s="128">
        <v>2</v>
      </c>
      <c r="B4" s="129">
        <v>46028</v>
      </c>
      <c r="C4" s="130">
        <v>0.40138888888888891</v>
      </c>
      <c r="D4" s="131" t="s">
        <v>52</v>
      </c>
      <c r="E4" s="132" t="s">
        <v>53</v>
      </c>
      <c r="F4" s="132" t="s">
        <v>119</v>
      </c>
      <c r="G4" s="132" t="s">
        <v>120</v>
      </c>
      <c r="H4" s="133" t="s">
        <v>42</v>
      </c>
      <c r="I4" s="128" t="s">
        <v>121</v>
      </c>
      <c r="J4" s="132" t="s">
        <v>117</v>
      </c>
      <c r="K4" s="132" t="s">
        <v>86</v>
      </c>
      <c r="L4" s="134" t="s">
        <v>36</v>
      </c>
      <c r="M4" s="129">
        <v>46028</v>
      </c>
      <c r="N4" s="130">
        <v>0.75</v>
      </c>
      <c r="O4" s="135">
        <f t="shared" ca="1" si="0"/>
        <v>0</v>
      </c>
      <c r="P4" s="136">
        <f ca="1">ROUND(O4 / 24, 2)</f>
        <v>0</v>
      </c>
      <c r="Q4" s="137">
        <f ca="1">IF(ISBLANK(B4), 0, IF(ISBLANK(M4), IF(L4="Closed", 4, ROUND(MAX(0, (NOW() - (B4 + IF(ISBLANK(C4), TIME(9,0,0), C4))) * 24), 1)), ROUND(MAX(0, ((M4 + IF(ISBLANK(N4), TIME(18,0,0), N4)) - (B4 + IF(ISBLANK(C4), TIME(9,0,0), C4))) * 24), 1)))</f>
        <v>8.4</v>
      </c>
      <c r="R4" s="128">
        <f>IF(ISNUMBER(SEARCH("Complete", H4)), 1, 0)</f>
        <v>0</v>
      </c>
      <c r="S4" s="132" t="s">
        <v>118</v>
      </c>
    </row>
    <row r="5" spans="1:19" ht="16">
      <c r="A5" s="118">
        <v>3</v>
      </c>
      <c r="B5" s="119">
        <v>46031</v>
      </c>
      <c r="C5" s="120">
        <v>0.43611111111111112</v>
      </c>
      <c r="D5" s="121" t="s">
        <v>52</v>
      </c>
      <c r="E5" s="122" t="s">
        <v>53</v>
      </c>
      <c r="F5" s="122" t="s">
        <v>122</v>
      </c>
      <c r="G5" s="122" t="s">
        <v>123</v>
      </c>
      <c r="H5" s="123" t="s">
        <v>42</v>
      </c>
      <c r="I5" s="118" t="s">
        <v>124</v>
      </c>
      <c r="J5" s="122" t="s">
        <v>117</v>
      </c>
      <c r="K5" s="122" t="s">
        <v>86</v>
      </c>
      <c r="L5" s="124" t="s">
        <v>36</v>
      </c>
      <c r="M5" s="119">
        <v>46031</v>
      </c>
      <c r="N5" s="120">
        <v>0.75</v>
      </c>
      <c r="O5" s="125">
        <f t="shared" ca="1" si="0"/>
        <v>0</v>
      </c>
      <c r="P5" s="126">
        <f ca="1">ROUND(O5 / 24, 2)</f>
        <v>0</v>
      </c>
      <c r="Q5" s="127">
        <f ca="1">IF(ISBLANK(B5), 0, IF(ISBLANK(M5), IF(L5="Closed", 4, ROUND(MAX(0, (NOW() - (B5 + IF(ISBLANK(C5), TIME(9,0,0), C5))) * 24), 1)), ROUND(MAX(0, ((M5 + IF(ISBLANK(N5), TIME(18,0,0), N5)) - (B5 + IF(ISBLANK(C5), TIME(9,0,0), C5))) * 24), 1)))</f>
        <v>7.5</v>
      </c>
      <c r="R5" s="118">
        <f>IF(ISNUMBER(SEARCH("Complete", H5)), 1, 0)</f>
        <v>0</v>
      </c>
      <c r="S5" s="122" t="s">
        <v>118</v>
      </c>
    </row>
    <row r="6" spans="1:19" ht="16">
      <c r="A6" s="128">
        <v>4</v>
      </c>
      <c r="B6" s="129">
        <v>46031</v>
      </c>
      <c r="C6" s="130">
        <v>0.43611111111111112</v>
      </c>
      <c r="D6" s="131" t="s">
        <v>55</v>
      </c>
      <c r="E6" s="132" t="s">
        <v>53</v>
      </c>
      <c r="F6" s="132" t="s">
        <v>125</v>
      </c>
      <c r="G6" s="132" t="s">
        <v>126</v>
      </c>
      <c r="H6" s="133" t="s">
        <v>42</v>
      </c>
      <c r="I6" s="128" t="s">
        <v>127</v>
      </c>
      <c r="J6" s="132" t="s">
        <v>117</v>
      </c>
      <c r="K6" s="132" t="s">
        <v>86</v>
      </c>
      <c r="L6" s="134" t="s">
        <v>36</v>
      </c>
      <c r="M6" s="129">
        <v>46031</v>
      </c>
      <c r="N6" s="130">
        <v>0.75</v>
      </c>
      <c r="O6" s="135">
        <f t="shared" ca="1" si="0"/>
        <v>0</v>
      </c>
      <c r="P6" s="136">
        <f ca="1">ROUND(O6 / 24, 2)</f>
        <v>0</v>
      </c>
      <c r="Q6" s="137">
        <f ca="1">IF(ISBLANK(B6), 0, IF(ISBLANK(M6), IF(L6="Closed", 4, ROUND(MAX(0, (NOW() - (B6 + IF(ISBLANK(C6), TIME(9,0,0), C6))) * 24), 1)), ROUND(MAX(0, ((M6 + IF(ISBLANK(N6), TIME(18,0,0), N6)) - (B6 + IF(ISBLANK(C6), TIME(9,0,0), C6))) * 24), 1)))</f>
        <v>7.5</v>
      </c>
      <c r="R6" s="128">
        <f>IF(ISNUMBER(SEARCH("Complete", H6)), 1, 0)</f>
        <v>0</v>
      </c>
      <c r="S6" s="132" t="s">
        <v>118</v>
      </c>
    </row>
    <row r="7" spans="1:19" ht="16">
      <c r="A7" s="118">
        <v>5</v>
      </c>
      <c r="B7" s="119">
        <v>46034</v>
      </c>
      <c r="C7" s="120">
        <v>0.46250000000000002</v>
      </c>
      <c r="D7" s="121" t="s">
        <v>52</v>
      </c>
      <c r="E7" s="122" t="s">
        <v>53</v>
      </c>
      <c r="F7" s="122" t="s">
        <v>119</v>
      </c>
      <c r="G7" s="122" t="s">
        <v>128</v>
      </c>
      <c r="H7" s="123" t="s">
        <v>42</v>
      </c>
      <c r="I7" s="118" t="s">
        <v>129</v>
      </c>
      <c r="J7" s="122" t="s">
        <v>117</v>
      </c>
      <c r="K7" s="122" t="s">
        <v>86</v>
      </c>
      <c r="L7" s="124" t="s">
        <v>36</v>
      </c>
      <c r="M7" s="119">
        <v>46034</v>
      </c>
      <c r="N7" s="120">
        <v>0.75</v>
      </c>
      <c r="O7" s="125">
        <f t="shared" ca="1" si="0"/>
        <v>0</v>
      </c>
      <c r="P7" s="126">
        <f ca="1">ROUND(O7 / 24, 2)</f>
        <v>0</v>
      </c>
      <c r="Q7" s="127">
        <f ca="1">IF(ISBLANK(B7), 0, IF(ISBLANK(M7), IF(L7="Closed", 4, ROUND(MAX(0, (NOW() - (B7 + IF(ISBLANK(C7), TIME(9,0,0), C7))) * 24), 1)), ROUND(MAX(0, ((M7 + IF(ISBLANK(N7), TIME(18,0,0), N7)) - (B7 + IF(ISBLANK(C7), TIME(9,0,0), C7))) * 24), 1)))</f>
        <v>6.9</v>
      </c>
      <c r="R7" s="118">
        <f>IF(ISNUMBER(SEARCH("Complete", H7)), 1, 0)</f>
        <v>0</v>
      </c>
      <c r="S7" s="122" t="s">
        <v>118</v>
      </c>
    </row>
    <row r="8" spans="1:19" ht="16">
      <c r="A8" s="128">
        <v>6</v>
      </c>
      <c r="B8" s="129">
        <v>46035</v>
      </c>
      <c r="C8" s="130">
        <v>0.33333333333333331</v>
      </c>
      <c r="D8" s="131" t="s">
        <v>68</v>
      </c>
      <c r="E8" s="132" t="s">
        <v>69</v>
      </c>
      <c r="F8" s="132" t="s">
        <v>114</v>
      </c>
      <c r="G8" s="132" t="s">
        <v>130</v>
      </c>
      <c r="H8" s="133" t="s">
        <v>40</v>
      </c>
      <c r="I8" s="128" t="s">
        <v>131</v>
      </c>
      <c r="J8" s="132" t="s">
        <v>117</v>
      </c>
      <c r="K8" s="132" t="s">
        <v>86</v>
      </c>
      <c r="L8" s="134" t="s">
        <v>36</v>
      </c>
      <c r="M8" s="129">
        <v>46036</v>
      </c>
      <c r="N8" s="130">
        <v>0.75</v>
      </c>
      <c r="O8" s="135">
        <f t="shared" ca="1" si="0"/>
        <v>34</v>
      </c>
      <c r="P8" s="136">
        <f ca="1">ROUND(O8 / 24, 2)</f>
        <v>1.42</v>
      </c>
      <c r="Q8" s="137">
        <f ca="1">IF(ISBLANK(B8), 0, IF(ISBLANK(M8), IF(L8="Closed", 4, ROUND(MAX(0, (NOW() - (B8 + IF(ISBLANK(C8), TIME(9,0,0), C8))) * 24), 1)), ROUND(MAX(0, ((M8 + IF(ISBLANK(N8), TIME(18,0,0), N8)) - (B8 + IF(ISBLANK(C8), TIME(9,0,0), C8))) * 24), 1)))</f>
        <v>34</v>
      </c>
      <c r="R8" s="128">
        <f>IF(ISNUMBER(SEARCH("Complete", H8)), 1, 0)</f>
        <v>1</v>
      </c>
      <c r="S8" s="132" t="s">
        <v>118</v>
      </c>
    </row>
    <row r="9" spans="1:19" ht="16">
      <c r="A9" s="118">
        <v>7</v>
      </c>
      <c r="B9" s="119">
        <v>46035</v>
      </c>
      <c r="C9" s="120">
        <v>0.64583333333333337</v>
      </c>
      <c r="D9" s="121" t="s">
        <v>132</v>
      </c>
      <c r="E9" s="122" t="s">
        <v>63</v>
      </c>
      <c r="F9" s="122" t="s">
        <v>133</v>
      </c>
      <c r="G9" s="122" t="s">
        <v>134</v>
      </c>
      <c r="H9" s="123" t="s">
        <v>42</v>
      </c>
      <c r="I9" s="118" t="s">
        <v>131</v>
      </c>
      <c r="J9" s="122" t="s">
        <v>117</v>
      </c>
      <c r="K9" s="122" t="s">
        <v>86</v>
      </c>
      <c r="L9" s="124" t="s">
        <v>36</v>
      </c>
      <c r="M9" s="119">
        <v>46036</v>
      </c>
      <c r="N9" s="120">
        <v>0.75</v>
      </c>
      <c r="O9" s="125">
        <f t="shared" ca="1" si="0"/>
        <v>0</v>
      </c>
      <c r="P9" s="126">
        <f ca="1">ROUND(O9 / 24, 2)</f>
        <v>0</v>
      </c>
      <c r="Q9" s="127">
        <f ca="1">IF(ISBLANK(B9), 0, IF(ISBLANK(M9), IF(L9="Closed", 4, ROUND(MAX(0, (NOW() - (B9 + IF(ISBLANK(C9), TIME(9,0,0), C9))) * 24), 1)), ROUND(MAX(0, ((M9 + IF(ISBLANK(N9), TIME(18,0,0), N9)) - (B9 + IF(ISBLANK(C9), TIME(9,0,0), C9))) * 24), 1)))</f>
        <v>26.5</v>
      </c>
      <c r="R9" s="118">
        <f>IF(ISNUMBER(SEARCH("Complete", H9)), 1, 0)</f>
        <v>0</v>
      </c>
      <c r="S9" s="122" t="s">
        <v>135</v>
      </c>
    </row>
    <row r="10" spans="1:19" ht="16">
      <c r="A10" s="128">
        <v>8</v>
      </c>
      <c r="B10" s="129">
        <v>46035</v>
      </c>
      <c r="C10" s="130">
        <v>0.76388888888888884</v>
      </c>
      <c r="D10" s="131" t="s">
        <v>136</v>
      </c>
      <c r="E10" s="132" t="s">
        <v>69</v>
      </c>
      <c r="F10" s="132" t="s">
        <v>137</v>
      </c>
      <c r="G10" s="132" t="s">
        <v>138</v>
      </c>
      <c r="H10" s="133" t="s">
        <v>42</v>
      </c>
      <c r="I10" s="128" t="s">
        <v>131</v>
      </c>
      <c r="J10" s="132" t="s">
        <v>117</v>
      </c>
      <c r="K10" s="132" t="s">
        <v>86</v>
      </c>
      <c r="L10" s="134" t="s">
        <v>36</v>
      </c>
      <c r="M10" s="129">
        <v>46036</v>
      </c>
      <c r="N10" s="130">
        <v>0.75</v>
      </c>
      <c r="O10" s="135">
        <f t="shared" ca="1" si="0"/>
        <v>0</v>
      </c>
      <c r="P10" s="136">
        <f ca="1">ROUND(O10 / 24, 2)</f>
        <v>0</v>
      </c>
      <c r="Q10" s="137">
        <f ca="1">IF(ISBLANK(B10), 0, IF(ISBLANK(M10), IF(L10="Closed", 4, ROUND(MAX(0, (NOW() - (B10 + IF(ISBLANK(C10), TIME(9,0,0), C10))) * 24), 1)), ROUND(MAX(0, ((M10 + IF(ISBLANK(N10), TIME(18,0,0), N10)) - (B10 + IF(ISBLANK(C10), TIME(9,0,0), C10))) * 24), 1)))</f>
        <v>23.7</v>
      </c>
      <c r="R10" s="128">
        <f>IF(ISNUMBER(SEARCH("Complete", H10)), 1, 0)</f>
        <v>0</v>
      </c>
      <c r="S10" s="132" t="s">
        <v>135</v>
      </c>
    </row>
    <row r="11" spans="1:19" ht="16">
      <c r="A11" s="118">
        <v>9</v>
      </c>
      <c r="B11" s="119">
        <v>46037</v>
      </c>
      <c r="C11" s="120">
        <v>0.375</v>
      </c>
      <c r="D11" s="121" t="s">
        <v>52</v>
      </c>
      <c r="E11" s="122" t="s">
        <v>53</v>
      </c>
      <c r="F11" s="122" t="s">
        <v>139</v>
      </c>
      <c r="G11" s="122" t="s">
        <v>140</v>
      </c>
      <c r="H11" s="123" t="s">
        <v>42</v>
      </c>
      <c r="I11" s="118" t="s">
        <v>141</v>
      </c>
      <c r="J11" s="122" t="s">
        <v>142</v>
      </c>
      <c r="K11" s="122" t="s">
        <v>88</v>
      </c>
      <c r="L11" s="124" t="s">
        <v>36</v>
      </c>
      <c r="M11" s="119">
        <v>46037</v>
      </c>
      <c r="N11" s="120">
        <v>0.75</v>
      </c>
      <c r="O11" s="125">
        <f t="shared" ca="1" si="0"/>
        <v>0</v>
      </c>
      <c r="P11" s="126">
        <f ca="1">ROUND(O11 / 24, 2)</f>
        <v>0</v>
      </c>
      <c r="Q11" s="127">
        <f ca="1">IF(ISBLANK(B11), 0, IF(ISBLANK(M11), IF(L11="Closed", 4, ROUND(MAX(0, (NOW() - (B11 + IF(ISBLANK(C11), TIME(9,0,0), C11))) * 24), 1)), ROUND(MAX(0, ((M11 + IF(ISBLANK(N11), TIME(18,0,0), N11)) - (B11 + IF(ISBLANK(C11), TIME(9,0,0), C11))) * 24), 1)))</f>
        <v>9</v>
      </c>
      <c r="R11" s="118">
        <f>IF(ISNUMBER(SEARCH("Complete", H11)), 1, 0)</f>
        <v>0</v>
      </c>
      <c r="S11" s="122" t="s">
        <v>143</v>
      </c>
    </row>
    <row r="12" spans="1:19" ht="16">
      <c r="A12" s="128">
        <v>10</v>
      </c>
      <c r="B12" s="129">
        <v>46037</v>
      </c>
      <c r="C12" s="130">
        <v>0.375</v>
      </c>
      <c r="D12" s="131" t="s">
        <v>52</v>
      </c>
      <c r="E12" s="132" t="s">
        <v>53</v>
      </c>
      <c r="F12" s="132" t="s">
        <v>144</v>
      </c>
      <c r="G12" s="132" t="s">
        <v>145</v>
      </c>
      <c r="H12" s="133" t="s">
        <v>42</v>
      </c>
      <c r="I12" s="128" t="s">
        <v>146</v>
      </c>
      <c r="J12" s="132" t="s">
        <v>142</v>
      </c>
      <c r="K12" s="132" t="s">
        <v>88</v>
      </c>
      <c r="L12" s="134" t="s">
        <v>36</v>
      </c>
      <c r="M12" s="129">
        <v>46037</v>
      </c>
      <c r="N12" s="130">
        <v>0.75</v>
      </c>
      <c r="O12" s="135">
        <f t="shared" ca="1" si="0"/>
        <v>0</v>
      </c>
      <c r="P12" s="136">
        <f ca="1">ROUND(O12 / 24, 2)</f>
        <v>0</v>
      </c>
      <c r="Q12" s="137">
        <f ca="1">IF(ISBLANK(B12), 0, IF(ISBLANK(M12), IF(L12="Closed", 4, ROUND(MAX(0, (NOW() - (B12 + IF(ISBLANK(C12), TIME(9,0,0), C12))) * 24), 1)), ROUND(MAX(0, ((M12 + IF(ISBLANK(N12), TIME(18,0,0), N12)) - (B12 + IF(ISBLANK(C12), TIME(9,0,0), C12))) * 24), 1)))</f>
        <v>9</v>
      </c>
      <c r="R12" s="128">
        <f>IF(ISNUMBER(SEARCH("Complete", H12)), 1, 0)</f>
        <v>0</v>
      </c>
      <c r="S12" s="132" t="s">
        <v>143</v>
      </c>
    </row>
    <row r="13" spans="1:19" ht="16">
      <c r="A13" s="118">
        <v>11</v>
      </c>
      <c r="B13" s="119">
        <v>46039</v>
      </c>
      <c r="C13" s="120">
        <v>0.44444444444444442</v>
      </c>
      <c r="D13" s="121" t="s">
        <v>147</v>
      </c>
      <c r="E13" s="122" t="s">
        <v>69</v>
      </c>
      <c r="F13" s="122" t="s">
        <v>148</v>
      </c>
      <c r="G13" s="122" t="s">
        <v>149</v>
      </c>
      <c r="H13" s="123" t="s">
        <v>42</v>
      </c>
      <c r="I13" s="118" t="s">
        <v>131</v>
      </c>
      <c r="J13" s="122" t="s">
        <v>117</v>
      </c>
      <c r="K13" s="122" t="s">
        <v>86</v>
      </c>
      <c r="L13" s="124" t="s">
        <v>36</v>
      </c>
      <c r="M13" s="119">
        <v>46039</v>
      </c>
      <c r="N13" s="120">
        <v>0.75</v>
      </c>
      <c r="O13" s="125">
        <f t="shared" ca="1" si="0"/>
        <v>0</v>
      </c>
      <c r="P13" s="126">
        <f ca="1">ROUND(O13 / 24, 2)</f>
        <v>0</v>
      </c>
      <c r="Q13" s="127">
        <f ca="1">IF(ISBLANK(B13), 0, IF(ISBLANK(M13), IF(L13="Closed", 4, ROUND(MAX(0, (NOW() - (B13 + IF(ISBLANK(C13), TIME(9,0,0), C13))) * 24), 1)), ROUND(MAX(0, ((M13 + IF(ISBLANK(N13), TIME(18,0,0), N13)) - (B13 + IF(ISBLANK(C13), TIME(9,0,0), C13))) * 24), 1)))</f>
        <v>7.3</v>
      </c>
      <c r="R13" s="118">
        <f>IF(ISNUMBER(SEARCH("Complete", H13)), 1, 0)</f>
        <v>0</v>
      </c>
      <c r="S13" s="122" t="s">
        <v>118</v>
      </c>
    </row>
    <row r="14" spans="1:19" ht="16">
      <c r="A14" s="128">
        <v>12</v>
      </c>
      <c r="B14" s="129">
        <v>46039</v>
      </c>
      <c r="C14" s="130">
        <v>0.47499999999999998</v>
      </c>
      <c r="D14" s="131" t="s">
        <v>150</v>
      </c>
      <c r="E14" s="132" t="s">
        <v>53</v>
      </c>
      <c r="F14" s="132" t="s">
        <v>133</v>
      </c>
      <c r="G14" s="132" t="s">
        <v>151</v>
      </c>
      <c r="H14" s="133" t="s">
        <v>42</v>
      </c>
      <c r="I14" s="128" t="s">
        <v>131</v>
      </c>
      <c r="J14" s="132" t="s">
        <v>117</v>
      </c>
      <c r="K14" s="132" t="s">
        <v>86</v>
      </c>
      <c r="L14" s="134" t="s">
        <v>36</v>
      </c>
      <c r="M14" s="129">
        <v>46039</v>
      </c>
      <c r="N14" s="130">
        <v>0.75</v>
      </c>
      <c r="O14" s="135">
        <f t="shared" ca="1" si="0"/>
        <v>0</v>
      </c>
      <c r="P14" s="136">
        <f ca="1">ROUND(O14 / 24, 2)</f>
        <v>0</v>
      </c>
      <c r="Q14" s="137">
        <f ca="1">IF(ISBLANK(B14), 0, IF(ISBLANK(M14), IF(L14="Closed", 4, ROUND(MAX(0, (NOW() - (B14 + IF(ISBLANK(C14), TIME(9,0,0), C14))) * 24), 1)), ROUND(MAX(0, ((M14 + IF(ISBLANK(N14), TIME(18,0,0), N14)) - (B14 + IF(ISBLANK(C14), TIME(9,0,0), C14))) * 24), 1)))</f>
        <v>6.6</v>
      </c>
      <c r="R14" s="128">
        <f>IF(ISNUMBER(SEARCH("Complete", H14)), 1, 0)</f>
        <v>0</v>
      </c>
      <c r="S14" s="132" t="s">
        <v>135</v>
      </c>
    </row>
    <row r="15" spans="1:19" ht="16">
      <c r="A15" s="118">
        <v>13</v>
      </c>
      <c r="B15" s="119">
        <v>46041</v>
      </c>
      <c r="C15" s="120">
        <v>0.45</v>
      </c>
      <c r="D15" s="121" t="s">
        <v>152</v>
      </c>
      <c r="E15" s="122" t="s">
        <v>66</v>
      </c>
      <c r="F15" s="122" t="s">
        <v>153</v>
      </c>
      <c r="G15" s="122" t="s">
        <v>154</v>
      </c>
      <c r="H15" s="123" t="s">
        <v>42</v>
      </c>
      <c r="I15" s="118" t="s">
        <v>155</v>
      </c>
      <c r="J15" s="122" t="s">
        <v>142</v>
      </c>
      <c r="K15" s="122" t="s">
        <v>88</v>
      </c>
      <c r="L15" s="124" t="s">
        <v>36</v>
      </c>
      <c r="M15" s="119">
        <v>46041</v>
      </c>
      <c r="N15" s="120">
        <v>0.75</v>
      </c>
      <c r="O15" s="125">
        <f t="shared" ca="1" si="0"/>
        <v>0</v>
      </c>
      <c r="P15" s="126">
        <f ca="1">ROUND(O15 / 24, 2)</f>
        <v>0</v>
      </c>
      <c r="Q15" s="127">
        <f ca="1">IF(ISBLANK(B15), 0, IF(ISBLANK(M15), IF(L15="Closed", 4, ROUND(MAX(0, (NOW() - (B15 + IF(ISBLANK(C15), TIME(9,0,0), C15))) * 24), 1)), ROUND(MAX(0, ((M15 + IF(ISBLANK(N15), TIME(18,0,0), N15)) - (B15 + IF(ISBLANK(C15), TIME(9,0,0), C15))) * 24), 1)))</f>
        <v>7.2</v>
      </c>
      <c r="R15" s="118">
        <f>IF(ISNUMBER(SEARCH("Complete", H15)), 1, 0)</f>
        <v>0</v>
      </c>
      <c r="S15" s="122" t="s">
        <v>143</v>
      </c>
    </row>
    <row r="16" spans="1:19" ht="16">
      <c r="A16" s="128">
        <v>14</v>
      </c>
      <c r="B16" s="129">
        <v>46041</v>
      </c>
      <c r="C16" s="130">
        <v>0.45</v>
      </c>
      <c r="D16" s="131" t="s">
        <v>55</v>
      </c>
      <c r="E16" s="132" t="s">
        <v>53</v>
      </c>
      <c r="F16" s="132" t="s">
        <v>114</v>
      </c>
      <c r="G16" s="132" t="s">
        <v>156</v>
      </c>
      <c r="H16" s="133" t="s">
        <v>42</v>
      </c>
      <c r="I16" s="128" t="s">
        <v>157</v>
      </c>
      <c r="J16" s="132" t="s">
        <v>142</v>
      </c>
      <c r="K16" s="132" t="s">
        <v>88</v>
      </c>
      <c r="L16" s="134" t="s">
        <v>36</v>
      </c>
      <c r="M16" s="129">
        <v>46041</v>
      </c>
      <c r="N16" s="130">
        <v>0.75</v>
      </c>
      <c r="O16" s="135">
        <f t="shared" ca="1" si="0"/>
        <v>0</v>
      </c>
      <c r="P16" s="136">
        <f ca="1">ROUND(O16 / 24, 2)</f>
        <v>0</v>
      </c>
      <c r="Q16" s="137">
        <f ca="1">IF(ISBLANK(B16), 0, IF(ISBLANK(M16), IF(L16="Closed", 4, ROUND(MAX(0, (NOW() - (B16 + IF(ISBLANK(C16), TIME(9,0,0), C16))) * 24), 1)), ROUND(MAX(0, ((M16 + IF(ISBLANK(N16), TIME(18,0,0), N16)) - (B16 + IF(ISBLANK(C16), TIME(9,0,0), C16))) * 24), 1)))</f>
        <v>7.2</v>
      </c>
      <c r="R16" s="128">
        <f>IF(ISNUMBER(SEARCH("Complete", H16)), 1, 0)</f>
        <v>0</v>
      </c>
      <c r="S16" s="132" t="s">
        <v>143</v>
      </c>
    </row>
    <row r="17" spans="1:19" ht="16">
      <c r="A17" s="118">
        <v>15</v>
      </c>
      <c r="B17" s="119">
        <v>46041</v>
      </c>
      <c r="C17" s="120">
        <v>0.45</v>
      </c>
      <c r="D17" s="121" t="s">
        <v>52</v>
      </c>
      <c r="E17" s="122" t="s">
        <v>53</v>
      </c>
      <c r="F17" s="122" t="s">
        <v>122</v>
      </c>
      <c r="G17" s="122" t="s">
        <v>158</v>
      </c>
      <c r="H17" s="123" t="s">
        <v>42</v>
      </c>
      <c r="I17" s="118" t="s">
        <v>159</v>
      </c>
      <c r="J17" s="122" t="s">
        <v>142</v>
      </c>
      <c r="K17" s="122" t="s">
        <v>88</v>
      </c>
      <c r="L17" s="124" t="s">
        <v>36</v>
      </c>
      <c r="M17" s="119">
        <v>46041</v>
      </c>
      <c r="N17" s="120">
        <v>0.75</v>
      </c>
      <c r="O17" s="125">
        <f t="shared" ca="1" si="0"/>
        <v>0</v>
      </c>
      <c r="P17" s="126">
        <f ca="1">ROUND(O17 / 24, 2)</f>
        <v>0</v>
      </c>
      <c r="Q17" s="127">
        <f ca="1">IF(ISBLANK(B17), 0, IF(ISBLANK(M17), IF(L17="Closed", 4, ROUND(MAX(0, (NOW() - (B17 + IF(ISBLANK(C17), TIME(9,0,0), C17))) * 24), 1)), ROUND(MAX(0, ((M17 + IF(ISBLANK(N17), TIME(18,0,0), N17)) - (B17 + IF(ISBLANK(C17), TIME(9,0,0), C17))) * 24), 1)))</f>
        <v>7.2</v>
      </c>
      <c r="R17" s="118">
        <f>IF(ISNUMBER(SEARCH("Complete", H17)), 1, 0)</f>
        <v>0</v>
      </c>
      <c r="S17" s="122" t="s">
        <v>143</v>
      </c>
    </row>
    <row r="18" spans="1:19" ht="16">
      <c r="A18" s="128">
        <v>16</v>
      </c>
      <c r="B18" s="129">
        <v>46042</v>
      </c>
      <c r="C18" s="130">
        <v>0.33611111111111108</v>
      </c>
      <c r="D18" s="131" t="s">
        <v>65</v>
      </c>
      <c r="E18" s="132" t="s">
        <v>66</v>
      </c>
      <c r="F18" s="132" t="s">
        <v>114</v>
      </c>
      <c r="G18" s="132" t="s">
        <v>160</v>
      </c>
      <c r="H18" s="133" t="s">
        <v>42</v>
      </c>
      <c r="I18" s="128" t="s">
        <v>131</v>
      </c>
      <c r="J18" s="132" t="s">
        <v>117</v>
      </c>
      <c r="K18" s="132" t="s">
        <v>86</v>
      </c>
      <c r="L18" s="134" t="s">
        <v>36</v>
      </c>
      <c r="M18" s="129">
        <v>46047</v>
      </c>
      <c r="N18" s="130">
        <v>0.75</v>
      </c>
      <c r="O18" s="135">
        <f t="shared" ca="1" si="0"/>
        <v>0</v>
      </c>
      <c r="P18" s="136">
        <f ca="1">ROUND(O18 / 24, 2)</f>
        <v>0</v>
      </c>
      <c r="Q18" s="137">
        <f ca="1">IF(ISBLANK(B18), 0, IF(ISBLANK(M18), IF(L18="Closed", 4, ROUND(MAX(0, (NOW() - (B18 + IF(ISBLANK(C18), TIME(9,0,0), C18))) * 24), 1)), ROUND(MAX(0, ((M18 + IF(ISBLANK(N18), TIME(18,0,0), N18)) - (B18 + IF(ISBLANK(C18), TIME(9,0,0), C18))) * 24), 1)))</f>
        <v>129.9</v>
      </c>
      <c r="R18" s="128">
        <f>IF(ISNUMBER(SEARCH("Complete", H18)), 1, 0)</f>
        <v>0</v>
      </c>
      <c r="S18" s="132" t="s">
        <v>118</v>
      </c>
    </row>
    <row r="19" spans="1:19" ht="16">
      <c r="A19" s="118">
        <v>17</v>
      </c>
      <c r="B19" s="119">
        <v>46044</v>
      </c>
      <c r="C19" s="120">
        <v>0.52361111111111114</v>
      </c>
      <c r="D19" s="121" t="s">
        <v>161</v>
      </c>
      <c r="E19" s="122" t="s">
        <v>58</v>
      </c>
      <c r="F19" s="122" t="s">
        <v>162</v>
      </c>
      <c r="G19" s="122" t="s">
        <v>163</v>
      </c>
      <c r="H19" s="123" t="s">
        <v>40</v>
      </c>
      <c r="I19" s="118" t="s">
        <v>131</v>
      </c>
      <c r="J19" s="122" t="s">
        <v>117</v>
      </c>
      <c r="K19" s="122" t="s">
        <v>86</v>
      </c>
      <c r="L19" s="124" t="s">
        <v>36</v>
      </c>
      <c r="M19" s="119">
        <v>46048</v>
      </c>
      <c r="N19" s="120">
        <v>0.75</v>
      </c>
      <c r="O19" s="125">
        <f t="shared" ca="1" si="0"/>
        <v>101.4</v>
      </c>
      <c r="P19" s="126">
        <f ca="1">ROUND(O19 / 24, 2)</f>
        <v>4.2300000000000004</v>
      </c>
      <c r="Q19" s="127">
        <f ca="1">IF(ISBLANK(B19), 0, IF(ISBLANK(M19), IF(L19="Closed", 4, ROUND(MAX(0, (NOW() - (B19 + IF(ISBLANK(C19), TIME(9,0,0), C19))) * 24), 1)), ROUND(MAX(0, ((M19 + IF(ISBLANK(N19), TIME(18,0,0), N19)) - (B19 + IF(ISBLANK(C19), TIME(9,0,0), C19))) * 24), 1)))</f>
        <v>101.4</v>
      </c>
      <c r="R19" s="118">
        <f>IF(ISNUMBER(SEARCH("Complete", H19)), 1, 0)</f>
        <v>1</v>
      </c>
      <c r="S19" s="122" t="s">
        <v>135</v>
      </c>
    </row>
    <row r="20" spans="1:19" ht="16">
      <c r="A20" s="128">
        <v>18</v>
      </c>
      <c r="B20" s="129">
        <v>46044</v>
      </c>
      <c r="C20" s="130">
        <v>0.46944444444444439</v>
      </c>
      <c r="D20" s="131" t="s">
        <v>164</v>
      </c>
      <c r="E20" s="132" t="s">
        <v>53</v>
      </c>
      <c r="F20" s="132" t="s">
        <v>133</v>
      </c>
      <c r="G20" s="132" t="s">
        <v>165</v>
      </c>
      <c r="H20" s="133" t="s">
        <v>40</v>
      </c>
      <c r="I20" s="128" t="s">
        <v>131</v>
      </c>
      <c r="J20" s="132" t="s">
        <v>117</v>
      </c>
      <c r="K20" s="132" t="s">
        <v>86</v>
      </c>
      <c r="L20" s="134" t="s">
        <v>36</v>
      </c>
      <c r="M20" s="129">
        <v>46044</v>
      </c>
      <c r="N20" s="130">
        <v>0.75</v>
      </c>
      <c r="O20" s="135">
        <f t="shared" ca="1" si="0"/>
        <v>6.7</v>
      </c>
      <c r="P20" s="136">
        <f ca="1">ROUND(O20 / 24, 2)</f>
        <v>0.28000000000000003</v>
      </c>
      <c r="Q20" s="137">
        <f ca="1">IF(ISBLANK(B20), 0, IF(ISBLANK(M20), IF(L20="Closed", 4, ROUND(MAX(0, (NOW() - (B20 + IF(ISBLANK(C20), TIME(9,0,0), C20))) * 24), 1)), ROUND(MAX(0, ((M20 + IF(ISBLANK(N20), TIME(18,0,0), N20)) - (B20 + IF(ISBLANK(C20), TIME(9,0,0), C20))) * 24), 1)))</f>
        <v>6.7</v>
      </c>
      <c r="R20" s="128">
        <f>IF(ISNUMBER(SEARCH("Complete", H20)), 1, 0)</f>
        <v>1</v>
      </c>
      <c r="S20" s="132" t="s">
        <v>135</v>
      </c>
    </row>
    <row r="21" spans="1:19" ht="16">
      <c r="A21" s="118">
        <v>19</v>
      </c>
      <c r="B21" s="119">
        <v>46045</v>
      </c>
      <c r="C21" s="120">
        <v>0.75694444444444442</v>
      </c>
      <c r="D21" s="121" t="s">
        <v>166</v>
      </c>
      <c r="E21" s="122" t="s">
        <v>66</v>
      </c>
      <c r="F21" s="122" t="s">
        <v>167</v>
      </c>
      <c r="G21" s="122" t="s">
        <v>168</v>
      </c>
      <c r="H21" s="123" t="s">
        <v>40</v>
      </c>
      <c r="I21" s="118" t="s">
        <v>131</v>
      </c>
      <c r="J21" s="122" t="s">
        <v>169</v>
      </c>
      <c r="K21" s="122" t="s">
        <v>88</v>
      </c>
      <c r="L21" s="124" t="s">
        <v>36</v>
      </c>
      <c r="M21" s="119">
        <v>46046</v>
      </c>
      <c r="N21" s="120">
        <v>0.75</v>
      </c>
      <c r="O21" s="125">
        <f t="shared" ca="1" si="0"/>
        <v>23.8</v>
      </c>
      <c r="P21" s="126">
        <f ca="1">ROUND(O21 / 24, 2)</f>
        <v>0.99</v>
      </c>
      <c r="Q21" s="127">
        <f ca="1">IF(ISBLANK(B21), 0, IF(ISBLANK(M21), IF(L21="Closed", 4, ROUND(MAX(0, (NOW() - (B21 + IF(ISBLANK(C21), TIME(9,0,0), C21))) * 24), 1)), ROUND(MAX(0, ((M21 + IF(ISBLANK(N21), TIME(18,0,0), N21)) - (B21 + IF(ISBLANK(C21), TIME(9,0,0), C21))) * 24), 1)))</f>
        <v>23.8</v>
      </c>
      <c r="R21" s="118">
        <f>IF(ISNUMBER(SEARCH("Complete", H21)), 1, 0)</f>
        <v>1</v>
      </c>
      <c r="S21" s="122" t="s">
        <v>169</v>
      </c>
    </row>
    <row r="22" spans="1:19" ht="16">
      <c r="A22" s="128">
        <v>20</v>
      </c>
      <c r="B22" s="129">
        <v>46045</v>
      </c>
      <c r="C22" s="130">
        <v>0.40486111111111112</v>
      </c>
      <c r="D22" s="131" t="s">
        <v>170</v>
      </c>
      <c r="E22" s="132" t="s">
        <v>69</v>
      </c>
      <c r="F22" s="132" t="s">
        <v>153</v>
      </c>
      <c r="G22" s="132" t="s">
        <v>171</v>
      </c>
      <c r="H22" s="133" t="s">
        <v>42</v>
      </c>
      <c r="I22" s="128" t="s">
        <v>131</v>
      </c>
      <c r="J22" s="132" t="s">
        <v>117</v>
      </c>
      <c r="K22" s="132" t="s">
        <v>86</v>
      </c>
      <c r="L22" s="134" t="s">
        <v>36</v>
      </c>
      <c r="M22" s="129">
        <v>46044</v>
      </c>
      <c r="N22" s="130">
        <v>0.75</v>
      </c>
      <c r="O22" s="135">
        <f t="shared" ca="1" si="0"/>
        <v>0</v>
      </c>
      <c r="P22" s="136">
        <f ca="1">ROUND(O22 / 24, 2)</f>
        <v>0</v>
      </c>
      <c r="Q22" s="137">
        <f ca="1">IF(ISBLANK(B22), 0, IF(ISBLANK(M22), IF(L22="Closed", 4, ROUND(MAX(0, (NOW() - (B22 + IF(ISBLANK(C22), TIME(9,0,0), C22))) * 24), 1)), ROUND(MAX(0, ((M22 + IF(ISBLANK(N22), TIME(18,0,0), N22)) - (B22 + IF(ISBLANK(C22), TIME(9,0,0), C22))) * 24), 1)))</f>
        <v>0</v>
      </c>
      <c r="R22" s="128">
        <f>IF(ISNUMBER(SEARCH("Complete", H22)), 1, 0)</f>
        <v>0</v>
      </c>
      <c r="S22" s="132" t="s">
        <v>135</v>
      </c>
    </row>
    <row r="23" spans="1:19" ht="16">
      <c r="A23" s="118">
        <v>21</v>
      </c>
      <c r="B23" s="119">
        <v>46045</v>
      </c>
      <c r="C23" s="120">
        <v>0.44444444444444442</v>
      </c>
      <c r="D23" s="121" t="s">
        <v>68</v>
      </c>
      <c r="E23" s="122" t="s">
        <v>69</v>
      </c>
      <c r="F23" s="122" t="s">
        <v>114</v>
      </c>
      <c r="G23" s="122" t="s">
        <v>172</v>
      </c>
      <c r="H23" s="123" t="s">
        <v>42</v>
      </c>
      <c r="I23" s="118" t="s">
        <v>131</v>
      </c>
      <c r="J23" s="122" t="s">
        <v>142</v>
      </c>
      <c r="K23" s="122" t="s">
        <v>88</v>
      </c>
      <c r="L23" s="124" t="s">
        <v>36</v>
      </c>
      <c r="M23" s="119">
        <v>46047</v>
      </c>
      <c r="N23" s="120">
        <v>0.75</v>
      </c>
      <c r="O23" s="125">
        <f t="shared" ca="1" si="0"/>
        <v>0</v>
      </c>
      <c r="P23" s="126">
        <f ca="1">ROUND(O23 / 24, 2)</f>
        <v>0</v>
      </c>
      <c r="Q23" s="127">
        <f ca="1">IF(ISBLANK(B23), 0, IF(ISBLANK(M23), IF(L23="Closed", 4, ROUND(MAX(0, (NOW() - (B23 + IF(ISBLANK(C23), TIME(9,0,0), C23))) * 24), 1)), ROUND(MAX(0, ((M23 + IF(ISBLANK(N23), TIME(18,0,0), N23)) - (B23 + IF(ISBLANK(C23), TIME(9,0,0), C23))) * 24), 1)))</f>
        <v>55.3</v>
      </c>
      <c r="R23" s="118">
        <f>IF(ISNUMBER(SEARCH("Complete", H23)), 1, 0)</f>
        <v>0</v>
      </c>
      <c r="S23" s="122" t="s">
        <v>143</v>
      </c>
    </row>
    <row r="24" spans="1:19" ht="16">
      <c r="A24" s="128">
        <v>22</v>
      </c>
      <c r="B24" s="129">
        <v>46045</v>
      </c>
      <c r="C24" s="130">
        <v>0.99444444444444446</v>
      </c>
      <c r="D24" s="131" t="s">
        <v>173</v>
      </c>
      <c r="E24" s="132" t="s">
        <v>66</v>
      </c>
      <c r="F24" s="132" t="s">
        <v>114</v>
      </c>
      <c r="G24" s="132" t="s">
        <v>174</v>
      </c>
      <c r="H24" s="133" t="s">
        <v>42</v>
      </c>
      <c r="I24" s="128" t="s">
        <v>131</v>
      </c>
      <c r="J24" s="132" t="s">
        <v>142</v>
      </c>
      <c r="K24" s="132" t="s">
        <v>88</v>
      </c>
      <c r="L24" s="134" t="s">
        <v>36</v>
      </c>
      <c r="M24" s="129">
        <v>46046</v>
      </c>
      <c r="N24" s="130">
        <v>0.75</v>
      </c>
      <c r="O24" s="135">
        <f t="shared" ca="1" si="0"/>
        <v>0</v>
      </c>
      <c r="P24" s="136">
        <f ca="1">ROUND(O24 / 24, 2)</f>
        <v>0</v>
      </c>
      <c r="Q24" s="137">
        <f ca="1">IF(ISBLANK(B24), 0, IF(ISBLANK(M24), IF(L24="Closed", 4, ROUND(MAX(0, (NOW() - (B24 + IF(ISBLANK(C24), TIME(9,0,0), C24))) * 24), 1)), ROUND(MAX(0, ((M24 + IF(ISBLANK(N24), TIME(18,0,0), N24)) - (B24 + IF(ISBLANK(C24), TIME(9,0,0), C24))) * 24), 1)))</f>
        <v>18.100000000000001</v>
      </c>
      <c r="R24" s="128">
        <f>IF(ISNUMBER(SEARCH("Complete", H24)), 1, 0)</f>
        <v>0</v>
      </c>
      <c r="S24" s="132" t="s">
        <v>143</v>
      </c>
    </row>
    <row r="25" spans="1:19" ht="16">
      <c r="A25" s="118">
        <v>23</v>
      </c>
      <c r="B25" s="119">
        <v>46047</v>
      </c>
      <c r="C25" s="120">
        <v>0.48472222222222222</v>
      </c>
      <c r="D25" s="121" t="s">
        <v>175</v>
      </c>
      <c r="E25" s="122" t="s">
        <v>69</v>
      </c>
      <c r="F25" s="122" t="s">
        <v>176</v>
      </c>
      <c r="G25" s="122" t="s">
        <v>177</v>
      </c>
      <c r="H25" s="123" t="s">
        <v>42</v>
      </c>
      <c r="I25" s="118" t="s">
        <v>131</v>
      </c>
      <c r="J25" s="122" t="s">
        <v>178</v>
      </c>
      <c r="K25" s="122" t="s">
        <v>88</v>
      </c>
      <c r="L25" s="124" t="s">
        <v>36</v>
      </c>
      <c r="M25" s="119">
        <v>46047</v>
      </c>
      <c r="N25" s="120">
        <v>0.75</v>
      </c>
      <c r="O25" s="125">
        <f t="shared" ca="1" si="0"/>
        <v>0</v>
      </c>
      <c r="P25" s="126">
        <f ca="1">ROUND(O25 / 24, 2)</f>
        <v>0</v>
      </c>
      <c r="Q25" s="127">
        <f ca="1">IF(ISBLANK(B25), 0, IF(ISBLANK(M25), IF(L25="Closed", 4, ROUND(MAX(0, (NOW() - (B25 + IF(ISBLANK(C25), TIME(9,0,0), C25))) * 24), 1)), ROUND(MAX(0, ((M25 + IF(ISBLANK(N25), TIME(18,0,0), N25)) - (B25 + IF(ISBLANK(C25), TIME(9,0,0), C25))) * 24), 1)))</f>
        <v>6.4</v>
      </c>
      <c r="R25" s="118">
        <f>IF(ISNUMBER(SEARCH("Complete", H25)), 1, 0)</f>
        <v>0</v>
      </c>
      <c r="S25" s="122" t="s">
        <v>178</v>
      </c>
    </row>
    <row r="26" spans="1:19" ht="16">
      <c r="A26" s="128">
        <v>24</v>
      </c>
      <c r="B26" s="129">
        <v>46049</v>
      </c>
      <c r="C26" s="130">
        <v>0.62916666666666665</v>
      </c>
      <c r="D26" s="131" t="s">
        <v>55</v>
      </c>
      <c r="E26" s="132" t="s">
        <v>53</v>
      </c>
      <c r="F26" s="132" t="s">
        <v>137</v>
      </c>
      <c r="G26" s="132" t="s">
        <v>179</v>
      </c>
      <c r="H26" s="133" t="s">
        <v>40</v>
      </c>
      <c r="I26" s="128" t="s">
        <v>180</v>
      </c>
      <c r="J26" s="132" t="s">
        <v>181</v>
      </c>
      <c r="K26" s="132" t="s">
        <v>88</v>
      </c>
      <c r="L26" s="134" t="s">
        <v>36</v>
      </c>
      <c r="M26" s="129">
        <v>46052</v>
      </c>
      <c r="N26" s="130">
        <v>0.75</v>
      </c>
      <c r="O26" s="135">
        <f t="shared" ca="1" si="0"/>
        <v>74.900000000000006</v>
      </c>
      <c r="P26" s="136">
        <f ca="1">ROUND(O26 / 24, 2)</f>
        <v>3.12</v>
      </c>
      <c r="Q26" s="137">
        <f ca="1">IF(ISBLANK(B26), 0, IF(ISBLANK(M26), IF(L26="Closed", 4, ROUND(MAX(0, (NOW() - (B26 + IF(ISBLANK(C26), TIME(9,0,0), C26))) * 24), 1)), ROUND(MAX(0, ((M26 + IF(ISBLANK(N26), TIME(18,0,0), N26)) - (B26 + IF(ISBLANK(C26), TIME(9,0,0), C26))) * 24), 1)))</f>
        <v>74.900000000000006</v>
      </c>
      <c r="R26" s="128">
        <f>IF(ISNUMBER(SEARCH("Complete", H26)), 1, 0)</f>
        <v>1</v>
      </c>
      <c r="S26" s="132" t="s">
        <v>181</v>
      </c>
    </row>
    <row r="27" spans="1:19" ht="16">
      <c r="A27" s="118">
        <v>25</v>
      </c>
      <c r="B27" s="119">
        <v>46049</v>
      </c>
      <c r="C27" s="120">
        <v>0.62916666666666665</v>
      </c>
      <c r="D27" s="121" t="s">
        <v>55</v>
      </c>
      <c r="E27" s="122" t="s">
        <v>53</v>
      </c>
      <c r="F27" s="122" t="s">
        <v>137</v>
      </c>
      <c r="G27" s="122" t="s">
        <v>182</v>
      </c>
      <c r="H27" s="123" t="s">
        <v>40</v>
      </c>
      <c r="I27" s="118" t="s">
        <v>183</v>
      </c>
      <c r="J27" s="122" t="s">
        <v>181</v>
      </c>
      <c r="K27" s="122" t="s">
        <v>88</v>
      </c>
      <c r="L27" s="124" t="s">
        <v>36</v>
      </c>
      <c r="M27" s="119">
        <v>46052</v>
      </c>
      <c r="N27" s="120">
        <v>0.75</v>
      </c>
      <c r="O27" s="125">
        <f t="shared" ca="1" si="0"/>
        <v>74.900000000000006</v>
      </c>
      <c r="P27" s="126">
        <f ca="1">ROUND(O27 / 24, 2)</f>
        <v>3.12</v>
      </c>
      <c r="Q27" s="127">
        <f ca="1">IF(ISBLANK(B27), 0, IF(ISBLANK(M27), IF(L27="Closed", 4, ROUND(MAX(0, (NOW() - (B27 + IF(ISBLANK(C27), TIME(9,0,0), C27))) * 24), 1)), ROUND(MAX(0, ((M27 + IF(ISBLANK(N27), TIME(18,0,0), N27)) - (B27 + IF(ISBLANK(C27), TIME(9,0,0), C27))) * 24), 1)))</f>
        <v>74.900000000000006</v>
      </c>
      <c r="R27" s="118">
        <f>IF(ISNUMBER(SEARCH("Complete", H27)), 1, 0)</f>
        <v>1</v>
      </c>
      <c r="S27" s="122" t="s">
        <v>181</v>
      </c>
    </row>
    <row r="28" spans="1:19" ht="16">
      <c r="A28" s="128">
        <v>26</v>
      </c>
      <c r="B28" s="129">
        <v>46049</v>
      </c>
      <c r="C28" s="130">
        <v>0.3840277777777778</v>
      </c>
      <c r="D28" s="131" t="s">
        <v>55</v>
      </c>
      <c r="E28" s="132" t="s">
        <v>53</v>
      </c>
      <c r="F28" s="132" t="s">
        <v>137</v>
      </c>
      <c r="G28" s="132" t="s">
        <v>184</v>
      </c>
      <c r="H28" s="133" t="s">
        <v>40</v>
      </c>
      <c r="I28" s="128" t="s">
        <v>185</v>
      </c>
      <c r="J28" s="132" t="s">
        <v>186</v>
      </c>
      <c r="K28" s="132" t="s">
        <v>88</v>
      </c>
      <c r="L28" s="134" t="s">
        <v>36</v>
      </c>
      <c r="M28" s="129">
        <v>46052</v>
      </c>
      <c r="N28" s="130">
        <v>0.75</v>
      </c>
      <c r="O28" s="135">
        <f t="shared" ca="1" si="0"/>
        <v>80.8</v>
      </c>
      <c r="P28" s="136">
        <f ca="1">ROUND(O28 / 24, 2)</f>
        <v>3.37</v>
      </c>
      <c r="Q28" s="137">
        <f ca="1">IF(ISBLANK(B28), 0, IF(ISBLANK(M28), IF(L28="Closed", 4, ROUND(MAX(0, (NOW() - (B28 + IF(ISBLANK(C28), TIME(9,0,0), C28))) * 24), 1)), ROUND(MAX(0, ((M28 + IF(ISBLANK(N28), TIME(18,0,0), N28)) - (B28 + IF(ISBLANK(C28), TIME(9,0,0), C28))) * 24), 1)))</f>
        <v>80.8</v>
      </c>
      <c r="R28" s="128">
        <f>IF(ISNUMBER(SEARCH("Complete", H28)), 1, 0)</f>
        <v>1</v>
      </c>
      <c r="S28" s="132" t="s">
        <v>186</v>
      </c>
    </row>
    <row r="29" spans="1:19" ht="16">
      <c r="A29" s="118">
        <v>27</v>
      </c>
      <c r="B29" s="119">
        <v>46051</v>
      </c>
      <c r="C29" s="120">
        <v>0.44583333333333341</v>
      </c>
      <c r="D29" s="121" t="s">
        <v>164</v>
      </c>
      <c r="E29" s="122" t="s">
        <v>53</v>
      </c>
      <c r="F29" s="122" t="s">
        <v>133</v>
      </c>
      <c r="G29" s="122" t="s">
        <v>187</v>
      </c>
      <c r="H29" s="123" t="s">
        <v>40</v>
      </c>
      <c r="I29" s="118" t="s">
        <v>131</v>
      </c>
      <c r="J29" s="122" t="s">
        <v>117</v>
      </c>
      <c r="K29" s="122" t="s">
        <v>86</v>
      </c>
      <c r="L29" s="124" t="s">
        <v>36</v>
      </c>
      <c r="M29" s="119">
        <v>46051</v>
      </c>
      <c r="N29" s="120">
        <v>0.75</v>
      </c>
      <c r="O29" s="125">
        <f t="shared" ca="1" si="0"/>
        <v>7.3</v>
      </c>
      <c r="P29" s="126">
        <f ca="1">ROUND(O29 / 24, 2)</f>
        <v>0.3</v>
      </c>
      <c r="Q29" s="127">
        <f ca="1">IF(ISBLANK(B29), 0, IF(ISBLANK(M29), IF(L29="Closed", 4, ROUND(MAX(0, (NOW() - (B29 + IF(ISBLANK(C29), TIME(9,0,0), C29))) * 24), 1)), ROUND(MAX(0, ((M29 + IF(ISBLANK(N29), TIME(18,0,0), N29)) - (B29 + IF(ISBLANK(C29), TIME(9,0,0), C29))) * 24), 1)))</f>
        <v>7.3</v>
      </c>
      <c r="R29" s="118">
        <f>IF(ISNUMBER(SEARCH("Complete", H29)), 1, 0)</f>
        <v>1</v>
      </c>
      <c r="S29" s="122" t="s">
        <v>135</v>
      </c>
    </row>
    <row r="30" spans="1:19" ht="16">
      <c r="A30" s="128">
        <v>28</v>
      </c>
      <c r="B30" s="129">
        <v>46051</v>
      </c>
      <c r="C30" s="130">
        <v>0.6479166666666667</v>
      </c>
      <c r="D30" s="131" t="s">
        <v>188</v>
      </c>
      <c r="E30" s="132" t="s">
        <v>53</v>
      </c>
      <c r="F30" s="132" t="s">
        <v>114</v>
      </c>
      <c r="G30" s="132" t="s">
        <v>189</v>
      </c>
      <c r="H30" s="133" t="s">
        <v>40</v>
      </c>
      <c r="I30" s="128" t="s">
        <v>131</v>
      </c>
      <c r="J30" s="132" t="s">
        <v>117</v>
      </c>
      <c r="K30" s="132" t="s">
        <v>86</v>
      </c>
      <c r="L30" s="134" t="s">
        <v>36</v>
      </c>
      <c r="M30" s="129">
        <v>46051</v>
      </c>
      <c r="N30" s="130">
        <v>0.75</v>
      </c>
      <c r="O30" s="135">
        <f t="shared" ca="1" si="0"/>
        <v>2.4</v>
      </c>
      <c r="P30" s="136">
        <f ca="1">ROUND(O30 / 24, 2)</f>
        <v>0.1</v>
      </c>
      <c r="Q30" s="137">
        <f ca="1">IF(ISBLANK(B30), 0, IF(ISBLANK(M30), IF(L30="Closed", 4, ROUND(MAX(0, (NOW() - (B30 + IF(ISBLANK(C30), TIME(9,0,0), C30))) * 24), 1)), ROUND(MAX(0, ((M30 + IF(ISBLANK(N30), TIME(18,0,0), N30)) - (B30 + IF(ISBLANK(C30), TIME(9,0,0), C30))) * 24), 1)))</f>
        <v>2.4</v>
      </c>
      <c r="R30" s="128">
        <f>IF(ISNUMBER(SEARCH("Complete", H30)), 1, 0)</f>
        <v>1</v>
      </c>
      <c r="S30" s="132" t="s">
        <v>135</v>
      </c>
    </row>
    <row r="31" spans="1:19" ht="16">
      <c r="A31" s="118">
        <v>29</v>
      </c>
      <c r="B31" s="119">
        <v>46052</v>
      </c>
      <c r="C31" s="120">
        <v>0.36249999999999999</v>
      </c>
      <c r="D31" s="121" t="s">
        <v>190</v>
      </c>
      <c r="E31" s="122" t="s">
        <v>63</v>
      </c>
      <c r="F31" s="122" t="s">
        <v>137</v>
      </c>
      <c r="G31" s="122" t="s">
        <v>191</v>
      </c>
      <c r="H31" s="123" t="s">
        <v>42</v>
      </c>
      <c r="I31" s="118" t="s">
        <v>131</v>
      </c>
      <c r="J31" s="122" t="s">
        <v>117</v>
      </c>
      <c r="K31" s="122" t="s">
        <v>86</v>
      </c>
      <c r="L31" s="124" t="s">
        <v>36</v>
      </c>
      <c r="M31" s="119">
        <v>46053</v>
      </c>
      <c r="N31" s="120">
        <v>0.75</v>
      </c>
      <c r="O31" s="125">
        <f t="shared" ca="1" si="0"/>
        <v>0</v>
      </c>
      <c r="P31" s="126">
        <f ca="1">ROUND(O31 / 24, 2)</f>
        <v>0</v>
      </c>
      <c r="Q31" s="127">
        <f ca="1">IF(ISBLANK(B31), 0, IF(ISBLANK(M31), IF(L31="Closed", 4, ROUND(MAX(0, (NOW() - (B31 + IF(ISBLANK(C31), TIME(9,0,0), C31))) * 24), 1)), ROUND(MAX(0, ((M31 + IF(ISBLANK(N31), TIME(18,0,0), N31)) - (B31 + IF(ISBLANK(C31), TIME(9,0,0), C31))) * 24), 1)))</f>
        <v>33.299999999999997</v>
      </c>
      <c r="R31" s="118">
        <f>IF(ISNUMBER(SEARCH("Complete", H31)), 1, 0)</f>
        <v>0</v>
      </c>
      <c r="S31" s="122" t="s">
        <v>135</v>
      </c>
    </row>
    <row r="32" spans="1:19" ht="16">
      <c r="A32" s="128">
        <v>30</v>
      </c>
      <c r="B32" s="129">
        <v>46053</v>
      </c>
      <c r="C32" s="130">
        <v>0.72777777777777775</v>
      </c>
      <c r="D32" s="131" t="s">
        <v>55</v>
      </c>
      <c r="E32" s="132" t="s">
        <v>53</v>
      </c>
      <c r="F32" s="132" t="s">
        <v>137</v>
      </c>
      <c r="G32" s="132" t="s">
        <v>192</v>
      </c>
      <c r="H32" s="133" t="s">
        <v>42</v>
      </c>
      <c r="I32" s="128" t="s">
        <v>131</v>
      </c>
      <c r="J32" s="132" t="s">
        <v>142</v>
      </c>
      <c r="K32" s="132" t="s">
        <v>88</v>
      </c>
      <c r="L32" s="134" t="s">
        <v>36</v>
      </c>
      <c r="M32" s="129">
        <v>46055</v>
      </c>
      <c r="N32" s="130">
        <v>0.75</v>
      </c>
      <c r="O32" s="135">
        <f t="shared" ca="1" si="0"/>
        <v>0</v>
      </c>
      <c r="P32" s="136">
        <f ca="1">ROUND(O32 / 24, 2)</f>
        <v>0</v>
      </c>
      <c r="Q32" s="137">
        <f ca="1">IF(ISBLANK(B32), 0, IF(ISBLANK(M32), IF(L32="Closed", 4, ROUND(MAX(0, (NOW() - (B32 + IF(ISBLANK(C32), TIME(9,0,0), C32))) * 24), 1)), ROUND(MAX(0, ((M32 + IF(ISBLANK(N32), TIME(18,0,0), N32)) - (B32 + IF(ISBLANK(C32), TIME(9,0,0), C32))) * 24), 1)))</f>
        <v>48.5</v>
      </c>
      <c r="R32" s="128">
        <f>IF(ISNUMBER(SEARCH("Complete", H32)), 1, 0)</f>
        <v>0</v>
      </c>
      <c r="S32" s="132" t="s">
        <v>143</v>
      </c>
    </row>
    <row r="33" spans="1:19" ht="16">
      <c r="A33" s="118">
        <v>31</v>
      </c>
      <c r="B33" s="119">
        <v>46054</v>
      </c>
      <c r="C33" s="120">
        <v>0.45763888888888887</v>
      </c>
      <c r="D33" s="121" t="s">
        <v>65</v>
      </c>
      <c r="E33" s="122" t="s">
        <v>66</v>
      </c>
      <c r="F33" s="122" t="s">
        <v>114</v>
      </c>
      <c r="G33" s="122" t="s">
        <v>193</v>
      </c>
      <c r="H33" s="123" t="s">
        <v>42</v>
      </c>
      <c r="I33" s="118" t="s">
        <v>131</v>
      </c>
      <c r="J33" s="122" t="s">
        <v>194</v>
      </c>
      <c r="K33" s="122" t="s">
        <v>88</v>
      </c>
      <c r="L33" s="124" t="s">
        <v>36</v>
      </c>
      <c r="M33" s="119">
        <v>46055</v>
      </c>
      <c r="N33" s="120">
        <v>0.75</v>
      </c>
      <c r="O33" s="125">
        <f t="shared" ca="1" si="0"/>
        <v>0</v>
      </c>
      <c r="P33" s="126">
        <f ca="1">ROUND(O33 / 24, 2)</f>
        <v>0</v>
      </c>
      <c r="Q33" s="127">
        <f ca="1">IF(ISBLANK(B33), 0, IF(ISBLANK(M33), IF(L33="Closed", 4, ROUND(MAX(0, (NOW() - (B33 + IF(ISBLANK(C33), TIME(9,0,0), C33))) * 24), 1)), ROUND(MAX(0, ((M33 + IF(ISBLANK(N33), TIME(18,0,0), N33)) - (B33 + IF(ISBLANK(C33), TIME(9,0,0), C33))) * 24), 1)))</f>
        <v>31</v>
      </c>
      <c r="R33" s="118">
        <f>IF(ISNUMBER(SEARCH("Complete", H33)), 1, 0)</f>
        <v>0</v>
      </c>
      <c r="S33" s="122" t="s">
        <v>194</v>
      </c>
    </row>
    <row r="34" spans="1:19" ht="16">
      <c r="A34" s="128">
        <v>32</v>
      </c>
      <c r="B34" s="129">
        <v>46056</v>
      </c>
      <c r="C34" s="130">
        <v>0.59027777777777779</v>
      </c>
      <c r="D34" s="131" t="s">
        <v>55</v>
      </c>
      <c r="E34" s="132" t="s">
        <v>53</v>
      </c>
      <c r="F34" s="132" t="s">
        <v>122</v>
      </c>
      <c r="G34" s="132" t="s">
        <v>195</v>
      </c>
      <c r="H34" s="133" t="s">
        <v>42</v>
      </c>
      <c r="I34" s="128" t="s">
        <v>131</v>
      </c>
      <c r="J34" s="132" t="s">
        <v>142</v>
      </c>
      <c r="K34" s="132" t="s">
        <v>88</v>
      </c>
      <c r="L34" s="134" t="s">
        <v>36</v>
      </c>
      <c r="M34" s="129">
        <v>46056</v>
      </c>
      <c r="N34" s="130">
        <v>0.75</v>
      </c>
      <c r="O34" s="135">
        <f t="shared" ca="1" si="0"/>
        <v>0</v>
      </c>
      <c r="P34" s="136">
        <f ca="1">ROUND(O34 / 24, 2)</f>
        <v>0</v>
      </c>
      <c r="Q34" s="137">
        <f ca="1">IF(ISBLANK(B34), 0, IF(ISBLANK(M34), IF(L34="Closed", 4, ROUND(MAX(0, (NOW() - (B34 + IF(ISBLANK(C34), TIME(9,0,0), C34))) * 24), 1)), ROUND(MAX(0, ((M34 + IF(ISBLANK(N34), TIME(18,0,0), N34)) - (B34 + IF(ISBLANK(C34), TIME(9,0,0), C34))) * 24), 1)))</f>
        <v>3.8</v>
      </c>
      <c r="R34" s="128">
        <f>IF(ISNUMBER(SEARCH("Complete", H34)), 1, 0)</f>
        <v>0</v>
      </c>
      <c r="S34" s="132" t="s">
        <v>143</v>
      </c>
    </row>
    <row r="35" spans="1:19" ht="16">
      <c r="A35" s="118">
        <v>33</v>
      </c>
      <c r="B35" s="119">
        <v>46056</v>
      </c>
      <c r="C35" s="120">
        <v>0.97222222222222221</v>
      </c>
      <c r="D35" s="121" t="s">
        <v>52</v>
      </c>
      <c r="E35" s="122" t="s">
        <v>53</v>
      </c>
      <c r="F35" s="122" t="s">
        <v>122</v>
      </c>
      <c r="G35" s="122" t="s">
        <v>196</v>
      </c>
      <c r="H35" s="123" t="s">
        <v>42</v>
      </c>
      <c r="I35" s="118" t="s">
        <v>131</v>
      </c>
      <c r="J35" s="122" t="s">
        <v>142</v>
      </c>
      <c r="K35" s="122" t="s">
        <v>88</v>
      </c>
      <c r="L35" s="124" t="s">
        <v>36</v>
      </c>
      <c r="M35" s="119">
        <v>46056</v>
      </c>
      <c r="N35" s="120">
        <v>0.75</v>
      </c>
      <c r="O35" s="125">
        <f t="shared" ref="O35:O66" ca="1" si="1">IF(ISBLANK(B35), 0, IF(ISNUMBER(SEARCH("Complete", H35)), IF(ISBLANK(M35), IF(L35="Closed", 4, ROUND(MAX(0, (NOW() - (B35 + IF(ISBLANK(C35), TIME(9,0,0), C35))) * 24), 1)), ROUND(MAX(0, ((M35 + IF(ISBLANK(N35), TIME(18,0,0), N35)) - (B35 + IF(ISBLANK(C35), TIME(9,0,0), C35))) * 24), 1)), 0))</f>
        <v>0</v>
      </c>
      <c r="P35" s="126">
        <f ca="1">ROUND(O35 / 24, 2)</f>
        <v>0</v>
      </c>
      <c r="Q35" s="127">
        <f ca="1">IF(ISBLANK(B35), 0, IF(ISBLANK(M35), IF(L35="Closed", 4, ROUND(MAX(0, (NOW() - (B35 + IF(ISBLANK(C35), TIME(9,0,0), C35))) * 24), 1)), ROUND(MAX(0, ((M35 + IF(ISBLANK(N35), TIME(18,0,0), N35)) - (B35 + IF(ISBLANK(C35), TIME(9,0,0), C35))) * 24), 1)))</f>
        <v>0</v>
      </c>
      <c r="R35" s="118">
        <f>IF(ISNUMBER(SEARCH("Complete", H35)), 1, 0)</f>
        <v>0</v>
      </c>
      <c r="S35" s="122" t="s">
        <v>143</v>
      </c>
    </row>
    <row r="36" spans="1:19" ht="16">
      <c r="A36" s="128">
        <v>34</v>
      </c>
      <c r="B36" s="129">
        <v>46057</v>
      </c>
      <c r="C36" s="130">
        <v>0.46250000000000002</v>
      </c>
      <c r="D36" s="131" t="s">
        <v>52</v>
      </c>
      <c r="E36" s="132" t="s">
        <v>53</v>
      </c>
      <c r="F36" s="132" t="s">
        <v>122</v>
      </c>
      <c r="G36" s="132" t="s">
        <v>197</v>
      </c>
      <c r="H36" s="133" t="s">
        <v>42</v>
      </c>
      <c r="I36" s="128" t="s">
        <v>198</v>
      </c>
      <c r="J36" s="132" t="s">
        <v>117</v>
      </c>
      <c r="K36" s="132" t="s">
        <v>86</v>
      </c>
      <c r="L36" s="134" t="s">
        <v>36</v>
      </c>
      <c r="M36" s="129">
        <v>46057</v>
      </c>
      <c r="N36" s="130">
        <v>0.75</v>
      </c>
      <c r="O36" s="135">
        <f t="shared" ca="1" si="1"/>
        <v>0</v>
      </c>
      <c r="P36" s="136">
        <f ca="1">ROUND(O36 / 24, 2)</f>
        <v>0</v>
      </c>
      <c r="Q36" s="137">
        <f ca="1">IF(ISBLANK(B36), 0, IF(ISBLANK(M36), IF(L36="Closed", 4, ROUND(MAX(0, (NOW() - (B36 + IF(ISBLANK(C36), TIME(9,0,0), C36))) * 24), 1)), ROUND(MAX(0, ((M36 + IF(ISBLANK(N36), TIME(18,0,0), N36)) - (B36 + IF(ISBLANK(C36), TIME(9,0,0), C36))) * 24), 1)))</f>
        <v>6.9</v>
      </c>
      <c r="R36" s="128">
        <f>IF(ISNUMBER(SEARCH("Complete", H36)), 1, 0)</f>
        <v>0</v>
      </c>
      <c r="S36" s="132" t="s">
        <v>135</v>
      </c>
    </row>
    <row r="37" spans="1:19" ht="16">
      <c r="A37" s="118">
        <v>35</v>
      </c>
      <c r="B37" s="119">
        <v>46057</v>
      </c>
      <c r="C37" s="120">
        <v>0.86944444444444446</v>
      </c>
      <c r="D37" s="121" t="s">
        <v>188</v>
      </c>
      <c r="E37" s="122" t="s">
        <v>53</v>
      </c>
      <c r="F37" s="122" t="s">
        <v>199</v>
      </c>
      <c r="G37" s="122" t="s">
        <v>200</v>
      </c>
      <c r="H37" s="123" t="s">
        <v>40</v>
      </c>
      <c r="I37" s="118" t="s">
        <v>131</v>
      </c>
      <c r="J37" s="122" t="s">
        <v>117</v>
      </c>
      <c r="K37" s="122" t="s">
        <v>86</v>
      </c>
      <c r="L37" s="124" t="s">
        <v>36</v>
      </c>
      <c r="M37" s="119">
        <v>46057</v>
      </c>
      <c r="N37" s="120">
        <v>0.75</v>
      </c>
      <c r="O37" s="125">
        <f t="shared" ca="1" si="1"/>
        <v>0</v>
      </c>
      <c r="P37" s="126">
        <f ca="1">ROUND(O37 / 24, 2)</f>
        <v>0</v>
      </c>
      <c r="Q37" s="127">
        <f ca="1">IF(ISBLANK(B37), 0, IF(ISBLANK(M37), IF(L37="Closed", 4, ROUND(MAX(0, (NOW() - (B37 + IF(ISBLANK(C37), TIME(9,0,0), C37))) * 24), 1)), ROUND(MAX(0, ((M37 + IF(ISBLANK(N37), TIME(18,0,0), N37)) - (B37 + IF(ISBLANK(C37), TIME(9,0,0), C37))) * 24), 1)))</f>
        <v>0</v>
      </c>
      <c r="R37" s="118">
        <f>IF(ISNUMBER(SEARCH("Complete", H37)), 1, 0)</f>
        <v>1</v>
      </c>
      <c r="S37" s="122" t="s">
        <v>135</v>
      </c>
    </row>
    <row r="38" spans="1:19" ht="16">
      <c r="A38" s="128">
        <v>36</v>
      </c>
      <c r="B38" s="129">
        <v>46057</v>
      </c>
      <c r="C38" s="130">
        <v>0.52569444444444446</v>
      </c>
      <c r="D38" s="131" t="s">
        <v>201</v>
      </c>
      <c r="E38" s="132" t="s">
        <v>58</v>
      </c>
      <c r="F38" s="132" t="s">
        <v>133</v>
      </c>
      <c r="G38" s="132" t="s">
        <v>202</v>
      </c>
      <c r="H38" s="133" t="s">
        <v>42</v>
      </c>
      <c r="I38" s="128" t="s">
        <v>131</v>
      </c>
      <c r="J38" s="132" t="s">
        <v>117</v>
      </c>
      <c r="K38" s="132" t="s">
        <v>86</v>
      </c>
      <c r="L38" s="134" t="s">
        <v>36</v>
      </c>
      <c r="M38" s="129">
        <v>46058</v>
      </c>
      <c r="N38" s="130">
        <v>0.75</v>
      </c>
      <c r="O38" s="135">
        <f t="shared" ca="1" si="1"/>
        <v>0</v>
      </c>
      <c r="P38" s="136">
        <f ca="1">ROUND(O38 / 24, 2)</f>
        <v>0</v>
      </c>
      <c r="Q38" s="137">
        <f ca="1">IF(ISBLANK(B38), 0, IF(ISBLANK(M38), IF(L38="Closed", 4, ROUND(MAX(0, (NOW() - (B38 + IF(ISBLANK(C38), TIME(9,0,0), C38))) * 24), 1)), ROUND(MAX(0, ((M38 + IF(ISBLANK(N38), TIME(18,0,0), N38)) - (B38 + IF(ISBLANK(C38), TIME(9,0,0), C38))) * 24), 1)))</f>
        <v>29.4</v>
      </c>
      <c r="R38" s="128">
        <f>IF(ISNUMBER(SEARCH("Complete", H38)), 1, 0)</f>
        <v>0</v>
      </c>
      <c r="S38" s="132" t="s">
        <v>135</v>
      </c>
    </row>
    <row r="39" spans="1:19" ht="16">
      <c r="A39" s="118">
        <v>37</v>
      </c>
      <c r="B39" s="119">
        <v>46057</v>
      </c>
      <c r="C39" s="120">
        <v>0.95902777777777781</v>
      </c>
      <c r="D39" s="121" t="s">
        <v>203</v>
      </c>
      <c r="E39" s="122" t="s">
        <v>63</v>
      </c>
      <c r="F39" s="122" t="s">
        <v>133</v>
      </c>
      <c r="G39" s="122" t="s">
        <v>204</v>
      </c>
      <c r="H39" s="123" t="s">
        <v>42</v>
      </c>
      <c r="I39" s="118" t="s">
        <v>131</v>
      </c>
      <c r="J39" s="122" t="s">
        <v>117</v>
      </c>
      <c r="K39" s="122" t="s">
        <v>86</v>
      </c>
      <c r="L39" s="124" t="s">
        <v>36</v>
      </c>
      <c r="M39" s="119">
        <v>46058</v>
      </c>
      <c r="N39" s="120">
        <v>0.75</v>
      </c>
      <c r="O39" s="125">
        <f t="shared" ca="1" si="1"/>
        <v>0</v>
      </c>
      <c r="P39" s="126">
        <f ca="1">ROUND(O39 / 24, 2)</f>
        <v>0</v>
      </c>
      <c r="Q39" s="127">
        <f ca="1">IF(ISBLANK(B39), 0, IF(ISBLANK(M39), IF(L39="Closed", 4, ROUND(MAX(0, (NOW() - (B39 + IF(ISBLANK(C39), TIME(9,0,0), C39))) * 24), 1)), ROUND(MAX(0, ((M39 + IF(ISBLANK(N39), TIME(18,0,0), N39)) - (B39 + IF(ISBLANK(C39), TIME(9,0,0), C39))) * 24), 1)))</f>
        <v>19</v>
      </c>
      <c r="R39" s="118">
        <f>IF(ISNUMBER(SEARCH("Complete", H39)), 1, 0)</f>
        <v>0</v>
      </c>
      <c r="S39" s="122" t="s">
        <v>135</v>
      </c>
    </row>
    <row r="40" spans="1:19" ht="16">
      <c r="A40" s="128">
        <v>38</v>
      </c>
      <c r="B40" s="129">
        <v>46059</v>
      </c>
      <c r="C40" s="130">
        <v>0.38263888888888892</v>
      </c>
      <c r="D40" s="131" t="s">
        <v>203</v>
      </c>
      <c r="E40" s="132" t="s">
        <v>63</v>
      </c>
      <c r="F40" s="132" t="s">
        <v>114</v>
      </c>
      <c r="G40" s="132" t="s">
        <v>205</v>
      </c>
      <c r="H40" s="133" t="s">
        <v>42</v>
      </c>
      <c r="I40" s="128" t="s">
        <v>131</v>
      </c>
      <c r="J40" s="132" t="s">
        <v>117</v>
      </c>
      <c r="K40" s="132" t="s">
        <v>86</v>
      </c>
      <c r="L40" s="134" t="s">
        <v>36</v>
      </c>
      <c r="M40" s="129">
        <v>46059</v>
      </c>
      <c r="N40" s="130">
        <v>0.75</v>
      </c>
      <c r="O40" s="135">
        <f t="shared" ca="1" si="1"/>
        <v>0</v>
      </c>
      <c r="P40" s="136">
        <f ca="1">ROUND(O40 / 24, 2)</f>
        <v>0</v>
      </c>
      <c r="Q40" s="137">
        <f ca="1">IF(ISBLANK(B40), 0, IF(ISBLANK(M40), IF(L40="Closed", 4, ROUND(MAX(0, (NOW() - (B40 + IF(ISBLANK(C40), TIME(9,0,0), C40))) * 24), 1)), ROUND(MAX(0, ((M40 + IF(ISBLANK(N40), TIME(18,0,0), N40)) - (B40 + IF(ISBLANK(C40), TIME(9,0,0), C40))) * 24), 1)))</f>
        <v>8.8000000000000007</v>
      </c>
      <c r="R40" s="128">
        <f>IF(ISNUMBER(SEARCH("Complete", H40)), 1, 0)</f>
        <v>0</v>
      </c>
      <c r="S40" s="132" t="s">
        <v>135</v>
      </c>
    </row>
    <row r="41" spans="1:19" ht="16">
      <c r="A41" s="118">
        <v>39</v>
      </c>
      <c r="B41" s="119">
        <v>46059</v>
      </c>
      <c r="C41" s="120">
        <v>0.50208333333333333</v>
      </c>
      <c r="D41" s="121" t="s">
        <v>188</v>
      </c>
      <c r="E41" s="122" t="s">
        <v>53</v>
      </c>
      <c r="F41" s="122" t="s">
        <v>133</v>
      </c>
      <c r="G41" s="122" t="s">
        <v>206</v>
      </c>
      <c r="H41" s="123" t="s">
        <v>40</v>
      </c>
      <c r="I41" s="118" t="s">
        <v>131</v>
      </c>
      <c r="J41" s="122" t="s">
        <v>117</v>
      </c>
      <c r="K41" s="122" t="s">
        <v>86</v>
      </c>
      <c r="L41" s="124" t="s">
        <v>36</v>
      </c>
      <c r="M41" s="119">
        <v>46059</v>
      </c>
      <c r="N41" s="120">
        <v>0.75</v>
      </c>
      <c r="O41" s="125">
        <f t="shared" ca="1" si="1"/>
        <v>6</v>
      </c>
      <c r="P41" s="126">
        <f ca="1">ROUND(O41 / 24, 2)</f>
        <v>0.25</v>
      </c>
      <c r="Q41" s="127">
        <f ca="1">IF(ISBLANK(B41), 0, IF(ISBLANK(M41), IF(L41="Closed", 4, ROUND(MAX(0, (NOW() - (B41 + IF(ISBLANK(C41), TIME(9,0,0), C41))) * 24), 1)), ROUND(MAX(0, ((M41 + IF(ISBLANK(N41), TIME(18,0,0), N41)) - (B41 + IF(ISBLANK(C41), TIME(9,0,0), C41))) * 24), 1)))</f>
        <v>6</v>
      </c>
      <c r="R41" s="118">
        <f>IF(ISNUMBER(SEARCH("Complete", H41)), 1, 0)</f>
        <v>1</v>
      </c>
      <c r="S41" s="122" t="s">
        <v>135</v>
      </c>
    </row>
    <row r="42" spans="1:19" ht="16">
      <c r="A42" s="128">
        <v>40</v>
      </c>
      <c r="B42" s="129">
        <v>46059</v>
      </c>
      <c r="C42" s="130">
        <v>0.51388888888888884</v>
      </c>
      <c r="D42" s="131" t="s">
        <v>57</v>
      </c>
      <c r="E42" s="132" t="s">
        <v>58</v>
      </c>
      <c r="F42" s="132" t="s">
        <v>137</v>
      </c>
      <c r="G42" s="132" t="s">
        <v>207</v>
      </c>
      <c r="H42" s="133" t="s">
        <v>42</v>
      </c>
      <c r="I42" s="128" t="s">
        <v>131</v>
      </c>
      <c r="J42" s="132" t="s">
        <v>208</v>
      </c>
      <c r="K42" s="132" t="s">
        <v>88</v>
      </c>
      <c r="L42" s="134" t="s">
        <v>36</v>
      </c>
      <c r="M42" s="129">
        <v>46060</v>
      </c>
      <c r="N42" s="130">
        <v>0.75</v>
      </c>
      <c r="O42" s="135">
        <f t="shared" ca="1" si="1"/>
        <v>0</v>
      </c>
      <c r="P42" s="136">
        <f ca="1">ROUND(O42 / 24, 2)</f>
        <v>0</v>
      </c>
      <c r="Q42" s="137">
        <f ca="1">IF(ISBLANK(B42), 0, IF(ISBLANK(M42), IF(L42="Closed", 4, ROUND(MAX(0, (NOW() - (B42 + IF(ISBLANK(C42), TIME(9,0,0), C42))) * 24), 1)), ROUND(MAX(0, ((M42 + IF(ISBLANK(N42), TIME(18,0,0), N42)) - (B42 + IF(ISBLANK(C42), TIME(9,0,0), C42))) * 24), 1)))</f>
        <v>29.7</v>
      </c>
      <c r="R42" s="128">
        <f>IF(ISNUMBER(SEARCH("Complete", H42)), 1, 0)</f>
        <v>0</v>
      </c>
      <c r="S42" s="132" t="s">
        <v>208</v>
      </c>
    </row>
    <row r="43" spans="1:19" ht="16">
      <c r="A43" s="118">
        <v>41</v>
      </c>
      <c r="B43" s="119">
        <v>46060</v>
      </c>
      <c r="C43" s="120">
        <v>0.62986111111111109</v>
      </c>
      <c r="D43" s="121" t="s">
        <v>170</v>
      </c>
      <c r="E43" s="122" t="s">
        <v>69</v>
      </c>
      <c r="F43" s="122" t="s">
        <v>199</v>
      </c>
      <c r="G43" s="122" t="s">
        <v>209</v>
      </c>
      <c r="H43" s="123" t="s">
        <v>42</v>
      </c>
      <c r="I43" s="118" t="s">
        <v>131</v>
      </c>
      <c r="J43" s="122" t="s">
        <v>117</v>
      </c>
      <c r="K43" s="122" t="s">
        <v>86</v>
      </c>
      <c r="L43" s="124" t="s">
        <v>36</v>
      </c>
      <c r="M43" s="119">
        <v>46060</v>
      </c>
      <c r="N43" s="120">
        <v>0.75</v>
      </c>
      <c r="O43" s="125">
        <f t="shared" ca="1" si="1"/>
        <v>0</v>
      </c>
      <c r="P43" s="126">
        <f ca="1">ROUND(O43 / 24, 2)</f>
        <v>0</v>
      </c>
      <c r="Q43" s="127">
        <f ca="1">IF(ISBLANK(B43), 0, IF(ISBLANK(M43), IF(L43="Closed", 4, ROUND(MAX(0, (NOW() - (B43 + IF(ISBLANK(C43), TIME(9,0,0), C43))) * 24), 1)), ROUND(MAX(0, ((M43 + IF(ISBLANK(N43), TIME(18,0,0), N43)) - (B43 + IF(ISBLANK(C43), TIME(9,0,0), C43))) * 24), 1)))</f>
        <v>2.9</v>
      </c>
      <c r="R43" s="118">
        <f>IF(ISNUMBER(SEARCH("Complete", H43)), 1, 0)</f>
        <v>0</v>
      </c>
      <c r="S43" s="122" t="s">
        <v>135</v>
      </c>
    </row>
    <row r="44" spans="1:19" ht="16">
      <c r="A44" s="128">
        <v>42</v>
      </c>
      <c r="B44" s="129">
        <v>46062</v>
      </c>
      <c r="C44" s="130">
        <v>0.2166666666666667</v>
      </c>
      <c r="D44" s="131" t="s">
        <v>65</v>
      </c>
      <c r="E44" s="132" t="s">
        <v>66</v>
      </c>
      <c r="F44" s="132" t="s">
        <v>114</v>
      </c>
      <c r="G44" s="132" t="s">
        <v>210</v>
      </c>
      <c r="H44" s="133" t="s">
        <v>42</v>
      </c>
      <c r="I44" s="128" t="s">
        <v>131</v>
      </c>
      <c r="J44" s="132" t="s">
        <v>142</v>
      </c>
      <c r="K44" s="132" t="s">
        <v>88</v>
      </c>
      <c r="L44" s="134" t="s">
        <v>36</v>
      </c>
      <c r="M44" s="129">
        <v>46062</v>
      </c>
      <c r="N44" s="130">
        <v>0.75</v>
      </c>
      <c r="O44" s="135">
        <f t="shared" ca="1" si="1"/>
        <v>0</v>
      </c>
      <c r="P44" s="136">
        <f ca="1">ROUND(O44 / 24, 2)</f>
        <v>0</v>
      </c>
      <c r="Q44" s="137">
        <f ca="1">IF(ISBLANK(B44), 0, IF(ISBLANK(M44), IF(L44="Closed", 4, ROUND(MAX(0, (NOW() - (B44 + IF(ISBLANK(C44), TIME(9,0,0), C44))) * 24), 1)), ROUND(MAX(0, ((M44 + IF(ISBLANK(N44), TIME(18,0,0), N44)) - (B44 + IF(ISBLANK(C44), TIME(9,0,0), C44))) * 24), 1)))</f>
        <v>12.8</v>
      </c>
      <c r="R44" s="128">
        <f>IF(ISNUMBER(SEARCH("Complete", H44)), 1, 0)</f>
        <v>0</v>
      </c>
      <c r="S44" s="132" t="s">
        <v>211</v>
      </c>
    </row>
    <row r="45" spans="1:19" ht="16">
      <c r="A45" s="118">
        <v>43</v>
      </c>
      <c r="B45" s="119">
        <v>46062</v>
      </c>
      <c r="C45" s="120">
        <v>0.23749999999999999</v>
      </c>
      <c r="D45" s="121" t="s">
        <v>203</v>
      </c>
      <c r="E45" s="122" t="s">
        <v>63</v>
      </c>
      <c r="F45" s="122" t="s">
        <v>212</v>
      </c>
      <c r="G45" s="122" t="s">
        <v>213</v>
      </c>
      <c r="H45" s="123" t="s">
        <v>42</v>
      </c>
      <c r="I45" s="118" t="s">
        <v>131</v>
      </c>
      <c r="J45" s="122" t="s">
        <v>117</v>
      </c>
      <c r="K45" s="122" t="s">
        <v>86</v>
      </c>
      <c r="L45" s="124" t="s">
        <v>36</v>
      </c>
      <c r="M45" s="119">
        <v>46062</v>
      </c>
      <c r="N45" s="120">
        <v>0.75</v>
      </c>
      <c r="O45" s="125">
        <f t="shared" ca="1" si="1"/>
        <v>0</v>
      </c>
      <c r="P45" s="126">
        <f ca="1">ROUND(O45 / 24, 2)</f>
        <v>0</v>
      </c>
      <c r="Q45" s="127">
        <f ca="1">IF(ISBLANK(B45), 0, IF(ISBLANK(M45), IF(L45="Closed", 4, ROUND(MAX(0, (NOW() - (B45 + IF(ISBLANK(C45), TIME(9,0,0), C45))) * 24), 1)), ROUND(MAX(0, ((M45 + IF(ISBLANK(N45), TIME(18,0,0), N45)) - (B45 + IF(ISBLANK(C45), TIME(9,0,0), C45))) * 24), 1)))</f>
        <v>12.3</v>
      </c>
      <c r="R45" s="118">
        <f>IF(ISNUMBER(SEARCH("Complete", H45)), 1, 0)</f>
        <v>0</v>
      </c>
      <c r="S45" s="122" t="s">
        <v>135</v>
      </c>
    </row>
    <row r="46" spans="1:19" ht="16">
      <c r="A46" s="128">
        <v>44</v>
      </c>
      <c r="B46" s="129">
        <v>46062</v>
      </c>
      <c r="C46" s="130">
        <v>0.52152777777777781</v>
      </c>
      <c r="D46" s="131" t="s">
        <v>188</v>
      </c>
      <c r="E46" s="132" t="s">
        <v>53</v>
      </c>
      <c r="F46" s="132" t="s">
        <v>133</v>
      </c>
      <c r="G46" s="132" t="s">
        <v>214</v>
      </c>
      <c r="H46" s="133" t="s">
        <v>40</v>
      </c>
      <c r="I46" s="128" t="s">
        <v>131</v>
      </c>
      <c r="J46" s="132" t="s">
        <v>117</v>
      </c>
      <c r="K46" s="132" t="s">
        <v>86</v>
      </c>
      <c r="L46" s="134" t="s">
        <v>36</v>
      </c>
      <c r="M46" s="129">
        <v>46062</v>
      </c>
      <c r="N46" s="130">
        <v>0.75</v>
      </c>
      <c r="O46" s="135">
        <f t="shared" ca="1" si="1"/>
        <v>5.5</v>
      </c>
      <c r="P46" s="136">
        <f ca="1">ROUND(O46 / 24, 2)</f>
        <v>0.23</v>
      </c>
      <c r="Q46" s="137">
        <f ca="1">IF(ISBLANK(B46), 0, IF(ISBLANK(M46), IF(L46="Closed", 4, ROUND(MAX(0, (NOW() - (B46 + IF(ISBLANK(C46), TIME(9,0,0), C46))) * 24), 1)), ROUND(MAX(0, ((M46 + IF(ISBLANK(N46), TIME(18,0,0), N46)) - (B46 + IF(ISBLANK(C46), TIME(9,0,0), C46))) * 24), 1)))</f>
        <v>5.5</v>
      </c>
      <c r="R46" s="128">
        <f>IF(ISNUMBER(SEARCH("Complete", H46)), 1, 0)</f>
        <v>1</v>
      </c>
      <c r="S46" s="132" t="s">
        <v>135</v>
      </c>
    </row>
    <row r="47" spans="1:19" ht="16">
      <c r="A47" s="118">
        <v>45</v>
      </c>
      <c r="B47" s="119">
        <v>46063</v>
      </c>
      <c r="C47" s="120">
        <v>0.41944444444444451</v>
      </c>
      <c r="D47" s="121" t="s">
        <v>215</v>
      </c>
      <c r="E47" s="122" t="s">
        <v>66</v>
      </c>
      <c r="F47" s="122" t="s">
        <v>216</v>
      </c>
      <c r="G47" s="122" t="s">
        <v>217</v>
      </c>
      <c r="H47" s="123" t="s">
        <v>40</v>
      </c>
      <c r="I47" s="118" t="s">
        <v>131</v>
      </c>
      <c r="J47" s="122" t="s">
        <v>218</v>
      </c>
      <c r="K47" s="122" t="s">
        <v>90</v>
      </c>
      <c r="L47" s="124" t="s">
        <v>36</v>
      </c>
      <c r="M47" s="119">
        <v>46065</v>
      </c>
      <c r="N47" s="120">
        <v>0.75</v>
      </c>
      <c r="O47" s="125">
        <f t="shared" ca="1" si="1"/>
        <v>55.9</v>
      </c>
      <c r="P47" s="126">
        <f ca="1">ROUND(O47 / 24, 2)</f>
        <v>2.33</v>
      </c>
      <c r="Q47" s="127">
        <f ca="1">IF(ISBLANK(B47), 0, IF(ISBLANK(M47), IF(L47="Closed", 4, ROUND(MAX(0, (NOW() - (B47 + IF(ISBLANK(C47), TIME(9,0,0), C47))) * 24), 1)), ROUND(MAX(0, ((M47 + IF(ISBLANK(N47), TIME(18,0,0), N47)) - (B47 + IF(ISBLANK(C47), TIME(9,0,0), C47))) * 24), 1)))</f>
        <v>55.9</v>
      </c>
      <c r="R47" s="118">
        <f>IF(ISNUMBER(SEARCH("Complete", H47)), 1, 0)</f>
        <v>1</v>
      </c>
      <c r="S47" s="122" t="s">
        <v>218</v>
      </c>
    </row>
    <row r="48" spans="1:19" ht="16">
      <c r="A48" s="128">
        <v>46</v>
      </c>
      <c r="B48" s="129">
        <v>46065</v>
      </c>
      <c r="C48" s="130">
        <v>0.58750000000000002</v>
      </c>
      <c r="D48" s="131" t="s">
        <v>57</v>
      </c>
      <c r="E48" s="132" t="s">
        <v>72</v>
      </c>
      <c r="F48" s="132" t="s">
        <v>137</v>
      </c>
      <c r="G48" s="132" t="s">
        <v>219</v>
      </c>
      <c r="H48" s="133" t="s">
        <v>42</v>
      </c>
      <c r="I48" s="128" t="s">
        <v>131</v>
      </c>
      <c r="J48" s="132" t="s">
        <v>220</v>
      </c>
      <c r="K48" s="132" t="s">
        <v>88</v>
      </c>
      <c r="L48" s="134" t="s">
        <v>36</v>
      </c>
      <c r="M48" s="129">
        <v>46065</v>
      </c>
      <c r="N48" s="130">
        <v>0.75</v>
      </c>
      <c r="O48" s="135">
        <f t="shared" ca="1" si="1"/>
        <v>0</v>
      </c>
      <c r="P48" s="136">
        <f ca="1">ROUND(O48 / 24, 2)</f>
        <v>0</v>
      </c>
      <c r="Q48" s="137">
        <f ca="1">IF(ISBLANK(B48), 0, IF(ISBLANK(M48), IF(L48="Closed", 4, ROUND(MAX(0, (NOW() - (B48 + IF(ISBLANK(C48), TIME(9,0,0), C48))) * 24), 1)), ROUND(MAX(0, ((M48 + IF(ISBLANK(N48), TIME(18,0,0), N48)) - (B48 + IF(ISBLANK(C48), TIME(9,0,0), C48))) * 24), 1)))</f>
        <v>3.9</v>
      </c>
      <c r="R48" s="128">
        <f>IF(ISNUMBER(SEARCH("Complete", H48)), 1, 0)</f>
        <v>0</v>
      </c>
      <c r="S48" s="132" t="s">
        <v>220</v>
      </c>
    </row>
    <row r="49" spans="1:19" ht="16">
      <c r="A49" s="118">
        <v>47</v>
      </c>
      <c r="B49" s="119">
        <v>46066</v>
      </c>
      <c r="C49" s="120">
        <v>0.32708333333333328</v>
      </c>
      <c r="D49" s="121" t="s">
        <v>221</v>
      </c>
      <c r="E49" s="122" t="s">
        <v>53</v>
      </c>
      <c r="F49" s="122" t="s">
        <v>133</v>
      </c>
      <c r="G49" s="122" t="s">
        <v>222</v>
      </c>
      <c r="H49" s="123" t="s">
        <v>42</v>
      </c>
      <c r="I49" s="118" t="s">
        <v>131</v>
      </c>
      <c r="J49" s="122" t="s">
        <v>117</v>
      </c>
      <c r="K49" s="122" t="s">
        <v>86</v>
      </c>
      <c r="L49" s="124" t="s">
        <v>36</v>
      </c>
      <c r="M49" s="119">
        <v>46066</v>
      </c>
      <c r="N49" s="120">
        <v>0.75</v>
      </c>
      <c r="O49" s="125">
        <f t="shared" ca="1" si="1"/>
        <v>0</v>
      </c>
      <c r="P49" s="126">
        <f ca="1">ROUND(O49 / 24, 2)</f>
        <v>0</v>
      </c>
      <c r="Q49" s="127">
        <f ca="1">IF(ISBLANK(B49), 0, IF(ISBLANK(M49), IF(L49="Closed", 4, ROUND(MAX(0, (NOW() - (B49 + IF(ISBLANK(C49), TIME(9,0,0), C49))) * 24), 1)), ROUND(MAX(0, ((M49 + IF(ISBLANK(N49), TIME(18,0,0), N49)) - (B49 + IF(ISBLANK(C49), TIME(9,0,0), C49))) * 24), 1)))</f>
        <v>10.199999999999999</v>
      </c>
      <c r="R49" s="118">
        <f>IF(ISNUMBER(SEARCH("Complete", H49)), 1, 0)</f>
        <v>0</v>
      </c>
      <c r="S49" s="122" t="s">
        <v>135</v>
      </c>
    </row>
    <row r="50" spans="1:19" ht="16">
      <c r="A50" s="128">
        <v>48</v>
      </c>
      <c r="B50" s="129">
        <v>46066</v>
      </c>
      <c r="C50" s="130">
        <v>0.4375</v>
      </c>
      <c r="D50" s="131" t="s">
        <v>221</v>
      </c>
      <c r="E50" s="132" t="s">
        <v>53</v>
      </c>
      <c r="F50" s="132" t="s">
        <v>133</v>
      </c>
      <c r="G50" s="132" t="s">
        <v>223</v>
      </c>
      <c r="H50" s="133" t="s">
        <v>42</v>
      </c>
      <c r="I50" s="128" t="s">
        <v>131</v>
      </c>
      <c r="J50" s="132" t="s">
        <v>117</v>
      </c>
      <c r="K50" s="132" t="s">
        <v>86</v>
      </c>
      <c r="L50" s="134" t="s">
        <v>36</v>
      </c>
      <c r="M50" s="129">
        <v>46066</v>
      </c>
      <c r="N50" s="130">
        <v>0.75</v>
      </c>
      <c r="O50" s="135">
        <f t="shared" ca="1" si="1"/>
        <v>0</v>
      </c>
      <c r="P50" s="136">
        <f ca="1">ROUND(O50 / 24, 2)</f>
        <v>0</v>
      </c>
      <c r="Q50" s="137">
        <f ca="1">IF(ISBLANK(B50), 0, IF(ISBLANK(M50), IF(L50="Closed", 4, ROUND(MAX(0, (NOW() - (B50 + IF(ISBLANK(C50), TIME(9,0,0), C50))) * 24), 1)), ROUND(MAX(0, ((M50 + IF(ISBLANK(N50), TIME(18,0,0), N50)) - (B50 + IF(ISBLANK(C50), TIME(9,0,0), C50))) * 24), 1)))</f>
        <v>7.5</v>
      </c>
      <c r="R50" s="128">
        <f>IF(ISNUMBER(SEARCH("Complete", H50)), 1, 0)</f>
        <v>0</v>
      </c>
      <c r="S50" s="132" t="s">
        <v>135</v>
      </c>
    </row>
    <row r="51" spans="1:19" ht="16">
      <c r="A51" s="118">
        <v>49</v>
      </c>
      <c r="B51" s="119">
        <v>46066</v>
      </c>
      <c r="C51" s="120">
        <v>0.52777777777777779</v>
      </c>
      <c r="D51" s="121" t="s">
        <v>74</v>
      </c>
      <c r="E51" s="122" t="s">
        <v>72</v>
      </c>
      <c r="F51" s="122" t="s">
        <v>137</v>
      </c>
      <c r="G51" s="122" t="s">
        <v>224</v>
      </c>
      <c r="H51" s="123" t="s">
        <v>42</v>
      </c>
      <c r="I51" s="118" t="s">
        <v>131</v>
      </c>
      <c r="J51" s="122" t="s">
        <v>117</v>
      </c>
      <c r="K51" s="122" t="s">
        <v>86</v>
      </c>
      <c r="L51" s="124" t="s">
        <v>36</v>
      </c>
      <c r="M51" s="119">
        <v>46066</v>
      </c>
      <c r="N51" s="120">
        <v>0.75</v>
      </c>
      <c r="O51" s="125">
        <f t="shared" ca="1" si="1"/>
        <v>0</v>
      </c>
      <c r="P51" s="126">
        <f ca="1">ROUND(O51 / 24, 2)</f>
        <v>0</v>
      </c>
      <c r="Q51" s="127">
        <f ca="1">IF(ISBLANK(B51), 0, IF(ISBLANK(M51), IF(L51="Closed", 4, ROUND(MAX(0, (NOW() - (B51 + IF(ISBLANK(C51), TIME(9,0,0), C51))) * 24), 1)), ROUND(MAX(0, ((M51 + IF(ISBLANK(N51), TIME(18,0,0), N51)) - (B51 + IF(ISBLANK(C51), TIME(9,0,0), C51))) * 24), 1)))</f>
        <v>5.3</v>
      </c>
      <c r="R51" s="118">
        <f>IF(ISNUMBER(SEARCH("Complete", H51)), 1, 0)</f>
        <v>0</v>
      </c>
      <c r="S51" s="122" t="s">
        <v>135</v>
      </c>
    </row>
    <row r="52" spans="1:19" ht="16">
      <c r="A52" s="128">
        <v>50</v>
      </c>
      <c r="B52" s="129">
        <v>46066</v>
      </c>
      <c r="C52" s="130">
        <v>0.6333333333333333</v>
      </c>
      <c r="D52" s="131" t="s">
        <v>170</v>
      </c>
      <c r="E52" s="132" t="s">
        <v>69</v>
      </c>
      <c r="F52" s="132" t="s">
        <v>114</v>
      </c>
      <c r="G52" s="132" t="s">
        <v>225</v>
      </c>
      <c r="H52" s="133" t="s">
        <v>40</v>
      </c>
      <c r="I52" s="128" t="s">
        <v>131</v>
      </c>
      <c r="J52" s="132" t="s">
        <v>117</v>
      </c>
      <c r="K52" s="132" t="s">
        <v>86</v>
      </c>
      <c r="L52" s="134" t="s">
        <v>36</v>
      </c>
      <c r="M52" s="129">
        <v>46066</v>
      </c>
      <c r="N52" s="130">
        <v>0.75</v>
      </c>
      <c r="O52" s="135">
        <f t="shared" ca="1" si="1"/>
        <v>2.8</v>
      </c>
      <c r="P52" s="136">
        <f ca="1">ROUND(O52 / 24, 2)</f>
        <v>0.12</v>
      </c>
      <c r="Q52" s="137">
        <f ca="1">IF(ISBLANK(B52), 0, IF(ISBLANK(M52), IF(L52="Closed", 4, ROUND(MAX(0, (NOW() - (B52 + IF(ISBLANK(C52), TIME(9,0,0), C52))) * 24), 1)), ROUND(MAX(0, ((M52 + IF(ISBLANK(N52), TIME(18,0,0), N52)) - (B52 + IF(ISBLANK(C52), TIME(9,0,0), C52))) * 24), 1)))</f>
        <v>2.8</v>
      </c>
      <c r="R52" s="128">
        <f>IF(ISNUMBER(SEARCH("Complete", H52)), 1, 0)</f>
        <v>1</v>
      </c>
      <c r="S52" s="132" t="s">
        <v>135</v>
      </c>
    </row>
    <row r="53" spans="1:19" ht="16">
      <c r="A53" s="118">
        <v>51</v>
      </c>
      <c r="B53" s="119">
        <v>46066</v>
      </c>
      <c r="C53" s="120">
        <v>0.6333333333333333</v>
      </c>
      <c r="D53" s="121" t="s">
        <v>136</v>
      </c>
      <c r="E53" s="122" t="s">
        <v>53</v>
      </c>
      <c r="F53" s="122" t="s">
        <v>137</v>
      </c>
      <c r="G53" s="122" t="s">
        <v>226</v>
      </c>
      <c r="H53" s="123" t="s">
        <v>42</v>
      </c>
      <c r="I53" s="118" t="s">
        <v>131</v>
      </c>
      <c r="J53" s="122" t="s">
        <v>117</v>
      </c>
      <c r="K53" s="122" t="s">
        <v>86</v>
      </c>
      <c r="L53" s="124" t="s">
        <v>36</v>
      </c>
      <c r="M53" s="119">
        <v>46066</v>
      </c>
      <c r="N53" s="120">
        <v>0.75</v>
      </c>
      <c r="O53" s="125">
        <f t="shared" ca="1" si="1"/>
        <v>0</v>
      </c>
      <c r="P53" s="126">
        <f ca="1">ROUND(O53 / 24, 2)</f>
        <v>0</v>
      </c>
      <c r="Q53" s="127">
        <f ca="1">IF(ISBLANK(B53), 0, IF(ISBLANK(M53), IF(L53="Closed", 4, ROUND(MAX(0, (NOW() - (B53 + IF(ISBLANK(C53), TIME(9,0,0), C53))) * 24), 1)), ROUND(MAX(0, ((M53 + IF(ISBLANK(N53), TIME(18,0,0), N53)) - (B53 + IF(ISBLANK(C53), TIME(9,0,0), C53))) * 24), 1)))</f>
        <v>2.8</v>
      </c>
      <c r="R53" s="118">
        <f>IF(ISNUMBER(SEARCH("Complete", H53)), 1, 0)</f>
        <v>0</v>
      </c>
      <c r="S53" s="122" t="s">
        <v>135</v>
      </c>
    </row>
    <row r="54" spans="1:19" ht="16">
      <c r="A54" s="128">
        <v>52</v>
      </c>
      <c r="B54" s="129">
        <v>46066</v>
      </c>
      <c r="C54" s="130">
        <v>0.70972222222222225</v>
      </c>
      <c r="D54" s="131" t="s">
        <v>60</v>
      </c>
      <c r="E54" s="132" t="s">
        <v>58</v>
      </c>
      <c r="F54" s="132" t="s">
        <v>114</v>
      </c>
      <c r="G54" s="132" t="s">
        <v>227</v>
      </c>
      <c r="H54" s="133" t="s">
        <v>42</v>
      </c>
      <c r="I54" s="128" t="s">
        <v>131</v>
      </c>
      <c r="J54" s="132" t="s">
        <v>117</v>
      </c>
      <c r="K54" s="132" t="s">
        <v>86</v>
      </c>
      <c r="L54" s="134" t="s">
        <v>36</v>
      </c>
      <c r="M54" s="129">
        <v>46066</v>
      </c>
      <c r="N54" s="130">
        <v>0.75</v>
      </c>
      <c r="O54" s="135">
        <f t="shared" ca="1" si="1"/>
        <v>0</v>
      </c>
      <c r="P54" s="136">
        <f ca="1">ROUND(O54 / 24, 2)</f>
        <v>0</v>
      </c>
      <c r="Q54" s="137">
        <f ca="1">IF(ISBLANK(B54), 0, IF(ISBLANK(M54), IF(L54="Closed", 4, ROUND(MAX(0, (NOW() - (B54 + IF(ISBLANK(C54), TIME(9,0,0), C54))) * 24), 1)), ROUND(MAX(0, ((M54 + IF(ISBLANK(N54), TIME(18,0,0), N54)) - (B54 + IF(ISBLANK(C54), TIME(9,0,0), C54))) * 24), 1)))</f>
        <v>1</v>
      </c>
      <c r="R54" s="128">
        <f>IF(ISNUMBER(SEARCH("Complete", H54)), 1, 0)</f>
        <v>0</v>
      </c>
      <c r="S54" s="132" t="s">
        <v>135</v>
      </c>
    </row>
    <row r="55" spans="1:19" ht="16">
      <c r="A55" s="118">
        <v>53</v>
      </c>
      <c r="B55" s="119">
        <v>46068</v>
      </c>
      <c r="C55" s="120">
        <v>3.6111111111111108E-2</v>
      </c>
      <c r="D55" s="121" t="s">
        <v>170</v>
      </c>
      <c r="E55" s="122" t="s">
        <v>69</v>
      </c>
      <c r="F55" s="122" t="s">
        <v>228</v>
      </c>
      <c r="G55" s="122" t="s">
        <v>229</v>
      </c>
      <c r="H55" s="123" t="s">
        <v>42</v>
      </c>
      <c r="I55" s="118" t="s">
        <v>131</v>
      </c>
      <c r="J55" s="122" t="s">
        <v>117</v>
      </c>
      <c r="K55" s="122" t="s">
        <v>86</v>
      </c>
      <c r="L55" s="124" t="s">
        <v>36</v>
      </c>
      <c r="M55" s="119">
        <v>46069</v>
      </c>
      <c r="N55" s="120">
        <v>0.75</v>
      </c>
      <c r="O55" s="125">
        <f t="shared" ca="1" si="1"/>
        <v>0</v>
      </c>
      <c r="P55" s="126">
        <f ca="1">ROUND(O55 / 24, 2)</f>
        <v>0</v>
      </c>
      <c r="Q55" s="127">
        <f ca="1">IF(ISBLANK(B55), 0, IF(ISBLANK(M55), IF(L55="Closed", 4, ROUND(MAX(0, (NOW() - (B55 + IF(ISBLANK(C55), TIME(9,0,0), C55))) * 24), 1)), ROUND(MAX(0, ((M55 + IF(ISBLANK(N55), TIME(18,0,0), N55)) - (B55 + IF(ISBLANK(C55), TIME(9,0,0), C55))) * 24), 1)))</f>
        <v>41.1</v>
      </c>
      <c r="R55" s="118">
        <f>IF(ISNUMBER(SEARCH("Complete", H55)), 1, 0)</f>
        <v>0</v>
      </c>
      <c r="S55" s="122" t="s">
        <v>135</v>
      </c>
    </row>
    <row r="56" spans="1:19" ht="16">
      <c r="A56" s="128">
        <v>54</v>
      </c>
      <c r="B56" s="129">
        <v>46069</v>
      </c>
      <c r="C56" s="130">
        <v>0.39652777777777781</v>
      </c>
      <c r="D56" s="131" t="s">
        <v>55</v>
      </c>
      <c r="E56" s="132" t="s">
        <v>53</v>
      </c>
      <c r="F56" s="132" t="s">
        <v>137</v>
      </c>
      <c r="G56" s="132" t="s">
        <v>230</v>
      </c>
      <c r="H56" s="133" t="s">
        <v>42</v>
      </c>
      <c r="I56" s="128" t="s">
        <v>231</v>
      </c>
      <c r="J56" s="132" t="s">
        <v>142</v>
      </c>
      <c r="K56" s="132" t="s">
        <v>88</v>
      </c>
      <c r="L56" s="134" t="s">
        <v>36</v>
      </c>
      <c r="M56" s="129">
        <v>46070</v>
      </c>
      <c r="N56" s="130">
        <v>0.75</v>
      </c>
      <c r="O56" s="135">
        <f t="shared" ca="1" si="1"/>
        <v>0</v>
      </c>
      <c r="P56" s="136">
        <f ca="1">ROUND(O56 / 24, 2)</f>
        <v>0</v>
      </c>
      <c r="Q56" s="137">
        <f ca="1">IF(ISBLANK(B56), 0, IF(ISBLANK(M56), IF(L56="Closed", 4, ROUND(MAX(0, (NOW() - (B56 + IF(ISBLANK(C56), TIME(9,0,0), C56))) * 24), 1)), ROUND(MAX(0, ((M56 + IF(ISBLANK(N56), TIME(18,0,0), N56)) - (B56 + IF(ISBLANK(C56), TIME(9,0,0), C56))) * 24), 1)))</f>
        <v>32.5</v>
      </c>
      <c r="R56" s="128">
        <f>IF(ISNUMBER(SEARCH("Complete", H56)), 1, 0)</f>
        <v>0</v>
      </c>
      <c r="S56" s="132" t="s">
        <v>143</v>
      </c>
    </row>
    <row r="57" spans="1:19" ht="16">
      <c r="A57" s="118">
        <v>55</v>
      </c>
      <c r="B57" s="119">
        <v>46069</v>
      </c>
      <c r="C57" s="120">
        <v>0.75</v>
      </c>
      <c r="D57" s="121" t="s">
        <v>170</v>
      </c>
      <c r="E57" s="122" t="s">
        <v>69</v>
      </c>
      <c r="F57" s="122" t="s">
        <v>114</v>
      </c>
      <c r="G57" s="122" t="s">
        <v>232</v>
      </c>
      <c r="H57" s="123" t="s">
        <v>42</v>
      </c>
      <c r="I57" s="118" t="s">
        <v>131</v>
      </c>
      <c r="J57" s="122" t="s">
        <v>117</v>
      </c>
      <c r="K57" s="122" t="s">
        <v>86</v>
      </c>
      <c r="L57" s="124" t="s">
        <v>36</v>
      </c>
      <c r="M57" s="119">
        <v>46069</v>
      </c>
      <c r="N57" s="120">
        <v>0.75</v>
      </c>
      <c r="O57" s="125">
        <f t="shared" ca="1" si="1"/>
        <v>0</v>
      </c>
      <c r="P57" s="126">
        <f ca="1">ROUND(O57 / 24, 2)</f>
        <v>0</v>
      </c>
      <c r="Q57" s="127">
        <f ca="1">IF(ISBLANK(B57), 0, IF(ISBLANK(M57), IF(L57="Closed", 4, ROUND(MAX(0, (NOW() - (B57 + IF(ISBLANK(C57), TIME(9,0,0), C57))) * 24), 1)), ROUND(MAX(0, ((M57 + IF(ISBLANK(N57), TIME(18,0,0), N57)) - (B57 + IF(ISBLANK(C57), TIME(9,0,0), C57))) * 24), 1)))</f>
        <v>0</v>
      </c>
      <c r="R57" s="118">
        <f>IF(ISNUMBER(SEARCH("Complete", H57)), 1, 0)</f>
        <v>0</v>
      </c>
      <c r="S57" s="122" t="s">
        <v>135</v>
      </c>
    </row>
    <row r="58" spans="1:19" ht="16">
      <c r="A58" s="128">
        <v>56</v>
      </c>
      <c r="B58" s="129">
        <v>46071</v>
      </c>
      <c r="C58" s="130">
        <v>0.57777777777777772</v>
      </c>
      <c r="D58" s="131" t="s">
        <v>233</v>
      </c>
      <c r="E58" s="132" t="s">
        <v>72</v>
      </c>
      <c r="F58" s="132" t="s">
        <v>137</v>
      </c>
      <c r="G58" s="132" t="s">
        <v>234</v>
      </c>
      <c r="H58" s="133" t="s">
        <v>40</v>
      </c>
      <c r="I58" s="128" t="s">
        <v>131</v>
      </c>
      <c r="J58" s="132" t="s">
        <v>235</v>
      </c>
      <c r="K58" s="132" t="s">
        <v>86</v>
      </c>
      <c r="L58" s="134" t="s">
        <v>37</v>
      </c>
      <c r="M58" s="129"/>
      <c r="N58" s="130"/>
      <c r="O58" s="135">
        <f t="shared" ca="1" si="1"/>
        <v>4372.1000000000004</v>
      </c>
      <c r="P58" s="136">
        <f ca="1">ROUND(O58 / 24, 2)</f>
        <v>182.17</v>
      </c>
      <c r="Q58" s="137">
        <f ca="1">IF(ISBLANK(B58), 0, IF(ISBLANK(M58), IF(L58="Closed", 4, ROUND(MAX(0, (NOW() - (B58 + IF(ISBLANK(C58), TIME(9,0,0), C58))) * 24), 1)), ROUND(MAX(0, ((M58 + IF(ISBLANK(N58), TIME(18,0,0), N58)) - (B58 + IF(ISBLANK(C58), TIME(9,0,0), C58))) * 24), 1)))</f>
        <v>4372.1000000000004</v>
      </c>
      <c r="R58" s="128">
        <f>IF(ISNUMBER(SEARCH("Complete", H58)), 1, 0)</f>
        <v>1</v>
      </c>
      <c r="S58" s="132" t="s">
        <v>118</v>
      </c>
    </row>
    <row r="59" spans="1:19" ht="16">
      <c r="A59" s="118">
        <v>57</v>
      </c>
      <c r="B59" s="119">
        <v>46072</v>
      </c>
      <c r="C59" s="120">
        <v>0.8125</v>
      </c>
      <c r="D59" s="121" t="s">
        <v>236</v>
      </c>
      <c r="E59" s="122" t="s">
        <v>72</v>
      </c>
      <c r="F59" s="122" t="s">
        <v>137</v>
      </c>
      <c r="G59" s="122" t="s">
        <v>237</v>
      </c>
      <c r="H59" s="123" t="s">
        <v>40</v>
      </c>
      <c r="I59" s="118" t="s">
        <v>131</v>
      </c>
      <c r="J59" s="122" t="s">
        <v>142</v>
      </c>
      <c r="K59" s="122" t="s">
        <v>88</v>
      </c>
      <c r="L59" s="124" t="s">
        <v>36</v>
      </c>
      <c r="M59" s="119">
        <v>46072</v>
      </c>
      <c r="N59" s="120">
        <v>0.75</v>
      </c>
      <c r="O59" s="125">
        <f t="shared" ca="1" si="1"/>
        <v>0</v>
      </c>
      <c r="P59" s="126">
        <f ca="1">ROUND(O59 / 24, 2)</f>
        <v>0</v>
      </c>
      <c r="Q59" s="127">
        <f ca="1">IF(ISBLANK(B59), 0, IF(ISBLANK(M59), IF(L59="Closed", 4, ROUND(MAX(0, (NOW() - (B59 + IF(ISBLANK(C59), TIME(9,0,0), C59))) * 24), 1)), ROUND(MAX(0, ((M59 + IF(ISBLANK(N59), TIME(18,0,0), N59)) - (B59 + IF(ISBLANK(C59), TIME(9,0,0), C59))) * 24), 1)))</f>
        <v>0</v>
      </c>
      <c r="R59" s="118">
        <f>IF(ISNUMBER(SEARCH("Complete", H59)), 1, 0)</f>
        <v>1</v>
      </c>
      <c r="S59" s="122" t="s">
        <v>143</v>
      </c>
    </row>
    <row r="60" spans="1:19" ht="16">
      <c r="A60" s="128">
        <v>58</v>
      </c>
      <c r="B60" s="129">
        <v>46073</v>
      </c>
      <c r="C60" s="130">
        <v>5.6944444444444443E-2</v>
      </c>
      <c r="D60" s="131" t="s">
        <v>238</v>
      </c>
      <c r="E60" s="132" t="s">
        <v>53</v>
      </c>
      <c r="F60" s="132" t="s">
        <v>137</v>
      </c>
      <c r="G60" s="132" t="s">
        <v>239</v>
      </c>
      <c r="H60" s="133" t="s">
        <v>42</v>
      </c>
      <c r="I60" s="128" t="s">
        <v>240</v>
      </c>
      <c r="J60" s="132" t="s">
        <v>117</v>
      </c>
      <c r="K60" s="132" t="s">
        <v>86</v>
      </c>
      <c r="L60" s="134" t="s">
        <v>36</v>
      </c>
      <c r="M60" s="129">
        <v>46086</v>
      </c>
      <c r="N60" s="130">
        <v>0.75</v>
      </c>
      <c r="O60" s="135">
        <f t="shared" ca="1" si="1"/>
        <v>0</v>
      </c>
      <c r="P60" s="136">
        <f ca="1">ROUND(O60 / 24, 2)</f>
        <v>0</v>
      </c>
      <c r="Q60" s="137">
        <f ca="1">IF(ISBLANK(B60), 0, IF(ISBLANK(M60), IF(L60="Closed", 4, ROUND(MAX(0, (NOW() - (B60 + IF(ISBLANK(C60), TIME(9,0,0), C60))) * 24), 1)), ROUND(MAX(0, ((M60 + IF(ISBLANK(N60), TIME(18,0,0), N60)) - (B60 + IF(ISBLANK(C60), TIME(9,0,0), C60))) * 24), 1)))</f>
        <v>328.6</v>
      </c>
      <c r="R60" s="128">
        <f>IF(ISNUMBER(SEARCH("Complete", H60)), 1, 0)</f>
        <v>0</v>
      </c>
      <c r="S60" s="132" t="s">
        <v>118</v>
      </c>
    </row>
    <row r="61" spans="1:19" ht="16">
      <c r="A61" s="118">
        <v>59</v>
      </c>
      <c r="B61" s="119">
        <v>46073</v>
      </c>
      <c r="C61" s="120">
        <v>0.73263888888888884</v>
      </c>
      <c r="D61" s="121" t="s">
        <v>57</v>
      </c>
      <c r="E61" s="122" t="s">
        <v>72</v>
      </c>
      <c r="F61" s="122" t="s">
        <v>137</v>
      </c>
      <c r="G61" s="122" t="s">
        <v>241</v>
      </c>
      <c r="H61" s="123" t="s">
        <v>42</v>
      </c>
      <c r="I61" s="118" t="s">
        <v>240</v>
      </c>
      <c r="J61" s="122" t="s">
        <v>142</v>
      </c>
      <c r="K61" s="122" t="s">
        <v>88</v>
      </c>
      <c r="L61" s="124" t="s">
        <v>36</v>
      </c>
      <c r="M61" s="119">
        <v>46075</v>
      </c>
      <c r="N61" s="120">
        <v>0.75</v>
      </c>
      <c r="O61" s="125">
        <f t="shared" ca="1" si="1"/>
        <v>0</v>
      </c>
      <c r="P61" s="126">
        <f ca="1">ROUND(O61 / 24, 2)</f>
        <v>0</v>
      </c>
      <c r="Q61" s="127">
        <f ca="1">IF(ISBLANK(B61), 0, IF(ISBLANK(M61), IF(L61="Closed", 4, ROUND(MAX(0, (NOW() - (B61 + IF(ISBLANK(C61), TIME(9,0,0), C61))) * 24), 1)), ROUND(MAX(0, ((M61 + IF(ISBLANK(N61), TIME(18,0,0), N61)) - (B61 + IF(ISBLANK(C61), TIME(9,0,0), C61))) * 24), 1)))</f>
        <v>48.4</v>
      </c>
      <c r="R61" s="118">
        <f>IF(ISNUMBER(SEARCH("Complete", H61)), 1, 0)</f>
        <v>0</v>
      </c>
      <c r="S61" s="122" t="s">
        <v>211</v>
      </c>
    </row>
    <row r="62" spans="1:19" ht="16">
      <c r="A62" s="128">
        <v>60</v>
      </c>
      <c r="B62" s="129">
        <v>46074</v>
      </c>
      <c r="C62" s="130">
        <v>0.29166666666666669</v>
      </c>
      <c r="D62" s="131" t="s">
        <v>55</v>
      </c>
      <c r="E62" s="132" t="s">
        <v>53</v>
      </c>
      <c r="F62" s="132" t="s">
        <v>137</v>
      </c>
      <c r="G62" s="132" t="s">
        <v>242</v>
      </c>
      <c r="H62" s="133" t="s">
        <v>42</v>
      </c>
      <c r="I62" s="128" t="s">
        <v>240</v>
      </c>
      <c r="J62" s="132" t="s">
        <v>142</v>
      </c>
      <c r="K62" s="132" t="s">
        <v>88</v>
      </c>
      <c r="L62" s="134" t="s">
        <v>36</v>
      </c>
      <c r="M62" s="129">
        <v>46074</v>
      </c>
      <c r="N62" s="130">
        <v>0.75</v>
      </c>
      <c r="O62" s="135">
        <f t="shared" ca="1" si="1"/>
        <v>0</v>
      </c>
      <c r="P62" s="136">
        <f ca="1">ROUND(O62 / 24, 2)</f>
        <v>0</v>
      </c>
      <c r="Q62" s="137">
        <f ca="1">IF(ISBLANK(B62), 0, IF(ISBLANK(M62), IF(L62="Closed", 4, ROUND(MAX(0, (NOW() - (B62 + IF(ISBLANK(C62), TIME(9,0,0), C62))) * 24), 1)), ROUND(MAX(0, ((M62 + IF(ISBLANK(N62), TIME(18,0,0), N62)) - (B62 + IF(ISBLANK(C62), TIME(9,0,0), C62))) * 24), 1)))</f>
        <v>11</v>
      </c>
      <c r="R62" s="128">
        <f>IF(ISNUMBER(SEARCH("Complete", H62)), 1, 0)</f>
        <v>0</v>
      </c>
      <c r="S62" s="132" t="s">
        <v>211</v>
      </c>
    </row>
    <row r="63" spans="1:19" ht="16">
      <c r="A63" s="118">
        <v>61</v>
      </c>
      <c r="B63" s="119">
        <v>46074</v>
      </c>
      <c r="C63" s="120">
        <v>0.48333333333333328</v>
      </c>
      <c r="D63" s="121" t="s">
        <v>243</v>
      </c>
      <c r="E63" s="122" t="s">
        <v>66</v>
      </c>
      <c r="F63" s="122" t="s">
        <v>114</v>
      </c>
      <c r="G63" s="122" t="s">
        <v>244</v>
      </c>
      <c r="H63" s="123" t="s">
        <v>42</v>
      </c>
      <c r="I63" s="118" t="s">
        <v>240</v>
      </c>
      <c r="J63" s="122" t="s">
        <v>142</v>
      </c>
      <c r="K63" s="122" t="s">
        <v>88</v>
      </c>
      <c r="L63" s="124" t="s">
        <v>36</v>
      </c>
      <c r="M63" s="119">
        <v>46075</v>
      </c>
      <c r="N63" s="120">
        <v>0.75</v>
      </c>
      <c r="O63" s="125">
        <f t="shared" ca="1" si="1"/>
        <v>0</v>
      </c>
      <c r="P63" s="126">
        <f ca="1">ROUND(O63 / 24, 2)</f>
        <v>0</v>
      </c>
      <c r="Q63" s="127">
        <f ca="1">IF(ISBLANK(B63), 0, IF(ISBLANK(M63), IF(L63="Closed", 4, ROUND(MAX(0, (NOW() - (B63 + IF(ISBLANK(C63), TIME(9,0,0), C63))) * 24), 1)), ROUND(MAX(0, ((M63 + IF(ISBLANK(N63), TIME(18,0,0), N63)) - (B63 + IF(ISBLANK(C63), TIME(9,0,0), C63))) * 24), 1)))</f>
        <v>30.4</v>
      </c>
      <c r="R63" s="118">
        <f>IF(ISNUMBER(SEARCH("Complete", H63)), 1, 0)</f>
        <v>0</v>
      </c>
      <c r="S63" s="122" t="s">
        <v>211</v>
      </c>
    </row>
    <row r="64" spans="1:19" ht="16">
      <c r="A64" s="128">
        <v>62</v>
      </c>
      <c r="B64" s="129">
        <v>46076</v>
      </c>
      <c r="C64" s="130">
        <v>0.65347222222222223</v>
      </c>
      <c r="D64" s="131" t="s">
        <v>164</v>
      </c>
      <c r="E64" s="132" t="s">
        <v>53</v>
      </c>
      <c r="F64" s="132" t="s">
        <v>133</v>
      </c>
      <c r="G64" s="132" t="s">
        <v>245</v>
      </c>
      <c r="H64" s="133" t="s">
        <v>42</v>
      </c>
      <c r="I64" s="128" t="s">
        <v>131</v>
      </c>
      <c r="J64" s="132" t="s">
        <v>117</v>
      </c>
      <c r="K64" s="132" t="s">
        <v>86</v>
      </c>
      <c r="L64" s="134" t="s">
        <v>36</v>
      </c>
      <c r="M64" s="129">
        <v>46076</v>
      </c>
      <c r="N64" s="130">
        <v>0.75</v>
      </c>
      <c r="O64" s="135">
        <f t="shared" ca="1" si="1"/>
        <v>0</v>
      </c>
      <c r="P64" s="136">
        <f ca="1">ROUND(O64 / 24, 2)</f>
        <v>0</v>
      </c>
      <c r="Q64" s="137">
        <f ca="1">IF(ISBLANK(B64), 0, IF(ISBLANK(M64), IF(L64="Closed", 4, ROUND(MAX(0, (NOW() - (B64 + IF(ISBLANK(C64), TIME(9,0,0), C64))) * 24), 1)), ROUND(MAX(0, ((M64 + IF(ISBLANK(N64), TIME(18,0,0), N64)) - (B64 + IF(ISBLANK(C64), TIME(9,0,0), C64))) * 24), 1)))</f>
        <v>2.2999999999999998</v>
      </c>
      <c r="R64" s="128">
        <f>IF(ISNUMBER(SEARCH("Complete", H64)), 1, 0)</f>
        <v>0</v>
      </c>
      <c r="S64" s="132" t="s">
        <v>135</v>
      </c>
    </row>
    <row r="65" spans="1:19" ht="16">
      <c r="A65" s="118">
        <v>63</v>
      </c>
      <c r="B65" s="119">
        <v>46076</v>
      </c>
      <c r="C65" s="120">
        <v>0.84375</v>
      </c>
      <c r="D65" s="121" t="s">
        <v>201</v>
      </c>
      <c r="E65" s="122" t="s">
        <v>58</v>
      </c>
      <c r="F65" s="122" t="s">
        <v>137</v>
      </c>
      <c r="G65" s="122" t="s">
        <v>246</v>
      </c>
      <c r="H65" s="123" t="s">
        <v>42</v>
      </c>
      <c r="I65" s="118" t="s">
        <v>131</v>
      </c>
      <c r="J65" s="122" t="s">
        <v>117</v>
      </c>
      <c r="K65" s="122" t="s">
        <v>86</v>
      </c>
      <c r="L65" s="124" t="s">
        <v>36</v>
      </c>
      <c r="M65" s="119">
        <v>46076</v>
      </c>
      <c r="N65" s="120">
        <v>0.75</v>
      </c>
      <c r="O65" s="125">
        <f t="shared" ca="1" si="1"/>
        <v>0</v>
      </c>
      <c r="P65" s="126">
        <f ca="1">ROUND(O65 / 24, 2)</f>
        <v>0</v>
      </c>
      <c r="Q65" s="127">
        <f ca="1">IF(ISBLANK(B65), 0, IF(ISBLANK(M65), IF(L65="Closed", 4, ROUND(MAX(0, (NOW() - (B65 + IF(ISBLANK(C65), TIME(9,0,0), C65))) * 24), 1)), ROUND(MAX(0, ((M65 + IF(ISBLANK(N65), TIME(18,0,0), N65)) - (B65 + IF(ISBLANK(C65), TIME(9,0,0), C65))) * 24), 1)))</f>
        <v>0</v>
      </c>
      <c r="R65" s="118">
        <f>IF(ISNUMBER(SEARCH("Complete", H65)), 1, 0)</f>
        <v>0</v>
      </c>
      <c r="S65" s="122" t="s">
        <v>135</v>
      </c>
    </row>
    <row r="66" spans="1:19" ht="16">
      <c r="A66" s="128">
        <v>64</v>
      </c>
      <c r="B66" s="129">
        <v>46077</v>
      </c>
      <c r="C66" s="130">
        <v>0.32847222222222222</v>
      </c>
      <c r="D66" s="131" t="s">
        <v>203</v>
      </c>
      <c r="E66" s="132" t="s">
        <v>63</v>
      </c>
      <c r="F66" s="132" t="s">
        <v>199</v>
      </c>
      <c r="G66" s="132" t="s">
        <v>247</v>
      </c>
      <c r="H66" s="133" t="s">
        <v>42</v>
      </c>
      <c r="I66" s="128" t="s">
        <v>131</v>
      </c>
      <c r="J66" s="132" t="s">
        <v>248</v>
      </c>
      <c r="K66" s="132" t="s">
        <v>86</v>
      </c>
      <c r="L66" s="134" t="s">
        <v>36</v>
      </c>
      <c r="M66" s="129">
        <v>46077</v>
      </c>
      <c r="N66" s="130">
        <v>0.75</v>
      </c>
      <c r="O66" s="135">
        <f t="shared" ca="1" si="1"/>
        <v>0</v>
      </c>
      <c r="P66" s="136">
        <f ca="1">ROUND(O66 / 24, 2)</f>
        <v>0</v>
      </c>
      <c r="Q66" s="137">
        <f ca="1">IF(ISBLANK(B66), 0, IF(ISBLANK(M66), IF(L66="Closed", 4, ROUND(MAX(0, (NOW() - (B66 + IF(ISBLANK(C66), TIME(9,0,0), C66))) * 24), 1)), ROUND(MAX(0, ((M66 + IF(ISBLANK(N66), TIME(18,0,0), N66)) - (B66 + IF(ISBLANK(C66), TIME(9,0,0), C66))) * 24), 1)))</f>
        <v>10.1</v>
      </c>
      <c r="R66" s="128">
        <f>IF(ISNUMBER(SEARCH("Complete", H66)), 1, 0)</f>
        <v>0</v>
      </c>
      <c r="S66" s="132" t="s">
        <v>248</v>
      </c>
    </row>
    <row r="67" spans="1:19" ht="16">
      <c r="A67" s="118">
        <v>65</v>
      </c>
      <c r="B67" s="119">
        <v>46077</v>
      </c>
      <c r="C67" s="120">
        <v>0.4236111111111111</v>
      </c>
      <c r="D67" s="121" t="s">
        <v>60</v>
      </c>
      <c r="E67" s="122" t="s">
        <v>58</v>
      </c>
      <c r="F67" s="122" t="s">
        <v>114</v>
      </c>
      <c r="G67" s="122" t="s">
        <v>249</v>
      </c>
      <c r="H67" s="123" t="s">
        <v>42</v>
      </c>
      <c r="I67" s="118" t="s">
        <v>131</v>
      </c>
      <c r="J67" s="122" t="s">
        <v>250</v>
      </c>
      <c r="K67" s="122" t="s">
        <v>86</v>
      </c>
      <c r="L67" s="124" t="s">
        <v>36</v>
      </c>
      <c r="M67" s="119">
        <v>46077</v>
      </c>
      <c r="N67" s="120">
        <v>0.75</v>
      </c>
      <c r="O67" s="125">
        <f t="shared" ref="O67:O98" ca="1" si="2">IF(ISBLANK(B67), 0, IF(ISNUMBER(SEARCH("Complete", H67)), IF(ISBLANK(M67), IF(L67="Closed", 4, ROUND(MAX(0, (NOW() - (B67 + IF(ISBLANK(C67), TIME(9,0,0), C67))) * 24), 1)), ROUND(MAX(0, ((M67 + IF(ISBLANK(N67), TIME(18,0,0), N67)) - (B67 + IF(ISBLANK(C67), TIME(9,0,0), C67))) * 24), 1)), 0))</f>
        <v>0</v>
      </c>
      <c r="P67" s="126">
        <f ca="1">ROUND(O67 / 24, 2)</f>
        <v>0</v>
      </c>
      <c r="Q67" s="127">
        <f ca="1">IF(ISBLANK(B67), 0, IF(ISBLANK(M67), IF(L67="Closed", 4, ROUND(MAX(0, (NOW() - (B67 + IF(ISBLANK(C67), TIME(9,0,0), C67))) * 24), 1)), ROUND(MAX(0, ((M67 + IF(ISBLANK(N67), TIME(18,0,0), N67)) - (B67 + IF(ISBLANK(C67), TIME(9,0,0), C67))) * 24), 1)))</f>
        <v>7.8</v>
      </c>
      <c r="R67" s="118">
        <f>IF(ISNUMBER(SEARCH("Complete", H67)), 1, 0)</f>
        <v>0</v>
      </c>
      <c r="S67" s="122" t="s">
        <v>250</v>
      </c>
    </row>
    <row r="68" spans="1:19" ht="16">
      <c r="A68" s="128">
        <v>66</v>
      </c>
      <c r="B68" s="129">
        <v>46077</v>
      </c>
      <c r="C68" s="130">
        <v>0.57777777777777772</v>
      </c>
      <c r="D68" s="131" t="s">
        <v>55</v>
      </c>
      <c r="E68" s="132" t="s">
        <v>53</v>
      </c>
      <c r="F68" s="132" t="s">
        <v>137</v>
      </c>
      <c r="G68" s="132" t="s">
        <v>242</v>
      </c>
      <c r="H68" s="133" t="s">
        <v>42</v>
      </c>
      <c r="I68" s="128" t="s">
        <v>251</v>
      </c>
      <c r="J68" s="132" t="s">
        <v>142</v>
      </c>
      <c r="K68" s="132" t="s">
        <v>88</v>
      </c>
      <c r="L68" s="134" t="s">
        <v>36</v>
      </c>
      <c r="M68" s="129">
        <v>46078</v>
      </c>
      <c r="N68" s="130">
        <v>0.75</v>
      </c>
      <c r="O68" s="135">
        <f t="shared" ca="1" si="2"/>
        <v>0</v>
      </c>
      <c r="P68" s="136">
        <f ca="1">ROUND(O68 / 24, 2)</f>
        <v>0</v>
      </c>
      <c r="Q68" s="137">
        <f ca="1">IF(ISBLANK(B68), 0, IF(ISBLANK(M68), IF(L68="Closed", 4, ROUND(MAX(0, (NOW() - (B68 + IF(ISBLANK(C68), TIME(9,0,0), C68))) * 24), 1)), ROUND(MAX(0, ((M68 + IF(ISBLANK(N68), TIME(18,0,0), N68)) - (B68 + IF(ISBLANK(C68), TIME(9,0,0), C68))) * 24), 1)))</f>
        <v>28.1</v>
      </c>
      <c r="R68" s="128">
        <f>IF(ISNUMBER(SEARCH("Complete", H68)), 1, 0)</f>
        <v>0</v>
      </c>
      <c r="S68" s="132" t="s">
        <v>211</v>
      </c>
    </row>
    <row r="69" spans="1:19" ht="16">
      <c r="A69" s="118">
        <v>67</v>
      </c>
      <c r="B69" s="119">
        <v>46078</v>
      </c>
      <c r="C69" s="120">
        <v>0.72013888888888888</v>
      </c>
      <c r="D69" s="121" t="s">
        <v>188</v>
      </c>
      <c r="E69" s="122" t="s">
        <v>53</v>
      </c>
      <c r="F69" s="122" t="s">
        <v>199</v>
      </c>
      <c r="G69" s="122" t="s">
        <v>252</v>
      </c>
      <c r="H69" s="123" t="s">
        <v>42</v>
      </c>
      <c r="I69" s="118" t="s">
        <v>131</v>
      </c>
      <c r="J69" s="122" t="s">
        <v>117</v>
      </c>
      <c r="K69" s="122" t="s">
        <v>86</v>
      </c>
      <c r="L69" s="124" t="s">
        <v>36</v>
      </c>
      <c r="M69" s="119">
        <v>46078</v>
      </c>
      <c r="N69" s="120">
        <v>0.75</v>
      </c>
      <c r="O69" s="125">
        <f t="shared" ca="1" si="2"/>
        <v>0</v>
      </c>
      <c r="P69" s="126">
        <f ca="1">ROUND(O69 / 24, 2)</f>
        <v>0</v>
      </c>
      <c r="Q69" s="127">
        <f ca="1">IF(ISBLANK(B69), 0, IF(ISBLANK(M69), IF(L69="Closed", 4, ROUND(MAX(0, (NOW() - (B69 + IF(ISBLANK(C69), TIME(9,0,0), C69))) * 24), 1)), ROUND(MAX(0, ((M69 + IF(ISBLANK(N69), TIME(18,0,0), N69)) - (B69 + IF(ISBLANK(C69), TIME(9,0,0), C69))) * 24), 1)))</f>
        <v>0.7</v>
      </c>
      <c r="R69" s="118">
        <f>IF(ISNUMBER(SEARCH("Complete", H69)), 1, 0)</f>
        <v>0</v>
      </c>
      <c r="S69" s="122" t="s">
        <v>135</v>
      </c>
    </row>
    <row r="70" spans="1:19" ht="16">
      <c r="A70" s="128">
        <v>68</v>
      </c>
      <c r="B70" s="129">
        <v>46078</v>
      </c>
      <c r="C70" s="130">
        <v>0.76666666666666672</v>
      </c>
      <c r="D70" s="131" t="s">
        <v>203</v>
      </c>
      <c r="E70" s="132" t="s">
        <v>63</v>
      </c>
      <c r="F70" s="132" t="s">
        <v>133</v>
      </c>
      <c r="G70" s="132" t="s">
        <v>253</v>
      </c>
      <c r="H70" s="133" t="s">
        <v>42</v>
      </c>
      <c r="I70" s="128" t="s">
        <v>131</v>
      </c>
      <c r="J70" s="132" t="s">
        <v>248</v>
      </c>
      <c r="K70" s="132" t="s">
        <v>86</v>
      </c>
      <c r="L70" s="134" t="s">
        <v>36</v>
      </c>
      <c r="M70" s="129">
        <v>46078</v>
      </c>
      <c r="N70" s="130">
        <v>0.75</v>
      </c>
      <c r="O70" s="135">
        <f t="shared" ca="1" si="2"/>
        <v>0</v>
      </c>
      <c r="P70" s="136">
        <f ca="1">ROUND(O70 / 24, 2)</f>
        <v>0</v>
      </c>
      <c r="Q70" s="137">
        <f ca="1">IF(ISBLANK(B70), 0, IF(ISBLANK(M70), IF(L70="Closed", 4, ROUND(MAX(0, (NOW() - (B70 + IF(ISBLANK(C70), TIME(9,0,0), C70))) * 24), 1)), ROUND(MAX(0, ((M70 + IF(ISBLANK(N70), TIME(18,0,0), N70)) - (B70 + IF(ISBLANK(C70), TIME(9,0,0), C70))) * 24), 1)))</f>
        <v>0</v>
      </c>
      <c r="R70" s="128">
        <f>IF(ISNUMBER(SEARCH("Complete", H70)), 1, 0)</f>
        <v>0</v>
      </c>
      <c r="S70" s="132" t="s">
        <v>248</v>
      </c>
    </row>
    <row r="71" spans="1:19" ht="16">
      <c r="A71" s="118">
        <v>69</v>
      </c>
      <c r="B71" s="119">
        <v>46079</v>
      </c>
      <c r="C71" s="120">
        <v>0.41111111111111109</v>
      </c>
      <c r="D71" s="121" t="s">
        <v>57</v>
      </c>
      <c r="E71" s="122" t="s">
        <v>58</v>
      </c>
      <c r="F71" s="122" t="s">
        <v>114</v>
      </c>
      <c r="G71" s="122" t="s">
        <v>254</v>
      </c>
      <c r="H71" s="123" t="s">
        <v>42</v>
      </c>
      <c r="I71" s="118" t="s">
        <v>131</v>
      </c>
      <c r="J71" s="122" t="s">
        <v>142</v>
      </c>
      <c r="K71" s="122" t="s">
        <v>88</v>
      </c>
      <c r="L71" s="124" t="s">
        <v>36</v>
      </c>
      <c r="M71" s="119">
        <v>46079</v>
      </c>
      <c r="N71" s="120">
        <v>0.75</v>
      </c>
      <c r="O71" s="125">
        <f t="shared" ca="1" si="2"/>
        <v>0</v>
      </c>
      <c r="P71" s="126">
        <f ca="1">ROUND(O71 / 24, 2)</f>
        <v>0</v>
      </c>
      <c r="Q71" s="127">
        <f ca="1">IF(ISBLANK(B71), 0, IF(ISBLANK(M71), IF(L71="Closed", 4, ROUND(MAX(0, (NOW() - (B71 + IF(ISBLANK(C71), TIME(9,0,0), C71))) * 24), 1)), ROUND(MAX(0, ((M71 + IF(ISBLANK(N71), TIME(18,0,0), N71)) - (B71 + IF(ISBLANK(C71), TIME(9,0,0), C71))) * 24), 1)))</f>
        <v>8.1</v>
      </c>
      <c r="R71" s="118">
        <f>IF(ISNUMBER(SEARCH("Complete", H71)), 1, 0)</f>
        <v>0</v>
      </c>
      <c r="S71" s="122" t="s">
        <v>211</v>
      </c>
    </row>
    <row r="72" spans="1:19" ht="16">
      <c r="A72" s="128">
        <v>70</v>
      </c>
      <c r="B72" s="129">
        <v>46079</v>
      </c>
      <c r="C72" s="130">
        <v>0.59444444444444444</v>
      </c>
      <c r="D72" s="131" t="s">
        <v>65</v>
      </c>
      <c r="E72" s="132" t="s">
        <v>66</v>
      </c>
      <c r="F72" s="132" t="s">
        <v>114</v>
      </c>
      <c r="G72" s="132" t="s">
        <v>255</v>
      </c>
      <c r="H72" s="133" t="s">
        <v>42</v>
      </c>
      <c r="I72" s="128" t="s">
        <v>131</v>
      </c>
      <c r="J72" s="132" t="s">
        <v>256</v>
      </c>
      <c r="K72" s="132" t="s">
        <v>88</v>
      </c>
      <c r="L72" s="134" t="s">
        <v>36</v>
      </c>
      <c r="M72" s="129">
        <v>46126</v>
      </c>
      <c r="N72" s="130">
        <v>0.75</v>
      </c>
      <c r="O72" s="135">
        <f t="shared" ca="1" si="2"/>
        <v>0</v>
      </c>
      <c r="P72" s="136">
        <f ca="1">ROUND(O72 / 24, 2)</f>
        <v>0</v>
      </c>
      <c r="Q72" s="137">
        <f ca="1">IF(ISBLANK(B72), 0, IF(ISBLANK(M72), IF(L72="Closed", 4, ROUND(MAX(0, (NOW() - (B72 + IF(ISBLANK(C72), TIME(9,0,0), C72))) * 24), 1)), ROUND(MAX(0, ((M72 + IF(ISBLANK(N72), TIME(18,0,0), N72)) - (B72 + IF(ISBLANK(C72), TIME(9,0,0), C72))) * 24), 1)))</f>
        <v>1131.7</v>
      </c>
      <c r="R72" s="128">
        <f>IF(ISNUMBER(SEARCH("Complete", H72)), 1, 0)</f>
        <v>0</v>
      </c>
      <c r="S72" s="132" t="s">
        <v>256</v>
      </c>
    </row>
    <row r="73" spans="1:19" ht="16">
      <c r="A73" s="118">
        <v>71</v>
      </c>
      <c r="B73" s="119">
        <v>46083</v>
      </c>
      <c r="C73" s="120">
        <v>0.46458333333333329</v>
      </c>
      <c r="D73" s="121" t="s">
        <v>221</v>
      </c>
      <c r="E73" s="122" t="s">
        <v>53</v>
      </c>
      <c r="F73" s="122" t="s">
        <v>257</v>
      </c>
      <c r="G73" s="122" t="s">
        <v>258</v>
      </c>
      <c r="H73" s="123" t="s">
        <v>42</v>
      </c>
      <c r="I73" s="118" t="s">
        <v>131</v>
      </c>
      <c r="J73" s="122" t="s">
        <v>117</v>
      </c>
      <c r="K73" s="122" t="s">
        <v>86</v>
      </c>
      <c r="L73" s="124" t="s">
        <v>36</v>
      </c>
      <c r="M73" s="119">
        <v>46086</v>
      </c>
      <c r="N73" s="120">
        <v>0.75</v>
      </c>
      <c r="O73" s="125">
        <f t="shared" ca="1" si="2"/>
        <v>0</v>
      </c>
      <c r="P73" s="126">
        <f ca="1">ROUND(O73 / 24, 2)</f>
        <v>0</v>
      </c>
      <c r="Q73" s="127">
        <f ca="1">IF(ISBLANK(B73), 0, IF(ISBLANK(M73), IF(L73="Closed", 4, ROUND(MAX(0, (NOW() - (B73 + IF(ISBLANK(C73), TIME(9,0,0), C73))) * 24), 1)), ROUND(MAX(0, ((M73 + IF(ISBLANK(N73), TIME(18,0,0), N73)) - (B73 + IF(ISBLANK(C73), TIME(9,0,0), C73))) * 24), 1)))</f>
        <v>78.8</v>
      </c>
      <c r="R73" s="118">
        <f>IF(ISNUMBER(SEARCH("Complete", H73)), 1, 0)</f>
        <v>0</v>
      </c>
      <c r="S73" s="122" t="s">
        <v>135</v>
      </c>
    </row>
    <row r="74" spans="1:19" ht="16">
      <c r="A74" s="128">
        <v>72</v>
      </c>
      <c r="B74" s="129">
        <v>46083</v>
      </c>
      <c r="C74" s="130">
        <v>0.50486111111111109</v>
      </c>
      <c r="D74" s="131" t="s">
        <v>170</v>
      </c>
      <c r="E74" s="132" t="s">
        <v>69</v>
      </c>
      <c r="F74" s="132" t="s">
        <v>199</v>
      </c>
      <c r="G74" s="132" t="s">
        <v>259</v>
      </c>
      <c r="H74" s="133" t="s">
        <v>42</v>
      </c>
      <c r="I74" s="128" t="s">
        <v>131</v>
      </c>
      <c r="J74" s="132" t="s">
        <v>117</v>
      </c>
      <c r="K74" s="132" t="s">
        <v>86</v>
      </c>
      <c r="L74" s="134" t="s">
        <v>36</v>
      </c>
      <c r="M74" s="129">
        <v>46083</v>
      </c>
      <c r="N74" s="130">
        <v>0.75</v>
      </c>
      <c r="O74" s="135">
        <f t="shared" ca="1" si="2"/>
        <v>0</v>
      </c>
      <c r="P74" s="136">
        <f ca="1">ROUND(O74 / 24, 2)</f>
        <v>0</v>
      </c>
      <c r="Q74" s="137">
        <f ca="1">IF(ISBLANK(B74), 0, IF(ISBLANK(M74), IF(L74="Closed", 4, ROUND(MAX(0, (NOW() - (B74 + IF(ISBLANK(C74), TIME(9,0,0), C74))) * 24), 1)), ROUND(MAX(0, ((M74 + IF(ISBLANK(N74), TIME(18,0,0), N74)) - (B74 + IF(ISBLANK(C74), TIME(9,0,0), C74))) * 24), 1)))</f>
        <v>5.9</v>
      </c>
      <c r="R74" s="128">
        <f>IF(ISNUMBER(SEARCH("Complete", H74)), 1, 0)</f>
        <v>0</v>
      </c>
      <c r="S74" s="132" t="s">
        <v>135</v>
      </c>
    </row>
    <row r="75" spans="1:19" ht="16">
      <c r="A75" s="118">
        <v>73</v>
      </c>
      <c r="B75" s="119">
        <v>46083</v>
      </c>
      <c r="C75" s="120">
        <v>0.53402777777777777</v>
      </c>
      <c r="D75" s="121" t="s">
        <v>55</v>
      </c>
      <c r="E75" s="122" t="s">
        <v>53</v>
      </c>
      <c r="F75" s="122" t="s">
        <v>137</v>
      </c>
      <c r="G75" s="122" t="s">
        <v>260</v>
      </c>
      <c r="H75" s="123" t="s">
        <v>42</v>
      </c>
      <c r="I75" s="118" t="s">
        <v>261</v>
      </c>
      <c r="J75" s="122" t="s">
        <v>117</v>
      </c>
      <c r="K75" s="122" t="s">
        <v>86</v>
      </c>
      <c r="L75" s="124" t="s">
        <v>36</v>
      </c>
      <c r="M75" s="119">
        <v>46084</v>
      </c>
      <c r="N75" s="120">
        <v>0.75</v>
      </c>
      <c r="O75" s="125">
        <f t="shared" ca="1" si="2"/>
        <v>0</v>
      </c>
      <c r="P75" s="126">
        <f ca="1">ROUND(O75 / 24, 2)</f>
        <v>0</v>
      </c>
      <c r="Q75" s="127">
        <f ca="1">IF(ISBLANK(B75), 0, IF(ISBLANK(M75), IF(L75="Closed", 4, ROUND(MAX(0, (NOW() - (B75 + IF(ISBLANK(C75), TIME(9,0,0), C75))) * 24), 1)), ROUND(MAX(0, ((M75 + IF(ISBLANK(N75), TIME(18,0,0), N75)) - (B75 + IF(ISBLANK(C75), TIME(9,0,0), C75))) * 24), 1)))</f>
        <v>29.2</v>
      </c>
      <c r="R75" s="118">
        <f>IF(ISNUMBER(SEARCH("Complete", H75)), 1, 0)</f>
        <v>0</v>
      </c>
      <c r="S75" s="122" t="s">
        <v>135</v>
      </c>
    </row>
    <row r="76" spans="1:19" ht="16">
      <c r="A76" s="128">
        <v>74</v>
      </c>
      <c r="B76" s="129">
        <v>46083</v>
      </c>
      <c r="C76" s="130">
        <v>0.53402777777777777</v>
      </c>
      <c r="D76" s="131" t="s">
        <v>52</v>
      </c>
      <c r="E76" s="132" t="s">
        <v>53</v>
      </c>
      <c r="F76" s="132" t="s">
        <v>262</v>
      </c>
      <c r="G76" s="132" t="s">
        <v>263</v>
      </c>
      <c r="H76" s="133" t="s">
        <v>42</v>
      </c>
      <c r="I76" s="128" t="s">
        <v>264</v>
      </c>
      <c r="J76" s="132" t="s">
        <v>142</v>
      </c>
      <c r="K76" s="132" t="s">
        <v>88</v>
      </c>
      <c r="L76" s="134" t="s">
        <v>36</v>
      </c>
      <c r="M76" s="129">
        <v>46084</v>
      </c>
      <c r="N76" s="130">
        <v>0.75</v>
      </c>
      <c r="O76" s="135">
        <f t="shared" ca="1" si="2"/>
        <v>0</v>
      </c>
      <c r="P76" s="136">
        <f ca="1">ROUND(O76 / 24, 2)</f>
        <v>0</v>
      </c>
      <c r="Q76" s="137">
        <f ca="1">IF(ISBLANK(B76), 0, IF(ISBLANK(M76), IF(L76="Closed", 4, ROUND(MAX(0, (NOW() - (B76 + IF(ISBLANK(C76), TIME(9,0,0), C76))) * 24), 1)), ROUND(MAX(0, ((M76 + IF(ISBLANK(N76), TIME(18,0,0), N76)) - (B76 + IF(ISBLANK(C76), TIME(9,0,0), C76))) * 24), 1)))</f>
        <v>29.2</v>
      </c>
      <c r="R76" s="128">
        <f>IF(ISNUMBER(SEARCH("Complete", H76)), 1, 0)</f>
        <v>0</v>
      </c>
      <c r="S76" s="132" t="s">
        <v>143</v>
      </c>
    </row>
    <row r="77" spans="1:19" ht="16">
      <c r="A77" s="118">
        <v>75</v>
      </c>
      <c r="B77" s="119">
        <v>46084</v>
      </c>
      <c r="C77" s="120">
        <v>0.76388888888888884</v>
      </c>
      <c r="D77" s="121" t="s">
        <v>238</v>
      </c>
      <c r="E77" s="122" t="s">
        <v>53</v>
      </c>
      <c r="F77" s="122" t="s">
        <v>137</v>
      </c>
      <c r="G77" s="122" t="s">
        <v>265</v>
      </c>
      <c r="H77" s="123" t="s">
        <v>42</v>
      </c>
      <c r="I77" s="118" t="s">
        <v>131</v>
      </c>
      <c r="J77" s="122" t="s">
        <v>117</v>
      </c>
      <c r="K77" s="122" t="s">
        <v>86</v>
      </c>
      <c r="L77" s="124" t="s">
        <v>36</v>
      </c>
      <c r="M77" s="119">
        <v>46086</v>
      </c>
      <c r="N77" s="120">
        <v>0.75</v>
      </c>
      <c r="O77" s="125">
        <f t="shared" ca="1" si="2"/>
        <v>0</v>
      </c>
      <c r="P77" s="126">
        <f ca="1">ROUND(O77 / 24, 2)</f>
        <v>0</v>
      </c>
      <c r="Q77" s="127">
        <f ca="1">IF(ISBLANK(B77), 0, IF(ISBLANK(M77), IF(L77="Closed", 4, ROUND(MAX(0, (NOW() - (B77 + IF(ISBLANK(C77), TIME(9,0,0), C77))) * 24), 1)), ROUND(MAX(0, ((M77 + IF(ISBLANK(N77), TIME(18,0,0), N77)) - (B77 + IF(ISBLANK(C77), TIME(9,0,0), C77))) * 24), 1)))</f>
        <v>47.7</v>
      </c>
      <c r="R77" s="118">
        <f>IF(ISNUMBER(SEARCH("Complete", H77)), 1, 0)</f>
        <v>0</v>
      </c>
      <c r="S77" s="122" t="s">
        <v>135</v>
      </c>
    </row>
    <row r="78" spans="1:19" ht="16">
      <c r="A78" s="128">
        <v>76</v>
      </c>
      <c r="B78" s="129">
        <v>46086</v>
      </c>
      <c r="C78" s="130">
        <v>0.57638888888888884</v>
      </c>
      <c r="D78" s="131" t="s">
        <v>266</v>
      </c>
      <c r="E78" s="132" t="s">
        <v>69</v>
      </c>
      <c r="F78" s="132" t="s">
        <v>267</v>
      </c>
      <c r="G78" s="132" t="s">
        <v>268</v>
      </c>
      <c r="H78" s="133" t="s">
        <v>42</v>
      </c>
      <c r="I78" s="128" t="s">
        <v>131</v>
      </c>
      <c r="J78" s="132" t="s">
        <v>235</v>
      </c>
      <c r="K78" s="132" t="s">
        <v>86</v>
      </c>
      <c r="L78" s="134" t="s">
        <v>37</v>
      </c>
      <c r="M78" s="129"/>
      <c r="N78" s="130"/>
      <c r="O78" s="135">
        <f t="shared" ca="1" si="2"/>
        <v>0</v>
      </c>
      <c r="P78" s="136">
        <f ca="1">ROUND(O78 / 24, 2)</f>
        <v>0</v>
      </c>
      <c r="Q78" s="137">
        <f ca="1">IF(ISBLANK(B78), 0, IF(ISBLANK(M78), IF(L78="Closed", 4, ROUND(MAX(0, (NOW() - (B78 + IF(ISBLANK(C78), TIME(9,0,0), C78))) * 24), 1)), ROUND(MAX(0, ((M78 + IF(ISBLANK(N78), TIME(18,0,0), N78)) - (B78 + IF(ISBLANK(C78), TIME(9,0,0), C78))) * 24), 1)))</f>
        <v>4012.1</v>
      </c>
      <c r="R78" s="128">
        <f>IF(ISNUMBER(SEARCH("Complete", H78)), 1, 0)</f>
        <v>0</v>
      </c>
      <c r="S78" s="132" t="s">
        <v>118</v>
      </c>
    </row>
    <row r="79" spans="1:19" ht="16">
      <c r="A79" s="118">
        <v>77</v>
      </c>
      <c r="B79" s="119">
        <v>46087</v>
      </c>
      <c r="C79" s="120">
        <v>0.84652777777777777</v>
      </c>
      <c r="D79" s="121" t="s">
        <v>55</v>
      </c>
      <c r="E79" s="122" t="s">
        <v>53</v>
      </c>
      <c r="F79" s="122" t="s">
        <v>137</v>
      </c>
      <c r="G79" s="122" t="s">
        <v>269</v>
      </c>
      <c r="H79" s="123" t="s">
        <v>42</v>
      </c>
      <c r="I79" s="118" t="s">
        <v>131</v>
      </c>
      <c r="J79" s="122" t="s">
        <v>142</v>
      </c>
      <c r="K79" s="122" t="s">
        <v>88</v>
      </c>
      <c r="L79" s="124" t="s">
        <v>36</v>
      </c>
      <c r="M79" s="119">
        <v>46087</v>
      </c>
      <c r="N79" s="120">
        <v>0.75</v>
      </c>
      <c r="O79" s="125">
        <f t="shared" ca="1" si="2"/>
        <v>0</v>
      </c>
      <c r="P79" s="126">
        <f ca="1">ROUND(O79 / 24, 2)</f>
        <v>0</v>
      </c>
      <c r="Q79" s="127">
        <f ca="1">IF(ISBLANK(B79), 0, IF(ISBLANK(M79), IF(L79="Closed", 4, ROUND(MAX(0, (NOW() - (B79 + IF(ISBLANK(C79), TIME(9,0,0), C79))) * 24), 1)), ROUND(MAX(0, ((M79 + IF(ISBLANK(N79), TIME(18,0,0), N79)) - (B79 + IF(ISBLANK(C79), TIME(9,0,0), C79))) * 24), 1)))</f>
        <v>0</v>
      </c>
      <c r="R79" s="118">
        <f>IF(ISNUMBER(SEARCH("Complete", H79)), 1, 0)</f>
        <v>0</v>
      </c>
      <c r="S79" s="122" t="s">
        <v>143</v>
      </c>
    </row>
    <row r="80" spans="1:19" ht="16">
      <c r="A80" s="128">
        <v>78</v>
      </c>
      <c r="B80" s="129">
        <v>46088</v>
      </c>
      <c r="C80" s="130">
        <v>0.41805555555555562</v>
      </c>
      <c r="D80" s="131" t="s">
        <v>52</v>
      </c>
      <c r="E80" s="132" t="s">
        <v>53</v>
      </c>
      <c r="F80" s="132" t="s">
        <v>262</v>
      </c>
      <c r="G80" s="132" t="s">
        <v>270</v>
      </c>
      <c r="H80" s="133" t="s">
        <v>42</v>
      </c>
      <c r="I80" s="128" t="s">
        <v>131</v>
      </c>
      <c r="J80" s="132" t="s">
        <v>142</v>
      </c>
      <c r="K80" s="132" t="s">
        <v>88</v>
      </c>
      <c r="L80" s="134" t="s">
        <v>36</v>
      </c>
      <c r="M80" s="129">
        <v>46090</v>
      </c>
      <c r="N80" s="130">
        <v>0.75</v>
      </c>
      <c r="O80" s="135">
        <f t="shared" ca="1" si="2"/>
        <v>0</v>
      </c>
      <c r="P80" s="136">
        <f ca="1">ROUND(O80 / 24, 2)</f>
        <v>0</v>
      </c>
      <c r="Q80" s="137">
        <f ca="1">IF(ISBLANK(B80), 0, IF(ISBLANK(M80), IF(L80="Closed", 4, ROUND(MAX(0, (NOW() - (B80 + IF(ISBLANK(C80), TIME(9,0,0), C80))) * 24), 1)), ROUND(MAX(0, ((M80 + IF(ISBLANK(N80), TIME(18,0,0), N80)) - (B80 + IF(ISBLANK(C80), TIME(9,0,0), C80))) * 24), 1)))</f>
        <v>56</v>
      </c>
      <c r="R80" s="128">
        <f>IF(ISNUMBER(SEARCH("Complete", H80)), 1, 0)</f>
        <v>0</v>
      </c>
      <c r="S80" s="132" t="s">
        <v>143</v>
      </c>
    </row>
    <row r="81" spans="1:19" ht="16">
      <c r="A81" s="118">
        <v>79</v>
      </c>
      <c r="B81" s="119">
        <v>46088</v>
      </c>
      <c r="C81" s="120">
        <v>0.59583333333333333</v>
      </c>
      <c r="D81" s="121" t="s">
        <v>221</v>
      </c>
      <c r="E81" s="122" t="s">
        <v>53</v>
      </c>
      <c r="F81" s="122" t="s">
        <v>199</v>
      </c>
      <c r="G81" s="122" t="s">
        <v>271</v>
      </c>
      <c r="H81" s="123" t="s">
        <v>42</v>
      </c>
      <c r="I81" s="118" t="s">
        <v>131</v>
      </c>
      <c r="J81" s="122" t="s">
        <v>117</v>
      </c>
      <c r="K81" s="122" t="s">
        <v>86</v>
      </c>
      <c r="L81" s="124" t="s">
        <v>36</v>
      </c>
      <c r="M81" s="119">
        <v>46088</v>
      </c>
      <c r="N81" s="120">
        <v>0.75</v>
      </c>
      <c r="O81" s="125">
        <f t="shared" ca="1" si="2"/>
        <v>0</v>
      </c>
      <c r="P81" s="126">
        <f ca="1">ROUND(O81 / 24, 2)</f>
        <v>0</v>
      </c>
      <c r="Q81" s="127">
        <f ca="1">IF(ISBLANK(B81), 0, IF(ISBLANK(M81), IF(L81="Closed", 4, ROUND(MAX(0, (NOW() - (B81 + IF(ISBLANK(C81), TIME(9,0,0), C81))) * 24), 1)), ROUND(MAX(0, ((M81 + IF(ISBLANK(N81), TIME(18,0,0), N81)) - (B81 + IF(ISBLANK(C81), TIME(9,0,0), C81))) * 24), 1)))</f>
        <v>3.7</v>
      </c>
      <c r="R81" s="118">
        <f>IF(ISNUMBER(SEARCH("Complete", H81)), 1, 0)</f>
        <v>0</v>
      </c>
      <c r="S81" s="122" t="s">
        <v>135</v>
      </c>
    </row>
    <row r="82" spans="1:19" ht="16">
      <c r="A82" s="128">
        <v>80</v>
      </c>
      <c r="B82" s="129">
        <v>46090</v>
      </c>
      <c r="C82" s="130">
        <v>0.44236111111111109</v>
      </c>
      <c r="D82" s="131" t="s">
        <v>52</v>
      </c>
      <c r="E82" s="132" t="s">
        <v>53</v>
      </c>
      <c r="F82" s="132" t="s">
        <v>137</v>
      </c>
      <c r="G82" s="132" t="s">
        <v>272</v>
      </c>
      <c r="H82" s="133" t="s">
        <v>42</v>
      </c>
      <c r="I82" s="128" t="s">
        <v>273</v>
      </c>
      <c r="J82" s="132" t="s">
        <v>142</v>
      </c>
      <c r="K82" s="132" t="s">
        <v>88</v>
      </c>
      <c r="L82" s="134" t="s">
        <v>36</v>
      </c>
      <c r="M82" s="129">
        <v>46090</v>
      </c>
      <c r="N82" s="130">
        <v>0.75</v>
      </c>
      <c r="O82" s="135">
        <f t="shared" ca="1" si="2"/>
        <v>0</v>
      </c>
      <c r="P82" s="136">
        <f ca="1">ROUND(O82 / 24, 2)</f>
        <v>0</v>
      </c>
      <c r="Q82" s="137">
        <f ca="1">IF(ISBLANK(B82), 0, IF(ISBLANK(M82), IF(L82="Closed", 4, ROUND(MAX(0, (NOW() - (B82 + IF(ISBLANK(C82), TIME(9,0,0), C82))) * 24), 1)), ROUND(MAX(0, ((M82 + IF(ISBLANK(N82), TIME(18,0,0), N82)) - (B82 + IF(ISBLANK(C82), TIME(9,0,0), C82))) * 24), 1)))</f>
        <v>7.4</v>
      </c>
      <c r="R82" s="128">
        <f>IF(ISNUMBER(SEARCH("Complete", H82)), 1, 0)</f>
        <v>0</v>
      </c>
      <c r="S82" s="132" t="s">
        <v>143</v>
      </c>
    </row>
    <row r="83" spans="1:19" ht="16">
      <c r="A83" s="118">
        <v>81</v>
      </c>
      <c r="B83" s="119">
        <v>46090</v>
      </c>
      <c r="C83" s="120">
        <v>0.44236111111111109</v>
      </c>
      <c r="D83" s="121" t="s">
        <v>55</v>
      </c>
      <c r="E83" s="122" t="s">
        <v>53</v>
      </c>
      <c r="F83" s="122" t="s">
        <v>122</v>
      </c>
      <c r="G83" s="122" t="s">
        <v>274</v>
      </c>
      <c r="H83" s="123" t="s">
        <v>42</v>
      </c>
      <c r="I83" s="118" t="s">
        <v>275</v>
      </c>
      <c r="J83" s="122" t="s">
        <v>142</v>
      </c>
      <c r="K83" s="122" t="s">
        <v>88</v>
      </c>
      <c r="L83" s="124" t="s">
        <v>36</v>
      </c>
      <c r="M83" s="119">
        <v>46090</v>
      </c>
      <c r="N83" s="120">
        <v>0.75</v>
      </c>
      <c r="O83" s="125">
        <f t="shared" ca="1" si="2"/>
        <v>0</v>
      </c>
      <c r="P83" s="126">
        <f ca="1">ROUND(O83 / 24, 2)</f>
        <v>0</v>
      </c>
      <c r="Q83" s="127">
        <f ca="1">IF(ISBLANK(B83), 0, IF(ISBLANK(M83), IF(L83="Closed", 4, ROUND(MAX(0, (NOW() - (B83 + IF(ISBLANK(C83), TIME(9,0,0), C83))) * 24), 1)), ROUND(MAX(0, ((M83 + IF(ISBLANK(N83), TIME(18,0,0), N83)) - (B83 + IF(ISBLANK(C83), TIME(9,0,0), C83))) * 24), 1)))</f>
        <v>7.4</v>
      </c>
      <c r="R83" s="118">
        <f>IF(ISNUMBER(SEARCH("Complete", H83)), 1, 0)</f>
        <v>0</v>
      </c>
      <c r="S83" s="122" t="s">
        <v>143</v>
      </c>
    </row>
    <row r="84" spans="1:19" ht="16">
      <c r="A84" s="128">
        <v>82</v>
      </c>
      <c r="B84" s="129">
        <v>46090</v>
      </c>
      <c r="C84" s="130">
        <v>0.44236111111111109</v>
      </c>
      <c r="D84" s="131" t="s">
        <v>55</v>
      </c>
      <c r="E84" s="132" t="s">
        <v>53</v>
      </c>
      <c r="F84" s="132" t="s">
        <v>153</v>
      </c>
      <c r="G84" s="132" t="s">
        <v>276</v>
      </c>
      <c r="H84" s="133" t="s">
        <v>42</v>
      </c>
      <c r="I84" s="128" t="s">
        <v>277</v>
      </c>
      <c r="J84" s="132" t="s">
        <v>142</v>
      </c>
      <c r="K84" s="132" t="s">
        <v>88</v>
      </c>
      <c r="L84" s="134" t="s">
        <v>36</v>
      </c>
      <c r="M84" s="129">
        <v>46090</v>
      </c>
      <c r="N84" s="130">
        <v>0.75</v>
      </c>
      <c r="O84" s="135">
        <f t="shared" ca="1" si="2"/>
        <v>0</v>
      </c>
      <c r="P84" s="136">
        <f ca="1">ROUND(O84 / 24, 2)</f>
        <v>0</v>
      </c>
      <c r="Q84" s="137">
        <f ca="1">IF(ISBLANK(B84), 0, IF(ISBLANK(M84), IF(L84="Closed", 4, ROUND(MAX(0, (NOW() - (B84 + IF(ISBLANK(C84), TIME(9,0,0), C84))) * 24), 1)), ROUND(MAX(0, ((M84 + IF(ISBLANK(N84), TIME(18,0,0), N84)) - (B84 + IF(ISBLANK(C84), TIME(9,0,0), C84))) * 24), 1)))</f>
        <v>7.4</v>
      </c>
      <c r="R84" s="128">
        <f>IF(ISNUMBER(SEARCH("Complete", H84)), 1, 0)</f>
        <v>0</v>
      </c>
      <c r="S84" s="132" t="s">
        <v>143</v>
      </c>
    </row>
    <row r="85" spans="1:19" ht="16">
      <c r="A85" s="118">
        <v>83</v>
      </c>
      <c r="B85" s="119">
        <v>46091</v>
      </c>
      <c r="C85" s="120">
        <v>0.2590277777777778</v>
      </c>
      <c r="D85" s="121" t="s">
        <v>55</v>
      </c>
      <c r="E85" s="122" t="s">
        <v>53</v>
      </c>
      <c r="F85" s="122" t="s">
        <v>122</v>
      </c>
      <c r="G85" s="122" t="s">
        <v>278</v>
      </c>
      <c r="H85" s="123" t="s">
        <v>42</v>
      </c>
      <c r="I85" s="118" t="s">
        <v>131</v>
      </c>
      <c r="J85" s="122" t="s">
        <v>117</v>
      </c>
      <c r="K85" s="122" t="s">
        <v>86</v>
      </c>
      <c r="L85" s="124" t="s">
        <v>36</v>
      </c>
      <c r="M85" s="119">
        <v>46091</v>
      </c>
      <c r="N85" s="120">
        <v>0.75</v>
      </c>
      <c r="O85" s="125">
        <f t="shared" ca="1" si="2"/>
        <v>0</v>
      </c>
      <c r="P85" s="126">
        <f ca="1">ROUND(O85 / 24, 2)</f>
        <v>0</v>
      </c>
      <c r="Q85" s="127">
        <f ca="1">IF(ISBLANK(B85), 0, IF(ISBLANK(M85), IF(L85="Closed", 4, ROUND(MAX(0, (NOW() - (B85 + IF(ISBLANK(C85), TIME(9,0,0), C85))) * 24), 1)), ROUND(MAX(0, ((M85 + IF(ISBLANK(N85), TIME(18,0,0), N85)) - (B85 + IF(ISBLANK(C85), TIME(9,0,0), C85))) * 24), 1)))</f>
        <v>11.8</v>
      </c>
      <c r="R85" s="118">
        <f>IF(ISNUMBER(SEARCH("Complete", H85)), 1, 0)</f>
        <v>0</v>
      </c>
      <c r="S85" s="122" t="s">
        <v>135</v>
      </c>
    </row>
    <row r="86" spans="1:19" ht="16">
      <c r="A86" s="128">
        <v>84</v>
      </c>
      <c r="B86" s="129">
        <v>46091</v>
      </c>
      <c r="C86" s="130">
        <v>0.5</v>
      </c>
      <c r="D86" s="131" t="s">
        <v>55</v>
      </c>
      <c r="E86" s="132" t="s">
        <v>53</v>
      </c>
      <c r="F86" s="132" t="s">
        <v>137</v>
      </c>
      <c r="G86" s="132" t="s">
        <v>279</v>
      </c>
      <c r="H86" s="133" t="s">
        <v>42</v>
      </c>
      <c r="I86" s="128" t="s">
        <v>280</v>
      </c>
      <c r="J86" s="132" t="s">
        <v>142</v>
      </c>
      <c r="K86" s="132" t="s">
        <v>88</v>
      </c>
      <c r="L86" s="134" t="s">
        <v>36</v>
      </c>
      <c r="M86" s="129">
        <v>46091</v>
      </c>
      <c r="N86" s="130">
        <v>0.75</v>
      </c>
      <c r="O86" s="135">
        <f t="shared" ca="1" si="2"/>
        <v>0</v>
      </c>
      <c r="P86" s="136">
        <f ca="1">ROUND(O86 / 24, 2)</f>
        <v>0</v>
      </c>
      <c r="Q86" s="137">
        <f ca="1">IF(ISBLANK(B86), 0, IF(ISBLANK(M86), IF(L86="Closed", 4, ROUND(MAX(0, (NOW() - (B86 + IF(ISBLANK(C86), TIME(9,0,0), C86))) * 24), 1)), ROUND(MAX(0, ((M86 + IF(ISBLANK(N86), TIME(18,0,0), N86)) - (B86 + IF(ISBLANK(C86), TIME(9,0,0), C86))) * 24), 1)))</f>
        <v>6</v>
      </c>
      <c r="R86" s="128">
        <f>IF(ISNUMBER(SEARCH("Complete", H86)), 1, 0)</f>
        <v>0</v>
      </c>
      <c r="S86" s="132" t="s">
        <v>143</v>
      </c>
    </row>
    <row r="87" spans="1:19" ht="16">
      <c r="A87" s="118">
        <v>85</v>
      </c>
      <c r="B87" s="119">
        <v>46092</v>
      </c>
      <c r="C87" s="120">
        <v>0.42291666666666672</v>
      </c>
      <c r="D87" s="121" t="s">
        <v>281</v>
      </c>
      <c r="E87" s="122" t="s">
        <v>72</v>
      </c>
      <c r="F87" s="122" t="s">
        <v>137</v>
      </c>
      <c r="G87" s="122" t="s">
        <v>282</v>
      </c>
      <c r="H87" s="123" t="s">
        <v>42</v>
      </c>
      <c r="I87" s="118" t="s">
        <v>131</v>
      </c>
      <c r="J87" s="122" t="s">
        <v>283</v>
      </c>
      <c r="K87" s="122" t="s">
        <v>88</v>
      </c>
      <c r="L87" s="124" t="s">
        <v>36</v>
      </c>
      <c r="M87" s="119">
        <v>46092</v>
      </c>
      <c r="N87" s="120">
        <v>0.75</v>
      </c>
      <c r="O87" s="125">
        <f t="shared" ca="1" si="2"/>
        <v>0</v>
      </c>
      <c r="P87" s="126">
        <f ca="1">ROUND(O87 / 24, 2)</f>
        <v>0</v>
      </c>
      <c r="Q87" s="127">
        <f ca="1">IF(ISBLANK(B87), 0, IF(ISBLANK(M87), IF(L87="Closed", 4, ROUND(MAX(0, (NOW() - (B87 + IF(ISBLANK(C87), TIME(9,0,0), C87))) * 24), 1)), ROUND(MAX(0, ((M87 + IF(ISBLANK(N87), TIME(18,0,0), N87)) - (B87 + IF(ISBLANK(C87), TIME(9,0,0), C87))) * 24), 1)))</f>
        <v>7.8</v>
      </c>
      <c r="R87" s="118">
        <f>IF(ISNUMBER(SEARCH("Complete", H87)), 1, 0)</f>
        <v>0</v>
      </c>
      <c r="S87" s="122" t="s">
        <v>283</v>
      </c>
    </row>
    <row r="88" spans="1:19" ht="16">
      <c r="A88" s="128">
        <v>86</v>
      </c>
      <c r="B88" s="129">
        <v>46092</v>
      </c>
      <c r="C88" s="130">
        <v>0.61458333333333337</v>
      </c>
      <c r="D88" s="131" t="s">
        <v>233</v>
      </c>
      <c r="E88" s="132" t="s">
        <v>72</v>
      </c>
      <c r="F88" s="132" t="s">
        <v>114</v>
      </c>
      <c r="G88" s="132" t="s">
        <v>284</v>
      </c>
      <c r="H88" s="133" t="s">
        <v>42</v>
      </c>
      <c r="I88" s="128" t="s">
        <v>131</v>
      </c>
      <c r="J88" s="132" t="s">
        <v>285</v>
      </c>
      <c r="K88" s="132" t="s">
        <v>88</v>
      </c>
      <c r="L88" s="134" t="s">
        <v>36</v>
      </c>
      <c r="M88" s="129">
        <v>46092</v>
      </c>
      <c r="N88" s="130">
        <v>0.75</v>
      </c>
      <c r="O88" s="135">
        <f t="shared" ca="1" si="2"/>
        <v>0</v>
      </c>
      <c r="P88" s="136">
        <f ca="1">ROUND(O88 / 24, 2)</f>
        <v>0</v>
      </c>
      <c r="Q88" s="137">
        <f ca="1">IF(ISBLANK(B88), 0, IF(ISBLANK(M88), IF(L88="Closed", 4, ROUND(MAX(0, (NOW() - (B88 + IF(ISBLANK(C88), TIME(9,0,0), C88))) * 24), 1)), ROUND(MAX(0, ((M88 + IF(ISBLANK(N88), TIME(18,0,0), N88)) - (B88 + IF(ISBLANK(C88), TIME(9,0,0), C88))) * 24), 1)))</f>
        <v>3.2</v>
      </c>
      <c r="R88" s="128">
        <f>IF(ISNUMBER(SEARCH("Complete", H88)), 1, 0)</f>
        <v>0</v>
      </c>
      <c r="S88" s="132" t="s">
        <v>285</v>
      </c>
    </row>
    <row r="89" spans="1:19" ht="16">
      <c r="A89" s="118">
        <v>87</v>
      </c>
      <c r="B89" s="119">
        <v>46093</v>
      </c>
      <c r="C89" s="120">
        <v>0.68055555555555558</v>
      </c>
      <c r="D89" s="121" t="s">
        <v>286</v>
      </c>
      <c r="E89" s="122" t="s">
        <v>53</v>
      </c>
      <c r="F89" s="122" t="s">
        <v>133</v>
      </c>
      <c r="G89" s="122" t="s">
        <v>287</v>
      </c>
      <c r="H89" s="123" t="s">
        <v>42</v>
      </c>
      <c r="I89" s="118" t="s">
        <v>131</v>
      </c>
      <c r="J89" s="122" t="s">
        <v>288</v>
      </c>
      <c r="K89" s="122" t="s">
        <v>86</v>
      </c>
      <c r="L89" s="124" t="s">
        <v>36</v>
      </c>
      <c r="M89" s="119">
        <v>46093</v>
      </c>
      <c r="N89" s="120">
        <v>0.75</v>
      </c>
      <c r="O89" s="125">
        <f t="shared" ca="1" si="2"/>
        <v>0</v>
      </c>
      <c r="P89" s="126">
        <f ca="1">ROUND(O89 / 24, 2)</f>
        <v>0</v>
      </c>
      <c r="Q89" s="127">
        <f ca="1">IF(ISBLANK(B89), 0, IF(ISBLANK(M89), IF(L89="Closed", 4, ROUND(MAX(0, (NOW() - (B89 + IF(ISBLANK(C89), TIME(9,0,0), C89))) * 24), 1)), ROUND(MAX(0, ((M89 + IF(ISBLANK(N89), TIME(18,0,0), N89)) - (B89 + IF(ISBLANK(C89), TIME(9,0,0), C89))) * 24), 1)))</f>
        <v>1.7</v>
      </c>
      <c r="R89" s="118">
        <f>IF(ISNUMBER(SEARCH("Complete", H89)), 1, 0)</f>
        <v>0</v>
      </c>
      <c r="S89" s="122" t="s">
        <v>288</v>
      </c>
    </row>
    <row r="90" spans="1:19" ht="16">
      <c r="A90" s="128">
        <v>88</v>
      </c>
      <c r="B90" s="129">
        <v>46093</v>
      </c>
      <c r="C90" s="130">
        <v>0.37291666666666667</v>
      </c>
      <c r="D90" s="131" t="s">
        <v>289</v>
      </c>
      <c r="E90" s="132" t="s">
        <v>69</v>
      </c>
      <c r="F90" s="132" t="s">
        <v>133</v>
      </c>
      <c r="G90" s="132" t="s">
        <v>290</v>
      </c>
      <c r="H90" s="133" t="s">
        <v>40</v>
      </c>
      <c r="I90" s="128" t="s">
        <v>131</v>
      </c>
      <c r="J90" s="132" t="s">
        <v>117</v>
      </c>
      <c r="K90" s="132" t="s">
        <v>86</v>
      </c>
      <c r="L90" s="134" t="s">
        <v>36</v>
      </c>
      <c r="M90" s="129">
        <v>46093</v>
      </c>
      <c r="N90" s="130">
        <v>0.75</v>
      </c>
      <c r="O90" s="135">
        <f t="shared" ca="1" si="2"/>
        <v>9</v>
      </c>
      <c r="P90" s="136">
        <f ca="1">ROUND(O90 / 24, 2)</f>
        <v>0.38</v>
      </c>
      <c r="Q90" s="137">
        <f ca="1">IF(ISBLANK(B90), 0, IF(ISBLANK(M90), IF(L90="Closed", 4, ROUND(MAX(0, (NOW() - (B90 + IF(ISBLANK(C90), TIME(9,0,0), C90))) * 24), 1)), ROUND(MAX(0, ((M90 + IF(ISBLANK(N90), TIME(18,0,0), N90)) - (B90 + IF(ISBLANK(C90), TIME(9,0,0), C90))) * 24), 1)))</f>
        <v>9</v>
      </c>
      <c r="R90" s="128">
        <f>IF(ISNUMBER(SEARCH("Complete", H90)), 1, 0)</f>
        <v>1</v>
      </c>
      <c r="S90" s="132" t="s">
        <v>135</v>
      </c>
    </row>
    <row r="91" spans="1:19" ht="16">
      <c r="A91" s="118">
        <v>89</v>
      </c>
      <c r="B91" s="119">
        <v>46094</v>
      </c>
      <c r="C91" s="120">
        <v>0.60833333333333328</v>
      </c>
      <c r="D91" s="121" t="s">
        <v>52</v>
      </c>
      <c r="E91" s="122" t="s">
        <v>53</v>
      </c>
      <c r="F91" s="122" t="s">
        <v>114</v>
      </c>
      <c r="G91" s="122" t="s">
        <v>291</v>
      </c>
      <c r="H91" s="123" t="s">
        <v>42</v>
      </c>
      <c r="I91" s="118" t="s">
        <v>292</v>
      </c>
      <c r="J91" s="122" t="s">
        <v>293</v>
      </c>
      <c r="K91" s="122" t="s">
        <v>88</v>
      </c>
      <c r="L91" s="124" t="s">
        <v>36</v>
      </c>
      <c r="M91" s="119">
        <v>46094</v>
      </c>
      <c r="N91" s="120">
        <v>0.75</v>
      </c>
      <c r="O91" s="125">
        <f t="shared" ca="1" si="2"/>
        <v>0</v>
      </c>
      <c r="P91" s="126">
        <f ca="1">ROUND(O91 / 24, 2)</f>
        <v>0</v>
      </c>
      <c r="Q91" s="127">
        <f ca="1">IF(ISBLANK(B91), 0, IF(ISBLANK(M91), IF(L91="Closed", 4, ROUND(MAX(0, (NOW() - (B91 + IF(ISBLANK(C91), TIME(9,0,0), C91))) * 24), 1)), ROUND(MAX(0, ((M91 + IF(ISBLANK(N91), TIME(18,0,0), N91)) - (B91 + IF(ISBLANK(C91), TIME(9,0,0), C91))) * 24), 1)))</f>
        <v>3.4</v>
      </c>
      <c r="R91" s="118">
        <f>IF(ISNUMBER(SEARCH("Complete", H91)), 1, 0)</f>
        <v>0</v>
      </c>
      <c r="S91" s="122" t="s">
        <v>293</v>
      </c>
    </row>
    <row r="92" spans="1:19" ht="16">
      <c r="A92" s="128">
        <v>90</v>
      </c>
      <c r="B92" s="129">
        <v>46094</v>
      </c>
      <c r="C92" s="130">
        <v>0.73333333333333328</v>
      </c>
      <c r="D92" s="131" t="s">
        <v>266</v>
      </c>
      <c r="E92" s="132" t="s">
        <v>69</v>
      </c>
      <c r="F92" s="132" t="s">
        <v>267</v>
      </c>
      <c r="G92" s="132" t="s">
        <v>294</v>
      </c>
      <c r="H92" s="133" t="s">
        <v>42</v>
      </c>
      <c r="I92" s="128" t="s">
        <v>131</v>
      </c>
      <c r="J92" s="132" t="s">
        <v>295</v>
      </c>
      <c r="K92" s="132" t="s">
        <v>88</v>
      </c>
      <c r="L92" s="134" t="s">
        <v>296</v>
      </c>
      <c r="M92" s="129"/>
      <c r="N92" s="130"/>
      <c r="O92" s="135">
        <f t="shared" ca="1" si="2"/>
        <v>0</v>
      </c>
      <c r="P92" s="136">
        <f ca="1">ROUND(O92 / 24, 2)</f>
        <v>0</v>
      </c>
      <c r="Q92" s="137">
        <f ca="1">IF(ISBLANK(B92), 0, IF(ISBLANK(M92), IF(L92="Closed", 4, ROUND(MAX(0, (NOW() - (B92 + IF(ISBLANK(C92), TIME(9,0,0), C92))) * 24), 1)), ROUND(MAX(0, ((M92 + IF(ISBLANK(N92), TIME(18,0,0), N92)) - (B92 + IF(ISBLANK(C92), TIME(9,0,0), C92))) * 24), 1)))</f>
        <v>3816.3</v>
      </c>
      <c r="R92" s="128">
        <f>IF(ISNUMBER(SEARCH("Complete", H92)), 1, 0)</f>
        <v>0</v>
      </c>
      <c r="S92" s="132" t="s">
        <v>143</v>
      </c>
    </row>
    <row r="93" spans="1:19" ht="16">
      <c r="A93" s="118">
        <v>91</v>
      </c>
      <c r="B93" s="119">
        <v>46097</v>
      </c>
      <c r="C93" s="120">
        <v>0.77847222222222223</v>
      </c>
      <c r="D93" s="121" t="s">
        <v>52</v>
      </c>
      <c r="E93" s="122" t="s">
        <v>53</v>
      </c>
      <c r="F93" s="122" t="s">
        <v>262</v>
      </c>
      <c r="G93" s="122" t="s">
        <v>297</v>
      </c>
      <c r="H93" s="123" t="s">
        <v>42</v>
      </c>
      <c r="I93" s="118" t="s">
        <v>131</v>
      </c>
      <c r="J93" s="122" t="s">
        <v>298</v>
      </c>
      <c r="K93" s="122" t="s">
        <v>88</v>
      </c>
      <c r="L93" s="124" t="s">
        <v>36</v>
      </c>
      <c r="M93" s="119">
        <v>46098</v>
      </c>
      <c r="N93" s="120">
        <v>0.75</v>
      </c>
      <c r="O93" s="125">
        <f t="shared" ca="1" si="2"/>
        <v>0</v>
      </c>
      <c r="P93" s="126">
        <f ca="1">ROUND(O93 / 24, 2)</f>
        <v>0</v>
      </c>
      <c r="Q93" s="127">
        <f ca="1">IF(ISBLANK(B93), 0, IF(ISBLANK(M93), IF(L93="Closed", 4, ROUND(MAX(0, (NOW() - (B93 + IF(ISBLANK(C93), TIME(9,0,0), C93))) * 24), 1)), ROUND(MAX(0, ((M93 + IF(ISBLANK(N93), TIME(18,0,0), N93)) - (B93 + IF(ISBLANK(C93), TIME(9,0,0), C93))) * 24), 1)))</f>
        <v>23.3</v>
      </c>
      <c r="R93" s="118">
        <f>IF(ISNUMBER(SEARCH("Complete", H93)), 1, 0)</f>
        <v>0</v>
      </c>
      <c r="S93" s="122" t="s">
        <v>298</v>
      </c>
    </row>
    <row r="94" spans="1:19" ht="16">
      <c r="A94" s="128">
        <v>92</v>
      </c>
      <c r="B94" s="129">
        <v>46097</v>
      </c>
      <c r="C94" s="130">
        <v>0.35208333333333341</v>
      </c>
      <c r="D94" s="131" t="s">
        <v>299</v>
      </c>
      <c r="E94" s="132" t="s">
        <v>53</v>
      </c>
      <c r="F94" s="132" t="s">
        <v>133</v>
      </c>
      <c r="G94" s="132" t="s">
        <v>300</v>
      </c>
      <c r="H94" s="133" t="s">
        <v>42</v>
      </c>
      <c r="I94" s="128" t="s">
        <v>131</v>
      </c>
      <c r="J94" s="132" t="s">
        <v>117</v>
      </c>
      <c r="K94" s="132" t="s">
        <v>86</v>
      </c>
      <c r="L94" s="134" t="s">
        <v>36</v>
      </c>
      <c r="M94" s="129">
        <v>46097</v>
      </c>
      <c r="N94" s="130">
        <v>0.75</v>
      </c>
      <c r="O94" s="135">
        <f t="shared" ca="1" si="2"/>
        <v>0</v>
      </c>
      <c r="P94" s="136">
        <f ca="1">ROUND(O94 / 24, 2)</f>
        <v>0</v>
      </c>
      <c r="Q94" s="137">
        <f ca="1">IF(ISBLANK(B94), 0, IF(ISBLANK(M94), IF(L94="Closed", 4, ROUND(MAX(0, (NOW() - (B94 + IF(ISBLANK(C94), TIME(9,0,0), C94))) * 24), 1)), ROUND(MAX(0, ((M94 + IF(ISBLANK(N94), TIME(18,0,0), N94)) - (B94 + IF(ISBLANK(C94), TIME(9,0,0), C94))) * 24), 1)))</f>
        <v>9.6</v>
      </c>
      <c r="R94" s="128">
        <f>IF(ISNUMBER(SEARCH("Complete", H94)), 1, 0)</f>
        <v>0</v>
      </c>
      <c r="S94" s="132" t="s">
        <v>135</v>
      </c>
    </row>
    <row r="95" spans="1:19" ht="16">
      <c r="A95" s="118">
        <v>93</v>
      </c>
      <c r="B95" s="119">
        <v>46098</v>
      </c>
      <c r="C95" s="120">
        <v>0.70972222222222225</v>
      </c>
      <c r="D95" s="121" t="s">
        <v>221</v>
      </c>
      <c r="E95" s="122" t="s">
        <v>53</v>
      </c>
      <c r="F95" s="122" t="s">
        <v>133</v>
      </c>
      <c r="G95" s="122" t="s">
        <v>301</v>
      </c>
      <c r="H95" s="123" t="s">
        <v>42</v>
      </c>
      <c r="I95" s="118" t="s">
        <v>131</v>
      </c>
      <c r="J95" s="122" t="s">
        <v>302</v>
      </c>
      <c r="K95" s="122" t="s">
        <v>86</v>
      </c>
      <c r="L95" s="124" t="s">
        <v>36</v>
      </c>
      <c r="M95" s="119">
        <v>46098</v>
      </c>
      <c r="N95" s="120">
        <v>0.75</v>
      </c>
      <c r="O95" s="125">
        <f t="shared" ca="1" si="2"/>
        <v>0</v>
      </c>
      <c r="P95" s="126">
        <f ca="1">ROUND(O95 / 24, 2)</f>
        <v>0</v>
      </c>
      <c r="Q95" s="127">
        <f ca="1">IF(ISBLANK(B95), 0, IF(ISBLANK(M95), IF(L95="Closed", 4, ROUND(MAX(0, (NOW() - (B95 + IF(ISBLANK(C95), TIME(9,0,0), C95))) * 24), 1)), ROUND(MAX(0, ((M95 + IF(ISBLANK(N95), TIME(18,0,0), N95)) - (B95 + IF(ISBLANK(C95), TIME(9,0,0), C95))) * 24), 1)))</f>
        <v>1</v>
      </c>
      <c r="R95" s="118">
        <f>IF(ISNUMBER(SEARCH("Complete", H95)), 1, 0)</f>
        <v>0</v>
      </c>
      <c r="S95" s="122" t="s">
        <v>302</v>
      </c>
    </row>
    <row r="96" spans="1:19" ht="16">
      <c r="A96" s="128">
        <v>94</v>
      </c>
      <c r="B96" s="129">
        <v>46098</v>
      </c>
      <c r="C96" s="130">
        <v>0.77638888888888891</v>
      </c>
      <c r="D96" s="131" t="s">
        <v>203</v>
      </c>
      <c r="E96" s="132" t="s">
        <v>63</v>
      </c>
      <c r="F96" s="132" t="s">
        <v>137</v>
      </c>
      <c r="G96" s="132" t="s">
        <v>303</v>
      </c>
      <c r="H96" s="133" t="s">
        <v>42</v>
      </c>
      <c r="I96" s="128" t="s">
        <v>131</v>
      </c>
      <c r="J96" s="132" t="s">
        <v>117</v>
      </c>
      <c r="K96" s="132" t="s">
        <v>86</v>
      </c>
      <c r="L96" s="134" t="s">
        <v>36</v>
      </c>
      <c r="M96" s="129">
        <v>46098</v>
      </c>
      <c r="N96" s="130">
        <v>0.75</v>
      </c>
      <c r="O96" s="135">
        <f t="shared" ca="1" si="2"/>
        <v>0</v>
      </c>
      <c r="P96" s="136">
        <f ca="1">ROUND(O96 / 24, 2)</f>
        <v>0</v>
      </c>
      <c r="Q96" s="137">
        <f ca="1">IF(ISBLANK(B96), 0, IF(ISBLANK(M96), IF(L96="Closed", 4, ROUND(MAX(0, (NOW() - (B96 + IF(ISBLANK(C96), TIME(9,0,0), C96))) * 24), 1)), ROUND(MAX(0, ((M96 + IF(ISBLANK(N96), TIME(18,0,0), N96)) - (B96 + IF(ISBLANK(C96), TIME(9,0,0), C96))) * 24), 1)))</f>
        <v>0</v>
      </c>
      <c r="R96" s="128">
        <f>IF(ISNUMBER(SEARCH("Complete", H96)), 1, 0)</f>
        <v>0</v>
      </c>
      <c r="S96" s="132" t="s">
        <v>135</v>
      </c>
    </row>
    <row r="97" spans="1:19" ht="16">
      <c r="A97" s="118">
        <v>95</v>
      </c>
      <c r="B97" s="119">
        <v>46099</v>
      </c>
      <c r="C97" s="120">
        <v>0.44861111111111113</v>
      </c>
      <c r="D97" s="121" t="s">
        <v>52</v>
      </c>
      <c r="E97" s="122" t="s">
        <v>53</v>
      </c>
      <c r="F97" s="122" t="s">
        <v>114</v>
      </c>
      <c r="G97" s="122" t="s">
        <v>304</v>
      </c>
      <c r="H97" s="123" t="s">
        <v>42</v>
      </c>
      <c r="I97" s="118" t="s">
        <v>305</v>
      </c>
      <c r="J97" s="122" t="s">
        <v>142</v>
      </c>
      <c r="K97" s="122" t="s">
        <v>88</v>
      </c>
      <c r="L97" s="124" t="s">
        <v>36</v>
      </c>
      <c r="M97" s="119">
        <v>46099</v>
      </c>
      <c r="N97" s="120">
        <v>0.75</v>
      </c>
      <c r="O97" s="125">
        <f t="shared" ca="1" si="2"/>
        <v>0</v>
      </c>
      <c r="P97" s="126">
        <f ca="1">ROUND(O97 / 24, 2)</f>
        <v>0</v>
      </c>
      <c r="Q97" s="127">
        <f ca="1">IF(ISBLANK(B97), 0, IF(ISBLANK(M97), IF(L97="Closed", 4, ROUND(MAX(0, (NOW() - (B97 + IF(ISBLANK(C97), TIME(9,0,0), C97))) * 24), 1)), ROUND(MAX(0, ((M97 + IF(ISBLANK(N97), TIME(18,0,0), N97)) - (B97 + IF(ISBLANK(C97), TIME(9,0,0), C97))) * 24), 1)))</f>
        <v>7.2</v>
      </c>
      <c r="R97" s="118">
        <f>IF(ISNUMBER(SEARCH("Complete", H97)), 1, 0)</f>
        <v>0</v>
      </c>
      <c r="S97" s="122" t="s">
        <v>143</v>
      </c>
    </row>
    <row r="98" spans="1:19" ht="16">
      <c r="A98" s="128">
        <v>96</v>
      </c>
      <c r="B98" s="129">
        <v>46099</v>
      </c>
      <c r="C98" s="130">
        <v>0.61597222222222225</v>
      </c>
      <c r="D98" s="131" t="s">
        <v>289</v>
      </c>
      <c r="E98" s="132" t="s">
        <v>69</v>
      </c>
      <c r="F98" s="132" t="s">
        <v>199</v>
      </c>
      <c r="G98" s="132" t="s">
        <v>306</v>
      </c>
      <c r="H98" s="133" t="s">
        <v>40</v>
      </c>
      <c r="I98" s="128" t="s">
        <v>131</v>
      </c>
      <c r="J98" s="132" t="s">
        <v>117</v>
      </c>
      <c r="K98" s="132" t="s">
        <v>86</v>
      </c>
      <c r="L98" s="134" t="s">
        <v>36</v>
      </c>
      <c r="M98" s="129">
        <v>46099</v>
      </c>
      <c r="N98" s="130">
        <v>0.75</v>
      </c>
      <c r="O98" s="135">
        <f t="shared" ca="1" si="2"/>
        <v>3.2</v>
      </c>
      <c r="P98" s="136">
        <f ca="1">ROUND(O98 / 24, 2)</f>
        <v>0.13</v>
      </c>
      <c r="Q98" s="137">
        <f ca="1">IF(ISBLANK(B98), 0, IF(ISBLANK(M98), IF(L98="Closed", 4, ROUND(MAX(0, (NOW() - (B98 + IF(ISBLANK(C98), TIME(9,0,0), C98))) * 24), 1)), ROUND(MAX(0, ((M98 + IF(ISBLANK(N98), TIME(18,0,0), N98)) - (B98 + IF(ISBLANK(C98), TIME(9,0,0), C98))) * 24), 1)))</f>
        <v>3.2</v>
      </c>
      <c r="R98" s="128">
        <f>IF(ISNUMBER(SEARCH("Complete", H98)), 1, 0)</f>
        <v>1</v>
      </c>
      <c r="S98" s="132" t="s">
        <v>135</v>
      </c>
    </row>
    <row r="99" spans="1:19" ht="16">
      <c r="A99" s="118">
        <v>97</v>
      </c>
      <c r="B99" s="119">
        <v>46099</v>
      </c>
      <c r="C99" s="120">
        <v>0.76388888888888884</v>
      </c>
      <c r="D99" s="121" t="s">
        <v>236</v>
      </c>
      <c r="E99" s="122" t="s">
        <v>72</v>
      </c>
      <c r="F99" s="122" t="s">
        <v>114</v>
      </c>
      <c r="G99" s="122" t="s">
        <v>307</v>
      </c>
      <c r="H99" s="123" t="s">
        <v>42</v>
      </c>
      <c r="I99" s="118" t="s">
        <v>308</v>
      </c>
      <c r="J99" s="122" t="s">
        <v>142</v>
      </c>
      <c r="K99" s="122" t="s">
        <v>88</v>
      </c>
      <c r="L99" s="124" t="s">
        <v>36</v>
      </c>
      <c r="M99" s="119">
        <v>46101</v>
      </c>
      <c r="N99" s="120">
        <v>0.75</v>
      </c>
      <c r="O99" s="125">
        <f t="shared" ref="O99:O130" ca="1" si="3">IF(ISBLANK(B99), 0, IF(ISNUMBER(SEARCH("Complete", H99)), IF(ISBLANK(M99), IF(L99="Closed", 4, ROUND(MAX(0, (NOW() - (B99 + IF(ISBLANK(C99), TIME(9,0,0), C99))) * 24), 1)), ROUND(MAX(0, ((M99 + IF(ISBLANK(N99), TIME(18,0,0), N99)) - (B99 + IF(ISBLANK(C99), TIME(9,0,0), C99))) * 24), 1)), 0))</f>
        <v>0</v>
      </c>
      <c r="P99" s="126">
        <f ca="1">ROUND(O99 / 24, 2)</f>
        <v>0</v>
      </c>
      <c r="Q99" s="127">
        <f ca="1">IF(ISBLANK(B99), 0, IF(ISBLANK(M99), IF(L99="Closed", 4, ROUND(MAX(0, (NOW() - (B99 + IF(ISBLANK(C99), TIME(9,0,0), C99))) * 24), 1)), ROUND(MAX(0, ((M99 + IF(ISBLANK(N99), TIME(18,0,0), N99)) - (B99 + IF(ISBLANK(C99), TIME(9,0,0), C99))) * 24), 1)))</f>
        <v>47.7</v>
      </c>
      <c r="R99" s="118">
        <f>IF(ISNUMBER(SEARCH("Complete", H99)), 1, 0)</f>
        <v>0</v>
      </c>
      <c r="S99" s="122" t="s">
        <v>143</v>
      </c>
    </row>
    <row r="100" spans="1:19" ht="16">
      <c r="A100" s="128">
        <v>98</v>
      </c>
      <c r="B100" s="129">
        <v>46100</v>
      </c>
      <c r="C100" s="130">
        <v>0.40625</v>
      </c>
      <c r="D100" s="131" t="s">
        <v>52</v>
      </c>
      <c r="E100" s="132" t="s">
        <v>53</v>
      </c>
      <c r="F100" s="132" t="s">
        <v>309</v>
      </c>
      <c r="G100" s="132" t="s">
        <v>310</v>
      </c>
      <c r="H100" s="133" t="s">
        <v>42</v>
      </c>
      <c r="I100" s="128" t="s">
        <v>311</v>
      </c>
      <c r="J100" s="132" t="s">
        <v>142</v>
      </c>
      <c r="K100" s="132" t="s">
        <v>88</v>
      </c>
      <c r="L100" s="134" t="s">
        <v>36</v>
      </c>
      <c r="M100" s="129">
        <v>46101</v>
      </c>
      <c r="N100" s="130">
        <v>0.75</v>
      </c>
      <c r="O100" s="135">
        <f t="shared" ca="1" si="3"/>
        <v>0</v>
      </c>
      <c r="P100" s="136">
        <f ca="1">ROUND(O100 / 24, 2)</f>
        <v>0</v>
      </c>
      <c r="Q100" s="137">
        <f ca="1">IF(ISBLANK(B100), 0, IF(ISBLANK(M100), IF(L100="Closed", 4, ROUND(MAX(0, (NOW() - (B100 + IF(ISBLANK(C100), TIME(9,0,0), C100))) * 24), 1)), ROUND(MAX(0, ((M100 + IF(ISBLANK(N100), TIME(18,0,0), N100)) - (B100 + IF(ISBLANK(C100), TIME(9,0,0), C100))) * 24), 1)))</f>
        <v>32.299999999999997</v>
      </c>
      <c r="R100" s="128">
        <f>IF(ISNUMBER(SEARCH("Complete", H100)), 1, 0)</f>
        <v>0</v>
      </c>
      <c r="S100" s="132" t="s">
        <v>143</v>
      </c>
    </row>
    <row r="101" spans="1:19" ht="16">
      <c r="A101" s="118">
        <v>99</v>
      </c>
      <c r="B101" s="119">
        <v>46100</v>
      </c>
      <c r="C101" s="120">
        <v>0.51249999999999996</v>
      </c>
      <c r="D101" s="121" t="s">
        <v>52</v>
      </c>
      <c r="E101" s="122" t="s">
        <v>53</v>
      </c>
      <c r="F101" s="122" t="s">
        <v>153</v>
      </c>
      <c r="G101" s="122" t="s">
        <v>312</v>
      </c>
      <c r="H101" s="123" t="s">
        <v>42</v>
      </c>
      <c r="I101" s="118" t="s">
        <v>313</v>
      </c>
      <c r="J101" s="122" t="s">
        <v>142</v>
      </c>
      <c r="K101" s="122" t="s">
        <v>88</v>
      </c>
      <c r="L101" s="124" t="s">
        <v>36</v>
      </c>
      <c r="M101" s="119">
        <v>46100</v>
      </c>
      <c r="N101" s="120">
        <v>0.75</v>
      </c>
      <c r="O101" s="125">
        <f t="shared" ca="1" si="3"/>
        <v>0</v>
      </c>
      <c r="P101" s="126">
        <f ca="1">ROUND(O101 / 24, 2)</f>
        <v>0</v>
      </c>
      <c r="Q101" s="127">
        <f ca="1">IF(ISBLANK(B101), 0, IF(ISBLANK(M101), IF(L101="Closed", 4, ROUND(MAX(0, (NOW() - (B101 + IF(ISBLANK(C101), TIME(9,0,0), C101))) * 24), 1)), ROUND(MAX(0, ((M101 + IF(ISBLANK(N101), TIME(18,0,0), N101)) - (B101 + IF(ISBLANK(C101), TIME(9,0,0), C101))) * 24), 1)))</f>
        <v>5.7</v>
      </c>
      <c r="R101" s="118">
        <f>IF(ISNUMBER(SEARCH("Complete", H101)), 1, 0)</f>
        <v>0</v>
      </c>
      <c r="S101" s="122" t="s">
        <v>143</v>
      </c>
    </row>
    <row r="102" spans="1:19" ht="16">
      <c r="A102" s="128">
        <v>100</v>
      </c>
      <c r="B102" s="129">
        <v>46102</v>
      </c>
      <c r="C102" s="130">
        <v>0.75277777777777777</v>
      </c>
      <c r="D102" s="131" t="s">
        <v>238</v>
      </c>
      <c r="E102" s="132" t="s">
        <v>53</v>
      </c>
      <c r="F102" s="132" t="s">
        <v>122</v>
      </c>
      <c r="G102" s="132" t="s">
        <v>314</v>
      </c>
      <c r="H102" s="133" t="s">
        <v>40</v>
      </c>
      <c r="I102" s="128" t="s">
        <v>131</v>
      </c>
      <c r="J102" s="132" t="s">
        <v>315</v>
      </c>
      <c r="K102" s="132" t="s">
        <v>88</v>
      </c>
      <c r="L102" s="134" t="s">
        <v>36</v>
      </c>
      <c r="M102" s="129">
        <v>46103</v>
      </c>
      <c r="N102" s="130">
        <v>0.75</v>
      </c>
      <c r="O102" s="135">
        <f t="shared" ca="1" si="3"/>
        <v>23.9</v>
      </c>
      <c r="P102" s="136">
        <f ca="1">ROUND(O102 / 24, 2)</f>
        <v>1</v>
      </c>
      <c r="Q102" s="137">
        <f ca="1">IF(ISBLANK(B102), 0, IF(ISBLANK(M102), IF(L102="Closed", 4, ROUND(MAX(0, (NOW() - (B102 + IF(ISBLANK(C102), TIME(9,0,0), C102))) * 24), 1)), ROUND(MAX(0, ((M102 + IF(ISBLANK(N102), TIME(18,0,0), N102)) - (B102 + IF(ISBLANK(C102), TIME(9,0,0), C102))) * 24), 1)))</f>
        <v>23.9</v>
      </c>
      <c r="R102" s="128">
        <f>IF(ISNUMBER(SEARCH("Complete", H102)), 1, 0)</f>
        <v>1</v>
      </c>
      <c r="S102" s="132" t="s">
        <v>315</v>
      </c>
    </row>
    <row r="103" spans="1:19" ht="16">
      <c r="A103" s="118">
        <v>101</v>
      </c>
      <c r="B103" s="119">
        <v>46104</v>
      </c>
      <c r="C103" s="120">
        <v>0.2986111111111111</v>
      </c>
      <c r="D103" s="121" t="s">
        <v>236</v>
      </c>
      <c r="E103" s="122" t="s">
        <v>72</v>
      </c>
      <c r="F103" s="122" t="s">
        <v>137</v>
      </c>
      <c r="G103" s="122" t="s">
        <v>316</v>
      </c>
      <c r="H103" s="123" t="s">
        <v>40</v>
      </c>
      <c r="I103" s="118" t="s">
        <v>131</v>
      </c>
      <c r="J103" s="122" t="s">
        <v>142</v>
      </c>
      <c r="K103" s="122" t="s">
        <v>88</v>
      </c>
      <c r="L103" s="124" t="s">
        <v>36</v>
      </c>
      <c r="M103" s="119">
        <v>46104</v>
      </c>
      <c r="N103" s="120">
        <v>0.75</v>
      </c>
      <c r="O103" s="125">
        <f t="shared" ca="1" si="3"/>
        <v>10.8</v>
      </c>
      <c r="P103" s="126">
        <f ca="1">ROUND(O103 / 24, 2)</f>
        <v>0.45</v>
      </c>
      <c r="Q103" s="127">
        <f ca="1">IF(ISBLANK(B103), 0, IF(ISBLANK(M103), IF(L103="Closed", 4, ROUND(MAX(0, (NOW() - (B103 + IF(ISBLANK(C103), TIME(9,0,0), C103))) * 24), 1)), ROUND(MAX(0, ((M103 + IF(ISBLANK(N103), TIME(18,0,0), N103)) - (B103 + IF(ISBLANK(C103), TIME(9,0,0), C103))) * 24), 1)))</f>
        <v>10.8</v>
      </c>
      <c r="R103" s="118">
        <f>IF(ISNUMBER(SEARCH("Complete", H103)), 1, 0)</f>
        <v>1</v>
      </c>
      <c r="S103" s="122" t="s">
        <v>211</v>
      </c>
    </row>
    <row r="104" spans="1:19" ht="16">
      <c r="A104" s="128">
        <v>102</v>
      </c>
      <c r="B104" s="129">
        <v>46104</v>
      </c>
      <c r="C104" s="130">
        <v>0.3888888888888889</v>
      </c>
      <c r="D104" s="131" t="s">
        <v>238</v>
      </c>
      <c r="E104" s="132" t="s">
        <v>53</v>
      </c>
      <c r="F104" s="132" t="s">
        <v>137</v>
      </c>
      <c r="G104" s="132" t="s">
        <v>317</v>
      </c>
      <c r="H104" s="133" t="s">
        <v>40</v>
      </c>
      <c r="I104" s="128" t="s">
        <v>131</v>
      </c>
      <c r="J104" s="132" t="s">
        <v>318</v>
      </c>
      <c r="K104" s="132" t="s">
        <v>88</v>
      </c>
      <c r="L104" s="134" t="s">
        <v>36</v>
      </c>
      <c r="M104" s="129">
        <v>46104</v>
      </c>
      <c r="N104" s="130">
        <v>0.75</v>
      </c>
      <c r="O104" s="135">
        <f t="shared" ca="1" si="3"/>
        <v>8.6999999999999993</v>
      </c>
      <c r="P104" s="136">
        <f ca="1">ROUND(O104 / 24, 2)</f>
        <v>0.36</v>
      </c>
      <c r="Q104" s="137">
        <f ca="1">IF(ISBLANK(B104), 0, IF(ISBLANK(M104), IF(L104="Closed", 4, ROUND(MAX(0, (NOW() - (B104 + IF(ISBLANK(C104), TIME(9,0,0), C104))) * 24), 1)), ROUND(MAX(0, ((M104 + IF(ISBLANK(N104), TIME(18,0,0), N104)) - (B104 + IF(ISBLANK(C104), TIME(9,0,0), C104))) * 24), 1)))</f>
        <v>8.6999999999999993</v>
      </c>
      <c r="R104" s="128">
        <f>IF(ISNUMBER(SEARCH("Complete", H104)), 1, 0)</f>
        <v>1</v>
      </c>
      <c r="S104" s="132" t="s">
        <v>318</v>
      </c>
    </row>
    <row r="105" spans="1:19" ht="16">
      <c r="A105" s="118">
        <v>103</v>
      </c>
      <c r="B105" s="119">
        <v>46106</v>
      </c>
      <c r="C105" s="120">
        <v>0.58819444444444446</v>
      </c>
      <c r="D105" s="121" t="s">
        <v>221</v>
      </c>
      <c r="E105" s="122" t="s">
        <v>53</v>
      </c>
      <c r="F105" s="122" t="s">
        <v>257</v>
      </c>
      <c r="G105" s="122" t="s">
        <v>319</v>
      </c>
      <c r="H105" s="123" t="s">
        <v>42</v>
      </c>
      <c r="I105" s="118" t="s">
        <v>131</v>
      </c>
      <c r="J105" s="122" t="s">
        <v>117</v>
      </c>
      <c r="K105" s="122" t="s">
        <v>86</v>
      </c>
      <c r="L105" s="124" t="s">
        <v>36</v>
      </c>
      <c r="M105" s="119">
        <v>46106</v>
      </c>
      <c r="N105" s="120">
        <v>0.75</v>
      </c>
      <c r="O105" s="125">
        <f t="shared" ca="1" si="3"/>
        <v>0</v>
      </c>
      <c r="P105" s="126">
        <f ca="1">ROUND(O105 / 24, 2)</f>
        <v>0</v>
      </c>
      <c r="Q105" s="127">
        <f ca="1">IF(ISBLANK(B105), 0, IF(ISBLANK(M105), IF(L105="Closed", 4, ROUND(MAX(0, (NOW() - (B105 + IF(ISBLANK(C105), TIME(9,0,0), C105))) * 24), 1)), ROUND(MAX(0, ((M105 + IF(ISBLANK(N105), TIME(18,0,0), N105)) - (B105 + IF(ISBLANK(C105), TIME(9,0,0), C105))) * 24), 1)))</f>
        <v>3.9</v>
      </c>
      <c r="R105" s="118">
        <f>IF(ISNUMBER(SEARCH("Complete", H105)), 1, 0)</f>
        <v>0</v>
      </c>
      <c r="S105" s="122" t="s">
        <v>320</v>
      </c>
    </row>
    <row r="106" spans="1:19" ht="16">
      <c r="A106" s="128">
        <v>104</v>
      </c>
      <c r="B106" s="129">
        <v>46107</v>
      </c>
      <c r="C106" s="130">
        <v>0.40972222222222221</v>
      </c>
      <c r="D106" s="131" t="s">
        <v>52</v>
      </c>
      <c r="E106" s="132" t="s">
        <v>53</v>
      </c>
      <c r="F106" s="132" t="s">
        <v>262</v>
      </c>
      <c r="G106" s="132" t="s">
        <v>321</v>
      </c>
      <c r="H106" s="133" t="s">
        <v>42</v>
      </c>
      <c r="I106" s="128" t="s">
        <v>322</v>
      </c>
      <c r="J106" s="132" t="s">
        <v>142</v>
      </c>
      <c r="K106" s="132" t="s">
        <v>88</v>
      </c>
      <c r="L106" s="134" t="s">
        <v>36</v>
      </c>
      <c r="M106" s="129">
        <v>46107</v>
      </c>
      <c r="N106" s="130">
        <v>0.75</v>
      </c>
      <c r="O106" s="135">
        <f t="shared" ca="1" si="3"/>
        <v>0</v>
      </c>
      <c r="P106" s="136">
        <f ca="1">ROUND(O106 / 24, 2)</f>
        <v>0</v>
      </c>
      <c r="Q106" s="137">
        <f ca="1">IF(ISBLANK(B106), 0, IF(ISBLANK(M106), IF(L106="Closed", 4, ROUND(MAX(0, (NOW() - (B106 + IF(ISBLANK(C106), TIME(9,0,0), C106))) * 24), 1)), ROUND(MAX(0, ((M106 + IF(ISBLANK(N106), TIME(18,0,0), N106)) - (B106 + IF(ISBLANK(C106), TIME(9,0,0), C106))) * 24), 1)))</f>
        <v>8.1999999999999993</v>
      </c>
      <c r="R106" s="128">
        <f>IF(ISNUMBER(SEARCH("Complete", H106)), 1, 0)</f>
        <v>0</v>
      </c>
      <c r="S106" s="132" t="s">
        <v>211</v>
      </c>
    </row>
    <row r="107" spans="1:19" ht="16">
      <c r="A107" s="118">
        <v>105</v>
      </c>
      <c r="B107" s="119">
        <v>46107</v>
      </c>
      <c r="C107" s="120">
        <v>0.40972222222222221</v>
      </c>
      <c r="D107" s="121" t="s">
        <v>52</v>
      </c>
      <c r="E107" s="122" t="s">
        <v>53</v>
      </c>
      <c r="F107" s="122" t="s">
        <v>119</v>
      </c>
      <c r="G107" s="122" t="s">
        <v>323</v>
      </c>
      <c r="H107" s="123" t="s">
        <v>42</v>
      </c>
      <c r="I107" s="118" t="s">
        <v>324</v>
      </c>
      <c r="J107" s="122" t="s">
        <v>142</v>
      </c>
      <c r="K107" s="122" t="s">
        <v>88</v>
      </c>
      <c r="L107" s="124" t="s">
        <v>36</v>
      </c>
      <c r="M107" s="119">
        <v>46107</v>
      </c>
      <c r="N107" s="120">
        <v>0.75</v>
      </c>
      <c r="O107" s="125">
        <f t="shared" ca="1" si="3"/>
        <v>0</v>
      </c>
      <c r="P107" s="126">
        <f ca="1">ROUND(O107 / 24, 2)</f>
        <v>0</v>
      </c>
      <c r="Q107" s="127">
        <f ca="1">IF(ISBLANK(B107), 0, IF(ISBLANK(M107), IF(L107="Closed", 4, ROUND(MAX(0, (NOW() - (B107 + IF(ISBLANK(C107), TIME(9,0,0), C107))) * 24), 1)), ROUND(MAX(0, ((M107 + IF(ISBLANK(N107), TIME(18,0,0), N107)) - (B107 + IF(ISBLANK(C107), TIME(9,0,0), C107))) * 24), 1)))</f>
        <v>8.1999999999999993</v>
      </c>
      <c r="R107" s="118">
        <f>IF(ISNUMBER(SEARCH("Complete", H107)), 1, 0)</f>
        <v>0</v>
      </c>
      <c r="S107" s="122" t="s">
        <v>211</v>
      </c>
    </row>
    <row r="108" spans="1:19" ht="16">
      <c r="A108" s="128">
        <v>106</v>
      </c>
      <c r="B108" s="129">
        <v>46111</v>
      </c>
      <c r="C108" s="130">
        <v>0.36458333333333331</v>
      </c>
      <c r="D108" s="131" t="s">
        <v>238</v>
      </c>
      <c r="E108" s="132" t="s">
        <v>53</v>
      </c>
      <c r="F108" s="132" t="s">
        <v>325</v>
      </c>
      <c r="G108" s="132" t="s">
        <v>326</v>
      </c>
      <c r="H108" s="133" t="s">
        <v>42</v>
      </c>
      <c r="I108" s="128" t="s">
        <v>131</v>
      </c>
      <c r="J108" s="132" t="s">
        <v>117</v>
      </c>
      <c r="K108" s="132" t="s">
        <v>86</v>
      </c>
      <c r="L108" s="134" t="s">
        <v>36</v>
      </c>
      <c r="M108" s="129">
        <v>46108</v>
      </c>
      <c r="N108" s="130">
        <v>0.75</v>
      </c>
      <c r="O108" s="135">
        <f t="shared" ca="1" si="3"/>
        <v>0</v>
      </c>
      <c r="P108" s="136">
        <f ca="1">ROUND(O108 / 24, 2)</f>
        <v>0</v>
      </c>
      <c r="Q108" s="137">
        <f ca="1">IF(ISBLANK(B108), 0, IF(ISBLANK(M108), IF(L108="Closed", 4, ROUND(MAX(0, (NOW() - (B108 + IF(ISBLANK(C108), TIME(9,0,0), C108))) * 24), 1)), ROUND(MAX(0, ((M108 + IF(ISBLANK(N108), TIME(18,0,0), N108)) - (B108 + IF(ISBLANK(C108), TIME(9,0,0), C108))) * 24), 1)))</f>
        <v>0</v>
      </c>
      <c r="R108" s="128">
        <f>IF(ISNUMBER(SEARCH("Complete", H108)), 1, 0)</f>
        <v>0</v>
      </c>
      <c r="S108" s="132" t="s">
        <v>135</v>
      </c>
    </row>
    <row r="109" spans="1:19" ht="16">
      <c r="A109" s="118">
        <v>107</v>
      </c>
      <c r="B109" s="119">
        <v>46111</v>
      </c>
      <c r="C109" s="120">
        <v>0.4236111111111111</v>
      </c>
      <c r="D109" s="121" t="s">
        <v>52</v>
      </c>
      <c r="E109" s="122" t="s">
        <v>53</v>
      </c>
      <c r="F109" s="122" t="s">
        <v>262</v>
      </c>
      <c r="G109" s="122" t="s">
        <v>327</v>
      </c>
      <c r="H109" s="123" t="s">
        <v>42</v>
      </c>
      <c r="I109" s="118" t="s">
        <v>328</v>
      </c>
      <c r="J109" s="122" t="s">
        <v>142</v>
      </c>
      <c r="K109" s="122" t="s">
        <v>88</v>
      </c>
      <c r="L109" s="124" t="s">
        <v>36</v>
      </c>
      <c r="M109" s="119">
        <v>46111</v>
      </c>
      <c r="N109" s="120">
        <v>0.75</v>
      </c>
      <c r="O109" s="125">
        <f t="shared" ca="1" si="3"/>
        <v>0</v>
      </c>
      <c r="P109" s="126">
        <f ca="1">ROUND(O109 / 24, 2)</f>
        <v>0</v>
      </c>
      <c r="Q109" s="127">
        <f ca="1">IF(ISBLANK(B109), 0, IF(ISBLANK(M109), IF(L109="Closed", 4, ROUND(MAX(0, (NOW() - (B109 + IF(ISBLANK(C109), TIME(9,0,0), C109))) * 24), 1)), ROUND(MAX(0, ((M109 + IF(ISBLANK(N109), TIME(18,0,0), N109)) - (B109 + IF(ISBLANK(C109), TIME(9,0,0), C109))) * 24), 1)))</f>
        <v>7.8</v>
      </c>
      <c r="R109" s="118">
        <f>IF(ISNUMBER(SEARCH("Complete", H109)), 1, 0)</f>
        <v>0</v>
      </c>
      <c r="S109" s="122" t="s">
        <v>329</v>
      </c>
    </row>
    <row r="110" spans="1:19" ht="16">
      <c r="A110" s="128">
        <v>108</v>
      </c>
      <c r="B110" s="129">
        <v>46111</v>
      </c>
      <c r="C110" s="130">
        <v>0.4236111111111111</v>
      </c>
      <c r="D110" s="131" t="s">
        <v>52</v>
      </c>
      <c r="E110" s="132" t="s">
        <v>53</v>
      </c>
      <c r="F110" s="132" t="s">
        <v>262</v>
      </c>
      <c r="G110" s="132" t="s">
        <v>330</v>
      </c>
      <c r="H110" s="133" t="s">
        <v>42</v>
      </c>
      <c r="I110" s="128" t="s">
        <v>331</v>
      </c>
      <c r="J110" s="132" t="s">
        <v>142</v>
      </c>
      <c r="K110" s="132" t="s">
        <v>88</v>
      </c>
      <c r="L110" s="134" t="s">
        <v>36</v>
      </c>
      <c r="M110" s="129">
        <v>46111</v>
      </c>
      <c r="N110" s="130">
        <v>0.75</v>
      </c>
      <c r="O110" s="135">
        <f t="shared" ca="1" si="3"/>
        <v>0</v>
      </c>
      <c r="P110" s="136">
        <f ca="1">ROUND(O110 / 24, 2)</f>
        <v>0</v>
      </c>
      <c r="Q110" s="137">
        <f ca="1">IF(ISBLANK(B110), 0, IF(ISBLANK(M110), IF(L110="Closed", 4, ROUND(MAX(0, (NOW() - (B110 + IF(ISBLANK(C110), TIME(9,0,0), C110))) * 24), 1)), ROUND(MAX(0, ((M110 + IF(ISBLANK(N110), TIME(18,0,0), N110)) - (B110 + IF(ISBLANK(C110), TIME(9,0,0), C110))) * 24), 1)))</f>
        <v>7.8</v>
      </c>
      <c r="R110" s="128">
        <f>IF(ISNUMBER(SEARCH("Complete", H110)), 1, 0)</f>
        <v>0</v>
      </c>
      <c r="S110" s="132" t="s">
        <v>211</v>
      </c>
    </row>
    <row r="111" spans="1:19" ht="16">
      <c r="A111" s="118">
        <v>109</v>
      </c>
      <c r="B111" s="119">
        <v>46111</v>
      </c>
      <c r="C111" s="120">
        <v>0.44444444444444442</v>
      </c>
      <c r="D111" s="121" t="s">
        <v>55</v>
      </c>
      <c r="E111" s="122" t="s">
        <v>53</v>
      </c>
      <c r="F111" s="122" t="s">
        <v>325</v>
      </c>
      <c r="G111" s="122" t="s">
        <v>332</v>
      </c>
      <c r="H111" s="123" t="s">
        <v>40</v>
      </c>
      <c r="I111" s="118" t="s">
        <v>131</v>
      </c>
      <c r="J111" s="122" t="s">
        <v>142</v>
      </c>
      <c r="K111" s="122" t="s">
        <v>88</v>
      </c>
      <c r="L111" s="124" t="s">
        <v>36</v>
      </c>
      <c r="M111" s="119">
        <v>46111</v>
      </c>
      <c r="N111" s="120">
        <v>0.75</v>
      </c>
      <c r="O111" s="125">
        <f t="shared" ca="1" si="3"/>
        <v>7.3</v>
      </c>
      <c r="P111" s="126">
        <f ca="1">ROUND(O111 / 24, 2)</f>
        <v>0.3</v>
      </c>
      <c r="Q111" s="127">
        <f ca="1">IF(ISBLANK(B111), 0, IF(ISBLANK(M111), IF(L111="Closed", 4, ROUND(MAX(0, (NOW() - (B111 + IF(ISBLANK(C111), TIME(9,0,0), C111))) * 24), 1)), ROUND(MAX(0, ((M111 + IF(ISBLANK(N111), TIME(18,0,0), N111)) - (B111 + IF(ISBLANK(C111), TIME(9,0,0), C111))) * 24), 1)))</f>
        <v>7.3</v>
      </c>
      <c r="R111" s="118">
        <f>IF(ISNUMBER(SEARCH("Complete", H111)), 1, 0)</f>
        <v>1</v>
      </c>
      <c r="S111" s="122" t="s">
        <v>211</v>
      </c>
    </row>
    <row r="112" spans="1:19" ht="16">
      <c r="A112" s="128">
        <v>110</v>
      </c>
      <c r="B112" s="129">
        <v>46111</v>
      </c>
      <c r="C112" s="130">
        <v>0.67361111111111116</v>
      </c>
      <c r="D112" s="131" t="s">
        <v>52</v>
      </c>
      <c r="E112" s="132" t="s">
        <v>53</v>
      </c>
      <c r="F112" s="132" t="s">
        <v>262</v>
      </c>
      <c r="G112" s="132" t="s">
        <v>333</v>
      </c>
      <c r="H112" s="133" t="s">
        <v>42</v>
      </c>
      <c r="I112" s="128" t="s">
        <v>131</v>
      </c>
      <c r="J112" s="132" t="s">
        <v>334</v>
      </c>
      <c r="K112" s="132" t="s">
        <v>90</v>
      </c>
      <c r="L112" s="134" t="s">
        <v>36</v>
      </c>
      <c r="M112" s="129">
        <v>46111</v>
      </c>
      <c r="N112" s="130">
        <v>0.75</v>
      </c>
      <c r="O112" s="135">
        <f t="shared" ca="1" si="3"/>
        <v>0</v>
      </c>
      <c r="P112" s="136">
        <f ca="1">ROUND(O112 / 24, 2)</f>
        <v>0</v>
      </c>
      <c r="Q112" s="137">
        <f ca="1">IF(ISBLANK(B112), 0, IF(ISBLANK(M112), IF(L112="Closed", 4, ROUND(MAX(0, (NOW() - (B112 + IF(ISBLANK(C112), TIME(9,0,0), C112))) * 24), 1)), ROUND(MAX(0, ((M112 + IF(ISBLANK(N112), TIME(18,0,0), N112)) - (B112 + IF(ISBLANK(C112), TIME(9,0,0), C112))) * 24), 1)))</f>
        <v>1.8</v>
      </c>
      <c r="R112" s="128">
        <f>IF(ISNUMBER(SEARCH("Complete", H112)), 1, 0)</f>
        <v>0</v>
      </c>
      <c r="S112" s="132" t="s">
        <v>334</v>
      </c>
    </row>
    <row r="113" spans="1:19" ht="16">
      <c r="A113" s="118">
        <v>111</v>
      </c>
      <c r="B113" s="119">
        <v>46112</v>
      </c>
      <c r="C113" s="120">
        <v>3.1944444444444442E-2</v>
      </c>
      <c r="D113" s="121" t="s">
        <v>335</v>
      </c>
      <c r="E113" s="122" t="s">
        <v>69</v>
      </c>
      <c r="F113" s="122" t="s">
        <v>148</v>
      </c>
      <c r="G113" s="122" t="s">
        <v>336</v>
      </c>
      <c r="H113" s="123" t="s">
        <v>40</v>
      </c>
      <c r="I113" s="118" t="s">
        <v>131</v>
      </c>
      <c r="J113" s="122" t="s">
        <v>117</v>
      </c>
      <c r="K113" s="122" t="s">
        <v>86</v>
      </c>
      <c r="L113" s="124" t="s">
        <v>36</v>
      </c>
      <c r="M113" s="119">
        <v>46112</v>
      </c>
      <c r="N113" s="120">
        <v>0.75</v>
      </c>
      <c r="O113" s="125">
        <f t="shared" ca="1" si="3"/>
        <v>17.2</v>
      </c>
      <c r="P113" s="126">
        <f ca="1">ROUND(O113 / 24, 2)</f>
        <v>0.72</v>
      </c>
      <c r="Q113" s="127">
        <f ca="1">IF(ISBLANK(B113), 0, IF(ISBLANK(M113), IF(L113="Closed", 4, ROUND(MAX(0, (NOW() - (B113 + IF(ISBLANK(C113), TIME(9,0,0), C113))) * 24), 1)), ROUND(MAX(0, ((M113 + IF(ISBLANK(N113), TIME(18,0,0), N113)) - (B113 + IF(ISBLANK(C113), TIME(9,0,0), C113))) * 24), 1)))</f>
        <v>17.2</v>
      </c>
      <c r="R113" s="118">
        <f>IF(ISNUMBER(SEARCH("Complete", H113)), 1, 0)</f>
        <v>1</v>
      </c>
      <c r="S113" s="122" t="s">
        <v>337</v>
      </c>
    </row>
    <row r="114" spans="1:19" ht="16">
      <c r="A114" s="128">
        <v>112</v>
      </c>
      <c r="B114" s="129">
        <v>46113</v>
      </c>
      <c r="C114" s="130">
        <v>0</v>
      </c>
      <c r="D114" s="131" t="s">
        <v>65</v>
      </c>
      <c r="E114" s="132" t="s">
        <v>66</v>
      </c>
      <c r="F114" s="132" t="s">
        <v>114</v>
      </c>
      <c r="G114" s="132" t="s">
        <v>338</v>
      </c>
      <c r="H114" s="133" t="s">
        <v>42</v>
      </c>
      <c r="I114" s="128" t="s">
        <v>131</v>
      </c>
      <c r="J114" s="132" t="s">
        <v>142</v>
      </c>
      <c r="K114" s="132" t="s">
        <v>88</v>
      </c>
      <c r="L114" s="134" t="s">
        <v>36</v>
      </c>
      <c r="M114" s="129">
        <v>46113</v>
      </c>
      <c r="N114" s="130">
        <v>0.75</v>
      </c>
      <c r="O114" s="135">
        <f t="shared" ca="1" si="3"/>
        <v>0</v>
      </c>
      <c r="P114" s="136">
        <f ca="1">ROUND(O114 / 24, 2)</f>
        <v>0</v>
      </c>
      <c r="Q114" s="137">
        <f ca="1">IF(ISBLANK(B114), 0, IF(ISBLANK(M114), IF(L114="Closed", 4, ROUND(MAX(0, (NOW() - (B114 + IF(ISBLANK(C114), TIME(9,0,0), C114))) * 24), 1)), ROUND(MAX(0, ((M114 + IF(ISBLANK(N114), TIME(18,0,0), N114)) - (B114 + IF(ISBLANK(C114), TIME(9,0,0), C114))) * 24), 1)))</f>
        <v>18</v>
      </c>
      <c r="R114" s="128">
        <f>IF(ISNUMBER(SEARCH("Complete", H114)), 1, 0)</f>
        <v>0</v>
      </c>
      <c r="S114" s="132" t="s">
        <v>211</v>
      </c>
    </row>
    <row r="115" spans="1:19" ht="16">
      <c r="A115" s="118">
        <v>113</v>
      </c>
      <c r="B115" s="119">
        <v>46118</v>
      </c>
      <c r="C115" s="120">
        <v>0.40277777777777779</v>
      </c>
      <c r="D115" s="121" t="s">
        <v>339</v>
      </c>
      <c r="E115" s="122" t="s">
        <v>63</v>
      </c>
      <c r="F115" s="122" t="s">
        <v>137</v>
      </c>
      <c r="G115" s="122" t="s">
        <v>340</v>
      </c>
      <c r="H115" s="123" t="s">
        <v>42</v>
      </c>
      <c r="I115" s="118" t="s">
        <v>131</v>
      </c>
      <c r="J115" s="122" t="s">
        <v>117</v>
      </c>
      <c r="K115" s="122" t="s">
        <v>86</v>
      </c>
      <c r="L115" s="124" t="s">
        <v>36</v>
      </c>
      <c r="M115" s="119">
        <v>46118</v>
      </c>
      <c r="N115" s="120">
        <v>0.75</v>
      </c>
      <c r="O115" s="125">
        <f t="shared" ca="1" si="3"/>
        <v>0</v>
      </c>
      <c r="P115" s="126">
        <f ca="1">ROUND(O115 / 24, 2)</f>
        <v>0</v>
      </c>
      <c r="Q115" s="127">
        <f ca="1">IF(ISBLANK(B115), 0, IF(ISBLANK(M115), IF(L115="Closed", 4, ROUND(MAX(0, (NOW() - (B115 + IF(ISBLANK(C115), TIME(9,0,0), C115))) * 24), 1)), ROUND(MAX(0, ((M115 + IF(ISBLANK(N115), TIME(18,0,0), N115)) - (B115 + IF(ISBLANK(C115), TIME(9,0,0), C115))) * 24), 1)))</f>
        <v>8.3000000000000007</v>
      </c>
      <c r="R115" s="118">
        <f>IF(ISNUMBER(SEARCH("Complete", H115)), 1, 0)</f>
        <v>0</v>
      </c>
      <c r="S115" s="122" t="s">
        <v>337</v>
      </c>
    </row>
    <row r="116" spans="1:19" ht="16">
      <c r="A116" s="128">
        <v>114</v>
      </c>
      <c r="B116" s="129">
        <v>46118</v>
      </c>
      <c r="C116" s="130">
        <v>0.40416666666666667</v>
      </c>
      <c r="D116" s="131" t="s">
        <v>52</v>
      </c>
      <c r="E116" s="132" t="s">
        <v>53</v>
      </c>
      <c r="F116" s="132" t="s">
        <v>122</v>
      </c>
      <c r="G116" s="132" t="s">
        <v>341</v>
      </c>
      <c r="H116" s="133" t="s">
        <v>42</v>
      </c>
      <c r="I116" s="128" t="s">
        <v>342</v>
      </c>
      <c r="J116" s="132" t="s">
        <v>117</v>
      </c>
      <c r="K116" s="132" t="s">
        <v>86</v>
      </c>
      <c r="L116" s="134" t="s">
        <v>36</v>
      </c>
      <c r="M116" s="129">
        <v>46118</v>
      </c>
      <c r="N116" s="130">
        <v>0.75</v>
      </c>
      <c r="O116" s="135">
        <f t="shared" ca="1" si="3"/>
        <v>0</v>
      </c>
      <c r="P116" s="136">
        <f ca="1">ROUND(O116 / 24, 2)</f>
        <v>0</v>
      </c>
      <c r="Q116" s="137">
        <f ca="1">IF(ISBLANK(B116), 0, IF(ISBLANK(M116), IF(L116="Closed", 4, ROUND(MAX(0, (NOW() - (B116 + IF(ISBLANK(C116), TIME(9,0,0), C116))) * 24), 1)), ROUND(MAX(0, ((M116 + IF(ISBLANK(N116), TIME(18,0,0), N116)) - (B116 + IF(ISBLANK(C116), TIME(9,0,0), C116))) * 24), 1)))</f>
        <v>8.3000000000000007</v>
      </c>
      <c r="R116" s="128">
        <f>IF(ISNUMBER(SEARCH("Complete", H116)), 1, 0)</f>
        <v>0</v>
      </c>
      <c r="S116" s="132" t="s">
        <v>118</v>
      </c>
    </row>
    <row r="117" spans="1:19" ht="16">
      <c r="A117" s="118">
        <v>115</v>
      </c>
      <c r="B117" s="119">
        <v>46119</v>
      </c>
      <c r="C117" s="120">
        <v>0.3347222222222222</v>
      </c>
      <c r="D117" s="121" t="s">
        <v>299</v>
      </c>
      <c r="E117" s="122" t="s">
        <v>53</v>
      </c>
      <c r="F117" s="122" t="s">
        <v>133</v>
      </c>
      <c r="G117" s="122" t="s">
        <v>343</v>
      </c>
      <c r="H117" s="123" t="s">
        <v>42</v>
      </c>
      <c r="I117" s="118" t="s">
        <v>131</v>
      </c>
      <c r="J117" s="122" t="s">
        <v>117</v>
      </c>
      <c r="K117" s="122" t="s">
        <v>86</v>
      </c>
      <c r="L117" s="124" t="s">
        <v>36</v>
      </c>
      <c r="M117" s="119">
        <v>46120</v>
      </c>
      <c r="N117" s="120">
        <v>0.75</v>
      </c>
      <c r="O117" s="125">
        <f t="shared" ca="1" si="3"/>
        <v>0</v>
      </c>
      <c r="P117" s="126">
        <f ca="1">ROUND(O117 / 24, 2)</f>
        <v>0</v>
      </c>
      <c r="Q117" s="127">
        <f ca="1">IF(ISBLANK(B117), 0, IF(ISBLANK(M117), IF(L117="Closed", 4, ROUND(MAX(0, (NOW() - (B117 + IF(ISBLANK(C117), TIME(9,0,0), C117))) * 24), 1)), ROUND(MAX(0, ((M117 + IF(ISBLANK(N117), TIME(18,0,0), N117)) - (B117 + IF(ISBLANK(C117), TIME(9,0,0), C117))) * 24), 1)))</f>
        <v>34</v>
      </c>
      <c r="R117" s="118">
        <f>IF(ISNUMBER(SEARCH("Complete", H117)), 1, 0)</f>
        <v>0</v>
      </c>
      <c r="S117" s="122" t="s">
        <v>337</v>
      </c>
    </row>
    <row r="118" spans="1:19" ht="16">
      <c r="A118" s="128">
        <v>116</v>
      </c>
      <c r="B118" s="129">
        <v>46119</v>
      </c>
      <c r="C118" s="130">
        <v>0.39444444444444438</v>
      </c>
      <c r="D118" s="131" t="s">
        <v>52</v>
      </c>
      <c r="E118" s="132" t="s">
        <v>53</v>
      </c>
      <c r="F118" s="132" t="s">
        <v>122</v>
      </c>
      <c r="G118" s="132" t="s">
        <v>344</v>
      </c>
      <c r="H118" s="133" t="s">
        <v>42</v>
      </c>
      <c r="I118" s="128" t="s">
        <v>345</v>
      </c>
      <c r="J118" s="132" t="s">
        <v>346</v>
      </c>
      <c r="K118" s="132" t="s">
        <v>88</v>
      </c>
      <c r="L118" s="134" t="s">
        <v>36</v>
      </c>
      <c r="M118" s="129">
        <v>46119</v>
      </c>
      <c r="N118" s="130">
        <v>0.75</v>
      </c>
      <c r="O118" s="135">
        <f t="shared" ca="1" si="3"/>
        <v>0</v>
      </c>
      <c r="P118" s="136">
        <f ca="1">ROUND(O118 / 24, 2)</f>
        <v>0</v>
      </c>
      <c r="Q118" s="137">
        <f ca="1">IF(ISBLANK(B118), 0, IF(ISBLANK(M118), IF(L118="Closed", 4, ROUND(MAX(0, (NOW() - (B118 + IF(ISBLANK(C118), TIME(9,0,0), C118))) * 24), 1)), ROUND(MAX(0, ((M118 + IF(ISBLANK(N118), TIME(18,0,0), N118)) - (B118 + IF(ISBLANK(C118), TIME(9,0,0), C118))) * 24), 1)))</f>
        <v>8.5</v>
      </c>
      <c r="R118" s="128">
        <f>IF(ISNUMBER(SEARCH("Complete", H118)), 1, 0)</f>
        <v>0</v>
      </c>
      <c r="S118" s="132" t="s">
        <v>346</v>
      </c>
    </row>
    <row r="119" spans="1:19" ht="16">
      <c r="A119" s="118">
        <v>117</v>
      </c>
      <c r="B119" s="119">
        <v>46119</v>
      </c>
      <c r="C119" s="120">
        <v>0.39444444444444438</v>
      </c>
      <c r="D119" s="121" t="s">
        <v>55</v>
      </c>
      <c r="E119" s="122" t="s">
        <v>53</v>
      </c>
      <c r="F119" s="122" t="s">
        <v>122</v>
      </c>
      <c r="G119" s="122" t="s">
        <v>347</v>
      </c>
      <c r="H119" s="123" t="s">
        <v>40</v>
      </c>
      <c r="I119" s="118" t="s">
        <v>348</v>
      </c>
      <c r="J119" s="122" t="s">
        <v>142</v>
      </c>
      <c r="K119" s="122" t="s">
        <v>88</v>
      </c>
      <c r="L119" s="124" t="s">
        <v>36</v>
      </c>
      <c r="M119" s="119">
        <v>46119</v>
      </c>
      <c r="N119" s="120">
        <v>0.75</v>
      </c>
      <c r="O119" s="125">
        <f t="shared" ca="1" si="3"/>
        <v>8.5</v>
      </c>
      <c r="P119" s="126">
        <f ca="1">ROUND(O119 / 24, 2)</f>
        <v>0.35</v>
      </c>
      <c r="Q119" s="127">
        <f ca="1">IF(ISBLANK(B119), 0, IF(ISBLANK(M119), IF(L119="Closed", 4, ROUND(MAX(0, (NOW() - (B119 + IF(ISBLANK(C119), TIME(9,0,0), C119))) * 24), 1)), ROUND(MAX(0, ((M119 + IF(ISBLANK(N119), TIME(18,0,0), N119)) - (B119 + IF(ISBLANK(C119), TIME(9,0,0), C119))) * 24), 1)))</f>
        <v>8.5</v>
      </c>
      <c r="R119" s="118">
        <f>IF(ISNUMBER(SEARCH("Complete", H119)), 1, 0)</f>
        <v>1</v>
      </c>
      <c r="S119" s="122" t="s">
        <v>211</v>
      </c>
    </row>
    <row r="120" spans="1:19" ht="16">
      <c r="A120" s="128">
        <v>118</v>
      </c>
      <c r="B120" s="129">
        <v>46121</v>
      </c>
      <c r="C120" s="130">
        <v>0.52847222222222223</v>
      </c>
      <c r="D120" s="131" t="s">
        <v>52</v>
      </c>
      <c r="E120" s="132" t="s">
        <v>66</v>
      </c>
      <c r="F120" s="132" t="s">
        <v>153</v>
      </c>
      <c r="G120" s="132" t="s">
        <v>349</v>
      </c>
      <c r="H120" s="133" t="s">
        <v>42</v>
      </c>
      <c r="I120" s="128" t="s">
        <v>350</v>
      </c>
      <c r="J120" s="132" t="s">
        <v>142</v>
      </c>
      <c r="K120" s="132" t="s">
        <v>88</v>
      </c>
      <c r="L120" s="134" t="s">
        <v>36</v>
      </c>
      <c r="M120" s="129">
        <v>46121</v>
      </c>
      <c r="N120" s="130">
        <v>0.75</v>
      </c>
      <c r="O120" s="135">
        <f t="shared" ca="1" si="3"/>
        <v>0</v>
      </c>
      <c r="P120" s="136">
        <f ca="1">ROUND(O120 / 24, 2)</f>
        <v>0</v>
      </c>
      <c r="Q120" s="137">
        <f ca="1">IF(ISBLANK(B120), 0, IF(ISBLANK(M120), IF(L120="Closed", 4, ROUND(MAX(0, (NOW() - (B120 + IF(ISBLANK(C120), TIME(9,0,0), C120))) * 24), 1)), ROUND(MAX(0, ((M120 + IF(ISBLANK(N120), TIME(18,0,0), N120)) - (B120 + IF(ISBLANK(C120), TIME(9,0,0), C120))) * 24), 1)))</f>
        <v>5.3</v>
      </c>
      <c r="R120" s="128">
        <f>IF(ISNUMBER(SEARCH("Complete", H120)), 1, 0)</f>
        <v>0</v>
      </c>
      <c r="S120" s="132" t="s">
        <v>211</v>
      </c>
    </row>
    <row r="121" spans="1:19" ht="16">
      <c r="A121" s="118">
        <v>119</v>
      </c>
      <c r="B121" s="119">
        <v>46125</v>
      </c>
      <c r="C121" s="120">
        <v>0.36944444444444452</v>
      </c>
      <c r="D121" s="121" t="s">
        <v>52</v>
      </c>
      <c r="E121" s="122" t="s">
        <v>53</v>
      </c>
      <c r="F121" s="122" t="s">
        <v>122</v>
      </c>
      <c r="G121" s="122" t="s">
        <v>341</v>
      </c>
      <c r="H121" s="123" t="s">
        <v>42</v>
      </c>
      <c r="I121" s="118" t="s">
        <v>351</v>
      </c>
      <c r="J121" s="122" t="s">
        <v>142</v>
      </c>
      <c r="K121" s="122" t="s">
        <v>88</v>
      </c>
      <c r="L121" s="124" t="s">
        <v>36</v>
      </c>
      <c r="M121" s="119">
        <v>46125</v>
      </c>
      <c r="N121" s="120">
        <v>0.75</v>
      </c>
      <c r="O121" s="125">
        <f t="shared" ca="1" si="3"/>
        <v>0</v>
      </c>
      <c r="P121" s="126">
        <f ca="1">ROUND(O121 / 24, 2)</f>
        <v>0</v>
      </c>
      <c r="Q121" s="127">
        <f ca="1">IF(ISBLANK(B121), 0, IF(ISBLANK(M121), IF(L121="Closed", 4, ROUND(MAX(0, (NOW() - (B121 + IF(ISBLANK(C121), TIME(9,0,0), C121))) * 24), 1)), ROUND(MAX(0, ((M121 + IF(ISBLANK(N121), TIME(18,0,0), N121)) - (B121 + IF(ISBLANK(C121), TIME(9,0,0), C121))) * 24), 1)))</f>
        <v>9.1</v>
      </c>
      <c r="R121" s="118">
        <f>IF(ISNUMBER(SEARCH("Complete", H121)), 1, 0)</f>
        <v>0</v>
      </c>
      <c r="S121" s="122" t="s">
        <v>211</v>
      </c>
    </row>
    <row r="122" spans="1:19" ht="16">
      <c r="A122" s="128">
        <v>120</v>
      </c>
      <c r="B122" s="129">
        <v>46125</v>
      </c>
      <c r="C122" s="130">
        <v>0.71875</v>
      </c>
      <c r="D122" s="131" t="s">
        <v>57</v>
      </c>
      <c r="E122" s="132" t="s">
        <v>58</v>
      </c>
      <c r="F122" s="132" t="s">
        <v>137</v>
      </c>
      <c r="G122" s="132" t="s">
        <v>352</v>
      </c>
      <c r="H122" s="133" t="s">
        <v>40</v>
      </c>
      <c r="I122" s="128" t="s">
        <v>131</v>
      </c>
      <c r="J122" s="132" t="s">
        <v>142</v>
      </c>
      <c r="K122" s="132" t="s">
        <v>88</v>
      </c>
      <c r="L122" s="134" t="s">
        <v>36</v>
      </c>
      <c r="M122" s="129">
        <v>46126</v>
      </c>
      <c r="N122" s="130">
        <v>0.75</v>
      </c>
      <c r="O122" s="135">
        <f t="shared" ca="1" si="3"/>
        <v>24.8</v>
      </c>
      <c r="P122" s="136">
        <f ca="1">ROUND(O122 / 24, 2)</f>
        <v>1.03</v>
      </c>
      <c r="Q122" s="137">
        <f ca="1">IF(ISBLANK(B122), 0, IF(ISBLANK(M122), IF(L122="Closed", 4, ROUND(MAX(0, (NOW() - (B122 + IF(ISBLANK(C122), TIME(9,0,0), C122))) * 24), 1)), ROUND(MAX(0, ((M122 + IF(ISBLANK(N122), TIME(18,0,0), N122)) - (B122 + IF(ISBLANK(C122), TIME(9,0,0), C122))) * 24), 1)))</f>
        <v>24.8</v>
      </c>
      <c r="R122" s="128">
        <f>IF(ISNUMBER(SEARCH("Complete", H122)), 1, 0)</f>
        <v>1</v>
      </c>
      <c r="S122" s="132" t="s">
        <v>211</v>
      </c>
    </row>
    <row r="123" spans="1:19" ht="16">
      <c r="A123" s="118">
        <v>121</v>
      </c>
      <c r="B123" s="119">
        <v>46127</v>
      </c>
      <c r="C123" s="120">
        <v>0.37916666666666671</v>
      </c>
      <c r="D123" s="121" t="s">
        <v>52</v>
      </c>
      <c r="E123" s="122" t="s">
        <v>53</v>
      </c>
      <c r="F123" s="122" t="s">
        <v>262</v>
      </c>
      <c r="G123" s="122" t="s">
        <v>321</v>
      </c>
      <c r="H123" s="123" t="s">
        <v>42</v>
      </c>
      <c r="I123" s="118" t="s">
        <v>353</v>
      </c>
      <c r="J123" s="122" t="s">
        <v>142</v>
      </c>
      <c r="K123" s="122" t="s">
        <v>88</v>
      </c>
      <c r="L123" s="124" t="s">
        <v>36</v>
      </c>
      <c r="M123" s="119">
        <v>46127</v>
      </c>
      <c r="N123" s="120">
        <v>0.75</v>
      </c>
      <c r="O123" s="125">
        <f t="shared" ca="1" si="3"/>
        <v>0</v>
      </c>
      <c r="P123" s="126">
        <f ca="1">ROUND(O123 / 24, 2)</f>
        <v>0</v>
      </c>
      <c r="Q123" s="127">
        <f ca="1">IF(ISBLANK(B123), 0, IF(ISBLANK(M123), IF(L123="Closed", 4, ROUND(MAX(0, (NOW() - (B123 + IF(ISBLANK(C123), TIME(9,0,0), C123))) * 24), 1)), ROUND(MAX(0, ((M123 + IF(ISBLANK(N123), TIME(18,0,0), N123)) - (B123 + IF(ISBLANK(C123), TIME(9,0,0), C123))) * 24), 1)))</f>
        <v>8.9</v>
      </c>
      <c r="R123" s="118">
        <f>IF(ISNUMBER(SEARCH("Complete", H123)), 1, 0)</f>
        <v>0</v>
      </c>
      <c r="S123" s="122" t="s">
        <v>211</v>
      </c>
    </row>
    <row r="124" spans="1:19" ht="16">
      <c r="A124" s="128">
        <v>122</v>
      </c>
      <c r="B124" s="129">
        <v>46128</v>
      </c>
      <c r="C124" s="130">
        <v>0.50763888888888886</v>
      </c>
      <c r="D124" s="131" t="s">
        <v>152</v>
      </c>
      <c r="E124" s="132" t="s">
        <v>66</v>
      </c>
      <c r="F124" s="132" t="s">
        <v>153</v>
      </c>
      <c r="G124" s="132" t="s">
        <v>354</v>
      </c>
      <c r="H124" s="133" t="s">
        <v>42</v>
      </c>
      <c r="I124" s="128" t="s">
        <v>355</v>
      </c>
      <c r="J124" s="132" t="s">
        <v>117</v>
      </c>
      <c r="K124" s="132" t="s">
        <v>86</v>
      </c>
      <c r="L124" s="134" t="s">
        <v>36</v>
      </c>
      <c r="M124" s="129">
        <v>46130</v>
      </c>
      <c r="N124" s="130">
        <v>0.75</v>
      </c>
      <c r="O124" s="135">
        <f t="shared" ca="1" si="3"/>
        <v>0</v>
      </c>
      <c r="P124" s="136">
        <f ca="1">ROUND(O124 / 24, 2)</f>
        <v>0</v>
      </c>
      <c r="Q124" s="137">
        <f ca="1">IF(ISBLANK(B124), 0, IF(ISBLANK(M124), IF(L124="Closed", 4, ROUND(MAX(0, (NOW() - (B124 + IF(ISBLANK(C124), TIME(9,0,0), C124))) * 24), 1)), ROUND(MAX(0, ((M124 + IF(ISBLANK(N124), TIME(18,0,0), N124)) - (B124 + IF(ISBLANK(C124), TIME(9,0,0), C124))) * 24), 1)))</f>
        <v>53.8</v>
      </c>
      <c r="R124" s="128">
        <f>IF(ISNUMBER(SEARCH("Complete", H124)), 1, 0)</f>
        <v>0</v>
      </c>
      <c r="S124" s="132" t="s">
        <v>118</v>
      </c>
    </row>
    <row r="125" spans="1:19" ht="16">
      <c r="A125" s="118">
        <v>123</v>
      </c>
      <c r="B125" s="119">
        <v>46128</v>
      </c>
      <c r="C125" s="120">
        <v>0.3840277777777778</v>
      </c>
      <c r="D125" s="121" t="s">
        <v>188</v>
      </c>
      <c r="E125" s="122" t="s">
        <v>53</v>
      </c>
      <c r="F125" s="122" t="s">
        <v>133</v>
      </c>
      <c r="G125" s="122" t="s">
        <v>356</v>
      </c>
      <c r="H125" s="123" t="s">
        <v>40</v>
      </c>
      <c r="I125" s="118" t="s">
        <v>131</v>
      </c>
      <c r="J125" s="122" t="s">
        <v>117</v>
      </c>
      <c r="K125" s="122" t="s">
        <v>86</v>
      </c>
      <c r="L125" s="124" t="s">
        <v>36</v>
      </c>
      <c r="M125" s="119">
        <v>46128</v>
      </c>
      <c r="N125" s="120">
        <v>0.75</v>
      </c>
      <c r="O125" s="125">
        <f t="shared" ca="1" si="3"/>
        <v>8.8000000000000007</v>
      </c>
      <c r="P125" s="126">
        <f ca="1">ROUND(O125 / 24, 2)</f>
        <v>0.37</v>
      </c>
      <c r="Q125" s="127">
        <f ca="1">IF(ISBLANK(B125), 0, IF(ISBLANK(M125), IF(L125="Closed", 4, ROUND(MAX(0, (NOW() - (B125 + IF(ISBLANK(C125), TIME(9,0,0), C125))) * 24), 1)), ROUND(MAX(0, ((M125 + IF(ISBLANK(N125), TIME(18,0,0), N125)) - (B125 + IF(ISBLANK(C125), TIME(9,0,0), C125))) * 24), 1)))</f>
        <v>8.8000000000000007</v>
      </c>
      <c r="R125" s="118">
        <f>IF(ISNUMBER(SEARCH("Complete", H125)), 1, 0)</f>
        <v>1</v>
      </c>
      <c r="S125" s="122" t="s">
        <v>337</v>
      </c>
    </row>
    <row r="126" spans="1:19" ht="16">
      <c r="A126" s="128">
        <v>124</v>
      </c>
      <c r="B126" s="129">
        <v>46128</v>
      </c>
      <c r="C126" s="130">
        <v>0.50763888888888886</v>
      </c>
      <c r="D126" s="131" t="s">
        <v>152</v>
      </c>
      <c r="E126" s="132" t="s">
        <v>66</v>
      </c>
      <c r="F126" s="132" t="s">
        <v>114</v>
      </c>
      <c r="G126" s="132" t="s">
        <v>357</v>
      </c>
      <c r="H126" s="133" t="s">
        <v>42</v>
      </c>
      <c r="I126" s="128" t="s">
        <v>358</v>
      </c>
      <c r="J126" s="132" t="s">
        <v>117</v>
      </c>
      <c r="K126" s="132" t="s">
        <v>86</v>
      </c>
      <c r="L126" s="134" t="s">
        <v>36</v>
      </c>
      <c r="M126" s="129">
        <v>46128</v>
      </c>
      <c r="N126" s="130">
        <v>0.75</v>
      </c>
      <c r="O126" s="135">
        <f t="shared" ca="1" si="3"/>
        <v>0</v>
      </c>
      <c r="P126" s="136">
        <f ca="1">ROUND(O126 / 24, 2)</f>
        <v>0</v>
      </c>
      <c r="Q126" s="137">
        <f ca="1">IF(ISBLANK(B126), 0, IF(ISBLANK(M126), IF(L126="Closed", 4, ROUND(MAX(0, (NOW() - (B126 + IF(ISBLANK(C126), TIME(9,0,0), C126))) * 24), 1)), ROUND(MAX(0, ((M126 + IF(ISBLANK(N126), TIME(18,0,0), N126)) - (B126 + IF(ISBLANK(C126), TIME(9,0,0), C126))) * 24), 1)))</f>
        <v>5.8</v>
      </c>
      <c r="R126" s="128">
        <f>IF(ISNUMBER(SEARCH("Complete", H126)), 1, 0)</f>
        <v>0</v>
      </c>
      <c r="S126" s="132" t="s">
        <v>337</v>
      </c>
    </row>
    <row r="127" spans="1:19" ht="16">
      <c r="A127" s="118">
        <v>125</v>
      </c>
      <c r="B127" s="119">
        <v>46129</v>
      </c>
      <c r="C127" s="120">
        <v>0.54513888888888884</v>
      </c>
      <c r="D127" s="121" t="s">
        <v>286</v>
      </c>
      <c r="E127" s="122" t="s">
        <v>53</v>
      </c>
      <c r="F127" s="122" t="s">
        <v>133</v>
      </c>
      <c r="G127" s="122" t="s">
        <v>359</v>
      </c>
      <c r="H127" s="123" t="s">
        <v>40</v>
      </c>
      <c r="I127" s="118" t="s">
        <v>131</v>
      </c>
      <c r="J127" s="122" t="s">
        <v>117</v>
      </c>
      <c r="K127" s="122" t="s">
        <v>86</v>
      </c>
      <c r="L127" s="124" t="s">
        <v>36</v>
      </c>
      <c r="M127" s="119">
        <v>46128</v>
      </c>
      <c r="N127" s="120">
        <v>0.75</v>
      </c>
      <c r="O127" s="125">
        <f t="shared" ca="1" si="3"/>
        <v>0</v>
      </c>
      <c r="P127" s="126">
        <f ca="1">ROUND(O127 / 24, 2)</f>
        <v>0</v>
      </c>
      <c r="Q127" s="127">
        <f ca="1">IF(ISBLANK(B127), 0, IF(ISBLANK(M127), IF(L127="Closed", 4, ROUND(MAX(0, (NOW() - (B127 + IF(ISBLANK(C127), TIME(9,0,0), C127))) * 24), 1)), ROUND(MAX(0, ((M127 + IF(ISBLANK(N127), TIME(18,0,0), N127)) - (B127 + IF(ISBLANK(C127), TIME(9,0,0), C127))) * 24), 1)))</f>
        <v>0</v>
      </c>
      <c r="R127" s="118">
        <f>IF(ISNUMBER(SEARCH("Complete", H127)), 1, 0)</f>
        <v>1</v>
      </c>
      <c r="S127" s="122" t="s">
        <v>337</v>
      </c>
    </row>
    <row r="128" spans="1:19" ht="16">
      <c r="A128" s="128">
        <v>126</v>
      </c>
      <c r="B128" s="129">
        <v>46129</v>
      </c>
      <c r="C128" s="130">
        <v>0.54861111111111116</v>
      </c>
      <c r="D128" s="131" t="s">
        <v>266</v>
      </c>
      <c r="E128" s="132" t="s">
        <v>69</v>
      </c>
      <c r="F128" s="132" t="s">
        <v>360</v>
      </c>
      <c r="G128" s="132" t="s">
        <v>361</v>
      </c>
      <c r="H128" s="133" t="s">
        <v>40</v>
      </c>
      <c r="I128" s="128" t="s">
        <v>131</v>
      </c>
      <c r="J128" s="132" t="s">
        <v>142</v>
      </c>
      <c r="K128" s="132" t="s">
        <v>88</v>
      </c>
      <c r="L128" s="134" t="s">
        <v>36</v>
      </c>
      <c r="M128" s="129">
        <v>46142</v>
      </c>
      <c r="N128" s="130">
        <v>0.75</v>
      </c>
      <c r="O128" s="135">
        <f t="shared" ca="1" si="3"/>
        <v>316.8</v>
      </c>
      <c r="P128" s="136">
        <f ca="1">ROUND(O128 / 24, 2)</f>
        <v>13.2</v>
      </c>
      <c r="Q128" s="137">
        <f ca="1">IF(ISBLANK(B128), 0, IF(ISBLANK(M128), IF(L128="Closed", 4, ROUND(MAX(0, (NOW() - (B128 + IF(ISBLANK(C128), TIME(9,0,0), C128))) * 24), 1)), ROUND(MAX(0, ((M128 + IF(ISBLANK(N128), TIME(18,0,0), N128)) - (B128 + IF(ISBLANK(C128), TIME(9,0,0), C128))) * 24), 1)))</f>
        <v>316.8</v>
      </c>
      <c r="R128" s="128">
        <f>IF(ISNUMBER(SEARCH("Complete", H128)), 1, 0)</f>
        <v>1</v>
      </c>
      <c r="S128" s="132" t="s">
        <v>211</v>
      </c>
    </row>
    <row r="129" spans="1:19" ht="16">
      <c r="A129" s="118">
        <v>127</v>
      </c>
      <c r="B129" s="119">
        <v>46131</v>
      </c>
      <c r="C129" s="120">
        <v>0.5444444444444444</v>
      </c>
      <c r="D129" s="121" t="s">
        <v>266</v>
      </c>
      <c r="E129" s="122" t="s">
        <v>69</v>
      </c>
      <c r="F129" s="122" t="s">
        <v>362</v>
      </c>
      <c r="G129" s="122" t="s">
        <v>363</v>
      </c>
      <c r="H129" s="123" t="s">
        <v>40</v>
      </c>
      <c r="I129" s="118" t="s">
        <v>131</v>
      </c>
      <c r="J129" s="122" t="s">
        <v>142</v>
      </c>
      <c r="K129" s="122" t="s">
        <v>88</v>
      </c>
      <c r="L129" s="124" t="s">
        <v>36</v>
      </c>
      <c r="M129" s="119">
        <v>46142</v>
      </c>
      <c r="N129" s="120">
        <v>0.75</v>
      </c>
      <c r="O129" s="125">
        <f t="shared" ca="1" si="3"/>
        <v>268.89999999999998</v>
      </c>
      <c r="P129" s="126">
        <f ca="1">ROUND(O129 / 24, 2)</f>
        <v>11.2</v>
      </c>
      <c r="Q129" s="127">
        <f ca="1">IF(ISBLANK(B129), 0, IF(ISBLANK(M129), IF(L129="Closed", 4, ROUND(MAX(0, (NOW() - (B129 + IF(ISBLANK(C129), TIME(9,0,0), C129))) * 24), 1)), ROUND(MAX(0, ((M129 + IF(ISBLANK(N129), TIME(18,0,0), N129)) - (B129 + IF(ISBLANK(C129), TIME(9,0,0), C129))) * 24), 1)))</f>
        <v>268.89999999999998</v>
      </c>
      <c r="R129" s="118">
        <f>IF(ISNUMBER(SEARCH("Complete", H129)), 1, 0)</f>
        <v>1</v>
      </c>
      <c r="S129" s="122" t="s">
        <v>211</v>
      </c>
    </row>
    <row r="130" spans="1:19" ht="16">
      <c r="A130" s="128">
        <v>128</v>
      </c>
      <c r="B130" s="129">
        <v>46132</v>
      </c>
      <c r="C130" s="130">
        <v>0.38263888888888892</v>
      </c>
      <c r="D130" s="131" t="s">
        <v>55</v>
      </c>
      <c r="E130" s="132" t="s">
        <v>53</v>
      </c>
      <c r="F130" s="132" t="s">
        <v>125</v>
      </c>
      <c r="G130" s="132" t="s">
        <v>364</v>
      </c>
      <c r="H130" s="133" t="s">
        <v>40</v>
      </c>
      <c r="I130" s="128" t="s">
        <v>365</v>
      </c>
      <c r="J130" s="132" t="s">
        <v>142</v>
      </c>
      <c r="K130" s="132" t="s">
        <v>88</v>
      </c>
      <c r="L130" s="134" t="s">
        <v>36</v>
      </c>
      <c r="M130" s="129">
        <v>46132</v>
      </c>
      <c r="N130" s="130">
        <v>0.75</v>
      </c>
      <c r="O130" s="135">
        <f t="shared" ca="1" si="3"/>
        <v>8.8000000000000007</v>
      </c>
      <c r="P130" s="136">
        <f ca="1">ROUND(O130 / 24, 2)</f>
        <v>0.37</v>
      </c>
      <c r="Q130" s="137">
        <f ca="1">IF(ISBLANK(B130), 0, IF(ISBLANK(M130), IF(L130="Closed", 4, ROUND(MAX(0, (NOW() - (B130 + IF(ISBLANK(C130), TIME(9,0,0), C130))) * 24), 1)), ROUND(MAX(0, ((M130 + IF(ISBLANK(N130), TIME(18,0,0), N130)) - (B130 + IF(ISBLANK(C130), TIME(9,0,0), C130))) * 24), 1)))</f>
        <v>8.8000000000000007</v>
      </c>
      <c r="R130" s="128">
        <f>IF(ISNUMBER(SEARCH("Complete", H130)), 1, 0)</f>
        <v>1</v>
      </c>
      <c r="S130" s="132" t="s">
        <v>211</v>
      </c>
    </row>
    <row r="131" spans="1:19" ht="16">
      <c r="A131" s="118">
        <v>129</v>
      </c>
      <c r="B131" s="119">
        <v>46132</v>
      </c>
      <c r="C131" s="120">
        <v>0.51111111111111107</v>
      </c>
      <c r="D131" s="121" t="s">
        <v>55</v>
      </c>
      <c r="E131" s="122" t="s">
        <v>53</v>
      </c>
      <c r="F131" s="122" t="s">
        <v>137</v>
      </c>
      <c r="G131" s="122" t="s">
        <v>366</v>
      </c>
      <c r="H131" s="123" t="s">
        <v>40</v>
      </c>
      <c r="I131" s="118" t="s">
        <v>367</v>
      </c>
      <c r="J131" s="122" t="s">
        <v>117</v>
      </c>
      <c r="K131" s="122" t="s">
        <v>86</v>
      </c>
      <c r="L131" s="124" t="s">
        <v>36</v>
      </c>
      <c r="M131" s="119">
        <v>46132</v>
      </c>
      <c r="N131" s="120">
        <v>0.75</v>
      </c>
      <c r="O131" s="125">
        <f t="shared" ref="O131:O162" ca="1" si="4">IF(ISBLANK(B131), 0, IF(ISNUMBER(SEARCH("Complete", H131)), IF(ISBLANK(M131), IF(L131="Closed", 4, ROUND(MAX(0, (NOW() - (B131 + IF(ISBLANK(C131), TIME(9,0,0), C131))) * 24), 1)), ROUND(MAX(0, ((M131 + IF(ISBLANK(N131), TIME(18,0,0), N131)) - (B131 + IF(ISBLANK(C131), TIME(9,0,0), C131))) * 24), 1)), 0))</f>
        <v>5.7</v>
      </c>
      <c r="P131" s="126">
        <f ca="1">ROUND(O131 / 24, 2)</f>
        <v>0.24</v>
      </c>
      <c r="Q131" s="127">
        <f ca="1">IF(ISBLANK(B131), 0, IF(ISBLANK(M131), IF(L131="Closed", 4, ROUND(MAX(0, (NOW() - (B131 + IF(ISBLANK(C131), TIME(9,0,0), C131))) * 24), 1)), ROUND(MAX(0, ((M131 + IF(ISBLANK(N131), TIME(18,0,0), N131)) - (B131 + IF(ISBLANK(C131), TIME(9,0,0), C131))) * 24), 1)))</f>
        <v>5.7</v>
      </c>
      <c r="R131" s="118">
        <f>IF(ISNUMBER(SEARCH("Complete", H131)), 1, 0)</f>
        <v>1</v>
      </c>
      <c r="S131" s="122" t="s">
        <v>337</v>
      </c>
    </row>
    <row r="132" spans="1:19" ht="16">
      <c r="A132" s="128">
        <v>130</v>
      </c>
      <c r="B132" s="129">
        <v>46133</v>
      </c>
      <c r="C132" s="130">
        <v>0.38333333333333341</v>
      </c>
      <c r="D132" s="131" t="s">
        <v>52</v>
      </c>
      <c r="E132" s="132" t="s">
        <v>53</v>
      </c>
      <c r="F132" s="132" t="s">
        <v>122</v>
      </c>
      <c r="G132" s="132" t="s">
        <v>368</v>
      </c>
      <c r="H132" s="133" t="s">
        <v>42</v>
      </c>
      <c r="I132" s="128" t="s">
        <v>369</v>
      </c>
      <c r="J132" s="132" t="s">
        <v>142</v>
      </c>
      <c r="K132" s="132" t="s">
        <v>88</v>
      </c>
      <c r="L132" s="134" t="s">
        <v>36</v>
      </c>
      <c r="M132" s="129">
        <v>46133</v>
      </c>
      <c r="N132" s="130">
        <v>0.75</v>
      </c>
      <c r="O132" s="135">
        <f t="shared" ca="1" si="4"/>
        <v>0</v>
      </c>
      <c r="P132" s="136">
        <f ca="1">ROUND(O132 / 24, 2)</f>
        <v>0</v>
      </c>
      <c r="Q132" s="137">
        <f ca="1">IF(ISBLANK(B132), 0, IF(ISBLANK(M132), IF(L132="Closed", 4, ROUND(MAX(0, (NOW() - (B132 + IF(ISBLANK(C132), TIME(9,0,0), C132))) * 24), 1)), ROUND(MAX(0, ((M132 + IF(ISBLANK(N132), TIME(18,0,0), N132)) - (B132 + IF(ISBLANK(C132), TIME(9,0,0), C132))) * 24), 1)))</f>
        <v>8.8000000000000007</v>
      </c>
      <c r="R132" s="128">
        <f>IF(ISNUMBER(SEARCH("Complete", H132)), 1, 0)</f>
        <v>0</v>
      </c>
      <c r="S132" s="132" t="s">
        <v>211</v>
      </c>
    </row>
    <row r="133" spans="1:19" ht="16">
      <c r="A133" s="118">
        <v>131</v>
      </c>
      <c r="B133" s="119">
        <v>46134</v>
      </c>
      <c r="C133" s="120">
        <v>0.46666666666666667</v>
      </c>
      <c r="D133" s="121" t="s">
        <v>55</v>
      </c>
      <c r="E133" s="122" t="s">
        <v>53</v>
      </c>
      <c r="F133" s="122" t="s">
        <v>137</v>
      </c>
      <c r="G133" s="122" t="s">
        <v>370</v>
      </c>
      <c r="H133" s="123" t="s">
        <v>42</v>
      </c>
      <c r="I133" s="118" t="s">
        <v>371</v>
      </c>
      <c r="J133" s="122" t="s">
        <v>142</v>
      </c>
      <c r="K133" s="122" t="s">
        <v>88</v>
      </c>
      <c r="L133" s="124" t="s">
        <v>36</v>
      </c>
      <c r="M133" s="119">
        <v>46134</v>
      </c>
      <c r="N133" s="120">
        <v>0.75</v>
      </c>
      <c r="O133" s="125">
        <f t="shared" ca="1" si="4"/>
        <v>0</v>
      </c>
      <c r="P133" s="126">
        <f ca="1">ROUND(O133 / 24, 2)</f>
        <v>0</v>
      </c>
      <c r="Q133" s="127">
        <f ca="1">IF(ISBLANK(B133), 0, IF(ISBLANK(M133), IF(L133="Closed", 4, ROUND(MAX(0, (NOW() - (B133 + IF(ISBLANK(C133), TIME(9,0,0), C133))) * 24), 1)), ROUND(MAX(0, ((M133 + IF(ISBLANK(N133), TIME(18,0,0), N133)) - (B133 + IF(ISBLANK(C133), TIME(9,0,0), C133))) * 24), 1)))</f>
        <v>6.8</v>
      </c>
      <c r="R133" s="118">
        <f>IF(ISNUMBER(SEARCH("Complete", H133)), 1, 0)</f>
        <v>0</v>
      </c>
      <c r="S133" s="122" t="s">
        <v>211</v>
      </c>
    </row>
    <row r="134" spans="1:19" ht="16">
      <c r="A134" s="128">
        <v>132</v>
      </c>
      <c r="B134" s="129">
        <v>46139</v>
      </c>
      <c r="C134" s="130">
        <v>0.65972222222222221</v>
      </c>
      <c r="D134" s="131" t="s">
        <v>55</v>
      </c>
      <c r="E134" s="132" t="s">
        <v>53</v>
      </c>
      <c r="F134" s="132" t="s">
        <v>137</v>
      </c>
      <c r="G134" s="132" t="s">
        <v>372</v>
      </c>
      <c r="H134" s="133" t="s">
        <v>42</v>
      </c>
      <c r="I134" s="128" t="s">
        <v>373</v>
      </c>
      <c r="J134" s="132" t="s">
        <v>142</v>
      </c>
      <c r="K134" s="132" t="s">
        <v>88</v>
      </c>
      <c r="L134" s="134" t="s">
        <v>36</v>
      </c>
      <c r="M134" s="129">
        <v>46143</v>
      </c>
      <c r="N134" s="130">
        <v>0.75</v>
      </c>
      <c r="O134" s="135">
        <f t="shared" ca="1" si="4"/>
        <v>0</v>
      </c>
      <c r="P134" s="136">
        <f ca="1">ROUND(O134 / 24, 2)</f>
        <v>0</v>
      </c>
      <c r="Q134" s="137">
        <f ca="1">IF(ISBLANK(B134), 0, IF(ISBLANK(M134), IF(L134="Closed", 4, ROUND(MAX(0, (NOW() - (B134 + IF(ISBLANK(C134), TIME(9,0,0), C134))) * 24), 1)), ROUND(MAX(0, ((M134 + IF(ISBLANK(N134), TIME(18,0,0), N134)) - (B134 + IF(ISBLANK(C134), TIME(9,0,0), C134))) * 24), 1)))</f>
        <v>98.2</v>
      </c>
      <c r="R134" s="128">
        <f>IF(ISNUMBER(SEARCH("Complete", H134)), 1, 0)</f>
        <v>0</v>
      </c>
      <c r="S134" s="132" t="s">
        <v>211</v>
      </c>
    </row>
    <row r="135" spans="1:19" ht="16">
      <c r="A135" s="118">
        <v>133</v>
      </c>
      <c r="B135" s="119">
        <v>46139</v>
      </c>
      <c r="C135" s="120">
        <v>0.80625000000000002</v>
      </c>
      <c r="D135" s="121" t="s">
        <v>374</v>
      </c>
      <c r="E135" s="122" t="s">
        <v>69</v>
      </c>
      <c r="F135" s="122" t="s">
        <v>325</v>
      </c>
      <c r="G135" s="122" t="s">
        <v>375</v>
      </c>
      <c r="H135" s="123" t="s">
        <v>42</v>
      </c>
      <c r="I135" s="118" t="s">
        <v>131</v>
      </c>
      <c r="J135" s="122" t="s">
        <v>117</v>
      </c>
      <c r="K135" s="122" t="s">
        <v>86</v>
      </c>
      <c r="L135" s="124" t="s">
        <v>36</v>
      </c>
      <c r="M135" s="119">
        <v>46139</v>
      </c>
      <c r="N135" s="120">
        <v>0.75</v>
      </c>
      <c r="O135" s="125">
        <f t="shared" ca="1" si="4"/>
        <v>0</v>
      </c>
      <c r="P135" s="126">
        <f ca="1">ROUND(O135 / 24, 2)</f>
        <v>0</v>
      </c>
      <c r="Q135" s="127">
        <f ca="1">IF(ISBLANK(B135), 0, IF(ISBLANK(M135), IF(L135="Closed", 4, ROUND(MAX(0, (NOW() - (B135 + IF(ISBLANK(C135), TIME(9,0,0), C135))) * 24), 1)), ROUND(MAX(0, ((M135 + IF(ISBLANK(N135), TIME(18,0,0), N135)) - (B135 + IF(ISBLANK(C135), TIME(9,0,0), C135))) * 24), 1)))</f>
        <v>0</v>
      </c>
      <c r="R135" s="118">
        <f>IF(ISNUMBER(SEARCH("Complete", H135)), 1, 0)</f>
        <v>0</v>
      </c>
      <c r="S135" s="122" t="s">
        <v>337</v>
      </c>
    </row>
    <row r="136" spans="1:19" ht="16">
      <c r="A136" s="128">
        <v>134</v>
      </c>
      <c r="B136" s="129">
        <v>46140</v>
      </c>
      <c r="C136" s="130">
        <v>0.37361111111111112</v>
      </c>
      <c r="D136" s="131" t="s">
        <v>76</v>
      </c>
      <c r="E136" s="132" t="s">
        <v>72</v>
      </c>
      <c r="F136" s="132" t="s">
        <v>139</v>
      </c>
      <c r="G136" s="132" t="s">
        <v>376</v>
      </c>
      <c r="H136" s="133" t="s">
        <v>42</v>
      </c>
      <c r="I136" s="128" t="s">
        <v>131</v>
      </c>
      <c r="J136" s="132" t="s">
        <v>117</v>
      </c>
      <c r="K136" s="132" t="s">
        <v>86</v>
      </c>
      <c r="L136" s="134" t="s">
        <v>36</v>
      </c>
      <c r="M136" s="129">
        <v>46140</v>
      </c>
      <c r="N136" s="130">
        <v>0.75</v>
      </c>
      <c r="O136" s="135">
        <f t="shared" ca="1" si="4"/>
        <v>0</v>
      </c>
      <c r="P136" s="136">
        <f ca="1">ROUND(O136 / 24, 2)</f>
        <v>0</v>
      </c>
      <c r="Q136" s="137">
        <f ca="1">IF(ISBLANK(B136), 0, IF(ISBLANK(M136), IF(L136="Closed", 4, ROUND(MAX(0, (NOW() - (B136 + IF(ISBLANK(C136), TIME(9,0,0), C136))) * 24), 1)), ROUND(MAX(0, ((M136 + IF(ISBLANK(N136), TIME(18,0,0), N136)) - (B136 + IF(ISBLANK(C136), TIME(9,0,0), C136))) * 24), 1)))</f>
        <v>9</v>
      </c>
      <c r="R136" s="128">
        <f>IF(ISNUMBER(SEARCH("Complete", H136)), 1, 0)</f>
        <v>0</v>
      </c>
      <c r="S136" s="132" t="s">
        <v>337</v>
      </c>
    </row>
    <row r="137" spans="1:19" ht="16">
      <c r="A137" s="118">
        <v>135</v>
      </c>
      <c r="B137" s="119">
        <v>46141</v>
      </c>
      <c r="C137" s="120">
        <v>0.60555555555555551</v>
      </c>
      <c r="D137" s="121" t="s">
        <v>55</v>
      </c>
      <c r="E137" s="122" t="s">
        <v>53</v>
      </c>
      <c r="F137" s="122" t="s">
        <v>137</v>
      </c>
      <c r="G137" s="122" t="s">
        <v>377</v>
      </c>
      <c r="H137" s="123" t="s">
        <v>42</v>
      </c>
      <c r="I137" s="118" t="s">
        <v>378</v>
      </c>
      <c r="J137" s="122" t="s">
        <v>142</v>
      </c>
      <c r="K137" s="122" t="s">
        <v>88</v>
      </c>
      <c r="L137" s="124" t="s">
        <v>36</v>
      </c>
      <c r="M137" s="119">
        <v>46141</v>
      </c>
      <c r="N137" s="120">
        <v>0.75</v>
      </c>
      <c r="O137" s="125">
        <f t="shared" ca="1" si="4"/>
        <v>0</v>
      </c>
      <c r="P137" s="126">
        <f ca="1">ROUND(O137 / 24, 2)</f>
        <v>0</v>
      </c>
      <c r="Q137" s="127">
        <f ca="1">IF(ISBLANK(B137), 0, IF(ISBLANK(M137), IF(L137="Closed", 4, ROUND(MAX(0, (NOW() - (B137 + IF(ISBLANK(C137), TIME(9,0,0), C137))) * 24), 1)), ROUND(MAX(0, ((M137 + IF(ISBLANK(N137), TIME(18,0,0), N137)) - (B137 + IF(ISBLANK(C137), TIME(9,0,0), C137))) * 24), 1)))</f>
        <v>3.5</v>
      </c>
      <c r="R137" s="118">
        <f>IF(ISNUMBER(SEARCH("Complete", H137)), 1, 0)</f>
        <v>0</v>
      </c>
      <c r="S137" s="122" t="s">
        <v>211</v>
      </c>
    </row>
    <row r="138" spans="1:19" ht="16">
      <c r="A138" s="128">
        <v>136</v>
      </c>
      <c r="B138" s="129">
        <v>46142</v>
      </c>
      <c r="C138" s="130">
        <v>0.72083333333333333</v>
      </c>
      <c r="D138" s="131" t="s">
        <v>266</v>
      </c>
      <c r="E138" s="132" t="s">
        <v>69</v>
      </c>
      <c r="F138" s="132" t="s">
        <v>379</v>
      </c>
      <c r="G138" s="132" t="s">
        <v>380</v>
      </c>
      <c r="H138" s="133" t="s">
        <v>42</v>
      </c>
      <c r="I138" s="128" t="s">
        <v>131</v>
      </c>
      <c r="J138" s="132" t="s">
        <v>142</v>
      </c>
      <c r="K138" s="132" t="s">
        <v>88</v>
      </c>
      <c r="L138" s="134" t="s">
        <v>36</v>
      </c>
      <c r="M138" s="129">
        <v>46142</v>
      </c>
      <c r="N138" s="130">
        <v>0.75</v>
      </c>
      <c r="O138" s="135">
        <f t="shared" ca="1" si="4"/>
        <v>0</v>
      </c>
      <c r="P138" s="136">
        <f ca="1">ROUND(O138 / 24, 2)</f>
        <v>0</v>
      </c>
      <c r="Q138" s="137">
        <f ca="1">IF(ISBLANK(B138), 0, IF(ISBLANK(M138), IF(L138="Closed", 4, ROUND(MAX(0, (NOW() - (B138 + IF(ISBLANK(C138), TIME(9,0,0), C138))) * 24), 1)), ROUND(MAX(0, ((M138 + IF(ISBLANK(N138), TIME(18,0,0), N138)) - (B138 + IF(ISBLANK(C138), TIME(9,0,0), C138))) * 24), 1)))</f>
        <v>0.7</v>
      </c>
      <c r="R138" s="128">
        <f>IF(ISNUMBER(SEARCH("Complete", H138)), 1, 0)</f>
        <v>0</v>
      </c>
      <c r="S138" s="132" t="s">
        <v>211</v>
      </c>
    </row>
    <row r="139" spans="1:19" ht="16">
      <c r="A139" s="118">
        <v>137</v>
      </c>
      <c r="B139" s="119">
        <v>46143</v>
      </c>
      <c r="C139" s="120">
        <v>0.40694444444444439</v>
      </c>
      <c r="D139" s="121" t="s">
        <v>55</v>
      </c>
      <c r="E139" s="122" t="s">
        <v>53</v>
      </c>
      <c r="F139" s="122" t="s">
        <v>137</v>
      </c>
      <c r="G139" s="122" t="s">
        <v>381</v>
      </c>
      <c r="H139" s="123" t="s">
        <v>42</v>
      </c>
      <c r="I139" s="118" t="s">
        <v>382</v>
      </c>
      <c r="J139" s="122" t="s">
        <v>142</v>
      </c>
      <c r="K139" s="122" t="s">
        <v>88</v>
      </c>
      <c r="L139" s="124" t="s">
        <v>36</v>
      </c>
      <c r="M139" s="119">
        <v>46143</v>
      </c>
      <c r="N139" s="120">
        <v>0.75</v>
      </c>
      <c r="O139" s="125">
        <f t="shared" ca="1" si="4"/>
        <v>0</v>
      </c>
      <c r="P139" s="126">
        <f ca="1">ROUND(O139 / 24, 2)</f>
        <v>0</v>
      </c>
      <c r="Q139" s="127">
        <f ca="1">IF(ISBLANK(B139), 0, IF(ISBLANK(M139), IF(L139="Closed", 4, ROUND(MAX(0, (NOW() - (B139 + IF(ISBLANK(C139), TIME(9,0,0), C139))) * 24), 1)), ROUND(MAX(0, ((M139 + IF(ISBLANK(N139), TIME(18,0,0), N139)) - (B139 + IF(ISBLANK(C139), TIME(9,0,0), C139))) * 24), 1)))</f>
        <v>8.1999999999999993</v>
      </c>
      <c r="R139" s="118">
        <f>IF(ISNUMBER(SEARCH("Complete", H139)), 1, 0)</f>
        <v>0</v>
      </c>
      <c r="S139" s="122" t="s">
        <v>211</v>
      </c>
    </row>
    <row r="140" spans="1:19" ht="16">
      <c r="A140" s="128">
        <v>138</v>
      </c>
      <c r="B140" s="129">
        <v>46143</v>
      </c>
      <c r="C140" s="130">
        <v>0.52083333333333337</v>
      </c>
      <c r="D140" s="131" t="s">
        <v>52</v>
      </c>
      <c r="E140" s="132" t="s">
        <v>53</v>
      </c>
      <c r="F140" s="132" t="s">
        <v>137</v>
      </c>
      <c r="G140" s="132" t="s">
        <v>383</v>
      </c>
      <c r="H140" s="133" t="s">
        <v>42</v>
      </c>
      <c r="I140" s="128" t="s">
        <v>384</v>
      </c>
      <c r="J140" s="132" t="s">
        <v>385</v>
      </c>
      <c r="K140" s="132" t="s">
        <v>88</v>
      </c>
      <c r="L140" s="134" t="s">
        <v>36</v>
      </c>
      <c r="M140" s="129">
        <v>46143</v>
      </c>
      <c r="N140" s="130">
        <v>0.75</v>
      </c>
      <c r="O140" s="135">
        <f t="shared" ca="1" si="4"/>
        <v>0</v>
      </c>
      <c r="P140" s="136">
        <f ca="1">ROUND(O140 / 24, 2)</f>
        <v>0</v>
      </c>
      <c r="Q140" s="137">
        <f ca="1">IF(ISBLANK(B140), 0, IF(ISBLANK(M140), IF(L140="Closed", 4, ROUND(MAX(0, (NOW() - (B140 + IF(ISBLANK(C140), TIME(9,0,0), C140))) * 24), 1)), ROUND(MAX(0, ((M140 + IF(ISBLANK(N140), TIME(18,0,0), N140)) - (B140 + IF(ISBLANK(C140), TIME(9,0,0), C140))) * 24), 1)))</f>
        <v>5.5</v>
      </c>
      <c r="R140" s="128">
        <f>IF(ISNUMBER(SEARCH("Complete", H140)), 1, 0)</f>
        <v>0</v>
      </c>
      <c r="S140" s="132" t="s">
        <v>385</v>
      </c>
    </row>
    <row r="141" spans="1:19" ht="16">
      <c r="A141" s="118">
        <v>139</v>
      </c>
      <c r="B141" s="119">
        <v>46146</v>
      </c>
      <c r="C141" s="120">
        <v>0.59027777777777779</v>
      </c>
      <c r="D141" s="121" t="s">
        <v>60</v>
      </c>
      <c r="E141" s="122" t="s">
        <v>58</v>
      </c>
      <c r="F141" s="122" t="s">
        <v>114</v>
      </c>
      <c r="G141" s="122" t="s">
        <v>386</v>
      </c>
      <c r="H141" s="123" t="s">
        <v>42</v>
      </c>
      <c r="I141" s="118" t="s">
        <v>131</v>
      </c>
      <c r="J141" s="122" t="s">
        <v>235</v>
      </c>
      <c r="K141" s="122" t="s">
        <v>86</v>
      </c>
      <c r="L141" s="124" t="s">
        <v>37</v>
      </c>
      <c r="M141" s="119"/>
      <c r="N141" s="120"/>
      <c r="O141" s="125">
        <f t="shared" ca="1" si="4"/>
        <v>0</v>
      </c>
      <c r="P141" s="126">
        <f ca="1">ROUND(O141 / 24, 2)</f>
        <v>0</v>
      </c>
      <c r="Q141" s="127">
        <f ca="1">IF(ISBLANK(B141), 0, IF(ISBLANK(M141), IF(L141="Closed", 4, ROUND(MAX(0, (NOW() - (B141 + IF(ISBLANK(C141), TIME(9,0,0), C141))) * 24), 1)), ROUND(MAX(0, ((M141 + IF(ISBLANK(N141), TIME(18,0,0), N141)) - (B141 + IF(ISBLANK(C141), TIME(9,0,0), C141))) * 24), 1)))</f>
        <v>2571.8000000000002</v>
      </c>
      <c r="R141" s="118">
        <f>IF(ISNUMBER(SEARCH("Complete", H141)), 1, 0)</f>
        <v>0</v>
      </c>
      <c r="S141" s="122" t="s">
        <v>118</v>
      </c>
    </row>
    <row r="142" spans="1:19" ht="16">
      <c r="A142" s="128">
        <v>140</v>
      </c>
      <c r="B142" s="129">
        <v>46146</v>
      </c>
      <c r="C142" s="130">
        <v>0.59027777777777779</v>
      </c>
      <c r="D142" s="131" t="s">
        <v>60</v>
      </c>
      <c r="E142" s="132" t="s">
        <v>58</v>
      </c>
      <c r="F142" s="132" t="s">
        <v>114</v>
      </c>
      <c r="G142" s="132" t="s">
        <v>387</v>
      </c>
      <c r="H142" s="133" t="s">
        <v>40</v>
      </c>
      <c r="I142" s="128" t="s">
        <v>131</v>
      </c>
      <c r="J142" s="132" t="s">
        <v>142</v>
      </c>
      <c r="K142" s="132" t="s">
        <v>88</v>
      </c>
      <c r="L142" s="134" t="s">
        <v>36</v>
      </c>
      <c r="M142" s="129">
        <v>46147</v>
      </c>
      <c r="N142" s="130">
        <v>0.75</v>
      </c>
      <c r="O142" s="135">
        <f t="shared" ca="1" si="4"/>
        <v>27.8</v>
      </c>
      <c r="P142" s="136">
        <f ca="1">ROUND(O142 / 24, 2)</f>
        <v>1.1599999999999999</v>
      </c>
      <c r="Q142" s="137">
        <f ca="1">IF(ISBLANK(B142), 0, IF(ISBLANK(M142), IF(L142="Closed", 4, ROUND(MAX(0, (NOW() - (B142 + IF(ISBLANK(C142), TIME(9,0,0), C142))) * 24), 1)), ROUND(MAX(0, ((M142 + IF(ISBLANK(N142), TIME(18,0,0), N142)) - (B142 + IF(ISBLANK(C142), TIME(9,0,0), C142))) * 24), 1)))</f>
        <v>27.8</v>
      </c>
      <c r="R142" s="128">
        <f>IF(ISNUMBER(SEARCH("Complete", H142)), 1, 0)</f>
        <v>1</v>
      </c>
      <c r="S142" s="132" t="s">
        <v>211</v>
      </c>
    </row>
    <row r="143" spans="1:19" ht="16">
      <c r="A143" s="118">
        <v>141</v>
      </c>
      <c r="B143" s="119">
        <v>46147</v>
      </c>
      <c r="C143" s="120">
        <v>0.3527777777777778</v>
      </c>
      <c r="D143" s="121" t="s">
        <v>339</v>
      </c>
      <c r="E143" s="122" t="s">
        <v>63</v>
      </c>
      <c r="F143" s="122" t="s">
        <v>137</v>
      </c>
      <c r="G143" s="122" t="s">
        <v>388</v>
      </c>
      <c r="H143" s="123" t="s">
        <v>40</v>
      </c>
      <c r="I143" s="118" t="s">
        <v>131</v>
      </c>
      <c r="J143" s="122" t="s">
        <v>117</v>
      </c>
      <c r="K143" s="122" t="s">
        <v>86</v>
      </c>
      <c r="L143" s="124" t="s">
        <v>36</v>
      </c>
      <c r="M143" s="119">
        <v>46158</v>
      </c>
      <c r="N143" s="120">
        <v>0.75</v>
      </c>
      <c r="O143" s="125">
        <f t="shared" ca="1" si="4"/>
        <v>273.5</v>
      </c>
      <c r="P143" s="126">
        <f ca="1">ROUND(O143 / 24, 2)</f>
        <v>11.4</v>
      </c>
      <c r="Q143" s="127">
        <f ca="1">IF(ISBLANK(B143), 0, IF(ISBLANK(M143), IF(L143="Closed", 4, ROUND(MAX(0, (NOW() - (B143 + IF(ISBLANK(C143), TIME(9,0,0), C143))) * 24), 1)), ROUND(MAX(0, ((M143 + IF(ISBLANK(N143), TIME(18,0,0), N143)) - (B143 + IF(ISBLANK(C143), TIME(9,0,0), C143))) * 24), 1)))</f>
        <v>273.5</v>
      </c>
      <c r="R143" s="118">
        <f>IF(ISNUMBER(SEARCH("Complete", H143)), 1, 0)</f>
        <v>1</v>
      </c>
      <c r="S143" s="122" t="s">
        <v>118</v>
      </c>
    </row>
    <row r="144" spans="1:19" ht="16">
      <c r="A144" s="128">
        <v>142</v>
      </c>
      <c r="B144" s="129">
        <v>46148</v>
      </c>
      <c r="C144" s="130">
        <v>0.5180555555555556</v>
      </c>
      <c r="D144" s="131" t="s">
        <v>52</v>
      </c>
      <c r="E144" s="132" t="s">
        <v>53</v>
      </c>
      <c r="F144" s="132" t="s">
        <v>122</v>
      </c>
      <c r="G144" s="132" t="s">
        <v>368</v>
      </c>
      <c r="H144" s="133" t="s">
        <v>42</v>
      </c>
      <c r="I144" s="128" t="s">
        <v>389</v>
      </c>
      <c r="J144" s="132" t="s">
        <v>142</v>
      </c>
      <c r="K144" s="132" t="s">
        <v>88</v>
      </c>
      <c r="L144" s="134" t="s">
        <v>36</v>
      </c>
      <c r="M144" s="129">
        <v>46149</v>
      </c>
      <c r="N144" s="130">
        <v>0.75</v>
      </c>
      <c r="O144" s="135">
        <f t="shared" ca="1" si="4"/>
        <v>0</v>
      </c>
      <c r="P144" s="136">
        <f ca="1">ROUND(O144 / 24, 2)</f>
        <v>0</v>
      </c>
      <c r="Q144" s="137">
        <f ca="1">IF(ISBLANK(B144), 0, IF(ISBLANK(M144), IF(L144="Closed", 4, ROUND(MAX(0, (NOW() - (B144 + IF(ISBLANK(C144), TIME(9,0,0), C144))) * 24), 1)), ROUND(MAX(0, ((M144 + IF(ISBLANK(N144), TIME(18,0,0), N144)) - (B144 + IF(ISBLANK(C144), TIME(9,0,0), C144))) * 24), 1)))</f>
        <v>29.6</v>
      </c>
      <c r="R144" s="128">
        <f>IF(ISNUMBER(SEARCH("Complete", H144)), 1, 0)</f>
        <v>0</v>
      </c>
      <c r="S144" s="132" t="s">
        <v>211</v>
      </c>
    </row>
    <row r="145" spans="1:19" ht="16">
      <c r="A145" s="118">
        <v>143</v>
      </c>
      <c r="B145" s="119">
        <v>46149</v>
      </c>
      <c r="C145" s="120">
        <v>0.42569444444444438</v>
      </c>
      <c r="D145" s="121" t="s">
        <v>55</v>
      </c>
      <c r="E145" s="122" t="s">
        <v>53</v>
      </c>
      <c r="F145" s="122" t="s">
        <v>137</v>
      </c>
      <c r="G145" s="122" t="s">
        <v>390</v>
      </c>
      <c r="H145" s="123" t="s">
        <v>42</v>
      </c>
      <c r="I145" s="118" t="s">
        <v>391</v>
      </c>
      <c r="J145" s="122" t="s">
        <v>392</v>
      </c>
      <c r="K145" s="122" t="s">
        <v>88</v>
      </c>
      <c r="L145" s="124" t="s">
        <v>36</v>
      </c>
      <c r="M145" s="119">
        <v>46149</v>
      </c>
      <c r="N145" s="120">
        <v>0.75</v>
      </c>
      <c r="O145" s="125">
        <f t="shared" ca="1" si="4"/>
        <v>0</v>
      </c>
      <c r="P145" s="126">
        <f ca="1">ROUND(O145 / 24, 2)</f>
        <v>0</v>
      </c>
      <c r="Q145" s="127">
        <f ca="1">IF(ISBLANK(B145), 0, IF(ISBLANK(M145), IF(L145="Closed", 4, ROUND(MAX(0, (NOW() - (B145 + IF(ISBLANK(C145), TIME(9,0,0), C145))) * 24), 1)), ROUND(MAX(0, ((M145 + IF(ISBLANK(N145), TIME(18,0,0), N145)) - (B145 + IF(ISBLANK(C145), TIME(9,0,0), C145))) * 24), 1)))</f>
        <v>7.8</v>
      </c>
      <c r="R145" s="118">
        <f>IF(ISNUMBER(SEARCH("Complete", H145)), 1, 0)</f>
        <v>0</v>
      </c>
      <c r="S145" s="122" t="s">
        <v>392</v>
      </c>
    </row>
    <row r="146" spans="1:19" ht="16">
      <c r="A146" s="128">
        <v>144</v>
      </c>
      <c r="B146" s="129">
        <v>46150</v>
      </c>
      <c r="C146" s="130">
        <v>0.375</v>
      </c>
      <c r="D146" s="131" t="s">
        <v>188</v>
      </c>
      <c r="E146" s="132" t="s">
        <v>53</v>
      </c>
      <c r="F146" s="132" t="s">
        <v>133</v>
      </c>
      <c r="G146" s="132" t="s">
        <v>393</v>
      </c>
      <c r="H146" s="133" t="s">
        <v>40</v>
      </c>
      <c r="I146" s="128" t="s">
        <v>131</v>
      </c>
      <c r="J146" s="132" t="s">
        <v>117</v>
      </c>
      <c r="K146" s="132" t="s">
        <v>86</v>
      </c>
      <c r="L146" s="134" t="s">
        <v>36</v>
      </c>
      <c r="M146" s="129">
        <v>46150</v>
      </c>
      <c r="N146" s="130">
        <v>0.75</v>
      </c>
      <c r="O146" s="135">
        <f t="shared" ca="1" si="4"/>
        <v>9</v>
      </c>
      <c r="P146" s="136">
        <f ca="1">ROUND(O146 / 24, 2)</f>
        <v>0.38</v>
      </c>
      <c r="Q146" s="137">
        <f ca="1">IF(ISBLANK(B146), 0, IF(ISBLANK(M146), IF(L146="Closed", 4, ROUND(MAX(0, (NOW() - (B146 + IF(ISBLANK(C146), TIME(9,0,0), C146))) * 24), 1)), ROUND(MAX(0, ((M146 + IF(ISBLANK(N146), TIME(18,0,0), N146)) - (B146 + IF(ISBLANK(C146), TIME(9,0,0), C146))) * 24), 1)))</f>
        <v>9</v>
      </c>
      <c r="R146" s="128">
        <f>IF(ISNUMBER(SEARCH("Complete", H146)), 1, 0)</f>
        <v>1</v>
      </c>
      <c r="S146" s="132" t="s">
        <v>394</v>
      </c>
    </row>
    <row r="147" spans="1:19" ht="16">
      <c r="A147" s="118">
        <v>145</v>
      </c>
      <c r="B147" s="119">
        <v>46151</v>
      </c>
      <c r="C147" s="120">
        <v>0.58680555555555558</v>
      </c>
      <c r="D147" s="121" t="s">
        <v>395</v>
      </c>
      <c r="E147" s="122" t="s">
        <v>66</v>
      </c>
      <c r="F147" s="122" t="s">
        <v>114</v>
      </c>
      <c r="G147" s="122" t="s">
        <v>396</v>
      </c>
      <c r="H147" s="123" t="s">
        <v>42</v>
      </c>
      <c r="I147" s="118" t="s">
        <v>131</v>
      </c>
      <c r="J147" s="122" t="s">
        <v>142</v>
      </c>
      <c r="K147" s="122" t="s">
        <v>88</v>
      </c>
      <c r="L147" s="124" t="s">
        <v>36</v>
      </c>
      <c r="M147" s="119">
        <v>46154</v>
      </c>
      <c r="N147" s="120">
        <v>0.75</v>
      </c>
      <c r="O147" s="125">
        <f t="shared" ca="1" si="4"/>
        <v>0</v>
      </c>
      <c r="P147" s="126">
        <f ca="1">ROUND(O147 / 24, 2)</f>
        <v>0</v>
      </c>
      <c r="Q147" s="127">
        <f ca="1">IF(ISBLANK(B147), 0, IF(ISBLANK(M147), IF(L147="Closed", 4, ROUND(MAX(0, (NOW() - (B147 + IF(ISBLANK(C147), TIME(9,0,0), C147))) * 24), 1)), ROUND(MAX(0, ((M147 + IF(ISBLANK(N147), TIME(18,0,0), N147)) - (B147 + IF(ISBLANK(C147), TIME(9,0,0), C147))) * 24), 1)))</f>
        <v>75.900000000000006</v>
      </c>
      <c r="R147" s="118">
        <f>IF(ISNUMBER(SEARCH("Complete", H147)), 1, 0)</f>
        <v>0</v>
      </c>
      <c r="S147" s="122" t="s">
        <v>329</v>
      </c>
    </row>
    <row r="148" spans="1:19" ht="16">
      <c r="A148" s="128">
        <v>146</v>
      </c>
      <c r="B148" s="129">
        <v>46153</v>
      </c>
      <c r="C148" s="130">
        <v>0.49236111111111108</v>
      </c>
      <c r="D148" s="131" t="s">
        <v>281</v>
      </c>
      <c r="E148" s="132" t="s">
        <v>72</v>
      </c>
      <c r="F148" s="132" t="s">
        <v>137</v>
      </c>
      <c r="G148" s="132" t="s">
        <v>397</v>
      </c>
      <c r="H148" s="133" t="s">
        <v>40</v>
      </c>
      <c r="I148" s="128" t="s">
        <v>131</v>
      </c>
      <c r="J148" s="132" t="s">
        <v>142</v>
      </c>
      <c r="K148" s="132" t="s">
        <v>88</v>
      </c>
      <c r="L148" s="134" t="s">
        <v>36</v>
      </c>
      <c r="M148" s="129">
        <v>46153</v>
      </c>
      <c r="N148" s="130">
        <v>0.75</v>
      </c>
      <c r="O148" s="135">
        <f t="shared" ca="1" si="4"/>
        <v>6.2</v>
      </c>
      <c r="P148" s="136">
        <f ca="1">ROUND(O148 / 24, 2)</f>
        <v>0.26</v>
      </c>
      <c r="Q148" s="137">
        <f ca="1">IF(ISBLANK(B148), 0, IF(ISBLANK(M148), IF(L148="Closed", 4, ROUND(MAX(0, (NOW() - (B148 + IF(ISBLANK(C148), TIME(9,0,0), C148))) * 24), 1)), ROUND(MAX(0, ((M148 + IF(ISBLANK(N148), TIME(18,0,0), N148)) - (B148 + IF(ISBLANK(C148), TIME(9,0,0), C148))) * 24), 1)))</f>
        <v>6.2</v>
      </c>
      <c r="R148" s="128">
        <f>IF(ISNUMBER(SEARCH("Complete", H148)), 1, 0)</f>
        <v>1</v>
      </c>
      <c r="S148" s="132" t="s">
        <v>329</v>
      </c>
    </row>
    <row r="149" spans="1:19" ht="16">
      <c r="A149" s="118">
        <v>147</v>
      </c>
      <c r="B149" s="119">
        <v>46153</v>
      </c>
      <c r="C149" s="120">
        <v>0.34166666666666667</v>
      </c>
      <c r="D149" s="121" t="s">
        <v>188</v>
      </c>
      <c r="E149" s="122" t="s">
        <v>53</v>
      </c>
      <c r="F149" s="122" t="s">
        <v>199</v>
      </c>
      <c r="G149" s="122" t="s">
        <v>398</v>
      </c>
      <c r="H149" s="123" t="s">
        <v>40</v>
      </c>
      <c r="I149" s="118" t="s">
        <v>131</v>
      </c>
      <c r="J149" s="122" t="s">
        <v>117</v>
      </c>
      <c r="K149" s="122" t="s">
        <v>86</v>
      </c>
      <c r="L149" s="124" t="s">
        <v>36</v>
      </c>
      <c r="M149" s="119">
        <v>46153</v>
      </c>
      <c r="N149" s="120">
        <v>0.75</v>
      </c>
      <c r="O149" s="125">
        <f t="shared" ca="1" si="4"/>
        <v>9.8000000000000007</v>
      </c>
      <c r="P149" s="126">
        <f ca="1">ROUND(O149 / 24, 2)</f>
        <v>0.41</v>
      </c>
      <c r="Q149" s="127">
        <f ca="1">IF(ISBLANK(B149), 0, IF(ISBLANK(M149), IF(L149="Closed", 4, ROUND(MAX(0, (NOW() - (B149 + IF(ISBLANK(C149), TIME(9,0,0), C149))) * 24), 1)), ROUND(MAX(0, ((M149 + IF(ISBLANK(N149), TIME(18,0,0), N149)) - (B149 + IF(ISBLANK(C149), TIME(9,0,0), C149))) * 24), 1)))</f>
        <v>9.8000000000000007</v>
      </c>
      <c r="R149" s="118">
        <f>IF(ISNUMBER(SEARCH("Complete", H149)), 1, 0)</f>
        <v>1</v>
      </c>
      <c r="S149" s="122" t="s">
        <v>394</v>
      </c>
    </row>
    <row r="150" spans="1:19" ht="16">
      <c r="A150" s="128">
        <v>148</v>
      </c>
      <c r="B150" s="129">
        <v>46154</v>
      </c>
      <c r="C150" s="130">
        <v>0.49305555555555558</v>
      </c>
      <c r="D150" s="131" t="s">
        <v>203</v>
      </c>
      <c r="E150" s="132" t="s">
        <v>63</v>
      </c>
      <c r="F150" s="132" t="s">
        <v>114</v>
      </c>
      <c r="G150" s="132" t="s">
        <v>399</v>
      </c>
      <c r="H150" s="133" t="s">
        <v>42</v>
      </c>
      <c r="I150" s="128" t="s">
        <v>131</v>
      </c>
      <c r="J150" s="132" t="s">
        <v>400</v>
      </c>
      <c r="K150" s="132" t="s">
        <v>86</v>
      </c>
      <c r="L150" s="134" t="s">
        <v>36</v>
      </c>
      <c r="M150" s="129">
        <v>46154</v>
      </c>
      <c r="N150" s="130">
        <v>0.75</v>
      </c>
      <c r="O150" s="135">
        <f t="shared" ca="1" si="4"/>
        <v>0</v>
      </c>
      <c r="P150" s="136">
        <f ca="1">ROUND(O150 / 24, 2)</f>
        <v>0</v>
      </c>
      <c r="Q150" s="137">
        <f ca="1">IF(ISBLANK(B150), 0, IF(ISBLANK(M150), IF(L150="Closed", 4, ROUND(MAX(0, (NOW() - (B150 + IF(ISBLANK(C150), TIME(9,0,0), C150))) * 24), 1)), ROUND(MAX(0, ((M150 + IF(ISBLANK(N150), TIME(18,0,0), N150)) - (B150 + IF(ISBLANK(C150), TIME(9,0,0), C150))) * 24), 1)))</f>
        <v>6.2</v>
      </c>
      <c r="R150" s="128">
        <f>IF(ISNUMBER(SEARCH("Complete", H150)), 1, 0)</f>
        <v>0</v>
      </c>
      <c r="S150" s="132" t="s">
        <v>400</v>
      </c>
    </row>
    <row r="151" spans="1:19" ht="16">
      <c r="A151" s="118">
        <v>149</v>
      </c>
      <c r="B151" s="119">
        <v>46154</v>
      </c>
      <c r="C151" s="120">
        <v>0.4236111111111111</v>
      </c>
      <c r="D151" s="121" t="s">
        <v>289</v>
      </c>
      <c r="E151" s="122" t="s">
        <v>69</v>
      </c>
      <c r="F151" s="122" t="s">
        <v>133</v>
      </c>
      <c r="G151" s="122" t="s">
        <v>401</v>
      </c>
      <c r="H151" s="123" t="s">
        <v>42</v>
      </c>
      <c r="I151" s="118" t="s">
        <v>131</v>
      </c>
      <c r="J151" s="122" t="s">
        <v>117</v>
      </c>
      <c r="K151" s="122" t="s">
        <v>86</v>
      </c>
      <c r="L151" s="124" t="s">
        <v>36</v>
      </c>
      <c r="M151" s="119">
        <v>46154</v>
      </c>
      <c r="N151" s="120">
        <v>0.75</v>
      </c>
      <c r="O151" s="125">
        <f t="shared" ca="1" si="4"/>
        <v>0</v>
      </c>
      <c r="P151" s="126">
        <f ca="1">ROUND(O151 / 24, 2)</f>
        <v>0</v>
      </c>
      <c r="Q151" s="127">
        <f ca="1">IF(ISBLANK(B151), 0, IF(ISBLANK(M151), IF(L151="Closed", 4, ROUND(MAX(0, (NOW() - (B151 + IF(ISBLANK(C151), TIME(9,0,0), C151))) * 24), 1)), ROUND(MAX(0, ((M151 + IF(ISBLANK(N151), TIME(18,0,0), N151)) - (B151 + IF(ISBLANK(C151), TIME(9,0,0), C151))) * 24), 1)))</f>
        <v>7.8</v>
      </c>
      <c r="R151" s="118">
        <f>IF(ISNUMBER(SEARCH("Complete", H151)), 1, 0)</f>
        <v>0</v>
      </c>
      <c r="S151" s="122" t="s">
        <v>394</v>
      </c>
    </row>
    <row r="152" spans="1:19" ht="16">
      <c r="A152" s="128">
        <v>150</v>
      </c>
      <c r="B152" s="129">
        <v>46154</v>
      </c>
      <c r="C152" s="130">
        <v>0.44583333333333341</v>
      </c>
      <c r="D152" s="131" t="s">
        <v>164</v>
      </c>
      <c r="E152" s="132" t="s">
        <v>53</v>
      </c>
      <c r="F152" s="132" t="s">
        <v>133</v>
      </c>
      <c r="G152" s="132" t="s">
        <v>187</v>
      </c>
      <c r="H152" s="133" t="s">
        <v>40</v>
      </c>
      <c r="I152" s="128" t="s">
        <v>131</v>
      </c>
      <c r="J152" s="132" t="s">
        <v>117</v>
      </c>
      <c r="K152" s="132" t="s">
        <v>86</v>
      </c>
      <c r="L152" s="134" t="s">
        <v>36</v>
      </c>
      <c r="M152" s="129">
        <v>46154</v>
      </c>
      <c r="N152" s="130">
        <v>0.75</v>
      </c>
      <c r="O152" s="135">
        <f t="shared" ca="1" si="4"/>
        <v>7.3</v>
      </c>
      <c r="P152" s="136">
        <f ca="1">ROUND(O152 / 24, 2)</f>
        <v>0.3</v>
      </c>
      <c r="Q152" s="137">
        <f ca="1">IF(ISBLANK(B152), 0, IF(ISBLANK(M152), IF(L152="Closed", 4, ROUND(MAX(0, (NOW() - (B152 + IF(ISBLANK(C152), TIME(9,0,0), C152))) * 24), 1)), ROUND(MAX(0, ((M152 + IF(ISBLANK(N152), TIME(18,0,0), N152)) - (B152 + IF(ISBLANK(C152), TIME(9,0,0), C152))) * 24), 1)))</f>
        <v>7.3</v>
      </c>
      <c r="R152" s="128">
        <f>IF(ISNUMBER(SEARCH("Complete", H152)), 1, 0)</f>
        <v>1</v>
      </c>
      <c r="S152" s="132" t="s">
        <v>135</v>
      </c>
    </row>
    <row r="153" spans="1:19" ht="16">
      <c r="A153" s="118">
        <v>151</v>
      </c>
      <c r="B153" s="119">
        <v>46155</v>
      </c>
      <c r="C153" s="120">
        <v>0.6479166666666667</v>
      </c>
      <c r="D153" s="121" t="s">
        <v>188</v>
      </c>
      <c r="E153" s="122" t="s">
        <v>53</v>
      </c>
      <c r="F153" s="122" t="s">
        <v>114</v>
      </c>
      <c r="G153" s="122" t="s">
        <v>189</v>
      </c>
      <c r="H153" s="123" t="s">
        <v>40</v>
      </c>
      <c r="I153" s="118" t="s">
        <v>131</v>
      </c>
      <c r="J153" s="122" t="s">
        <v>117</v>
      </c>
      <c r="K153" s="122" t="s">
        <v>86</v>
      </c>
      <c r="L153" s="124" t="s">
        <v>36</v>
      </c>
      <c r="M153" s="119">
        <v>46155</v>
      </c>
      <c r="N153" s="120">
        <v>0.75</v>
      </c>
      <c r="O153" s="125">
        <f t="shared" ca="1" si="4"/>
        <v>2.4</v>
      </c>
      <c r="P153" s="126">
        <f ca="1">ROUND(O153 / 24, 2)</f>
        <v>0.1</v>
      </c>
      <c r="Q153" s="127">
        <f ca="1">IF(ISBLANK(B153), 0, IF(ISBLANK(M153), IF(L153="Closed", 4, ROUND(MAX(0, (NOW() - (B153 + IF(ISBLANK(C153), TIME(9,0,0), C153))) * 24), 1)), ROUND(MAX(0, ((M153 + IF(ISBLANK(N153), TIME(18,0,0), N153)) - (B153 + IF(ISBLANK(C153), TIME(9,0,0), C153))) * 24), 1)))</f>
        <v>2.4</v>
      </c>
      <c r="R153" s="118">
        <f>IF(ISNUMBER(SEARCH("Complete", H153)), 1, 0)</f>
        <v>1</v>
      </c>
      <c r="S153" s="122" t="s">
        <v>135</v>
      </c>
    </row>
    <row r="154" spans="1:19" ht="16">
      <c r="A154" s="128">
        <v>152</v>
      </c>
      <c r="B154" s="129">
        <v>46156</v>
      </c>
      <c r="C154" s="130">
        <v>0.36249999999999999</v>
      </c>
      <c r="D154" s="131" t="s">
        <v>190</v>
      </c>
      <c r="E154" s="132" t="s">
        <v>63</v>
      </c>
      <c r="F154" s="132" t="s">
        <v>137</v>
      </c>
      <c r="G154" s="132" t="s">
        <v>191</v>
      </c>
      <c r="H154" s="133" t="s">
        <v>42</v>
      </c>
      <c r="I154" s="128" t="s">
        <v>131</v>
      </c>
      <c r="J154" s="132" t="s">
        <v>117</v>
      </c>
      <c r="K154" s="132" t="s">
        <v>86</v>
      </c>
      <c r="L154" s="134" t="s">
        <v>36</v>
      </c>
      <c r="M154" s="129">
        <v>46156</v>
      </c>
      <c r="N154" s="130">
        <v>0.75</v>
      </c>
      <c r="O154" s="135">
        <f t="shared" ca="1" si="4"/>
        <v>0</v>
      </c>
      <c r="P154" s="136">
        <f ca="1">ROUND(O154 / 24, 2)</f>
        <v>0</v>
      </c>
      <c r="Q154" s="137">
        <f ca="1">IF(ISBLANK(B154), 0, IF(ISBLANK(M154), IF(L154="Closed", 4, ROUND(MAX(0, (NOW() - (B154 + IF(ISBLANK(C154), TIME(9,0,0), C154))) * 24), 1)), ROUND(MAX(0, ((M154 + IF(ISBLANK(N154), TIME(18,0,0), N154)) - (B154 + IF(ISBLANK(C154), TIME(9,0,0), C154))) * 24), 1)))</f>
        <v>9.3000000000000007</v>
      </c>
      <c r="R154" s="128">
        <f>IF(ISNUMBER(SEARCH("Complete", H154)), 1, 0)</f>
        <v>0</v>
      </c>
      <c r="S154" s="132" t="s">
        <v>135</v>
      </c>
    </row>
    <row r="155" spans="1:19" ht="16">
      <c r="A155" s="118">
        <v>153</v>
      </c>
      <c r="B155" s="119">
        <v>46156</v>
      </c>
      <c r="C155" s="120">
        <v>0.4375</v>
      </c>
      <c r="D155" s="121" t="s">
        <v>221</v>
      </c>
      <c r="E155" s="122" t="s">
        <v>53</v>
      </c>
      <c r="F155" s="122" t="s">
        <v>133</v>
      </c>
      <c r="G155" s="122" t="s">
        <v>223</v>
      </c>
      <c r="H155" s="123" t="s">
        <v>42</v>
      </c>
      <c r="I155" s="118" t="s">
        <v>131</v>
      </c>
      <c r="J155" s="122" t="s">
        <v>117</v>
      </c>
      <c r="K155" s="122" t="s">
        <v>86</v>
      </c>
      <c r="L155" s="124" t="s">
        <v>36</v>
      </c>
      <c r="M155" s="119">
        <v>46156</v>
      </c>
      <c r="N155" s="120">
        <v>0.75</v>
      </c>
      <c r="O155" s="125">
        <f t="shared" ca="1" si="4"/>
        <v>0</v>
      </c>
      <c r="P155" s="126">
        <f ca="1">ROUND(O155 / 24, 2)</f>
        <v>0</v>
      </c>
      <c r="Q155" s="127">
        <f ca="1">IF(ISBLANK(B155), 0, IF(ISBLANK(M155), IF(L155="Closed", 4, ROUND(MAX(0, (NOW() - (B155 + IF(ISBLANK(C155), TIME(9,0,0), C155))) * 24), 1)), ROUND(MAX(0, ((M155 + IF(ISBLANK(N155), TIME(18,0,0), N155)) - (B155 + IF(ISBLANK(C155), TIME(9,0,0), C155))) * 24), 1)))</f>
        <v>7.5</v>
      </c>
      <c r="R155" s="118">
        <f>IF(ISNUMBER(SEARCH("Complete", H155)), 1, 0)</f>
        <v>0</v>
      </c>
      <c r="S155" s="122" t="s">
        <v>135</v>
      </c>
    </row>
    <row r="156" spans="1:19" ht="16">
      <c r="A156" s="128">
        <v>154</v>
      </c>
      <c r="B156" s="129">
        <v>46156</v>
      </c>
      <c r="C156" s="130">
        <v>0.52777777777777779</v>
      </c>
      <c r="D156" s="131" t="s">
        <v>74</v>
      </c>
      <c r="E156" s="132" t="s">
        <v>72</v>
      </c>
      <c r="F156" s="132" t="s">
        <v>137</v>
      </c>
      <c r="G156" s="132" t="s">
        <v>224</v>
      </c>
      <c r="H156" s="133" t="s">
        <v>42</v>
      </c>
      <c r="I156" s="128" t="s">
        <v>131</v>
      </c>
      <c r="J156" s="132" t="s">
        <v>117</v>
      </c>
      <c r="K156" s="132" t="s">
        <v>86</v>
      </c>
      <c r="L156" s="134" t="s">
        <v>36</v>
      </c>
      <c r="M156" s="129">
        <v>46156</v>
      </c>
      <c r="N156" s="130">
        <v>0.75</v>
      </c>
      <c r="O156" s="135">
        <f t="shared" ca="1" si="4"/>
        <v>0</v>
      </c>
      <c r="P156" s="136">
        <f ca="1">ROUND(O156 / 24, 2)</f>
        <v>0</v>
      </c>
      <c r="Q156" s="137">
        <f ca="1">IF(ISBLANK(B156), 0, IF(ISBLANK(M156), IF(L156="Closed", 4, ROUND(MAX(0, (NOW() - (B156 + IF(ISBLANK(C156), TIME(9,0,0), C156))) * 24), 1)), ROUND(MAX(0, ((M156 + IF(ISBLANK(N156), TIME(18,0,0), N156)) - (B156 + IF(ISBLANK(C156), TIME(9,0,0), C156))) * 24), 1)))</f>
        <v>5.3</v>
      </c>
      <c r="R156" s="128">
        <f>IF(ISNUMBER(SEARCH("Complete", H156)), 1, 0)</f>
        <v>0</v>
      </c>
      <c r="S156" s="132" t="s">
        <v>135</v>
      </c>
    </row>
    <row r="157" spans="1:19" ht="16">
      <c r="A157" s="118">
        <v>155</v>
      </c>
      <c r="B157" s="119">
        <v>46156</v>
      </c>
      <c r="C157" s="120">
        <v>0.70833333333333337</v>
      </c>
      <c r="D157" s="121" t="s">
        <v>402</v>
      </c>
      <c r="E157" s="122" t="s">
        <v>53</v>
      </c>
      <c r="F157" s="122" t="s">
        <v>114</v>
      </c>
      <c r="G157" s="122" t="s">
        <v>403</v>
      </c>
      <c r="H157" s="123" t="s">
        <v>40</v>
      </c>
      <c r="I157" s="118" t="s">
        <v>131</v>
      </c>
      <c r="J157" s="122" t="s">
        <v>117</v>
      </c>
      <c r="K157" s="122" t="s">
        <v>86</v>
      </c>
      <c r="L157" s="124" t="s">
        <v>36</v>
      </c>
      <c r="M157" s="119">
        <v>46158</v>
      </c>
      <c r="N157" s="120">
        <v>0.75</v>
      </c>
      <c r="O157" s="125">
        <f t="shared" ca="1" si="4"/>
        <v>49</v>
      </c>
      <c r="P157" s="126">
        <f ca="1">ROUND(O157 / 24, 2)</f>
        <v>2.04</v>
      </c>
      <c r="Q157" s="127">
        <f ca="1">IF(ISBLANK(B157), 0, IF(ISBLANK(M157), IF(L157="Closed", 4, ROUND(MAX(0, (NOW() - (B157 + IF(ISBLANK(C157), TIME(9,0,0), C157))) * 24), 1)), ROUND(MAX(0, ((M157 + IF(ISBLANK(N157), TIME(18,0,0), N157)) - (B157 + IF(ISBLANK(C157), TIME(9,0,0), C157))) * 24), 1)))</f>
        <v>49</v>
      </c>
      <c r="R157" s="118">
        <f>IF(ISNUMBER(SEARCH("Complete", H157)), 1, 0)</f>
        <v>1</v>
      </c>
      <c r="S157" s="122" t="s">
        <v>135</v>
      </c>
    </row>
    <row r="158" spans="1:19" ht="16">
      <c r="A158" s="128">
        <v>156</v>
      </c>
      <c r="B158" s="129">
        <v>46157</v>
      </c>
      <c r="C158" s="130">
        <v>0.3576388888888889</v>
      </c>
      <c r="D158" s="131" t="s">
        <v>136</v>
      </c>
      <c r="E158" s="132" t="s">
        <v>72</v>
      </c>
      <c r="F158" s="132" t="s">
        <v>137</v>
      </c>
      <c r="G158" s="132" t="s">
        <v>404</v>
      </c>
      <c r="H158" s="133" t="s">
        <v>40</v>
      </c>
      <c r="I158" s="128" t="s">
        <v>131</v>
      </c>
      <c r="J158" s="132" t="s">
        <v>142</v>
      </c>
      <c r="K158" s="132" t="s">
        <v>88</v>
      </c>
      <c r="L158" s="134" t="s">
        <v>36</v>
      </c>
      <c r="M158" s="129">
        <v>46158</v>
      </c>
      <c r="N158" s="130">
        <v>0.75</v>
      </c>
      <c r="O158" s="135">
        <f t="shared" ca="1" si="4"/>
        <v>33.4</v>
      </c>
      <c r="P158" s="136">
        <f ca="1">ROUND(O158 / 24, 2)</f>
        <v>1.39</v>
      </c>
      <c r="Q158" s="137">
        <f ca="1">IF(ISBLANK(B158), 0, IF(ISBLANK(M158), IF(L158="Closed", 4, ROUND(MAX(0, (NOW() - (B158 + IF(ISBLANK(C158), TIME(9,0,0), C158))) * 24), 1)), ROUND(MAX(0, ((M158 + IF(ISBLANK(N158), TIME(18,0,0), N158)) - (B158 + IF(ISBLANK(C158), TIME(9,0,0), C158))) * 24), 1)))</f>
        <v>33.4</v>
      </c>
      <c r="R158" s="128">
        <f>IF(ISNUMBER(SEARCH("Complete", H158)), 1, 0)</f>
        <v>1</v>
      </c>
      <c r="S158" s="132" t="s">
        <v>329</v>
      </c>
    </row>
    <row r="159" spans="1:19" ht="16">
      <c r="A159" s="118">
        <v>157</v>
      </c>
      <c r="B159" s="119">
        <v>46157</v>
      </c>
      <c r="C159" s="120">
        <v>0.38194444444444442</v>
      </c>
      <c r="D159" s="121" t="s">
        <v>266</v>
      </c>
      <c r="E159" s="122" t="s">
        <v>69</v>
      </c>
      <c r="F159" s="122" t="s">
        <v>257</v>
      </c>
      <c r="G159" s="122" t="s">
        <v>405</v>
      </c>
      <c r="H159" s="123" t="s">
        <v>40</v>
      </c>
      <c r="I159" s="118" t="s">
        <v>131</v>
      </c>
      <c r="J159" s="122" t="s">
        <v>117</v>
      </c>
      <c r="K159" s="122" t="s">
        <v>86</v>
      </c>
      <c r="L159" s="124" t="s">
        <v>36</v>
      </c>
      <c r="M159" s="119">
        <v>46158</v>
      </c>
      <c r="N159" s="120">
        <v>0.75</v>
      </c>
      <c r="O159" s="125">
        <f t="shared" ca="1" si="4"/>
        <v>32.799999999999997</v>
      </c>
      <c r="P159" s="126">
        <f ca="1">ROUND(O159 / 24, 2)</f>
        <v>1.37</v>
      </c>
      <c r="Q159" s="127">
        <f ca="1">IF(ISBLANK(B159), 0, IF(ISBLANK(M159), IF(L159="Closed", 4, ROUND(MAX(0, (NOW() - (B159 + IF(ISBLANK(C159), TIME(9,0,0), C159))) * 24), 1)), ROUND(MAX(0, ((M159 + IF(ISBLANK(N159), TIME(18,0,0), N159)) - (B159 + IF(ISBLANK(C159), TIME(9,0,0), C159))) * 24), 1)))</f>
        <v>32.799999999999997</v>
      </c>
      <c r="R159" s="118">
        <f>IF(ISNUMBER(SEARCH("Complete", H159)), 1, 0)</f>
        <v>1</v>
      </c>
      <c r="S159" s="122" t="s">
        <v>135</v>
      </c>
    </row>
    <row r="160" spans="1:19" ht="16">
      <c r="A160" s="128">
        <v>158</v>
      </c>
      <c r="B160" s="129">
        <v>46160</v>
      </c>
      <c r="C160" s="130">
        <v>0.52777777777777779</v>
      </c>
      <c r="D160" s="131" t="s">
        <v>55</v>
      </c>
      <c r="E160" s="132" t="s">
        <v>53</v>
      </c>
      <c r="F160" s="132" t="s">
        <v>137</v>
      </c>
      <c r="G160" s="132" t="s">
        <v>406</v>
      </c>
      <c r="H160" s="133" t="s">
        <v>42</v>
      </c>
      <c r="I160" s="128" t="s">
        <v>407</v>
      </c>
      <c r="J160" s="132" t="s">
        <v>117</v>
      </c>
      <c r="K160" s="132" t="s">
        <v>86</v>
      </c>
      <c r="L160" s="134" t="s">
        <v>36</v>
      </c>
      <c r="M160" s="129">
        <v>46161</v>
      </c>
      <c r="N160" s="130">
        <v>0.75</v>
      </c>
      <c r="O160" s="135">
        <f t="shared" ca="1" si="4"/>
        <v>0</v>
      </c>
      <c r="P160" s="136">
        <f ca="1">ROUND(O160 / 24, 2)</f>
        <v>0</v>
      </c>
      <c r="Q160" s="137">
        <f ca="1">IF(ISBLANK(B160), 0, IF(ISBLANK(M160), IF(L160="Closed", 4, ROUND(MAX(0, (NOW() - (B160 + IF(ISBLANK(C160), TIME(9,0,0), C160))) * 24), 1)), ROUND(MAX(0, ((M160 + IF(ISBLANK(N160), TIME(18,0,0), N160)) - (B160 + IF(ISBLANK(C160), TIME(9,0,0), C160))) * 24), 1)))</f>
        <v>29.3</v>
      </c>
      <c r="R160" s="128">
        <f>IF(ISNUMBER(SEARCH("Complete", H160)), 1, 0)</f>
        <v>0</v>
      </c>
      <c r="S160" s="132" t="s">
        <v>135</v>
      </c>
    </row>
    <row r="161" spans="1:19" ht="16">
      <c r="A161" s="118">
        <v>159</v>
      </c>
      <c r="B161" s="119">
        <v>46161</v>
      </c>
      <c r="C161" s="120">
        <v>0.39166666666666672</v>
      </c>
      <c r="D161" s="121" t="s">
        <v>188</v>
      </c>
      <c r="E161" s="122" t="s">
        <v>53</v>
      </c>
      <c r="F161" s="122" t="s">
        <v>133</v>
      </c>
      <c r="G161" s="122" t="s">
        <v>408</v>
      </c>
      <c r="H161" s="123" t="s">
        <v>40</v>
      </c>
      <c r="I161" s="118" t="s">
        <v>131</v>
      </c>
      <c r="J161" s="122" t="s">
        <v>117</v>
      </c>
      <c r="K161" s="122" t="s">
        <v>86</v>
      </c>
      <c r="L161" s="124" t="s">
        <v>36</v>
      </c>
      <c r="M161" s="119">
        <v>46161</v>
      </c>
      <c r="N161" s="120">
        <v>0.75</v>
      </c>
      <c r="O161" s="125">
        <f t="shared" ca="1" si="4"/>
        <v>8.6</v>
      </c>
      <c r="P161" s="126">
        <f ca="1">ROUND(O161 / 24, 2)</f>
        <v>0.36</v>
      </c>
      <c r="Q161" s="127">
        <f ca="1">IF(ISBLANK(B161), 0, IF(ISBLANK(M161), IF(L161="Closed", 4, ROUND(MAX(0, (NOW() - (B161 + IF(ISBLANK(C161), TIME(9,0,0), C161))) * 24), 1)), ROUND(MAX(0, ((M161 + IF(ISBLANK(N161), TIME(18,0,0), N161)) - (B161 + IF(ISBLANK(C161), TIME(9,0,0), C161))) * 24), 1)))</f>
        <v>8.6</v>
      </c>
      <c r="R161" s="118">
        <f>IF(ISNUMBER(SEARCH("Complete", H161)), 1, 0)</f>
        <v>1</v>
      </c>
      <c r="S161" s="122" t="s">
        <v>135</v>
      </c>
    </row>
    <row r="162" spans="1:19" ht="16">
      <c r="A162" s="128">
        <v>160</v>
      </c>
      <c r="B162" s="129">
        <v>46161</v>
      </c>
      <c r="C162" s="130">
        <v>0.56736111111111109</v>
      </c>
      <c r="D162" s="131" t="s">
        <v>188</v>
      </c>
      <c r="E162" s="132" t="s">
        <v>53</v>
      </c>
      <c r="F162" s="132" t="s">
        <v>137</v>
      </c>
      <c r="G162" s="132" t="s">
        <v>409</v>
      </c>
      <c r="H162" s="133" t="s">
        <v>40</v>
      </c>
      <c r="I162" s="128" t="s">
        <v>131</v>
      </c>
      <c r="J162" s="132" t="s">
        <v>117</v>
      </c>
      <c r="K162" s="132" t="s">
        <v>86</v>
      </c>
      <c r="L162" s="134" t="s">
        <v>36</v>
      </c>
      <c r="M162" s="129">
        <v>46161</v>
      </c>
      <c r="N162" s="130">
        <v>0.75</v>
      </c>
      <c r="O162" s="135">
        <f t="shared" ca="1" si="4"/>
        <v>4.4000000000000004</v>
      </c>
      <c r="P162" s="136">
        <f ca="1">ROUND(O162 / 24, 2)</f>
        <v>0.18</v>
      </c>
      <c r="Q162" s="137">
        <f ca="1">IF(ISBLANK(B162), 0, IF(ISBLANK(M162), IF(L162="Closed", 4, ROUND(MAX(0, (NOW() - (B162 + IF(ISBLANK(C162), TIME(9,0,0), C162))) * 24), 1)), ROUND(MAX(0, ((M162 + IF(ISBLANK(N162), TIME(18,0,0), N162)) - (B162 + IF(ISBLANK(C162), TIME(9,0,0), C162))) * 24), 1)))</f>
        <v>4.4000000000000004</v>
      </c>
      <c r="R162" s="128">
        <f>IF(ISNUMBER(SEARCH("Complete", H162)), 1, 0)</f>
        <v>1</v>
      </c>
      <c r="S162" s="132" t="s">
        <v>135</v>
      </c>
    </row>
    <row r="163" spans="1:19" ht="16">
      <c r="A163" s="118">
        <v>161</v>
      </c>
      <c r="B163" s="119">
        <v>46161</v>
      </c>
      <c r="C163" s="120">
        <v>0.75347222222222221</v>
      </c>
      <c r="D163" s="121" t="s">
        <v>410</v>
      </c>
      <c r="E163" s="122" t="s">
        <v>69</v>
      </c>
      <c r="F163" s="122" t="s">
        <v>411</v>
      </c>
      <c r="G163" s="122" t="s">
        <v>412</v>
      </c>
      <c r="H163" s="123" t="s">
        <v>42</v>
      </c>
      <c r="I163" s="118" t="s">
        <v>131</v>
      </c>
      <c r="J163" s="122" t="s">
        <v>142</v>
      </c>
      <c r="K163" s="122" t="s">
        <v>88</v>
      </c>
      <c r="L163" s="124" t="s">
        <v>36</v>
      </c>
      <c r="M163" s="119">
        <v>46162</v>
      </c>
      <c r="N163" s="120">
        <v>0.75</v>
      </c>
      <c r="O163" s="125">
        <f t="shared" ref="O163:O200" ca="1" si="5">IF(ISBLANK(B163), 0, IF(ISNUMBER(SEARCH("Complete", H163)), IF(ISBLANK(M163), IF(L163="Closed", 4, ROUND(MAX(0, (NOW() - (B163 + IF(ISBLANK(C163), TIME(9,0,0), C163))) * 24), 1)), ROUND(MAX(0, ((M163 + IF(ISBLANK(N163), TIME(18,0,0), N163)) - (B163 + IF(ISBLANK(C163), TIME(9,0,0), C163))) * 24), 1)), 0))</f>
        <v>0</v>
      </c>
      <c r="P163" s="126">
        <f ca="1">ROUND(O163 / 24, 2)</f>
        <v>0</v>
      </c>
      <c r="Q163" s="127">
        <f ca="1">IF(ISBLANK(B163), 0, IF(ISBLANK(M163), IF(L163="Closed", 4, ROUND(MAX(0, (NOW() - (B163 + IF(ISBLANK(C163), TIME(9,0,0), C163))) * 24), 1)), ROUND(MAX(0, ((M163 + IF(ISBLANK(N163), TIME(18,0,0), N163)) - (B163 + IF(ISBLANK(C163), TIME(9,0,0), C163))) * 24), 1)))</f>
        <v>23.9</v>
      </c>
      <c r="R163" s="118">
        <f>IF(ISNUMBER(SEARCH("Complete", H163)), 1, 0)</f>
        <v>0</v>
      </c>
      <c r="S163" s="122" t="s">
        <v>329</v>
      </c>
    </row>
    <row r="164" spans="1:19" ht="16">
      <c r="A164" s="128">
        <v>162</v>
      </c>
      <c r="B164" s="129">
        <v>46164</v>
      </c>
      <c r="C164" s="130">
        <v>0.34861111111111109</v>
      </c>
      <c r="D164" s="131" t="s">
        <v>52</v>
      </c>
      <c r="E164" s="132" t="s">
        <v>53</v>
      </c>
      <c r="F164" s="132" t="s">
        <v>114</v>
      </c>
      <c r="G164" s="132" t="s">
        <v>413</v>
      </c>
      <c r="H164" s="133" t="s">
        <v>42</v>
      </c>
      <c r="I164" s="128" t="s">
        <v>131</v>
      </c>
      <c r="J164" s="132" t="s">
        <v>334</v>
      </c>
      <c r="K164" s="132" t="s">
        <v>90</v>
      </c>
      <c r="L164" s="134" t="s">
        <v>36</v>
      </c>
      <c r="M164" s="129">
        <v>46164</v>
      </c>
      <c r="N164" s="130">
        <v>0.75</v>
      </c>
      <c r="O164" s="135">
        <f t="shared" ca="1" si="5"/>
        <v>0</v>
      </c>
      <c r="P164" s="136">
        <f ca="1">ROUND(O164 / 24, 2)</f>
        <v>0</v>
      </c>
      <c r="Q164" s="137">
        <f ca="1">IF(ISBLANK(B164), 0, IF(ISBLANK(M164), IF(L164="Closed", 4, ROUND(MAX(0, (NOW() - (B164 + IF(ISBLANK(C164), TIME(9,0,0), C164))) * 24), 1)), ROUND(MAX(0, ((M164 + IF(ISBLANK(N164), TIME(18,0,0), N164)) - (B164 + IF(ISBLANK(C164), TIME(9,0,0), C164))) * 24), 1)))</f>
        <v>9.6</v>
      </c>
      <c r="R164" s="128">
        <f>IF(ISNUMBER(SEARCH("Complete", H164)), 1, 0)</f>
        <v>0</v>
      </c>
      <c r="S164" s="132" t="s">
        <v>334</v>
      </c>
    </row>
    <row r="165" spans="1:19" ht="16">
      <c r="A165" s="118">
        <v>163</v>
      </c>
      <c r="B165" s="119">
        <v>46167</v>
      </c>
      <c r="C165" s="120">
        <v>0.40972222222222221</v>
      </c>
      <c r="D165" s="121" t="s">
        <v>170</v>
      </c>
      <c r="E165" s="122" t="s">
        <v>69</v>
      </c>
      <c r="F165" s="122" t="s">
        <v>414</v>
      </c>
      <c r="G165" s="122" t="s">
        <v>415</v>
      </c>
      <c r="H165" s="123" t="s">
        <v>42</v>
      </c>
      <c r="I165" s="118" t="s">
        <v>131</v>
      </c>
      <c r="J165" s="122" t="s">
        <v>117</v>
      </c>
      <c r="K165" s="122" t="s">
        <v>86</v>
      </c>
      <c r="L165" s="124" t="s">
        <v>36</v>
      </c>
      <c r="M165" s="119">
        <v>46167</v>
      </c>
      <c r="N165" s="120">
        <v>0.75</v>
      </c>
      <c r="O165" s="125">
        <f t="shared" ca="1" si="5"/>
        <v>0</v>
      </c>
      <c r="P165" s="126">
        <f ca="1">ROUND(O165 / 24, 2)</f>
        <v>0</v>
      </c>
      <c r="Q165" s="127">
        <f ca="1">IF(ISBLANK(B165), 0, IF(ISBLANK(M165), IF(L165="Closed", 4, ROUND(MAX(0, (NOW() - (B165 + IF(ISBLANK(C165), TIME(9,0,0), C165))) * 24), 1)), ROUND(MAX(0, ((M165 + IF(ISBLANK(N165), TIME(18,0,0), N165)) - (B165 + IF(ISBLANK(C165), TIME(9,0,0), C165))) * 24), 1)))</f>
        <v>8.1999999999999993</v>
      </c>
      <c r="R165" s="118">
        <f>IF(ISNUMBER(SEARCH("Complete", H165)), 1, 0)</f>
        <v>0</v>
      </c>
      <c r="S165" s="122" t="s">
        <v>135</v>
      </c>
    </row>
    <row r="166" spans="1:19" ht="16">
      <c r="A166" s="128">
        <v>164</v>
      </c>
      <c r="B166" s="129">
        <v>46167</v>
      </c>
      <c r="C166" s="130">
        <v>0.63194444444444442</v>
      </c>
      <c r="D166" s="131" t="s">
        <v>76</v>
      </c>
      <c r="E166" s="132" t="s">
        <v>72</v>
      </c>
      <c r="F166" s="132" t="s">
        <v>309</v>
      </c>
      <c r="G166" s="132" t="s">
        <v>416</v>
      </c>
      <c r="H166" s="133" t="s">
        <v>42</v>
      </c>
      <c r="I166" s="128" t="s">
        <v>131</v>
      </c>
      <c r="J166" s="132" t="s">
        <v>235</v>
      </c>
      <c r="K166" s="132" t="s">
        <v>86</v>
      </c>
      <c r="L166" s="134" t="s">
        <v>37</v>
      </c>
      <c r="M166" s="129"/>
      <c r="N166" s="130"/>
      <c r="O166" s="135">
        <f t="shared" ca="1" si="5"/>
        <v>0</v>
      </c>
      <c r="P166" s="136">
        <f ca="1">ROUND(O166 / 24, 2)</f>
        <v>0</v>
      </c>
      <c r="Q166" s="137">
        <f ca="1">IF(ISBLANK(B166), 0, IF(ISBLANK(M166), IF(L166="Closed", 4, ROUND(MAX(0, (NOW() - (B166 + IF(ISBLANK(C166), TIME(9,0,0), C166))) * 24), 1)), ROUND(MAX(0, ((M166 + IF(ISBLANK(N166), TIME(18,0,0), N166)) - (B166 + IF(ISBLANK(C166), TIME(9,0,0), C166))) * 24), 1)))</f>
        <v>2066.8000000000002</v>
      </c>
      <c r="R166" s="128">
        <f>IF(ISNUMBER(SEARCH("Complete", H166)), 1, 0)</f>
        <v>0</v>
      </c>
      <c r="S166" s="132" t="s">
        <v>118</v>
      </c>
    </row>
    <row r="167" spans="1:19" ht="16">
      <c r="A167" s="118">
        <v>165</v>
      </c>
      <c r="B167" s="119">
        <v>46167</v>
      </c>
      <c r="C167" s="120">
        <v>0.68055555555555558</v>
      </c>
      <c r="D167" s="121" t="s">
        <v>281</v>
      </c>
      <c r="E167" s="122" t="s">
        <v>72</v>
      </c>
      <c r="F167" s="122" t="s">
        <v>137</v>
      </c>
      <c r="G167" s="122" t="s">
        <v>417</v>
      </c>
      <c r="H167" s="123" t="s">
        <v>40</v>
      </c>
      <c r="I167" s="118" t="s">
        <v>131</v>
      </c>
      <c r="J167" s="122" t="s">
        <v>142</v>
      </c>
      <c r="K167" s="122" t="s">
        <v>88</v>
      </c>
      <c r="L167" s="124" t="s">
        <v>36</v>
      </c>
      <c r="M167" s="119">
        <v>46169</v>
      </c>
      <c r="N167" s="120">
        <v>0.75</v>
      </c>
      <c r="O167" s="125">
        <f t="shared" ca="1" si="5"/>
        <v>49.7</v>
      </c>
      <c r="P167" s="126">
        <f ca="1">ROUND(O167 / 24, 2)</f>
        <v>2.0699999999999998</v>
      </c>
      <c r="Q167" s="127">
        <f ca="1">IF(ISBLANK(B167), 0, IF(ISBLANK(M167), IF(L167="Closed", 4, ROUND(MAX(0, (NOW() - (B167 + IF(ISBLANK(C167), TIME(9,0,0), C167))) * 24), 1)), ROUND(MAX(0, ((M167 + IF(ISBLANK(N167), TIME(18,0,0), N167)) - (B167 + IF(ISBLANK(C167), TIME(9,0,0), C167))) * 24), 1)))</f>
        <v>49.7</v>
      </c>
      <c r="R167" s="118">
        <f>IF(ISNUMBER(SEARCH("Complete", H167)), 1, 0)</f>
        <v>1</v>
      </c>
      <c r="S167" s="122" t="s">
        <v>329</v>
      </c>
    </row>
    <row r="168" spans="1:19" ht="16">
      <c r="A168" s="128">
        <v>166</v>
      </c>
      <c r="B168" s="129">
        <v>46171</v>
      </c>
      <c r="C168" s="130">
        <v>0.375</v>
      </c>
      <c r="D168" s="131" t="s">
        <v>52</v>
      </c>
      <c r="E168" s="132" t="s">
        <v>53</v>
      </c>
      <c r="F168" s="132" t="s">
        <v>418</v>
      </c>
      <c r="G168" s="132" t="s">
        <v>419</v>
      </c>
      <c r="H168" s="133" t="s">
        <v>42</v>
      </c>
      <c r="I168" s="128" t="s">
        <v>420</v>
      </c>
      <c r="J168" s="132" t="s">
        <v>117</v>
      </c>
      <c r="K168" s="132" t="s">
        <v>86</v>
      </c>
      <c r="L168" s="134" t="s">
        <v>36</v>
      </c>
      <c r="M168" s="129">
        <v>46171</v>
      </c>
      <c r="N168" s="130">
        <v>0.75</v>
      </c>
      <c r="O168" s="135">
        <f t="shared" ca="1" si="5"/>
        <v>0</v>
      </c>
      <c r="P168" s="136">
        <f ca="1">ROUND(O168 / 24, 2)</f>
        <v>0</v>
      </c>
      <c r="Q168" s="137">
        <f ca="1">IF(ISBLANK(B168), 0, IF(ISBLANK(M168), IF(L168="Closed", 4, ROUND(MAX(0, (NOW() - (B168 + IF(ISBLANK(C168), TIME(9,0,0), C168))) * 24), 1)), ROUND(MAX(0, ((M168 + IF(ISBLANK(N168), TIME(18,0,0), N168)) - (B168 + IF(ISBLANK(C168), TIME(9,0,0), C168))) * 24), 1)))</f>
        <v>9</v>
      </c>
      <c r="R168" s="128">
        <f>IF(ISNUMBER(SEARCH("Complete", H168)), 1, 0)</f>
        <v>0</v>
      </c>
      <c r="S168" s="132" t="s">
        <v>118</v>
      </c>
    </row>
    <row r="169" spans="1:19" ht="16">
      <c r="A169" s="118" t="str">
        <f t="shared" ref="A169:A177" si="6">IF(ISBLANK(B169), "", A168+1)</f>
        <v/>
      </c>
      <c r="B169" s="138"/>
      <c r="C169" s="139"/>
      <c r="D169" s="140"/>
      <c r="E169" s="140"/>
      <c r="F169" s="140"/>
      <c r="G169" s="140"/>
      <c r="H169" s="140"/>
      <c r="I169" s="141"/>
      <c r="J169" s="140"/>
      <c r="K169" s="140"/>
      <c r="L169" s="141"/>
      <c r="M169" s="138"/>
      <c r="N169" s="139"/>
      <c r="O169" s="142">
        <f t="shared" ca="1" si="5"/>
        <v>0</v>
      </c>
      <c r="P169" s="143">
        <f ca="1">ROUND(O169 / 24, 2)</f>
        <v>0</v>
      </c>
      <c r="Q169" s="144">
        <f ca="1">IF(ISBLANK(B169), 0, IF(ISBLANK(M169), IF(L169="Closed", 4, ROUND(MAX(0, (NOW() - (B169 + IF(ISBLANK(C169), TIME(9,0,0), C169))) * 24), 1)), ROUND(MAX(0, ((M169 + IF(ISBLANK(N169), TIME(18,0,0), N169)) - (B169 + IF(ISBLANK(C169), TIME(9,0,0), C169))) * 24), 1)))</f>
        <v>0</v>
      </c>
      <c r="R169" s="141">
        <f>IF(ISNUMBER(SEARCH("Complete", H169)), 1, 0)</f>
        <v>0</v>
      </c>
      <c r="S169" s="140"/>
    </row>
    <row r="170" spans="1:19" ht="16">
      <c r="A170" s="118" t="str">
        <f t="shared" si="6"/>
        <v/>
      </c>
      <c r="B170" s="138"/>
      <c r="C170" s="139"/>
      <c r="D170" s="140"/>
      <c r="E170" s="140"/>
      <c r="F170" s="140"/>
      <c r="G170" s="140"/>
      <c r="H170" s="140"/>
      <c r="I170" s="141"/>
      <c r="J170" s="140"/>
      <c r="K170" s="140"/>
      <c r="L170" s="141"/>
      <c r="M170" s="138"/>
      <c r="N170" s="139"/>
      <c r="O170" s="142">
        <f t="shared" ca="1" si="5"/>
        <v>0</v>
      </c>
      <c r="P170" s="143">
        <f ca="1">ROUND(O170 / 24, 2)</f>
        <v>0</v>
      </c>
      <c r="Q170" s="144">
        <f ca="1">IF(ISBLANK(B170), 0, IF(ISBLANK(M170), IF(L170="Closed", 4, ROUND(MAX(0, (NOW() - (B170 + IF(ISBLANK(C170), TIME(9,0,0), C170))) * 24), 1)), ROUND(MAX(0, ((M170 + IF(ISBLANK(N170), TIME(18,0,0), N170)) - (B170 + IF(ISBLANK(C170), TIME(9,0,0), C170))) * 24), 1)))</f>
        <v>0</v>
      </c>
      <c r="R170" s="141">
        <f>IF(ISNUMBER(SEARCH("Complete", H170)), 1, 0)</f>
        <v>0</v>
      </c>
      <c r="S170" s="140"/>
    </row>
    <row r="171" spans="1:19" ht="16">
      <c r="A171" s="118" t="str">
        <f t="shared" si="6"/>
        <v/>
      </c>
      <c r="B171" s="138"/>
      <c r="C171" s="139"/>
      <c r="D171" s="140"/>
      <c r="E171" s="140"/>
      <c r="F171" s="140"/>
      <c r="G171" s="140"/>
      <c r="H171" s="140"/>
      <c r="I171" s="141"/>
      <c r="J171" s="140"/>
      <c r="K171" s="140"/>
      <c r="L171" s="141"/>
      <c r="M171" s="138"/>
      <c r="N171" s="139"/>
      <c r="O171" s="142">
        <f t="shared" ca="1" si="5"/>
        <v>0</v>
      </c>
      <c r="P171" s="143">
        <f ca="1">ROUND(O171 / 24, 2)</f>
        <v>0</v>
      </c>
      <c r="Q171" s="144">
        <f ca="1">IF(ISBLANK(B171), 0, IF(ISBLANK(M171), IF(L171="Closed", 4, ROUND(MAX(0, (NOW() - (B171 + IF(ISBLANK(C171), TIME(9,0,0), C171))) * 24), 1)), ROUND(MAX(0, ((M171 + IF(ISBLANK(N171), TIME(18,0,0), N171)) - (B171 + IF(ISBLANK(C171), TIME(9,0,0), C171))) * 24), 1)))</f>
        <v>0</v>
      </c>
      <c r="R171" s="141">
        <f>IF(ISNUMBER(SEARCH("Complete", H171)), 1, 0)</f>
        <v>0</v>
      </c>
      <c r="S171" s="140"/>
    </row>
    <row r="172" spans="1:19" ht="16">
      <c r="A172" s="118" t="str">
        <f t="shared" si="6"/>
        <v/>
      </c>
      <c r="B172" s="138"/>
      <c r="C172" s="139"/>
      <c r="D172" s="140"/>
      <c r="E172" s="140"/>
      <c r="F172" s="140"/>
      <c r="G172" s="140"/>
      <c r="H172" s="140"/>
      <c r="I172" s="141"/>
      <c r="J172" s="140"/>
      <c r="K172" s="140"/>
      <c r="L172" s="141"/>
      <c r="M172" s="138"/>
      <c r="N172" s="139"/>
      <c r="O172" s="142">
        <f t="shared" ca="1" si="5"/>
        <v>0</v>
      </c>
      <c r="P172" s="143">
        <f ca="1">ROUND(O172 / 24, 2)</f>
        <v>0</v>
      </c>
      <c r="Q172" s="144">
        <f ca="1">IF(ISBLANK(B172), 0, IF(ISBLANK(M172), IF(L172="Closed", 4, ROUND(MAX(0, (NOW() - (B172 + IF(ISBLANK(C172), TIME(9,0,0), C172))) * 24), 1)), ROUND(MAX(0, ((M172 + IF(ISBLANK(N172), TIME(18,0,0), N172)) - (B172 + IF(ISBLANK(C172), TIME(9,0,0), C172))) * 24), 1)))</f>
        <v>0</v>
      </c>
      <c r="R172" s="141">
        <f>IF(ISNUMBER(SEARCH("Complete", H172)), 1, 0)</f>
        <v>0</v>
      </c>
      <c r="S172" s="140"/>
    </row>
    <row r="173" spans="1:19" ht="16">
      <c r="A173" s="118" t="str">
        <f t="shared" si="6"/>
        <v/>
      </c>
      <c r="B173" s="138"/>
      <c r="C173" s="139"/>
      <c r="D173" s="140"/>
      <c r="E173" s="140"/>
      <c r="F173" s="140"/>
      <c r="G173" s="140"/>
      <c r="H173" s="140"/>
      <c r="I173" s="141"/>
      <c r="J173" s="140"/>
      <c r="K173" s="140"/>
      <c r="L173" s="141"/>
      <c r="M173" s="138"/>
      <c r="N173" s="139"/>
      <c r="O173" s="142">
        <f t="shared" ca="1" si="5"/>
        <v>0</v>
      </c>
      <c r="P173" s="143">
        <f ca="1">ROUND(O173 / 24, 2)</f>
        <v>0</v>
      </c>
      <c r="Q173" s="144">
        <f ca="1">IF(ISBLANK(B173), 0, IF(ISBLANK(M173), IF(L173="Closed", 4, ROUND(MAX(0, (NOW() - (B173 + IF(ISBLANK(C173), TIME(9,0,0), C173))) * 24), 1)), ROUND(MAX(0, ((M173 + IF(ISBLANK(N173), TIME(18,0,0), N173)) - (B173 + IF(ISBLANK(C173), TIME(9,0,0), C173))) * 24), 1)))</f>
        <v>0</v>
      </c>
      <c r="R173" s="141">
        <f>IF(ISNUMBER(SEARCH("Complete", H173)), 1, 0)</f>
        <v>0</v>
      </c>
      <c r="S173" s="140"/>
    </row>
    <row r="174" spans="1:19" ht="16">
      <c r="A174" s="118" t="str">
        <f t="shared" si="6"/>
        <v/>
      </c>
      <c r="B174" s="138"/>
      <c r="C174" s="139"/>
      <c r="D174" s="140"/>
      <c r="E174" s="140"/>
      <c r="F174" s="140"/>
      <c r="G174" s="140"/>
      <c r="H174" s="140"/>
      <c r="I174" s="141"/>
      <c r="J174" s="140"/>
      <c r="K174" s="140"/>
      <c r="L174" s="141"/>
      <c r="M174" s="138"/>
      <c r="N174" s="139"/>
      <c r="O174" s="142">
        <f t="shared" ca="1" si="5"/>
        <v>0</v>
      </c>
      <c r="P174" s="143">
        <f ca="1">ROUND(O174 / 24, 2)</f>
        <v>0</v>
      </c>
      <c r="Q174" s="144">
        <f ca="1">IF(ISBLANK(B174), 0, IF(ISBLANK(M174), IF(L174="Closed", 4, ROUND(MAX(0, (NOW() - (B174 + IF(ISBLANK(C174), TIME(9,0,0), C174))) * 24), 1)), ROUND(MAX(0, ((M174 + IF(ISBLANK(N174), TIME(18,0,0), N174)) - (B174 + IF(ISBLANK(C174), TIME(9,0,0), C174))) * 24), 1)))</f>
        <v>0</v>
      </c>
      <c r="R174" s="141">
        <f>IF(ISNUMBER(SEARCH("Complete", H174)), 1, 0)</f>
        <v>0</v>
      </c>
      <c r="S174" s="140"/>
    </row>
    <row r="175" spans="1:19" ht="16">
      <c r="A175" s="118" t="str">
        <f t="shared" si="6"/>
        <v/>
      </c>
      <c r="B175" s="138"/>
      <c r="C175" s="139"/>
      <c r="D175" s="140"/>
      <c r="E175" s="140"/>
      <c r="F175" s="140"/>
      <c r="G175" s="140"/>
      <c r="H175" s="140"/>
      <c r="I175" s="141"/>
      <c r="J175" s="140"/>
      <c r="K175" s="140"/>
      <c r="L175" s="141"/>
      <c r="M175" s="138"/>
      <c r="N175" s="139"/>
      <c r="O175" s="142">
        <f t="shared" ca="1" si="5"/>
        <v>0</v>
      </c>
      <c r="P175" s="143">
        <f ca="1">ROUND(O175 / 24, 2)</f>
        <v>0</v>
      </c>
      <c r="Q175" s="144">
        <f ca="1">IF(ISBLANK(B175), 0, IF(ISBLANK(M175), IF(L175="Closed", 4, ROUND(MAX(0, (NOW() - (B175 + IF(ISBLANK(C175), TIME(9,0,0), C175))) * 24), 1)), ROUND(MAX(0, ((M175 + IF(ISBLANK(N175), TIME(18,0,0), N175)) - (B175 + IF(ISBLANK(C175), TIME(9,0,0), C175))) * 24), 1)))</f>
        <v>0</v>
      </c>
      <c r="R175" s="141">
        <f>IF(ISNUMBER(SEARCH("Complete", H175)), 1, 0)</f>
        <v>0</v>
      </c>
      <c r="S175" s="140"/>
    </row>
    <row r="176" spans="1:19" ht="16">
      <c r="A176" s="118" t="str">
        <f t="shared" si="6"/>
        <v/>
      </c>
      <c r="B176" s="138"/>
      <c r="C176" s="139"/>
      <c r="D176" s="140"/>
      <c r="E176" s="140"/>
      <c r="F176" s="140"/>
      <c r="G176" s="140"/>
      <c r="H176" s="140"/>
      <c r="I176" s="141"/>
      <c r="J176" s="140"/>
      <c r="K176" s="140"/>
      <c r="L176" s="141"/>
      <c r="M176" s="138"/>
      <c r="N176" s="139"/>
      <c r="O176" s="142">
        <f t="shared" ca="1" si="5"/>
        <v>0</v>
      </c>
      <c r="P176" s="143">
        <f ca="1">ROUND(O176 / 24, 2)</f>
        <v>0</v>
      </c>
      <c r="Q176" s="144">
        <f ca="1">IF(ISBLANK(B176), 0, IF(ISBLANK(M176), IF(L176="Closed", 4, ROUND(MAX(0, (NOW() - (B176 + IF(ISBLANK(C176), TIME(9,0,0), C176))) * 24), 1)), ROUND(MAX(0, ((M176 + IF(ISBLANK(N176), TIME(18,0,0), N176)) - (B176 + IF(ISBLANK(C176), TIME(9,0,0), C176))) * 24), 1)))</f>
        <v>0</v>
      </c>
      <c r="R176" s="141">
        <f>IF(ISNUMBER(SEARCH("Complete", H176)), 1, 0)</f>
        <v>0</v>
      </c>
      <c r="S176" s="140"/>
    </row>
    <row r="177" spans="1:19" ht="16">
      <c r="A177" s="118" t="str">
        <f t="shared" si="6"/>
        <v/>
      </c>
      <c r="B177" s="138"/>
      <c r="C177" s="139"/>
      <c r="D177" s="140"/>
      <c r="E177" s="140"/>
      <c r="F177" s="140"/>
      <c r="G177" s="140"/>
      <c r="H177" s="140"/>
      <c r="I177" s="141"/>
      <c r="J177" s="140"/>
      <c r="K177" s="140"/>
      <c r="L177" s="141"/>
      <c r="M177" s="138"/>
      <c r="N177" s="139"/>
      <c r="O177" s="142">
        <f t="shared" ca="1" si="5"/>
        <v>0</v>
      </c>
      <c r="P177" s="143">
        <f ca="1">ROUND(O177 / 24, 2)</f>
        <v>0</v>
      </c>
      <c r="Q177" s="144">
        <f ca="1">IF(ISBLANK(B177), 0, IF(ISBLANK(M177), IF(L177="Closed", 4, ROUND(MAX(0, (NOW() - (B177 + IF(ISBLANK(C177), TIME(9,0,0), C177))) * 24), 1)), ROUND(MAX(0, ((M177 + IF(ISBLANK(N177), TIME(18,0,0), N177)) - (B177 + IF(ISBLANK(C177), TIME(9,0,0), C177))) * 24), 1)))</f>
        <v>0</v>
      </c>
      <c r="R177" s="141">
        <f>IF(ISNUMBER(SEARCH("Complete", H177)), 1, 0)</f>
        <v>0</v>
      </c>
      <c r="S177" s="140"/>
    </row>
    <row r="178" spans="1:19" ht="16">
      <c r="A178" s="118"/>
      <c r="B178" s="138"/>
      <c r="C178" s="139"/>
      <c r="D178" s="140"/>
      <c r="E178" s="140"/>
      <c r="F178" s="140"/>
      <c r="G178" s="140"/>
      <c r="H178" s="140"/>
      <c r="I178" s="141"/>
      <c r="J178" s="140"/>
      <c r="K178" s="140"/>
      <c r="L178" s="141"/>
      <c r="M178" s="138"/>
      <c r="N178" s="139"/>
      <c r="O178" s="142"/>
      <c r="P178" s="143"/>
      <c r="Q178" s="144"/>
      <c r="R178" s="141"/>
      <c r="S178" s="140"/>
    </row>
    <row r="179" spans="1:19" ht="16">
      <c r="A179" s="118"/>
      <c r="B179" s="138"/>
      <c r="C179" s="139"/>
      <c r="D179" s="140"/>
      <c r="E179" s="140"/>
      <c r="F179" s="140"/>
      <c r="G179" s="140"/>
      <c r="H179" s="140"/>
      <c r="I179" s="141"/>
      <c r="J179" s="140"/>
      <c r="K179" s="140"/>
      <c r="L179" s="141"/>
      <c r="M179" s="138"/>
      <c r="N179" s="139"/>
      <c r="O179" s="142"/>
      <c r="P179" s="143"/>
      <c r="Q179" s="144"/>
      <c r="R179" s="141"/>
      <c r="S179" s="140"/>
    </row>
    <row r="180" spans="1:19" ht="16">
      <c r="A180" s="118"/>
      <c r="B180" s="138"/>
      <c r="C180" s="139"/>
      <c r="D180" s="140"/>
      <c r="E180" s="140"/>
      <c r="F180" s="140"/>
      <c r="G180" s="140"/>
      <c r="H180" s="140"/>
      <c r="I180" s="141"/>
      <c r="J180" s="140"/>
      <c r="K180" s="140"/>
      <c r="L180" s="141"/>
      <c r="M180" s="138"/>
      <c r="N180" s="139"/>
      <c r="O180" s="142"/>
      <c r="P180" s="143"/>
      <c r="Q180" s="144"/>
      <c r="R180" s="141"/>
      <c r="S180" s="140"/>
    </row>
    <row r="181" spans="1:19" ht="16">
      <c r="A181" s="118"/>
      <c r="B181" s="138"/>
      <c r="C181" s="139"/>
      <c r="D181" s="140"/>
      <c r="E181" s="140"/>
      <c r="F181" s="140"/>
      <c r="G181" s="140"/>
      <c r="H181" s="140"/>
      <c r="I181" s="141"/>
      <c r="J181" s="140"/>
      <c r="K181" s="140"/>
      <c r="L181" s="141"/>
      <c r="M181" s="138"/>
      <c r="N181" s="139"/>
      <c r="O181" s="142"/>
      <c r="P181" s="143"/>
      <c r="Q181" s="144"/>
      <c r="R181" s="141"/>
      <c r="S181" s="140"/>
    </row>
    <row r="182" spans="1:19" ht="16">
      <c r="A182" s="118"/>
      <c r="B182" s="138"/>
      <c r="C182" s="139"/>
      <c r="D182" s="140"/>
      <c r="E182" s="140"/>
      <c r="F182" s="140"/>
      <c r="G182" s="140"/>
      <c r="H182" s="140"/>
      <c r="I182" s="141"/>
      <c r="J182" s="140"/>
      <c r="K182" s="140"/>
      <c r="L182" s="141"/>
      <c r="M182" s="138"/>
      <c r="N182" s="139"/>
      <c r="O182" s="142"/>
      <c r="P182" s="143"/>
      <c r="Q182" s="144"/>
      <c r="R182" s="141"/>
      <c r="S182" s="140"/>
    </row>
    <row r="183" spans="1:19" ht="16">
      <c r="A183" s="118"/>
      <c r="B183" s="138"/>
      <c r="C183" s="139"/>
      <c r="D183" s="140"/>
      <c r="E183" s="140"/>
      <c r="F183" s="140"/>
      <c r="G183" s="140"/>
      <c r="H183" s="140"/>
      <c r="I183" s="141"/>
      <c r="J183" s="140"/>
      <c r="K183" s="140"/>
      <c r="L183" s="141"/>
      <c r="M183" s="138"/>
      <c r="N183" s="139"/>
      <c r="O183" s="142"/>
      <c r="P183" s="143"/>
      <c r="Q183" s="144"/>
      <c r="R183" s="141"/>
      <c r="S183" s="140"/>
    </row>
    <row r="184" spans="1:19" ht="16">
      <c r="A184" s="118"/>
      <c r="B184" s="138"/>
      <c r="C184" s="139"/>
      <c r="D184" s="140"/>
      <c r="E184" s="140"/>
      <c r="F184" s="140"/>
      <c r="G184" s="140"/>
      <c r="H184" s="140"/>
      <c r="I184" s="141"/>
      <c r="J184" s="140"/>
      <c r="K184" s="140"/>
      <c r="L184" s="141"/>
      <c r="M184" s="138"/>
      <c r="N184" s="139"/>
      <c r="O184" s="142"/>
      <c r="P184" s="143"/>
      <c r="Q184" s="144"/>
      <c r="R184" s="141"/>
      <c r="S184" s="140"/>
    </row>
    <row r="185" spans="1:19" ht="16">
      <c r="A185" s="118"/>
      <c r="B185" s="138"/>
      <c r="C185" s="139"/>
      <c r="D185" s="140"/>
      <c r="E185" s="140"/>
      <c r="F185" s="140"/>
      <c r="G185" s="140"/>
      <c r="H185" s="140"/>
      <c r="I185" s="141"/>
      <c r="J185" s="140"/>
      <c r="K185" s="140"/>
      <c r="L185" s="141"/>
      <c r="M185" s="138"/>
      <c r="N185" s="139"/>
      <c r="O185" s="142"/>
      <c r="P185" s="143"/>
      <c r="Q185" s="144"/>
      <c r="R185" s="141"/>
      <c r="S185" s="140"/>
    </row>
    <row r="186" spans="1:19" ht="16">
      <c r="A186" s="118"/>
      <c r="B186" s="138"/>
      <c r="C186" s="139"/>
      <c r="D186" s="140"/>
      <c r="E186" s="140"/>
      <c r="F186" s="140"/>
      <c r="G186" s="140"/>
      <c r="H186" s="140"/>
      <c r="I186" s="141"/>
      <c r="J186" s="140"/>
      <c r="K186" s="140"/>
      <c r="L186" s="141"/>
      <c r="M186" s="138"/>
      <c r="N186" s="139"/>
      <c r="O186" s="142"/>
      <c r="P186" s="143"/>
      <c r="Q186" s="144"/>
      <c r="R186" s="141"/>
      <c r="S186" s="140"/>
    </row>
    <row r="187" spans="1:19" ht="16">
      <c r="A187" s="118"/>
      <c r="B187" s="138"/>
      <c r="C187" s="139"/>
      <c r="D187" s="140"/>
      <c r="E187" s="140"/>
      <c r="F187" s="140"/>
      <c r="G187" s="140"/>
      <c r="H187" s="140"/>
      <c r="I187" s="141"/>
      <c r="J187" s="140"/>
      <c r="K187" s="140"/>
      <c r="L187" s="141"/>
      <c r="M187" s="138"/>
      <c r="N187" s="139"/>
      <c r="O187" s="142"/>
      <c r="P187" s="143"/>
      <c r="Q187" s="144"/>
      <c r="R187" s="141"/>
      <c r="S187" s="140"/>
    </row>
    <row r="188" spans="1:19" ht="16">
      <c r="A188" s="118"/>
      <c r="B188" s="138"/>
      <c r="C188" s="139"/>
      <c r="D188" s="140"/>
      <c r="E188" s="140"/>
      <c r="F188" s="140"/>
      <c r="G188" s="140"/>
      <c r="H188" s="140"/>
      <c r="I188" s="141"/>
      <c r="J188" s="140"/>
      <c r="K188" s="140"/>
      <c r="L188" s="141"/>
      <c r="M188" s="138"/>
      <c r="N188" s="139"/>
      <c r="O188" s="142"/>
      <c r="P188" s="143"/>
      <c r="Q188" s="144"/>
      <c r="R188" s="141"/>
      <c r="S188" s="140"/>
    </row>
    <row r="189" spans="1:19" ht="16">
      <c r="A189" s="118"/>
      <c r="B189" s="138"/>
      <c r="C189" s="139"/>
      <c r="D189" s="140"/>
      <c r="E189" s="140"/>
      <c r="F189" s="140"/>
      <c r="G189" s="140"/>
      <c r="H189" s="140"/>
      <c r="I189" s="141"/>
      <c r="J189" s="140"/>
      <c r="K189" s="140"/>
      <c r="L189" s="141"/>
      <c r="M189" s="138"/>
      <c r="N189" s="139"/>
      <c r="O189" s="142"/>
      <c r="P189" s="143"/>
      <c r="Q189" s="144"/>
      <c r="R189" s="141"/>
      <c r="S189" s="140"/>
    </row>
    <row r="190" spans="1:19" ht="16">
      <c r="A190" s="118"/>
      <c r="B190" s="138"/>
      <c r="C190" s="139"/>
      <c r="D190" s="140"/>
      <c r="E190" s="140"/>
      <c r="F190" s="140"/>
      <c r="G190" s="140"/>
      <c r="H190" s="140"/>
      <c r="I190" s="141"/>
      <c r="J190" s="140"/>
      <c r="K190" s="140"/>
      <c r="L190" s="141"/>
      <c r="M190" s="138"/>
      <c r="N190" s="139"/>
      <c r="O190" s="142"/>
      <c r="P190" s="143"/>
      <c r="Q190" s="144"/>
      <c r="R190" s="141"/>
      <c r="S190" s="140"/>
    </row>
    <row r="191" spans="1:19" ht="16">
      <c r="A191" s="118"/>
      <c r="B191" s="138"/>
      <c r="C191" s="139"/>
      <c r="D191" s="140"/>
      <c r="E191" s="140"/>
      <c r="F191" s="140"/>
      <c r="G191" s="140"/>
      <c r="H191" s="140"/>
      <c r="I191" s="141"/>
      <c r="J191" s="140"/>
      <c r="K191" s="140"/>
      <c r="L191" s="141"/>
      <c r="M191" s="138"/>
      <c r="N191" s="139"/>
      <c r="O191" s="142"/>
      <c r="P191" s="143"/>
      <c r="Q191" s="144"/>
      <c r="R191" s="141"/>
      <c r="S191" s="140"/>
    </row>
    <row r="192" spans="1:19" ht="16">
      <c r="A192" s="118"/>
      <c r="B192" s="138"/>
      <c r="C192" s="139"/>
      <c r="D192" s="140"/>
      <c r="E192" s="140"/>
      <c r="F192" s="140"/>
      <c r="G192" s="140"/>
      <c r="H192" s="140"/>
      <c r="I192" s="141"/>
      <c r="J192" s="140"/>
      <c r="K192" s="140"/>
      <c r="L192" s="141"/>
      <c r="M192" s="138"/>
      <c r="N192" s="139"/>
      <c r="O192" s="142"/>
      <c r="P192" s="143"/>
      <c r="Q192" s="144"/>
      <c r="R192" s="141"/>
      <c r="S192" s="140"/>
    </row>
    <row r="193" spans="1:19" ht="16">
      <c r="A193" s="118"/>
      <c r="B193" s="138"/>
      <c r="C193" s="139"/>
      <c r="D193" s="140"/>
      <c r="E193" s="140"/>
      <c r="F193" s="140"/>
      <c r="G193" s="140"/>
      <c r="H193" s="140"/>
      <c r="I193" s="141"/>
      <c r="J193" s="140"/>
      <c r="K193" s="140"/>
      <c r="L193" s="141"/>
      <c r="M193" s="138"/>
      <c r="N193" s="139"/>
      <c r="O193" s="142"/>
      <c r="P193" s="143"/>
      <c r="Q193" s="144"/>
      <c r="R193" s="141"/>
      <c r="S193" s="140"/>
    </row>
    <row r="194" spans="1:19" ht="16">
      <c r="A194" s="118"/>
      <c r="B194" s="138"/>
      <c r="C194" s="139"/>
      <c r="D194" s="140"/>
      <c r="E194" s="140"/>
      <c r="F194" s="140"/>
      <c r="G194" s="140"/>
      <c r="H194" s="140"/>
      <c r="I194" s="141"/>
      <c r="J194" s="140"/>
      <c r="K194" s="140"/>
      <c r="L194" s="141"/>
      <c r="M194" s="138"/>
      <c r="N194" s="139"/>
      <c r="O194" s="142"/>
      <c r="P194" s="143"/>
      <c r="Q194" s="144"/>
      <c r="R194" s="141"/>
      <c r="S194" s="140"/>
    </row>
    <row r="195" spans="1:19" ht="16">
      <c r="A195" s="118"/>
      <c r="B195" s="138"/>
      <c r="C195" s="139"/>
      <c r="D195" s="140"/>
      <c r="E195" s="140"/>
      <c r="F195" s="140"/>
      <c r="G195" s="140"/>
      <c r="H195" s="140"/>
      <c r="I195" s="141"/>
      <c r="J195" s="140"/>
      <c r="K195" s="140"/>
      <c r="L195" s="141"/>
      <c r="M195" s="138"/>
      <c r="N195" s="139"/>
      <c r="O195" s="142"/>
      <c r="P195" s="143"/>
      <c r="Q195" s="144"/>
      <c r="R195" s="141"/>
      <c r="S195" s="140"/>
    </row>
    <row r="196" spans="1:19" ht="16">
      <c r="A196" s="118"/>
      <c r="B196" s="138"/>
      <c r="C196" s="139"/>
      <c r="D196" s="140"/>
      <c r="E196" s="140"/>
      <c r="F196" s="140"/>
      <c r="G196" s="140"/>
      <c r="H196" s="140"/>
      <c r="I196" s="141"/>
      <c r="J196" s="140"/>
      <c r="K196" s="140"/>
      <c r="L196" s="141"/>
      <c r="M196" s="138"/>
      <c r="N196" s="139"/>
      <c r="O196" s="142"/>
      <c r="P196" s="143"/>
      <c r="Q196" s="144"/>
      <c r="R196" s="141"/>
      <c r="S196" s="140"/>
    </row>
    <row r="197" spans="1:19" ht="16">
      <c r="A197" s="118"/>
      <c r="B197" s="138"/>
      <c r="C197" s="139"/>
      <c r="D197" s="140"/>
      <c r="E197" s="140"/>
      <c r="F197" s="140"/>
      <c r="G197" s="140"/>
      <c r="H197" s="140"/>
      <c r="I197" s="141"/>
      <c r="J197" s="140"/>
      <c r="K197" s="140"/>
      <c r="L197" s="141"/>
      <c r="M197" s="138"/>
      <c r="N197" s="139"/>
      <c r="O197" s="142"/>
      <c r="P197" s="143"/>
      <c r="Q197" s="144"/>
      <c r="R197" s="141"/>
      <c r="S197" s="140"/>
    </row>
    <row r="198" spans="1:19" ht="16">
      <c r="A198" s="118"/>
      <c r="B198" s="138"/>
      <c r="C198" s="139"/>
      <c r="D198" s="140"/>
      <c r="E198" s="140"/>
      <c r="F198" s="140"/>
      <c r="G198" s="140"/>
      <c r="H198" s="140"/>
      <c r="I198" s="141"/>
      <c r="J198" s="140"/>
      <c r="K198" s="140"/>
      <c r="L198" s="141"/>
      <c r="M198" s="138"/>
      <c r="N198" s="139"/>
      <c r="O198" s="142"/>
      <c r="P198" s="143"/>
      <c r="Q198" s="144"/>
      <c r="R198" s="141"/>
      <c r="S198" s="140"/>
    </row>
    <row r="199" spans="1:19" ht="16">
      <c r="A199" s="118"/>
      <c r="B199" s="138"/>
      <c r="C199" s="139"/>
      <c r="D199" s="140"/>
      <c r="E199" s="140"/>
      <c r="F199" s="140"/>
      <c r="G199" s="140"/>
      <c r="H199" s="140"/>
      <c r="I199" s="141"/>
      <c r="J199" s="140"/>
      <c r="K199" s="140"/>
      <c r="L199" s="141"/>
      <c r="M199" s="138"/>
      <c r="N199" s="139"/>
      <c r="O199" s="142"/>
      <c r="P199" s="143"/>
      <c r="Q199" s="144"/>
      <c r="R199" s="141"/>
      <c r="S199" s="140"/>
    </row>
    <row r="200" spans="1:19" ht="16">
      <c r="A200" s="118" t="str">
        <f>IF(ISBLANK(B200), "", A177+1)</f>
        <v/>
      </c>
      <c r="B200" s="138"/>
      <c r="C200" s="139"/>
      <c r="D200" s="140"/>
      <c r="E200" s="140"/>
      <c r="F200" s="140"/>
      <c r="G200" s="140"/>
      <c r="H200" s="140"/>
      <c r="I200" s="141"/>
      <c r="J200" s="140"/>
      <c r="K200" s="140"/>
      <c r="L200" s="141"/>
      <c r="M200" s="138"/>
      <c r="N200" s="139"/>
      <c r="O200" s="142">
        <f t="shared" ca="1" si="5"/>
        <v>0</v>
      </c>
      <c r="P200" s="143">
        <f ca="1">ROUND(O200 / 24, 2)</f>
        <v>0</v>
      </c>
      <c r="Q200" s="144">
        <f ca="1">IF(ISBLANK(B200), 0, IF(ISBLANK(M200), IF(L200="Closed", 4, ROUND(MAX(0, (NOW() - (B200 + IF(ISBLANK(C200), TIME(9,0,0), C200))) * 24), 1)), ROUND(MAX(0, ((M200 + IF(ISBLANK(N200), TIME(18,0,0), N200)) - (B200 + IF(ISBLANK(C200), TIME(9,0,0), C200))) * 24), 1)))</f>
        <v>0</v>
      </c>
      <c r="R200" s="141">
        <f>IF(ISNUMBER(SEARCH("Complete", H200)), 1, 0)</f>
        <v>0</v>
      </c>
      <c r="S200" s="140"/>
    </row>
    <row r="201" spans="1:19" ht="17">
      <c r="A201" s="145" t="s">
        <v>44</v>
      </c>
      <c r="B201" s="146"/>
      <c r="C201" s="146"/>
      <c r="D201" s="146"/>
      <c r="E201" s="146"/>
      <c r="F201" s="146"/>
      <c r="G201" s="146"/>
      <c r="H201" s="146"/>
      <c r="I201" s="146"/>
      <c r="J201" s="146"/>
      <c r="K201" s="146"/>
      <c r="L201" s="146"/>
      <c r="M201" s="146"/>
      <c r="N201" s="146"/>
      <c r="O201" s="147">
        <f ca="1">SUM(O3:O200)</f>
        <v>6084.7999999999993</v>
      </c>
      <c r="P201" s="148">
        <f ca="1">SUM(P3:P200)</f>
        <v>253.54999999999998</v>
      </c>
      <c r="Q201" s="147">
        <f ca="1">SUM(Q3:Q200)</f>
        <v>21853.099999999991</v>
      </c>
      <c r="R201" s="145">
        <f>SUM(R3:R200)</f>
        <v>44</v>
      </c>
      <c r="S201" s="146"/>
    </row>
  </sheetData>
  <autoFilter ref="A2:S201" xr:uid="{00000000-0009-0000-0000-000001000000}">
    <filterColumn colId="4">
      <filters>
        <filter val="Doors &amp; Access Gates"/>
      </filters>
    </filterColumn>
  </autoFilter>
  <mergeCells count="1">
    <mergeCell ref="A1:S1"/>
  </mergeCells>
  <conditionalFormatting sqref="H3:H200">
    <cfRule type="expression" dxfId="11" priority="5">
      <formula>ISNUMBER(SEARCH("Complete", H3))</formula>
    </cfRule>
    <cfRule type="expression" dxfId="10" priority="6">
      <formula>ISNUMBER(SEARCH("Partial", H3))</formula>
    </cfRule>
  </conditionalFormatting>
  <conditionalFormatting sqref="L3:L200">
    <cfRule type="cellIs" dxfId="9" priority="1" stopIfTrue="1" operator="equal">
      <formula>"Closed"</formula>
    </cfRule>
    <cfRule type="cellIs" dxfId="8" priority="2" stopIfTrue="1" operator="equal">
      <formula>"In Progress (WIP)"</formula>
    </cfRule>
    <cfRule type="cellIs" dxfId="7" priority="3" stopIfTrue="1" operator="equal">
      <formula>"Open"</formula>
    </cfRule>
    <cfRule type="cellIs" dxfId="6" priority="4" stopIfTrue="1" operator="equal">
      <formula>"Pending Spare Parts"</formula>
    </cfRule>
  </conditionalFormatting>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xr:uid="{00000000-0002-0000-0100-000000000000}">
          <x14:formula1>
            <xm:f>'⚙️ Lookup Lists'!$A$2:$A$7</xm:f>
          </x14:formula1>
          <xm: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E177:E199 E200</xm:sqref>
        </x14:dataValidation>
        <x14:dataValidation type="list" allowBlank="1" xr:uid="{00000000-0002-0000-0100-000001000000}">
          <x14:formula1>
            <xm:f>'⚙️ Lookup Lists'!$B$2:$B$3</xm:f>
          </x14:formula1>
          <xm: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H177:H199 H200</xm:sqref>
        </x14:dataValidation>
        <x14:dataValidation type="list" allowBlank="1" xr:uid="{00000000-0002-0000-0100-000002000000}">
          <x14:formula1>
            <xm:f>'⚙️ Lookup Lists'!$C$2:$C$5</xm:f>
          </x14:formula1>
          <xm: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L177:L199 L200</xm:sqref>
        </x14:dataValidation>
        <x14:dataValidation type="list" allowBlank="1" xr:uid="{00000000-0002-0000-0100-000003000000}">
          <x14:formula1>
            <xm:f>'⚙️ Lookup Lists'!$D$2:$D$5</xm:f>
          </x14:formula1>
          <xm: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K177:K199 K200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06"/>
  <sheetViews>
    <sheetView workbookViewId="0">
      <pane xSplit="3" ySplit="4" topLeftCell="L158" activePane="bottomRight" state="frozen"/>
      <selection pane="topRight"/>
      <selection pane="bottomLeft"/>
      <selection pane="bottomRight" activeCell="Q103" sqref="Q103"/>
    </sheetView>
  </sheetViews>
  <sheetFormatPr defaultRowHeight="14.5"/>
  <cols>
    <col min="1" max="1" width="8" customWidth="1"/>
    <col min="2" max="2" width="14" customWidth="1"/>
    <col min="3" max="3" width="12" customWidth="1"/>
    <col min="4" max="4" width="26" customWidth="1"/>
    <col min="5" max="6" width="24" customWidth="1"/>
    <col min="7" max="7" width="42" customWidth="1"/>
    <col min="8" max="8" width="38" customWidth="1"/>
    <col min="9" max="9" width="14" customWidth="1"/>
    <col min="10" max="10" width="40" customWidth="1"/>
    <col min="11" max="11" width="20" customWidth="1"/>
    <col min="12" max="12" width="16" customWidth="1"/>
    <col min="13" max="13" width="14" customWidth="1"/>
    <col min="14" max="14" width="12" customWidth="1"/>
    <col min="15" max="16" width="24" customWidth="1"/>
    <col min="17" max="17" width="20" customWidth="1"/>
    <col min="18" max="18" width="22" customWidth="1"/>
    <col min="19" max="19" width="30" customWidth="1"/>
  </cols>
  <sheetData>
    <row r="1" spans="1:19" ht="36" customHeight="1">
      <c r="A1" s="99" t="s">
        <v>421</v>
      </c>
      <c r="B1" s="89"/>
      <c r="C1" s="89"/>
      <c r="D1" s="89"/>
      <c r="E1" s="89"/>
      <c r="F1" s="89"/>
      <c r="G1" s="89"/>
      <c r="H1" s="89"/>
      <c r="I1" s="89"/>
      <c r="J1" s="89"/>
      <c r="K1" s="89"/>
      <c r="L1" s="89"/>
      <c r="M1" s="89"/>
      <c r="N1" s="89"/>
      <c r="O1" s="89"/>
      <c r="P1" s="89"/>
      <c r="Q1" s="89"/>
      <c r="R1" s="89"/>
      <c r="S1" s="89"/>
    </row>
    <row r="2" spans="1:19" ht="20" customHeight="1">
      <c r="A2" s="95" t="s">
        <v>422</v>
      </c>
      <c r="B2" s="89"/>
      <c r="C2" s="89"/>
      <c r="D2" s="89"/>
      <c r="E2" s="89"/>
      <c r="F2" s="89"/>
      <c r="G2" s="89"/>
      <c r="H2" s="89"/>
      <c r="I2" s="89"/>
      <c r="J2" s="89"/>
      <c r="K2" s="89"/>
      <c r="L2" s="89"/>
      <c r="M2" s="89"/>
      <c r="N2" s="89"/>
      <c r="O2" s="89"/>
      <c r="P2" s="89"/>
      <c r="Q2" s="89"/>
      <c r="R2" s="89"/>
      <c r="S2" s="89"/>
    </row>
    <row r="3" spans="1:19" ht="8" customHeight="1"/>
    <row r="4" spans="1:19" ht="28" customHeight="1">
      <c r="A4" s="55" t="s">
        <v>96</v>
      </c>
      <c r="B4" s="55" t="s">
        <v>97</v>
      </c>
      <c r="C4" s="55" t="s">
        <v>98</v>
      </c>
      <c r="D4" s="55" t="s">
        <v>99</v>
      </c>
      <c r="E4" s="55" t="s">
        <v>100</v>
      </c>
      <c r="F4" s="55" t="s">
        <v>101</v>
      </c>
      <c r="G4" s="55" t="s">
        <v>102</v>
      </c>
      <c r="H4" s="55" t="s">
        <v>103</v>
      </c>
      <c r="I4" s="55" t="s">
        <v>104</v>
      </c>
      <c r="J4" s="55" t="s">
        <v>105</v>
      </c>
      <c r="K4" s="55" t="s">
        <v>79</v>
      </c>
      <c r="L4" s="55" t="s">
        <v>106</v>
      </c>
      <c r="M4" s="55" t="s">
        <v>107</v>
      </c>
      <c r="N4" s="55" t="s">
        <v>108</v>
      </c>
      <c r="O4" s="55" t="s">
        <v>109</v>
      </c>
      <c r="P4" s="55" t="s">
        <v>110</v>
      </c>
      <c r="Q4" s="55" t="s">
        <v>111</v>
      </c>
      <c r="R4" s="55" t="s">
        <v>112</v>
      </c>
      <c r="S4" s="55" t="s">
        <v>113</v>
      </c>
    </row>
    <row r="5" spans="1:19" ht="21" customHeight="1">
      <c r="A5" s="56">
        <v>1</v>
      </c>
      <c r="B5" s="57">
        <v>45391</v>
      </c>
      <c r="C5" s="58">
        <v>0.41666666666666669</v>
      </c>
      <c r="D5" s="2" t="s">
        <v>423</v>
      </c>
      <c r="E5" s="59" t="s">
        <v>72</v>
      </c>
      <c r="F5" s="59" t="s">
        <v>114</v>
      </c>
      <c r="G5" s="59" t="s">
        <v>424</v>
      </c>
      <c r="H5" s="41" t="s">
        <v>40</v>
      </c>
      <c r="I5" s="56" t="s">
        <v>131</v>
      </c>
      <c r="J5" s="59" t="s">
        <v>425</v>
      </c>
      <c r="K5" s="59" t="s">
        <v>92</v>
      </c>
      <c r="L5" s="60" t="s">
        <v>36</v>
      </c>
      <c r="M5" s="57">
        <v>45391</v>
      </c>
      <c r="N5" s="58">
        <v>0.75</v>
      </c>
      <c r="O5" s="61">
        <f t="shared" ref="O5:O68" ca="1" si="0">IF(ISBLANK(B5), 0, IF(ISNUMBER(SEARCH("Complete", H5)), IF(ISBLANK(M5), IF(L5="Closed", 4, ROUND(MAX(0, (NOW() - (B5 + IF(ISBLANK(C5), TIME(9,0,0), C5))) * 24), 1)), ROUND(MAX(0, ((M5 + IF(ISBLANK(N5), TIME(18,0,0), N5)) - (B5 + IF(ISBLANK(C5), TIME(9,0,0), C5))) * 24), 1)), 0))</f>
        <v>8</v>
      </c>
      <c r="P5" s="43">
        <f t="shared" ref="P5:P68" ca="1" si="1">ROUND(O5 / 24, 2)</f>
        <v>0.33</v>
      </c>
      <c r="Q5" s="7">
        <f t="shared" ref="Q5:Q68" ca="1" si="2">IF(ISBLANK(B5), 0, IF(ISBLANK(M5), IF(L5="Closed", 4, ROUND(MAX(0, (NOW() - (B5 + IF(ISBLANK(C5), TIME(9,0,0), C5))) * 24), 1)), ROUND(MAX(0, ((M5 + IF(ISBLANK(N5), TIME(18,0,0), N5)) - (B5 + IF(ISBLANK(C5), TIME(9,0,0), C5))) * 24), 1)))</f>
        <v>8</v>
      </c>
      <c r="R5" s="56">
        <f t="shared" ref="R5:R68" si="3">IF(ISNUMBER(SEARCH("Complete", H5)), 1, 0)</f>
        <v>1</v>
      </c>
      <c r="S5" s="59" t="s">
        <v>118</v>
      </c>
    </row>
    <row r="6" spans="1:19" ht="21" customHeight="1">
      <c r="A6" s="62">
        <v>2</v>
      </c>
      <c r="B6" s="63">
        <v>45395</v>
      </c>
      <c r="C6" s="64">
        <v>0.54166666666666663</v>
      </c>
      <c r="D6" s="10" t="s">
        <v>55</v>
      </c>
      <c r="E6" s="65" t="s">
        <v>53</v>
      </c>
      <c r="F6" s="65" t="s">
        <v>418</v>
      </c>
      <c r="G6" s="65" t="s">
        <v>426</v>
      </c>
      <c r="H6" s="37" t="s">
        <v>40</v>
      </c>
      <c r="I6" s="62" t="s">
        <v>427</v>
      </c>
      <c r="J6" s="65" t="s">
        <v>117</v>
      </c>
      <c r="K6" s="65" t="s">
        <v>86</v>
      </c>
      <c r="L6" s="66" t="s">
        <v>36</v>
      </c>
      <c r="M6" s="63">
        <v>45397</v>
      </c>
      <c r="N6" s="64">
        <v>0.75</v>
      </c>
      <c r="O6" s="67">
        <f t="shared" ca="1" si="0"/>
        <v>53</v>
      </c>
      <c r="P6" s="39">
        <f t="shared" ca="1" si="1"/>
        <v>2.21</v>
      </c>
      <c r="Q6" s="15">
        <f t="shared" ca="1" si="2"/>
        <v>53</v>
      </c>
      <c r="R6" s="62">
        <f t="shared" si="3"/>
        <v>1</v>
      </c>
      <c r="S6" s="65" t="s">
        <v>118</v>
      </c>
    </row>
    <row r="7" spans="1:19" ht="21" customHeight="1">
      <c r="A7" s="56">
        <v>3</v>
      </c>
      <c r="B7" s="57">
        <v>45404</v>
      </c>
      <c r="C7" s="58">
        <v>0.45833333333333331</v>
      </c>
      <c r="D7" s="2" t="s">
        <v>55</v>
      </c>
      <c r="E7" s="59" t="s">
        <v>53</v>
      </c>
      <c r="F7" s="59" t="s">
        <v>139</v>
      </c>
      <c r="G7" s="59" t="s">
        <v>428</v>
      </c>
      <c r="H7" s="41" t="s">
        <v>40</v>
      </c>
      <c r="I7" s="56" t="s">
        <v>429</v>
      </c>
      <c r="J7" s="59" t="s">
        <v>117</v>
      </c>
      <c r="K7" s="59" t="s">
        <v>86</v>
      </c>
      <c r="L7" s="60" t="s">
        <v>36</v>
      </c>
      <c r="M7" s="57">
        <v>45404</v>
      </c>
      <c r="N7" s="58">
        <v>0.75</v>
      </c>
      <c r="O7" s="61">
        <f t="shared" ca="1" si="0"/>
        <v>7</v>
      </c>
      <c r="P7" s="43">
        <f t="shared" ca="1" si="1"/>
        <v>0.28999999999999998</v>
      </c>
      <c r="Q7" s="7">
        <f t="shared" ca="1" si="2"/>
        <v>7</v>
      </c>
      <c r="R7" s="56">
        <f t="shared" si="3"/>
        <v>1</v>
      </c>
      <c r="S7" s="59" t="s">
        <v>118</v>
      </c>
    </row>
    <row r="8" spans="1:19" ht="21" customHeight="1">
      <c r="A8" s="62">
        <v>4</v>
      </c>
      <c r="B8" s="63">
        <v>45405</v>
      </c>
      <c r="C8" s="64">
        <v>0.5625</v>
      </c>
      <c r="D8" s="10" t="s">
        <v>55</v>
      </c>
      <c r="E8" s="65" t="s">
        <v>53</v>
      </c>
      <c r="F8" s="65" t="s">
        <v>137</v>
      </c>
      <c r="G8" s="65" t="s">
        <v>430</v>
      </c>
      <c r="H8" s="37" t="s">
        <v>42</v>
      </c>
      <c r="I8" s="62" t="s">
        <v>431</v>
      </c>
      <c r="J8" s="65" t="s">
        <v>117</v>
      </c>
      <c r="K8" s="65" t="s">
        <v>86</v>
      </c>
      <c r="L8" s="66" t="s">
        <v>36</v>
      </c>
      <c r="M8" s="63">
        <v>45405</v>
      </c>
      <c r="N8" s="64">
        <v>0.75</v>
      </c>
      <c r="O8" s="67">
        <f t="shared" ca="1" si="0"/>
        <v>0</v>
      </c>
      <c r="P8" s="39">
        <f t="shared" ca="1" si="1"/>
        <v>0</v>
      </c>
      <c r="Q8" s="15">
        <f t="shared" ca="1" si="2"/>
        <v>4.5</v>
      </c>
      <c r="R8" s="62">
        <f t="shared" si="3"/>
        <v>0</v>
      </c>
      <c r="S8" s="65" t="s">
        <v>118</v>
      </c>
    </row>
    <row r="9" spans="1:19" ht="21" customHeight="1">
      <c r="A9" s="56">
        <v>5</v>
      </c>
      <c r="B9" s="57">
        <v>45408</v>
      </c>
      <c r="C9" s="58">
        <v>0.58333333333333337</v>
      </c>
      <c r="D9" s="2" t="s">
        <v>432</v>
      </c>
      <c r="E9" s="59" t="s">
        <v>63</v>
      </c>
      <c r="F9" s="59" t="s">
        <v>137</v>
      </c>
      <c r="G9" s="59" t="s">
        <v>433</v>
      </c>
      <c r="H9" s="41" t="s">
        <v>40</v>
      </c>
      <c r="I9" s="56" t="s">
        <v>434</v>
      </c>
      <c r="J9" s="59" t="s">
        <v>117</v>
      </c>
      <c r="K9" s="59" t="s">
        <v>86</v>
      </c>
      <c r="L9" s="60" t="s">
        <v>36</v>
      </c>
      <c r="M9" s="57">
        <v>45410</v>
      </c>
      <c r="N9" s="58">
        <v>0.75</v>
      </c>
      <c r="O9" s="61">
        <f t="shared" ca="1" si="0"/>
        <v>52</v>
      </c>
      <c r="P9" s="43">
        <f t="shared" ca="1" si="1"/>
        <v>2.17</v>
      </c>
      <c r="Q9" s="7">
        <f t="shared" ca="1" si="2"/>
        <v>52</v>
      </c>
      <c r="R9" s="56">
        <f t="shared" si="3"/>
        <v>1</v>
      </c>
      <c r="S9" s="59" t="s">
        <v>118</v>
      </c>
    </row>
    <row r="10" spans="1:19" ht="21" customHeight="1">
      <c r="A10" s="62">
        <v>6</v>
      </c>
      <c r="B10" s="63">
        <v>45413</v>
      </c>
      <c r="C10" s="64">
        <v>0.3125</v>
      </c>
      <c r="D10" s="10" t="s">
        <v>55</v>
      </c>
      <c r="E10" s="65" t="s">
        <v>53</v>
      </c>
      <c r="F10" s="65" t="s">
        <v>114</v>
      </c>
      <c r="G10" s="65" t="s">
        <v>435</v>
      </c>
      <c r="H10" s="37" t="s">
        <v>40</v>
      </c>
      <c r="I10" s="62" t="s">
        <v>436</v>
      </c>
      <c r="J10" s="65" t="s">
        <v>117</v>
      </c>
      <c r="K10" s="65" t="s">
        <v>86</v>
      </c>
      <c r="L10" s="66" t="s">
        <v>36</v>
      </c>
      <c r="M10" s="63">
        <v>45413</v>
      </c>
      <c r="N10" s="64">
        <v>0.75</v>
      </c>
      <c r="O10" s="67">
        <f t="shared" ca="1" si="0"/>
        <v>10.5</v>
      </c>
      <c r="P10" s="39">
        <f t="shared" ca="1" si="1"/>
        <v>0.44</v>
      </c>
      <c r="Q10" s="15">
        <f t="shared" ca="1" si="2"/>
        <v>10.5</v>
      </c>
      <c r="R10" s="62">
        <f t="shared" si="3"/>
        <v>1</v>
      </c>
      <c r="S10" s="65" t="s">
        <v>118</v>
      </c>
    </row>
    <row r="11" spans="1:19" ht="21" customHeight="1">
      <c r="A11" s="56">
        <v>7</v>
      </c>
      <c r="B11" s="57">
        <v>45416</v>
      </c>
      <c r="C11" s="58">
        <v>0.3</v>
      </c>
      <c r="D11" s="2" t="s">
        <v>55</v>
      </c>
      <c r="E11" s="59" t="s">
        <v>53</v>
      </c>
      <c r="F11" s="59" t="s">
        <v>137</v>
      </c>
      <c r="G11" s="59" t="s">
        <v>430</v>
      </c>
      <c r="H11" s="41" t="s">
        <v>42</v>
      </c>
      <c r="I11" s="56" t="s">
        <v>437</v>
      </c>
      <c r="J11" s="59" t="s">
        <v>117</v>
      </c>
      <c r="K11" s="59" t="s">
        <v>86</v>
      </c>
      <c r="L11" s="60" t="s">
        <v>36</v>
      </c>
      <c r="M11" s="57">
        <v>45416</v>
      </c>
      <c r="N11" s="58">
        <v>0.75</v>
      </c>
      <c r="O11" s="61">
        <f t="shared" ca="1" si="0"/>
        <v>0</v>
      </c>
      <c r="P11" s="43">
        <f t="shared" ca="1" si="1"/>
        <v>0</v>
      </c>
      <c r="Q11" s="7">
        <f t="shared" ca="1" si="2"/>
        <v>10.8</v>
      </c>
      <c r="R11" s="56">
        <f t="shared" si="3"/>
        <v>0</v>
      </c>
      <c r="S11" s="59" t="s">
        <v>118</v>
      </c>
    </row>
    <row r="12" spans="1:19" ht="21" customHeight="1">
      <c r="A12" s="62">
        <v>8</v>
      </c>
      <c r="B12" s="63">
        <v>45421</v>
      </c>
      <c r="C12" s="64">
        <v>0.58333333333333337</v>
      </c>
      <c r="D12" s="10" t="s">
        <v>55</v>
      </c>
      <c r="E12" s="65" t="s">
        <v>53</v>
      </c>
      <c r="F12" s="65" t="s">
        <v>114</v>
      </c>
      <c r="G12" s="65" t="s">
        <v>438</v>
      </c>
      <c r="H12" s="37" t="s">
        <v>42</v>
      </c>
      <c r="I12" s="62" t="s">
        <v>439</v>
      </c>
      <c r="J12" s="65" t="s">
        <v>117</v>
      </c>
      <c r="K12" s="65" t="s">
        <v>86</v>
      </c>
      <c r="L12" s="66" t="s">
        <v>36</v>
      </c>
      <c r="M12" s="63">
        <v>45421</v>
      </c>
      <c r="N12" s="64">
        <v>0.75</v>
      </c>
      <c r="O12" s="67">
        <f t="shared" ca="1" si="0"/>
        <v>0</v>
      </c>
      <c r="P12" s="39">
        <f t="shared" ca="1" si="1"/>
        <v>0</v>
      </c>
      <c r="Q12" s="15">
        <f t="shared" ca="1" si="2"/>
        <v>4</v>
      </c>
      <c r="R12" s="62">
        <f t="shared" si="3"/>
        <v>0</v>
      </c>
      <c r="S12" s="65" t="s">
        <v>118</v>
      </c>
    </row>
    <row r="13" spans="1:19" ht="21" customHeight="1">
      <c r="A13" s="56">
        <v>9</v>
      </c>
      <c r="B13" s="57">
        <v>45423</v>
      </c>
      <c r="C13" s="58">
        <v>0.41666666666666669</v>
      </c>
      <c r="D13" s="2" t="s">
        <v>432</v>
      </c>
      <c r="E13" s="59" t="s">
        <v>63</v>
      </c>
      <c r="F13" s="59" t="s">
        <v>262</v>
      </c>
      <c r="G13" s="59" t="s">
        <v>440</v>
      </c>
      <c r="H13" s="41" t="s">
        <v>40</v>
      </c>
      <c r="I13" s="56" t="s">
        <v>441</v>
      </c>
      <c r="J13" s="59" t="s">
        <v>117</v>
      </c>
      <c r="K13" s="59" t="s">
        <v>86</v>
      </c>
      <c r="L13" s="60" t="s">
        <v>36</v>
      </c>
      <c r="M13" s="57">
        <v>45423</v>
      </c>
      <c r="N13" s="58">
        <v>0.75</v>
      </c>
      <c r="O13" s="61">
        <f t="shared" ca="1" si="0"/>
        <v>8</v>
      </c>
      <c r="P13" s="43">
        <f t="shared" ca="1" si="1"/>
        <v>0.33</v>
      </c>
      <c r="Q13" s="7">
        <f t="shared" ca="1" si="2"/>
        <v>8</v>
      </c>
      <c r="R13" s="56">
        <f t="shared" si="3"/>
        <v>1</v>
      </c>
      <c r="S13" s="59" t="s">
        <v>118</v>
      </c>
    </row>
    <row r="14" spans="1:19" ht="21" customHeight="1">
      <c r="A14" s="62">
        <v>10</v>
      </c>
      <c r="B14" s="63">
        <v>45425</v>
      </c>
      <c r="C14" s="64">
        <v>0.58333333333333337</v>
      </c>
      <c r="D14" s="10" t="s">
        <v>55</v>
      </c>
      <c r="E14" s="65" t="s">
        <v>53</v>
      </c>
      <c r="F14" s="65" t="s">
        <v>137</v>
      </c>
      <c r="G14" s="65" t="s">
        <v>430</v>
      </c>
      <c r="H14" s="37" t="s">
        <v>42</v>
      </c>
      <c r="I14" s="62" t="s">
        <v>442</v>
      </c>
      <c r="J14" s="65" t="s">
        <v>117</v>
      </c>
      <c r="K14" s="65" t="s">
        <v>86</v>
      </c>
      <c r="L14" s="66" t="s">
        <v>36</v>
      </c>
      <c r="M14" s="63">
        <v>45425</v>
      </c>
      <c r="N14" s="64">
        <v>0.75</v>
      </c>
      <c r="O14" s="67">
        <f t="shared" ca="1" si="0"/>
        <v>0</v>
      </c>
      <c r="P14" s="39">
        <f t="shared" ca="1" si="1"/>
        <v>0</v>
      </c>
      <c r="Q14" s="15">
        <f t="shared" ca="1" si="2"/>
        <v>4</v>
      </c>
      <c r="R14" s="62">
        <f t="shared" si="3"/>
        <v>0</v>
      </c>
      <c r="S14" s="65" t="s">
        <v>118</v>
      </c>
    </row>
    <row r="15" spans="1:19" ht="21" customHeight="1">
      <c r="A15" s="56">
        <v>11</v>
      </c>
      <c r="B15" s="57">
        <v>45427</v>
      </c>
      <c r="C15" s="58">
        <v>0.33333333333333331</v>
      </c>
      <c r="D15" s="2" t="s">
        <v>432</v>
      </c>
      <c r="E15" s="59" t="s">
        <v>63</v>
      </c>
      <c r="F15" s="59" t="s">
        <v>262</v>
      </c>
      <c r="G15" s="59" t="s">
        <v>440</v>
      </c>
      <c r="H15" s="41" t="s">
        <v>40</v>
      </c>
      <c r="I15" s="56" t="s">
        <v>443</v>
      </c>
      <c r="J15" s="59" t="s">
        <v>117</v>
      </c>
      <c r="K15" s="59" t="s">
        <v>86</v>
      </c>
      <c r="L15" s="60" t="s">
        <v>36</v>
      </c>
      <c r="M15" s="57">
        <v>45428</v>
      </c>
      <c r="N15" s="58">
        <v>0.75</v>
      </c>
      <c r="O15" s="61">
        <f t="shared" ca="1" si="0"/>
        <v>34</v>
      </c>
      <c r="P15" s="43">
        <f t="shared" ca="1" si="1"/>
        <v>1.42</v>
      </c>
      <c r="Q15" s="7">
        <f t="shared" ca="1" si="2"/>
        <v>34</v>
      </c>
      <c r="R15" s="56">
        <f t="shared" si="3"/>
        <v>1</v>
      </c>
      <c r="S15" s="59" t="s">
        <v>118</v>
      </c>
    </row>
    <row r="16" spans="1:19" ht="21" customHeight="1">
      <c r="A16" s="62">
        <v>12</v>
      </c>
      <c r="B16" s="63">
        <v>45432</v>
      </c>
      <c r="C16" s="64">
        <v>0.375</v>
      </c>
      <c r="D16" s="10" t="s">
        <v>55</v>
      </c>
      <c r="E16" s="65" t="s">
        <v>53</v>
      </c>
      <c r="F16" s="65" t="s">
        <v>114</v>
      </c>
      <c r="G16" s="65" t="s">
        <v>444</v>
      </c>
      <c r="H16" s="37" t="s">
        <v>40</v>
      </c>
      <c r="I16" s="62" t="s">
        <v>445</v>
      </c>
      <c r="J16" s="65" t="s">
        <v>117</v>
      </c>
      <c r="K16" s="65" t="s">
        <v>86</v>
      </c>
      <c r="L16" s="66" t="s">
        <v>36</v>
      </c>
      <c r="M16" s="63">
        <v>45432</v>
      </c>
      <c r="N16" s="64">
        <v>0.75</v>
      </c>
      <c r="O16" s="67">
        <f t="shared" ca="1" si="0"/>
        <v>9</v>
      </c>
      <c r="P16" s="39">
        <f t="shared" ca="1" si="1"/>
        <v>0.38</v>
      </c>
      <c r="Q16" s="15">
        <f t="shared" ca="1" si="2"/>
        <v>9</v>
      </c>
      <c r="R16" s="62">
        <f t="shared" si="3"/>
        <v>1</v>
      </c>
      <c r="S16" s="65" t="s">
        <v>118</v>
      </c>
    </row>
    <row r="17" spans="1:19" ht="21" customHeight="1">
      <c r="A17" s="56">
        <v>13</v>
      </c>
      <c r="B17" s="57">
        <v>45433</v>
      </c>
      <c r="C17" s="58">
        <v>0.33333333333333331</v>
      </c>
      <c r="D17" s="2" t="s">
        <v>55</v>
      </c>
      <c r="E17" s="59" t="s">
        <v>53</v>
      </c>
      <c r="F17" s="59" t="s">
        <v>114</v>
      </c>
      <c r="G17" s="59" t="s">
        <v>446</v>
      </c>
      <c r="H17" s="41" t="s">
        <v>42</v>
      </c>
      <c r="I17" s="56" t="s">
        <v>447</v>
      </c>
      <c r="J17" s="59" t="s">
        <v>117</v>
      </c>
      <c r="K17" s="59" t="s">
        <v>86</v>
      </c>
      <c r="L17" s="60" t="s">
        <v>36</v>
      </c>
      <c r="M17" s="57">
        <v>45433</v>
      </c>
      <c r="N17" s="58">
        <v>0.75</v>
      </c>
      <c r="O17" s="61">
        <f t="shared" ca="1" si="0"/>
        <v>0</v>
      </c>
      <c r="P17" s="43">
        <f t="shared" ca="1" si="1"/>
        <v>0</v>
      </c>
      <c r="Q17" s="7">
        <f t="shared" ca="1" si="2"/>
        <v>10</v>
      </c>
      <c r="R17" s="56">
        <f t="shared" si="3"/>
        <v>0</v>
      </c>
      <c r="S17" s="59" t="s">
        <v>118</v>
      </c>
    </row>
    <row r="18" spans="1:19" ht="21" customHeight="1">
      <c r="A18" s="62">
        <v>14</v>
      </c>
      <c r="B18" s="63">
        <v>45433</v>
      </c>
      <c r="C18" s="64">
        <v>0.33333333333333331</v>
      </c>
      <c r="D18" s="10" t="s">
        <v>432</v>
      </c>
      <c r="E18" s="65" t="s">
        <v>63</v>
      </c>
      <c r="F18" s="65" t="s">
        <v>448</v>
      </c>
      <c r="G18" s="65" t="s">
        <v>449</v>
      </c>
      <c r="H18" s="37" t="s">
        <v>40</v>
      </c>
      <c r="I18" s="62" t="s">
        <v>450</v>
      </c>
      <c r="J18" s="65" t="s">
        <v>117</v>
      </c>
      <c r="K18" s="65" t="s">
        <v>86</v>
      </c>
      <c r="L18" s="66" t="s">
        <v>36</v>
      </c>
      <c r="M18" s="63">
        <v>45433</v>
      </c>
      <c r="N18" s="64">
        <v>0.75</v>
      </c>
      <c r="O18" s="67">
        <f t="shared" ca="1" si="0"/>
        <v>10</v>
      </c>
      <c r="P18" s="39">
        <f t="shared" ca="1" si="1"/>
        <v>0.42</v>
      </c>
      <c r="Q18" s="15">
        <f t="shared" ca="1" si="2"/>
        <v>10</v>
      </c>
      <c r="R18" s="62">
        <f t="shared" si="3"/>
        <v>1</v>
      </c>
      <c r="S18" s="65" t="s">
        <v>118</v>
      </c>
    </row>
    <row r="19" spans="1:19" ht="21" customHeight="1">
      <c r="A19" s="56">
        <v>15</v>
      </c>
      <c r="B19" s="57">
        <v>45434</v>
      </c>
      <c r="C19" s="58">
        <v>0.34722222222222221</v>
      </c>
      <c r="D19" s="2" t="s">
        <v>55</v>
      </c>
      <c r="E19" s="59" t="s">
        <v>53</v>
      </c>
      <c r="F19" s="59" t="s">
        <v>119</v>
      </c>
      <c r="G19" s="59" t="s">
        <v>451</v>
      </c>
      <c r="H19" s="41" t="s">
        <v>42</v>
      </c>
      <c r="I19" s="56" t="s">
        <v>452</v>
      </c>
      <c r="J19" s="59" t="s">
        <v>117</v>
      </c>
      <c r="K19" s="59" t="s">
        <v>86</v>
      </c>
      <c r="L19" s="60" t="s">
        <v>36</v>
      </c>
      <c r="M19" s="57">
        <v>45434</v>
      </c>
      <c r="N19" s="58">
        <v>0.75</v>
      </c>
      <c r="O19" s="61">
        <f t="shared" ca="1" si="0"/>
        <v>0</v>
      </c>
      <c r="P19" s="43">
        <f t="shared" ca="1" si="1"/>
        <v>0</v>
      </c>
      <c r="Q19" s="7">
        <f t="shared" ca="1" si="2"/>
        <v>9.6999999999999993</v>
      </c>
      <c r="R19" s="56">
        <f t="shared" si="3"/>
        <v>0</v>
      </c>
      <c r="S19" s="59" t="s">
        <v>118</v>
      </c>
    </row>
    <row r="20" spans="1:19" ht="21" customHeight="1">
      <c r="A20" s="62">
        <v>16</v>
      </c>
      <c r="B20" s="63">
        <v>45438</v>
      </c>
      <c r="C20" s="64">
        <v>0.44791666666666669</v>
      </c>
      <c r="D20" s="10" t="s">
        <v>55</v>
      </c>
      <c r="E20" s="65" t="s">
        <v>53</v>
      </c>
      <c r="F20" s="65" t="s">
        <v>119</v>
      </c>
      <c r="G20" s="65" t="s">
        <v>451</v>
      </c>
      <c r="H20" s="37" t="s">
        <v>42</v>
      </c>
      <c r="I20" s="62" t="s">
        <v>453</v>
      </c>
      <c r="J20" s="65" t="s">
        <v>117</v>
      </c>
      <c r="K20" s="65" t="s">
        <v>86</v>
      </c>
      <c r="L20" s="66" t="s">
        <v>36</v>
      </c>
      <c r="M20" s="63">
        <v>45438</v>
      </c>
      <c r="N20" s="64">
        <v>0.75</v>
      </c>
      <c r="O20" s="67">
        <f t="shared" ca="1" si="0"/>
        <v>0</v>
      </c>
      <c r="P20" s="39">
        <f t="shared" ca="1" si="1"/>
        <v>0</v>
      </c>
      <c r="Q20" s="15">
        <f t="shared" ca="1" si="2"/>
        <v>7.3</v>
      </c>
      <c r="R20" s="62">
        <f t="shared" si="3"/>
        <v>0</v>
      </c>
      <c r="S20" s="65" t="s">
        <v>118</v>
      </c>
    </row>
    <row r="21" spans="1:19" ht="21" customHeight="1">
      <c r="A21" s="56">
        <v>17</v>
      </c>
      <c r="B21" s="57">
        <v>45442</v>
      </c>
      <c r="C21" s="58">
        <v>0.60416666666666663</v>
      </c>
      <c r="D21" s="2" t="s">
        <v>55</v>
      </c>
      <c r="E21" s="59" t="s">
        <v>53</v>
      </c>
      <c r="F21" s="59" t="s">
        <v>119</v>
      </c>
      <c r="G21" s="59" t="s">
        <v>454</v>
      </c>
      <c r="H21" s="41" t="s">
        <v>42</v>
      </c>
      <c r="I21" s="56" t="s">
        <v>455</v>
      </c>
      <c r="J21" s="59" t="s">
        <v>117</v>
      </c>
      <c r="K21" s="59" t="s">
        <v>86</v>
      </c>
      <c r="L21" s="60" t="s">
        <v>36</v>
      </c>
      <c r="M21" s="57">
        <v>45442</v>
      </c>
      <c r="N21" s="58">
        <v>0.75</v>
      </c>
      <c r="O21" s="61">
        <f t="shared" ca="1" si="0"/>
        <v>0</v>
      </c>
      <c r="P21" s="43">
        <f t="shared" ca="1" si="1"/>
        <v>0</v>
      </c>
      <c r="Q21" s="7">
        <f t="shared" ca="1" si="2"/>
        <v>3.5</v>
      </c>
      <c r="R21" s="56">
        <f t="shared" si="3"/>
        <v>0</v>
      </c>
      <c r="S21" s="59" t="s">
        <v>118</v>
      </c>
    </row>
    <row r="22" spans="1:19" ht="21" customHeight="1">
      <c r="A22" s="62">
        <v>18</v>
      </c>
      <c r="B22" s="63">
        <v>45453</v>
      </c>
      <c r="C22" s="64">
        <v>0.3125</v>
      </c>
      <c r="D22" s="10" t="s">
        <v>55</v>
      </c>
      <c r="E22" s="65" t="s">
        <v>53</v>
      </c>
      <c r="F22" s="65" t="s">
        <v>114</v>
      </c>
      <c r="G22" s="65" t="s">
        <v>456</v>
      </c>
      <c r="H22" s="37" t="s">
        <v>40</v>
      </c>
      <c r="I22" s="62" t="s">
        <v>457</v>
      </c>
      <c r="J22" s="65" t="s">
        <v>117</v>
      </c>
      <c r="K22" s="65" t="s">
        <v>86</v>
      </c>
      <c r="L22" s="66" t="s">
        <v>36</v>
      </c>
      <c r="M22" s="63">
        <v>45453</v>
      </c>
      <c r="N22" s="64">
        <v>0.75</v>
      </c>
      <c r="O22" s="67">
        <f t="shared" ca="1" si="0"/>
        <v>10.5</v>
      </c>
      <c r="P22" s="39">
        <f t="shared" ca="1" si="1"/>
        <v>0.44</v>
      </c>
      <c r="Q22" s="15">
        <f t="shared" ca="1" si="2"/>
        <v>10.5</v>
      </c>
      <c r="R22" s="62">
        <f t="shared" si="3"/>
        <v>1</v>
      </c>
      <c r="S22" s="65" t="s">
        <v>118</v>
      </c>
    </row>
    <row r="23" spans="1:19" ht="21" customHeight="1">
      <c r="A23" s="56">
        <v>19</v>
      </c>
      <c r="B23" s="57">
        <v>45485</v>
      </c>
      <c r="C23" s="58">
        <v>0.3</v>
      </c>
      <c r="D23" s="2" t="s">
        <v>55</v>
      </c>
      <c r="E23" s="59" t="s">
        <v>53</v>
      </c>
      <c r="F23" s="59" t="s">
        <v>114</v>
      </c>
      <c r="G23" s="59" t="s">
        <v>456</v>
      </c>
      <c r="H23" s="41" t="s">
        <v>40</v>
      </c>
      <c r="I23" s="56" t="s">
        <v>458</v>
      </c>
      <c r="J23" s="59" t="s">
        <v>117</v>
      </c>
      <c r="K23" s="59" t="s">
        <v>86</v>
      </c>
      <c r="L23" s="60" t="s">
        <v>36</v>
      </c>
      <c r="M23" s="57">
        <v>45485</v>
      </c>
      <c r="N23" s="58">
        <v>0.75</v>
      </c>
      <c r="O23" s="61">
        <f t="shared" ca="1" si="0"/>
        <v>10.8</v>
      </c>
      <c r="P23" s="43">
        <f t="shared" ca="1" si="1"/>
        <v>0.45</v>
      </c>
      <c r="Q23" s="7">
        <f t="shared" ca="1" si="2"/>
        <v>10.8</v>
      </c>
      <c r="R23" s="56">
        <f t="shared" si="3"/>
        <v>1</v>
      </c>
      <c r="S23" s="59" t="s">
        <v>118</v>
      </c>
    </row>
    <row r="24" spans="1:19" ht="21" customHeight="1">
      <c r="A24" s="62">
        <v>20</v>
      </c>
      <c r="B24" s="63">
        <v>45494</v>
      </c>
      <c r="C24" s="64">
        <v>0.4375</v>
      </c>
      <c r="D24" s="10" t="s">
        <v>55</v>
      </c>
      <c r="E24" s="65" t="s">
        <v>53</v>
      </c>
      <c r="F24" s="65" t="s">
        <v>114</v>
      </c>
      <c r="G24" s="65" t="s">
        <v>459</v>
      </c>
      <c r="H24" s="37" t="s">
        <v>40</v>
      </c>
      <c r="I24" s="62" t="s">
        <v>460</v>
      </c>
      <c r="J24" s="65" t="s">
        <v>117</v>
      </c>
      <c r="K24" s="65" t="s">
        <v>86</v>
      </c>
      <c r="L24" s="66" t="s">
        <v>36</v>
      </c>
      <c r="M24" s="63">
        <v>45494</v>
      </c>
      <c r="N24" s="64">
        <v>0.75</v>
      </c>
      <c r="O24" s="67">
        <f t="shared" ca="1" si="0"/>
        <v>7.5</v>
      </c>
      <c r="P24" s="39">
        <f t="shared" ca="1" si="1"/>
        <v>0.31</v>
      </c>
      <c r="Q24" s="15">
        <f t="shared" ca="1" si="2"/>
        <v>7.5</v>
      </c>
      <c r="R24" s="62">
        <f t="shared" si="3"/>
        <v>1</v>
      </c>
      <c r="S24" s="65" t="s">
        <v>118</v>
      </c>
    </row>
    <row r="25" spans="1:19" ht="21" customHeight="1">
      <c r="A25" s="56">
        <v>21</v>
      </c>
      <c r="B25" s="57">
        <v>45498</v>
      </c>
      <c r="C25" s="58">
        <v>0.1145833333333333</v>
      </c>
      <c r="D25" s="2" t="s">
        <v>55</v>
      </c>
      <c r="E25" s="59" t="s">
        <v>53</v>
      </c>
      <c r="F25" s="59" t="s">
        <v>114</v>
      </c>
      <c r="G25" s="59" t="s">
        <v>461</v>
      </c>
      <c r="H25" s="41" t="s">
        <v>42</v>
      </c>
      <c r="I25" s="56" t="s">
        <v>462</v>
      </c>
      <c r="J25" s="59" t="s">
        <v>117</v>
      </c>
      <c r="K25" s="59" t="s">
        <v>86</v>
      </c>
      <c r="L25" s="60" t="s">
        <v>36</v>
      </c>
      <c r="M25" s="57">
        <v>45498</v>
      </c>
      <c r="N25" s="58">
        <v>0.75</v>
      </c>
      <c r="O25" s="61">
        <f t="shared" ca="1" si="0"/>
        <v>0</v>
      </c>
      <c r="P25" s="43">
        <f t="shared" ca="1" si="1"/>
        <v>0</v>
      </c>
      <c r="Q25" s="7">
        <f t="shared" ca="1" si="2"/>
        <v>15.2</v>
      </c>
      <c r="R25" s="56">
        <f t="shared" si="3"/>
        <v>0</v>
      </c>
      <c r="S25" s="59" t="s">
        <v>118</v>
      </c>
    </row>
    <row r="26" spans="1:19" ht="21" customHeight="1">
      <c r="A26" s="62">
        <v>22</v>
      </c>
      <c r="B26" s="63">
        <v>45501</v>
      </c>
      <c r="C26" s="64">
        <v>0.34722222222222221</v>
      </c>
      <c r="D26" s="10" t="s">
        <v>55</v>
      </c>
      <c r="E26" s="65" t="s">
        <v>53</v>
      </c>
      <c r="F26" s="65" t="s">
        <v>125</v>
      </c>
      <c r="G26" s="65" t="s">
        <v>463</v>
      </c>
      <c r="H26" s="37" t="s">
        <v>40</v>
      </c>
      <c r="I26" s="62" t="s">
        <v>464</v>
      </c>
      <c r="J26" s="65" t="s">
        <v>117</v>
      </c>
      <c r="K26" s="65" t="s">
        <v>86</v>
      </c>
      <c r="L26" s="66" t="s">
        <v>36</v>
      </c>
      <c r="M26" s="63">
        <v>45501</v>
      </c>
      <c r="N26" s="64">
        <v>0.75</v>
      </c>
      <c r="O26" s="67">
        <f t="shared" ca="1" si="0"/>
        <v>9.6999999999999993</v>
      </c>
      <c r="P26" s="39">
        <f t="shared" ca="1" si="1"/>
        <v>0.4</v>
      </c>
      <c r="Q26" s="15">
        <f t="shared" ca="1" si="2"/>
        <v>9.6999999999999993</v>
      </c>
      <c r="R26" s="62">
        <f t="shared" si="3"/>
        <v>1</v>
      </c>
      <c r="S26" s="65" t="s">
        <v>118</v>
      </c>
    </row>
    <row r="27" spans="1:19" ht="21" customHeight="1">
      <c r="A27" s="56">
        <v>23</v>
      </c>
      <c r="B27" s="57">
        <v>45505</v>
      </c>
      <c r="C27" s="58">
        <v>0.1041666666666667</v>
      </c>
      <c r="D27" s="2" t="s">
        <v>55</v>
      </c>
      <c r="E27" s="59" t="s">
        <v>53</v>
      </c>
      <c r="F27" s="59" t="s">
        <v>137</v>
      </c>
      <c r="G27" s="59" t="s">
        <v>465</v>
      </c>
      <c r="H27" s="41" t="s">
        <v>42</v>
      </c>
      <c r="I27" s="56" t="s">
        <v>466</v>
      </c>
      <c r="J27" s="59" t="s">
        <v>117</v>
      </c>
      <c r="K27" s="59" t="s">
        <v>86</v>
      </c>
      <c r="L27" s="60" t="s">
        <v>36</v>
      </c>
      <c r="M27" s="57">
        <v>45505</v>
      </c>
      <c r="N27" s="58">
        <v>0.75</v>
      </c>
      <c r="O27" s="61">
        <f t="shared" ca="1" si="0"/>
        <v>0</v>
      </c>
      <c r="P27" s="43">
        <f t="shared" ca="1" si="1"/>
        <v>0</v>
      </c>
      <c r="Q27" s="7">
        <f t="shared" ca="1" si="2"/>
        <v>15.5</v>
      </c>
      <c r="R27" s="56">
        <f t="shared" si="3"/>
        <v>0</v>
      </c>
      <c r="S27" s="59" t="s">
        <v>118</v>
      </c>
    </row>
    <row r="28" spans="1:19" ht="21" customHeight="1">
      <c r="A28" s="62">
        <v>24</v>
      </c>
      <c r="B28" s="63">
        <v>45509</v>
      </c>
      <c r="C28" s="64">
        <v>0.47916666666666669</v>
      </c>
      <c r="D28" s="10" t="s">
        <v>55</v>
      </c>
      <c r="E28" s="65" t="s">
        <v>53</v>
      </c>
      <c r="F28" s="65" t="s">
        <v>114</v>
      </c>
      <c r="G28" s="65" t="s">
        <v>467</v>
      </c>
      <c r="H28" s="37" t="s">
        <v>42</v>
      </c>
      <c r="I28" s="62" t="s">
        <v>468</v>
      </c>
      <c r="J28" s="65" t="s">
        <v>117</v>
      </c>
      <c r="K28" s="65" t="s">
        <v>86</v>
      </c>
      <c r="L28" s="66" t="s">
        <v>36</v>
      </c>
      <c r="M28" s="63">
        <v>45509</v>
      </c>
      <c r="N28" s="64">
        <v>0.75</v>
      </c>
      <c r="O28" s="67">
        <f t="shared" ca="1" si="0"/>
        <v>0</v>
      </c>
      <c r="P28" s="39">
        <f t="shared" ca="1" si="1"/>
        <v>0</v>
      </c>
      <c r="Q28" s="15">
        <f t="shared" ca="1" si="2"/>
        <v>6.5</v>
      </c>
      <c r="R28" s="62">
        <f t="shared" si="3"/>
        <v>0</v>
      </c>
      <c r="S28" s="65" t="s">
        <v>118</v>
      </c>
    </row>
    <row r="29" spans="1:19" ht="21" customHeight="1">
      <c r="A29" s="56">
        <v>25</v>
      </c>
      <c r="B29" s="57">
        <v>45516</v>
      </c>
      <c r="C29" s="58">
        <v>0.3611111111111111</v>
      </c>
      <c r="D29" s="2" t="s">
        <v>55</v>
      </c>
      <c r="E29" s="59" t="s">
        <v>53</v>
      </c>
      <c r="F29" s="59" t="s">
        <v>114</v>
      </c>
      <c r="G29" s="59" t="s">
        <v>456</v>
      </c>
      <c r="H29" s="41" t="s">
        <v>40</v>
      </c>
      <c r="I29" s="56" t="s">
        <v>469</v>
      </c>
      <c r="J29" s="59" t="s">
        <v>117</v>
      </c>
      <c r="K29" s="59" t="s">
        <v>86</v>
      </c>
      <c r="L29" s="60" t="s">
        <v>36</v>
      </c>
      <c r="M29" s="57">
        <v>45516</v>
      </c>
      <c r="N29" s="58">
        <v>0.75</v>
      </c>
      <c r="O29" s="61">
        <f t="shared" ca="1" si="0"/>
        <v>9.3000000000000007</v>
      </c>
      <c r="P29" s="43">
        <f t="shared" ca="1" si="1"/>
        <v>0.39</v>
      </c>
      <c r="Q29" s="7">
        <f t="shared" ca="1" si="2"/>
        <v>9.3000000000000007</v>
      </c>
      <c r="R29" s="56">
        <f t="shared" si="3"/>
        <v>1</v>
      </c>
      <c r="S29" s="59" t="s">
        <v>118</v>
      </c>
    </row>
    <row r="30" spans="1:19" ht="21" customHeight="1">
      <c r="A30" s="62">
        <v>26</v>
      </c>
      <c r="B30" s="63">
        <v>45524</v>
      </c>
      <c r="C30" s="64">
        <v>0.44444444444444442</v>
      </c>
      <c r="D30" s="10" t="s">
        <v>55</v>
      </c>
      <c r="E30" s="65" t="s">
        <v>53</v>
      </c>
      <c r="F30" s="65" t="s">
        <v>137</v>
      </c>
      <c r="G30" s="65" t="s">
        <v>470</v>
      </c>
      <c r="H30" s="37" t="s">
        <v>40</v>
      </c>
      <c r="I30" s="62" t="s">
        <v>471</v>
      </c>
      <c r="J30" s="65" t="s">
        <v>117</v>
      </c>
      <c r="K30" s="65" t="s">
        <v>86</v>
      </c>
      <c r="L30" s="66" t="s">
        <v>36</v>
      </c>
      <c r="M30" s="63">
        <v>45524</v>
      </c>
      <c r="N30" s="64">
        <v>0.75</v>
      </c>
      <c r="O30" s="67">
        <f t="shared" ca="1" si="0"/>
        <v>7.3</v>
      </c>
      <c r="P30" s="39">
        <f t="shared" ca="1" si="1"/>
        <v>0.3</v>
      </c>
      <c r="Q30" s="15">
        <f t="shared" ca="1" si="2"/>
        <v>7.3</v>
      </c>
      <c r="R30" s="62">
        <f t="shared" si="3"/>
        <v>1</v>
      </c>
      <c r="S30" s="65" t="s">
        <v>118</v>
      </c>
    </row>
    <row r="31" spans="1:19" ht="21" customHeight="1">
      <c r="A31" s="56">
        <v>27</v>
      </c>
      <c r="B31" s="57">
        <v>45532</v>
      </c>
      <c r="C31" s="58">
        <v>0.45833333333333331</v>
      </c>
      <c r="D31" s="2" t="s">
        <v>55</v>
      </c>
      <c r="E31" s="59" t="s">
        <v>53</v>
      </c>
      <c r="F31" s="59" t="s">
        <v>114</v>
      </c>
      <c r="G31" s="59" t="s">
        <v>456</v>
      </c>
      <c r="H31" s="41" t="s">
        <v>40</v>
      </c>
      <c r="I31" s="56" t="s">
        <v>472</v>
      </c>
      <c r="J31" s="59" t="s">
        <v>117</v>
      </c>
      <c r="K31" s="59" t="s">
        <v>86</v>
      </c>
      <c r="L31" s="60" t="s">
        <v>36</v>
      </c>
      <c r="M31" s="57">
        <v>45532</v>
      </c>
      <c r="N31" s="58">
        <v>0.75</v>
      </c>
      <c r="O31" s="61">
        <f t="shared" ca="1" si="0"/>
        <v>7</v>
      </c>
      <c r="P31" s="43">
        <f t="shared" ca="1" si="1"/>
        <v>0.28999999999999998</v>
      </c>
      <c r="Q31" s="7">
        <f t="shared" ca="1" si="2"/>
        <v>7</v>
      </c>
      <c r="R31" s="56">
        <f t="shared" si="3"/>
        <v>1</v>
      </c>
      <c r="S31" s="59" t="s">
        <v>118</v>
      </c>
    </row>
    <row r="32" spans="1:19" ht="21" customHeight="1">
      <c r="A32" s="62">
        <v>28</v>
      </c>
      <c r="B32" s="63">
        <v>45534</v>
      </c>
      <c r="C32" s="64">
        <v>0.35416666666666669</v>
      </c>
      <c r="D32" s="10" t="s">
        <v>55</v>
      </c>
      <c r="E32" s="65" t="s">
        <v>53</v>
      </c>
      <c r="F32" s="65" t="s">
        <v>114</v>
      </c>
      <c r="G32" s="65" t="s">
        <v>456</v>
      </c>
      <c r="H32" s="37" t="s">
        <v>40</v>
      </c>
      <c r="I32" s="62" t="s">
        <v>473</v>
      </c>
      <c r="J32" s="65" t="s">
        <v>117</v>
      </c>
      <c r="K32" s="65" t="s">
        <v>86</v>
      </c>
      <c r="L32" s="66" t="s">
        <v>36</v>
      </c>
      <c r="M32" s="63">
        <v>45534</v>
      </c>
      <c r="N32" s="64">
        <v>0.75</v>
      </c>
      <c r="O32" s="67">
        <f t="shared" ca="1" si="0"/>
        <v>9.5</v>
      </c>
      <c r="P32" s="39">
        <f t="shared" ca="1" si="1"/>
        <v>0.4</v>
      </c>
      <c r="Q32" s="15">
        <f t="shared" ca="1" si="2"/>
        <v>9.5</v>
      </c>
      <c r="R32" s="62">
        <f t="shared" si="3"/>
        <v>1</v>
      </c>
      <c r="S32" s="65" t="s">
        <v>118</v>
      </c>
    </row>
    <row r="33" spans="1:19" ht="21" customHeight="1">
      <c r="A33" s="56">
        <v>29</v>
      </c>
      <c r="B33" s="57">
        <v>45536</v>
      </c>
      <c r="C33" s="58">
        <v>0.39583333333333331</v>
      </c>
      <c r="D33" s="2" t="s">
        <v>55</v>
      </c>
      <c r="E33" s="59" t="s">
        <v>53</v>
      </c>
      <c r="F33" s="59" t="s">
        <v>474</v>
      </c>
      <c r="G33" s="59" t="s">
        <v>475</v>
      </c>
      <c r="H33" s="41" t="s">
        <v>40</v>
      </c>
      <c r="I33" s="56" t="s">
        <v>476</v>
      </c>
      <c r="J33" s="59" t="s">
        <v>117</v>
      </c>
      <c r="K33" s="59" t="s">
        <v>86</v>
      </c>
      <c r="L33" s="60" t="s">
        <v>36</v>
      </c>
      <c r="M33" s="57">
        <v>45536</v>
      </c>
      <c r="N33" s="58">
        <v>0.75</v>
      </c>
      <c r="O33" s="61">
        <f t="shared" ca="1" si="0"/>
        <v>8.5</v>
      </c>
      <c r="P33" s="43">
        <f t="shared" ca="1" si="1"/>
        <v>0.35</v>
      </c>
      <c r="Q33" s="7">
        <f t="shared" ca="1" si="2"/>
        <v>8.5</v>
      </c>
      <c r="R33" s="56">
        <f t="shared" si="3"/>
        <v>1</v>
      </c>
      <c r="S33" s="59" t="s">
        <v>118</v>
      </c>
    </row>
    <row r="34" spans="1:19" ht="21" customHeight="1">
      <c r="A34" s="62">
        <v>30</v>
      </c>
      <c r="B34" s="63">
        <v>45539</v>
      </c>
      <c r="C34" s="64">
        <v>0.45833333333333331</v>
      </c>
      <c r="D34" s="10" t="s">
        <v>55</v>
      </c>
      <c r="E34" s="65" t="s">
        <v>53</v>
      </c>
      <c r="F34" s="65" t="s">
        <v>125</v>
      </c>
      <c r="G34" s="65" t="s">
        <v>477</v>
      </c>
      <c r="H34" s="37" t="s">
        <v>40</v>
      </c>
      <c r="I34" s="62" t="s">
        <v>478</v>
      </c>
      <c r="J34" s="65" t="s">
        <v>117</v>
      </c>
      <c r="K34" s="65" t="s">
        <v>86</v>
      </c>
      <c r="L34" s="66" t="s">
        <v>36</v>
      </c>
      <c r="M34" s="63">
        <v>45540</v>
      </c>
      <c r="N34" s="64">
        <v>0.75</v>
      </c>
      <c r="O34" s="67">
        <f t="shared" ca="1" si="0"/>
        <v>31</v>
      </c>
      <c r="P34" s="39">
        <f t="shared" ca="1" si="1"/>
        <v>1.29</v>
      </c>
      <c r="Q34" s="15">
        <f t="shared" ca="1" si="2"/>
        <v>31</v>
      </c>
      <c r="R34" s="62">
        <f t="shared" si="3"/>
        <v>1</v>
      </c>
      <c r="S34" s="65" t="s">
        <v>118</v>
      </c>
    </row>
    <row r="35" spans="1:19" ht="21" customHeight="1">
      <c r="A35" s="56">
        <v>31</v>
      </c>
      <c r="B35" s="57">
        <v>45545</v>
      </c>
      <c r="C35" s="58">
        <v>0.41666666666666669</v>
      </c>
      <c r="D35" s="2" t="s">
        <v>55</v>
      </c>
      <c r="E35" s="59" t="s">
        <v>53</v>
      </c>
      <c r="F35" s="59" t="s">
        <v>474</v>
      </c>
      <c r="G35" s="59" t="s">
        <v>479</v>
      </c>
      <c r="H35" s="41" t="s">
        <v>42</v>
      </c>
      <c r="I35" s="56" t="s">
        <v>478</v>
      </c>
      <c r="J35" s="59" t="s">
        <v>117</v>
      </c>
      <c r="K35" s="59" t="s">
        <v>86</v>
      </c>
      <c r="L35" s="60" t="s">
        <v>36</v>
      </c>
      <c r="M35" s="57">
        <v>45545</v>
      </c>
      <c r="N35" s="58">
        <v>0.75</v>
      </c>
      <c r="O35" s="61">
        <f t="shared" ca="1" si="0"/>
        <v>0</v>
      </c>
      <c r="P35" s="43">
        <f t="shared" ca="1" si="1"/>
        <v>0</v>
      </c>
      <c r="Q35" s="7">
        <f t="shared" ca="1" si="2"/>
        <v>8</v>
      </c>
      <c r="R35" s="56">
        <f t="shared" si="3"/>
        <v>0</v>
      </c>
      <c r="S35" s="59" t="s">
        <v>118</v>
      </c>
    </row>
    <row r="36" spans="1:19" ht="21" customHeight="1">
      <c r="A36" s="62">
        <v>32</v>
      </c>
      <c r="B36" s="63">
        <v>45548</v>
      </c>
      <c r="C36" s="64">
        <v>0.41666666666666669</v>
      </c>
      <c r="D36" s="10" t="s">
        <v>201</v>
      </c>
      <c r="E36" s="65" t="s">
        <v>58</v>
      </c>
      <c r="F36" s="65" t="s">
        <v>199</v>
      </c>
      <c r="G36" s="65" t="s">
        <v>480</v>
      </c>
      <c r="H36" s="37" t="s">
        <v>42</v>
      </c>
      <c r="I36" s="62" t="s">
        <v>481</v>
      </c>
      <c r="J36" s="65" t="s">
        <v>117</v>
      </c>
      <c r="K36" s="65" t="s">
        <v>86</v>
      </c>
      <c r="L36" s="66" t="s">
        <v>36</v>
      </c>
      <c r="M36" s="63">
        <v>45549</v>
      </c>
      <c r="N36" s="64">
        <v>0.75</v>
      </c>
      <c r="O36" s="67">
        <f t="shared" ca="1" si="0"/>
        <v>0</v>
      </c>
      <c r="P36" s="39">
        <f t="shared" ca="1" si="1"/>
        <v>0</v>
      </c>
      <c r="Q36" s="15">
        <f t="shared" ca="1" si="2"/>
        <v>32</v>
      </c>
      <c r="R36" s="62">
        <f t="shared" si="3"/>
        <v>0</v>
      </c>
      <c r="S36" s="65" t="s">
        <v>118</v>
      </c>
    </row>
    <row r="37" spans="1:19" ht="21" customHeight="1">
      <c r="A37" s="56">
        <v>33</v>
      </c>
      <c r="B37" s="57">
        <v>45552</v>
      </c>
      <c r="C37" s="58">
        <v>0.41666666666666669</v>
      </c>
      <c r="D37" s="2" t="s">
        <v>190</v>
      </c>
      <c r="E37" s="59" t="s">
        <v>63</v>
      </c>
      <c r="F37" s="59" t="s">
        <v>137</v>
      </c>
      <c r="G37" s="59" t="s">
        <v>482</v>
      </c>
      <c r="H37" s="41" t="s">
        <v>40</v>
      </c>
      <c r="I37" s="56" t="s">
        <v>131</v>
      </c>
      <c r="J37" s="59" t="s">
        <v>117</v>
      </c>
      <c r="K37" s="59" t="s">
        <v>86</v>
      </c>
      <c r="L37" s="60" t="s">
        <v>36</v>
      </c>
      <c r="M37" s="57">
        <v>45554</v>
      </c>
      <c r="N37" s="58">
        <v>0.75</v>
      </c>
      <c r="O37" s="61">
        <f t="shared" ca="1" si="0"/>
        <v>56</v>
      </c>
      <c r="P37" s="43">
        <f t="shared" ca="1" si="1"/>
        <v>2.33</v>
      </c>
      <c r="Q37" s="7">
        <f t="shared" ca="1" si="2"/>
        <v>56</v>
      </c>
      <c r="R37" s="56">
        <f t="shared" si="3"/>
        <v>1</v>
      </c>
      <c r="S37" s="59" t="s">
        <v>118</v>
      </c>
    </row>
    <row r="38" spans="1:19" ht="21" customHeight="1">
      <c r="A38" s="62">
        <v>34</v>
      </c>
      <c r="B38" s="63">
        <v>45553</v>
      </c>
      <c r="C38" s="64">
        <v>0.41666666666666669</v>
      </c>
      <c r="D38" s="10" t="s">
        <v>55</v>
      </c>
      <c r="E38" s="65" t="s">
        <v>53</v>
      </c>
      <c r="F38" s="65" t="s">
        <v>474</v>
      </c>
      <c r="G38" s="65" t="s">
        <v>483</v>
      </c>
      <c r="H38" s="37" t="s">
        <v>40</v>
      </c>
      <c r="I38" s="62" t="s">
        <v>484</v>
      </c>
      <c r="J38" s="65" t="s">
        <v>117</v>
      </c>
      <c r="K38" s="65" t="s">
        <v>86</v>
      </c>
      <c r="L38" s="66" t="s">
        <v>36</v>
      </c>
      <c r="M38" s="63">
        <v>45554</v>
      </c>
      <c r="N38" s="64">
        <v>0.75</v>
      </c>
      <c r="O38" s="67">
        <f t="shared" ca="1" si="0"/>
        <v>32</v>
      </c>
      <c r="P38" s="39">
        <f t="shared" ca="1" si="1"/>
        <v>1.33</v>
      </c>
      <c r="Q38" s="15">
        <f t="shared" ca="1" si="2"/>
        <v>32</v>
      </c>
      <c r="R38" s="62">
        <f t="shared" si="3"/>
        <v>1</v>
      </c>
      <c r="S38" s="65" t="s">
        <v>118</v>
      </c>
    </row>
    <row r="39" spans="1:19" ht="21" customHeight="1">
      <c r="A39" s="56">
        <v>35</v>
      </c>
      <c r="B39" s="57">
        <v>45560</v>
      </c>
      <c r="C39" s="58">
        <v>0.45833333333333331</v>
      </c>
      <c r="D39" s="2" t="s">
        <v>485</v>
      </c>
      <c r="E39" s="59" t="s">
        <v>63</v>
      </c>
      <c r="F39" s="59" t="s">
        <v>162</v>
      </c>
      <c r="G39" s="59" t="s">
        <v>486</v>
      </c>
      <c r="H39" s="41" t="s">
        <v>40</v>
      </c>
      <c r="I39" s="56" t="s">
        <v>487</v>
      </c>
      <c r="J39" s="59" t="s">
        <v>117</v>
      </c>
      <c r="K39" s="59" t="s">
        <v>86</v>
      </c>
      <c r="L39" s="60" t="s">
        <v>36</v>
      </c>
      <c r="M39" s="57">
        <v>45562</v>
      </c>
      <c r="N39" s="58">
        <v>0.75</v>
      </c>
      <c r="O39" s="61">
        <f t="shared" ca="1" si="0"/>
        <v>55</v>
      </c>
      <c r="P39" s="43">
        <f t="shared" ca="1" si="1"/>
        <v>2.29</v>
      </c>
      <c r="Q39" s="7">
        <f t="shared" ca="1" si="2"/>
        <v>55</v>
      </c>
      <c r="R39" s="56">
        <f t="shared" si="3"/>
        <v>1</v>
      </c>
      <c r="S39" s="59" t="s">
        <v>118</v>
      </c>
    </row>
    <row r="40" spans="1:19" ht="21" customHeight="1">
      <c r="A40" s="62">
        <v>36</v>
      </c>
      <c r="B40" s="63">
        <v>45564</v>
      </c>
      <c r="C40" s="64">
        <v>0.95833333333333337</v>
      </c>
      <c r="D40" s="10" t="s">
        <v>68</v>
      </c>
      <c r="E40" s="65" t="s">
        <v>69</v>
      </c>
      <c r="F40" s="65" t="s">
        <v>414</v>
      </c>
      <c r="G40" s="65" t="s">
        <v>488</v>
      </c>
      <c r="H40" s="37" t="s">
        <v>40</v>
      </c>
      <c r="I40" s="62" t="s">
        <v>489</v>
      </c>
      <c r="J40" s="65" t="s">
        <v>117</v>
      </c>
      <c r="K40" s="65" t="s">
        <v>86</v>
      </c>
      <c r="L40" s="66" t="s">
        <v>36</v>
      </c>
      <c r="M40" s="63">
        <v>45565</v>
      </c>
      <c r="N40" s="64">
        <v>0.75</v>
      </c>
      <c r="O40" s="67">
        <f t="shared" ca="1" si="0"/>
        <v>19</v>
      </c>
      <c r="P40" s="39">
        <f t="shared" ca="1" si="1"/>
        <v>0.79</v>
      </c>
      <c r="Q40" s="15">
        <f t="shared" ca="1" si="2"/>
        <v>19</v>
      </c>
      <c r="R40" s="62">
        <f t="shared" si="3"/>
        <v>1</v>
      </c>
      <c r="S40" s="65" t="s">
        <v>118</v>
      </c>
    </row>
    <row r="41" spans="1:19" ht="21" customHeight="1">
      <c r="A41" s="56">
        <v>37</v>
      </c>
      <c r="B41" s="57">
        <v>45566</v>
      </c>
      <c r="C41" s="58">
        <v>0.41666666666666669</v>
      </c>
      <c r="D41" s="2" t="s">
        <v>490</v>
      </c>
      <c r="E41" s="59" t="s">
        <v>66</v>
      </c>
      <c r="F41" s="59" t="s">
        <v>114</v>
      </c>
      <c r="G41" s="59" t="s">
        <v>491</v>
      </c>
      <c r="H41" s="41" t="s">
        <v>42</v>
      </c>
      <c r="I41" s="56" t="s">
        <v>492</v>
      </c>
      <c r="J41" s="59" t="s">
        <v>117</v>
      </c>
      <c r="K41" s="59" t="s">
        <v>86</v>
      </c>
      <c r="L41" s="60" t="s">
        <v>36</v>
      </c>
      <c r="M41" s="57">
        <v>45568</v>
      </c>
      <c r="N41" s="58">
        <v>0.75</v>
      </c>
      <c r="O41" s="61">
        <f t="shared" ca="1" si="0"/>
        <v>0</v>
      </c>
      <c r="P41" s="43">
        <f t="shared" ca="1" si="1"/>
        <v>0</v>
      </c>
      <c r="Q41" s="7">
        <f t="shared" ca="1" si="2"/>
        <v>56</v>
      </c>
      <c r="R41" s="56">
        <f t="shared" si="3"/>
        <v>0</v>
      </c>
      <c r="S41" s="59" t="s">
        <v>118</v>
      </c>
    </row>
    <row r="42" spans="1:19" ht="21" customHeight="1">
      <c r="A42" s="62">
        <v>38</v>
      </c>
      <c r="B42" s="63">
        <v>45573</v>
      </c>
      <c r="C42" s="64">
        <v>0.5</v>
      </c>
      <c r="D42" s="10" t="s">
        <v>201</v>
      </c>
      <c r="E42" s="65" t="s">
        <v>58</v>
      </c>
      <c r="F42" s="65" t="s">
        <v>199</v>
      </c>
      <c r="G42" s="65" t="s">
        <v>493</v>
      </c>
      <c r="H42" s="37" t="s">
        <v>42</v>
      </c>
      <c r="I42" s="62" t="s">
        <v>494</v>
      </c>
      <c r="J42" s="65" t="s">
        <v>117</v>
      </c>
      <c r="K42" s="65" t="s">
        <v>86</v>
      </c>
      <c r="L42" s="66" t="s">
        <v>36</v>
      </c>
      <c r="M42" s="63">
        <v>45579</v>
      </c>
      <c r="N42" s="64">
        <v>0.75</v>
      </c>
      <c r="O42" s="67">
        <f t="shared" ca="1" si="0"/>
        <v>0</v>
      </c>
      <c r="P42" s="39">
        <f t="shared" ca="1" si="1"/>
        <v>0</v>
      </c>
      <c r="Q42" s="15">
        <f t="shared" ca="1" si="2"/>
        <v>150</v>
      </c>
      <c r="R42" s="62">
        <f t="shared" si="3"/>
        <v>0</v>
      </c>
      <c r="S42" s="65" t="s">
        <v>118</v>
      </c>
    </row>
    <row r="43" spans="1:19" ht="21" customHeight="1">
      <c r="A43" s="56">
        <v>39</v>
      </c>
      <c r="B43" s="57">
        <v>45574</v>
      </c>
      <c r="C43" s="58">
        <v>0.41666666666666669</v>
      </c>
      <c r="D43" s="2" t="s">
        <v>55</v>
      </c>
      <c r="E43" s="59" t="s">
        <v>53</v>
      </c>
      <c r="F43" s="59" t="s">
        <v>262</v>
      </c>
      <c r="G43" s="59" t="s">
        <v>495</v>
      </c>
      <c r="H43" s="41" t="s">
        <v>40</v>
      </c>
      <c r="I43" s="56" t="s">
        <v>496</v>
      </c>
      <c r="J43" s="59" t="s">
        <v>117</v>
      </c>
      <c r="K43" s="59" t="s">
        <v>86</v>
      </c>
      <c r="L43" s="60" t="s">
        <v>36</v>
      </c>
      <c r="M43" s="57">
        <v>45575</v>
      </c>
      <c r="N43" s="58">
        <v>0.75</v>
      </c>
      <c r="O43" s="61">
        <f t="shared" ca="1" si="0"/>
        <v>32</v>
      </c>
      <c r="P43" s="43">
        <f t="shared" ca="1" si="1"/>
        <v>1.33</v>
      </c>
      <c r="Q43" s="7">
        <f t="shared" ca="1" si="2"/>
        <v>32</v>
      </c>
      <c r="R43" s="56">
        <f t="shared" si="3"/>
        <v>1</v>
      </c>
      <c r="S43" s="59" t="s">
        <v>118</v>
      </c>
    </row>
    <row r="44" spans="1:19" ht="21" customHeight="1">
      <c r="A44" s="62">
        <v>40</v>
      </c>
      <c r="B44" s="63">
        <v>45575</v>
      </c>
      <c r="C44" s="64">
        <v>0.41666666666666669</v>
      </c>
      <c r="D44" s="10" t="s">
        <v>490</v>
      </c>
      <c r="E44" s="65" t="s">
        <v>66</v>
      </c>
      <c r="F44" s="65" t="s">
        <v>114</v>
      </c>
      <c r="G44" s="65" t="s">
        <v>497</v>
      </c>
      <c r="H44" s="37" t="s">
        <v>42</v>
      </c>
      <c r="I44" s="62" t="s">
        <v>131</v>
      </c>
      <c r="J44" s="65" t="s">
        <v>117</v>
      </c>
      <c r="K44" s="65" t="s">
        <v>86</v>
      </c>
      <c r="L44" s="66" t="s">
        <v>36</v>
      </c>
      <c r="M44" s="63">
        <v>45576</v>
      </c>
      <c r="N44" s="64">
        <v>0.75</v>
      </c>
      <c r="O44" s="67">
        <f t="shared" ca="1" si="0"/>
        <v>0</v>
      </c>
      <c r="P44" s="39">
        <f t="shared" ca="1" si="1"/>
        <v>0</v>
      </c>
      <c r="Q44" s="15">
        <f t="shared" ca="1" si="2"/>
        <v>32</v>
      </c>
      <c r="R44" s="62">
        <f t="shared" si="3"/>
        <v>0</v>
      </c>
      <c r="S44" s="65" t="s">
        <v>118</v>
      </c>
    </row>
    <row r="45" spans="1:19" ht="21" customHeight="1">
      <c r="A45" s="56">
        <v>41</v>
      </c>
      <c r="B45" s="57">
        <v>45579</v>
      </c>
      <c r="C45" s="58">
        <v>0.41666666666666669</v>
      </c>
      <c r="D45" s="2" t="s">
        <v>136</v>
      </c>
      <c r="E45" s="59" t="s">
        <v>53</v>
      </c>
      <c r="F45" s="59" t="s">
        <v>137</v>
      </c>
      <c r="G45" s="59" t="s">
        <v>498</v>
      </c>
      <c r="H45" s="41" t="s">
        <v>42</v>
      </c>
      <c r="I45" s="56" t="s">
        <v>499</v>
      </c>
      <c r="J45" s="59" t="s">
        <v>117</v>
      </c>
      <c r="K45" s="59" t="s">
        <v>86</v>
      </c>
      <c r="L45" s="60" t="s">
        <v>36</v>
      </c>
      <c r="M45" s="57">
        <v>45580</v>
      </c>
      <c r="N45" s="58">
        <v>0.75</v>
      </c>
      <c r="O45" s="61">
        <f t="shared" ca="1" si="0"/>
        <v>0</v>
      </c>
      <c r="P45" s="43">
        <f t="shared" ca="1" si="1"/>
        <v>0</v>
      </c>
      <c r="Q45" s="7">
        <f t="shared" ca="1" si="2"/>
        <v>32</v>
      </c>
      <c r="R45" s="56">
        <f t="shared" si="3"/>
        <v>0</v>
      </c>
      <c r="S45" s="59" t="s">
        <v>118</v>
      </c>
    </row>
    <row r="46" spans="1:19" ht="21" customHeight="1">
      <c r="A46" s="62">
        <v>42</v>
      </c>
      <c r="B46" s="63">
        <v>45580</v>
      </c>
      <c r="C46" s="64">
        <v>0.45833333333333331</v>
      </c>
      <c r="D46" s="10" t="s">
        <v>500</v>
      </c>
      <c r="E46" s="65" t="s">
        <v>58</v>
      </c>
      <c r="F46" s="65" t="s">
        <v>114</v>
      </c>
      <c r="G46" s="65" t="s">
        <v>501</v>
      </c>
      <c r="H46" s="37" t="s">
        <v>42</v>
      </c>
      <c r="I46" s="62" t="s">
        <v>502</v>
      </c>
      <c r="J46" s="65" t="s">
        <v>117</v>
      </c>
      <c r="K46" s="65" t="s">
        <v>86</v>
      </c>
      <c r="L46" s="66" t="s">
        <v>36</v>
      </c>
      <c r="M46" s="63">
        <v>45580</v>
      </c>
      <c r="N46" s="64">
        <v>0.75</v>
      </c>
      <c r="O46" s="67">
        <f t="shared" ca="1" si="0"/>
        <v>0</v>
      </c>
      <c r="P46" s="39">
        <f t="shared" ca="1" si="1"/>
        <v>0</v>
      </c>
      <c r="Q46" s="15">
        <f t="shared" ca="1" si="2"/>
        <v>7</v>
      </c>
      <c r="R46" s="62">
        <f t="shared" si="3"/>
        <v>0</v>
      </c>
      <c r="S46" s="65" t="s">
        <v>118</v>
      </c>
    </row>
    <row r="47" spans="1:19" ht="21" customHeight="1">
      <c r="A47" s="56">
        <v>43</v>
      </c>
      <c r="B47" s="57">
        <v>45580</v>
      </c>
      <c r="C47" s="58">
        <v>0.45833333333333331</v>
      </c>
      <c r="D47" s="2" t="s">
        <v>62</v>
      </c>
      <c r="E47" s="59" t="s">
        <v>63</v>
      </c>
      <c r="F47" s="59" t="s">
        <v>137</v>
      </c>
      <c r="G47" s="59" t="s">
        <v>503</v>
      </c>
      <c r="H47" s="41" t="s">
        <v>40</v>
      </c>
      <c r="I47" s="56" t="s">
        <v>504</v>
      </c>
      <c r="J47" s="59" t="s">
        <v>117</v>
      </c>
      <c r="K47" s="59" t="s">
        <v>86</v>
      </c>
      <c r="L47" s="60" t="s">
        <v>36</v>
      </c>
      <c r="M47" s="57">
        <v>45582</v>
      </c>
      <c r="N47" s="58">
        <v>0.75</v>
      </c>
      <c r="O47" s="61">
        <f t="shared" ca="1" si="0"/>
        <v>55</v>
      </c>
      <c r="P47" s="43">
        <f t="shared" ca="1" si="1"/>
        <v>2.29</v>
      </c>
      <c r="Q47" s="7">
        <f t="shared" ca="1" si="2"/>
        <v>55</v>
      </c>
      <c r="R47" s="56">
        <f t="shared" si="3"/>
        <v>1</v>
      </c>
      <c r="S47" s="59" t="s">
        <v>118</v>
      </c>
    </row>
    <row r="48" spans="1:19" ht="21" customHeight="1">
      <c r="A48" s="62">
        <v>44</v>
      </c>
      <c r="B48" s="63">
        <v>45582</v>
      </c>
      <c r="C48" s="64">
        <v>0.5</v>
      </c>
      <c r="D48" s="10" t="s">
        <v>201</v>
      </c>
      <c r="E48" s="65" t="s">
        <v>58</v>
      </c>
      <c r="F48" s="65" t="s">
        <v>133</v>
      </c>
      <c r="G48" s="65" t="s">
        <v>505</v>
      </c>
      <c r="H48" s="37" t="s">
        <v>40</v>
      </c>
      <c r="I48" s="62" t="s">
        <v>131</v>
      </c>
      <c r="J48" s="65" t="s">
        <v>117</v>
      </c>
      <c r="K48" s="65" t="s">
        <v>86</v>
      </c>
      <c r="L48" s="66" t="s">
        <v>36</v>
      </c>
      <c r="M48" s="63">
        <v>45582</v>
      </c>
      <c r="N48" s="64">
        <v>0.75</v>
      </c>
      <c r="O48" s="67">
        <f t="shared" ca="1" si="0"/>
        <v>6</v>
      </c>
      <c r="P48" s="39">
        <f t="shared" ca="1" si="1"/>
        <v>0.25</v>
      </c>
      <c r="Q48" s="15">
        <f t="shared" ca="1" si="2"/>
        <v>6</v>
      </c>
      <c r="R48" s="62">
        <f t="shared" si="3"/>
        <v>1</v>
      </c>
      <c r="S48" s="65" t="s">
        <v>118</v>
      </c>
    </row>
    <row r="49" spans="1:19" ht="21" customHeight="1">
      <c r="A49" s="56">
        <v>45</v>
      </c>
      <c r="B49" s="57">
        <v>45582</v>
      </c>
      <c r="C49" s="58">
        <v>0.41666666666666669</v>
      </c>
      <c r="D49" s="2" t="s">
        <v>62</v>
      </c>
      <c r="E49" s="59" t="s">
        <v>63</v>
      </c>
      <c r="F49" s="59" t="s">
        <v>137</v>
      </c>
      <c r="G49" s="59" t="s">
        <v>506</v>
      </c>
      <c r="H49" s="41" t="s">
        <v>40</v>
      </c>
      <c r="I49" s="56" t="s">
        <v>507</v>
      </c>
      <c r="J49" s="59" t="s">
        <v>117</v>
      </c>
      <c r="K49" s="59" t="s">
        <v>86</v>
      </c>
      <c r="L49" s="60" t="s">
        <v>36</v>
      </c>
      <c r="M49" s="57">
        <v>45588</v>
      </c>
      <c r="N49" s="58">
        <v>0.75</v>
      </c>
      <c r="O49" s="61">
        <f t="shared" ca="1" si="0"/>
        <v>152</v>
      </c>
      <c r="P49" s="43">
        <f t="shared" ca="1" si="1"/>
        <v>6.33</v>
      </c>
      <c r="Q49" s="7">
        <f t="shared" ca="1" si="2"/>
        <v>152</v>
      </c>
      <c r="R49" s="56">
        <f t="shared" si="3"/>
        <v>1</v>
      </c>
      <c r="S49" s="59" t="s">
        <v>118</v>
      </c>
    </row>
    <row r="50" spans="1:19" ht="21" customHeight="1">
      <c r="A50" s="62">
        <v>46</v>
      </c>
      <c r="B50" s="63">
        <v>45583</v>
      </c>
      <c r="C50" s="64">
        <v>0.41666666666666669</v>
      </c>
      <c r="D50" s="10" t="s">
        <v>55</v>
      </c>
      <c r="E50" s="65" t="s">
        <v>53</v>
      </c>
      <c r="F50" s="65" t="s">
        <v>125</v>
      </c>
      <c r="G50" s="65" t="s">
        <v>508</v>
      </c>
      <c r="H50" s="37" t="s">
        <v>40</v>
      </c>
      <c r="I50" s="62" t="s">
        <v>509</v>
      </c>
      <c r="J50" s="65" t="s">
        <v>117</v>
      </c>
      <c r="K50" s="65" t="s">
        <v>86</v>
      </c>
      <c r="L50" s="66" t="s">
        <v>36</v>
      </c>
      <c r="M50" s="63">
        <v>45583</v>
      </c>
      <c r="N50" s="64">
        <v>0.75</v>
      </c>
      <c r="O50" s="67">
        <f t="shared" ca="1" si="0"/>
        <v>8</v>
      </c>
      <c r="P50" s="39">
        <f t="shared" ca="1" si="1"/>
        <v>0.33</v>
      </c>
      <c r="Q50" s="15">
        <f t="shared" ca="1" si="2"/>
        <v>8</v>
      </c>
      <c r="R50" s="62">
        <f t="shared" si="3"/>
        <v>1</v>
      </c>
      <c r="S50" s="65" t="s">
        <v>118</v>
      </c>
    </row>
    <row r="51" spans="1:19" ht="21" customHeight="1">
      <c r="A51" s="56">
        <v>47</v>
      </c>
      <c r="B51" s="57">
        <v>45583</v>
      </c>
      <c r="C51" s="58">
        <v>0.41666666666666669</v>
      </c>
      <c r="D51" s="2" t="s">
        <v>286</v>
      </c>
      <c r="E51" s="59" t="s">
        <v>53</v>
      </c>
      <c r="F51" s="59" t="s">
        <v>133</v>
      </c>
      <c r="G51" s="59" t="s">
        <v>510</v>
      </c>
      <c r="H51" s="41" t="s">
        <v>40</v>
      </c>
      <c r="I51" s="56" t="s">
        <v>131</v>
      </c>
      <c r="J51" s="59" t="s">
        <v>117</v>
      </c>
      <c r="K51" s="59" t="s">
        <v>86</v>
      </c>
      <c r="L51" s="60" t="s">
        <v>36</v>
      </c>
      <c r="M51" s="57">
        <v>45573</v>
      </c>
      <c r="N51" s="58">
        <v>0.75</v>
      </c>
      <c r="O51" s="61">
        <f t="shared" ca="1" si="0"/>
        <v>0</v>
      </c>
      <c r="P51" s="43">
        <f t="shared" ca="1" si="1"/>
        <v>0</v>
      </c>
      <c r="Q51" s="7">
        <f t="shared" ca="1" si="2"/>
        <v>0</v>
      </c>
      <c r="R51" s="56">
        <f t="shared" si="3"/>
        <v>1</v>
      </c>
      <c r="S51" s="59" t="s">
        <v>118</v>
      </c>
    </row>
    <row r="52" spans="1:19" ht="21" customHeight="1">
      <c r="A52" s="62">
        <v>48</v>
      </c>
      <c r="B52" s="63">
        <v>45583</v>
      </c>
      <c r="C52" s="64">
        <v>0.375</v>
      </c>
      <c r="D52" s="10" t="s">
        <v>170</v>
      </c>
      <c r="E52" s="65" t="s">
        <v>69</v>
      </c>
      <c r="F52" s="65" t="s">
        <v>137</v>
      </c>
      <c r="G52" s="65" t="s">
        <v>511</v>
      </c>
      <c r="H52" s="37" t="s">
        <v>42</v>
      </c>
      <c r="I52" s="62" t="s">
        <v>131</v>
      </c>
      <c r="J52" s="65" t="s">
        <v>117</v>
      </c>
      <c r="K52" s="65" t="s">
        <v>86</v>
      </c>
      <c r="L52" s="66" t="s">
        <v>36</v>
      </c>
      <c r="M52" s="63">
        <v>45584</v>
      </c>
      <c r="N52" s="64">
        <v>0.75</v>
      </c>
      <c r="O52" s="67">
        <f t="shared" ca="1" si="0"/>
        <v>0</v>
      </c>
      <c r="P52" s="39">
        <f t="shared" ca="1" si="1"/>
        <v>0</v>
      </c>
      <c r="Q52" s="15">
        <f t="shared" ca="1" si="2"/>
        <v>33</v>
      </c>
      <c r="R52" s="62">
        <f t="shared" si="3"/>
        <v>0</v>
      </c>
      <c r="S52" s="65" t="s">
        <v>118</v>
      </c>
    </row>
    <row r="53" spans="1:19" ht="21" customHeight="1">
      <c r="A53" s="56">
        <v>49</v>
      </c>
      <c r="B53" s="57">
        <v>45585</v>
      </c>
      <c r="C53" s="58">
        <v>0.41666666666666669</v>
      </c>
      <c r="D53" s="2" t="s">
        <v>55</v>
      </c>
      <c r="E53" s="59" t="s">
        <v>53</v>
      </c>
      <c r="F53" s="59" t="s">
        <v>153</v>
      </c>
      <c r="G53" s="59" t="s">
        <v>512</v>
      </c>
      <c r="H53" s="41" t="s">
        <v>40</v>
      </c>
      <c r="I53" s="56" t="s">
        <v>131</v>
      </c>
      <c r="J53" s="59" t="s">
        <v>117</v>
      </c>
      <c r="K53" s="59" t="s">
        <v>86</v>
      </c>
      <c r="L53" s="60" t="s">
        <v>36</v>
      </c>
      <c r="M53" s="57">
        <v>45586</v>
      </c>
      <c r="N53" s="58">
        <v>0.75</v>
      </c>
      <c r="O53" s="61">
        <f t="shared" ca="1" si="0"/>
        <v>32</v>
      </c>
      <c r="P53" s="43">
        <f t="shared" ca="1" si="1"/>
        <v>1.33</v>
      </c>
      <c r="Q53" s="7">
        <f t="shared" ca="1" si="2"/>
        <v>32</v>
      </c>
      <c r="R53" s="56">
        <f t="shared" si="3"/>
        <v>1</v>
      </c>
      <c r="S53" s="59" t="s">
        <v>118</v>
      </c>
    </row>
    <row r="54" spans="1:19" ht="21" customHeight="1">
      <c r="A54" s="62">
        <v>50</v>
      </c>
      <c r="B54" s="63">
        <v>45586</v>
      </c>
      <c r="C54" s="64">
        <v>0.45833333333333331</v>
      </c>
      <c r="D54" s="10" t="s">
        <v>57</v>
      </c>
      <c r="E54" s="65" t="s">
        <v>58</v>
      </c>
      <c r="F54" s="65" t="s">
        <v>114</v>
      </c>
      <c r="G54" s="65" t="s">
        <v>513</v>
      </c>
      <c r="H54" s="37" t="s">
        <v>40</v>
      </c>
      <c r="I54" s="62" t="s">
        <v>131</v>
      </c>
      <c r="J54" s="65" t="s">
        <v>117</v>
      </c>
      <c r="K54" s="65" t="s">
        <v>86</v>
      </c>
      <c r="L54" s="66" t="s">
        <v>36</v>
      </c>
      <c r="M54" s="63">
        <v>45626</v>
      </c>
      <c r="N54" s="64">
        <v>0.75</v>
      </c>
      <c r="O54" s="67">
        <f t="shared" ca="1" si="0"/>
        <v>967</v>
      </c>
      <c r="P54" s="39">
        <f t="shared" ca="1" si="1"/>
        <v>40.29</v>
      </c>
      <c r="Q54" s="15">
        <f t="shared" ca="1" si="2"/>
        <v>967</v>
      </c>
      <c r="R54" s="62">
        <f t="shared" si="3"/>
        <v>1</v>
      </c>
      <c r="S54" s="65" t="s">
        <v>118</v>
      </c>
    </row>
    <row r="55" spans="1:19" ht="21" customHeight="1">
      <c r="A55" s="56">
        <v>51</v>
      </c>
      <c r="B55" s="57">
        <v>45588</v>
      </c>
      <c r="C55" s="58">
        <v>0.41666666666666669</v>
      </c>
      <c r="D55" s="2" t="s">
        <v>55</v>
      </c>
      <c r="E55" s="59" t="s">
        <v>53</v>
      </c>
      <c r="F55" s="59" t="s">
        <v>137</v>
      </c>
      <c r="G55" s="59" t="s">
        <v>514</v>
      </c>
      <c r="H55" s="41" t="s">
        <v>42</v>
      </c>
      <c r="I55" s="56" t="s">
        <v>515</v>
      </c>
      <c r="J55" s="59" t="s">
        <v>117</v>
      </c>
      <c r="K55" s="59" t="s">
        <v>86</v>
      </c>
      <c r="L55" s="60" t="s">
        <v>36</v>
      </c>
      <c r="M55" s="57">
        <v>45588</v>
      </c>
      <c r="N55" s="58">
        <v>0.75</v>
      </c>
      <c r="O55" s="61">
        <f t="shared" ca="1" si="0"/>
        <v>0</v>
      </c>
      <c r="P55" s="43">
        <f t="shared" ca="1" si="1"/>
        <v>0</v>
      </c>
      <c r="Q55" s="7">
        <f t="shared" ca="1" si="2"/>
        <v>8</v>
      </c>
      <c r="R55" s="56">
        <f t="shared" si="3"/>
        <v>0</v>
      </c>
      <c r="S55" s="59" t="s">
        <v>118</v>
      </c>
    </row>
    <row r="56" spans="1:19" ht="21" customHeight="1">
      <c r="A56" s="62">
        <v>52</v>
      </c>
      <c r="B56" s="63">
        <v>45588</v>
      </c>
      <c r="C56" s="64">
        <v>0.41666666666666669</v>
      </c>
      <c r="D56" s="10" t="s">
        <v>233</v>
      </c>
      <c r="E56" s="65" t="s">
        <v>72</v>
      </c>
      <c r="F56" s="65" t="s">
        <v>137</v>
      </c>
      <c r="G56" s="65" t="s">
        <v>516</v>
      </c>
      <c r="H56" s="37" t="s">
        <v>40</v>
      </c>
      <c r="I56" s="62" t="s">
        <v>131</v>
      </c>
      <c r="J56" s="65" t="s">
        <v>117</v>
      </c>
      <c r="K56" s="65" t="s">
        <v>86</v>
      </c>
      <c r="L56" s="66" t="s">
        <v>36</v>
      </c>
      <c r="M56" s="63">
        <v>45589</v>
      </c>
      <c r="N56" s="64">
        <v>0.75</v>
      </c>
      <c r="O56" s="67">
        <f t="shared" ca="1" si="0"/>
        <v>32</v>
      </c>
      <c r="P56" s="39">
        <f t="shared" ca="1" si="1"/>
        <v>1.33</v>
      </c>
      <c r="Q56" s="15">
        <f t="shared" ca="1" si="2"/>
        <v>32</v>
      </c>
      <c r="R56" s="62">
        <f t="shared" si="3"/>
        <v>1</v>
      </c>
      <c r="S56" s="65" t="s">
        <v>118</v>
      </c>
    </row>
    <row r="57" spans="1:19" ht="21" customHeight="1">
      <c r="A57" s="56">
        <v>53</v>
      </c>
      <c r="B57" s="57">
        <v>45588</v>
      </c>
      <c r="C57" s="58">
        <v>0.54166666666666663</v>
      </c>
      <c r="D57" s="2" t="s">
        <v>339</v>
      </c>
      <c r="E57" s="59" t="s">
        <v>53</v>
      </c>
      <c r="F57" s="59" t="s">
        <v>212</v>
      </c>
      <c r="G57" s="59" t="s">
        <v>517</v>
      </c>
      <c r="H57" s="41" t="s">
        <v>42</v>
      </c>
      <c r="I57" s="56" t="s">
        <v>131</v>
      </c>
      <c r="J57" s="59" t="s">
        <v>117</v>
      </c>
      <c r="K57" s="59" t="s">
        <v>86</v>
      </c>
      <c r="L57" s="60" t="s">
        <v>36</v>
      </c>
      <c r="M57" s="57">
        <v>45589</v>
      </c>
      <c r="N57" s="58">
        <v>0.75</v>
      </c>
      <c r="O57" s="61">
        <f t="shared" ca="1" si="0"/>
        <v>0</v>
      </c>
      <c r="P57" s="43">
        <f t="shared" ca="1" si="1"/>
        <v>0</v>
      </c>
      <c r="Q57" s="7">
        <f t="shared" ca="1" si="2"/>
        <v>29</v>
      </c>
      <c r="R57" s="56">
        <f t="shared" si="3"/>
        <v>0</v>
      </c>
      <c r="S57" s="59" t="s">
        <v>118</v>
      </c>
    </row>
    <row r="58" spans="1:19" ht="21" customHeight="1">
      <c r="A58" s="62">
        <v>54</v>
      </c>
      <c r="B58" s="63">
        <v>45596</v>
      </c>
      <c r="C58" s="64">
        <v>0.41666666666666669</v>
      </c>
      <c r="D58" s="10" t="s">
        <v>62</v>
      </c>
      <c r="E58" s="65" t="s">
        <v>63</v>
      </c>
      <c r="F58" s="65" t="s">
        <v>114</v>
      </c>
      <c r="G58" s="65" t="s">
        <v>518</v>
      </c>
      <c r="H58" s="37" t="s">
        <v>42</v>
      </c>
      <c r="I58" s="62" t="s">
        <v>519</v>
      </c>
      <c r="J58" s="65" t="s">
        <v>117</v>
      </c>
      <c r="K58" s="65" t="s">
        <v>86</v>
      </c>
      <c r="L58" s="66" t="s">
        <v>36</v>
      </c>
      <c r="M58" s="63">
        <v>45600</v>
      </c>
      <c r="N58" s="64">
        <v>0.75</v>
      </c>
      <c r="O58" s="67">
        <f t="shared" ca="1" si="0"/>
        <v>0</v>
      </c>
      <c r="P58" s="39">
        <f t="shared" ca="1" si="1"/>
        <v>0</v>
      </c>
      <c r="Q58" s="15">
        <f t="shared" ca="1" si="2"/>
        <v>104</v>
      </c>
      <c r="R58" s="62">
        <f t="shared" si="3"/>
        <v>0</v>
      </c>
      <c r="S58" s="65" t="s">
        <v>118</v>
      </c>
    </row>
    <row r="59" spans="1:19" ht="21" customHeight="1">
      <c r="A59" s="56">
        <v>55</v>
      </c>
      <c r="B59" s="57">
        <v>45598</v>
      </c>
      <c r="C59" s="58">
        <v>0.41666666666666669</v>
      </c>
      <c r="D59" s="2" t="s">
        <v>55</v>
      </c>
      <c r="E59" s="59" t="s">
        <v>53</v>
      </c>
      <c r="F59" s="59" t="s">
        <v>262</v>
      </c>
      <c r="G59" s="59" t="s">
        <v>520</v>
      </c>
      <c r="H59" s="41" t="s">
        <v>42</v>
      </c>
      <c r="I59" s="56" t="s">
        <v>131</v>
      </c>
      <c r="J59" s="59" t="s">
        <v>117</v>
      </c>
      <c r="K59" s="59" t="s">
        <v>86</v>
      </c>
      <c r="L59" s="60" t="s">
        <v>36</v>
      </c>
      <c r="M59" s="57">
        <v>45600</v>
      </c>
      <c r="N59" s="58">
        <v>0.75</v>
      </c>
      <c r="O59" s="61">
        <f t="shared" ca="1" si="0"/>
        <v>0</v>
      </c>
      <c r="P59" s="43">
        <f t="shared" ca="1" si="1"/>
        <v>0</v>
      </c>
      <c r="Q59" s="7">
        <f t="shared" ca="1" si="2"/>
        <v>56</v>
      </c>
      <c r="R59" s="56">
        <f t="shared" si="3"/>
        <v>0</v>
      </c>
      <c r="S59" s="59" t="s">
        <v>118</v>
      </c>
    </row>
    <row r="60" spans="1:19" ht="21" customHeight="1">
      <c r="A60" s="62">
        <v>56</v>
      </c>
      <c r="B60" s="63">
        <v>45598</v>
      </c>
      <c r="C60" s="64">
        <v>0.375</v>
      </c>
      <c r="D60" s="10" t="s">
        <v>55</v>
      </c>
      <c r="E60" s="65" t="s">
        <v>53</v>
      </c>
      <c r="F60" s="65" t="s">
        <v>153</v>
      </c>
      <c r="G60" s="65" t="s">
        <v>521</v>
      </c>
      <c r="H60" s="37" t="s">
        <v>40</v>
      </c>
      <c r="I60" s="62" t="s">
        <v>131</v>
      </c>
      <c r="J60" s="65" t="s">
        <v>117</v>
      </c>
      <c r="K60" s="65" t="s">
        <v>86</v>
      </c>
      <c r="L60" s="66" t="s">
        <v>36</v>
      </c>
      <c r="M60" s="63">
        <v>45600</v>
      </c>
      <c r="N60" s="64">
        <v>0.75</v>
      </c>
      <c r="O60" s="67">
        <f t="shared" ca="1" si="0"/>
        <v>57</v>
      </c>
      <c r="P60" s="39">
        <f t="shared" ca="1" si="1"/>
        <v>2.38</v>
      </c>
      <c r="Q60" s="15">
        <f t="shared" ca="1" si="2"/>
        <v>57</v>
      </c>
      <c r="R60" s="62">
        <f t="shared" si="3"/>
        <v>1</v>
      </c>
      <c r="S60" s="65" t="s">
        <v>118</v>
      </c>
    </row>
    <row r="61" spans="1:19" ht="21" customHeight="1">
      <c r="A61" s="56">
        <v>57</v>
      </c>
      <c r="B61" s="57">
        <v>45600</v>
      </c>
      <c r="C61" s="58">
        <v>0.41666666666666669</v>
      </c>
      <c r="D61" s="2" t="s">
        <v>55</v>
      </c>
      <c r="E61" s="59" t="s">
        <v>53</v>
      </c>
      <c r="F61" s="59" t="s">
        <v>125</v>
      </c>
      <c r="G61" s="59" t="s">
        <v>508</v>
      </c>
      <c r="H61" s="41" t="s">
        <v>40</v>
      </c>
      <c r="I61" s="56" t="s">
        <v>131</v>
      </c>
      <c r="J61" s="59" t="s">
        <v>117</v>
      </c>
      <c r="K61" s="59" t="s">
        <v>86</v>
      </c>
      <c r="L61" s="60" t="s">
        <v>36</v>
      </c>
      <c r="M61" s="57">
        <v>45602</v>
      </c>
      <c r="N61" s="58">
        <v>0.75</v>
      </c>
      <c r="O61" s="61">
        <f t="shared" ca="1" si="0"/>
        <v>56</v>
      </c>
      <c r="P61" s="43">
        <f t="shared" ca="1" si="1"/>
        <v>2.33</v>
      </c>
      <c r="Q61" s="7">
        <f t="shared" ca="1" si="2"/>
        <v>56</v>
      </c>
      <c r="R61" s="56">
        <f t="shared" si="3"/>
        <v>1</v>
      </c>
      <c r="S61" s="59" t="s">
        <v>118</v>
      </c>
    </row>
    <row r="62" spans="1:19" ht="21" customHeight="1">
      <c r="A62" s="62">
        <v>58</v>
      </c>
      <c r="B62" s="63">
        <v>45603</v>
      </c>
      <c r="C62" s="64">
        <v>0.5</v>
      </c>
      <c r="D62" s="10" t="s">
        <v>76</v>
      </c>
      <c r="E62" s="65" t="s">
        <v>72</v>
      </c>
      <c r="F62" s="65" t="s">
        <v>114</v>
      </c>
      <c r="G62" s="65" t="s">
        <v>522</v>
      </c>
      <c r="H62" s="37" t="s">
        <v>40</v>
      </c>
      <c r="I62" s="62" t="s">
        <v>131</v>
      </c>
      <c r="J62" s="65" t="s">
        <v>117</v>
      </c>
      <c r="K62" s="65" t="s">
        <v>86</v>
      </c>
      <c r="L62" s="66" t="s">
        <v>36</v>
      </c>
      <c r="M62" s="63">
        <v>45603</v>
      </c>
      <c r="N62" s="64">
        <v>0.75</v>
      </c>
      <c r="O62" s="67">
        <f t="shared" ca="1" si="0"/>
        <v>6</v>
      </c>
      <c r="P62" s="39">
        <f t="shared" ca="1" si="1"/>
        <v>0.25</v>
      </c>
      <c r="Q62" s="15">
        <f t="shared" ca="1" si="2"/>
        <v>6</v>
      </c>
      <c r="R62" s="62">
        <f t="shared" si="3"/>
        <v>1</v>
      </c>
      <c r="S62" s="65" t="s">
        <v>118</v>
      </c>
    </row>
    <row r="63" spans="1:19" ht="21" customHeight="1">
      <c r="A63" s="56">
        <v>59</v>
      </c>
      <c r="B63" s="57">
        <v>45604</v>
      </c>
      <c r="C63" s="58">
        <v>0.66666666666666663</v>
      </c>
      <c r="D63" s="2" t="s">
        <v>60</v>
      </c>
      <c r="E63" s="59" t="s">
        <v>58</v>
      </c>
      <c r="F63" s="59" t="s">
        <v>114</v>
      </c>
      <c r="G63" s="59" t="s">
        <v>523</v>
      </c>
      <c r="H63" s="41" t="s">
        <v>42</v>
      </c>
      <c r="I63" s="56" t="s">
        <v>131</v>
      </c>
      <c r="J63" s="59" t="s">
        <v>117</v>
      </c>
      <c r="K63" s="59" t="s">
        <v>86</v>
      </c>
      <c r="L63" s="60" t="s">
        <v>36</v>
      </c>
      <c r="M63" s="57">
        <v>45605</v>
      </c>
      <c r="N63" s="58">
        <v>0.75</v>
      </c>
      <c r="O63" s="61">
        <f t="shared" ca="1" si="0"/>
        <v>0</v>
      </c>
      <c r="P63" s="43">
        <f t="shared" ca="1" si="1"/>
        <v>0</v>
      </c>
      <c r="Q63" s="7">
        <f t="shared" ca="1" si="2"/>
        <v>26</v>
      </c>
      <c r="R63" s="56">
        <f t="shared" si="3"/>
        <v>0</v>
      </c>
      <c r="S63" s="59" t="s">
        <v>118</v>
      </c>
    </row>
    <row r="64" spans="1:19" ht="21" customHeight="1">
      <c r="A64" s="62">
        <v>60</v>
      </c>
      <c r="B64" s="63">
        <v>45611</v>
      </c>
      <c r="C64" s="64">
        <v>0.5</v>
      </c>
      <c r="D64" s="10" t="s">
        <v>62</v>
      </c>
      <c r="E64" s="65" t="s">
        <v>63</v>
      </c>
      <c r="F64" s="65" t="s">
        <v>448</v>
      </c>
      <c r="G64" s="65" t="s">
        <v>524</v>
      </c>
      <c r="H64" s="37" t="s">
        <v>40</v>
      </c>
      <c r="I64" s="62" t="s">
        <v>525</v>
      </c>
      <c r="J64" s="65" t="s">
        <v>117</v>
      </c>
      <c r="K64" s="65" t="s">
        <v>86</v>
      </c>
      <c r="L64" s="66" t="s">
        <v>36</v>
      </c>
      <c r="M64" s="63">
        <v>45612</v>
      </c>
      <c r="N64" s="64">
        <v>0.75</v>
      </c>
      <c r="O64" s="67">
        <f t="shared" ca="1" si="0"/>
        <v>30</v>
      </c>
      <c r="P64" s="39">
        <f t="shared" ca="1" si="1"/>
        <v>1.25</v>
      </c>
      <c r="Q64" s="15">
        <f t="shared" ca="1" si="2"/>
        <v>30</v>
      </c>
      <c r="R64" s="62">
        <f t="shared" si="3"/>
        <v>1</v>
      </c>
      <c r="S64" s="65" t="s">
        <v>118</v>
      </c>
    </row>
    <row r="65" spans="1:19" ht="21" customHeight="1">
      <c r="A65" s="56">
        <v>61</v>
      </c>
      <c r="B65" s="57">
        <v>45611</v>
      </c>
      <c r="C65" s="58">
        <v>0.41666666666666669</v>
      </c>
      <c r="D65" s="2" t="s">
        <v>57</v>
      </c>
      <c r="E65" s="59" t="s">
        <v>58</v>
      </c>
      <c r="F65" s="59" t="s">
        <v>114</v>
      </c>
      <c r="G65" s="59" t="s">
        <v>526</v>
      </c>
      <c r="H65" s="41" t="s">
        <v>42</v>
      </c>
      <c r="I65" s="56" t="s">
        <v>131</v>
      </c>
      <c r="J65" s="59" t="s">
        <v>117</v>
      </c>
      <c r="K65" s="59" t="s">
        <v>86</v>
      </c>
      <c r="L65" s="60" t="s">
        <v>36</v>
      </c>
      <c r="M65" s="57">
        <v>45612</v>
      </c>
      <c r="N65" s="58">
        <v>0.75</v>
      </c>
      <c r="O65" s="61">
        <f t="shared" ca="1" si="0"/>
        <v>0</v>
      </c>
      <c r="P65" s="43">
        <f t="shared" ca="1" si="1"/>
        <v>0</v>
      </c>
      <c r="Q65" s="7">
        <f t="shared" ca="1" si="2"/>
        <v>32</v>
      </c>
      <c r="R65" s="56">
        <f t="shared" si="3"/>
        <v>0</v>
      </c>
      <c r="S65" s="59" t="s">
        <v>118</v>
      </c>
    </row>
    <row r="66" spans="1:19" ht="21" customHeight="1">
      <c r="A66" s="62">
        <v>62</v>
      </c>
      <c r="B66" s="63">
        <v>45612</v>
      </c>
      <c r="C66" s="64">
        <v>0.45833333333333331</v>
      </c>
      <c r="D66" s="10" t="s">
        <v>55</v>
      </c>
      <c r="E66" s="65" t="s">
        <v>53</v>
      </c>
      <c r="F66" s="65" t="s">
        <v>527</v>
      </c>
      <c r="G66" s="65" t="s">
        <v>528</v>
      </c>
      <c r="H66" s="37" t="s">
        <v>42</v>
      </c>
      <c r="I66" s="62" t="s">
        <v>529</v>
      </c>
      <c r="J66" s="65" t="s">
        <v>117</v>
      </c>
      <c r="K66" s="65" t="s">
        <v>86</v>
      </c>
      <c r="L66" s="66" t="s">
        <v>36</v>
      </c>
      <c r="M66" s="63">
        <v>45612</v>
      </c>
      <c r="N66" s="64">
        <v>0.75</v>
      </c>
      <c r="O66" s="67">
        <f t="shared" ca="1" si="0"/>
        <v>0</v>
      </c>
      <c r="P66" s="39">
        <f t="shared" ca="1" si="1"/>
        <v>0</v>
      </c>
      <c r="Q66" s="15">
        <f t="shared" ca="1" si="2"/>
        <v>7</v>
      </c>
      <c r="R66" s="62">
        <f t="shared" si="3"/>
        <v>0</v>
      </c>
      <c r="S66" s="65" t="s">
        <v>118</v>
      </c>
    </row>
    <row r="67" spans="1:19" ht="21" customHeight="1">
      <c r="A67" s="56">
        <v>63</v>
      </c>
      <c r="B67" s="57">
        <v>45614</v>
      </c>
      <c r="C67" s="58">
        <v>0.5</v>
      </c>
      <c r="D67" s="2" t="s">
        <v>530</v>
      </c>
      <c r="E67" s="59" t="s">
        <v>66</v>
      </c>
      <c r="F67" s="59" t="s">
        <v>114</v>
      </c>
      <c r="G67" s="59" t="s">
        <v>531</v>
      </c>
      <c r="H67" s="41" t="s">
        <v>42</v>
      </c>
      <c r="I67" s="56" t="s">
        <v>131</v>
      </c>
      <c r="J67" s="59" t="s">
        <v>117</v>
      </c>
      <c r="K67" s="59" t="s">
        <v>86</v>
      </c>
      <c r="L67" s="60" t="s">
        <v>36</v>
      </c>
      <c r="M67" s="57">
        <v>45615</v>
      </c>
      <c r="N67" s="58">
        <v>0.75</v>
      </c>
      <c r="O67" s="61">
        <f t="shared" ca="1" si="0"/>
        <v>0</v>
      </c>
      <c r="P67" s="43">
        <f t="shared" ca="1" si="1"/>
        <v>0</v>
      </c>
      <c r="Q67" s="7">
        <f t="shared" ca="1" si="2"/>
        <v>30</v>
      </c>
      <c r="R67" s="56">
        <f t="shared" si="3"/>
        <v>0</v>
      </c>
      <c r="S67" s="59" t="s">
        <v>118</v>
      </c>
    </row>
    <row r="68" spans="1:19" ht="21" customHeight="1">
      <c r="A68" s="62">
        <v>64</v>
      </c>
      <c r="B68" s="63">
        <v>45614</v>
      </c>
      <c r="C68" s="64">
        <v>0.58333333333333337</v>
      </c>
      <c r="D68" s="10" t="s">
        <v>55</v>
      </c>
      <c r="E68" s="65" t="s">
        <v>53</v>
      </c>
      <c r="F68" s="65" t="s">
        <v>137</v>
      </c>
      <c r="G68" s="65" t="s">
        <v>532</v>
      </c>
      <c r="H68" s="37" t="s">
        <v>40</v>
      </c>
      <c r="I68" s="62" t="s">
        <v>533</v>
      </c>
      <c r="J68" s="65" t="s">
        <v>117</v>
      </c>
      <c r="K68" s="65" t="s">
        <v>86</v>
      </c>
      <c r="L68" s="66" t="s">
        <v>36</v>
      </c>
      <c r="M68" s="63">
        <v>45614</v>
      </c>
      <c r="N68" s="64">
        <v>0.75</v>
      </c>
      <c r="O68" s="67">
        <f t="shared" ca="1" si="0"/>
        <v>4</v>
      </c>
      <c r="P68" s="39">
        <f t="shared" ca="1" si="1"/>
        <v>0.17</v>
      </c>
      <c r="Q68" s="15">
        <f t="shared" ca="1" si="2"/>
        <v>4</v>
      </c>
      <c r="R68" s="62">
        <f t="shared" si="3"/>
        <v>1</v>
      </c>
      <c r="S68" s="65" t="s">
        <v>118</v>
      </c>
    </row>
    <row r="69" spans="1:19" ht="21" customHeight="1">
      <c r="A69" s="56">
        <v>65</v>
      </c>
      <c r="B69" s="57">
        <v>45614</v>
      </c>
      <c r="C69" s="58">
        <v>0.45833333333333331</v>
      </c>
      <c r="D69" s="2" t="s">
        <v>281</v>
      </c>
      <c r="E69" s="59" t="s">
        <v>72</v>
      </c>
      <c r="F69" s="59" t="s">
        <v>137</v>
      </c>
      <c r="G69" s="59" t="s">
        <v>534</v>
      </c>
      <c r="H69" s="41" t="s">
        <v>42</v>
      </c>
      <c r="I69" s="56" t="s">
        <v>131</v>
      </c>
      <c r="J69" s="59" t="s">
        <v>117</v>
      </c>
      <c r="K69" s="59" t="s">
        <v>86</v>
      </c>
      <c r="L69" s="60" t="s">
        <v>36</v>
      </c>
      <c r="M69" s="57">
        <v>45615</v>
      </c>
      <c r="N69" s="58">
        <v>0.75</v>
      </c>
      <c r="O69" s="61">
        <f t="shared" ref="O69:O132" ca="1" si="4">IF(ISBLANK(B69), 0, IF(ISNUMBER(SEARCH("Complete", H69)), IF(ISBLANK(M69), IF(L69="Closed", 4, ROUND(MAX(0, (NOW() - (B69 + IF(ISBLANK(C69), TIME(9,0,0), C69))) * 24), 1)), ROUND(MAX(0, ((M69 + IF(ISBLANK(N69), TIME(18,0,0), N69)) - (B69 + IF(ISBLANK(C69), TIME(9,0,0), C69))) * 24), 1)), 0))</f>
        <v>0</v>
      </c>
      <c r="P69" s="43">
        <f t="shared" ref="P69:P132" ca="1" si="5">ROUND(O69 / 24, 2)</f>
        <v>0</v>
      </c>
      <c r="Q69" s="7">
        <f t="shared" ref="Q69:Q132" ca="1" si="6">IF(ISBLANK(B69), 0, IF(ISBLANK(M69), IF(L69="Closed", 4, ROUND(MAX(0, (NOW() - (B69 + IF(ISBLANK(C69), TIME(9,0,0), C69))) * 24), 1)), ROUND(MAX(0, ((M69 + IF(ISBLANK(N69), TIME(18,0,0), N69)) - (B69 + IF(ISBLANK(C69), TIME(9,0,0), C69))) * 24), 1)))</f>
        <v>31</v>
      </c>
      <c r="R69" s="56">
        <f t="shared" ref="R69:R132" si="7">IF(ISNUMBER(SEARCH("Complete", H69)), 1, 0)</f>
        <v>0</v>
      </c>
      <c r="S69" s="59" t="s">
        <v>118</v>
      </c>
    </row>
    <row r="70" spans="1:19" ht="21" customHeight="1">
      <c r="A70" s="62">
        <v>66</v>
      </c>
      <c r="B70" s="63">
        <v>45616</v>
      </c>
      <c r="C70" s="64">
        <v>0.41666666666666669</v>
      </c>
      <c r="D70" s="10" t="s">
        <v>164</v>
      </c>
      <c r="E70" s="65" t="s">
        <v>53</v>
      </c>
      <c r="F70" s="65" t="s">
        <v>162</v>
      </c>
      <c r="G70" s="65" t="s">
        <v>535</v>
      </c>
      <c r="H70" s="37" t="s">
        <v>40</v>
      </c>
      <c r="I70" s="62" t="s">
        <v>131</v>
      </c>
      <c r="J70" s="65" t="s">
        <v>117</v>
      </c>
      <c r="K70" s="65" t="s">
        <v>86</v>
      </c>
      <c r="L70" s="66" t="s">
        <v>36</v>
      </c>
      <c r="M70" s="63">
        <v>45615</v>
      </c>
      <c r="N70" s="64">
        <v>0.75</v>
      </c>
      <c r="O70" s="67">
        <f t="shared" ca="1" si="4"/>
        <v>0</v>
      </c>
      <c r="P70" s="39">
        <f t="shared" ca="1" si="5"/>
        <v>0</v>
      </c>
      <c r="Q70" s="15">
        <f t="shared" ca="1" si="6"/>
        <v>0</v>
      </c>
      <c r="R70" s="62">
        <f t="shared" si="7"/>
        <v>1</v>
      </c>
      <c r="S70" s="65" t="s">
        <v>118</v>
      </c>
    </row>
    <row r="71" spans="1:19" ht="21" customHeight="1">
      <c r="A71" s="56">
        <v>67</v>
      </c>
      <c r="B71" s="57">
        <v>45618</v>
      </c>
      <c r="C71" s="58">
        <v>0.47916666666666669</v>
      </c>
      <c r="D71" s="2" t="s">
        <v>500</v>
      </c>
      <c r="E71" s="59" t="s">
        <v>58</v>
      </c>
      <c r="F71" s="59" t="s">
        <v>114</v>
      </c>
      <c r="G71" s="59" t="s">
        <v>536</v>
      </c>
      <c r="H71" s="41" t="s">
        <v>42</v>
      </c>
      <c r="I71" s="56" t="s">
        <v>537</v>
      </c>
      <c r="J71" s="59" t="s">
        <v>117</v>
      </c>
      <c r="K71" s="59" t="s">
        <v>86</v>
      </c>
      <c r="L71" s="60" t="s">
        <v>36</v>
      </c>
      <c r="M71" s="57">
        <v>45637</v>
      </c>
      <c r="N71" s="58">
        <v>0.75</v>
      </c>
      <c r="O71" s="61">
        <f t="shared" ca="1" si="4"/>
        <v>0</v>
      </c>
      <c r="P71" s="43">
        <f t="shared" ca="1" si="5"/>
        <v>0</v>
      </c>
      <c r="Q71" s="7">
        <f t="shared" ca="1" si="6"/>
        <v>462.5</v>
      </c>
      <c r="R71" s="56">
        <f t="shared" si="7"/>
        <v>0</v>
      </c>
      <c r="S71" s="59" t="s">
        <v>118</v>
      </c>
    </row>
    <row r="72" spans="1:19" ht="21" customHeight="1">
      <c r="A72" s="62">
        <v>68</v>
      </c>
      <c r="B72" s="63">
        <v>45619</v>
      </c>
      <c r="C72" s="64">
        <v>0.41666666666666669</v>
      </c>
      <c r="D72" s="10" t="s">
        <v>238</v>
      </c>
      <c r="E72" s="65" t="s">
        <v>53</v>
      </c>
      <c r="F72" s="65" t="s">
        <v>162</v>
      </c>
      <c r="G72" s="65" t="s">
        <v>538</v>
      </c>
      <c r="H72" s="37" t="s">
        <v>40</v>
      </c>
      <c r="I72" s="62" t="s">
        <v>131</v>
      </c>
      <c r="J72" s="65" t="s">
        <v>117</v>
      </c>
      <c r="K72" s="65" t="s">
        <v>86</v>
      </c>
      <c r="L72" s="66" t="s">
        <v>36</v>
      </c>
      <c r="M72" s="63">
        <v>45619</v>
      </c>
      <c r="N72" s="64">
        <v>0.75</v>
      </c>
      <c r="O72" s="67">
        <f t="shared" ca="1" si="4"/>
        <v>8</v>
      </c>
      <c r="P72" s="39">
        <f t="shared" ca="1" si="5"/>
        <v>0.33</v>
      </c>
      <c r="Q72" s="15">
        <f t="shared" ca="1" si="6"/>
        <v>8</v>
      </c>
      <c r="R72" s="62">
        <f t="shared" si="7"/>
        <v>1</v>
      </c>
      <c r="S72" s="65" t="s">
        <v>118</v>
      </c>
    </row>
    <row r="73" spans="1:19" ht="21" customHeight="1">
      <c r="A73" s="56">
        <v>69</v>
      </c>
      <c r="B73" s="57">
        <v>45619</v>
      </c>
      <c r="C73" s="58">
        <v>0.41666666666666669</v>
      </c>
      <c r="D73" s="2" t="s">
        <v>150</v>
      </c>
      <c r="E73" s="59" t="s">
        <v>72</v>
      </c>
      <c r="F73" s="59" t="s">
        <v>137</v>
      </c>
      <c r="G73" s="59" t="s">
        <v>539</v>
      </c>
      <c r="H73" s="41" t="s">
        <v>40</v>
      </c>
      <c r="I73" s="56" t="s">
        <v>131</v>
      </c>
      <c r="J73" s="59" t="s">
        <v>117</v>
      </c>
      <c r="K73" s="59" t="s">
        <v>86</v>
      </c>
      <c r="L73" s="60" t="s">
        <v>36</v>
      </c>
      <c r="M73" s="57">
        <v>45619</v>
      </c>
      <c r="N73" s="58">
        <v>0.75</v>
      </c>
      <c r="O73" s="61">
        <f t="shared" ca="1" si="4"/>
        <v>8</v>
      </c>
      <c r="P73" s="43">
        <f t="shared" ca="1" si="5"/>
        <v>0.33</v>
      </c>
      <c r="Q73" s="7">
        <f t="shared" ca="1" si="6"/>
        <v>8</v>
      </c>
      <c r="R73" s="56">
        <f t="shared" si="7"/>
        <v>1</v>
      </c>
      <c r="S73" s="59" t="s">
        <v>118</v>
      </c>
    </row>
    <row r="74" spans="1:19" ht="21" customHeight="1">
      <c r="A74" s="62">
        <v>70</v>
      </c>
      <c r="B74" s="63">
        <v>45620</v>
      </c>
      <c r="C74" s="64">
        <v>0.625</v>
      </c>
      <c r="D74" s="10" t="s">
        <v>238</v>
      </c>
      <c r="E74" s="65" t="s">
        <v>53</v>
      </c>
      <c r="F74" s="65" t="s">
        <v>162</v>
      </c>
      <c r="G74" s="65" t="s">
        <v>538</v>
      </c>
      <c r="H74" s="37" t="s">
        <v>40</v>
      </c>
      <c r="I74" s="62" t="s">
        <v>131</v>
      </c>
      <c r="J74" s="65" t="s">
        <v>117</v>
      </c>
      <c r="K74" s="65" t="s">
        <v>86</v>
      </c>
      <c r="L74" s="66" t="s">
        <v>36</v>
      </c>
      <c r="M74" s="63">
        <v>45622</v>
      </c>
      <c r="N74" s="64">
        <v>0.75</v>
      </c>
      <c r="O74" s="67">
        <f t="shared" ca="1" si="4"/>
        <v>51</v>
      </c>
      <c r="P74" s="39">
        <f t="shared" ca="1" si="5"/>
        <v>2.13</v>
      </c>
      <c r="Q74" s="15">
        <f t="shared" ca="1" si="6"/>
        <v>51</v>
      </c>
      <c r="R74" s="62">
        <f t="shared" si="7"/>
        <v>1</v>
      </c>
      <c r="S74" s="65" t="s">
        <v>118</v>
      </c>
    </row>
    <row r="75" spans="1:19" ht="21" customHeight="1">
      <c r="A75" s="56">
        <v>71</v>
      </c>
      <c r="B75" s="57">
        <v>45620</v>
      </c>
      <c r="C75" s="58">
        <v>0.66666666666666663</v>
      </c>
      <c r="D75" s="2" t="s">
        <v>55</v>
      </c>
      <c r="E75" s="59" t="s">
        <v>53</v>
      </c>
      <c r="F75" s="59" t="s">
        <v>153</v>
      </c>
      <c r="G75" s="59" t="s">
        <v>512</v>
      </c>
      <c r="H75" s="41" t="s">
        <v>40</v>
      </c>
      <c r="I75" s="56" t="s">
        <v>131</v>
      </c>
      <c r="J75" s="59" t="s">
        <v>117</v>
      </c>
      <c r="K75" s="59" t="s">
        <v>86</v>
      </c>
      <c r="L75" s="60" t="s">
        <v>36</v>
      </c>
      <c r="M75" s="57">
        <v>45621</v>
      </c>
      <c r="N75" s="58">
        <v>0.75</v>
      </c>
      <c r="O75" s="61">
        <f t="shared" ca="1" si="4"/>
        <v>26</v>
      </c>
      <c r="P75" s="43">
        <f t="shared" ca="1" si="5"/>
        <v>1.08</v>
      </c>
      <c r="Q75" s="7">
        <f t="shared" ca="1" si="6"/>
        <v>26</v>
      </c>
      <c r="R75" s="56">
        <f t="shared" si="7"/>
        <v>1</v>
      </c>
      <c r="S75" s="59" t="s">
        <v>118</v>
      </c>
    </row>
    <row r="76" spans="1:19" ht="21" customHeight="1">
      <c r="A76" s="62">
        <v>72</v>
      </c>
      <c r="B76" s="63">
        <v>45624</v>
      </c>
      <c r="C76" s="64">
        <v>0.33333333333333331</v>
      </c>
      <c r="D76" s="10" t="s">
        <v>540</v>
      </c>
      <c r="E76" s="65" t="s">
        <v>66</v>
      </c>
      <c r="F76" s="65" t="s">
        <v>325</v>
      </c>
      <c r="G76" s="65" t="s">
        <v>541</v>
      </c>
      <c r="H76" s="37" t="s">
        <v>42</v>
      </c>
      <c r="I76" s="62" t="s">
        <v>131</v>
      </c>
      <c r="J76" s="65" t="s">
        <v>117</v>
      </c>
      <c r="K76" s="65" t="s">
        <v>86</v>
      </c>
      <c r="L76" s="66" t="s">
        <v>36</v>
      </c>
      <c r="M76" s="63">
        <v>45780</v>
      </c>
      <c r="N76" s="64">
        <v>0.75</v>
      </c>
      <c r="O76" s="67">
        <f t="shared" ca="1" si="4"/>
        <v>0</v>
      </c>
      <c r="P76" s="39">
        <f t="shared" ca="1" si="5"/>
        <v>0</v>
      </c>
      <c r="Q76" s="15">
        <f t="shared" ca="1" si="6"/>
        <v>3754</v>
      </c>
      <c r="R76" s="62">
        <f t="shared" si="7"/>
        <v>0</v>
      </c>
      <c r="S76" s="65" t="s">
        <v>118</v>
      </c>
    </row>
    <row r="77" spans="1:19" ht="21" customHeight="1">
      <c r="A77" s="56">
        <v>73</v>
      </c>
      <c r="B77" s="57">
        <v>45625</v>
      </c>
      <c r="C77" s="58">
        <v>0.41666666666666669</v>
      </c>
      <c r="D77" s="2" t="s">
        <v>266</v>
      </c>
      <c r="E77" s="59" t="s">
        <v>69</v>
      </c>
      <c r="F77" s="59" t="s">
        <v>119</v>
      </c>
      <c r="G77" s="59" t="s">
        <v>542</v>
      </c>
      <c r="H77" s="41" t="s">
        <v>40</v>
      </c>
      <c r="I77" s="56" t="s">
        <v>131</v>
      </c>
      <c r="J77" s="59" t="s">
        <v>117</v>
      </c>
      <c r="K77" s="59" t="s">
        <v>86</v>
      </c>
      <c r="L77" s="60" t="s">
        <v>36</v>
      </c>
      <c r="M77" s="57">
        <v>45931</v>
      </c>
      <c r="N77" s="58">
        <v>0.75</v>
      </c>
      <c r="O77" s="61">
        <f t="shared" ca="1" si="4"/>
        <v>7352</v>
      </c>
      <c r="P77" s="43">
        <f t="shared" ca="1" si="5"/>
        <v>306.33</v>
      </c>
      <c r="Q77" s="7">
        <f t="shared" ca="1" si="6"/>
        <v>7352</v>
      </c>
      <c r="R77" s="56">
        <f t="shared" si="7"/>
        <v>1</v>
      </c>
      <c r="S77" s="59" t="s">
        <v>118</v>
      </c>
    </row>
    <row r="78" spans="1:19" ht="21" customHeight="1">
      <c r="A78" s="62">
        <v>74</v>
      </c>
      <c r="B78" s="63">
        <v>45625</v>
      </c>
      <c r="C78" s="64">
        <v>0.41666666666666669</v>
      </c>
      <c r="D78" s="10" t="s">
        <v>543</v>
      </c>
      <c r="E78" s="65" t="s">
        <v>58</v>
      </c>
      <c r="F78" s="65" t="s">
        <v>114</v>
      </c>
      <c r="G78" s="65" t="s">
        <v>544</v>
      </c>
      <c r="H78" s="37" t="s">
        <v>42</v>
      </c>
      <c r="I78" s="62" t="s">
        <v>131</v>
      </c>
      <c r="J78" s="65" t="s">
        <v>117</v>
      </c>
      <c r="K78" s="65" t="s">
        <v>86</v>
      </c>
      <c r="L78" s="66" t="s">
        <v>36</v>
      </c>
      <c r="M78" s="63">
        <v>45626</v>
      </c>
      <c r="N78" s="64">
        <v>0.75</v>
      </c>
      <c r="O78" s="67">
        <f t="shared" ca="1" si="4"/>
        <v>0</v>
      </c>
      <c r="P78" s="39">
        <f t="shared" ca="1" si="5"/>
        <v>0</v>
      </c>
      <c r="Q78" s="15">
        <f t="shared" ca="1" si="6"/>
        <v>32</v>
      </c>
      <c r="R78" s="62">
        <f t="shared" si="7"/>
        <v>0</v>
      </c>
      <c r="S78" s="65" t="s">
        <v>118</v>
      </c>
    </row>
    <row r="79" spans="1:19" ht="21" customHeight="1">
      <c r="A79" s="56">
        <v>75</v>
      </c>
      <c r="B79" s="57">
        <v>45631</v>
      </c>
      <c r="C79" s="58">
        <v>0.58333333333333337</v>
      </c>
      <c r="D79" s="2" t="s">
        <v>530</v>
      </c>
      <c r="E79" s="59" t="s">
        <v>66</v>
      </c>
      <c r="F79" s="59" t="s">
        <v>114</v>
      </c>
      <c r="G79" s="59" t="s">
        <v>545</v>
      </c>
      <c r="H79" s="41" t="s">
        <v>42</v>
      </c>
      <c r="I79" s="56" t="s">
        <v>131</v>
      </c>
      <c r="J79" s="59" t="s">
        <v>117</v>
      </c>
      <c r="K79" s="59" t="s">
        <v>86</v>
      </c>
      <c r="L79" s="60" t="s">
        <v>36</v>
      </c>
      <c r="M79" s="57">
        <v>45631</v>
      </c>
      <c r="N79" s="58">
        <v>0.75</v>
      </c>
      <c r="O79" s="61">
        <f t="shared" ca="1" si="4"/>
        <v>0</v>
      </c>
      <c r="P79" s="43">
        <f t="shared" ca="1" si="5"/>
        <v>0</v>
      </c>
      <c r="Q79" s="7">
        <f t="shared" ca="1" si="6"/>
        <v>4</v>
      </c>
      <c r="R79" s="56">
        <f t="shared" si="7"/>
        <v>0</v>
      </c>
      <c r="S79" s="59" t="s">
        <v>118</v>
      </c>
    </row>
    <row r="80" spans="1:19" ht="21" customHeight="1">
      <c r="A80" s="62">
        <v>76</v>
      </c>
      <c r="B80" s="63">
        <v>45644</v>
      </c>
      <c r="C80" s="64">
        <v>0.64583333333333337</v>
      </c>
      <c r="D80" s="10" t="s">
        <v>485</v>
      </c>
      <c r="E80" s="65" t="s">
        <v>63</v>
      </c>
      <c r="F80" s="65" t="s">
        <v>162</v>
      </c>
      <c r="G80" s="65" t="s">
        <v>546</v>
      </c>
      <c r="H80" s="37" t="s">
        <v>40</v>
      </c>
      <c r="I80" s="62" t="s">
        <v>547</v>
      </c>
      <c r="J80" s="65" t="s">
        <v>117</v>
      </c>
      <c r="K80" s="65" t="s">
        <v>86</v>
      </c>
      <c r="L80" s="66" t="s">
        <v>36</v>
      </c>
      <c r="M80" s="63">
        <v>45648</v>
      </c>
      <c r="N80" s="64">
        <v>0.75</v>
      </c>
      <c r="O80" s="67">
        <f t="shared" ca="1" si="4"/>
        <v>98.5</v>
      </c>
      <c r="P80" s="39">
        <f t="shared" ca="1" si="5"/>
        <v>4.0999999999999996</v>
      </c>
      <c r="Q80" s="15">
        <f t="shared" ca="1" si="6"/>
        <v>98.5</v>
      </c>
      <c r="R80" s="62">
        <f t="shared" si="7"/>
        <v>1</v>
      </c>
      <c r="S80" s="65" t="s">
        <v>118</v>
      </c>
    </row>
    <row r="81" spans="1:19" ht="21" customHeight="1">
      <c r="A81" s="56">
        <v>77</v>
      </c>
      <c r="B81" s="57">
        <v>45645</v>
      </c>
      <c r="C81" s="58">
        <v>0.5</v>
      </c>
      <c r="D81" s="2" t="s">
        <v>286</v>
      </c>
      <c r="E81" s="59" t="s">
        <v>53</v>
      </c>
      <c r="F81" s="59" t="s">
        <v>133</v>
      </c>
      <c r="G81" s="59" t="s">
        <v>548</v>
      </c>
      <c r="H81" s="41" t="s">
        <v>40</v>
      </c>
      <c r="I81" s="56" t="s">
        <v>549</v>
      </c>
      <c r="J81" s="59" t="s">
        <v>117</v>
      </c>
      <c r="K81" s="59" t="s">
        <v>86</v>
      </c>
      <c r="L81" s="60" t="s">
        <v>36</v>
      </c>
      <c r="M81" s="57">
        <v>45648</v>
      </c>
      <c r="N81" s="58">
        <v>0.75</v>
      </c>
      <c r="O81" s="61">
        <f t="shared" ca="1" si="4"/>
        <v>78</v>
      </c>
      <c r="P81" s="43">
        <f t="shared" ca="1" si="5"/>
        <v>3.25</v>
      </c>
      <c r="Q81" s="7">
        <f t="shared" ca="1" si="6"/>
        <v>78</v>
      </c>
      <c r="R81" s="56">
        <f t="shared" si="7"/>
        <v>1</v>
      </c>
      <c r="S81" s="59" t="s">
        <v>118</v>
      </c>
    </row>
    <row r="82" spans="1:19" ht="21" customHeight="1">
      <c r="A82" s="62">
        <v>78</v>
      </c>
      <c r="B82" s="63">
        <v>45646</v>
      </c>
      <c r="C82" s="64">
        <v>0.54166666666666663</v>
      </c>
      <c r="D82" s="10" t="s">
        <v>76</v>
      </c>
      <c r="E82" s="65" t="s">
        <v>72</v>
      </c>
      <c r="F82" s="65" t="s">
        <v>137</v>
      </c>
      <c r="G82" s="65" t="s">
        <v>550</v>
      </c>
      <c r="H82" s="37" t="s">
        <v>40</v>
      </c>
      <c r="I82" s="62" t="s">
        <v>131</v>
      </c>
      <c r="J82" s="65" t="s">
        <v>117</v>
      </c>
      <c r="K82" s="65" t="s">
        <v>86</v>
      </c>
      <c r="L82" s="66" t="s">
        <v>36</v>
      </c>
      <c r="M82" s="63">
        <v>45650</v>
      </c>
      <c r="N82" s="64">
        <v>0.75</v>
      </c>
      <c r="O82" s="67">
        <f t="shared" ca="1" si="4"/>
        <v>101</v>
      </c>
      <c r="P82" s="39">
        <f t="shared" ca="1" si="5"/>
        <v>4.21</v>
      </c>
      <c r="Q82" s="15">
        <f t="shared" ca="1" si="6"/>
        <v>101</v>
      </c>
      <c r="R82" s="62">
        <f t="shared" si="7"/>
        <v>1</v>
      </c>
      <c r="S82" s="65" t="s">
        <v>118</v>
      </c>
    </row>
    <row r="83" spans="1:19" ht="21" customHeight="1">
      <c r="A83" s="56">
        <v>79</v>
      </c>
      <c r="B83" s="57">
        <v>45653</v>
      </c>
      <c r="C83" s="58">
        <v>0.41666666666666669</v>
      </c>
      <c r="D83" s="2" t="s">
        <v>55</v>
      </c>
      <c r="E83" s="59" t="s">
        <v>53</v>
      </c>
      <c r="F83" s="59" t="s">
        <v>153</v>
      </c>
      <c r="G83" s="59" t="s">
        <v>551</v>
      </c>
      <c r="H83" s="41" t="s">
        <v>40</v>
      </c>
      <c r="I83" s="56" t="s">
        <v>131</v>
      </c>
      <c r="J83" s="59" t="s">
        <v>117</v>
      </c>
      <c r="K83" s="59" t="s">
        <v>86</v>
      </c>
      <c r="L83" s="60" t="s">
        <v>36</v>
      </c>
      <c r="M83" s="57">
        <v>45654</v>
      </c>
      <c r="N83" s="58">
        <v>0.75</v>
      </c>
      <c r="O83" s="61">
        <f t="shared" ca="1" si="4"/>
        <v>32</v>
      </c>
      <c r="P83" s="43">
        <f t="shared" ca="1" si="5"/>
        <v>1.33</v>
      </c>
      <c r="Q83" s="7">
        <f t="shared" ca="1" si="6"/>
        <v>32</v>
      </c>
      <c r="R83" s="56">
        <f t="shared" si="7"/>
        <v>1</v>
      </c>
      <c r="S83" s="59" t="s">
        <v>118</v>
      </c>
    </row>
    <row r="84" spans="1:19" ht="21" customHeight="1">
      <c r="A84" s="62">
        <v>80</v>
      </c>
      <c r="B84" s="63">
        <v>45660</v>
      </c>
      <c r="C84" s="64">
        <v>0.54166666666666663</v>
      </c>
      <c r="D84" s="10" t="s">
        <v>55</v>
      </c>
      <c r="E84" s="65" t="s">
        <v>53</v>
      </c>
      <c r="F84" s="65" t="s">
        <v>137</v>
      </c>
      <c r="G84" s="65" t="s">
        <v>552</v>
      </c>
      <c r="H84" s="37" t="s">
        <v>42</v>
      </c>
      <c r="I84" s="62" t="s">
        <v>131</v>
      </c>
      <c r="J84" s="65" t="s">
        <v>117</v>
      </c>
      <c r="K84" s="65" t="s">
        <v>86</v>
      </c>
      <c r="L84" s="66" t="s">
        <v>36</v>
      </c>
      <c r="M84" s="63">
        <v>45661</v>
      </c>
      <c r="N84" s="64">
        <v>0.75</v>
      </c>
      <c r="O84" s="67">
        <f t="shared" ca="1" si="4"/>
        <v>0</v>
      </c>
      <c r="P84" s="39">
        <f t="shared" ca="1" si="5"/>
        <v>0</v>
      </c>
      <c r="Q84" s="15">
        <f t="shared" ca="1" si="6"/>
        <v>29</v>
      </c>
      <c r="R84" s="62">
        <f t="shared" si="7"/>
        <v>0</v>
      </c>
      <c r="S84" s="65" t="s">
        <v>118</v>
      </c>
    </row>
    <row r="85" spans="1:19" ht="21" customHeight="1">
      <c r="A85" s="56">
        <v>81</v>
      </c>
      <c r="B85" s="57">
        <v>45661</v>
      </c>
      <c r="C85" s="58">
        <v>0.47569444444444442</v>
      </c>
      <c r="D85" s="2" t="s">
        <v>55</v>
      </c>
      <c r="E85" s="59" t="s">
        <v>53</v>
      </c>
      <c r="F85" s="59" t="s">
        <v>114</v>
      </c>
      <c r="G85" s="59" t="s">
        <v>553</v>
      </c>
      <c r="H85" s="41" t="s">
        <v>40</v>
      </c>
      <c r="I85" s="56" t="s">
        <v>131</v>
      </c>
      <c r="J85" s="59" t="s">
        <v>117</v>
      </c>
      <c r="K85" s="59" t="s">
        <v>86</v>
      </c>
      <c r="L85" s="60" t="s">
        <v>36</v>
      </c>
      <c r="M85" s="57">
        <v>45663</v>
      </c>
      <c r="N85" s="58">
        <v>0.75</v>
      </c>
      <c r="O85" s="61">
        <f t="shared" ca="1" si="4"/>
        <v>54.6</v>
      </c>
      <c r="P85" s="43">
        <f t="shared" ca="1" si="5"/>
        <v>2.2799999999999998</v>
      </c>
      <c r="Q85" s="7">
        <f t="shared" ca="1" si="6"/>
        <v>54.6</v>
      </c>
      <c r="R85" s="56">
        <f t="shared" si="7"/>
        <v>1</v>
      </c>
      <c r="S85" s="59" t="s">
        <v>118</v>
      </c>
    </row>
    <row r="86" spans="1:19" ht="21" customHeight="1">
      <c r="A86" s="62">
        <v>82</v>
      </c>
      <c r="B86" s="63">
        <v>45662</v>
      </c>
      <c r="C86" s="64">
        <v>0.4236111111111111</v>
      </c>
      <c r="D86" s="10" t="s">
        <v>55</v>
      </c>
      <c r="E86" s="65" t="s">
        <v>53</v>
      </c>
      <c r="F86" s="65" t="s">
        <v>114</v>
      </c>
      <c r="G86" s="65" t="s">
        <v>554</v>
      </c>
      <c r="H86" s="37" t="s">
        <v>42</v>
      </c>
      <c r="I86" s="62" t="s">
        <v>131</v>
      </c>
      <c r="J86" s="65" t="s">
        <v>117</v>
      </c>
      <c r="K86" s="65" t="s">
        <v>86</v>
      </c>
      <c r="L86" s="66" t="s">
        <v>36</v>
      </c>
      <c r="M86" s="63">
        <v>45663</v>
      </c>
      <c r="N86" s="64">
        <v>0.75</v>
      </c>
      <c r="O86" s="67">
        <f t="shared" ca="1" si="4"/>
        <v>0</v>
      </c>
      <c r="P86" s="39">
        <f t="shared" ca="1" si="5"/>
        <v>0</v>
      </c>
      <c r="Q86" s="15">
        <f t="shared" ca="1" si="6"/>
        <v>31.8</v>
      </c>
      <c r="R86" s="62">
        <f t="shared" si="7"/>
        <v>0</v>
      </c>
      <c r="S86" s="65" t="s">
        <v>118</v>
      </c>
    </row>
    <row r="87" spans="1:19" ht="21" customHeight="1">
      <c r="A87" s="56">
        <v>83</v>
      </c>
      <c r="B87" s="57">
        <v>45663</v>
      </c>
      <c r="C87" s="58">
        <v>0.41666666666666669</v>
      </c>
      <c r="D87" s="2" t="s">
        <v>555</v>
      </c>
      <c r="E87" s="59" t="s">
        <v>53</v>
      </c>
      <c r="F87" s="59" t="s">
        <v>262</v>
      </c>
      <c r="G87" s="59" t="s">
        <v>556</v>
      </c>
      <c r="H87" s="41" t="s">
        <v>42</v>
      </c>
      <c r="I87" s="56" t="s">
        <v>131</v>
      </c>
      <c r="J87" s="59" t="s">
        <v>117</v>
      </c>
      <c r="K87" s="59" t="s">
        <v>86</v>
      </c>
      <c r="L87" s="60" t="s">
        <v>36</v>
      </c>
      <c r="M87" s="57">
        <v>45665</v>
      </c>
      <c r="N87" s="58">
        <v>0.75</v>
      </c>
      <c r="O87" s="61">
        <f t="shared" ca="1" si="4"/>
        <v>0</v>
      </c>
      <c r="P87" s="43">
        <f t="shared" ca="1" si="5"/>
        <v>0</v>
      </c>
      <c r="Q87" s="7">
        <f t="shared" ca="1" si="6"/>
        <v>56</v>
      </c>
      <c r="R87" s="56">
        <f t="shared" si="7"/>
        <v>0</v>
      </c>
      <c r="S87" s="59" t="s">
        <v>118</v>
      </c>
    </row>
    <row r="88" spans="1:19" ht="21" customHeight="1">
      <c r="A88" s="62">
        <v>84</v>
      </c>
      <c r="B88" s="63">
        <v>45665</v>
      </c>
      <c r="C88" s="64">
        <v>0.33333333333333331</v>
      </c>
      <c r="D88" s="10" t="s">
        <v>555</v>
      </c>
      <c r="E88" s="65" t="s">
        <v>53</v>
      </c>
      <c r="F88" s="65" t="s">
        <v>114</v>
      </c>
      <c r="G88" s="65" t="s">
        <v>557</v>
      </c>
      <c r="H88" s="37" t="s">
        <v>40</v>
      </c>
      <c r="I88" s="62" t="s">
        <v>131</v>
      </c>
      <c r="J88" s="65" t="s">
        <v>117</v>
      </c>
      <c r="K88" s="65" t="s">
        <v>86</v>
      </c>
      <c r="L88" s="66" t="s">
        <v>36</v>
      </c>
      <c r="M88" s="63">
        <v>45673</v>
      </c>
      <c r="N88" s="64">
        <v>0.75</v>
      </c>
      <c r="O88" s="67">
        <f t="shared" ca="1" si="4"/>
        <v>202</v>
      </c>
      <c r="P88" s="39">
        <f t="shared" ca="1" si="5"/>
        <v>8.42</v>
      </c>
      <c r="Q88" s="15">
        <f t="shared" ca="1" si="6"/>
        <v>202</v>
      </c>
      <c r="R88" s="62">
        <f t="shared" si="7"/>
        <v>1</v>
      </c>
      <c r="S88" s="65" t="s">
        <v>118</v>
      </c>
    </row>
    <row r="89" spans="1:19" ht="21" customHeight="1">
      <c r="A89" s="56">
        <v>85</v>
      </c>
      <c r="B89" s="57">
        <v>45666</v>
      </c>
      <c r="C89" s="58">
        <v>0.58333333333333337</v>
      </c>
      <c r="D89" s="2" t="s">
        <v>188</v>
      </c>
      <c r="E89" s="59" t="s">
        <v>53</v>
      </c>
      <c r="F89" s="59" t="s">
        <v>133</v>
      </c>
      <c r="G89" s="59" t="s">
        <v>558</v>
      </c>
      <c r="H89" s="41" t="s">
        <v>40</v>
      </c>
      <c r="I89" s="56" t="s">
        <v>131</v>
      </c>
      <c r="J89" s="59" t="s">
        <v>117</v>
      </c>
      <c r="K89" s="59" t="s">
        <v>86</v>
      </c>
      <c r="L89" s="60" t="s">
        <v>36</v>
      </c>
      <c r="M89" s="57">
        <v>45674</v>
      </c>
      <c r="N89" s="58">
        <v>0.75</v>
      </c>
      <c r="O89" s="61">
        <f t="shared" ca="1" si="4"/>
        <v>196</v>
      </c>
      <c r="P89" s="43">
        <f t="shared" ca="1" si="5"/>
        <v>8.17</v>
      </c>
      <c r="Q89" s="7">
        <f t="shared" ca="1" si="6"/>
        <v>196</v>
      </c>
      <c r="R89" s="56">
        <f t="shared" si="7"/>
        <v>1</v>
      </c>
      <c r="S89" s="59" t="s">
        <v>118</v>
      </c>
    </row>
    <row r="90" spans="1:19" ht="21" customHeight="1">
      <c r="A90" s="62">
        <v>86</v>
      </c>
      <c r="B90" s="63">
        <v>45667</v>
      </c>
      <c r="C90" s="64">
        <v>0.45833333333333331</v>
      </c>
      <c r="D90" s="10" t="s">
        <v>188</v>
      </c>
      <c r="E90" s="65" t="s">
        <v>53</v>
      </c>
      <c r="F90" s="65" t="s">
        <v>559</v>
      </c>
      <c r="G90" s="65" t="s">
        <v>560</v>
      </c>
      <c r="H90" s="37" t="s">
        <v>40</v>
      </c>
      <c r="I90" s="62" t="s">
        <v>131</v>
      </c>
      <c r="J90" s="65" t="s">
        <v>117</v>
      </c>
      <c r="K90" s="65" t="s">
        <v>86</v>
      </c>
      <c r="L90" s="66" t="s">
        <v>36</v>
      </c>
      <c r="M90" s="63">
        <v>45673</v>
      </c>
      <c r="N90" s="64">
        <v>0.75</v>
      </c>
      <c r="O90" s="67">
        <f t="shared" ca="1" si="4"/>
        <v>151</v>
      </c>
      <c r="P90" s="39">
        <f t="shared" ca="1" si="5"/>
        <v>6.29</v>
      </c>
      <c r="Q90" s="15">
        <f t="shared" ca="1" si="6"/>
        <v>151</v>
      </c>
      <c r="R90" s="62">
        <f t="shared" si="7"/>
        <v>1</v>
      </c>
      <c r="S90" s="65" t="s">
        <v>118</v>
      </c>
    </row>
    <row r="91" spans="1:19" ht="21" customHeight="1">
      <c r="A91" s="56">
        <v>87</v>
      </c>
      <c r="B91" s="57">
        <v>45670</v>
      </c>
      <c r="C91" s="58">
        <v>0.625</v>
      </c>
      <c r="D91" s="2" t="s">
        <v>62</v>
      </c>
      <c r="E91" s="59" t="s">
        <v>63</v>
      </c>
      <c r="F91" s="59" t="s">
        <v>137</v>
      </c>
      <c r="G91" s="59" t="s">
        <v>561</v>
      </c>
      <c r="H91" s="41" t="s">
        <v>40</v>
      </c>
      <c r="I91" s="56" t="s">
        <v>131</v>
      </c>
      <c r="J91" s="59" t="s">
        <v>117</v>
      </c>
      <c r="K91" s="59" t="s">
        <v>86</v>
      </c>
      <c r="L91" s="60" t="s">
        <v>36</v>
      </c>
      <c r="M91" s="57">
        <v>45673</v>
      </c>
      <c r="N91" s="58">
        <v>0.75</v>
      </c>
      <c r="O91" s="61">
        <f t="shared" ca="1" si="4"/>
        <v>75</v>
      </c>
      <c r="P91" s="43">
        <f t="shared" ca="1" si="5"/>
        <v>3.13</v>
      </c>
      <c r="Q91" s="7">
        <f t="shared" ca="1" si="6"/>
        <v>75</v>
      </c>
      <c r="R91" s="56">
        <f t="shared" si="7"/>
        <v>1</v>
      </c>
      <c r="S91" s="59" t="s">
        <v>118</v>
      </c>
    </row>
    <row r="92" spans="1:19" ht="21" customHeight="1">
      <c r="A92" s="62">
        <v>88</v>
      </c>
      <c r="B92" s="63">
        <v>45671</v>
      </c>
      <c r="C92" s="64">
        <v>0.45833333333333331</v>
      </c>
      <c r="D92" s="10" t="s">
        <v>490</v>
      </c>
      <c r="E92" s="65" t="s">
        <v>66</v>
      </c>
      <c r="F92" s="65" t="s">
        <v>414</v>
      </c>
      <c r="G92" s="65" t="s">
        <v>562</v>
      </c>
      <c r="H92" s="37" t="s">
        <v>42</v>
      </c>
      <c r="I92" s="62" t="s">
        <v>131</v>
      </c>
      <c r="J92" s="65" t="s">
        <v>117</v>
      </c>
      <c r="K92" s="65" t="s">
        <v>86</v>
      </c>
      <c r="L92" s="66" t="s">
        <v>36</v>
      </c>
      <c r="M92" s="63">
        <v>45673</v>
      </c>
      <c r="N92" s="64">
        <v>0.75</v>
      </c>
      <c r="O92" s="67">
        <f t="shared" ca="1" si="4"/>
        <v>0</v>
      </c>
      <c r="P92" s="39">
        <f t="shared" ca="1" si="5"/>
        <v>0</v>
      </c>
      <c r="Q92" s="15">
        <f t="shared" ca="1" si="6"/>
        <v>55</v>
      </c>
      <c r="R92" s="62">
        <f t="shared" si="7"/>
        <v>0</v>
      </c>
      <c r="S92" s="65" t="s">
        <v>118</v>
      </c>
    </row>
    <row r="93" spans="1:19" ht="21" customHeight="1">
      <c r="A93" s="56">
        <v>89</v>
      </c>
      <c r="B93" s="57">
        <v>45672</v>
      </c>
      <c r="C93" s="58">
        <v>0.45833333333333331</v>
      </c>
      <c r="D93" s="2" t="s">
        <v>395</v>
      </c>
      <c r="E93" s="59" t="s">
        <v>66</v>
      </c>
      <c r="F93" s="59" t="s">
        <v>563</v>
      </c>
      <c r="G93" s="59" t="s">
        <v>564</v>
      </c>
      <c r="H93" s="41" t="s">
        <v>42</v>
      </c>
      <c r="I93" s="56" t="s">
        <v>131</v>
      </c>
      <c r="J93" s="59" t="s">
        <v>117</v>
      </c>
      <c r="K93" s="59" t="s">
        <v>86</v>
      </c>
      <c r="L93" s="60" t="s">
        <v>36</v>
      </c>
      <c r="M93" s="57">
        <v>45673</v>
      </c>
      <c r="N93" s="58">
        <v>0.75</v>
      </c>
      <c r="O93" s="61">
        <f t="shared" ca="1" si="4"/>
        <v>0</v>
      </c>
      <c r="P93" s="43">
        <f t="shared" ca="1" si="5"/>
        <v>0</v>
      </c>
      <c r="Q93" s="7">
        <f t="shared" ca="1" si="6"/>
        <v>31</v>
      </c>
      <c r="R93" s="56">
        <f t="shared" si="7"/>
        <v>0</v>
      </c>
      <c r="S93" s="59" t="s">
        <v>118</v>
      </c>
    </row>
    <row r="94" spans="1:19" ht="21" customHeight="1">
      <c r="A94" s="62">
        <v>90</v>
      </c>
      <c r="B94" s="63">
        <v>45673</v>
      </c>
      <c r="C94" s="64">
        <v>0.625</v>
      </c>
      <c r="D94" s="10" t="s">
        <v>150</v>
      </c>
      <c r="E94" s="65" t="s">
        <v>53</v>
      </c>
      <c r="F94" s="65" t="s">
        <v>125</v>
      </c>
      <c r="G94" s="65" t="s">
        <v>565</v>
      </c>
      <c r="H94" s="37" t="s">
        <v>42</v>
      </c>
      <c r="I94" s="62" t="s">
        <v>131</v>
      </c>
      <c r="J94" s="65" t="s">
        <v>117</v>
      </c>
      <c r="K94" s="65" t="s">
        <v>86</v>
      </c>
      <c r="L94" s="66" t="s">
        <v>36</v>
      </c>
      <c r="M94" s="63">
        <v>45675</v>
      </c>
      <c r="N94" s="64">
        <v>0.75</v>
      </c>
      <c r="O94" s="67">
        <f t="shared" ca="1" si="4"/>
        <v>0</v>
      </c>
      <c r="P94" s="39">
        <f t="shared" ca="1" si="5"/>
        <v>0</v>
      </c>
      <c r="Q94" s="15">
        <f t="shared" ca="1" si="6"/>
        <v>51</v>
      </c>
      <c r="R94" s="62">
        <f t="shared" si="7"/>
        <v>0</v>
      </c>
      <c r="S94" s="65" t="s">
        <v>118</v>
      </c>
    </row>
    <row r="95" spans="1:19" ht="21" customHeight="1">
      <c r="A95" s="56">
        <v>91</v>
      </c>
      <c r="B95" s="57">
        <v>45674</v>
      </c>
      <c r="C95" s="58">
        <v>0.45833333333333331</v>
      </c>
      <c r="D95" s="2" t="s">
        <v>150</v>
      </c>
      <c r="E95" s="59" t="s">
        <v>53</v>
      </c>
      <c r="F95" s="59" t="s">
        <v>559</v>
      </c>
      <c r="G95" s="59" t="s">
        <v>566</v>
      </c>
      <c r="H95" s="41" t="s">
        <v>42</v>
      </c>
      <c r="I95" s="56" t="s">
        <v>131</v>
      </c>
      <c r="J95" s="59" t="s">
        <v>117</v>
      </c>
      <c r="K95" s="59" t="s">
        <v>86</v>
      </c>
      <c r="L95" s="60" t="s">
        <v>36</v>
      </c>
      <c r="M95" s="57">
        <v>45675</v>
      </c>
      <c r="N95" s="58">
        <v>0.75</v>
      </c>
      <c r="O95" s="61">
        <f t="shared" ca="1" si="4"/>
        <v>0</v>
      </c>
      <c r="P95" s="43">
        <f t="shared" ca="1" si="5"/>
        <v>0</v>
      </c>
      <c r="Q95" s="7">
        <f t="shared" ca="1" si="6"/>
        <v>31</v>
      </c>
      <c r="R95" s="56">
        <f t="shared" si="7"/>
        <v>0</v>
      </c>
      <c r="S95" s="59" t="s">
        <v>118</v>
      </c>
    </row>
    <row r="96" spans="1:19" ht="21" customHeight="1">
      <c r="A96" s="62">
        <v>92</v>
      </c>
      <c r="B96" s="63">
        <v>45675</v>
      </c>
      <c r="C96" s="64">
        <v>0.625</v>
      </c>
      <c r="D96" s="10" t="s">
        <v>567</v>
      </c>
      <c r="E96" s="65" t="s">
        <v>72</v>
      </c>
      <c r="F96" s="65" t="s">
        <v>114</v>
      </c>
      <c r="G96" s="65" t="s">
        <v>568</v>
      </c>
      <c r="H96" s="37" t="s">
        <v>42</v>
      </c>
      <c r="I96" s="62" t="s">
        <v>131</v>
      </c>
      <c r="J96" s="65" t="s">
        <v>117</v>
      </c>
      <c r="K96" s="65" t="s">
        <v>86</v>
      </c>
      <c r="L96" s="66" t="s">
        <v>36</v>
      </c>
      <c r="M96" s="63">
        <v>45675</v>
      </c>
      <c r="N96" s="64">
        <v>0.75</v>
      </c>
      <c r="O96" s="67">
        <f t="shared" ca="1" si="4"/>
        <v>0</v>
      </c>
      <c r="P96" s="39">
        <f t="shared" ca="1" si="5"/>
        <v>0</v>
      </c>
      <c r="Q96" s="15">
        <f t="shared" ca="1" si="6"/>
        <v>3</v>
      </c>
      <c r="R96" s="62">
        <f t="shared" si="7"/>
        <v>0</v>
      </c>
      <c r="S96" s="65" t="s">
        <v>118</v>
      </c>
    </row>
    <row r="97" spans="1:19" ht="21" customHeight="1">
      <c r="A97" s="56">
        <v>93</v>
      </c>
      <c r="B97" s="57">
        <v>45675</v>
      </c>
      <c r="C97" s="58">
        <v>0.58333333333333337</v>
      </c>
      <c r="D97" s="2" t="s">
        <v>299</v>
      </c>
      <c r="E97" s="59" t="s">
        <v>53</v>
      </c>
      <c r="F97" s="59" t="s">
        <v>569</v>
      </c>
      <c r="G97" s="59" t="s">
        <v>570</v>
      </c>
      <c r="H97" s="41" t="s">
        <v>42</v>
      </c>
      <c r="I97" s="56" t="s">
        <v>131</v>
      </c>
      <c r="J97" s="59" t="s">
        <v>117</v>
      </c>
      <c r="K97" s="59" t="s">
        <v>86</v>
      </c>
      <c r="L97" s="60" t="s">
        <v>36</v>
      </c>
      <c r="M97" s="57">
        <v>45675</v>
      </c>
      <c r="N97" s="58">
        <v>0.75</v>
      </c>
      <c r="O97" s="61">
        <f t="shared" ca="1" si="4"/>
        <v>0</v>
      </c>
      <c r="P97" s="43">
        <f t="shared" ca="1" si="5"/>
        <v>0</v>
      </c>
      <c r="Q97" s="7">
        <f t="shared" ca="1" si="6"/>
        <v>4</v>
      </c>
      <c r="R97" s="56">
        <f t="shared" si="7"/>
        <v>0</v>
      </c>
      <c r="S97" s="59" t="s">
        <v>118</v>
      </c>
    </row>
    <row r="98" spans="1:19" ht="21" customHeight="1">
      <c r="A98" s="62">
        <v>94</v>
      </c>
      <c r="B98" s="63">
        <v>45678</v>
      </c>
      <c r="C98" s="64">
        <v>0.41666666666666669</v>
      </c>
      <c r="D98" s="10" t="s">
        <v>571</v>
      </c>
      <c r="E98" s="65" t="s">
        <v>63</v>
      </c>
      <c r="F98" s="65" t="s">
        <v>114</v>
      </c>
      <c r="G98" s="65" t="s">
        <v>572</v>
      </c>
      <c r="H98" s="37" t="s">
        <v>40</v>
      </c>
      <c r="I98" s="62" t="s">
        <v>131</v>
      </c>
      <c r="J98" s="65" t="s">
        <v>117</v>
      </c>
      <c r="K98" s="65" t="s">
        <v>86</v>
      </c>
      <c r="L98" s="66" t="s">
        <v>36</v>
      </c>
      <c r="M98" s="63">
        <v>45680</v>
      </c>
      <c r="N98" s="64">
        <v>0.75</v>
      </c>
      <c r="O98" s="67">
        <f t="shared" ca="1" si="4"/>
        <v>56</v>
      </c>
      <c r="P98" s="39">
        <f t="shared" ca="1" si="5"/>
        <v>2.33</v>
      </c>
      <c r="Q98" s="15">
        <f t="shared" ca="1" si="6"/>
        <v>56</v>
      </c>
      <c r="R98" s="62">
        <f t="shared" si="7"/>
        <v>1</v>
      </c>
      <c r="S98" s="65" t="s">
        <v>118</v>
      </c>
    </row>
    <row r="99" spans="1:19" ht="21" customHeight="1">
      <c r="A99" s="56">
        <v>95</v>
      </c>
      <c r="B99" s="57">
        <v>45679</v>
      </c>
      <c r="C99" s="58">
        <v>0.41666666666666669</v>
      </c>
      <c r="D99" s="2" t="s">
        <v>573</v>
      </c>
      <c r="E99" s="59" t="s">
        <v>63</v>
      </c>
      <c r="F99" s="59" t="s">
        <v>114</v>
      </c>
      <c r="G99" s="59" t="s">
        <v>574</v>
      </c>
      <c r="H99" s="41" t="s">
        <v>42</v>
      </c>
      <c r="I99" s="56" t="s">
        <v>131</v>
      </c>
      <c r="J99" s="59" t="s">
        <v>117</v>
      </c>
      <c r="K99" s="59" t="s">
        <v>86</v>
      </c>
      <c r="L99" s="60" t="s">
        <v>36</v>
      </c>
      <c r="M99" s="57">
        <v>45679</v>
      </c>
      <c r="N99" s="58">
        <v>0.75</v>
      </c>
      <c r="O99" s="61">
        <f t="shared" ca="1" si="4"/>
        <v>0</v>
      </c>
      <c r="P99" s="43">
        <f t="shared" ca="1" si="5"/>
        <v>0</v>
      </c>
      <c r="Q99" s="7">
        <f t="shared" ca="1" si="6"/>
        <v>8</v>
      </c>
      <c r="R99" s="56">
        <f t="shared" si="7"/>
        <v>0</v>
      </c>
      <c r="S99" s="59" t="s">
        <v>118</v>
      </c>
    </row>
    <row r="100" spans="1:19" ht="21" customHeight="1">
      <c r="A100" s="62">
        <v>96</v>
      </c>
      <c r="B100" s="63">
        <v>45680</v>
      </c>
      <c r="C100" s="64">
        <v>0.5</v>
      </c>
      <c r="D100" s="10" t="s">
        <v>55</v>
      </c>
      <c r="E100" s="65" t="s">
        <v>53</v>
      </c>
      <c r="F100" s="65" t="s">
        <v>262</v>
      </c>
      <c r="G100" s="65" t="s">
        <v>575</v>
      </c>
      <c r="H100" s="37" t="s">
        <v>40</v>
      </c>
      <c r="I100" s="62" t="s">
        <v>576</v>
      </c>
      <c r="J100" s="65" t="s">
        <v>117</v>
      </c>
      <c r="K100" s="65" t="s">
        <v>86</v>
      </c>
      <c r="L100" s="66" t="s">
        <v>36</v>
      </c>
      <c r="M100" s="63">
        <v>45681</v>
      </c>
      <c r="N100" s="64">
        <v>0.75</v>
      </c>
      <c r="O100" s="67">
        <f t="shared" ca="1" si="4"/>
        <v>30</v>
      </c>
      <c r="P100" s="39">
        <f t="shared" ca="1" si="5"/>
        <v>1.25</v>
      </c>
      <c r="Q100" s="15">
        <f t="shared" ca="1" si="6"/>
        <v>30</v>
      </c>
      <c r="R100" s="62">
        <f t="shared" si="7"/>
        <v>1</v>
      </c>
      <c r="S100" s="65" t="s">
        <v>118</v>
      </c>
    </row>
    <row r="101" spans="1:19" ht="21" customHeight="1">
      <c r="A101" s="56">
        <v>97</v>
      </c>
      <c r="B101" s="57">
        <v>45680</v>
      </c>
      <c r="C101" s="58">
        <v>0.5</v>
      </c>
      <c r="D101" s="2" t="s">
        <v>55</v>
      </c>
      <c r="E101" s="59" t="s">
        <v>53</v>
      </c>
      <c r="F101" s="59" t="s">
        <v>122</v>
      </c>
      <c r="G101" s="59" t="s">
        <v>577</v>
      </c>
      <c r="H101" s="41" t="s">
        <v>40</v>
      </c>
      <c r="I101" s="56" t="s">
        <v>578</v>
      </c>
      <c r="J101" s="59" t="s">
        <v>117</v>
      </c>
      <c r="K101" s="59" t="s">
        <v>86</v>
      </c>
      <c r="L101" s="60" t="s">
        <v>36</v>
      </c>
      <c r="M101" s="57">
        <v>45681</v>
      </c>
      <c r="N101" s="58">
        <v>0.75</v>
      </c>
      <c r="O101" s="61">
        <f t="shared" ca="1" si="4"/>
        <v>30</v>
      </c>
      <c r="P101" s="43">
        <f t="shared" ca="1" si="5"/>
        <v>1.25</v>
      </c>
      <c r="Q101" s="7">
        <f t="shared" ca="1" si="6"/>
        <v>30</v>
      </c>
      <c r="R101" s="56">
        <f t="shared" si="7"/>
        <v>1</v>
      </c>
      <c r="S101" s="59" t="s">
        <v>118</v>
      </c>
    </row>
    <row r="102" spans="1:19" ht="21" customHeight="1">
      <c r="A102" s="62">
        <v>98</v>
      </c>
      <c r="B102" s="63">
        <v>45681</v>
      </c>
      <c r="C102" s="64">
        <v>0.45833333333333331</v>
      </c>
      <c r="D102" s="10" t="s">
        <v>266</v>
      </c>
      <c r="E102" s="65" t="s">
        <v>69</v>
      </c>
      <c r="F102" s="65" t="s">
        <v>411</v>
      </c>
      <c r="G102" s="65" t="s">
        <v>579</v>
      </c>
      <c r="H102" s="37" t="s">
        <v>40</v>
      </c>
      <c r="I102" s="62" t="s">
        <v>131</v>
      </c>
      <c r="J102" s="65" t="s">
        <v>117</v>
      </c>
      <c r="K102" s="65" t="s">
        <v>86</v>
      </c>
      <c r="L102" s="66" t="s">
        <v>36</v>
      </c>
      <c r="M102" s="63">
        <v>45682</v>
      </c>
      <c r="N102" s="64">
        <v>0.75</v>
      </c>
      <c r="O102" s="67">
        <f t="shared" ca="1" si="4"/>
        <v>31</v>
      </c>
      <c r="P102" s="39">
        <f t="shared" ca="1" si="5"/>
        <v>1.29</v>
      </c>
      <c r="Q102" s="15">
        <f t="shared" ca="1" si="6"/>
        <v>31</v>
      </c>
      <c r="R102" s="62">
        <f t="shared" si="7"/>
        <v>1</v>
      </c>
      <c r="S102" s="65" t="s">
        <v>118</v>
      </c>
    </row>
    <row r="103" spans="1:19" ht="21" customHeight="1">
      <c r="A103" s="56">
        <v>99</v>
      </c>
      <c r="B103" s="57">
        <v>45684</v>
      </c>
      <c r="C103" s="58">
        <v>0.41666666666666669</v>
      </c>
      <c r="D103" s="2" t="s">
        <v>299</v>
      </c>
      <c r="E103" s="59" t="s">
        <v>53</v>
      </c>
      <c r="F103" s="59" t="s">
        <v>569</v>
      </c>
      <c r="G103" s="59" t="s">
        <v>570</v>
      </c>
      <c r="H103" s="41" t="s">
        <v>42</v>
      </c>
      <c r="I103" s="56" t="s">
        <v>131</v>
      </c>
      <c r="J103" s="59" t="s">
        <v>117</v>
      </c>
      <c r="K103" s="59" t="s">
        <v>86</v>
      </c>
      <c r="L103" s="60" t="s">
        <v>36</v>
      </c>
      <c r="M103" s="57">
        <v>45686</v>
      </c>
      <c r="N103" s="58">
        <v>0.75</v>
      </c>
      <c r="O103" s="61">
        <f t="shared" ca="1" si="4"/>
        <v>0</v>
      </c>
      <c r="P103" s="43">
        <f t="shared" ca="1" si="5"/>
        <v>0</v>
      </c>
      <c r="Q103" s="7">
        <f t="shared" ca="1" si="6"/>
        <v>56</v>
      </c>
      <c r="R103" s="56">
        <f t="shared" si="7"/>
        <v>0</v>
      </c>
      <c r="S103" s="59" t="s">
        <v>118</v>
      </c>
    </row>
    <row r="104" spans="1:19" ht="21" customHeight="1">
      <c r="A104" s="62">
        <v>100</v>
      </c>
      <c r="B104" s="63">
        <v>45684</v>
      </c>
      <c r="C104" s="64">
        <v>0.45833333333333331</v>
      </c>
      <c r="D104" s="10" t="s">
        <v>55</v>
      </c>
      <c r="E104" s="65" t="s">
        <v>53</v>
      </c>
      <c r="F104" s="65" t="s">
        <v>262</v>
      </c>
      <c r="G104" s="65" t="s">
        <v>580</v>
      </c>
      <c r="H104" s="37" t="s">
        <v>40</v>
      </c>
      <c r="I104" s="62" t="s">
        <v>581</v>
      </c>
      <c r="J104" s="65" t="s">
        <v>117</v>
      </c>
      <c r="K104" s="65" t="s">
        <v>86</v>
      </c>
      <c r="L104" s="66" t="s">
        <v>36</v>
      </c>
      <c r="M104" s="63">
        <v>45685</v>
      </c>
      <c r="N104" s="64">
        <v>0.75</v>
      </c>
      <c r="O104" s="67">
        <f t="shared" ca="1" si="4"/>
        <v>31</v>
      </c>
      <c r="P104" s="39">
        <f t="shared" ca="1" si="5"/>
        <v>1.29</v>
      </c>
      <c r="Q104" s="15">
        <f t="shared" ca="1" si="6"/>
        <v>31</v>
      </c>
      <c r="R104" s="62">
        <f t="shared" si="7"/>
        <v>1</v>
      </c>
      <c r="S104" s="65" t="s">
        <v>118</v>
      </c>
    </row>
    <row r="105" spans="1:19" ht="21" customHeight="1">
      <c r="A105" s="56">
        <v>101</v>
      </c>
      <c r="B105" s="57">
        <v>45685</v>
      </c>
      <c r="C105" s="58">
        <v>0.41666666666666669</v>
      </c>
      <c r="D105" s="2" t="s">
        <v>339</v>
      </c>
      <c r="E105" s="59" t="s">
        <v>63</v>
      </c>
      <c r="F105" s="59" t="s">
        <v>162</v>
      </c>
      <c r="G105" s="59" t="s">
        <v>582</v>
      </c>
      <c r="H105" s="41" t="s">
        <v>40</v>
      </c>
      <c r="I105" s="56" t="s">
        <v>131</v>
      </c>
      <c r="J105" s="59" t="s">
        <v>117</v>
      </c>
      <c r="K105" s="59" t="s">
        <v>86</v>
      </c>
      <c r="L105" s="60" t="s">
        <v>36</v>
      </c>
      <c r="M105" s="57">
        <v>45685</v>
      </c>
      <c r="N105" s="58">
        <v>0.75</v>
      </c>
      <c r="O105" s="61">
        <f t="shared" ca="1" si="4"/>
        <v>8</v>
      </c>
      <c r="P105" s="43">
        <f t="shared" ca="1" si="5"/>
        <v>0.33</v>
      </c>
      <c r="Q105" s="7">
        <f t="shared" ca="1" si="6"/>
        <v>8</v>
      </c>
      <c r="R105" s="56">
        <f t="shared" si="7"/>
        <v>1</v>
      </c>
      <c r="S105" s="59" t="s">
        <v>118</v>
      </c>
    </row>
    <row r="106" spans="1:19" ht="21" customHeight="1">
      <c r="A106" s="62">
        <v>102</v>
      </c>
      <c r="B106" s="63">
        <v>45685</v>
      </c>
      <c r="C106" s="64">
        <v>0.45833333333333331</v>
      </c>
      <c r="D106" s="10" t="s">
        <v>62</v>
      </c>
      <c r="E106" s="65" t="s">
        <v>63</v>
      </c>
      <c r="F106" s="65" t="s">
        <v>114</v>
      </c>
      <c r="G106" s="65" t="s">
        <v>583</v>
      </c>
      <c r="H106" s="37" t="s">
        <v>40</v>
      </c>
      <c r="I106" s="62" t="s">
        <v>131</v>
      </c>
      <c r="J106" s="65" t="s">
        <v>117</v>
      </c>
      <c r="K106" s="65" t="s">
        <v>86</v>
      </c>
      <c r="L106" s="66" t="s">
        <v>36</v>
      </c>
      <c r="M106" s="63">
        <v>45686</v>
      </c>
      <c r="N106" s="64">
        <v>0.75</v>
      </c>
      <c r="O106" s="67">
        <f t="shared" ca="1" si="4"/>
        <v>31</v>
      </c>
      <c r="P106" s="39">
        <f t="shared" ca="1" si="5"/>
        <v>1.29</v>
      </c>
      <c r="Q106" s="15">
        <f t="shared" ca="1" si="6"/>
        <v>31</v>
      </c>
      <c r="R106" s="62">
        <f t="shared" si="7"/>
        <v>1</v>
      </c>
      <c r="S106" s="65" t="s">
        <v>118</v>
      </c>
    </row>
    <row r="107" spans="1:19" ht="21" customHeight="1">
      <c r="A107" s="56">
        <v>103</v>
      </c>
      <c r="B107" s="57">
        <v>45690</v>
      </c>
      <c r="C107" s="58">
        <v>0.41666666666666669</v>
      </c>
      <c r="D107" s="2" t="s">
        <v>266</v>
      </c>
      <c r="E107" s="59" t="s">
        <v>69</v>
      </c>
      <c r="F107" s="59" t="s">
        <v>411</v>
      </c>
      <c r="G107" s="59" t="s">
        <v>584</v>
      </c>
      <c r="H107" s="41" t="s">
        <v>40</v>
      </c>
      <c r="I107" s="56" t="s">
        <v>131</v>
      </c>
      <c r="J107" s="59" t="s">
        <v>117</v>
      </c>
      <c r="K107" s="59" t="s">
        <v>86</v>
      </c>
      <c r="L107" s="60" t="s">
        <v>36</v>
      </c>
      <c r="M107" s="57">
        <v>45707</v>
      </c>
      <c r="N107" s="58">
        <v>0.75</v>
      </c>
      <c r="O107" s="61">
        <f t="shared" ca="1" si="4"/>
        <v>416</v>
      </c>
      <c r="P107" s="43">
        <f t="shared" ca="1" si="5"/>
        <v>17.329999999999998</v>
      </c>
      <c r="Q107" s="7">
        <f t="shared" ca="1" si="6"/>
        <v>416</v>
      </c>
      <c r="R107" s="56">
        <f t="shared" si="7"/>
        <v>1</v>
      </c>
      <c r="S107" s="59" t="s">
        <v>118</v>
      </c>
    </row>
    <row r="108" spans="1:19" ht="21" customHeight="1">
      <c r="A108" s="62">
        <v>104</v>
      </c>
      <c r="B108" s="63">
        <v>45692</v>
      </c>
      <c r="C108" s="64">
        <v>0.41666666666666669</v>
      </c>
      <c r="D108" s="10" t="s">
        <v>55</v>
      </c>
      <c r="E108" s="65" t="s">
        <v>53</v>
      </c>
      <c r="F108" s="65" t="s">
        <v>119</v>
      </c>
      <c r="G108" s="65" t="s">
        <v>585</v>
      </c>
      <c r="H108" s="37" t="s">
        <v>40</v>
      </c>
      <c r="I108" s="62" t="s">
        <v>586</v>
      </c>
      <c r="J108" s="65" t="s">
        <v>117</v>
      </c>
      <c r="K108" s="65" t="s">
        <v>86</v>
      </c>
      <c r="L108" s="66" t="s">
        <v>36</v>
      </c>
      <c r="M108" s="63">
        <v>45693</v>
      </c>
      <c r="N108" s="64">
        <v>0.75</v>
      </c>
      <c r="O108" s="67">
        <f t="shared" ca="1" si="4"/>
        <v>32</v>
      </c>
      <c r="P108" s="39">
        <f t="shared" ca="1" si="5"/>
        <v>1.33</v>
      </c>
      <c r="Q108" s="15">
        <f t="shared" ca="1" si="6"/>
        <v>32</v>
      </c>
      <c r="R108" s="62">
        <f t="shared" si="7"/>
        <v>1</v>
      </c>
      <c r="S108" s="65" t="s">
        <v>118</v>
      </c>
    </row>
    <row r="109" spans="1:19" ht="21" customHeight="1">
      <c r="A109" s="56">
        <v>105</v>
      </c>
      <c r="B109" s="57">
        <v>45692</v>
      </c>
      <c r="C109" s="58">
        <v>0.44444444444444442</v>
      </c>
      <c r="D109" s="2" t="s">
        <v>55</v>
      </c>
      <c r="E109" s="59" t="s">
        <v>53</v>
      </c>
      <c r="F109" s="59" t="s">
        <v>114</v>
      </c>
      <c r="G109" s="59" t="s">
        <v>587</v>
      </c>
      <c r="H109" s="41" t="s">
        <v>40</v>
      </c>
      <c r="I109" s="56" t="s">
        <v>588</v>
      </c>
      <c r="J109" s="59" t="s">
        <v>117</v>
      </c>
      <c r="K109" s="59" t="s">
        <v>86</v>
      </c>
      <c r="L109" s="60" t="s">
        <v>36</v>
      </c>
      <c r="M109" s="57">
        <v>45693</v>
      </c>
      <c r="N109" s="58">
        <v>0.75</v>
      </c>
      <c r="O109" s="61">
        <f t="shared" ca="1" si="4"/>
        <v>31.3</v>
      </c>
      <c r="P109" s="43">
        <f t="shared" ca="1" si="5"/>
        <v>1.3</v>
      </c>
      <c r="Q109" s="7">
        <f t="shared" ca="1" si="6"/>
        <v>31.3</v>
      </c>
      <c r="R109" s="56">
        <f t="shared" si="7"/>
        <v>1</v>
      </c>
      <c r="S109" s="59" t="s">
        <v>118</v>
      </c>
    </row>
    <row r="110" spans="1:19" ht="21" customHeight="1">
      <c r="A110" s="62">
        <v>106</v>
      </c>
      <c r="B110" s="63">
        <v>45700</v>
      </c>
      <c r="C110" s="64">
        <v>0.375</v>
      </c>
      <c r="D110" s="10" t="s">
        <v>74</v>
      </c>
      <c r="E110" s="65" t="s">
        <v>72</v>
      </c>
      <c r="F110" s="65" t="s">
        <v>418</v>
      </c>
      <c r="G110" s="65" t="s">
        <v>589</v>
      </c>
      <c r="H110" s="37" t="s">
        <v>40</v>
      </c>
      <c r="I110" s="62" t="s">
        <v>131</v>
      </c>
      <c r="J110" s="65" t="s">
        <v>117</v>
      </c>
      <c r="K110" s="65" t="s">
        <v>86</v>
      </c>
      <c r="L110" s="66" t="s">
        <v>36</v>
      </c>
      <c r="M110" s="63">
        <v>45703</v>
      </c>
      <c r="N110" s="64">
        <v>0.75</v>
      </c>
      <c r="O110" s="67">
        <f t="shared" ca="1" si="4"/>
        <v>81</v>
      </c>
      <c r="P110" s="39">
        <f t="shared" ca="1" si="5"/>
        <v>3.38</v>
      </c>
      <c r="Q110" s="15">
        <f t="shared" ca="1" si="6"/>
        <v>81</v>
      </c>
      <c r="R110" s="62">
        <f t="shared" si="7"/>
        <v>1</v>
      </c>
      <c r="S110" s="65" t="s">
        <v>118</v>
      </c>
    </row>
    <row r="111" spans="1:19" ht="21" customHeight="1">
      <c r="A111" s="56">
        <v>107</v>
      </c>
      <c r="B111" s="57">
        <v>45703</v>
      </c>
      <c r="C111" s="58">
        <v>0.5</v>
      </c>
      <c r="D111" s="2" t="s">
        <v>55</v>
      </c>
      <c r="E111" s="59" t="s">
        <v>53</v>
      </c>
      <c r="F111" s="59" t="s">
        <v>418</v>
      </c>
      <c r="G111" s="59" t="s">
        <v>426</v>
      </c>
      <c r="H111" s="41" t="s">
        <v>40</v>
      </c>
      <c r="I111" s="56" t="s">
        <v>590</v>
      </c>
      <c r="J111" s="59" t="s">
        <v>117</v>
      </c>
      <c r="K111" s="59" t="s">
        <v>86</v>
      </c>
      <c r="L111" s="60" t="s">
        <v>36</v>
      </c>
      <c r="M111" s="57">
        <v>45703</v>
      </c>
      <c r="N111" s="58">
        <v>0.75</v>
      </c>
      <c r="O111" s="61">
        <f t="shared" ca="1" si="4"/>
        <v>6</v>
      </c>
      <c r="P111" s="43">
        <f t="shared" ca="1" si="5"/>
        <v>0.25</v>
      </c>
      <c r="Q111" s="7">
        <f t="shared" ca="1" si="6"/>
        <v>6</v>
      </c>
      <c r="R111" s="56">
        <f t="shared" si="7"/>
        <v>1</v>
      </c>
      <c r="S111" s="59" t="s">
        <v>118</v>
      </c>
    </row>
    <row r="112" spans="1:19" ht="21" customHeight="1">
      <c r="A112" s="62">
        <v>108</v>
      </c>
      <c r="B112" s="63">
        <v>45703</v>
      </c>
      <c r="C112" s="64">
        <v>0.47222222222222221</v>
      </c>
      <c r="D112" s="10" t="s">
        <v>432</v>
      </c>
      <c r="E112" s="65" t="s">
        <v>63</v>
      </c>
      <c r="F112" s="65" t="s">
        <v>325</v>
      </c>
      <c r="G112" s="65" t="s">
        <v>591</v>
      </c>
      <c r="H112" s="37" t="s">
        <v>40</v>
      </c>
      <c r="I112" s="62" t="s">
        <v>131</v>
      </c>
      <c r="J112" s="65" t="s">
        <v>117</v>
      </c>
      <c r="K112" s="65" t="s">
        <v>86</v>
      </c>
      <c r="L112" s="66" t="s">
        <v>36</v>
      </c>
      <c r="M112" s="63">
        <v>45703</v>
      </c>
      <c r="N112" s="64">
        <v>0.75</v>
      </c>
      <c r="O112" s="67">
        <f t="shared" ca="1" si="4"/>
        <v>6.7</v>
      </c>
      <c r="P112" s="39">
        <f t="shared" ca="1" si="5"/>
        <v>0.28000000000000003</v>
      </c>
      <c r="Q112" s="15">
        <f t="shared" ca="1" si="6"/>
        <v>6.7</v>
      </c>
      <c r="R112" s="62">
        <f t="shared" si="7"/>
        <v>1</v>
      </c>
      <c r="S112" s="65" t="s">
        <v>118</v>
      </c>
    </row>
    <row r="113" spans="1:19" ht="21" customHeight="1">
      <c r="A113" s="56">
        <v>109</v>
      </c>
      <c r="B113" s="57">
        <v>45704</v>
      </c>
      <c r="C113" s="58">
        <v>0.375</v>
      </c>
      <c r="D113" s="2" t="s">
        <v>201</v>
      </c>
      <c r="E113" s="59" t="s">
        <v>58</v>
      </c>
      <c r="F113" s="59" t="s">
        <v>592</v>
      </c>
      <c r="G113" s="59" t="s">
        <v>593</v>
      </c>
      <c r="H113" s="41" t="s">
        <v>40</v>
      </c>
      <c r="I113" s="56" t="s">
        <v>131</v>
      </c>
      <c r="J113" s="59" t="s">
        <v>117</v>
      </c>
      <c r="K113" s="59" t="s">
        <v>86</v>
      </c>
      <c r="L113" s="60" t="s">
        <v>36</v>
      </c>
      <c r="M113" s="57">
        <v>45705</v>
      </c>
      <c r="N113" s="58">
        <v>0.75</v>
      </c>
      <c r="O113" s="61">
        <f t="shared" ca="1" si="4"/>
        <v>33</v>
      </c>
      <c r="P113" s="43">
        <f t="shared" ca="1" si="5"/>
        <v>1.38</v>
      </c>
      <c r="Q113" s="7">
        <f t="shared" ca="1" si="6"/>
        <v>33</v>
      </c>
      <c r="R113" s="56">
        <f t="shared" si="7"/>
        <v>1</v>
      </c>
      <c r="S113" s="59" t="s">
        <v>118</v>
      </c>
    </row>
    <row r="114" spans="1:19" ht="21" customHeight="1">
      <c r="A114" s="62">
        <v>110</v>
      </c>
      <c r="B114" s="63">
        <v>45705</v>
      </c>
      <c r="C114" s="64">
        <v>0.54166666666666663</v>
      </c>
      <c r="D114" s="10" t="s">
        <v>57</v>
      </c>
      <c r="E114" s="65" t="s">
        <v>72</v>
      </c>
      <c r="F114" s="65" t="s">
        <v>137</v>
      </c>
      <c r="G114" s="65" t="s">
        <v>594</v>
      </c>
      <c r="H114" s="37" t="s">
        <v>42</v>
      </c>
      <c r="I114" s="62" t="s">
        <v>131</v>
      </c>
      <c r="J114" s="65" t="s">
        <v>117</v>
      </c>
      <c r="K114" s="65" t="s">
        <v>86</v>
      </c>
      <c r="L114" s="66" t="s">
        <v>36</v>
      </c>
      <c r="M114" s="63">
        <v>45706</v>
      </c>
      <c r="N114" s="64">
        <v>0.75</v>
      </c>
      <c r="O114" s="67">
        <f t="shared" ca="1" si="4"/>
        <v>0</v>
      </c>
      <c r="P114" s="39">
        <f t="shared" ca="1" si="5"/>
        <v>0</v>
      </c>
      <c r="Q114" s="15">
        <f t="shared" ca="1" si="6"/>
        <v>29</v>
      </c>
      <c r="R114" s="62">
        <f t="shared" si="7"/>
        <v>0</v>
      </c>
      <c r="S114" s="65" t="s">
        <v>118</v>
      </c>
    </row>
    <row r="115" spans="1:19" ht="21" customHeight="1">
      <c r="A115" s="56">
        <v>111</v>
      </c>
      <c r="B115" s="57">
        <v>45707</v>
      </c>
      <c r="C115" s="58">
        <v>0.5</v>
      </c>
      <c r="D115" s="2" t="s">
        <v>55</v>
      </c>
      <c r="E115" s="59" t="s">
        <v>53</v>
      </c>
      <c r="F115" s="59" t="s">
        <v>119</v>
      </c>
      <c r="G115" s="59" t="s">
        <v>595</v>
      </c>
      <c r="H115" s="41" t="s">
        <v>40</v>
      </c>
      <c r="I115" s="56" t="s">
        <v>596</v>
      </c>
      <c r="J115" s="59" t="s">
        <v>117</v>
      </c>
      <c r="K115" s="59" t="s">
        <v>86</v>
      </c>
      <c r="L115" s="60" t="s">
        <v>36</v>
      </c>
      <c r="M115" s="57">
        <v>45707</v>
      </c>
      <c r="N115" s="58">
        <v>0.75</v>
      </c>
      <c r="O115" s="61">
        <f t="shared" ca="1" si="4"/>
        <v>6</v>
      </c>
      <c r="P115" s="43">
        <f t="shared" ca="1" si="5"/>
        <v>0.25</v>
      </c>
      <c r="Q115" s="7">
        <f t="shared" ca="1" si="6"/>
        <v>6</v>
      </c>
      <c r="R115" s="56">
        <f t="shared" si="7"/>
        <v>1</v>
      </c>
      <c r="S115" s="59" t="s">
        <v>118</v>
      </c>
    </row>
    <row r="116" spans="1:19" ht="21" customHeight="1">
      <c r="A116" s="62">
        <v>112</v>
      </c>
      <c r="B116" s="63">
        <v>45707</v>
      </c>
      <c r="C116" s="64">
        <v>0.5</v>
      </c>
      <c r="D116" s="10" t="s">
        <v>55</v>
      </c>
      <c r="E116" s="65" t="s">
        <v>53</v>
      </c>
      <c r="F116" s="65" t="s">
        <v>597</v>
      </c>
      <c r="G116" s="65" t="s">
        <v>598</v>
      </c>
      <c r="H116" s="37" t="s">
        <v>42</v>
      </c>
      <c r="I116" s="62" t="s">
        <v>599</v>
      </c>
      <c r="J116" s="65" t="s">
        <v>117</v>
      </c>
      <c r="K116" s="65" t="s">
        <v>86</v>
      </c>
      <c r="L116" s="66" t="s">
        <v>36</v>
      </c>
      <c r="M116" s="63">
        <v>45707</v>
      </c>
      <c r="N116" s="64">
        <v>0.75</v>
      </c>
      <c r="O116" s="67">
        <f t="shared" ca="1" si="4"/>
        <v>0</v>
      </c>
      <c r="P116" s="39">
        <f t="shared" ca="1" si="5"/>
        <v>0</v>
      </c>
      <c r="Q116" s="15">
        <f t="shared" ca="1" si="6"/>
        <v>6</v>
      </c>
      <c r="R116" s="62">
        <f t="shared" si="7"/>
        <v>0</v>
      </c>
      <c r="S116" s="65" t="s">
        <v>118</v>
      </c>
    </row>
    <row r="117" spans="1:19" ht="21" customHeight="1">
      <c r="A117" s="56">
        <v>113</v>
      </c>
      <c r="B117" s="57">
        <v>45710</v>
      </c>
      <c r="C117" s="58">
        <v>0.41666666666666669</v>
      </c>
      <c r="D117" s="2" t="s">
        <v>600</v>
      </c>
      <c r="E117" s="59" t="s">
        <v>53</v>
      </c>
      <c r="F117" s="59" t="s">
        <v>601</v>
      </c>
      <c r="G117" s="59" t="s">
        <v>602</v>
      </c>
      <c r="H117" s="41" t="s">
        <v>40</v>
      </c>
      <c r="I117" s="56" t="s">
        <v>131</v>
      </c>
      <c r="J117" s="59" t="s">
        <v>117</v>
      </c>
      <c r="K117" s="59" t="s">
        <v>86</v>
      </c>
      <c r="L117" s="60" t="s">
        <v>36</v>
      </c>
      <c r="M117" s="57">
        <v>45707</v>
      </c>
      <c r="N117" s="58">
        <v>0.75</v>
      </c>
      <c r="O117" s="61">
        <f t="shared" ca="1" si="4"/>
        <v>0</v>
      </c>
      <c r="P117" s="43">
        <f t="shared" ca="1" si="5"/>
        <v>0</v>
      </c>
      <c r="Q117" s="7">
        <f t="shared" ca="1" si="6"/>
        <v>0</v>
      </c>
      <c r="R117" s="56">
        <f t="shared" si="7"/>
        <v>1</v>
      </c>
      <c r="S117" s="59" t="s">
        <v>118</v>
      </c>
    </row>
    <row r="118" spans="1:19" ht="21" customHeight="1">
      <c r="A118" s="62">
        <v>114</v>
      </c>
      <c r="B118" s="63">
        <v>45713</v>
      </c>
      <c r="C118" s="64">
        <v>0.45833333333333331</v>
      </c>
      <c r="D118" s="10" t="s">
        <v>55</v>
      </c>
      <c r="E118" s="65" t="s">
        <v>53</v>
      </c>
      <c r="F118" s="65" t="s">
        <v>597</v>
      </c>
      <c r="G118" s="65" t="s">
        <v>598</v>
      </c>
      <c r="H118" s="37" t="s">
        <v>42</v>
      </c>
      <c r="I118" s="62" t="s">
        <v>603</v>
      </c>
      <c r="J118" s="65" t="s">
        <v>117</v>
      </c>
      <c r="K118" s="65" t="s">
        <v>86</v>
      </c>
      <c r="L118" s="66" t="s">
        <v>36</v>
      </c>
      <c r="M118" s="63">
        <v>45713</v>
      </c>
      <c r="N118" s="64">
        <v>0.75</v>
      </c>
      <c r="O118" s="67">
        <f t="shared" ca="1" si="4"/>
        <v>0</v>
      </c>
      <c r="P118" s="39">
        <f t="shared" ca="1" si="5"/>
        <v>0</v>
      </c>
      <c r="Q118" s="15">
        <f t="shared" ca="1" si="6"/>
        <v>7</v>
      </c>
      <c r="R118" s="62">
        <f t="shared" si="7"/>
        <v>0</v>
      </c>
      <c r="S118" s="65" t="s">
        <v>118</v>
      </c>
    </row>
    <row r="119" spans="1:19" ht="21" customHeight="1">
      <c r="A119" s="56">
        <v>115</v>
      </c>
      <c r="B119" s="57">
        <v>45713</v>
      </c>
      <c r="C119" s="58">
        <v>0.45833333333333331</v>
      </c>
      <c r="D119" s="2" t="s">
        <v>203</v>
      </c>
      <c r="E119" s="59" t="s">
        <v>63</v>
      </c>
      <c r="F119" s="59" t="s">
        <v>137</v>
      </c>
      <c r="G119" s="59" t="s">
        <v>604</v>
      </c>
      <c r="H119" s="41" t="s">
        <v>40</v>
      </c>
      <c r="I119" s="56" t="s">
        <v>131</v>
      </c>
      <c r="J119" s="59" t="s">
        <v>117</v>
      </c>
      <c r="K119" s="59" t="s">
        <v>86</v>
      </c>
      <c r="L119" s="60" t="s">
        <v>36</v>
      </c>
      <c r="M119" s="57">
        <v>45715</v>
      </c>
      <c r="N119" s="58">
        <v>0.75</v>
      </c>
      <c r="O119" s="61">
        <f t="shared" ca="1" si="4"/>
        <v>55</v>
      </c>
      <c r="P119" s="43">
        <f t="shared" ca="1" si="5"/>
        <v>2.29</v>
      </c>
      <c r="Q119" s="7">
        <f t="shared" ca="1" si="6"/>
        <v>55</v>
      </c>
      <c r="R119" s="56">
        <f t="shared" si="7"/>
        <v>1</v>
      </c>
      <c r="S119" s="59" t="s">
        <v>118</v>
      </c>
    </row>
    <row r="120" spans="1:19" ht="21" customHeight="1">
      <c r="A120" s="62">
        <v>116</v>
      </c>
      <c r="B120" s="63">
        <v>45713</v>
      </c>
      <c r="C120" s="64">
        <v>0.45833333333333331</v>
      </c>
      <c r="D120" s="10" t="s">
        <v>500</v>
      </c>
      <c r="E120" s="65" t="s">
        <v>58</v>
      </c>
      <c r="F120" s="65" t="s">
        <v>262</v>
      </c>
      <c r="G120" s="65" t="s">
        <v>605</v>
      </c>
      <c r="H120" s="37" t="s">
        <v>42</v>
      </c>
      <c r="I120" s="62" t="s">
        <v>131</v>
      </c>
      <c r="J120" s="65" t="s">
        <v>117</v>
      </c>
      <c r="K120" s="65" t="s">
        <v>86</v>
      </c>
      <c r="L120" s="66" t="s">
        <v>36</v>
      </c>
      <c r="M120" s="63">
        <v>45713</v>
      </c>
      <c r="N120" s="64">
        <v>0.75</v>
      </c>
      <c r="O120" s="67">
        <f t="shared" ca="1" si="4"/>
        <v>0</v>
      </c>
      <c r="P120" s="39">
        <f t="shared" ca="1" si="5"/>
        <v>0</v>
      </c>
      <c r="Q120" s="15">
        <f t="shared" ca="1" si="6"/>
        <v>7</v>
      </c>
      <c r="R120" s="62">
        <f t="shared" si="7"/>
        <v>0</v>
      </c>
      <c r="S120" s="65" t="s">
        <v>118</v>
      </c>
    </row>
    <row r="121" spans="1:19" ht="21" customHeight="1">
      <c r="A121" s="56">
        <v>117</v>
      </c>
      <c r="B121" s="57">
        <v>45714</v>
      </c>
      <c r="C121" s="58">
        <v>0.5083333333333333</v>
      </c>
      <c r="D121" s="2" t="s">
        <v>339</v>
      </c>
      <c r="E121" s="59" t="s">
        <v>63</v>
      </c>
      <c r="F121" s="59" t="s">
        <v>162</v>
      </c>
      <c r="G121" s="59" t="s">
        <v>606</v>
      </c>
      <c r="H121" s="41" t="s">
        <v>40</v>
      </c>
      <c r="I121" s="56" t="s">
        <v>131</v>
      </c>
      <c r="J121" s="59" t="s">
        <v>117</v>
      </c>
      <c r="K121" s="59" t="s">
        <v>86</v>
      </c>
      <c r="L121" s="60" t="s">
        <v>36</v>
      </c>
      <c r="M121" s="57">
        <v>45715</v>
      </c>
      <c r="N121" s="58">
        <v>0.75</v>
      </c>
      <c r="O121" s="61">
        <f t="shared" ca="1" si="4"/>
        <v>29.8</v>
      </c>
      <c r="P121" s="43">
        <f t="shared" ca="1" si="5"/>
        <v>1.24</v>
      </c>
      <c r="Q121" s="7">
        <f t="shared" ca="1" si="6"/>
        <v>29.8</v>
      </c>
      <c r="R121" s="56">
        <f t="shared" si="7"/>
        <v>1</v>
      </c>
      <c r="S121" s="59" t="s">
        <v>118</v>
      </c>
    </row>
    <row r="122" spans="1:19" ht="21" customHeight="1">
      <c r="A122" s="62">
        <v>118</v>
      </c>
      <c r="B122" s="63">
        <v>45715</v>
      </c>
      <c r="C122" s="64">
        <v>0.33333333333333331</v>
      </c>
      <c r="D122" s="10" t="s">
        <v>55</v>
      </c>
      <c r="E122" s="65" t="s">
        <v>53</v>
      </c>
      <c r="F122" s="65" t="s">
        <v>137</v>
      </c>
      <c r="G122" s="65" t="s">
        <v>607</v>
      </c>
      <c r="H122" s="37" t="s">
        <v>40</v>
      </c>
      <c r="I122" s="62" t="s">
        <v>131</v>
      </c>
      <c r="J122" s="65" t="s">
        <v>117</v>
      </c>
      <c r="K122" s="65" t="s">
        <v>86</v>
      </c>
      <c r="L122" s="66" t="s">
        <v>36</v>
      </c>
      <c r="M122" s="63">
        <v>45715</v>
      </c>
      <c r="N122" s="64">
        <v>0.75</v>
      </c>
      <c r="O122" s="67">
        <f t="shared" ca="1" si="4"/>
        <v>10</v>
      </c>
      <c r="P122" s="39">
        <f t="shared" ca="1" si="5"/>
        <v>0.42</v>
      </c>
      <c r="Q122" s="15">
        <f t="shared" ca="1" si="6"/>
        <v>10</v>
      </c>
      <c r="R122" s="62">
        <f t="shared" si="7"/>
        <v>1</v>
      </c>
      <c r="S122" s="65" t="s">
        <v>118</v>
      </c>
    </row>
    <row r="123" spans="1:19" ht="21" customHeight="1">
      <c r="A123" s="56">
        <v>119</v>
      </c>
      <c r="B123" s="57">
        <v>45715</v>
      </c>
      <c r="C123" s="58">
        <v>0.625</v>
      </c>
      <c r="D123" s="2" t="s">
        <v>233</v>
      </c>
      <c r="E123" s="59" t="s">
        <v>72</v>
      </c>
      <c r="F123" s="59" t="s">
        <v>153</v>
      </c>
      <c r="G123" s="59" t="s">
        <v>608</v>
      </c>
      <c r="H123" s="41" t="s">
        <v>40</v>
      </c>
      <c r="I123" s="56" t="s">
        <v>131</v>
      </c>
      <c r="J123" s="59" t="s">
        <v>117</v>
      </c>
      <c r="K123" s="59" t="s">
        <v>86</v>
      </c>
      <c r="L123" s="60" t="s">
        <v>36</v>
      </c>
      <c r="M123" s="57">
        <v>45755</v>
      </c>
      <c r="N123" s="58">
        <v>0.75</v>
      </c>
      <c r="O123" s="61">
        <f t="shared" ca="1" si="4"/>
        <v>963</v>
      </c>
      <c r="P123" s="43">
        <f t="shared" ca="1" si="5"/>
        <v>40.130000000000003</v>
      </c>
      <c r="Q123" s="7">
        <f t="shared" ca="1" si="6"/>
        <v>963</v>
      </c>
      <c r="R123" s="56">
        <f t="shared" si="7"/>
        <v>1</v>
      </c>
      <c r="S123" s="59" t="s">
        <v>118</v>
      </c>
    </row>
    <row r="124" spans="1:19" ht="21" customHeight="1">
      <c r="A124" s="62">
        <v>120</v>
      </c>
      <c r="B124" s="63">
        <v>45720</v>
      </c>
      <c r="C124" s="64">
        <v>0.45833333333333331</v>
      </c>
      <c r="D124" s="10" t="s">
        <v>55</v>
      </c>
      <c r="E124" s="65" t="s">
        <v>53</v>
      </c>
      <c r="F124" s="65" t="s">
        <v>139</v>
      </c>
      <c r="G124" s="65" t="s">
        <v>609</v>
      </c>
      <c r="H124" s="37" t="s">
        <v>42</v>
      </c>
      <c r="I124" s="62" t="s">
        <v>610</v>
      </c>
      <c r="J124" s="65" t="s">
        <v>117</v>
      </c>
      <c r="K124" s="65" t="s">
        <v>86</v>
      </c>
      <c r="L124" s="66" t="s">
        <v>36</v>
      </c>
      <c r="M124" s="63">
        <v>45721</v>
      </c>
      <c r="N124" s="64">
        <v>0.75</v>
      </c>
      <c r="O124" s="67">
        <f t="shared" ca="1" si="4"/>
        <v>0</v>
      </c>
      <c r="P124" s="39">
        <f t="shared" ca="1" si="5"/>
        <v>0</v>
      </c>
      <c r="Q124" s="15">
        <f t="shared" ca="1" si="6"/>
        <v>31</v>
      </c>
      <c r="R124" s="62">
        <f t="shared" si="7"/>
        <v>0</v>
      </c>
      <c r="S124" s="65" t="s">
        <v>118</v>
      </c>
    </row>
    <row r="125" spans="1:19" ht="21" customHeight="1">
      <c r="A125" s="56">
        <v>121</v>
      </c>
      <c r="B125" s="57">
        <v>45720</v>
      </c>
      <c r="C125" s="58">
        <v>0.45833333333333331</v>
      </c>
      <c r="D125" s="2" t="s">
        <v>55</v>
      </c>
      <c r="E125" s="59" t="s">
        <v>53</v>
      </c>
      <c r="F125" s="59" t="s">
        <v>262</v>
      </c>
      <c r="G125" s="59" t="s">
        <v>611</v>
      </c>
      <c r="H125" s="41" t="s">
        <v>42</v>
      </c>
      <c r="I125" s="56" t="s">
        <v>612</v>
      </c>
      <c r="J125" s="59" t="s">
        <v>117</v>
      </c>
      <c r="K125" s="59" t="s">
        <v>86</v>
      </c>
      <c r="L125" s="60" t="s">
        <v>36</v>
      </c>
      <c r="M125" s="57">
        <v>45721</v>
      </c>
      <c r="N125" s="58">
        <v>0.75</v>
      </c>
      <c r="O125" s="61">
        <f t="shared" ca="1" si="4"/>
        <v>0</v>
      </c>
      <c r="P125" s="43">
        <f t="shared" ca="1" si="5"/>
        <v>0</v>
      </c>
      <c r="Q125" s="7">
        <f t="shared" ca="1" si="6"/>
        <v>31</v>
      </c>
      <c r="R125" s="56">
        <f t="shared" si="7"/>
        <v>0</v>
      </c>
      <c r="S125" s="59" t="s">
        <v>118</v>
      </c>
    </row>
    <row r="126" spans="1:19" ht="21" customHeight="1">
      <c r="A126" s="62">
        <v>122</v>
      </c>
      <c r="B126" s="63">
        <v>45723</v>
      </c>
      <c r="C126" s="64">
        <v>0.41666666666666669</v>
      </c>
      <c r="D126" s="10" t="s">
        <v>55</v>
      </c>
      <c r="E126" s="65" t="s">
        <v>53</v>
      </c>
      <c r="F126" s="65" t="s">
        <v>262</v>
      </c>
      <c r="G126" s="65" t="s">
        <v>611</v>
      </c>
      <c r="H126" s="37" t="s">
        <v>42</v>
      </c>
      <c r="I126" s="62" t="s">
        <v>613</v>
      </c>
      <c r="J126" s="65" t="s">
        <v>117</v>
      </c>
      <c r="K126" s="65" t="s">
        <v>86</v>
      </c>
      <c r="L126" s="66" t="s">
        <v>36</v>
      </c>
      <c r="M126" s="63">
        <v>45724</v>
      </c>
      <c r="N126" s="64">
        <v>0.75</v>
      </c>
      <c r="O126" s="67">
        <f t="shared" ca="1" si="4"/>
        <v>0</v>
      </c>
      <c r="P126" s="39">
        <f t="shared" ca="1" si="5"/>
        <v>0</v>
      </c>
      <c r="Q126" s="15">
        <f t="shared" ca="1" si="6"/>
        <v>32</v>
      </c>
      <c r="R126" s="62">
        <f t="shared" si="7"/>
        <v>0</v>
      </c>
      <c r="S126" s="65" t="s">
        <v>118</v>
      </c>
    </row>
    <row r="127" spans="1:19" ht="21" customHeight="1">
      <c r="A127" s="56">
        <v>123</v>
      </c>
      <c r="B127" s="57">
        <v>45723</v>
      </c>
      <c r="C127" s="58">
        <v>0.625</v>
      </c>
      <c r="D127" s="2" t="s">
        <v>170</v>
      </c>
      <c r="E127" s="59" t="s">
        <v>69</v>
      </c>
      <c r="F127" s="59" t="s">
        <v>614</v>
      </c>
      <c r="G127" s="59" t="s">
        <v>615</v>
      </c>
      <c r="H127" s="41" t="s">
        <v>40</v>
      </c>
      <c r="I127" s="56" t="s">
        <v>131</v>
      </c>
      <c r="J127" s="59" t="s">
        <v>117</v>
      </c>
      <c r="K127" s="59" t="s">
        <v>86</v>
      </c>
      <c r="L127" s="60" t="s">
        <v>36</v>
      </c>
      <c r="M127" s="57">
        <v>45724</v>
      </c>
      <c r="N127" s="58">
        <v>0.75</v>
      </c>
      <c r="O127" s="61">
        <f t="shared" ca="1" si="4"/>
        <v>27</v>
      </c>
      <c r="P127" s="43">
        <f t="shared" ca="1" si="5"/>
        <v>1.1299999999999999</v>
      </c>
      <c r="Q127" s="7">
        <f t="shared" ca="1" si="6"/>
        <v>27</v>
      </c>
      <c r="R127" s="56">
        <f t="shared" si="7"/>
        <v>1</v>
      </c>
      <c r="S127" s="59" t="s">
        <v>118</v>
      </c>
    </row>
    <row r="128" spans="1:19" ht="21" customHeight="1">
      <c r="A128" s="62">
        <v>124</v>
      </c>
      <c r="B128" s="63">
        <v>45729</v>
      </c>
      <c r="C128" s="64">
        <v>0.58333333333333337</v>
      </c>
      <c r="D128" s="10" t="s">
        <v>60</v>
      </c>
      <c r="E128" s="65" t="s">
        <v>66</v>
      </c>
      <c r="F128" s="65" t="s">
        <v>114</v>
      </c>
      <c r="G128" s="65" t="s">
        <v>616</v>
      </c>
      <c r="H128" s="37" t="s">
        <v>42</v>
      </c>
      <c r="I128" s="62" t="s">
        <v>131</v>
      </c>
      <c r="J128" s="65" t="s">
        <v>117</v>
      </c>
      <c r="K128" s="65" t="s">
        <v>86</v>
      </c>
      <c r="L128" s="66" t="s">
        <v>36</v>
      </c>
      <c r="M128" s="63">
        <v>45731</v>
      </c>
      <c r="N128" s="64">
        <v>0.75</v>
      </c>
      <c r="O128" s="67">
        <f t="shared" ca="1" si="4"/>
        <v>0</v>
      </c>
      <c r="P128" s="39">
        <f t="shared" ca="1" si="5"/>
        <v>0</v>
      </c>
      <c r="Q128" s="15">
        <f t="shared" ca="1" si="6"/>
        <v>52</v>
      </c>
      <c r="R128" s="62">
        <f t="shared" si="7"/>
        <v>0</v>
      </c>
      <c r="S128" s="65" t="s">
        <v>118</v>
      </c>
    </row>
    <row r="129" spans="1:19" ht="21" customHeight="1">
      <c r="A129" s="56">
        <v>125</v>
      </c>
      <c r="B129" s="57">
        <v>45734</v>
      </c>
      <c r="C129" s="58">
        <v>0.41666666666666669</v>
      </c>
      <c r="D129" s="2" t="s">
        <v>55</v>
      </c>
      <c r="E129" s="59" t="s">
        <v>53</v>
      </c>
      <c r="F129" s="59" t="s">
        <v>137</v>
      </c>
      <c r="G129" s="59" t="s">
        <v>617</v>
      </c>
      <c r="H129" s="41" t="s">
        <v>40</v>
      </c>
      <c r="I129" s="56" t="s">
        <v>618</v>
      </c>
      <c r="J129" s="59" t="s">
        <v>117</v>
      </c>
      <c r="K129" s="59" t="s">
        <v>86</v>
      </c>
      <c r="L129" s="60" t="s">
        <v>36</v>
      </c>
      <c r="M129" s="57">
        <v>45735</v>
      </c>
      <c r="N129" s="58">
        <v>0.75</v>
      </c>
      <c r="O129" s="61">
        <f t="shared" ca="1" si="4"/>
        <v>32</v>
      </c>
      <c r="P129" s="43">
        <f t="shared" ca="1" si="5"/>
        <v>1.33</v>
      </c>
      <c r="Q129" s="7">
        <f t="shared" ca="1" si="6"/>
        <v>32</v>
      </c>
      <c r="R129" s="56">
        <f t="shared" si="7"/>
        <v>1</v>
      </c>
      <c r="S129" s="59" t="s">
        <v>118</v>
      </c>
    </row>
    <row r="130" spans="1:19" ht="21" customHeight="1">
      <c r="A130" s="62">
        <v>126</v>
      </c>
      <c r="B130" s="63">
        <v>45735</v>
      </c>
      <c r="C130" s="64">
        <v>0.56944444444444442</v>
      </c>
      <c r="D130" s="10" t="s">
        <v>432</v>
      </c>
      <c r="E130" s="65" t="s">
        <v>63</v>
      </c>
      <c r="F130" s="65" t="s">
        <v>137</v>
      </c>
      <c r="G130" s="65" t="s">
        <v>619</v>
      </c>
      <c r="H130" s="37" t="s">
        <v>42</v>
      </c>
      <c r="I130" s="62" t="s">
        <v>131</v>
      </c>
      <c r="J130" s="65" t="s">
        <v>117</v>
      </c>
      <c r="K130" s="65" t="s">
        <v>86</v>
      </c>
      <c r="L130" s="66" t="s">
        <v>36</v>
      </c>
      <c r="M130" s="63">
        <v>45737</v>
      </c>
      <c r="N130" s="64">
        <v>0.75</v>
      </c>
      <c r="O130" s="67">
        <f t="shared" ca="1" si="4"/>
        <v>0</v>
      </c>
      <c r="P130" s="39">
        <f t="shared" ca="1" si="5"/>
        <v>0</v>
      </c>
      <c r="Q130" s="15">
        <f t="shared" ca="1" si="6"/>
        <v>52.3</v>
      </c>
      <c r="R130" s="62">
        <f t="shared" si="7"/>
        <v>0</v>
      </c>
      <c r="S130" s="65" t="s">
        <v>118</v>
      </c>
    </row>
    <row r="131" spans="1:19" ht="21" customHeight="1">
      <c r="A131" s="56">
        <v>127</v>
      </c>
      <c r="B131" s="57">
        <v>45737</v>
      </c>
      <c r="C131" s="58">
        <v>0.53472222222222221</v>
      </c>
      <c r="D131" s="2" t="s">
        <v>152</v>
      </c>
      <c r="E131" s="59" t="s">
        <v>66</v>
      </c>
      <c r="F131" s="59" t="s">
        <v>620</v>
      </c>
      <c r="G131" s="59" t="s">
        <v>621</v>
      </c>
      <c r="H131" s="41" t="s">
        <v>42</v>
      </c>
      <c r="I131" s="56" t="s">
        <v>622</v>
      </c>
      <c r="J131" s="59" t="s">
        <v>117</v>
      </c>
      <c r="K131" s="59" t="s">
        <v>86</v>
      </c>
      <c r="L131" s="60" t="s">
        <v>36</v>
      </c>
      <c r="M131" s="57">
        <v>45745</v>
      </c>
      <c r="N131" s="58">
        <v>0.75</v>
      </c>
      <c r="O131" s="61">
        <f t="shared" ca="1" si="4"/>
        <v>0</v>
      </c>
      <c r="P131" s="43">
        <f t="shared" ca="1" si="5"/>
        <v>0</v>
      </c>
      <c r="Q131" s="7">
        <f t="shared" ca="1" si="6"/>
        <v>197.2</v>
      </c>
      <c r="R131" s="56">
        <f t="shared" si="7"/>
        <v>0</v>
      </c>
      <c r="S131" s="59" t="s">
        <v>118</v>
      </c>
    </row>
    <row r="132" spans="1:19" ht="21" customHeight="1">
      <c r="A132" s="62">
        <v>128</v>
      </c>
      <c r="B132" s="63">
        <v>45740</v>
      </c>
      <c r="C132" s="64">
        <v>0.45833333333333331</v>
      </c>
      <c r="D132" s="10" t="s">
        <v>623</v>
      </c>
      <c r="E132" s="65" t="s">
        <v>66</v>
      </c>
      <c r="F132" s="65" t="s">
        <v>114</v>
      </c>
      <c r="G132" s="65" t="s">
        <v>624</v>
      </c>
      <c r="H132" s="37" t="s">
        <v>40</v>
      </c>
      <c r="I132" s="62" t="s">
        <v>131</v>
      </c>
      <c r="J132" s="65" t="s">
        <v>117</v>
      </c>
      <c r="K132" s="65" t="s">
        <v>86</v>
      </c>
      <c r="L132" s="66" t="s">
        <v>36</v>
      </c>
      <c r="M132" s="63">
        <v>45740</v>
      </c>
      <c r="N132" s="64">
        <v>0.75</v>
      </c>
      <c r="O132" s="67">
        <f t="shared" ca="1" si="4"/>
        <v>7</v>
      </c>
      <c r="P132" s="39">
        <f t="shared" ca="1" si="5"/>
        <v>0.28999999999999998</v>
      </c>
      <c r="Q132" s="15">
        <f t="shared" ca="1" si="6"/>
        <v>7</v>
      </c>
      <c r="R132" s="62">
        <f t="shared" si="7"/>
        <v>1</v>
      </c>
      <c r="S132" s="65" t="s">
        <v>118</v>
      </c>
    </row>
    <row r="133" spans="1:19" ht="21" customHeight="1">
      <c r="A133" s="56">
        <v>129</v>
      </c>
      <c r="B133" s="57">
        <v>45741</v>
      </c>
      <c r="C133" s="58">
        <v>0.48958333333333331</v>
      </c>
      <c r="D133" s="2" t="s">
        <v>55</v>
      </c>
      <c r="E133" s="59" t="s">
        <v>53</v>
      </c>
      <c r="F133" s="59" t="s">
        <v>262</v>
      </c>
      <c r="G133" s="59" t="s">
        <v>575</v>
      </c>
      <c r="H133" s="41" t="s">
        <v>40</v>
      </c>
      <c r="I133" s="56" t="s">
        <v>131</v>
      </c>
      <c r="J133" s="59" t="s">
        <v>117</v>
      </c>
      <c r="K133" s="59" t="s">
        <v>86</v>
      </c>
      <c r="L133" s="60" t="s">
        <v>36</v>
      </c>
      <c r="M133" s="57">
        <v>45743</v>
      </c>
      <c r="N133" s="58">
        <v>0.75</v>
      </c>
      <c r="O133" s="61">
        <f t="shared" ref="O133:O196" ca="1" si="8">IF(ISBLANK(B133), 0, IF(ISNUMBER(SEARCH("Complete", H133)), IF(ISBLANK(M133), IF(L133="Closed", 4, ROUND(MAX(0, (NOW() - (B133 + IF(ISBLANK(C133), TIME(9,0,0), C133))) * 24), 1)), ROUND(MAX(0, ((M133 + IF(ISBLANK(N133), TIME(18,0,0), N133)) - (B133 + IF(ISBLANK(C133), TIME(9,0,0), C133))) * 24), 1)), 0))</f>
        <v>54.2</v>
      </c>
      <c r="P133" s="43">
        <f t="shared" ref="P133:P196" ca="1" si="9">ROUND(O133 / 24, 2)</f>
        <v>2.2599999999999998</v>
      </c>
      <c r="Q133" s="7">
        <f t="shared" ref="Q133:Q196" ca="1" si="10">IF(ISBLANK(B133), 0, IF(ISBLANK(M133), IF(L133="Closed", 4, ROUND(MAX(0, (NOW() - (B133 + IF(ISBLANK(C133), TIME(9,0,0), C133))) * 24), 1)), ROUND(MAX(0, ((M133 + IF(ISBLANK(N133), TIME(18,0,0), N133)) - (B133 + IF(ISBLANK(C133), TIME(9,0,0), C133))) * 24), 1)))</f>
        <v>54.2</v>
      </c>
      <c r="R133" s="56">
        <f t="shared" ref="R133:R196" si="11">IF(ISNUMBER(SEARCH("Complete", H133)), 1, 0)</f>
        <v>1</v>
      </c>
      <c r="S133" s="59" t="s">
        <v>118</v>
      </c>
    </row>
    <row r="134" spans="1:19" ht="21" customHeight="1">
      <c r="A134" s="62">
        <v>130</v>
      </c>
      <c r="B134" s="63">
        <v>45742</v>
      </c>
      <c r="C134" s="64">
        <v>0.625</v>
      </c>
      <c r="D134" s="10" t="s">
        <v>266</v>
      </c>
      <c r="E134" s="65" t="s">
        <v>69</v>
      </c>
      <c r="F134" s="65" t="s">
        <v>114</v>
      </c>
      <c r="G134" s="65" t="s">
        <v>625</v>
      </c>
      <c r="H134" s="37" t="s">
        <v>42</v>
      </c>
      <c r="I134" s="62" t="s">
        <v>131</v>
      </c>
      <c r="J134" s="65" t="s">
        <v>117</v>
      </c>
      <c r="K134" s="65" t="s">
        <v>86</v>
      </c>
      <c r="L134" s="66" t="s">
        <v>36</v>
      </c>
      <c r="M134" s="63">
        <v>45743</v>
      </c>
      <c r="N134" s="64">
        <v>0.75</v>
      </c>
      <c r="O134" s="67">
        <f t="shared" ca="1" si="8"/>
        <v>0</v>
      </c>
      <c r="P134" s="39">
        <f t="shared" ca="1" si="9"/>
        <v>0</v>
      </c>
      <c r="Q134" s="15">
        <f t="shared" ca="1" si="10"/>
        <v>27</v>
      </c>
      <c r="R134" s="62">
        <f t="shared" si="11"/>
        <v>0</v>
      </c>
      <c r="S134" s="65" t="s">
        <v>118</v>
      </c>
    </row>
    <row r="135" spans="1:19" ht="21" customHeight="1">
      <c r="A135" s="56">
        <v>131</v>
      </c>
      <c r="B135" s="57">
        <v>45742</v>
      </c>
      <c r="C135" s="58">
        <v>0.41666666666666669</v>
      </c>
      <c r="D135" s="2" t="s">
        <v>485</v>
      </c>
      <c r="E135" s="59" t="s">
        <v>63</v>
      </c>
      <c r="F135" s="59" t="s">
        <v>162</v>
      </c>
      <c r="G135" s="59" t="s">
        <v>626</v>
      </c>
      <c r="H135" s="41" t="s">
        <v>40</v>
      </c>
      <c r="I135" s="56" t="s">
        <v>131</v>
      </c>
      <c r="J135" s="59" t="s">
        <v>117</v>
      </c>
      <c r="K135" s="59" t="s">
        <v>86</v>
      </c>
      <c r="L135" s="60" t="s">
        <v>36</v>
      </c>
      <c r="M135" s="57">
        <v>45743</v>
      </c>
      <c r="N135" s="58">
        <v>0.75</v>
      </c>
      <c r="O135" s="61">
        <f t="shared" ca="1" si="8"/>
        <v>32</v>
      </c>
      <c r="P135" s="43">
        <f t="shared" ca="1" si="9"/>
        <v>1.33</v>
      </c>
      <c r="Q135" s="7">
        <f t="shared" ca="1" si="10"/>
        <v>32</v>
      </c>
      <c r="R135" s="56">
        <f t="shared" si="11"/>
        <v>1</v>
      </c>
      <c r="S135" s="59" t="s">
        <v>118</v>
      </c>
    </row>
    <row r="136" spans="1:19" ht="21" customHeight="1">
      <c r="A136" s="62">
        <v>132</v>
      </c>
      <c r="B136" s="63">
        <v>45743</v>
      </c>
      <c r="C136" s="64">
        <v>0.49305555555555558</v>
      </c>
      <c r="D136" s="10" t="s">
        <v>62</v>
      </c>
      <c r="E136" s="65" t="s">
        <v>63</v>
      </c>
      <c r="F136" s="65" t="s">
        <v>137</v>
      </c>
      <c r="G136" s="65" t="s">
        <v>627</v>
      </c>
      <c r="H136" s="37" t="s">
        <v>40</v>
      </c>
      <c r="I136" s="62" t="s">
        <v>131</v>
      </c>
      <c r="J136" s="65" t="s">
        <v>117</v>
      </c>
      <c r="K136" s="65" t="s">
        <v>86</v>
      </c>
      <c r="L136" s="66" t="s">
        <v>36</v>
      </c>
      <c r="M136" s="63">
        <v>45743</v>
      </c>
      <c r="N136" s="64">
        <v>0.75</v>
      </c>
      <c r="O136" s="67">
        <f t="shared" ca="1" si="8"/>
        <v>6.2</v>
      </c>
      <c r="P136" s="39">
        <f t="shared" ca="1" si="9"/>
        <v>0.26</v>
      </c>
      <c r="Q136" s="15">
        <f t="shared" ca="1" si="10"/>
        <v>6.2</v>
      </c>
      <c r="R136" s="62">
        <f t="shared" si="11"/>
        <v>1</v>
      </c>
      <c r="S136" s="65" t="s">
        <v>118</v>
      </c>
    </row>
    <row r="137" spans="1:19" ht="21" customHeight="1">
      <c r="A137" s="56">
        <v>133</v>
      </c>
      <c r="B137" s="57">
        <v>45743</v>
      </c>
      <c r="C137" s="58">
        <v>0.625</v>
      </c>
      <c r="D137" s="2" t="s">
        <v>55</v>
      </c>
      <c r="E137" s="59" t="s">
        <v>53</v>
      </c>
      <c r="F137" s="59" t="s">
        <v>137</v>
      </c>
      <c r="G137" s="59" t="s">
        <v>628</v>
      </c>
      <c r="H137" s="41" t="s">
        <v>42</v>
      </c>
      <c r="I137" s="56" t="s">
        <v>629</v>
      </c>
      <c r="J137" s="59" t="s">
        <v>117</v>
      </c>
      <c r="K137" s="59" t="s">
        <v>86</v>
      </c>
      <c r="L137" s="60" t="s">
        <v>36</v>
      </c>
      <c r="M137" s="57">
        <v>45744</v>
      </c>
      <c r="N137" s="58">
        <v>0.75</v>
      </c>
      <c r="O137" s="61">
        <f t="shared" ca="1" si="8"/>
        <v>0</v>
      </c>
      <c r="P137" s="43">
        <f t="shared" ca="1" si="9"/>
        <v>0</v>
      </c>
      <c r="Q137" s="7">
        <f t="shared" ca="1" si="10"/>
        <v>27</v>
      </c>
      <c r="R137" s="56">
        <f t="shared" si="11"/>
        <v>0</v>
      </c>
      <c r="S137" s="59" t="s">
        <v>118</v>
      </c>
    </row>
    <row r="138" spans="1:19" ht="21" customHeight="1">
      <c r="A138" s="62">
        <v>134</v>
      </c>
      <c r="B138" s="63">
        <v>45744</v>
      </c>
      <c r="C138" s="64">
        <v>0.39930555555555558</v>
      </c>
      <c r="D138" s="10" t="s">
        <v>55</v>
      </c>
      <c r="E138" s="65" t="s">
        <v>53</v>
      </c>
      <c r="F138" s="65" t="s">
        <v>114</v>
      </c>
      <c r="G138" s="65" t="s">
        <v>587</v>
      </c>
      <c r="H138" s="37" t="s">
        <v>40</v>
      </c>
      <c r="I138" s="62" t="s">
        <v>630</v>
      </c>
      <c r="J138" s="65" t="s">
        <v>117</v>
      </c>
      <c r="K138" s="65" t="s">
        <v>86</v>
      </c>
      <c r="L138" s="66" t="s">
        <v>36</v>
      </c>
      <c r="M138" s="63">
        <v>45744</v>
      </c>
      <c r="N138" s="64">
        <v>0.75</v>
      </c>
      <c r="O138" s="67">
        <f t="shared" ca="1" si="8"/>
        <v>8.4</v>
      </c>
      <c r="P138" s="39">
        <f t="shared" ca="1" si="9"/>
        <v>0.35</v>
      </c>
      <c r="Q138" s="15">
        <f t="shared" ca="1" si="10"/>
        <v>8.4</v>
      </c>
      <c r="R138" s="62">
        <f t="shared" si="11"/>
        <v>1</v>
      </c>
      <c r="S138" s="65" t="s">
        <v>118</v>
      </c>
    </row>
    <row r="139" spans="1:19" ht="21" customHeight="1">
      <c r="A139" s="56">
        <v>135</v>
      </c>
      <c r="B139" s="57">
        <v>45748</v>
      </c>
      <c r="C139" s="58">
        <v>0.41666666666666669</v>
      </c>
      <c r="D139" s="2" t="s">
        <v>55</v>
      </c>
      <c r="E139" s="59" t="s">
        <v>53</v>
      </c>
      <c r="F139" s="59" t="s">
        <v>137</v>
      </c>
      <c r="G139" s="59" t="s">
        <v>628</v>
      </c>
      <c r="H139" s="41" t="s">
        <v>42</v>
      </c>
      <c r="I139" s="56" t="s">
        <v>631</v>
      </c>
      <c r="J139" s="59" t="s">
        <v>117</v>
      </c>
      <c r="K139" s="59" t="s">
        <v>86</v>
      </c>
      <c r="L139" s="60" t="s">
        <v>36</v>
      </c>
      <c r="M139" s="57">
        <v>45749</v>
      </c>
      <c r="N139" s="58">
        <v>0.75</v>
      </c>
      <c r="O139" s="61">
        <f t="shared" ca="1" si="8"/>
        <v>0</v>
      </c>
      <c r="P139" s="43">
        <f t="shared" ca="1" si="9"/>
        <v>0</v>
      </c>
      <c r="Q139" s="7">
        <f t="shared" ca="1" si="10"/>
        <v>32</v>
      </c>
      <c r="R139" s="56">
        <f t="shared" si="11"/>
        <v>0</v>
      </c>
      <c r="S139" s="59" t="s">
        <v>118</v>
      </c>
    </row>
    <row r="140" spans="1:19" ht="21" customHeight="1">
      <c r="A140" s="62">
        <v>136</v>
      </c>
      <c r="B140" s="63">
        <v>45748</v>
      </c>
      <c r="C140" s="64">
        <v>0.41666666666666669</v>
      </c>
      <c r="D140" s="10" t="s">
        <v>55</v>
      </c>
      <c r="E140" s="65" t="s">
        <v>53</v>
      </c>
      <c r="F140" s="65" t="s">
        <v>125</v>
      </c>
      <c r="G140" s="65" t="s">
        <v>632</v>
      </c>
      <c r="H140" s="37" t="s">
        <v>40</v>
      </c>
      <c r="I140" s="62" t="s">
        <v>633</v>
      </c>
      <c r="J140" s="65" t="s">
        <v>117</v>
      </c>
      <c r="K140" s="65" t="s">
        <v>86</v>
      </c>
      <c r="L140" s="66" t="s">
        <v>36</v>
      </c>
      <c r="M140" s="63">
        <v>45749</v>
      </c>
      <c r="N140" s="64">
        <v>0.75</v>
      </c>
      <c r="O140" s="67">
        <f t="shared" ca="1" si="8"/>
        <v>32</v>
      </c>
      <c r="P140" s="39">
        <f t="shared" ca="1" si="9"/>
        <v>1.33</v>
      </c>
      <c r="Q140" s="15">
        <f t="shared" ca="1" si="10"/>
        <v>32</v>
      </c>
      <c r="R140" s="62">
        <f t="shared" si="11"/>
        <v>1</v>
      </c>
      <c r="S140" s="65" t="s">
        <v>118</v>
      </c>
    </row>
    <row r="141" spans="1:19" ht="21" customHeight="1">
      <c r="A141" s="56">
        <v>137</v>
      </c>
      <c r="B141" s="57">
        <v>45749</v>
      </c>
      <c r="C141" s="58">
        <v>0.45833333333333331</v>
      </c>
      <c r="D141" s="2" t="s">
        <v>55</v>
      </c>
      <c r="E141" s="59" t="s">
        <v>53</v>
      </c>
      <c r="F141" s="59" t="s">
        <v>137</v>
      </c>
      <c r="G141" s="59" t="s">
        <v>634</v>
      </c>
      <c r="H141" s="41" t="s">
        <v>40</v>
      </c>
      <c r="I141" s="56" t="s">
        <v>631</v>
      </c>
      <c r="J141" s="59" t="s">
        <v>117</v>
      </c>
      <c r="K141" s="59" t="s">
        <v>86</v>
      </c>
      <c r="L141" s="60" t="s">
        <v>36</v>
      </c>
      <c r="M141" s="57">
        <v>45750</v>
      </c>
      <c r="N141" s="58">
        <v>0.75</v>
      </c>
      <c r="O141" s="61">
        <f t="shared" ca="1" si="8"/>
        <v>31</v>
      </c>
      <c r="P141" s="43">
        <f t="shared" ca="1" si="9"/>
        <v>1.29</v>
      </c>
      <c r="Q141" s="7">
        <f t="shared" ca="1" si="10"/>
        <v>31</v>
      </c>
      <c r="R141" s="56">
        <f t="shared" si="11"/>
        <v>1</v>
      </c>
      <c r="S141" s="59" t="s">
        <v>118</v>
      </c>
    </row>
    <row r="142" spans="1:19" ht="21" customHeight="1">
      <c r="A142" s="62">
        <v>138</v>
      </c>
      <c r="B142" s="63">
        <v>45750</v>
      </c>
      <c r="C142" s="64">
        <v>0.375</v>
      </c>
      <c r="D142" s="10" t="s">
        <v>55</v>
      </c>
      <c r="E142" s="65" t="s">
        <v>53</v>
      </c>
      <c r="F142" s="65" t="s">
        <v>137</v>
      </c>
      <c r="G142" s="65" t="s">
        <v>635</v>
      </c>
      <c r="H142" s="37" t="s">
        <v>42</v>
      </c>
      <c r="I142" s="62" t="s">
        <v>636</v>
      </c>
      <c r="J142" s="65" t="s">
        <v>117</v>
      </c>
      <c r="K142" s="65" t="s">
        <v>86</v>
      </c>
      <c r="L142" s="66" t="s">
        <v>36</v>
      </c>
      <c r="M142" s="63">
        <v>45751</v>
      </c>
      <c r="N142" s="64">
        <v>0.75</v>
      </c>
      <c r="O142" s="67">
        <f t="shared" ca="1" si="8"/>
        <v>0</v>
      </c>
      <c r="P142" s="39">
        <f t="shared" ca="1" si="9"/>
        <v>0</v>
      </c>
      <c r="Q142" s="15">
        <f t="shared" ca="1" si="10"/>
        <v>33</v>
      </c>
      <c r="R142" s="62">
        <f t="shared" si="11"/>
        <v>0</v>
      </c>
      <c r="S142" s="65" t="s">
        <v>118</v>
      </c>
    </row>
    <row r="143" spans="1:19" ht="21" customHeight="1">
      <c r="A143" s="56">
        <v>139</v>
      </c>
      <c r="B143" s="57">
        <v>45750</v>
      </c>
      <c r="C143" s="58">
        <v>0.5</v>
      </c>
      <c r="D143" s="2" t="s">
        <v>201</v>
      </c>
      <c r="E143" s="59" t="s">
        <v>58</v>
      </c>
      <c r="F143" s="59" t="s">
        <v>114</v>
      </c>
      <c r="G143" s="59" t="s">
        <v>637</v>
      </c>
      <c r="H143" s="41" t="s">
        <v>40</v>
      </c>
      <c r="I143" s="56" t="s">
        <v>131</v>
      </c>
      <c r="J143" s="59" t="s">
        <v>117</v>
      </c>
      <c r="K143" s="59" t="s">
        <v>86</v>
      </c>
      <c r="L143" s="60" t="s">
        <v>36</v>
      </c>
      <c r="M143" s="57">
        <v>45751</v>
      </c>
      <c r="N143" s="58">
        <v>0.75</v>
      </c>
      <c r="O143" s="61">
        <f t="shared" ca="1" si="8"/>
        <v>30</v>
      </c>
      <c r="P143" s="43">
        <f t="shared" ca="1" si="9"/>
        <v>1.25</v>
      </c>
      <c r="Q143" s="7">
        <f t="shared" ca="1" si="10"/>
        <v>30</v>
      </c>
      <c r="R143" s="56">
        <f t="shared" si="11"/>
        <v>1</v>
      </c>
      <c r="S143" s="59" t="s">
        <v>118</v>
      </c>
    </row>
    <row r="144" spans="1:19" ht="21" customHeight="1">
      <c r="A144" s="62">
        <v>140</v>
      </c>
      <c r="B144" s="63">
        <v>45754</v>
      </c>
      <c r="C144" s="64">
        <v>0.45833333333333331</v>
      </c>
      <c r="D144" s="10" t="s">
        <v>152</v>
      </c>
      <c r="E144" s="65" t="s">
        <v>66</v>
      </c>
      <c r="F144" s="65" t="s">
        <v>114</v>
      </c>
      <c r="G144" s="65" t="s">
        <v>638</v>
      </c>
      <c r="H144" s="37" t="s">
        <v>40</v>
      </c>
      <c r="I144" s="62" t="s">
        <v>639</v>
      </c>
      <c r="J144" s="65" t="s">
        <v>117</v>
      </c>
      <c r="K144" s="65" t="s">
        <v>86</v>
      </c>
      <c r="L144" s="66" t="s">
        <v>36</v>
      </c>
      <c r="M144" s="63">
        <v>45751</v>
      </c>
      <c r="N144" s="64">
        <v>0.75</v>
      </c>
      <c r="O144" s="67">
        <f t="shared" ca="1" si="8"/>
        <v>0</v>
      </c>
      <c r="P144" s="39">
        <f t="shared" ca="1" si="9"/>
        <v>0</v>
      </c>
      <c r="Q144" s="15">
        <f t="shared" ca="1" si="10"/>
        <v>0</v>
      </c>
      <c r="R144" s="62">
        <f t="shared" si="11"/>
        <v>1</v>
      </c>
      <c r="S144" s="65" t="s">
        <v>118</v>
      </c>
    </row>
    <row r="145" spans="1:19" ht="21" customHeight="1">
      <c r="A145" s="56">
        <v>141</v>
      </c>
      <c r="B145" s="57">
        <v>45754</v>
      </c>
      <c r="C145" s="58">
        <v>0.45833333333333331</v>
      </c>
      <c r="D145" s="2" t="s">
        <v>55</v>
      </c>
      <c r="E145" s="59" t="s">
        <v>53</v>
      </c>
      <c r="F145" s="59" t="s">
        <v>137</v>
      </c>
      <c r="G145" s="59" t="s">
        <v>634</v>
      </c>
      <c r="H145" s="41" t="s">
        <v>40</v>
      </c>
      <c r="I145" s="56" t="s">
        <v>640</v>
      </c>
      <c r="J145" s="59" t="s">
        <v>117</v>
      </c>
      <c r="K145" s="59" t="s">
        <v>86</v>
      </c>
      <c r="L145" s="60" t="s">
        <v>36</v>
      </c>
      <c r="M145" s="57">
        <v>45751</v>
      </c>
      <c r="N145" s="58">
        <v>0.75</v>
      </c>
      <c r="O145" s="61">
        <f t="shared" ca="1" si="8"/>
        <v>0</v>
      </c>
      <c r="P145" s="43">
        <f t="shared" ca="1" si="9"/>
        <v>0</v>
      </c>
      <c r="Q145" s="7">
        <f t="shared" ca="1" si="10"/>
        <v>0</v>
      </c>
      <c r="R145" s="56">
        <f t="shared" si="11"/>
        <v>1</v>
      </c>
      <c r="S145" s="59" t="s">
        <v>118</v>
      </c>
    </row>
    <row r="146" spans="1:19" ht="21" customHeight="1">
      <c r="A146" s="62">
        <v>142</v>
      </c>
      <c r="B146" s="63">
        <v>45754</v>
      </c>
      <c r="C146" s="64">
        <v>0.45833333333333331</v>
      </c>
      <c r="D146" s="10" t="s">
        <v>55</v>
      </c>
      <c r="E146" s="65" t="s">
        <v>53</v>
      </c>
      <c r="F146" s="65" t="s">
        <v>620</v>
      </c>
      <c r="G146" s="65" t="s">
        <v>641</v>
      </c>
      <c r="H146" s="37" t="s">
        <v>42</v>
      </c>
      <c r="I146" s="62" t="s">
        <v>642</v>
      </c>
      <c r="J146" s="65" t="s">
        <v>117</v>
      </c>
      <c r="K146" s="65" t="s">
        <v>86</v>
      </c>
      <c r="L146" s="66" t="s">
        <v>36</v>
      </c>
      <c r="M146" s="63">
        <v>45751</v>
      </c>
      <c r="N146" s="64">
        <v>0.75</v>
      </c>
      <c r="O146" s="67">
        <f t="shared" ca="1" si="8"/>
        <v>0</v>
      </c>
      <c r="P146" s="39">
        <f t="shared" ca="1" si="9"/>
        <v>0</v>
      </c>
      <c r="Q146" s="15">
        <f t="shared" ca="1" si="10"/>
        <v>0</v>
      </c>
      <c r="R146" s="62">
        <f t="shared" si="11"/>
        <v>0</v>
      </c>
      <c r="S146" s="65" t="s">
        <v>118</v>
      </c>
    </row>
    <row r="147" spans="1:19" ht="21" customHeight="1">
      <c r="A147" s="56">
        <v>143</v>
      </c>
      <c r="B147" s="57">
        <v>45755</v>
      </c>
      <c r="C147" s="58">
        <v>0.41666666666666669</v>
      </c>
      <c r="D147" s="2" t="s">
        <v>60</v>
      </c>
      <c r="E147" s="59" t="s">
        <v>66</v>
      </c>
      <c r="F147" s="59" t="s">
        <v>114</v>
      </c>
      <c r="G147" s="59" t="s">
        <v>616</v>
      </c>
      <c r="H147" s="41" t="s">
        <v>42</v>
      </c>
      <c r="I147" s="56" t="s">
        <v>131</v>
      </c>
      <c r="J147" s="59" t="s">
        <v>117</v>
      </c>
      <c r="K147" s="59" t="s">
        <v>86</v>
      </c>
      <c r="L147" s="60" t="s">
        <v>36</v>
      </c>
      <c r="M147" s="57">
        <v>45757</v>
      </c>
      <c r="N147" s="58">
        <v>0.75</v>
      </c>
      <c r="O147" s="61">
        <f t="shared" ca="1" si="8"/>
        <v>0</v>
      </c>
      <c r="P147" s="43">
        <f t="shared" ca="1" si="9"/>
        <v>0</v>
      </c>
      <c r="Q147" s="7">
        <f t="shared" ca="1" si="10"/>
        <v>56</v>
      </c>
      <c r="R147" s="56">
        <f t="shared" si="11"/>
        <v>0</v>
      </c>
      <c r="S147" s="59" t="s">
        <v>118</v>
      </c>
    </row>
    <row r="148" spans="1:19" ht="21" customHeight="1">
      <c r="A148" s="62">
        <v>144</v>
      </c>
      <c r="B148" s="63">
        <v>45757</v>
      </c>
      <c r="C148" s="64">
        <v>0.33333333333333331</v>
      </c>
      <c r="D148" s="10" t="s">
        <v>530</v>
      </c>
      <c r="E148" s="65" t="s">
        <v>66</v>
      </c>
      <c r="F148" s="65" t="s">
        <v>114</v>
      </c>
      <c r="G148" s="65" t="s">
        <v>643</v>
      </c>
      <c r="H148" s="37" t="s">
        <v>42</v>
      </c>
      <c r="I148" s="62" t="s">
        <v>131</v>
      </c>
      <c r="J148" s="65" t="s">
        <v>117</v>
      </c>
      <c r="K148" s="65" t="s">
        <v>86</v>
      </c>
      <c r="L148" s="66" t="s">
        <v>36</v>
      </c>
      <c r="M148" s="63">
        <v>45757</v>
      </c>
      <c r="N148" s="64">
        <v>0.75</v>
      </c>
      <c r="O148" s="67">
        <f t="shared" ca="1" si="8"/>
        <v>0</v>
      </c>
      <c r="P148" s="39">
        <f t="shared" ca="1" si="9"/>
        <v>0</v>
      </c>
      <c r="Q148" s="15">
        <f t="shared" ca="1" si="10"/>
        <v>10</v>
      </c>
      <c r="R148" s="62">
        <f t="shared" si="11"/>
        <v>0</v>
      </c>
      <c r="S148" s="65" t="s">
        <v>118</v>
      </c>
    </row>
    <row r="149" spans="1:19" ht="21" customHeight="1">
      <c r="A149" s="56">
        <v>145</v>
      </c>
      <c r="B149" s="57">
        <v>45759</v>
      </c>
      <c r="C149" s="58">
        <v>0.41666666666666669</v>
      </c>
      <c r="D149" s="2" t="s">
        <v>62</v>
      </c>
      <c r="E149" s="59" t="s">
        <v>63</v>
      </c>
      <c r="F149" s="59" t="s">
        <v>262</v>
      </c>
      <c r="G149" s="59" t="s">
        <v>644</v>
      </c>
      <c r="H149" s="41" t="s">
        <v>40</v>
      </c>
      <c r="I149" s="56" t="s">
        <v>131</v>
      </c>
      <c r="J149" s="59" t="s">
        <v>117</v>
      </c>
      <c r="K149" s="59" t="s">
        <v>86</v>
      </c>
      <c r="L149" s="60" t="s">
        <v>36</v>
      </c>
      <c r="M149" s="57">
        <v>45762</v>
      </c>
      <c r="N149" s="58">
        <v>0.75</v>
      </c>
      <c r="O149" s="61">
        <f t="shared" ca="1" si="8"/>
        <v>80</v>
      </c>
      <c r="P149" s="43">
        <f t="shared" ca="1" si="9"/>
        <v>3.33</v>
      </c>
      <c r="Q149" s="7">
        <f t="shared" ca="1" si="10"/>
        <v>80</v>
      </c>
      <c r="R149" s="56">
        <f t="shared" si="11"/>
        <v>1</v>
      </c>
      <c r="S149" s="59" t="s">
        <v>118</v>
      </c>
    </row>
    <row r="150" spans="1:19" ht="21" customHeight="1">
      <c r="A150" s="62">
        <v>146</v>
      </c>
      <c r="B150" s="63">
        <v>45762</v>
      </c>
      <c r="C150" s="64">
        <v>0.38541666666666669</v>
      </c>
      <c r="D150" s="10" t="s">
        <v>57</v>
      </c>
      <c r="E150" s="65" t="s">
        <v>72</v>
      </c>
      <c r="F150" s="65" t="s">
        <v>137</v>
      </c>
      <c r="G150" s="65" t="s">
        <v>645</v>
      </c>
      <c r="H150" s="37" t="s">
        <v>42</v>
      </c>
      <c r="I150" s="62" t="s">
        <v>131</v>
      </c>
      <c r="J150" s="65" t="s">
        <v>117</v>
      </c>
      <c r="K150" s="65" t="s">
        <v>86</v>
      </c>
      <c r="L150" s="66" t="s">
        <v>36</v>
      </c>
      <c r="M150" s="63">
        <v>45762</v>
      </c>
      <c r="N150" s="64">
        <v>0.75</v>
      </c>
      <c r="O150" s="67">
        <f t="shared" ca="1" si="8"/>
        <v>0</v>
      </c>
      <c r="P150" s="39">
        <f t="shared" ca="1" si="9"/>
        <v>0</v>
      </c>
      <c r="Q150" s="15">
        <f t="shared" ca="1" si="10"/>
        <v>8.8000000000000007</v>
      </c>
      <c r="R150" s="62">
        <f t="shared" si="11"/>
        <v>0</v>
      </c>
      <c r="S150" s="65" t="s">
        <v>118</v>
      </c>
    </row>
    <row r="151" spans="1:19" ht="21" customHeight="1">
      <c r="A151" s="56">
        <v>147</v>
      </c>
      <c r="B151" s="57">
        <v>45763</v>
      </c>
      <c r="C151" s="58">
        <v>0.45833333333333331</v>
      </c>
      <c r="D151" s="2" t="s">
        <v>530</v>
      </c>
      <c r="E151" s="59" t="s">
        <v>66</v>
      </c>
      <c r="F151" s="59" t="s">
        <v>114</v>
      </c>
      <c r="G151" s="59" t="s">
        <v>646</v>
      </c>
      <c r="H151" s="41" t="s">
        <v>42</v>
      </c>
      <c r="I151" s="56" t="s">
        <v>131</v>
      </c>
      <c r="J151" s="59" t="s">
        <v>117</v>
      </c>
      <c r="K151" s="59" t="s">
        <v>86</v>
      </c>
      <c r="L151" s="60" t="s">
        <v>36</v>
      </c>
      <c r="M151" s="57">
        <v>45763</v>
      </c>
      <c r="N151" s="58">
        <v>0.75</v>
      </c>
      <c r="O151" s="61">
        <f t="shared" ca="1" si="8"/>
        <v>0</v>
      </c>
      <c r="P151" s="43">
        <f t="shared" ca="1" si="9"/>
        <v>0</v>
      </c>
      <c r="Q151" s="7">
        <f t="shared" ca="1" si="10"/>
        <v>7</v>
      </c>
      <c r="R151" s="56">
        <f t="shared" si="11"/>
        <v>0</v>
      </c>
      <c r="S151" s="59" t="s">
        <v>118</v>
      </c>
    </row>
    <row r="152" spans="1:19" ht="21" customHeight="1">
      <c r="A152" s="62">
        <v>148</v>
      </c>
      <c r="B152" s="63">
        <v>45763</v>
      </c>
      <c r="C152" s="64">
        <v>0.35416666666666669</v>
      </c>
      <c r="D152" s="10" t="s">
        <v>238</v>
      </c>
      <c r="E152" s="65" t="s">
        <v>53</v>
      </c>
      <c r="F152" s="65" t="s">
        <v>133</v>
      </c>
      <c r="G152" s="65" t="s">
        <v>647</v>
      </c>
      <c r="H152" s="37" t="s">
        <v>42</v>
      </c>
      <c r="I152" s="62" t="s">
        <v>131</v>
      </c>
      <c r="J152" s="65" t="s">
        <v>117</v>
      </c>
      <c r="K152" s="65" t="s">
        <v>86</v>
      </c>
      <c r="L152" s="66" t="s">
        <v>36</v>
      </c>
      <c r="M152" s="63">
        <v>45763</v>
      </c>
      <c r="N152" s="64">
        <v>0.75</v>
      </c>
      <c r="O152" s="67">
        <f t="shared" ca="1" si="8"/>
        <v>0</v>
      </c>
      <c r="P152" s="39">
        <f t="shared" ca="1" si="9"/>
        <v>0</v>
      </c>
      <c r="Q152" s="15">
        <f t="shared" ca="1" si="10"/>
        <v>9.5</v>
      </c>
      <c r="R152" s="62">
        <f t="shared" si="11"/>
        <v>0</v>
      </c>
      <c r="S152" s="65" t="s">
        <v>118</v>
      </c>
    </row>
    <row r="153" spans="1:19" ht="21" customHeight="1">
      <c r="A153" s="56">
        <v>149</v>
      </c>
      <c r="B153" s="57">
        <v>45769</v>
      </c>
      <c r="C153" s="58">
        <v>0.4375</v>
      </c>
      <c r="D153" s="2" t="s">
        <v>55</v>
      </c>
      <c r="E153" s="59" t="s">
        <v>53</v>
      </c>
      <c r="F153" s="59" t="s">
        <v>153</v>
      </c>
      <c r="G153" s="59" t="s">
        <v>648</v>
      </c>
      <c r="H153" s="41" t="s">
        <v>42</v>
      </c>
      <c r="I153" s="56" t="s">
        <v>649</v>
      </c>
      <c r="J153" s="59" t="s">
        <v>117</v>
      </c>
      <c r="K153" s="59" t="s">
        <v>86</v>
      </c>
      <c r="L153" s="60" t="s">
        <v>36</v>
      </c>
      <c r="M153" s="57">
        <v>45770</v>
      </c>
      <c r="N153" s="58">
        <v>0.75</v>
      </c>
      <c r="O153" s="61">
        <f t="shared" ca="1" si="8"/>
        <v>0</v>
      </c>
      <c r="P153" s="43">
        <f t="shared" ca="1" si="9"/>
        <v>0</v>
      </c>
      <c r="Q153" s="7">
        <f t="shared" ca="1" si="10"/>
        <v>31.5</v>
      </c>
      <c r="R153" s="56">
        <f t="shared" si="11"/>
        <v>0</v>
      </c>
      <c r="S153" s="59" t="s">
        <v>118</v>
      </c>
    </row>
    <row r="154" spans="1:19" ht="21" customHeight="1">
      <c r="A154" s="62">
        <v>150</v>
      </c>
      <c r="B154" s="63">
        <v>45770</v>
      </c>
      <c r="C154" s="64">
        <v>0.45833333333333331</v>
      </c>
      <c r="D154" s="10" t="s">
        <v>600</v>
      </c>
      <c r="E154" s="65" t="s">
        <v>53</v>
      </c>
      <c r="F154" s="65" t="s">
        <v>601</v>
      </c>
      <c r="G154" s="65" t="s">
        <v>650</v>
      </c>
      <c r="H154" s="37" t="s">
        <v>40</v>
      </c>
      <c r="I154" s="62" t="s">
        <v>131</v>
      </c>
      <c r="J154" s="65" t="s">
        <v>117</v>
      </c>
      <c r="K154" s="65" t="s">
        <v>86</v>
      </c>
      <c r="L154" s="66" t="s">
        <v>36</v>
      </c>
      <c r="M154" s="63">
        <v>45771</v>
      </c>
      <c r="N154" s="64">
        <v>0.75</v>
      </c>
      <c r="O154" s="67">
        <f t="shared" ca="1" si="8"/>
        <v>31</v>
      </c>
      <c r="P154" s="39">
        <f t="shared" ca="1" si="9"/>
        <v>1.29</v>
      </c>
      <c r="Q154" s="15">
        <f t="shared" ca="1" si="10"/>
        <v>31</v>
      </c>
      <c r="R154" s="62">
        <f t="shared" si="11"/>
        <v>1</v>
      </c>
      <c r="S154" s="65" t="s">
        <v>118</v>
      </c>
    </row>
    <row r="155" spans="1:19" ht="21" customHeight="1">
      <c r="A155" s="56">
        <v>151</v>
      </c>
      <c r="B155" s="57">
        <v>45778</v>
      </c>
      <c r="C155" s="58">
        <v>0.45833333333333331</v>
      </c>
      <c r="D155" s="2" t="s">
        <v>233</v>
      </c>
      <c r="E155" s="59" t="s">
        <v>72</v>
      </c>
      <c r="F155" s="59" t="s">
        <v>114</v>
      </c>
      <c r="G155" s="59" t="s">
        <v>651</v>
      </c>
      <c r="H155" s="41" t="s">
        <v>42</v>
      </c>
      <c r="I155" s="56" t="s">
        <v>131</v>
      </c>
      <c r="J155" s="59" t="s">
        <v>117</v>
      </c>
      <c r="K155" s="59" t="s">
        <v>86</v>
      </c>
      <c r="L155" s="60" t="s">
        <v>36</v>
      </c>
      <c r="M155" s="57">
        <v>45802</v>
      </c>
      <c r="N155" s="58">
        <v>0.75</v>
      </c>
      <c r="O155" s="61">
        <f t="shared" ca="1" si="8"/>
        <v>0</v>
      </c>
      <c r="P155" s="43">
        <f t="shared" ca="1" si="9"/>
        <v>0</v>
      </c>
      <c r="Q155" s="7">
        <f t="shared" ca="1" si="10"/>
        <v>583</v>
      </c>
      <c r="R155" s="56">
        <f t="shared" si="11"/>
        <v>0</v>
      </c>
      <c r="S155" s="59" t="s">
        <v>118</v>
      </c>
    </row>
    <row r="156" spans="1:19" ht="21" customHeight="1">
      <c r="A156" s="62">
        <v>152</v>
      </c>
      <c r="B156" s="63">
        <v>45783</v>
      </c>
      <c r="C156" s="64">
        <v>0.41666666666666669</v>
      </c>
      <c r="D156" s="10" t="s">
        <v>286</v>
      </c>
      <c r="E156" s="65" t="s">
        <v>53</v>
      </c>
      <c r="F156" s="65" t="s">
        <v>133</v>
      </c>
      <c r="G156" s="65" t="s">
        <v>652</v>
      </c>
      <c r="H156" s="37" t="s">
        <v>40</v>
      </c>
      <c r="I156" s="62" t="s">
        <v>131</v>
      </c>
      <c r="J156" s="65" t="s">
        <v>653</v>
      </c>
      <c r="K156" s="65" t="s">
        <v>86</v>
      </c>
      <c r="L156" s="66" t="s">
        <v>36</v>
      </c>
      <c r="M156" s="63">
        <v>45813</v>
      </c>
      <c r="N156" s="64">
        <v>0.75</v>
      </c>
      <c r="O156" s="67">
        <f t="shared" ca="1" si="8"/>
        <v>728</v>
      </c>
      <c r="P156" s="39">
        <f t="shared" ca="1" si="9"/>
        <v>30.33</v>
      </c>
      <c r="Q156" s="15">
        <f t="shared" ca="1" si="10"/>
        <v>728</v>
      </c>
      <c r="R156" s="62">
        <f t="shared" si="11"/>
        <v>1</v>
      </c>
      <c r="S156" s="65" t="s">
        <v>653</v>
      </c>
    </row>
    <row r="157" spans="1:19" ht="21" customHeight="1">
      <c r="A157" s="56">
        <v>153</v>
      </c>
      <c r="B157" s="57">
        <v>45783</v>
      </c>
      <c r="C157" s="58">
        <v>0.45833333333333331</v>
      </c>
      <c r="D157" s="2" t="s">
        <v>286</v>
      </c>
      <c r="E157" s="59" t="s">
        <v>53</v>
      </c>
      <c r="F157" s="59" t="s">
        <v>133</v>
      </c>
      <c r="G157" s="59" t="s">
        <v>654</v>
      </c>
      <c r="H157" s="41" t="s">
        <v>40</v>
      </c>
      <c r="I157" s="56" t="s">
        <v>131</v>
      </c>
      <c r="J157" s="59" t="s">
        <v>117</v>
      </c>
      <c r="K157" s="59" t="s">
        <v>86</v>
      </c>
      <c r="L157" s="60" t="s">
        <v>36</v>
      </c>
      <c r="M157" s="57">
        <v>45813</v>
      </c>
      <c r="N157" s="58">
        <v>0.75</v>
      </c>
      <c r="O157" s="61">
        <f t="shared" ca="1" si="8"/>
        <v>727</v>
      </c>
      <c r="P157" s="43">
        <f t="shared" ca="1" si="9"/>
        <v>30.29</v>
      </c>
      <c r="Q157" s="7">
        <f t="shared" ca="1" si="10"/>
        <v>727</v>
      </c>
      <c r="R157" s="56">
        <f t="shared" si="11"/>
        <v>1</v>
      </c>
      <c r="S157" s="59" t="s">
        <v>135</v>
      </c>
    </row>
    <row r="158" spans="1:19" ht="21" customHeight="1">
      <c r="A158" s="62">
        <v>154</v>
      </c>
      <c r="B158" s="63">
        <v>45790</v>
      </c>
      <c r="C158" s="64">
        <v>0.5</v>
      </c>
      <c r="D158" s="10" t="s">
        <v>74</v>
      </c>
      <c r="E158" s="65" t="s">
        <v>72</v>
      </c>
      <c r="F158" s="65" t="s">
        <v>139</v>
      </c>
      <c r="G158" s="65" t="s">
        <v>655</v>
      </c>
      <c r="H158" s="37" t="s">
        <v>40</v>
      </c>
      <c r="I158" s="62" t="s">
        <v>131</v>
      </c>
      <c r="J158" s="65" t="s">
        <v>117</v>
      </c>
      <c r="K158" s="65" t="s">
        <v>86</v>
      </c>
      <c r="L158" s="66" t="s">
        <v>36</v>
      </c>
      <c r="M158" s="63">
        <v>45791</v>
      </c>
      <c r="N158" s="64">
        <v>0.75</v>
      </c>
      <c r="O158" s="67">
        <f t="shared" ca="1" si="8"/>
        <v>30</v>
      </c>
      <c r="P158" s="39">
        <f t="shared" ca="1" si="9"/>
        <v>1.25</v>
      </c>
      <c r="Q158" s="15">
        <f t="shared" ca="1" si="10"/>
        <v>30</v>
      </c>
      <c r="R158" s="62">
        <f t="shared" si="11"/>
        <v>1</v>
      </c>
      <c r="S158" s="65" t="s">
        <v>118</v>
      </c>
    </row>
    <row r="159" spans="1:19" ht="21" customHeight="1">
      <c r="A159" s="56">
        <v>155</v>
      </c>
      <c r="B159" s="57">
        <v>45791</v>
      </c>
      <c r="C159" s="58">
        <v>0.54166666666666663</v>
      </c>
      <c r="D159" s="2" t="s">
        <v>188</v>
      </c>
      <c r="E159" s="59" t="s">
        <v>53</v>
      </c>
      <c r="F159" s="59" t="s">
        <v>133</v>
      </c>
      <c r="G159" s="59" t="s">
        <v>656</v>
      </c>
      <c r="H159" s="41" t="s">
        <v>40</v>
      </c>
      <c r="I159" s="56" t="s">
        <v>131</v>
      </c>
      <c r="J159" s="59" t="s">
        <v>117</v>
      </c>
      <c r="K159" s="59" t="s">
        <v>86</v>
      </c>
      <c r="L159" s="60" t="s">
        <v>36</v>
      </c>
      <c r="M159" s="57">
        <v>45809</v>
      </c>
      <c r="N159" s="58">
        <v>0.75</v>
      </c>
      <c r="O159" s="61">
        <f t="shared" ca="1" si="8"/>
        <v>437</v>
      </c>
      <c r="P159" s="43">
        <f t="shared" ca="1" si="9"/>
        <v>18.21</v>
      </c>
      <c r="Q159" s="7">
        <f t="shared" ca="1" si="10"/>
        <v>437</v>
      </c>
      <c r="R159" s="56">
        <f t="shared" si="11"/>
        <v>1</v>
      </c>
      <c r="S159" s="59" t="s">
        <v>118</v>
      </c>
    </row>
    <row r="160" spans="1:19" ht="21" customHeight="1">
      <c r="A160" s="62">
        <v>156</v>
      </c>
      <c r="B160" s="63">
        <v>45793</v>
      </c>
      <c r="C160" s="64">
        <v>0.58333333333333337</v>
      </c>
      <c r="D160" s="10" t="s">
        <v>76</v>
      </c>
      <c r="E160" s="65" t="s">
        <v>72</v>
      </c>
      <c r="F160" s="65" t="s">
        <v>153</v>
      </c>
      <c r="G160" s="65" t="s">
        <v>657</v>
      </c>
      <c r="H160" s="37" t="s">
        <v>42</v>
      </c>
      <c r="I160" s="62" t="s">
        <v>131</v>
      </c>
      <c r="J160" s="65" t="s">
        <v>117</v>
      </c>
      <c r="K160" s="65" t="s">
        <v>86</v>
      </c>
      <c r="L160" s="66" t="s">
        <v>36</v>
      </c>
      <c r="M160" s="63">
        <v>45793</v>
      </c>
      <c r="N160" s="64">
        <v>0.75</v>
      </c>
      <c r="O160" s="67">
        <f t="shared" ca="1" si="8"/>
        <v>0</v>
      </c>
      <c r="P160" s="39">
        <f t="shared" ca="1" si="9"/>
        <v>0</v>
      </c>
      <c r="Q160" s="15">
        <f t="shared" ca="1" si="10"/>
        <v>4</v>
      </c>
      <c r="R160" s="62">
        <f t="shared" si="11"/>
        <v>0</v>
      </c>
      <c r="S160" s="65" t="s">
        <v>118</v>
      </c>
    </row>
    <row r="161" spans="1:19" ht="21" customHeight="1">
      <c r="A161" s="56">
        <v>157</v>
      </c>
      <c r="B161" s="57">
        <v>45795</v>
      </c>
      <c r="C161" s="58">
        <v>0.625</v>
      </c>
      <c r="D161" s="2" t="s">
        <v>74</v>
      </c>
      <c r="E161" s="59" t="s">
        <v>72</v>
      </c>
      <c r="F161" s="59" t="s">
        <v>418</v>
      </c>
      <c r="G161" s="59" t="s">
        <v>658</v>
      </c>
      <c r="H161" s="41" t="s">
        <v>40</v>
      </c>
      <c r="I161" s="56" t="s">
        <v>131</v>
      </c>
      <c r="J161" s="59" t="s">
        <v>117</v>
      </c>
      <c r="K161" s="59" t="s">
        <v>86</v>
      </c>
      <c r="L161" s="60" t="s">
        <v>36</v>
      </c>
      <c r="M161" s="57">
        <v>45858</v>
      </c>
      <c r="N161" s="58">
        <v>0.75</v>
      </c>
      <c r="O161" s="61">
        <f t="shared" ca="1" si="8"/>
        <v>1515</v>
      </c>
      <c r="P161" s="43">
        <f t="shared" ca="1" si="9"/>
        <v>63.13</v>
      </c>
      <c r="Q161" s="7">
        <f t="shared" ca="1" si="10"/>
        <v>1515</v>
      </c>
      <c r="R161" s="56">
        <f t="shared" si="11"/>
        <v>1</v>
      </c>
      <c r="S161" s="59" t="s">
        <v>118</v>
      </c>
    </row>
    <row r="162" spans="1:19" ht="21" customHeight="1">
      <c r="A162" s="62">
        <v>158</v>
      </c>
      <c r="B162" s="63">
        <v>45798</v>
      </c>
      <c r="C162" s="64">
        <v>0.33333333333333331</v>
      </c>
      <c r="D162" s="10" t="s">
        <v>152</v>
      </c>
      <c r="E162" s="65" t="s">
        <v>66</v>
      </c>
      <c r="F162" s="65" t="s">
        <v>418</v>
      </c>
      <c r="G162" s="65" t="s">
        <v>659</v>
      </c>
      <c r="H162" s="37" t="s">
        <v>40</v>
      </c>
      <c r="I162" s="62" t="s">
        <v>660</v>
      </c>
      <c r="J162" s="65" t="s">
        <v>117</v>
      </c>
      <c r="K162" s="65" t="s">
        <v>86</v>
      </c>
      <c r="L162" s="66" t="s">
        <v>36</v>
      </c>
      <c r="M162" s="63">
        <v>45799</v>
      </c>
      <c r="N162" s="64">
        <v>0.75</v>
      </c>
      <c r="O162" s="67">
        <f t="shared" ca="1" si="8"/>
        <v>34</v>
      </c>
      <c r="P162" s="39">
        <f t="shared" ca="1" si="9"/>
        <v>1.42</v>
      </c>
      <c r="Q162" s="15">
        <f t="shared" ca="1" si="10"/>
        <v>34</v>
      </c>
      <c r="R162" s="62">
        <f t="shared" si="11"/>
        <v>1</v>
      </c>
      <c r="S162" s="65" t="s">
        <v>118</v>
      </c>
    </row>
    <row r="163" spans="1:19" ht="21" customHeight="1">
      <c r="A163" s="56">
        <v>159</v>
      </c>
      <c r="B163" s="57">
        <v>45798</v>
      </c>
      <c r="C163" s="58">
        <v>0.41666666666666669</v>
      </c>
      <c r="D163" s="2" t="s">
        <v>55</v>
      </c>
      <c r="E163" s="59" t="s">
        <v>53</v>
      </c>
      <c r="F163" s="59" t="s">
        <v>137</v>
      </c>
      <c r="G163" s="59" t="s">
        <v>661</v>
      </c>
      <c r="H163" s="41" t="s">
        <v>42</v>
      </c>
      <c r="I163" s="56" t="s">
        <v>662</v>
      </c>
      <c r="J163" s="59" t="s">
        <v>117</v>
      </c>
      <c r="K163" s="59" t="s">
        <v>86</v>
      </c>
      <c r="L163" s="60" t="s">
        <v>36</v>
      </c>
      <c r="M163" s="57">
        <v>45808</v>
      </c>
      <c r="N163" s="58">
        <v>0.75</v>
      </c>
      <c r="O163" s="61">
        <f t="shared" ca="1" si="8"/>
        <v>0</v>
      </c>
      <c r="P163" s="43">
        <f t="shared" ca="1" si="9"/>
        <v>0</v>
      </c>
      <c r="Q163" s="7">
        <f t="shared" ca="1" si="10"/>
        <v>248</v>
      </c>
      <c r="R163" s="56">
        <f t="shared" si="11"/>
        <v>0</v>
      </c>
      <c r="S163" s="59" t="s">
        <v>118</v>
      </c>
    </row>
    <row r="164" spans="1:19" ht="21" customHeight="1">
      <c r="A164" s="62">
        <v>160</v>
      </c>
      <c r="B164" s="63">
        <v>45798</v>
      </c>
      <c r="C164" s="64">
        <v>0.33333333333333331</v>
      </c>
      <c r="D164" s="10" t="s">
        <v>152</v>
      </c>
      <c r="E164" s="65" t="s">
        <v>66</v>
      </c>
      <c r="F164" s="65" t="s">
        <v>418</v>
      </c>
      <c r="G164" s="65" t="s">
        <v>663</v>
      </c>
      <c r="H164" s="37" t="s">
        <v>42</v>
      </c>
      <c r="I164" s="62" t="s">
        <v>664</v>
      </c>
      <c r="J164" s="65" t="s">
        <v>117</v>
      </c>
      <c r="K164" s="65" t="s">
        <v>86</v>
      </c>
      <c r="L164" s="66" t="s">
        <v>36</v>
      </c>
      <c r="M164" s="63">
        <v>45800</v>
      </c>
      <c r="N164" s="64">
        <v>0.75</v>
      </c>
      <c r="O164" s="67">
        <f t="shared" ca="1" si="8"/>
        <v>0</v>
      </c>
      <c r="P164" s="39">
        <f t="shared" ca="1" si="9"/>
        <v>0</v>
      </c>
      <c r="Q164" s="15">
        <f t="shared" ca="1" si="10"/>
        <v>58</v>
      </c>
      <c r="R164" s="62">
        <f t="shared" si="11"/>
        <v>0</v>
      </c>
      <c r="S164" s="65" t="s">
        <v>118</v>
      </c>
    </row>
    <row r="165" spans="1:19" ht="21" customHeight="1">
      <c r="A165" s="56">
        <v>161</v>
      </c>
      <c r="B165" s="57">
        <v>45800</v>
      </c>
      <c r="C165" s="58">
        <v>0.45833333333333331</v>
      </c>
      <c r="D165" s="2" t="s">
        <v>665</v>
      </c>
      <c r="E165" s="59" t="s">
        <v>66</v>
      </c>
      <c r="F165" s="59" t="s">
        <v>666</v>
      </c>
      <c r="G165" s="59" t="s">
        <v>667</v>
      </c>
      <c r="H165" s="41" t="s">
        <v>40</v>
      </c>
      <c r="I165" s="56" t="s">
        <v>131</v>
      </c>
      <c r="J165" s="59" t="s">
        <v>117</v>
      </c>
      <c r="K165" s="59" t="s">
        <v>86</v>
      </c>
      <c r="L165" s="60" t="s">
        <v>36</v>
      </c>
      <c r="M165" s="57">
        <v>45742</v>
      </c>
      <c r="N165" s="58">
        <v>0.75</v>
      </c>
      <c r="O165" s="61">
        <f t="shared" ca="1" si="8"/>
        <v>0</v>
      </c>
      <c r="P165" s="43">
        <f t="shared" ca="1" si="9"/>
        <v>0</v>
      </c>
      <c r="Q165" s="7">
        <f t="shared" ca="1" si="10"/>
        <v>0</v>
      </c>
      <c r="R165" s="56">
        <f t="shared" si="11"/>
        <v>1</v>
      </c>
      <c r="S165" s="59" t="s">
        <v>118</v>
      </c>
    </row>
    <row r="166" spans="1:19" ht="21" customHeight="1">
      <c r="A166" s="62">
        <v>162</v>
      </c>
      <c r="B166" s="63">
        <v>45803</v>
      </c>
      <c r="C166" s="64">
        <v>0.33333333333333331</v>
      </c>
      <c r="D166" s="10" t="s">
        <v>530</v>
      </c>
      <c r="E166" s="65" t="s">
        <v>66</v>
      </c>
      <c r="F166" s="65" t="s">
        <v>114</v>
      </c>
      <c r="G166" s="65" t="s">
        <v>668</v>
      </c>
      <c r="H166" s="37" t="s">
        <v>42</v>
      </c>
      <c r="I166" s="62" t="s">
        <v>131</v>
      </c>
      <c r="J166" s="65" t="s">
        <v>117</v>
      </c>
      <c r="K166" s="65" t="s">
        <v>86</v>
      </c>
      <c r="L166" s="66" t="s">
        <v>36</v>
      </c>
      <c r="M166" s="63">
        <v>45803</v>
      </c>
      <c r="N166" s="64">
        <v>0.75</v>
      </c>
      <c r="O166" s="67">
        <f t="shared" ca="1" si="8"/>
        <v>0</v>
      </c>
      <c r="P166" s="39">
        <f t="shared" ca="1" si="9"/>
        <v>0</v>
      </c>
      <c r="Q166" s="15">
        <f t="shared" ca="1" si="10"/>
        <v>10</v>
      </c>
      <c r="R166" s="62">
        <f t="shared" si="11"/>
        <v>0</v>
      </c>
      <c r="S166" s="65" t="s">
        <v>118</v>
      </c>
    </row>
    <row r="167" spans="1:19" ht="21" customHeight="1">
      <c r="A167" s="56">
        <v>163</v>
      </c>
      <c r="B167" s="57">
        <v>45805</v>
      </c>
      <c r="C167" s="58">
        <v>0.5</v>
      </c>
      <c r="D167" s="2" t="s">
        <v>623</v>
      </c>
      <c r="E167" s="59" t="s">
        <v>58</v>
      </c>
      <c r="F167" s="59" t="s">
        <v>114</v>
      </c>
      <c r="G167" s="59" t="s">
        <v>669</v>
      </c>
      <c r="H167" s="41" t="s">
        <v>40</v>
      </c>
      <c r="I167" s="56" t="s">
        <v>131</v>
      </c>
      <c r="J167" s="59" t="s">
        <v>117</v>
      </c>
      <c r="K167" s="59" t="s">
        <v>86</v>
      </c>
      <c r="L167" s="60" t="s">
        <v>36</v>
      </c>
      <c r="M167" s="57">
        <v>45805</v>
      </c>
      <c r="N167" s="58">
        <v>0.75</v>
      </c>
      <c r="O167" s="61">
        <f t="shared" ca="1" si="8"/>
        <v>6</v>
      </c>
      <c r="P167" s="43">
        <f t="shared" ca="1" si="9"/>
        <v>0.25</v>
      </c>
      <c r="Q167" s="7">
        <f t="shared" ca="1" si="10"/>
        <v>6</v>
      </c>
      <c r="R167" s="56">
        <f t="shared" si="11"/>
        <v>1</v>
      </c>
      <c r="S167" s="59" t="s">
        <v>118</v>
      </c>
    </row>
    <row r="168" spans="1:19" ht="21" customHeight="1">
      <c r="A168" s="62">
        <v>164</v>
      </c>
      <c r="B168" s="63">
        <v>45807</v>
      </c>
      <c r="C168" s="64">
        <v>0.54166666666666663</v>
      </c>
      <c r="D168" s="10" t="s">
        <v>55</v>
      </c>
      <c r="E168" s="65" t="s">
        <v>53</v>
      </c>
      <c r="F168" s="65" t="s">
        <v>114</v>
      </c>
      <c r="G168" s="65" t="s">
        <v>670</v>
      </c>
      <c r="H168" s="37" t="s">
        <v>40</v>
      </c>
      <c r="I168" s="62" t="s">
        <v>671</v>
      </c>
      <c r="J168" s="65" t="s">
        <v>117</v>
      </c>
      <c r="K168" s="65" t="s">
        <v>86</v>
      </c>
      <c r="L168" s="66" t="s">
        <v>36</v>
      </c>
      <c r="M168" s="63">
        <v>45809</v>
      </c>
      <c r="N168" s="64">
        <v>0.75</v>
      </c>
      <c r="O168" s="67">
        <f t="shared" ca="1" si="8"/>
        <v>53</v>
      </c>
      <c r="P168" s="39">
        <f t="shared" ca="1" si="9"/>
        <v>2.21</v>
      </c>
      <c r="Q168" s="15">
        <f t="shared" ca="1" si="10"/>
        <v>53</v>
      </c>
      <c r="R168" s="62">
        <f t="shared" si="11"/>
        <v>1</v>
      </c>
      <c r="S168" s="65" t="s">
        <v>118</v>
      </c>
    </row>
    <row r="169" spans="1:19" ht="21" customHeight="1">
      <c r="A169" s="56">
        <v>165</v>
      </c>
      <c r="B169" s="57">
        <v>45808</v>
      </c>
      <c r="C169" s="58">
        <v>0.375</v>
      </c>
      <c r="D169" s="2" t="s">
        <v>65</v>
      </c>
      <c r="E169" s="59" t="s">
        <v>66</v>
      </c>
      <c r="F169" s="59" t="s">
        <v>114</v>
      </c>
      <c r="G169" s="59" t="s">
        <v>672</v>
      </c>
      <c r="H169" s="41" t="s">
        <v>40</v>
      </c>
      <c r="I169" s="56" t="s">
        <v>131</v>
      </c>
      <c r="J169" s="59" t="s">
        <v>117</v>
      </c>
      <c r="K169" s="59" t="s">
        <v>86</v>
      </c>
      <c r="L169" s="60" t="s">
        <v>36</v>
      </c>
      <c r="M169" s="57">
        <v>45811</v>
      </c>
      <c r="N169" s="58">
        <v>0.75</v>
      </c>
      <c r="O169" s="61">
        <f t="shared" ca="1" si="8"/>
        <v>81</v>
      </c>
      <c r="P169" s="43">
        <f t="shared" ca="1" si="9"/>
        <v>3.38</v>
      </c>
      <c r="Q169" s="7">
        <f t="shared" ca="1" si="10"/>
        <v>81</v>
      </c>
      <c r="R169" s="56">
        <f t="shared" si="11"/>
        <v>1</v>
      </c>
      <c r="S169" s="59" t="s">
        <v>118</v>
      </c>
    </row>
    <row r="170" spans="1:19" ht="21" customHeight="1">
      <c r="A170" s="62">
        <v>166</v>
      </c>
      <c r="B170" s="63">
        <v>45812</v>
      </c>
      <c r="C170" s="64">
        <v>0.625</v>
      </c>
      <c r="D170" s="10" t="s">
        <v>55</v>
      </c>
      <c r="E170" s="65" t="s">
        <v>53</v>
      </c>
      <c r="F170" s="65" t="s">
        <v>418</v>
      </c>
      <c r="G170" s="65" t="s">
        <v>673</v>
      </c>
      <c r="H170" s="37" t="s">
        <v>40</v>
      </c>
      <c r="I170" s="62" t="s">
        <v>674</v>
      </c>
      <c r="J170" s="65" t="s">
        <v>117</v>
      </c>
      <c r="K170" s="65" t="s">
        <v>86</v>
      </c>
      <c r="L170" s="66" t="s">
        <v>36</v>
      </c>
      <c r="M170" s="63">
        <v>45813</v>
      </c>
      <c r="N170" s="64">
        <v>0.75</v>
      </c>
      <c r="O170" s="67">
        <f t="shared" ca="1" si="8"/>
        <v>27</v>
      </c>
      <c r="P170" s="39">
        <f t="shared" ca="1" si="9"/>
        <v>1.1299999999999999</v>
      </c>
      <c r="Q170" s="15">
        <f t="shared" ca="1" si="10"/>
        <v>27</v>
      </c>
      <c r="R170" s="62">
        <f t="shared" si="11"/>
        <v>1</v>
      </c>
      <c r="S170" s="65" t="s">
        <v>118</v>
      </c>
    </row>
    <row r="171" spans="1:19" ht="21" customHeight="1">
      <c r="A171" s="56">
        <v>167</v>
      </c>
      <c r="B171" s="57">
        <v>45814</v>
      </c>
      <c r="C171" s="58">
        <v>0.38541666666666669</v>
      </c>
      <c r="D171" s="2" t="s">
        <v>623</v>
      </c>
      <c r="E171" s="59" t="s">
        <v>58</v>
      </c>
      <c r="F171" s="59" t="s">
        <v>114</v>
      </c>
      <c r="G171" s="59" t="s">
        <v>675</v>
      </c>
      <c r="H171" s="41" t="s">
        <v>42</v>
      </c>
      <c r="I171" s="56" t="s">
        <v>131</v>
      </c>
      <c r="J171" s="59" t="s">
        <v>117</v>
      </c>
      <c r="K171" s="59" t="s">
        <v>86</v>
      </c>
      <c r="L171" s="60" t="s">
        <v>36</v>
      </c>
      <c r="M171" s="57">
        <v>45817</v>
      </c>
      <c r="N171" s="58">
        <v>0.75</v>
      </c>
      <c r="O171" s="61">
        <f t="shared" ca="1" si="8"/>
        <v>0</v>
      </c>
      <c r="P171" s="43">
        <f t="shared" ca="1" si="9"/>
        <v>0</v>
      </c>
      <c r="Q171" s="7">
        <f t="shared" ca="1" si="10"/>
        <v>80.8</v>
      </c>
      <c r="R171" s="56">
        <f t="shared" si="11"/>
        <v>0</v>
      </c>
      <c r="S171" s="59" t="s">
        <v>118</v>
      </c>
    </row>
    <row r="172" spans="1:19" ht="21" customHeight="1">
      <c r="A172" s="62">
        <v>168</v>
      </c>
      <c r="B172" s="63">
        <v>45814</v>
      </c>
      <c r="C172" s="64">
        <v>0.41666666666666669</v>
      </c>
      <c r="D172" s="10" t="s">
        <v>676</v>
      </c>
      <c r="E172" s="65" t="s">
        <v>63</v>
      </c>
      <c r="F172" s="65" t="s">
        <v>137</v>
      </c>
      <c r="G172" s="65" t="s">
        <v>677</v>
      </c>
      <c r="H172" s="37" t="s">
        <v>42</v>
      </c>
      <c r="I172" s="62" t="s">
        <v>131</v>
      </c>
      <c r="J172" s="65" t="s">
        <v>117</v>
      </c>
      <c r="K172" s="65" t="s">
        <v>86</v>
      </c>
      <c r="L172" s="66" t="s">
        <v>36</v>
      </c>
      <c r="M172" s="63">
        <v>45816</v>
      </c>
      <c r="N172" s="64">
        <v>0.75</v>
      </c>
      <c r="O172" s="67">
        <f t="shared" ca="1" si="8"/>
        <v>0</v>
      </c>
      <c r="P172" s="39">
        <f t="shared" ca="1" si="9"/>
        <v>0</v>
      </c>
      <c r="Q172" s="15">
        <f t="shared" ca="1" si="10"/>
        <v>56</v>
      </c>
      <c r="R172" s="62">
        <f t="shared" si="11"/>
        <v>0</v>
      </c>
      <c r="S172" s="65" t="s">
        <v>135</v>
      </c>
    </row>
    <row r="173" spans="1:19" ht="21" customHeight="1">
      <c r="A173" s="56">
        <v>169</v>
      </c>
      <c r="B173" s="57">
        <v>45814</v>
      </c>
      <c r="C173" s="58">
        <v>0.58333333333333337</v>
      </c>
      <c r="D173" s="2" t="s">
        <v>71</v>
      </c>
      <c r="E173" s="59" t="s">
        <v>72</v>
      </c>
      <c r="F173" s="59" t="s">
        <v>137</v>
      </c>
      <c r="G173" s="59" t="s">
        <v>678</v>
      </c>
      <c r="H173" s="41" t="s">
        <v>40</v>
      </c>
      <c r="I173" s="56" t="s">
        <v>131</v>
      </c>
      <c r="J173" s="59" t="s">
        <v>235</v>
      </c>
      <c r="K173" s="59" t="s">
        <v>86</v>
      </c>
      <c r="L173" s="60" t="s">
        <v>37</v>
      </c>
      <c r="M173" s="57"/>
      <c r="N173" s="58"/>
      <c r="O173" s="61">
        <f t="shared" ca="1" si="8"/>
        <v>10539.9</v>
      </c>
      <c r="P173" s="43">
        <f t="shared" ca="1" si="9"/>
        <v>439.16</v>
      </c>
      <c r="Q173" s="7">
        <f t="shared" ca="1" si="10"/>
        <v>10539.9</v>
      </c>
      <c r="R173" s="56">
        <f t="shared" si="11"/>
        <v>1</v>
      </c>
      <c r="S173" s="59" t="s">
        <v>118</v>
      </c>
    </row>
    <row r="174" spans="1:19" ht="21" customHeight="1">
      <c r="A174" s="62">
        <v>170</v>
      </c>
      <c r="B174" s="63">
        <v>45814</v>
      </c>
      <c r="C174" s="64">
        <v>0.60416666666666663</v>
      </c>
      <c r="D174" s="10" t="s">
        <v>74</v>
      </c>
      <c r="E174" s="65" t="s">
        <v>72</v>
      </c>
      <c r="F174" s="65" t="s">
        <v>153</v>
      </c>
      <c r="G174" s="65" t="s">
        <v>679</v>
      </c>
      <c r="H174" s="37" t="s">
        <v>40</v>
      </c>
      <c r="I174" s="62" t="s">
        <v>131</v>
      </c>
      <c r="J174" s="65" t="s">
        <v>142</v>
      </c>
      <c r="K174" s="65" t="s">
        <v>88</v>
      </c>
      <c r="L174" s="66" t="s">
        <v>36</v>
      </c>
      <c r="M174" s="63">
        <v>45858</v>
      </c>
      <c r="N174" s="64">
        <v>0.75</v>
      </c>
      <c r="O174" s="67">
        <f t="shared" ca="1" si="8"/>
        <v>1059.5</v>
      </c>
      <c r="P174" s="39">
        <f t="shared" ca="1" si="9"/>
        <v>44.15</v>
      </c>
      <c r="Q174" s="15">
        <f t="shared" ca="1" si="10"/>
        <v>1059.5</v>
      </c>
      <c r="R174" s="62">
        <f t="shared" si="11"/>
        <v>1</v>
      </c>
      <c r="S174" s="65" t="s">
        <v>680</v>
      </c>
    </row>
    <row r="175" spans="1:19" ht="21" customHeight="1">
      <c r="A175" s="56">
        <v>171</v>
      </c>
      <c r="B175" s="57">
        <v>45824</v>
      </c>
      <c r="C175" s="58">
        <v>0.70833333333333337</v>
      </c>
      <c r="D175" s="2" t="s">
        <v>500</v>
      </c>
      <c r="E175" s="59" t="s">
        <v>58</v>
      </c>
      <c r="F175" s="59" t="s">
        <v>666</v>
      </c>
      <c r="G175" s="59" t="s">
        <v>681</v>
      </c>
      <c r="H175" s="41" t="s">
        <v>42</v>
      </c>
      <c r="I175" s="56" t="s">
        <v>131</v>
      </c>
      <c r="J175" s="59" t="s">
        <v>142</v>
      </c>
      <c r="K175" s="59" t="s">
        <v>88</v>
      </c>
      <c r="L175" s="60" t="s">
        <v>36</v>
      </c>
      <c r="M175" s="57">
        <v>45824</v>
      </c>
      <c r="N175" s="58">
        <v>0.75</v>
      </c>
      <c r="O175" s="61">
        <f t="shared" ca="1" si="8"/>
        <v>0</v>
      </c>
      <c r="P175" s="43">
        <f t="shared" ca="1" si="9"/>
        <v>0</v>
      </c>
      <c r="Q175" s="7">
        <f t="shared" ca="1" si="10"/>
        <v>1</v>
      </c>
      <c r="R175" s="56">
        <f t="shared" si="11"/>
        <v>0</v>
      </c>
      <c r="S175" s="59" t="s">
        <v>680</v>
      </c>
    </row>
    <row r="176" spans="1:19" ht="21" customHeight="1">
      <c r="A176" s="62">
        <v>172</v>
      </c>
      <c r="B176" s="63">
        <v>45828</v>
      </c>
      <c r="C176" s="64">
        <v>0.50694444444444442</v>
      </c>
      <c r="D176" s="10" t="s">
        <v>55</v>
      </c>
      <c r="E176" s="65" t="s">
        <v>53</v>
      </c>
      <c r="F176" s="65" t="s">
        <v>262</v>
      </c>
      <c r="G176" s="65" t="s">
        <v>682</v>
      </c>
      <c r="H176" s="37" t="s">
        <v>42</v>
      </c>
      <c r="I176" s="62" t="s">
        <v>683</v>
      </c>
      <c r="J176" s="65" t="s">
        <v>142</v>
      </c>
      <c r="K176" s="65" t="s">
        <v>88</v>
      </c>
      <c r="L176" s="66" t="s">
        <v>36</v>
      </c>
      <c r="M176" s="63">
        <v>45829</v>
      </c>
      <c r="N176" s="64">
        <v>0.75</v>
      </c>
      <c r="O176" s="67">
        <f t="shared" ca="1" si="8"/>
        <v>0</v>
      </c>
      <c r="P176" s="39">
        <f t="shared" ca="1" si="9"/>
        <v>0</v>
      </c>
      <c r="Q176" s="15">
        <f t="shared" ca="1" si="10"/>
        <v>29.8</v>
      </c>
      <c r="R176" s="62">
        <f t="shared" si="11"/>
        <v>0</v>
      </c>
      <c r="S176" s="65" t="s">
        <v>680</v>
      </c>
    </row>
    <row r="177" spans="1:19" ht="21" customHeight="1">
      <c r="A177" s="56">
        <v>173</v>
      </c>
      <c r="B177" s="57">
        <v>45828</v>
      </c>
      <c r="C177" s="58">
        <v>0.45833333333333331</v>
      </c>
      <c r="D177" s="2" t="s">
        <v>170</v>
      </c>
      <c r="E177" s="59" t="s">
        <v>69</v>
      </c>
      <c r="F177" s="59" t="s">
        <v>114</v>
      </c>
      <c r="G177" s="59" t="s">
        <v>684</v>
      </c>
      <c r="H177" s="41" t="s">
        <v>40</v>
      </c>
      <c r="I177" s="56" t="s">
        <v>685</v>
      </c>
      <c r="J177" s="59" t="s">
        <v>142</v>
      </c>
      <c r="K177" s="59" t="s">
        <v>88</v>
      </c>
      <c r="L177" s="60" t="s">
        <v>36</v>
      </c>
      <c r="M177" s="57">
        <v>45829</v>
      </c>
      <c r="N177" s="58">
        <v>0.75</v>
      </c>
      <c r="O177" s="61">
        <f t="shared" ca="1" si="8"/>
        <v>31</v>
      </c>
      <c r="P177" s="43">
        <f t="shared" ca="1" si="9"/>
        <v>1.29</v>
      </c>
      <c r="Q177" s="7">
        <f t="shared" ca="1" si="10"/>
        <v>31</v>
      </c>
      <c r="R177" s="56">
        <f t="shared" si="11"/>
        <v>1</v>
      </c>
      <c r="S177" s="59" t="s">
        <v>680</v>
      </c>
    </row>
    <row r="178" spans="1:19" ht="21" customHeight="1">
      <c r="A178" s="62">
        <v>174</v>
      </c>
      <c r="B178" s="63">
        <v>45828</v>
      </c>
      <c r="C178" s="64">
        <v>0.41666666666666669</v>
      </c>
      <c r="D178" s="10" t="s">
        <v>68</v>
      </c>
      <c r="E178" s="65" t="s">
        <v>66</v>
      </c>
      <c r="F178" s="65" t="s">
        <v>114</v>
      </c>
      <c r="G178" s="65" t="s">
        <v>686</v>
      </c>
      <c r="H178" s="37" t="s">
        <v>42</v>
      </c>
      <c r="I178" s="62" t="s">
        <v>687</v>
      </c>
      <c r="J178" s="65" t="s">
        <v>142</v>
      </c>
      <c r="K178" s="65" t="s">
        <v>88</v>
      </c>
      <c r="L178" s="66" t="s">
        <v>36</v>
      </c>
      <c r="M178" s="63">
        <v>45830</v>
      </c>
      <c r="N178" s="64">
        <v>0.75</v>
      </c>
      <c r="O178" s="67">
        <f t="shared" ca="1" si="8"/>
        <v>0</v>
      </c>
      <c r="P178" s="39">
        <f t="shared" ca="1" si="9"/>
        <v>0</v>
      </c>
      <c r="Q178" s="15">
        <f t="shared" ca="1" si="10"/>
        <v>56</v>
      </c>
      <c r="R178" s="62">
        <f t="shared" si="11"/>
        <v>0</v>
      </c>
      <c r="S178" s="65" t="s">
        <v>680</v>
      </c>
    </row>
    <row r="179" spans="1:19" ht="21" customHeight="1">
      <c r="A179" s="56">
        <v>175</v>
      </c>
      <c r="B179" s="57">
        <v>45828</v>
      </c>
      <c r="C179" s="58">
        <v>0.375</v>
      </c>
      <c r="D179" s="2" t="s">
        <v>432</v>
      </c>
      <c r="E179" s="59" t="s">
        <v>63</v>
      </c>
      <c r="F179" s="59" t="s">
        <v>137</v>
      </c>
      <c r="G179" s="59" t="s">
        <v>688</v>
      </c>
      <c r="H179" s="41" t="s">
        <v>40</v>
      </c>
      <c r="I179" s="56" t="s">
        <v>131</v>
      </c>
      <c r="J179" s="59" t="s">
        <v>117</v>
      </c>
      <c r="K179" s="59" t="s">
        <v>86</v>
      </c>
      <c r="L179" s="60" t="s">
        <v>36</v>
      </c>
      <c r="M179" s="57">
        <v>45860</v>
      </c>
      <c r="N179" s="58">
        <v>0.75</v>
      </c>
      <c r="O179" s="61">
        <f t="shared" ca="1" si="8"/>
        <v>777</v>
      </c>
      <c r="P179" s="43">
        <f t="shared" ca="1" si="9"/>
        <v>32.380000000000003</v>
      </c>
      <c r="Q179" s="7">
        <f t="shared" ca="1" si="10"/>
        <v>777</v>
      </c>
      <c r="R179" s="56">
        <f t="shared" si="11"/>
        <v>1</v>
      </c>
      <c r="S179" s="59" t="s">
        <v>118</v>
      </c>
    </row>
    <row r="180" spans="1:19" ht="21" customHeight="1">
      <c r="A180" s="62">
        <v>176</v>
      </c>
      <c r="B180" s="63">
        <v>45831</v>
      </c>
      <c r="C180" s="64">
        <v>0.33333333333333331</v>
      </c>
      <c r="D180" s="10" t="s">
        <v>166</v>
      </c>
      <c r="E180" s="65" t="s">
        <v>66</v>
      </c>
      <c r="F180" s="65" t="s">
        <v>559</v>
      </c>
      <c r="G180" s="65" t="s">
        <v>689</v>
      </c>
      <c r="H180" s="37" t="s">
        <v>40</v>
      </c>
      <c r="I180" s="62" t="s">
        <v>131</v>
      </c>
      <c r="J180" s="65" t="s">
        <v>690</v>
      </c>
      <c r="K180" s="65" t="s">
        <v>86</v>
      </c>
      <c r="L180" s="66" t="s">
        <v>36</v>
      </c>
      <c r="M180" s="63">
        <v>45832</v>
      </c>
      <c r="N180" s="64">
        <v>0.75</v>
      </c>
      <c r="O180" s="67">
        <f t="shared" ca="1" si="8"/>
        <v>34</v>
      </c>
      <c r="P180" s="39">
        <f t="shared" ca="1" si="9"/>
        <v>1.42</v>
      </c>
      <c r="Q180" s="15">
        <f t="shared" ca="1" si="10"/>
        <v>34</v>
      </c>
      <c r="R180" s="62">
        <f t="shared" si="11"/>
        <v>1</v>
      </c>
      <c r="S180" s="65" t="s">
        <v>690</v>
      </c>
    </row>
    <row r="181" spans="1:19" ht="21" customHeight="1">
      <c r="A181" s="56">
        <v>177</v>
      </c>
      <c r="B181" s="57">
        <v>45832</v>
      </c>
      <c r="C181" s="58">
        <v>0.66666666666666663</v>
      </c>
      <c r="D181" s="2" t="s">
        <v>55</v>
      </c>
      <c r="E181" s="59" t="s">
        <v>53</v>
      </c>
      <c r="F181" s="59" t="s">
        <v>122</v>
      </c>
      <c r="G181" s="59" t="s">
        <v>691</v>
      </c>
      <c r="H181" s="41" t="s">
        <v>42</v>
      </c>
      <c r="I181" s="56" t="s">
        <v>692</v>
      </c>
      <c r="J181" s="59" t="s">
        <v>142</v>
      </c>
      <c r="K181" s="59" t="s">
        <v>88</v>
      </c>
      <c r="L181" s="60" t="s">
        <v>36</v>
      </c>
      <c r="M181" s="57">
        <v>45832</v>
      </c>
      <c r="N181" s="58">
        <v>0.75</v>
      </c>
      <c r="O181" s="61">
        <f t="shared" ca="1" si="8"/>
        <v>0</v>
      </c>
      <c r="P181" s="43">
        <f t="shared" ca="1" si="9"/>
        <v>0</v>
      </c>
      <c r="Q181" s="7">
        <f t="shared" ca="1" si="10"/>
        <v>2</v>
      </c>
      <c r="R181" s="56">
        <f t="shared" si="11"/>
        <v>0</v>
      </c>
      <c r="S181" s="59" t="s">
        <v>680</v>
      </c>
    </row>
    <row r="182" spans="1:19" ht="21" customHeight="1">
      <c r="A182" s="62">
        <v>178</v>
      </c>
      <c r="B182" s="63">
        <v>45835</v>
      </c>
      <c r="C182" s="64">
        <v>0.41666666666666669</v>
      </c>
      <c r="D182" s="10" t="s">
        <v>65</v>
      </c>
      <c r="E182" s="65" t="s">
        <v>66</v>
      </c>
      <c r="F182" s="65" t="s">
        <v>114</v>
      </c>
      <c r="G182" s="65" t="s">
        <v>693</v>
      </c>
      <c r="H182" s="37" t="s">
        <v>42</v>
      </c>
      <c r="I182" s="62" t="s">
        <v>131</v>
      </c>
      <c r="J182" s="65" t="s">
        <v>142</v>
      </c>
      <c r="K182" s="65" t="s">
        <v>88</v>
      </c>
      <c r="L182" s="66" t="s">
        <v>36</v>
      </c>
      <c r="M182" s="63">
        <v>45835</v>
      </c>
      <c r="N182" s="64">
        <v>0.75</v>
      </c>
      <c r="O182" s="67">
        <f t="shared" ca="1" si="8"/>
        <v>0</v>
      </c>
      <c r="P182" s="39">
        <f t="shared" ca="1" si="9"/>
        <v>0</v>
      </c>
      <c r="Q182" s="15">
        <f t="shared" ca="1" si="10"/>
        <v>8</v>
      </c>
      <c r="R182" s="62">
        <f t="shared" si="11"/>
        <v>0</v>
      </c>
      <c r="S182" s="65" t="s">
        <v>680</v>
      </c>
    </row>
    <row r="183" spans="1:19" ht="21" customHeight="1">
      <c r="A183" s="56">
        <v>179</v>
      </c>
      <c r="B183" s="57">
        <v>45838</v>
      </c>
      <c r="C183" s="58">
        <v>0.45833333333333331</v>
      </c>
      <c r="D183" s="2" t="s">
        <v>76</v>
      </c>
      <c r="E183" s="59" t="s">
        <v>72</v>
      </c>
      <c r="F183" s="59" t="s">
        <v>114</v>
      </c>
      <c r="G183" s="59" t="s">
        <v>694</v>
      </c>
      <c r="H183" s="41" t="s">
        <v>40</v>
      </c>
      <c r="I183" s="56" t="s">
        <v>131</v>
      </c>
      <c r="J183" s="59" t="s">
        <v>142</v>
      </c>
      <c r="K183" s="59" t="s">
        <v>88</v>
      </c>
      <c r="L183" s="60" t="s">
        <v>36</v>
      </c>
      <c r="M183" s="57">
        <v>45838</v>
      </c>
      <c r="N183" s="58">
        <v>0.75</v>
      </c>
      <c r="O183" s="61">
        <f t="shared" ca="1" si="8"/>
        <v>7</v>
      </c>
      <c r="P183" s="43">
        <f t="shared" ca="1" si="9"/>
        <v>0.28999999999999998</v>
      </c>
      <c r="Q183" s="7">
        <f t="shared" ca="1" si="10"/>
        <v>7</v>
      </c>
      <c r="R183" s="56">
        <f t="shared" si="11"/>
        <v>1</v>
      </c>
      <c r="S183" s="59" t="s">
        <v>680</v>
      </c>
    </row>
    <row r="184" spans="1:19" ht="21" customHeight="1">
      <c r="A184" s="62">
        <v>180</v>
      </c>
      <c r="B184" s="63">
        <v>45839</v>
      </c>
      <c r="C184" s="64">
        <v>0.5</v>
      </c>
      <c r="D184" s="10" t="s">
        <v>173</v>
      </c>
      <c r="E184" s="65" t="s">
        <v>66</v>
      </c>
      <c r="F184" s="65" t="s">
        <v>666</v>
      </c>
      <c r="G184" s="65" t="s">
        <v>695</v>
      </c>
      <c r="H184" s="37" t="s">
        <v>42</v>
      </c>
      <c r="I184" s="62" t="s">
        <v>131</v>
      </c>
      <c r="J184" s="65" t="s">
        <v>235</v>
      </c>
      <c r="K184" s="65" t="s">
        <v>86</v>
      </c>
      <c r="L184" s="66" t="s">
        <v>37</v>
      </c>
      <c r="M184" s="63"/>
      <c r="N184" s="64"/>
      <c r="O184" s="67">
        <f t="shared" ca="1" si="8"/>
        <v>0</v>
      </c>
      <c r="P184" s="39">
        <f t="shared" ca="1" si="9"/>
        <v>0</v>
      </c>
      <c r="Q184" s="15">
        <f t="shared" ca="1" si="10"/>
        <v>9941.9</v>
      </c>
      <c r="R184" s="62">
        <f t="shared" si="11"/>
        <v>0</v>
      </c>
      <c r="S184" s="65" t="s">
        <v>118</v>
      </c>
    </row>
    <row r="185" spans="1:19" ht="21" customHeight="1">
      <c r="A185" s="56">
        <v>181</v>
      </c>
      <c r="B185" s="57">
        <v>45843</v>
      </c>
      <c r="C185" s="58">
        <v>0.58333333333333337</v>
      </c>
      <c r="D185" s="2" t="s">
        <v>60</v>
      </c>
      <c r="E185" s="59" t="s">
        <v>58</v>
      </c>
      <c r="F185" s="59" t="s">
        <v>114</v>
      </c>
      <c r="G185" s="59" t="s">
        <v>696</v>
      </c>
      <c r="H185" s="41" t="s">
        <v>40</v>
      </c>
      <c r="I185" s="56" t="s">
        <v>131</v>
      </c>
      <c r="J185" s="59" t="s">
        <v>117</v>
      </c>
      <c r="K185" s="59" t="s">
        <v>86</v>
      </c>
      <c r="L185" s="60" t="s">
        <v>36</v>
      </c>
      <c r="M185" s="57">
        <v>45846</v>
      </c>
      <c r="N185" s="58">
        <v>0.75</v>
      </c>
      <c r="O185" s="61">
        <f t="shared" ca="1" si="8"/>
        <v>76</v>
      </c>
      <c r="P185" s="43">
        <f t="shared" ca="1" si="9"/>
        <v>3.17</v>
      </c>
      <c r="Q185" s="7">
        <f t="shared" ca="1" si="10"/>
        <v>76</v>
      </c>
      <c r="R185" s="56">
        <f t="shared" si="11"/>
        <v>1</v>
      </c>
      <c r="S185" s="59" t="s">
        <v>118</v>
      </c>
    </row>
    <row r="186" spans="1:19" ht="21" customHeight="1">
      <c r="A186" s="62">
        <v>182</v>
      </c>
      <c r="B186" s="63">
        <v>45843</v>
      </c>
      <c r="C186" s="64">
        <v>0.375</v>
      </c>
      <c r="D186" s="10" t="s">
        <v>339</v>
      </c>
      <c r="E186" s="65" t="s">
        <v>63</v>
      </c>
      <c r="F186" s="65" t="s">
        <v>162</v>
      </c>
      <c r="G186" s="65" t="s">
        <v>697</v>
      </c>
      <c r="H186" s="37" t="s">
        <v>40</v>
      </c>
      <c r="I186" s="62" t="s">
        <v>131</v>
      </c>
      <c r="J186" s="65" t="s">
        <v>142</v>
      </c>
      <c r="K186" s="65" t="s">
        <v>88</v>
      </c>
      <c r="L186" s="66" t="s">
        <v>36</v>
      </c>
      <c r="M186" s="63">
        <v>45845</v>
      </c>
      <c r="N186" s="64">
        <v>0.75</v>
      </c>
      <c r="O186" s="67">
        <f t="shared" ca="1" si="8"/>
        <v>57</v>
      </c>
      <c r="P186" s="39">
        <f t="shared" ca="1" si="9"/>
        <v>2.38</v>
      </c>
      <c r="Q186" s="15">
        <f t="shared" ca="1" si="10"/>
        <v>57</v>
      </c>
      <c r="R186" s="62">
        <f t="shared" si="11"/>
        <v>1</v>
      </c>
      <c r="S186" s="65" t="s">
        <v>680</v>
      </c>
    </row>
    <row r="187" spans="1:19" ht="21" customHeight="1">
      <c r="A187" s="56">
        <v>183</v>
      </c>
      <c r="B187" s="57">
        <v>45843</v>
      </c>
      <c r="C187" s="58">
        <v>0.58333333333333337</v>
      </c>
      <c r="D187" s="2" t="s">
        <v>432</v>
      </c>
      <c r="E187" s="59" t="s">
        <v>63</v>
      </c>
      <c r="F187" s="59" t="s">
        <v>114</v>
      </c>
      <c r="G187" s="59" t="s">
        <v>698</v>
      </c>
      <c r="H187" s="41" t="s">
        <v>42</v>
      </c>
      <c r="I187" s="56" t="s">
        <v>131</v>
      </c>
      <c r="J187" s="59" t="s">
        <v>142</v>
      </c>
      <c r="K187" s="59" t="s">
        <v>88</v>
      </c>
      <c r="L187" s="60" t="s">
        <v>36</v>
      </c>
      <c r="M187" s="57">
        <v>45845</v>
      </c>
      <c r="N187" s="58">
        <v>0.75</v>
      </c>
      <c r="O187" s="61">
        <f t="shared" ca="1" si="8"/>
        <v>0</v>
      </c>
      <c r="P187" s="43">
        <f t="shared" ca="1" si="9"/>
        <v>0</v>
      </c>
      <c r="Q187" s="7">
        <f t="shared" ca="1" si="10"/>
        <v>52</v>
      </c>
      <c r="R187" s="56">
        <f t="shared" si="11"/>
        <v>0</v>
      </c>
      <c r="S187" s="59" t="s">
        <v>680</v>
      </c>
    </row>
    <row r="188" spans="1:19" ht="21" customHeight="1">
      <c r="A188" s="62">
        <v>184</v>
      </c>
      <c r="B188" s="63">
        <v>45845</v>
      </c>
      <c r="C188" s="64">
        <v>0.41666666666666669</v>
      </c>
      <c r="D188" s="10" t="s">
        <v>339</v>
      </c>
      <c r="E188" s="65" t="s">
        <v>72</v>
      </c>
      <c r="F188" s="65" t="s">
        <v>137</v>
      </c>
      <c r="G188" s="65" t="s">
        <v>699</v>
      </c>
      <c r="H188" s="37" t="s">
        <v>40</v>
      </c>
      <c r="I188" s="62" t="s">
        <v>131</v>
      </c>
      <c r="J188" s="65" t="s">
        <v>142</v>
      </c>
      <c r="K188" s="65" t="s">
        <v>88</v>
      </c>
      <c r="L188" s="66" t="s">
        <v>36</v>
      </c>
      <c r="M188" s="63">
        <v>45846</v>
      </c>
      <c r="N188" s="64">
        <v>0.75</v>
      </c>
      <c r="O188" s="67">
        <f t="shared" ca="1" si="8"/>
        <v>32</v>
      </c>
      <c r="P188" s="39">
        <f t="shared" ca="1" si="9"/>
        <v>1.33</v>
      </c>
      <c r="Q188" s="15">
        <f t="shared" ca="1" si="10"/>
        <v>32</v>
      </c>
      <c r="R188" s="62">
        <f t="shared" si="11"/>
        <v>1</v>
      </c>
      <c r="S188" s="65" t="s">
        <v>680</v>
      </c>
    </row>
    <row r="189" spans="1:19" ht="21" customHeight="1">
      <c r="A189" s="56">
        <v>185</v>
      </c>
      <c r="B189" s="57">
        <v>45849</v>
      </c>
      <c r="C189" s="58">
        <v>0.625</v>
      </c>
      <c r="D189" s="2" t="s">
        <v>55</v>
      </c>
      <c r="E189" s="59" t="s">
        <v>53</v>
      </c>
      <c r="F189" s="59" t="s">
        <v>137</v>
      </c>
      <c r="G189" s="59" t="s">
        <v>700</v>
      </c>
      <c r="H189" s="41" t="s">
        <v>40</v>
      </c>
      <c r="I189" s="56" t="s">
        <v>131</v>
      </c>
      <c r="J189" s="59" t="s">
        <v>142</v>
      </c>
      <c r="K189" s="59" t="s">
        <v>88</v>
      </c>
      <c r="L189" s="60" t="s">
        <v>36</v>
      </c>
      <c r="M189" s="57">
        <v>45852</v>
      </c>
      <c r="N189" s="58">
        <v>0.75</v>
      </c>
      <c r="O189" s="61">
        <f t="shared" ca="1" si="8"/>
        <v>75</v>
      </c>
      <c r="P189" s="43">
        <f t="shared" ca="1" si="9"/>
        <v>3.13</v>
      </c>
      <c r="Q189" s="7">
        <f t="shared" ca="1" si="10"/>
        <v>75</v>
      </c>
      <c r="R189" s="56">
        <f t="shared" si="11"/>
        <v>1</v>
      </c>
      <c r="S189" s="59" t="s">
        <v>680</v>
      </c>
    </row>
    <row r="190" spans="1:19" ht="21" customHeight="1">
      <c r="A190" s="62">
        <v>186</v>
      </c>
      <c r="B190" s="63">
        <v>45849</v>
      </c>
      <c r="C190" s="64">
        <v>0.41666666666666669</v>
      </c>
      <c r="D190" s="10" t="s">
        <v>166</v>
      </c>
      <c r="E190" s="65" t="s">
        <v>66</v>
      </c>
      <c r="F190" s="65" t="s">
        <v>114</v>
      </c>
      <c r="G190" s="65" t="s">
        <v>701</v>
      </c>
      <c r="H190" s="37" t="s">
        <v>40</v>
      </c>
      <c r="I190" s="62" t="s">
        <v>131</v>
      </c>
      <c r="J190" s="65" t="s">
        <v>117</v>
      </c>
      <c r="K190" s="65" t="s">
        <v>86</v>
      </c>
      <c r="L190" s="66" t="s">
        <v>36</v>
      </c>
      <c r="M190" s="63">
        <v>45849</v>
      </c>
      <c r="N190" s="64">
        <v>0.75</v>
      </c>
      <c r="O190" s="67">
        <f t="shared" ca="1" si="8"/>
        <v>8</v>
      </c>
      <c r="P190" s="39">
        <f t="shared" ca="1" si="9"/>
        <v>0.33</v>
      </c>
      <c r="Q190" s="15">
        <f t="shared" ca="1" si="10"/>
        <v>8</v>
      </c>
      <c r="R190" s="62">
        <f t="shared" si="11"/>
        <v>1</v>
      </c>
      <c r="S190" s="65" t="s">
        <v>135</v>
      </c>
    </row>
    <row r="191" spans="1:19" ht="21" customHeight="1">
      <c r="A191" s="56">
        <v>187</v>
      </c>
      <c r="B191" s="57">
        <v>45852</v>
      </c>
      <c r="C191" s="58">
        <v>6.25E-2</v>
      </c>
      <c r="D191" s="2" t="s">
        <v>55</v>
      </c>
      <c r="E191" s="59" t="s">
        <v>53</v>
      </c>
      <c r="F191" s="59" t="s">
        <v>137</v>
      </c>
      <c r="G191" s="59" t="s">
        <v>702</v>
      </c>
      <c r="H191" s="41" t="s">
        <v>40</v>
      </c>
      <c r="I191" s="56" t="s">
        <v>703</v>
      </c>
      <c r="J191" s="59" t="s">
        <v>142</v>
      </c>
      <c r="K191" s="59" t="s">
        <v>88</v>
      </c>
      <c r="L191" s="60" t="s">
        <v>36</v>
      </c>
      <c r="M191" s="57">
        <v>45852</v>
      </c>
      <c r="N191" s="58">
        <v>0.75</v>
      </c>
      <c r="O191" s="61">
        <f t="shared" ca="1" si="8"/>
        <v>16.5</v>
      </c>
      <c r="P191" s="43">
        <f t="shared" ca="1" si="9"/>
        <v>0.69</v>
      </c>
      <c r="Q191" s="7">
        <f t="shared" ca="1" si="10"/>
        <v>16.5</v>
      </c>
      <c r="R191" s="56">
        <f t="shared" si="11"/>
        <v>1</v>
      </c>
      <c r="S191" s="59" t="s">
        <v>680</v>
      </c>
    </row>
    <row r="192" spans="1:19" ht="21" customHeight="1">
      <c r="A192" s="62">
        <v>188</v>
      </c>
      <c r="B192" s="63">
        <v>45855</v>
      </c>
      <c r="C192" s="64">
        <v>0.625</v>
      </c>
      <c r="D192" s="10" t="s">
        <v>60</v>
      </c>
      <c r="E192" s="65" t="s">
        <v>58</v>
      </c>
      <c r="F192" s="65" t="s">
        <v>114</v>
      </c>
      <c r="G192" s="65" t="s">
        <v>696</v>
      </c>
      <c r="H192" s="37" t="s">
        <v>40</v>
      </c>
      <c r="I192" s="62" t="s">
        <v>131</v>
      </c>
      <c r="J192" s="65" t="s">
        <v>142</v>
      </c>
      <c r="K192" s="65" t="s">
        <v>88</v>
      </c>
      <c r="L192" s="66" t="s">
        <v>36</v>
      </c>
      <c r="M192" s="63">
        <v>45855</v>
      </c>
      <c r="N192" s="64">
        <v>0.75</v>
      </c>
      <c r="O192" s="67">
        <f t="shared" ca="1" si="8"/>
        <v>3</v>
      </c>
      <c r="P192" s="39">
        <f t="shared" ca="1" si="9"/>
        <v>0.13</v>
      </c>
      <c r="Q192" s="15">
        <f t="shared" ca="1" si="10"/>
        <v>3</v>
      </c>
      <c r="R192" s="62">
        <f t="shared" si="11"/>
        <v>1</v>
      </c>
      <c r="S192" s="65" t="s">
        <v>680</v>
      </c>
    </row>
    <row r="193" spans="1:19" ht="21" customHeight="1">
      <c r="A193" s="56">
        <v>189</v>
      </c>
      <c r="B193" s="57">
        <v>45858</v>
      </c>
      <c r="C193" s="58">
        <v>0.33333333333333331</v>
      </c>
      <c r="D193" s="2" t="s">
        <v>704</v>
      </c>
      <c r="E193" s="59" t="s">
        <v>53</v>
      </c>
      <c r="F193" s="59" t="s">
        <v>133</v>
      </c>
      <c r="G193" s="59" t="s">
        <v>705</v>
      </c>
      <c r="H193" s="41" t="s">
        <v>40</v>
      </c>
      <c r="I193" s="56" t="s">
        <v>131</v>
      </c>
      <c r="J193" s="59" t="s">
        <v>117</v>
      </c>
      <c r="K193" s="59" t="s">
        <v>86</v>
      </c>
      <c r="L193" s="60" t="s">
        <v>36</v>
      </c>
      <c r="M193" s="57">
        <v>45859</v>
      </c>
      <c r="N193" s="58">
        <v>0.75</v>
      </c>
      <c r="O193" s="61">
        <f t="shared" ca="1" si="8"/>
        <v>34</v>
      </c>
      <c r="P193" s="43">
        <f t="shared" ca="1" si="9"/>
        <v>1.42</v>
      </c>
      <c r="Q193" s="7">
        <f t="shared" ca="1" si="10"/>
        <v>34</v>
      </c>
      <c r="R193" s="56">
        <f t="shared" si="11"/>
        <v>1</v>
      </c>
      <c r="S193" s="59" t="s">
        <v>118</v>
      </c>
    </row>
    <row r="194" spans="1:19" ht="21" customHeight="1">
      <c r="A194" s="62">
        <v>190</v>
      </c>
      <c r="B194" s="63">
        <v>45860</v>
      </c>
      <c r="C194" s="64">
        <v>0.5</v>
      </c>
      <c r="D194" s="10" t="s">
        <v>233</v>
      </c>
      <c r="E194" s="65" t="s">
        <v>72</v>
      </c>
      <c r="F194" s="65" t="s">
        <v>139</v>
      </c>
      <c r="G194" s="65" t="s">
        <v>706</v>
      </c>
      <c r="H194" s="37" t="s">
        <v>40</v>
      </c>
      <c r="I194" s="62" t="s">
        <v>131</v>
      </c>
      <c r="J194" s="65" t="s">
        <v>235</v>
      </c>
      <c r="K194" s="65" t="s">
        <v>86</v>
      </c>
      <c r="L194" s="66" t="s">
        <v>37</v>
      </c>
      <c r="M194" s="63"/>
      <c r="N194" s="64"/>
      <c r="O194" s="67">
        <f t="shared" ca="1" si="8"/>
        <v>9437.9</v>
      </c>
      <c r="P194" s="39">
        <f t="shared" ca="1" si="9"/>
        <v>393.25</v>
      </c>
      <c r="Q194" s="15">
        <f t="shared" ca="1" si="10"/>
        <v>9437.9</v>
      </c>
      <c r="R194" s="62">
        <f t="shared" si="11"/>
        <v>1</v>
      </c>
      <c r="S194" s="65" t="s">
        <v>118</v>
      </c>
    </row>
    <row r="195" spans="1:19" ht="21" customHeight="1">
      <c r="A195" s="56">
        <v>191</v>
      </c>
      <c r="B195" s="57">
        <v>45861</v>
      </c>
      <c r="C195" s="58">
        <v>0.41666666666666669</v>
      </c>
      <c r="D195" s="2" t="s">
        <v>170</v>
      </c>
      <c r="E195" s="59" t="s">
        <v>69</v>
      </c>
      <c r="F195" s="59" t="s">
        <v>139</v>
      </c>
      <c r="G195" s="59" t="s">
        <v>707</v>
      </c>
      <c r="H195" s="41" t="s">
        <v>40</v>
      </c>
      <c r="I195" s="56" t="s">
        <v>131</v>
      </c>
      <c r="J195" s="59" t="s">
        <v>117</v>
      </c>
      <c r="K195" s="59" t="s">
        <v>86</v>
      </c>
      <c r="L195" s="60" t="s">
        <v>36</v>
      </c>
      <c r="M195" s="57">
        <v>45861</v>
      </c>
      <c r="N195" s="58">
        <v>0.75</v>
      </c>
      <c r="O195" s="61">
        <f t="shared" ca="1" si="8"/>
        <v>8</v>
      </c>
      <c r="P195" s="43">
        <f t="shared" ca="1" si="9"/>
        <v>0.33</v>
      </c>
      <c r="Q195" s="7">
        <f t="shared" ca="1" si="10"/>
        <v>8</v>
      </c>
      <c r="R195" s="56">
        <f t="shared" si="11"/>
        <v>1</v>
      </c>
      <c r="S195" s="59" t="s">
        <v>118</v>
      </c>
    </row>
    <row r="196" spans="1:19" ht="21" customHeight="1">
      <c r="A196" s="62">
        <v>192</v>
      </c>
      <c r="B196" s="63">
        <v>45862</v>
      </c>
      <c r="C196" s="64">
        <v>0.5</v>
      </c>
      <c r="D196" s="10" t="s">
        <v>233</v>
      </c>
      <c r="E196" s="65" t="s">
        <v>72</v>
      </c>
      <c r="F196" s="65" t="s">
        <v>137</v>
      </c>
      <c r="G196" s="65" t="s">
        <v>708</v>
      </c>
      <c r="H196" s="37" t="s">
        <v>42</v>
      </c>
      <c r="I196" s="62" t="s">
        <v>131</v>
      </c>
      <c r="J196" s="65" t="s">
        <v>117</v>
      </c>
      <c r="K196" s="65" t="s">
        <v>86</v>
      </c>
      <c r="L196" s="66" t="s">
        <v>36</v>
      </c>
      <c r="M196" s="63">
        <v>45868</v>
      </c>
      <c r="N196" s="64">
        <v>0.75</v>
      </c>
      <c r="O196" s="67">
        <f t="shared" ca="1" si="8"/>
        <v>0</v>
      </c>
      <c r="P196" s="39">
        <f t="shared" ca="1" si="9"/>
        <v>0</v>
      </c>
      <c r="Q196" s="15">
        <f t="shared" ca="1" si="10"/>
        <v>150</v>
      </c>
      <c r="R196" s="62">
        <f t="shared" si="11"/>
        <v>0</v>
      </c>
      <c r="S196" s="65" t="s">
        <v>118</v>
      </c>
    </row>
    <row r="197" spans="1:19" ht="21" customHeight="1">
      <c r="A197" s="56">
        <v>193</v>
      </c>
      <c r="B197" s="57">
        <v>45863</v>
      </c>
      <c r="C197" s="58">
        <v>0.41666666666666669</v>
      </c>
      <c r="D197" s="2" t="s">
        <v>704</v>
      </c>
      <c r="E197" s="59" t="s">
        <v>53</v>
      </c>
      <c r="F197" s="59" t="s">
        <v>162</v>
      </c>
      <c r="G197" s="59" t="s">
        <v>709</v>
      </c>
      <c r="H197" s="41" t="s">
        <v>40</v>
      </c>
      <c r="I197" s="56" t="s">
        <v>131</v>
      </c>
      <c r="J197" s="59" t="s">
        <v>117</v>
      </c>
      <c r="K197" s="59" t="s">
        <v>86</v>
      </c>
      <c r="L197" s="60" t="s">
        <v>36</v>
      </c>
      <c r="M197" s="57">
        <v>45864</v>
      </c>
      <c r="N197" s="58">
        <v>0.75</v>
      </c>
      <c r="O197" s="61">
        <f t="shared" ref="O197:O260" ca="1" si="12">IF(ISBLANK(B197), 0, IF(ISNUMBER(SEARCH("Complete", H197)), IF(ISBLANK(M197), IF(L197="Closed", 4, ROUND(MAX(0, (NOW() - (B197 + IF(ISBLANK(C197), TIME(9,0,0), C197))) * 24), 1)), ROUND(MAX(0, ((M197 + IF(ISBLANK(N197), TIME(18,0,0), N197)) - (B197 + IF(ISBLANK(C197), TIME(9,0,0), C197))) * 24), 1)), 0))</f>
        <v>32</v>
      </c>
      <c r="P197" s="43">
        <f t="shared" ref="P197:P260" ca="1" si="13">ROUND(O197 / 24, 2)</f>
        <v>1.33</v>
      </c>
      <c r="Q197" s="7">
        <f t="shared" ref="Q197:Q260" ca="1" si="14">IF(ISBLANK(B197), 0, IF(ISBLANK(M197), IF(L197="Closed", 4, ROUND(MAX(0, (NOW() - (B197 + IF(ISBLANK(C197), TIME(9,0,0), C197))) * 24), 1)), ROUND(MAX(0, ((M197 + IF(ISBLANK(N197), TIME(18,0,0), N197)) - (B197 + IF(ISBLANK(C197), TIME(9,0,0), C197))) * 24), 1)))</f>
        <v>32</v>
      </c>
      <c r="R197" s="56">
        <f t="shared" ref="R197:R260" si="15">IF(ISNUMBER(SEARCH("Complete", H197)), 1, 0)</f>
        <v>1</v>
      </c>
      <c r="S197" s="59" t="s">
        <v>118</v>
      </c>
    </row>
    <row r="198" spans="1:19" ht="21" customHeight="1">
      <c r="A198" s="62">
        <v>194</v>
      </c>
      <c r="B198" s="63">
        <v>45866</v>
      </c>
      <c r="C198" s="64">
        <v>0.41666666666666669</v>
      </c>
      <c r="D198" s="10" t="s">
        <v>60</v>
      </c>
      <c r="E198" s="65" t="s">
        <v>58</v>
      </c>
      <c r="F198" s="65" t="s">
        <v>114</v>
      </c>
      <c r="G198" s="65" t="s">
        <v>710</v>
      </c>
      <c r="H198" s="37" t="s">
        <v>40</v>
      </c>
      <c r="I198" s="62" t="s">
        <v>131</v>
      </c>
      <c r="J198" s="65" t="s">
        <v>117</v>
      </c>
      <c r="K198" s="65" t="s">
        <v>86</v>
      </c>
      <c r="L198" s="66" t="s">
        <v>36</v>
      </c>
      <c r="M198" s="63">
        <v>45867</v>
      </c>
      <c r="N198" s="64">
        <v>0.75</v>
      </c>
      <c r="O198" s="67">
        <f t="shared" ca="1" si="12"/>
        <v>32</v>
      </c>
      <c r="P198" s="39">
        <f t="shared" ca="1" si="13"/>
        <v>1.33</v>
      </c>
      <c r="Q198" s="15">
        <f t="shared" ca="1" si="14"/>
        <v>32</v>
      </c>
      <c r="R198" s="62">
        <f t="shared" si="15"/>
        <v>1</v>
      </c>
      <c r="S198" s="65" t="s">
        <v>118</v>
      </c>
    </row>
    <row r="199" spans="1:19" ht="21" customHeight="1">
      <c r="A199" s="56">
        <v>195</v>
      </c>
      <c r="B199" s="57">
        <v>45868</v>
      </c>
      <c r="C199" s="58">
        <v>0.41666666666666669</v>
      </c>
      <c r="D199" s="2" t="s">
        <v>238</v>
      </c>
      <c r="E199" s="59" t="s">
        <v>53</v>
      </c>
      <c r="F199" s="59" t="s">
        <v>418</v>
      </c>
      <c r="G199" s="59" t="s">
        <v>711</v>
      </c>
      <c r="H199" s="41" t="s">
        <v>40</v>
      </c>
      <c r="I199" s="56" t="s">
        <v>131</v>
      </c>
      <c r="J199" s="59" t="s">
        <v>117</v>
      </c>
      <c r="K199" s="59" t="s">
        <v>86</v>
      </c>
      <c r="L199" s="60" t="s">
        <v>36</v>
      </c>
      <c r="M199" s="57">
        <v>45872</v>
      </c>
      <c r="N199" s="58">
        <v>0.75</v>
      </c>
      <c r="O199" s="61">
        <f t="shared" ca="1" si="12"/>
        <v>104</v>
      </c>
      <c r="P199" s="43">
        <f t="shared" ca="1" si="13"/>
        <v>4.33</v>
      </c>
      <c r="Q199" s="7">
        <f t="shared" ca="1" si="14"/>
        <v>104</v>
      </c>
      <c r="R199" s="56">
        <f t="shared" si="15"/>
        <v>1</v>
      </c>
      <c r="S199" s="59" t="s">
        <v>118</v>
      </c>
    </row>
    <row r="200" spans="1:19" ht="21" customHeight="1">
      <c r="A200" s="62">
        <v>196</v>
      </c>
      <c r="B200" s="63">
        <v>45873</v>
      </c>
      <c r="C200" s="64">
        <v>0.58333333333333337</v>
      </c>
      <c r="D200" s="10" t="s">
        <v>55</v>
      </c>
      <c r="E200" s="65" t="s">
        <v>53</v>
      </c>
      <c r="F200" s="65" t="s">
        <v>418</v>
      </c>
      <c r="G200" s="65" t="s">
        <v>673</v>
      </c>
      <c r="H200" s="37" t="s">
        <v>40</v>
      </c>
      <c r="I200" s="62" t="s">
        <v>712</v>
      </c>
      <c r="J200" s="65" t="s">
        <v>117</v>
      </c>
      <c r="K200" s="65" t="s">
        <v>86</v>
      </c>
      <c r="L200" s="66" t="s">
        <v>36</v>
      </c>
      <c r="M200" s="63">
        <v>45875</v>
      </c>
      <c r="N200" s="64">
        <v>0.75</v>
      </c>
      <c r="O200" s="67">
        <f t="shared" ca="1" si="12"/>
        <v>52</v>
      </c>
      <c r="P200" s="39">
        <f t="shared" ca="1" si="13"/>
        <v>2.17</v>
      </c>
      <c r="Q200" s="15">
        <f t="shared" ca="1" si="14"/>
        <v>52</v>
      </c>
      <c r="R200" s="62">
        <f t="shared" si="15"/>
        <v>1</v>
      </c>
      <c r="S200" s="65" t="s">
        <v>118</v>
      </c>
    </row>
    <row r="201" spans="1:19" ht="21" customHeight="1">
      <c r="A201" s="56">
        <v>197</v>
      </c>
      <c r="B201" s="57">
        <v>45873</v>
      </c>
      <c r="C201" s="58">
        <v>0.33333333333333331</v>
      </c>
      <c r="D201" s="2" t="s">
        <v>60</v>
      </c>
      <c r="E201" s="59" t="s">
        <v>58</v>
      </c>
      <c r="F201" s="59" t="s">
        <v>448</v>
      </c>
      <c r="G201" s="59" t="s">
        <v>713</v>
      </c>
      <c r="H201" s="41" t="s">
        <v>40</v>
      </c>
      <c r="I201" s="56" t="s">
        <v>131</v>
      </c>
      <c r="J201" s="59" t="s">
        <v>117</v>
      </c>
      <c r="K201" s="59" t="s">
        <v>86</v>
      </c>
      <c r="L201" s="60" t="s">
        <v>36</v>
      </c>
      <c r="M201" s="57">
        <v>45873</v>
      </c>
      <c r="N201" s="58">
        <v>0.75</v>
      </c>
      <c r="O201" s="61">
        <f t="shared" ca="1" si="12"/>
        <v>10</v>
      </c>
      <c r="P201" s="43">
        <f t="shared" ca="1" si="13"/>
        <v>0.42</v>
      </c>
      <c r="Q201" s="7">
        <f t="shared" ca="1" si="14"/>
        <v>10</v>
      </c>
      <c r="R201" s="56">
        <f t="shared" si="15"/>
        <v>1</v>
      </c>
      <c r="S201" s="59" t="s">
        <v>118</v>
      </c>
    </row>
    <row r="202" spans="1:19" ht="21" customHeight="1">
      <c r="A202" s="62">
        <v>198</v>
      </c>
      <c r="B202" s="63">
        <v>45879</v>
      </c>
      <c r="C202" s="64">
        <v>0.5</v>
      </c>
      <c r="D202" s="10" t="s">
        <v>500</v>
      </c>
      <c r="E202" s="65" t="s">
        <v>58</v>
      </c>
      <c r="F202" s="65" t="s">
        <v>114</v>
      </c>
      <c r="G202" s="65" t="s">
        <v>714</v>
      </c>
      <c r="H202" s="37" t="s">
        <v>42</v>
      </c>
      <c r="I202" s="62" t="s">
        <v>131</v>
      </c>
      <c r="J202" s="65" t="s">
        <v>117</v>
      </c>
      <c r="K202" s="65" t="s">
        <v>86</v>
      </c>
      <c r="L202" s="66" t="s">
        <v>36</v>
      </c>
      <c r="M202" s="63">
        <v>45880</v>
      </c>
      <c r="N202" s="64">
        <v>0.75</v>
      </c>
      <c r="O202" s="67">
        <f t="shared" ca="1" si="12"/>
        <v>0</v>
      </c>
      <c r="P202" s="39">
        <f t="shared" ca="1" si="13"/>
        <v>0</v>
      </c>
      <c r="Q202" s="15">
        <f t="shared" ca="1" si="14"/>
        <v>30</v>
      </c>
      <c r="R202" s="62">
        <f t="shared" si="15"/>
        <v>0</v>
      </c>
      <c r="S202" s="65" t="s">
        <v>118</v>
      </c>
    </row>
    <row r="203" spans="1:19" ht="21" customHeight="1">
      <c r="A203" s="56">
        <v>199</v>
      </c>
      <c r="B203" s="57">
        <v>45880</v>
      </c>
      <c r="C203" s="58">
        <v>0.29166666666666669</v>
      </c>
      <c r="D203" s="2" t="s">
        <v>530</v>
      </c>
      <c r="E203" s="59" t="s">
        <v>66</v>
      </c>
      <c r="F203" s="59" t="s">
        <v>257</v>
      </c>
      <c r="G203" s="59" t="s">
        <v>715</v>
      </c>
      <c r="H203" s="41" t="s">
        <v>42</v>
      </c>
      <c r="I203" s="56" t="s">
        <v>131</v>
      </c>
      <c r="J203" s="59" t="s">
        <v>117</v>
      </c>
      <c r="K203" s="59" t="s">
        <v>86</v>
      </c>
      <c r="L203" s="60" t="s">
        <v>36</v>
      </c>
      <c r="M203" s="57">
        <v>45880</v>
      </c>
      <c r="N203" s="58">
        <v>0.75</v>
      </c>
      <c r="O203" s="61">
        <f t="shared" ca="1" si="12"/>
        <v>0</v>
      </c>
      <c r="P203" s="43">
        <f t="shared" ca="1" si="13"/>
        <v>0</v>
      </c>
      <c r="Q203" s="7">
        <f t="shared" ca="1" si="14"/>
        <v>11</v>
      </c>
      <c r="R203" s="56">
        <f t="shared" si="15"/>
        <v>0</v>
      </c>
      <c r="S203" s="59" t="s">
        <v>118</v>
      </c>
    </row>
    <row r="204" spans="1:19" ht="21" customHeight="1">
      <c r="A204" s="62">
        <v>200</v>
      </c>
      <c r="B204" s="63">
        <v>45881</v>
      </c>
      <c r="C204" s="64">
        <v>0.33333333333333331</v>
      </c>
      <c r="D204" s="10" t="s">
        <v>623</v>
      </c>
      <c r="E204" s="65" t="s">
        <v>58</v>
      </c>
      <c r="F204" s="65" t="s">
        <v>114</v>
      </c>
      <c r="G204" s="65" t="s">
        <v>716</v>
      </c>
      <c r="H204" s="37" t="s">
        <v>42</v>
      </c>
      <c r="I204" s="62" t="s">
        <v>131</v>
      </c>
      <c r="J204" s="65" t="s">
        <v>117</v>
      </c>
      <c r="K204" s="65" t="s">
        <v>86</v>
      </c>
      <c r="L204" s="66" t="s">
        <v>36</v>
      </c>
      <c r="M204" s="63">
        <v>45881</v>
      </c>
      <c r="N204" s="64">
        <v>0.75</v>
      </c>
      <c r="O204" s="67">
        <f t="shared" ca="1" si="12"/>
        <v>0</v>
      </c>
      <c r="P204" s="39">
        <f t="shared" ca="1" si="13"/>
        <v>0</v>
      </c>
      <c r="Q204" s="15">
        <f t="shared" ca="1" si="14"/>
        <v>10</v>
      </c>
      <c r="R204" s="62">
        <f t="shared" si="15"/>
        <v>0</v>
      </c>
      <c r="S204" s="65" t="s">
        <v>118</v>
      </c>
    </row>
    <row r="205" spans="1:19" ht="21" customHeight="1">
      <c r="A205" s="56">
        <v>201</v>
      </c>
      <c r="B205" s="57">
        <v>45881</v>
      </c>
      <c r="C205" s="58">
        <v>0.41666666666666669</v>
      </c>
      <c r="D205" s="2" t="s">
        <v>717</v>
      </c>
      <c r="E205" s="59" t="s">
        <v>53</v>
      </c>
      <c r="F205" s="59" t="s">
        <v>262</v>
      </c>
      <c r="G205" s="59" t="s">
        <v>718</v>
      </c>
      <c r="H205" s="41" t="s">
        <v>40</v>
      </c>
      <c r="I205" s="56" t="s">
        <v>131</v>
      </c>
      <c r="J205" s="59" t="s">
        <v>117</v>
      </c>
      <c r="K205" s="59" t="s">
        <v>86</v>
      </c>
      <c r="L205" s="60" t="s">
        <v>36</v>
      </c>
      <c r="M205" s="57">
        <v>45881</v>
      </c>
      <c r="N205" s="58">
        <v>0.75</v>
      </c>
      <c r="O205" s="61">
        <f t="shared" ca="1" si="12"/>
        <v>8</v>
      </c>
      <c r="P205" s="43">
        <f t="shared" ca="1" si="13"/>
        <v>0.33</v>
      </c>
      <c r="Q205" s="7">
        <f t="shared" ca="1" si="14"/>
        <v>8</v>
      </c>
      <c r="R205" s="56">
        <f t="shared" si="15"/>
        <v>1</v>
      </c>
      <c r="S205" s="59" t="s">
        <v>135</v>
      </c>
    </row>
    <row r="206" spans="1:19" ht="21" customHeight="1">
      <c r="A206" s="62">
        <v>202</v>
      </c>
      <c r="B206" s="63">
        <v>45886</v>
      </c>
      <c r="C206" s="64">
        <v>0.54166666666666663</v>
      </c>
      <c r="D206" s="10" t="s">
        <v>68</v>
      </c>
      <c r="E206" s="65" t="s">
        <v>69</v>
      </c>
      <c r="F206" s="65" t="s">
        <v>114</v>
      </c>
      <c r="G206" s="65" t="s">
        <v>719</v>
      </c>
      <c r="H206" s="37" t="s">
        <v>42</v>
      </c>
      <c r="I206" s="62" t="s">
        <v>131</v>
      </c>
      <c r="J206" s="65" t="s">
        <v>117</v>
      </c>
      <c r="K206" s="65" t="s">
        <v>86</v>
      </c>
      <c r="L206" s="66" t="s">
        <v>36</v>
      </c>
      <c r="M206" s="63">
        <v>45890</v>
      </c>
      <c r="N206" s="64">
        <v>0.75</v>
      </c>
      <c r="O206" s="67">
        <f t="shared" ca="1" si="12"/>
        <v>0</v>
      </c>
      <c r="P206" s="39">
        <f t="shared" ca="1" si="13"/>
        <v>0</v>
      </c>
      <c r="Q206" s="15">
        <f t="shared" ca="1" si="14"/>
        <v>101</v>
      </c>
      <c r="R206" s="62">
        <f t="shared" si="15"/>
        <v>0</v>
      </c>
      <c r="S206" s="65" t="s">
        <v>118</v>
      </c>
    </row>
    <row r="207" spans="1:19" ht="21" customHeight="1">
      <c r="A207" s="56">
        <v>203</v>
      </c>
      <c r="B207" s="57">
        <v>45888</v>
      </c>
      <c r="C207" s="58">
        <v>0.41666666666666669</v>
      </c>
      <c r="D207" s="2" t="s">
        <v>286</v>
      </c>
      <c r="E207" s="59" t="s">
        <v>53</v>
      </c>
      <c r="F207" s="59" t="s">
        <v>133</v>
      </c>
      <c r="G207" s="59" t="s">
        <v>720</v>
      </c>
      <c r="H207" s="41" t="s">
        <v>40</v>
      </c>
      <c r="I207" s="56" t="s">
        <v>131</v>
      </c>
      <c r="J207" s="59" t="s">
        <v>117</v>
      </c>
      <c r="K207" s="59" t="s">
        <v>86</v>
      </c>
      <c r="L207" s="60" t="s">
        <v>36</v>
      </c>
      <c r="M207" s="57">
        <v>45891</v>
      </c>
      <c r="N207" s="58">
        <v>0.75</v>
      </c>
      <c r="O207" s="61">
        <f t="shared" ca="1" si="12"/>
        <v>80</v>
      </c>
      <c r="P207" s="43">
        <f t="shared" ca="1" si="13"/>
        <v>3.33</v>
      </c>
      <c r="Q207" s="7">
        <f t="shared" ca="1" si="14"/>
        <v>80</v>
      </c>
      <c r="R207" s="56">
        <f t="shared" si="15"/>
        <v>1</v>
      </c>
      <c r="S207" s="59" t="s">
        <v>118</v>
      </c>
    </row>
    <row r="208" spans="1:19" ht="21" customHeight="1">
      <c r="A208" s="62">
        <v>204</v>
      </c>
      <c r="B208" s="63">
        <v>45890</v>
      </c>
      <c r="C208" s="64">
        <v>0.5</v>
      </c>
      <c r="D208" s="10" t="s">
        <v>55</v>
      </c>
      <c r="E208" s="65" t="s">
        <v>53</v>
      </c>
      <c r="F208" s="65" t="s">
        <v>262</v>
      </c>
      <c r="G208" s="65" t="s">
        <v>721</v>
      </c>
      <c r="H208" s="37" t="s">
        <v>40</v>
      </c>
      <c r="I208" s="62" t="s">
        <v>722</v>
      </c>
      <c r="J208" s="65" t="s">
        <v>117</v>
      </c>
      <c r="K208" s="65" t="s">
        <v>86</v>
      </c>
      <c r="L208" s="66" t="s">
        <v>36</v>
      </c>
      <c r="M208" s="63">
        <v>45891</v>
      </c>
      <c r="N208" s="64">
        <v>0.75</v>
      </c>
      <c r="O208" s="67">
        <f t="shared" ca="1" si="12"/>
        <v>30</v>
      </c>
      <c r="P208" s="39">
        <f t="shared" ca="1" si="13"/>
        <v>1.25</v>
      </c>
      <c r="Q208" s="15">
        <f t="shared" ca="1" si="14"/>
        <v>30</v>
      </c>
      <c r="R208" s="62">
        <f t="shared" si="15"/>
        <v>1</v>
      </c>
      <c r="S208" s="65" t="s">
        <v>118</v>
      </c>
    </row>
    <row r="209" spans="1:19" ht="21" customHeight="1">
      <c r="A209" s="56">
        <v>205</v>
      </c>
      <c r="B209" s="57">
        <v>45892</v>
      </c>
      <c r="C209" s="58">
        <v>0.45833333333333331</v>
      </c>
      <c r="D209" s="2" t="s">
        <v>76</v>
      </c>
      <c r="E209" s="59" t="s">
        <v>72</v>
      </c>
      <c r="F209" s="59" t="s">
        <v>137</v>
      </c>
      <c r="G209" s="59" t="s">
        <v>723</v>
      </c>
      <c r="H209" s="41" t="s">
        <v>40</v>
      </c>
      <c r="I209" s="56" t="s">
        <v>131</v>
      </c>
      <c r="J209" s="59" t="s">
        <v>117</v>
      </c>
      <c r="K209" s="59" t="s">
        <v>86</v>
      </c>
      <c r="L209" s="60" t="s">
        <v>36</v>
      </c>
      <c r="M209" s="57">
        <v>45893</v>
      </c>
      <c r="N209" s="58">
        <v>0.75</v>
      </c>
      <c r="O209" s="61">
        <f t="shared" ca="1" si="12"/>
        <v>31</v>
      </c>
      <c r="P209" s="43">
        <f t="shared" ca="1" si="13"/>
        <v>1.29</v>
      </c>
      <c r="Q209" s="7">
        <f t="shared" ca="1" si="14"/>
        <v>31</v>
      </c>
      <c r="R209" s="56">
        <f t="shared" si="15"/>
        <v>1</v>
      </c>
      <c r="S209" s="59" t="s">
        <v>118</v>
      </c>
    </row>
    <row r="210" spans="1:19" ht="21" customHeight="1">
      <c r="A210" s="62">
        <v>206</v>
      </c>
      <c r="B210" s="63">
        <v>45896</v>
      </c>
      <c r="C210" s="64">
        <v>0.375</v>
      </c>
      <c r="D210" s="10" t="s">
        <v>281</v>
      </c>
      <c r="E210" s="65" t="s">
        <v>72</v>
      </c>
      <c r="F210" s="65" t="s">
        <v>114</v>
      </c>
      <c r="G210" s="65" t="s">
        <v>724</v>
      </c>
      <c r="H210" s="37" t="s">
        <v>40</v>
      </c>
      <c r="I210" s="62" t="s">
        <v>131</v>
      </c>
      <c r="J210" s="65" t="s">
        <v>117</v>
      </c>
      <c r="K210" s="65" t="s">
        <v>86</v>
      </c>
      <c r="L210" s="66" t="s">
        <v>36</v>
      </c>
      <c r="M210" s="63">
        <v>45897</v>
      </c>
      <c r="N210" s="64">
        <v>0.75</v>
      </c>
      <c r="O210" s="67">
        <f t="shared" ca="1" si="12"/>
        <v>33</v>
      </c>
      <c r="P210" s="39">
        <f t="shared" ca="1" si="13"/>
        <v>1.38</v>
      </c>
      <c r="Q210" s="15">
        <f t="shared" ca="1" si="14"/>
        <v>33</v>
      </c>
      <c r="R210" s="62">
        <f t="shared" si="15"/>
        <v>1</v>
      </c>
      <c r="S210" s="65" t="s">
        <v>118</v>
      </c>
    </row>
    <row r="211" spans="1:19" ht="21" customHeight="1">
      <c r="A211" s="56">
        <v>207</v>
      </c>
      <c r="B211" s="57">
        <v>45896</v>
      </c>
      <c r="C211" s="58">
        <v>0.58333333333333337</v>
      </c>
      <c r="D211" s="2" t="s">
        <v>238</v>
      </c>
      <c r="E211" s="59" t="s">
        <v>53</v>
      </c>
      <c r="F211" s="59" t="s">
        <v>114</v>
      </c>
      <c r="G211" s="59" t="s">
        <v>725</v>
      </c>
      <c r="H211" s="41" t="s">
        <v>40</v>
      </c>
      <c r="I211" s="56" t="s">
        <v>131</v>
      </c>
      <c r="J211" s="59" t="s">
        <v>117</v>
      </c>
      <c r="K211" s="59" t="s">
        <v>86</v>
      </c>
      <c r="L211" s="60" t="s">
        <v>36</v>
      </c>
      <c r="M211" s="57">
        <v>45897</v>
      </c>
      <c r="N211" s="58">
        <v>0.75</v>
      </c>
      <c r="O211" s="61">
        <f t="shared" ca="1" si="12"/>
        <v>28</v>
      </c>
      <c r="P211" s="43">
        <f t="shared" ca="1" si="13"/>
        <v>1.17</v>
      </c>
      <c r="Q211" s="7">
        <f t="shared" ca="1" si="14"/>
        <v>28</v>
      </c>
      <c r="R211" s="56">
        <f t="shared" si="15"/>
        <v>1</v>
      </c>
      <c r="S211" s="59" t="s">
        <v>118</v>
      </c>
    </row>
    <row r="212" spans="1:19" ht="21" customHeight="1">
      <c r="A212" s="62">
        <v>208</v>
      </c>
      <c r="B212" s="63">
        <v>45896</v>
      </c>
      <c r="C212" s="64">
        <v>0.5</v>
      </c>
      <c r="D212" s="10" t="s">
        <v>623</v>
      </c>
      <c r="E212" s="65" t="s">
        <v>58</v>
      </c>
      <c r="F212" s="65" t="s">
        <v>448</v>
      </c>
      <c r="G212" s="65" t="s">
        <v>713</v>
      </c>
      <c r="H212" s="37" t="s">
        <v>40</v>
      </c>
      <c r="I212" s="62" t="s">
        <v>131</v>
      </c>
      <c r="J212" s="65" t="s">
        <v>117</v>
      </c>
      <c r="K212" s="65" t="s">
        <v>86</v>
      </c>
      <c r="L212" s="66" t="s">
        <v>36</v>
      </c>
      <c r="M212" s="63">
        <v>45897</v>
      </c>
      <c r="N212" s="64">
        <v>0.75</v>
      </c>
      <c r="O212" s="67">
        <f t="shared" ca="1" si="12"/>
        <v>30</v>
      </c>
      <c r="P212" s="39">
        <f t="shared" ca="1" si="13"/>
        <v>1.25</v>
      </c>
      <c r="Q212" s="15">
        <f t="shared" ca="1" si="14"/>
        <v>30</v>
      </c>
      <c r="R212" s="62">
        <f t="shared" si="15"/>
        <v>1</v>
      </c>
      <c r="S212" s="65" t="s">
        <v>118</v>
      </c>
    </row>
    <row r="213" spans="1:19" ht="21" customHeight="1">
      <c r="A213" s="56">
        <v>209</v>
      </c>
      <c r="B213" s="57">
        <v>45901</v>
      </c>
      <c r="C213" s="58">
        <v>0.41666666666666669</v>
      </c>
      <c r="D213" s="2" t="s">
        <v>57</v>
      </c>
      <c r="E213" s="59" t="s">
        <v>58</v>
      </c>
      <c r="F213" s="59" t="s">
        <v>114</v>
      </c>
      <c r="G213" s="59" t="s">
        <v>726</v>
      </c>
      <c r="H213" s="41" t="s">
        <v>42</v>
      </c>
      <c r="I213" s="56" t="s">
        <v>131</v>
      </c>
      <c r="J213" s="59" t="s">
        <v>117</v>
      </c>
      <c r="K213" s="59" t="s">
        <v>86</v>
      </c>
      <c r="L213" s="60" t="s">
        <v>36</v>
      </c>
      <c r="M213" s="57">
        <v>45903</v>
      </c>
      <c r="N213" s="58">
        <v>0.75</v>
      </c>
      <c r="O213" s="61">
        <f t="shared" ca="1" si="12"/>
        <v>0</v>
      </c>
      <c r="P213" s="43">
        <f t="shared" ca="1" si="13"/>
        <v>0</v>
      </c>
      <c r="Q213" s="7">
        <f t="shared" ca="1" si="14"/>
        <v>56</v>
      </c>
      <c r="R213" s="56">
        <f t="shared" si="15"/>
        <v>0</v>
      </c>
      <c r="S213" s="59" t="s">
        <v>118</v>
      </c>
    </row>
    <row r="214" spans="1:19" ht="21" customHeight="1">
      <c r="A214" s="62">
        <v>210</v>
      </c>
      <c r="B214" s="63">
        <v>45903</v>
      </c>
      <c r="C214" s="64">
        <v>0.70833333333333337</v>
      </c>
      <c r="D214" s="10" t="s">
        <v>665</v>
      </c>
      <c r="E214" s="65" t="s">
        <v>66</v>
      </c>
      <c r="F214" s="65" t="s">
        <v>114</v>
      </c>
      <c r="G214" s="65" t="s">
        <v>727</v>
      </c>
      <c r="H214" s="37" t="s">
        <v>40</v>
      </c>
      <c r="I214" s="62" t="s">
        <v>131</v>
      </c>
      <c r="J214" s="65" t="s">
        <v>117</v>
      </c>
      <c r="K214" s="65" t="s">
        <v>86</v>
      </c>
      <c r="L214" s="66" t="s">
        <v>36</v>
      </c>
      <c r="M214" s="63">
        <v>45904</v>
      </c>
      <c r="N214" s="64">
        <v>0.75</v>
      </c>
      <c r="O214" s="67">
        <f t="shared" ca="1" si="12"/>
        <v>25</v>
      </c>
      <c r="P214" s="39">
        <f t="shared" ca="1" si="13"/>
        <v>1.04</v>
      </c>
      <c r="Q214" s="15">
        <f t="shared" ca="1" si="14"/>
        <v>25</v>
      </c>
      <c r="R214" s="62">
        <f t="shared" si="15"/>
        <v>1</v>
      </c>
      <c r="S214" s="65" t="s">
        <v>118</v>
      </c>
    </row>
    <row r="215" spans="1:19" ht="21" customHeight="1">
      <c r="A215" s="56">
        <v>211</v>
      </c>
      <c r="B215" s="57">
        <v>45904</v>
      </c>
      <c r="C215" s="58">
        <v>0.58333333333333337</v>
      </c>
      <c r="D215" s="2" t="s">
        <v>203</v>
      </c>
      <c r="E215" s="59" t="s">
        <v>63</v>
      </c>
      <c r="F215" s="59" t="s">
        <v>133</v>
      </c>
      <c r="G215" s="59" t="s">
        <v>728</v>
      </c>
      <c r="H215" s="41" t="s">
        <v>40</v>
      </c>
      <c r="I215" s="56" t="s">
        <v>131</v>
      </c>
      <c r="J215" s="59" t="s">
        <v>117</v>
      </c>
      <c r="K215" s="59" t="s">
        <v>86</v>
      </c>
      <c r="L215" s="60" t="s">
        <v>36</v>
      </c>
      <c r="M215" s="57">
        <v>45904</v>
      </c>
      <c r="N215" s="58">
        <v>0.75</v>
      </c>
      <c r="O215" s="61">
        <f t="shared" ca="1" si="12"/>
        <v>4</v>
      </c>
      <c r="P215" s="43">
        <f t="shared" ca="1" si="13"/>
        <v>0.17</v>
      </c>
      <c r="Q215" s="7">
        <f t="shared" ca="1" si="14"/>
        <v>4</v>
      </c>
      <c r="R215" s="56">
        <f t="shared" si="15"/>
        <v>1</v>
      </c>
      <c r="S215" s="59" t="s">
        <v>135</v>
      </c>
    </row>
    <row r="216" spans="1:19" ht="21" customHeight="1">
      <c r="A216" s="62">
        <v>212</v>
      </c>
      <c r="B216" s="63">
        <v>45904</v>
      </c>
      <c r="C216" s="64">
        <v>0.29166666666666669</v>
      </c>
      <c r="D216" s="10" t="s">
        <v>203</v>
      </c>
      <c r="E216" s="65" t="s">
        <v>63</v>
      </c>
      <c r="F216" s="65" t="s">
        <v>262</v>
      </c>
      <c r="G216" s="65" t="s">
        <v>729</v>
      </c>
      <c r="H216" s="37" t="s">
        <v>40</v>
      </c>
      <c r="I216" s="62" t="s">
        <v>131</v>
      </c>
      <c r="J216" s="65" t="s">
        <v>117</v>
      </c>
      <c r="K216" s="65" t="s">
        <v>86</v>
      </c>
      <c r="L216" s="66" t="s">
        <v>36</v>
      </c>
      <c r="M216" s="63">
        <v>45904</v>
      </c>
      <c r="N216" s="64">
        <v>0.75</v>
      </c>
      <c r="O216" s="67">
        <f t="shared" ca="1" si="12"/>
        <v>11</v>
      </c>
      <c r="P216" s="39">
        <f t="shared" ca="1" si="13"/>
        <v>0.46</v>
      </c>
      <c r="Q216" s="15">
        <f t="shared" ca="1" si="14"/>
        <v>11</v>
      </c>
      <c r="R216" s="62">
        <f t="shared" si="15"/>
        <v>1</v>
      </c>
      <c r="S216" s="65" t="s">
        <v>135</v>
      </c>
    </row>
    <row r="217" spans="1:19" ht="21" customHeight="1">
      <c r="A217" s="56">
        <v>213</v>
      </c>
      <c r="B217" s="57">
        <v>45908</v>
      </c>
      <c r="C217" s="58">
        <v>0.41666666666666669</v>
      </c>
      <c r="D217" s="2" t="s">
        <v>60</v>
      </c>
      <c r="E217" s="59" t="s">
        <v>58</v>
      </c>
      <c r="F217" s="59" t="s">
        <v>448</v>
      </c>
      <c r="G217" s="59" t="s">
        <v>730</v>
      </c>
      <c r="H217" s="41" t="s">
        <v>40</v>
      </c>
      <c r="I217" s="56" t="s">
        <v>131</v>
      </c>
      <c r="J217" s="59" t="s">
        <v>117</v>
      </c>
      <c r="K217" s="59" t="s">
        <v>86</v>
      </c>
      <c r="L217" s="60" t="s">
        <v>36</v>
      </c>
      <c r="M217" s="57">
        <v>45908</v>
      </c>
      <c r="N217" s="58">
        <v>0.75</v>
      </c>
      <c r="O217" s="61">
        <f t="shared" ca="1" si="12"/>
        <v>8</v>
      </c>
      <c r="P217" s="43">
        <f t="shared" ca="1" si="13"/>
        <v>0.33</v>
      </c>
      <c r="Q217" s="7">
        <f t="shared" ca="1" si="14"/>
        <v>8</v>
      </c>
      <c r="R217" s="56">
        <f t="shared" si="15"/>
        <v>1</v>
      </c>
      <c r="S217" s="59" t="s">
        <v>118</v>
      </c>
    </row>
    <row r="218" spans="1:19" ht="21" customHeight="1">
      <c r="A218" s="62">
        <v>214</v>
      </c>
      <c r="B218" s="63">
        <v>45909</v>
      </c>
      <c r="C218" s="64">
        <v>0.58333333333333337</v>
      </c>
      <c r="D218" s="10" t="s">
        <v>203</v>
      </c>
      <c r="E218" s="65" t="s">
        <v>63</v>
      </c>
      <c r="F218" s="65" t="s">
        <v>448</v>
      </c>
      <c r="G218" s="65" t="s">
        <v>731</v>
      </c>
      <c r="H218" s="37" t="s">
        <v>40</v>
      </c>
      <c r="I218" s="62" t="s">
        <v>131</v>
      </c>
      <c r="J218" s="65" t="s">
        <v>117</v>
      </c>
      <c r="K218" s="65" t="s">
        <v>86</v>
      </c>
      <c r="L218" s="66" t="s">
        <v>36</v>
      </c>
      <c r="M218" s="63">
        <v>45909</v>
      </c>
      <c r="N218" s="64">
        <v>0.75</v>
      </c>
      <c r="O218" s="67">
        <f t="shared" ca="1" si="12"/>
        <v>4</v>
      </c>
      <c r="P218" s="39">
        <f t="shared" ca="1" si="13"/>
        <v>0.17</v>
      </c>
      <c r="Q218" s="15">
        <f t="shared" ca="1" si="14"/>
        <v>4</v>
      </c>
      <c r="R218" s="62">
        <f t="shared" si="15"/>
        <v>1</v>
      </c>
      <c r="S218" s="65" t="s">
        <v>135</v>
      </c>
    </row>
    <row r="219" spans="1:19" ht="21" customHeight="1">
      <c r="A219" s="56">
        <v>215</v>
      </c>
      <c r="B219" s="57">
        <v>45910</v>
      </c>
      <c r="C219" s="58">
        <v>0.625</v>
      </c>
      <c r="D219" s="2" t="s">
        <v>203</v>
      </c>
      <c r="E219" s="59" t="s">
        <v>63</v>
      </c>
      <c r="F219" s="59" t="s">
        <v>137</v>
      </c>
      <c r="G219" s="59" t="s">
        <v>732</v>
      </c>
      <c r="H219" s="41" t="s">
        <v>40</v>
      </c>
      <c r="I219" s="56" t="s">
        <v>131</v>
      </c>
      <c r="J219" s="59" t="s">
        <v>117</v>
      </c>
      <c r="K219" s="59" t="s">
        <v>86</v>
      </c>
      <c r="L219" s="60" t="s">
        <v>36</v>
      </c>
      <c r="M219" s="57">
        <v>45910</v>
      </c>
      <c r="N219" s="58">
        <v>0.75</v>
      </c>
      <c r="O219" s="61">
        <f t="shared" ca="1" si="12"/>
        <v>3</v>
      </c>
      <c r="P219" s="43">
        <f t="shared" ca="1" si="13"/>
        <v>0.13</v>
      </c>
      <c r="Q219" s="7">
        <f t="shared" ca="1" si="14"/>
        <v>3</v>
      </c>
      <c r="R219" s="56">
        <f t="shared" si="15"/>
        <v>1</v>
      </c>
      <c r="S219" s="59" t="s">
        <v>135</v>
      </c>
    </row>
    <row r="220" spans="1:19" ht="21" customHeight="1">
      <c r="A220" s="62">
        <v>216</v>
      </c>
      <c r="B220" s="63">
        <v>45915</v>
      </c>
      <c r="C220" s="64">
        <v>0.41666666666666669</v>
      </c>
      <c r="D220" s="10" t="s">
        <v>52</v>
      </c>
      <c r="E220" s="65" t="s">
        <v>53</v>
      </c>
      <c r="F220" s="65" t="s">
        <v>114</v>
      </c>
      <c r="G220" s="65" t="s">
        <v>733</v>
      </c>
      <c r="H220" s="37" t="s">
        <v>42</v>
      </c>
      <c r="I220" s="62" t="s">
        <v>131</v>
      </c>
      <c r="J220" s="65" t="s">
        <v>117</v>
      </c>
      <c r="K220" s="65" t="s">
        <v>86</v>
      </c>
      <c r="L220" s="66" t="s">
        <v>36</v>
      </c>
      <c r="M220" s="63">
        <v>45917</v>
      </c>
      <c r="N220" s="64">
        <v>0.75</v>
      </c>
      <c r="O220" s="67">
        <f t="shared" ca="1" si="12"/>
        <v>0</v>
      </c>
      <c r="P220" s="39">
        <f t="shared" ca="1" si="13"/>
        <v>0</v>
      </c>
      <c r="Q220" s="15">
        <f t="shared" ca="1" si="14"/>
        <v>56</v>
      </c>
      <c r="R220" s="62">
        <f t="shared" si="15"/>
        <v>0</v>
      </c>
      <c r="S220" s="65" t="s">
        <v>118</v>
      </c>
    </row>
    <row r="221" spans="1:19" ht="21" customHeight="1">
      <c r="A221" s="56">
        <v>217</v>
      </c>
      <c r="B221" s="57">
        <v>45917</v>
      </c>
      <c r="C221" s="58">
        <v>0.5</v>
      </c>
      <c r="D221" s="2" t="s">
        <v>236</v>
      </c>
      <c r="E221" s="59" t="s">
        <v>72</v>
      </c>
      <c r="F221" s="59" t="s">
        <v>325</v>
      </c>
      <c r="G221" s="59" t="s">
        <v>734</v>
      </c>
      <c r="H221" s="41" t="s">
        <v>40</v>
      </c>
      <c r="I221" s="56" t="s">
        <v>131</v>
      </c>
      <c r="J221" s="59" t="s">
        <v>117</v>
      </c>
      <c r="K221" s="59" t="s">
        <v>86</v>
      </c>
      <c r="L221" s="60" t="s">
        <v>36</v>
      </c>
      <c r="M221" s="57">
        <v>45917</v>
      </c>
      <c r="N221" s="58">
        <v>0.75</v>
      </c>
      <c r="O221" s="61">
        <f t="shared" ca="1" si="12"/>
        <v>6</v>
      </c>
      <c r="P221" s="43">
        <f t="shared" ca="1" si="13"/>
        <v>0.25</v>
      </c>
      <c r="Q221" s="7">
        <f t="shared" ca="1" si="14"/>
        <v>6</v>
      </c>
      <c r="R221" s="56">
        <f t="shared" si="15"/>
        <v>1</v>
      </c>
      <c r="S221" s="59" t="s">
        <v>118</v>
      </c>
    </row>
    <row r="222" spans="1:19" ht="21" customHeight="1">
      <c r="A222" s="62">
        <v>218</v>
      </c>
      <c r="B222" s="63">
        <v>45917</v>
      </c>
      <c r="C222" s="64">
        <v>0.54166666666666663</v>
      </c>
      <c r="D222" s="10" t="s">
        <v>203</v>
      </c>
      <c r="E222" s="65" t="s">
        <v>63</v>
      </c>
      <c r="F222" s="65" t="s">
        <v>735</v>
      </c>
      <c r="G222" s="65" t="s">
        <v>736</v>
      </c>
      <c r="H222" s="37" t="s">
        <v>40</v>
      </c>
      <c r="I222" s="62" t="s">
        <v>131</v>
      </c>
      <c r="J222" s="65" t="s">
        <v>117</v>
      </c>
      <c r="K222" s="65" t="s">
        <v>86</v>
      </c>
      <c r="L222" s="66" t="s">
        <v>36</v>
      </c>
      <c r="M222" s="63">
        <v>45917</v>
      </c>
      <c r="N222" s="64">
        <v>0.75</v>
      </c>
      <c r="O222" s="67">
        <f t="shared" ca="1" si="12"/>
        <v>5</v>
      </c>
      <c r="P222" s="39">
        <f t="shared" ca="1" si="13"/>
        <v>0.21</v>
      </c>
      <c r="Q222" s="15">
        <f t="shared" ca="1" si="14"/>
        <v>5</v>
      </c>
      <c r="R222" s="62">
        <f t="shared" si="15"/>
        <v>1</v>
      </c>
      <c r="S222" s="65" t="s">
        <v>135</v>
      </c>
    </row>
    <row r="223" spans="1:19" ht="21" customHeight="1">
      <c r="A223" s="56">
        <v>219</v>
      </c>
      <c r="B223" s="57">
        <v>45919</v>
      </c>
      <c r="C223" s="58">
        <v>0.5</v>
      </c>
      <c r="D223" s="2" t="s">
        <v>500</v>
      </c>
      <c r="E223" s="59" t="s">
        <v>58</v>
      </c>
      <c r="F223" s="59" t="s">
        <v>114</v>
      </c>
      <c r="G223" s="59" t="s">
        <v>737</v>
      </c>
      <c r="H223" s="41" t="s">
        <v>42</v>
      </c>
      <c r="I223" s="56" t="s">
        <v>131</v>
      </c>
      <c r="J223" s="59" t="s">
        <v>117</v>
      </c>
      <c r="K223" s="59" t="s">
        <v>86</v>
      </c>
      <c r="L223" s="60" t="s">
        <v>36</v>
      </c>
      <c r="M223" s="57">
        <v>45925</v>
      </c>
      <c r="N223" s="58">
        <v>0.75</v>
      </c>
      <c r="O223" s="61">
        <f t="shared" ca="1" si="12"/>
        <v>0</v>
      </c>
      <c r="P223" s="43">
        <f t="shared" ca="1" si="13"/>
        <v>0</v>
      </c>
      <c r="Q223" s="7">
        <f t="shared" ca="1" si="14"/>
        <v>150</v>
      </c>
      <c r="R223" s="56">
        <f t="shared" si="15"/>
        <v>0</v>
      </c>
      <c r="S223" s="59" t="s">
        <v>118</v>
      </c>
    </row>
    <row r="224" spans="1:19" ht="21" customHeight="1">
      <c r="A224" s="62">
        <v>220</v>
      </c>
      <c r="B224" s="63">
        <v>45919</v>
      </c>
      <c r="C224" s="64">
        <v>0.41666666666666669</v>
      </c>
      <c r="D224" s="10" t="s">
        <v>665</v>
      </c>
      <c r="E224" s="65" t="s">
        <v>66</v>
      </c>
      <c r="F224" s="65" t="s">
        <v>738</v>
      </c>
      <c r="G224" s="65" t="s">
        <v>739</v>
      </c>
      <c r="H224" s="37" t="s">
        <v>42</v>
      </c>
      <c r="I224" s="62" t="s">
        <v>131</v>
      </c>
      <c r="J224" s="65" t="s">
        <v>740</v>
      </c>
      <c r="K224" s="65" t="s">
        <v>86</v>
      </c>
      <c r="L224" s="66" t="s">
        <v>36</v>
      </c>
      <c r="M224" s="63">
        <v>45920</v>
      </c>
      <c r="N224" s="64">
        <v>0.75</v>
      </c>
      <c r="O224" s="67">
        <f t="shared" ca="1" si="12"/>
        <v>0</v>
      </c>
      <c r="P224" s="39">
        <f t="shared" ca="1" si="13"/>
        <v>0</v>
      </c>
      <c r="Q224" s="15">
        <f t="shared" ca="1" si="14"/>
        <v>32</v>
      </c>
      <c r="R224" s="62">
        <f t="shared" si="15"/>
        <v>0</v>
      </c>
      <c r="S224" s="65" t="s">
        <v>740</v>
      </c>
    </row>
    <row r="225" spans="1:19" ht="21" customHeight="1">
      <c r="A225" s="56">
        <v>221</v>
      </c>
      <c r="B225" s="57">
        <v>45923</v>
      </c>
      <c r="C225" s="58">
        <v>0.41666666666666669</v>
      </c>
      <c r="D225" s="2" t="s">
        <v>55</v>
      </c>
      <c r="E225" s="59" t="s">
        <v>53</v>
      </c>
      <c r="F225" s="59" t="s">
        <v>139</v>
      </c>
      <c r="G225" s="59" t="s">
        <v>741</v>
      </c>
      <c r="H225" s="41" t="s">
        <v>40</v>
      </c>
      <c r="I225" s="56" t="s">
        <v>742</v>
      </c>
      <c r="J225" s="59" t="s">
        <v>117</v>
      </c>
      <c r="K225" s="59" t="s">
        <v>86</v>
      </c>
      <c r="L225" s="60" t="s">
        <v>36</v>
      </c>
      <c r="M225" s="57">
        <v>45925</v>
      </c>
      <c r="N225" s="58">
        <v>0.75</v>
      </c>
      <c r="O225" s="61">
        <f t="shared" ca="1" si="12"/>
        <v>56</v>
      </c>
      <c r="P225" s="43">
        <f t="shared" ca="1" si="13"/>
        <v>2.33</v>
      </c>
      <c r="Q225" s="7">
        <f t="shared" ca="1" si="14"/>
        <v>56</v>
      </c>
      <c r="R225" s="56">
        <f t="shared" si="15"/>
        <v>1</v>
      </c>
      <c r="S225" s="59" t="s">
        <v>118</v>
      </c>
    </row>
    <row r="226" spans="1:19" ht="21" customHeight="1">
      <c r="A226" s="62">
        <v>222</v>
      </c>
      <c r="B226" s="63">
        <v>45923</v>
      </c>
      <c r="C226" s="64">
        <v>0.41666666666666669</v>
      </c>
      <c r="D226" s="10" t="s">
        <v>55</v>
      </c>
      <c r="E226" s="65" t="s">
        <v>53</v>
      </c>
      <c r="F226" s="65" t="s">
        <v>262</v>
      </c>
      <c r="G226" s="65" t="s">
        <v>580</v>
      </c>
      <c r="H226" s="37" t="s">
        <v>40</v>
      </c>
      <c r="I226" s="62" t="s">
        <v>743</v>
      </c>
      <c r="J226" s="65" t="s">
        <v>117</v>
      </c>
      <c r="K226" s="65" t="s">
        <v>86</v>
      </c>
      <c r="L226" s="66" t="s">
        <v>36</v>
      </c>
      <c r="M226" s="63">
        <v>45925</v>
      </c>
      <c r="N226" s="64">
        <v>0.75</v>
      </c>
      <c r="O226" s="67">
        <f t="shared" ca="1" si="12"/>
        <v>56</v>
      </c>
      <c r="P226" s="39">
        <f t="shared" ca="1" si="13"/>
        <v>2.33</v>
      </c>
      <c r="Q226" s="15">
        <f t="shared" ca="1" si="14"/>
        <v>56</v>
      </c>
      <c r="R226" s="62">
        <f t="shared" si="15"/>
        <v>1</v>
      </c>
      <c r="S226" s="65" t="s">
        <v>118</v>
      </c>
    </row>
    <row r="227" spans="1:19" ht="21" customHeight="1">
      <c r="A227" s="56">
        <v>223</v>
      </c>
      <c r="B227" s="57">
        <v>45923</v>
      </c>
      <c r="C227" s="58">
        <v>0.625</v>
      </c>
      <c r="D227" s="2" t="s">
        <v>60</v>
      </c>
      <c r="E227" s="59" t="s">
        <v>58</v>
      </c>
      <c r="F227" s="59" t="s">
        <v>448</v>
      </c>
      <c r="G227" s="59" t="s">
        <v>744</v>
      </c>
      <c r="H227" s="41" t="s">
        <v>40</v>
      </c>
      <c r="I227" s="56" t="s">
        <v>131</v>
      </c>
      <c r="J227" s="59" t="s">
        <v>117</v>
      </c>
      <c r="K227" s="59" t="s">
        <v>86</v>
      </c>
      <c r="L227" s="60" t="s">
        <v>36</v>
      </c>
      <c r="M227" s="57">
        <v>45926</v>
      </c>
      <c r="N227" s="58">
        <v>0.75</v>
      </c>
      <c r="O227" s="61">
        <f t="shared" ca="1" si="12"/>
        <v>75</v>
      </c>
      <c r="P227" s="43">
        <f t="shared" ca="1" si="13"/>
        <v>3.13</v>
      </c>
      <c r="Q227" s="7">
        <f t="shared" ca="1" si="14"/>
        <v>75</v>
      </c>
      <c r="R227" s="56">
        <f t="shared" si="15"/>
        <v>1</v>
      </c>
      <c r="S227" s="59" t="s">
        <v>118</v>
      </c>
    </row>
    <row r="228" spans="1:19" ht="21" customHeight="1">
      <c r="A228" s="62">
        <v>224</v>
      </c>
      <c r="B228" s="63">
        <v>45924</v>
      </c>
      <c r="C228" s="64">
        <v>0.625</v>
      </c>
      <c r="D228" s="10" t="s">
        <v>203</v>
      </c>
      <c r="E228" s="65" t="s">
        <v>63</v>
      </c>
      <c r="F228" s="65" t="s">
        <v>262</v>
      </c>
      <c r="G228" s="65" t="s">
        <v>745</v>
      </c>
      <c r="H228" s="37" t="s">
        <v>40</v>
      </c>
      <c r="I228" s="62" t="s">
        <v>131</v>
      </c>
      <c r="J228" s="65" t="s">
        <v>117</v>
      </c>
      <c r="K228" s="65" t="s">
        <v>86</v>
      </c>
      <c r="L228" s="66" t="s">
        <v>36</v>
      </c>
      <c r="M228" s="63">
        <v>45924</v>
      </c>
      <c r="N228" s="64">
        <v>0.75</v>
      </c>
      <c r="O228" s="67">
        <f t="shared" ca="1" si="12"/>
        <v>3</v>
      </c>
      <c r="P228" s="39">
        <f t="shared" ca="1" si="13"/>
        <v>0.13</v>
      </c>
      <c r="Q228" s="15">
        <f t="shared" ca="1" si="14"/>
        <v>3</v>
      </c>
      <c r="R228" s="62">
        <f t="shared" si="15"/>
        <v>1</v>
      </c>
      <c r="S228" s="65" t="s">
        <v>135</v>
      </c>
    </row>
    <row r="229" spans="1:19" ht="21" customHeight="1">
      <c r="A229" s="56">
        <v>225</v>
      </c>
      <c r="B229" s="57">
        <v>45926</v>
      </c>
      <c r="C229" s="58">
        <v>0.33333333333333331</v>
      </c>
      <c r="D229" s="2" t="s">
        <v>57</v>
      </c>
      <c r="E229" s="59" t="s">
        <v>58</v>
      </c>
      <c r="F229" s="59" t="s">
        <v>114</v>
      </c>
      <c r="G229" s="59" t="s">
        <v>746</v>
      </c>
      <c r="H229" s="41" t="s">
        <v>40</v>
      </c>
      <c r="I229" s="56" t="s">
        <v>131</v>
      </c>
      <c r="J229" s="59" t="s">
        <v>117</v>
      </c>
      <c r="K229" s="59" t="s">
        <v>86</v>
      </c>
      <c r="L229" s="60" t="s">
        <v>36</v>
      </c>
      <c r="M229" s="57">
        <v>45926</v>
      </c>
      <c r="N229" s="58">
        <v>0.75</v>
      </c>
      <c r="O229" s="61">
        <f t="shared" ca="1" si="12"/>
        <v>10</v>
      </c>
      <c r="P229" s="43">
        <f t="shared" ca="1" si="13"/>
        <v>0.42</v>
      </c>
      <c r="Q229" s="7">
        <f t="shared" ca="1" si="14"/>
        <v>10</v>
      </c>
      <c r="R229" s="56">
        <f t="shared" si="15"/>
        <v>1</v>
      </c>
      <c r="S229" s="59" t="s">
        <v>118</v>
      </c>
    </row>
    <row r="230" spans="1:19" ht="21" customHeight="1">
      <c r="A230" s="62">
        <v>226</v>
      </c>
      <c r="B230" s="63">
        <v>45929</v>
      </c>
      <c r="C230" s="64">
        <v>0.45833333333333331</v>
      </c>
      <c r="D230" s="10" t="s">
        <v>60</v>
      </c>
      <c r="E230" s="65" t="s">
        <v>66</v>
      </c>
      <c r="F230" s="65" t="s">
        <v>114</v>
      </c>
      <c r="G230" s="65" t="s">
        <v>616</v>
      </c>
      <c r="H230" s="37" t="s">
        <v>42</v>
      </c>
      <c r="I230" s="62" t="s">
        <v>131</v>
      </c>
      <c r="J230" s="65" t="s">
        <v>117</v>
      </c>
      <c r="K230" s="65" t="s">
        <v>86</v>
      </c>
      <c r="L230" s="66" t="s">
        <v>36</v>
      </c>
      <c r="M230" s="63">
        <v>45929</v>
      </c>
      <c r="N230" s="64">
        <v>0.75</v>
      </c>
      <c r="O230" s="67">
        <f t="shared" ca="1" si="12"/>
        <v>0</v>
      </c>
      <c r="P230" s="39">
        <f t="shared" ca="1" si="13"/>
        <v>0</v>
      </c>
      <c r="Q230" s="15">
        <f t="shared" ca="1" si="14"/>
        <v>7</v>
      </c>
      <c r="R230" s="62">
        <f t="shared" si="15"/>
        <v>0</v>
      </c>
      <c r="S230" s="65" t="s">
        <v>118</v>
      </c>
    </row>
    <row r="231" spans="1:19" ht="21" customHeight="1">
      <c r="A231" s="56">
        <v>227</v>
      </c>
      <c r="B231" s="57">
        <v>45929</v>
      </c>
      <c r="C231" s="58">
        <v>0.5</v>
      </c>
      <c r="D231" s="2" t="s">
        <v>432</v>
      </c>
      <c r="E231" s="59" t="s">
        <v>63</v>
      </c>
      <c r="F231" s="59" t="s">
        <v>137</v>
      </c>
      <c r="G231" s="59" t="s">
        <v>747</v>
      </c>
      <c r="H231" s="41" t="s">
        <v>40</v>
      </c>
      <c r="I231" s="56" t="s">
        <v>131</v>
      </c>
      <c r="J231" s="59" t="s">
        <v>117</v>
      </c>
      <c r="K231" s="59" t="s">
        <v>86</v>
      </c>
      <c r="L231" s="60" t="s">
        <v>36</v>
      </c>
      <c r="M231" s="57">
        <v>45934</v>
      </c>
      <c r="N231" s="58">
        <v>0.75</v>
      </c>
      <c r="O231" s="61">
        <f t="shared" ca="1" si="12"/>
        <v>126</v>
      </c>
      <c r="P231" s="43">
        <f t="shared" ca="1" si="13"/>
        <v>5.25</v>
      </c>
      <c r="Q231" s="7">
        <f t="shared" ca="1" si="14"/>
        <v>126</v>
      </c>
      <c r="R231" s="56">
        <f t="shared" si="15"/>
        <v>1</v>
      </c>
      <c r="S231" s="59" t="s">
        <v>118</v>
      </c>
    </row>
    <row r="232" spans="1:19" ht="21" customHeight="1">
      <c r="A232" s="62">
        <v>228</v>
      </c>
      <c r="B232" s="63">
        <v>45931</v>
      </c>
      <c r="C232" s="64">
        <v>0.45833333333333331</v>
      </c>
      <c r="D232" s="10" t="s">
        <v>52</v>
      </c>
      <c r="E232" s="65" t="s">
        <v>58</v>
      </c>
      <c r="F232" s="65" t="s">
        <v>262</v>
      </c>
      <c r="G232" s="65" t="s">
        <v>605</v>
      </c>
      <c r="H232" s="37" t="s">
        <v>42</v>
      </c>
      <c r="I232" s="62" t="s">
        <v>748</v>
      </c>
      <c r="J232" s="65" t="s">
        <v>117</v>
      </c>
      <c r="K232" s="65" t="s">
        <v>86</v>
      </c>
      <c r="L232" s="66" t="s">
        <v>36</v>
      </c>
      <c r="M232" s="63">
        <v>45933</v>
      </c>
      <c r="N232" s="64">
        <v>0.75</v>
      </c>
      <c r="O232" s="67">
        <f t="shared" ca="1" si="12"/>
        <v>0</v>
      </c>
      <c r="P232" s="39">
        <f t="shared" ca="1" si="13"/>
        <v>0</v>
      </c>
      <c r="Q232" s="15">
        <f t="shared" ca="1" si="14"/>
        <v>55</v>
      </c>
      <c r="R232" s="62">
        <f t="shared" si="15"/>
        <v>0</v>
      </c>
      <c r="S232" s="65" t="s">
        <v>118</v>
      </c>
    </row>
    <row r="233" spans="1:19" ht="21" customHeight="1">
      <c r="A233" s="56">
        <v>229</v>
      </c>
      <c r="B233" s="57">
        <v>45931</v>
      </c>
      <c r="C233" s="58">
        <v>0.45833333333333331</v>
      </c>
      <c r="D233" s="2" t="s">
        <v>52</v>
      </c>
      <c r="E233" s="59" t="s">
        <v>66</v>
      </c>
      <c r="F233" s="59" t="s">
        <v>418</v>
      </c>
      <c r="G233" s="59" t="s">
        <v>749</v>
      </c>
      <c r="H233" s="41" t="s">
        <v>40</v>
      </c>
      <c r="I233" s="56" t="s">
        <v>750</v>
      </c>
      <c r="J233" s="59" t="s">
        <v>117</v>
      </c>
      <c r="K233" s="59" t="s">
        <v>86</v>
      </c>
      <c r="L233" s="60" t="s">
        <v>36</v>
      </c>
      <c r="M233" s="57">
        <v>45933</v>
      </c>
      <c r="N233" s="58">
        <v>0.75</v>
      </c>
      <c r="O233" s="61">
        <f t="shared" ca="1" si="12"/>
        <v>55</v>
      </c>
      <c r="P233" s="43">
        <f t="shared" ca="1" si="13"/>
        <v>2.29</v>
      </c>
      <c r="Q233" s="7">
        <f t="shared" ca="1" si="14"/>
        <v>55</v>
      </c>
      <c r="R233" s="56">
        <f t="shared" si="15"/>
        <v>1</v>
      </c>
      <c r="S233" s="59" t="s">
        <v>118</v>
      </c>
    </row>
    <row r="234" spans="1:19" ht="21" customHeight="1">
      <c r="A234" s="62">
        <v>230</v>
      </c>
      <c r="B234" s="63">
        <v>45936</v>
      </c>
      <c r="C234" s="64">
        <v>0.375</v>
      </c>
      <c r="D234" s="10" t="s">
        <v>52</v>
      </c>
      <c r="E234" s="65" t="s">
        <v>53</v>
      </c>
      <c r="F234" s="65" t="s">
        <v>262</v>
      </c>
      <c r="G234" s="65" t="s">
        <v>751</v>
      </c>
      <c r="H234" s="37" t="s">
        <v>42</v>
      </c>
      <c r="I234" s="62" t="s">
        <v>752</v>
      </c>
      <c r="J234" s="65" t="s">
        <v>117</v>
      </c>
      <c r="K234" s="65" t="s">
        <v>86</v>
      </c>
      <c r="L234" s="66" t="s">
        <v>36</v>
      </c>
      <c r="M234" s="63">
        <v>45936</v>
      </c>
      <c r="N234" s="64">
        <v>0.75</v>
      </c>
      <c r="O234" s="67">
        <f t="shared" ca="1" si="12"/>
        <v>0</v>
      </c>
      <c r="P234" s="39">
        <f t="shared" ca="1" si="13"/>
        <v>0</v>
      </c>
      <c r="Q234" s="15">
        <f t="shared" ca="1" si="14"/>
        <v>9</v>
      </c>
      <c r="R234" s="62">
        <f t="shared" si="15"/>
        <v>0</v>
      </c>
      <c r="S234" s="65" t="s">
        <v>118</v>
      </c>
    </row>
    <row r="235" spans="1:19" ht="21" customHeight="1">
      <c r="A235" s="56">
        <v>231</v>
      </c>
      <c r="B235" s="57">
        <v>45936</v>
      </c>
      <c r="C235" s="58">
        <v>0.45833333333333331</v>
      </c>
      <c r="D235" s="2" t="s">
        <v>236</v>
      </c>
      <c r="E235" s="59" t="s">
        <v>72</v>
      </c>
      <c r="F235" s="59" t="s">
        <v>418</v>
      </c>
      <c r="G235" s="59" t="s">
        <v>753</v>
      </c>
      <c r="H235" s="41" t="s">
        <v>40</v>
      </c>
      <c r="I235" s="56" t="s">
        <v>131</v>
      </c>
      <c r="J235" s="59" t="s">
        <v>117</v>
      </c>
      <c r="K235" s="59" t="s">
        <v>86</v>
      </c>
      <c r="L235" s="60" t="s">
        <v>36</v>
      </c>
      <c r="M235" s="57">
        <v>45936</v>
      </c>
      <c r="N235" s="58">
        <v>0.75</v>
      </c>
      <c r="O235" s="61">
        <f t="shared" ca="1" si="12"/>
        <v>7</v>
      </c>
      <c r="P235" s="43">
        <f t="shared" ca="1" si="13"/>
        <v>0.28999999999999998</v>
      </c>
      <c r="Q235" s="7">
        <f t="shared" ca="1" si="14"/>
        <v>7</v>
      </c>
      <c r="R235" s="56">
        <f t="shared" si="15"/>
        <v>1</v>
      </c>
      <c r="S235" s="59" t="s">
        <v>118</v>
      </c>
    </row>
    <row r="236" spans="1:19" ht="21" customHeight="1">
      <c r="A236" s="62">
        <v>232</v>
      </c>
      <c r="B236" s="63">
        <v>45936</v>
      </c>
      <c r="C236" s="64">
        <v>0.41666666666666669</v>
      </c>
      <c r="D236" s="10" t="s">
        <v>500</v>
      </c>
      <c r="E236" s="65" t="s">
        <v>58</v>
      </c>
      <c r="F236" s="65" t="s">
        <v>114</v>
      </c>
      <c r="G236" s="65" t="s">
        <v>754</v>
      </c>
      <c r="H236" s="37" t="s">
        <v>42</v>
      </c>
      <c r="I236" s="62" t="s">
        <v>131</v>
      </c>
      <c r="J236" s="65" t="s">
        <v>117</v>
      </c>
      <c r="K236" s="65" t="s">
        <v>86</v>
      </c>
      <c r="L236" s="66" t="s">
        <v>36</v>
      </c>
      <c r="M236" s="63">
        <v>45936</v>
      </c>
      <c r="N236" s="64">
        <v>0.75</v>
      </c>
      <c r="O236" s="67">
        <f t="shared" ca="1" si="12"/>
        <v>0</v>
      </c>
      <c r="P236" s="39">
        <f t="shared" ca="1" si="13"/>
        <v>0</v>
      </c>
      <c r="Q236" s="15">
        <f t="shared" ca="1" si="14"/>
        <v>8</v>
      </c>
      <c r="R236" s="62">
        <f t="shared" si="15"/>
        <v>0</v>
      </c>
      <c r="S236" s="65" t="s">
        <v>118</v>
      </c>
    </row>
    <row r="237" spans="1:19" ht="21" customHeight="1">
      <c r="A237" s="56">
        <v>233</v>
      </c>
      <c r="B237" s="57">
        <v>45938</v>
      </c>
      <c r="C237" s="58">
        <v>0.33333333333333331</v>
      </c>
      <c r="D237" s="2" t="s">
        <v>52</v>
      </c>
      <c r="E237" s="59" t="s">
        <v>53</v>
      </c>
      <c r="F237" s="59" t="s">
        <v>139</v>
      </c>
      <c r="G237" s="59" t="s">
        <v>755</v>
      </c>
      <c r="H237" s="41" t="s">
        <v>40</v>
      </c>
      <c r="I237" s="56" t="s">
        <v>756</v>
      </c>
      <c r="J237" s="59" t="s">
        <v>117</v>
      </c>
      <c r="K237" s="59" t="s">
        <v>86</v>
      </c>
      <c r="L237" s="60" t="s">
        <v>36</v>
      </c>
      <c r="M237" s="57">
        <v>45938</v>
      </c>
      <c r="N237" s="58">
        <v>0.75</v>
      </c>
      <c r="O237" s="61">
        <f t="shared" ca="1" si="12"/>
        <v>10</v>
      </c>
      <c r="P237" s="43">
        <f t="shared" ca="1" si="13"/>
        <v>0.42</v>
      </c>
      <c r="Q237" s="7">
        <f t="shared" ca="1" si="14"/>
        <v>10</v>
      </c>
      <c r="R237" s="56">
        <f t="shared" si="15"/>
        <v>1</v>
      </c>
      <c r="S237" s="59" t="s">
        <v>118</v>
      </c>
    </row>
    <row r="238" spans="1:19" ht="21" customHeight="1">
      <c r="A238" s="62">
        <v>234</v>
      </c>
      <c r="B238" s="63">
        <v>45943</v>
      </c>
      <c r="C238" s="64">
        <v>0.45833333333333331</v>
      </c>
      <c r="D238" s="10" t="s">
        <v>76</v>
      </c>
      <c r="E238" s="65" t="s">
        <v>72</v>
      </c>
      <c r="F238" s="65" t="s">
        <v>114</v>
      </c>
      <c r="G238" s="65" t="s">
        <v>757</v>
      </c>
      <c r="H238" s="37" t="s">
        <v>42</v>
      </c>
      <c r="I238" s="62" t="s">
        <v>758</v>
      </c>
      <c r="J238" s="65" t="s">
        <v>117</v>
      </c>
      <c r="K238" s="65" t="s">
        <v>86</v>
      </c>
      <c r="L238" s="66" t="s">
        <v>36</v>
      </c>
      <c r="M238" s="63">
        <v>45943</v>
      </c>
      <c r="N238" s="64">
        <v>0.75</v>
      </c>
      <c r="O238" s="67">
        <f t="shared" ca="1" si="12"/>
        <v>0</v>
      </c>
      <c r="P238" s="39">
        <f t="shared" ca="1" si="13"/>
        <v>0</v>
      </c>
      <c r="Q238" s="15">
        <f t="shared" ca="1" si="14"/>
        <v>7</v>
      </c>
      <c r="R238" s="62">
        <f t="shared" si="15"/>
        <v>0</v>
      </c>
      <c r="S238" s="65" t="s">
        <v>118</v>
      </c>
    </row>
    <row r="239" spans="1:19" ht="21" customHeight="1">
      <c r="A239" s="56">
        <v>235</v>
      </c>
      <c r="B239" s="57">
        <v>45943</v>
      </c>
      <c r="C239" s="58">
        <v>0.64583333333333337</v>
      </c>
      <c r="D239" s="2" t="s">
        <v>52</v>
      </c>
      <c r="E239" s="59" t="s">
        <v>53</v>
      </c>
      <c r="F239" s="59" t="s">
        <v>114</v>
      </c>
      <c r="G239" s="59" t="s">
        <v>759</v>
      </c>
      <c r="H239" s="41" t="s">
        <v>42</v>
      </c>
      <c r="I239" s="56" t="s">
        <v>760</v>
      </c>
      <c r="J239" s="59" t="s">
        <v>117</v>
      </c>
      <c r="K239" s="59" t="s">
        <v>86</v>
      </c>
      <c r="L239" s="60" t="s">
        <v>36</v>
      </c>
      <c r="M239" s="57">
        <v>45943</v>
      </c>
      <c r="N239" s="58">
        <v>0.75</v>
      </c>
      <c r="O239" s="61">
        <f t="shared" ca="1" si="12"/>
        <v>0</v>
      </c>
      <c r="P239" s="43">
        <f t="shared" ca="1" si="13"/>
        <v>0</v>
      </c>
      <c r="Q239" s="7">
        <f t="shared" ca="1" si="14"/>
        <v>2.5</v>
      </c>
      <c r="R239" s="56">
        <f t="shared" si="15"/>
        <v>0</v>
      </c>
      <c r="S239" s="59" t="s">
        <v>118</v>
      </c>
    </row>
    <row r="240" spans="1:19" ht="21" customHeight="1">
      <c r="A240" s="62">
        <v>236</v>
      </c>
      <c r="B240" s="63">
        <v>45945</v>
      </c>
      <c r="C240" s="64">
        <v>0.40972222222222221</v>
      </c>
      <c r="D240" s="10" t="s">
        <v>52</v>
      </c>
      <c r="E240" s="65" t="s">
        <v>53</v>
      </c>
      <c r="F240" s="65" t="s">
        <v>114</v>
      </c>
      <c r="G240" s="65" t="s">
        <v>761</v>
      </c>
      <c r="H240" s="37" t="s">
        <v>40</v>
      </c>
      <c r="I240" s="62" t="s">
        <v>762</v>
      </c>
      <c r="J240" s="65" t="s">
        <v>117</v>
      </c>
      <c r="K240" s="65" t="s">
        <v>86</v>
      </c>
      <c r="L240" s="66" t="s">
        <v>36</v>
      </c>
      <c r="M240" s="63">
        <v>45945</v>
      </c>
      <c r="N240" s="64">
        <v>0.75</v>
      </c>
      <c r="O240" s="67">
        <f t="shared" ca="1" si="12"/>
        <v>8.1999999999999993</v>
      </c>
      <c r="P240" s="39">
        <f t="shared" ca="1" si="13"/>
        <v>0.34</v>
      </c>
      <c r="Q240" s="15">
        <f t="shared" ca="1" si="14"/>
        <v>8.1999999999999993</v>
      </c>
      <c r="R240" s="62">
        <f t="shared" si="15"/>
        <v>1</v>
      </c>
      <c r="S240" s="65" t="s">
        <v>118</v>
      </c>
    </row>
    <row r="241" spans="1:19" ht="21" customHeight="1">
      <c r="A241" s="56">
        <v>237</v>
      </c>
      <c r="B241" s="57">
        <v>45945</v>
      </c>
      <c r="C241" s="58">
        <v>0.5625</v>
      </c>
      <c r="D241" s="2" t="s">
        <v>76</v>
      </c>
      <c r="E241" s="59" t="s">
        <v>72</v>
      </c>
      <c r="F241" s="59" t="s">
        <v>137</v>
      </c>
      <c r="G241" s="59" t="s">
        <v>763</v>
      </c>
      <c r="H241" s="41" t="s">
        <v>42</v>
      </c>
      <c r="I241" s="56" t="s">
        <v>764</v>
      </c>
      <c r="J241" s="59" t="s">
        <v>117</v>
      </c>
      <c r="K241" s="59" t="s">
        <v>86</v>
      </c>
      <c r="L241" s="60" t="s">
        <v>36</v>
      </c>
      <c r="M241" s="57">
        <v>45945</v>
      </c>
      <c r="N241" s="58">
        <v>0.75</v>
      </c>
      <c r="O241" s="61">
        <f t="shared" ca="1" si="12"/>
        <v>0</v>
      </c>
      <c r="P241" s="43">
        <f t="shared" ca="1" si="13"/>
        <v>0</v>
      </c>
      <c r="Q241" s="7">
        <f t="shared" ca="1" si="14"/>
        <v>4.5</v>
      </c>
      <c r="R241" s="56">
        <f t="shared" si="15"/>
        <v>0</v>
      </c>
      <c r="S241" s="59" t="s">
        <v>118</v>
      </c>
    </row>
    <row r="242" spans="1:19" ht="21" customHeight="1">
      <c r="A242" s="62">
        <v>238</v>
      </c>
      <c r="B242" s="63">
        <v>45946</v>
      </c>
      <c r="C242" s="64">
        <v>0.41666666666666669</v>
      </c>
      <c r="D242" s="10" t="s">
        <v>52</v>
      </c>
      <c r="E242" s="65" t="s">
        <v>53</v>
      </c>
      <c r="F242" s="65" t="s">
        <v>114</v>
      </c>
      <c r="G242" s="65" t="s">
        <v>765</v>
      </c>
      <c r="H242" s="37" t="s">
        <v>42</v>
      </c>
      <c r="I242" s="62" t="s">
        <v>766</v>
      </c>
      <c r="J242" s="65" t="s">
        <v>117</v>
      </c>
      <c r="K242" s="65" t="s">
        <v>86</v>
      </c>
      <c r="L242" s="66" t="s">
        <v>36</v>
      </c>
      <c r="M242" s="63">
        <v>45946</v>
      </c>
      <c r="N242" s="64">
        <v>0.75</v>
      </c>
      <c r="O242" s="67">
        <f t="shared" ca="1" si="12"/>
        <v>0</v>
      </c>
      <c r="P242" s="39">
        <f t="shared" ca="1" si="13"/>
        <v>0</v>
      </c>
      <c r="Q242" s="15">
        <f t="shared" ca="1" si="14"/>
        <v>8</v>
      </c>
      <c r="R242" s="62">
        <f t="shared" si="15"/>
        <v>0</v>
      </c>
      <c r="S242" s="65" t="s">
        <v>118</v>
      </c>
    </row>
    <row r="243" spans="1:19" ht="21" customHeight="1">
      <c r="A243" s="56">
        <v>239</v>
      </c>
      <c r="B243" s="57">
        <v>45946</v>
      </c>
      <c r="C243" s="58">
        <v>0.41666666666666669</v>
      </c>
      <c r="D243" s="2" t="s">
        <v>52</v>
      </c>
      <c r="E243" s="59" t="s">
        <v>53</v>
      </c>
      <c r="F243" s="59" t="s">
        <v>114</v>
      </c>
      <c r="G243" s="59" t="s">
        <v>767</v>
      </c>
      <c r="H243" s="41" t="s">
        <v>40</v>
      </c>
      <c r="I243" s="56" t="s">
        <v>768</v>
      </c>
      <c r="J243" s="59" t="s">
        <v>117</v>
      </c>
      <c r="K243" s="59" t="s">
        <v>86</v>
      </c>
      <c r="L243" s="60" t="s">
        <v>36</v>
      </c>
      <c r="M243" s="57">
        <v>45946</v>
      </c>
      <c r="N243" s="58">
        <v>0.75</v>
      </c>
      <c r="O243" s="61">
        <f t="shared" ca="1" si="12"/>
        <v>8</v>
      </c>
      <c r="P243" s="43">
        <f t="shared" ca="1" si="13"/>
        <v>0.33</v>
      </c>
      <c r="Q243" s="7">
        <f t="shared" ca="1" si="14"/>
        <v>8</v>
      </c>
      <c r="R243" s="56">
        <f t="shared" si="15"/>
        <v>1</v>
      </c>
      <c r="S243" s="59" t="s">
        <v>118</v>
      </c>
    </row>
    <row r="244" spans="1:19" ht="21" customHeight="1">
      <c r="A244" s="62">
        <v>240</v>
      </c>
      <c r="B244" s="63">
        <v>45946</v>
      </c>
      <c r="C244" s="64">
        <v>0.41666666666666669</v>
      </c>
      <c r="D244" s="10" t="s">
        <v>52</v>
      </c>
      <c r="E244" s="65" t="s">
        <v>53</v>
      </c>
      <c r="F244" s="65" t="s">
        <v>114</v>
      </c>
      <c r="G244" s="65" t="s">
        <v>769</v>
      </c>
      <c r="H244" s="37" t="s">
        <v>42</v>
      </c>
      <c r="I244" s="62" t="s">
        <v>770</v>
      </c>
      <c r="J244" s="65" t="s">
        <v>117</v>
      </c>
      <c r="K244" s="65" t="s">
        <v>86</v>
      </c>
      <c r="L244" s="66" t="s">
        <v>36</v>
      </c>
      <c r="M244" s="63">
        <v>45946</v>
      </c>
      <c r="N244" s="64">
        <v>0.75</v>
      </c>
      <c r="O244" s="67">
        <f t="shared" ca="1" si="12"/>
        <v>0</v>
      </c>
      <c r="P244" s="39">
        <f t="shared" ca="1" si="13"/>
        <v>0</v>
      </c>
      <c r="Q244" s="15">
        <f t="shared" ca="1" si="14"/>
        <v>8</v>
      </c>
      <c r="R244" s="62">
        <f t="shared" si="15"/>
        <v>0</v>
      </c>
      <c r="S244" s="65" t="s">
        <v>118</v>
      </c>
    </row>
    <row r="245" spans="1:19" ht="21" customHeight="1">
      <c r="A245" s="56">
        <v>241</v>
      </c>
      <c r="B245" s="57">
        <v>45946</v>
      </c>
      <c r="C245" s="58">
        <v>0.41666666666666669</v>
      </c>
      <c r="D245" s="2" t="s">
        <v>52</v>
      </c>
      <c r="E245" s="59" t="s">
        <v>53</v>
      </c>
      <c r="F245" s="59" t="s">
        <v>114</v>
      </c>
      <c r="G245" s="59" t="s">
        <v>771</v>
      </c>
      <c r="H245" s="41" t="s">
        <v>42</v>
      </c>
      <c r="I245" s="56" t="s">
        <v>772</v>
      </c>
      <c r="J245" s="59" t="s">
        <v>117</v>
      </c>
      <c r="K245" s="59" t="s">
        <v>86</v>
      </c>
      <c r="L245" s="60" t="s">
        <v>36</v>
      </c>
      <c r="M245" s="57">
        <v>45946</v>
      </c>
      <c r="N245" s="58">
        <v>0.75</v>
      </c>
      <c r="O245" s="61">
        <f t="shared" ca="1" si="12"/>
        <v>0</v>
      </c>
      <c r="P245" s="43">
        <f t="shared" ca="1" si="13"/>
        <v>0</v>
      </c>
      <c r="Q245" s="7">
        <f t="shared" ca="1" si="14"/>
        <v>8</v>
      </c>
      <c r="R245" s="56">
        <f t="shared" si="15"/>
        <v>0</v>
      </c>
      <c r="S245" s="59" t="s">
        <v>118</v>
      </c>
    </row>
    <row r="246" spans="1:19" ht="21" customHeight="1">
      <c r="A246" s="62">
        <v>242</v>
      </c>
      <c r="B246" s="63">
        <v>45947</v>
      </c>
      <c r="C246" s="64">
        <v>0.30208333333333331</v>
      </c>
      <c r="D246" s="10" t="s">
        <v>773</v>
      </c>
      <c r="E246" s="65" t="s">
        <v>58</v>
      </c>
      <c r="F246" s="65" t="s">
        <v>114</v>
      </c>
      <c r="G246" s="65" t="s">
        <v>774</v>
      </c>
      <c r="H246" s="37" t="s">
        <v>40</v>
      </c>
      <c r="I246" s="62" t="s">
        <v>775</v>
      </c>
      <c r="J246" s="65" t="s">
        <v>117</v>
      </c>
      <c r="K246" s="65" t="s">
        <v>86</v>
      </c>
      <c r="L246" s="66" t="s">
        <v>36</v>
      </c>
      <c r="M246" s="63">
        <v>45947</v>
      </c>
      <c r="N246" s="64">
        <v>0.75</v>
      </c>
      <c r="O246" s="67">
        <f t="shared" ca="1" si="12"/>
        <v>10.7</v>
      </c>
      <c r="P246" s="39">
        <f t="shared" ca="1" si="13"/>
        <v>0.45</v>
      </c>
      <c r="Q246" s="15">
        <f t="shared" ca="1" si="14"/>
        <v>10.7</v>
      </c>
      <c r="R246" s="62">
        <f t="shared" si="15"/>
        <v>1</v>
      </c>
      <c r="S246" s="65" t="s">
        <v>118</v>
      </c>
    </row>
    <row r="247" spans="1:19" ht="21" customHeight="1">
      <c r="A247" s="56">
        <v>243</v>
      </c>
      <c r="B247" s="57">
        <v>45947</v>
      </c>
      <c r="C247" s="58">
        <v>0.6875</v>
      </c>
      <c r="D247" s="2" t="s">
        <v>52</v>
      </c>
      <c r="E247" s="59" t="s">
        <v>53</v>
      </c>
      <c r="F247" s="59" t="s">
        <v>114</v>
      </c>
      <c r="G247" s="59" t="s">
        <v>767</v>
      </c>
      <c r="H247" s="41" t="s">
        <v>40</v>
      </c>
      <c r="I247" s="56" t="s">
        <v>772</v>
      </c>
      <c r="J247" s="59" t="s">
        <v>117</v>
      </c>
      <c r="K247" s="59" t="s">
        <v>86</v>
      </c>
      <c r="L247" s="60" t="s">
        <v>36</v>
      </c>
      <c r="M247" s="57">
        <v>45947</v>
      </c>
      <c r="N247" s="58">
        <v>0.75</v>
      </c>
      <c r="O247" s="61">
        <f t="shared" ca="1" si="12"/>
        <v>1.5</v>
      </c>
      <c r="P247" s="43">
        <f t="shared" ca="1" si="13"/>
        <v>0.06</v>
      </c>
      <c r="Q247" s="7">
        <f t="shared" ca="1" si="14"/>
        <v>1.5</v>
      </c>
      <c r="R247" s="56">
        <f t="shared" si="15"/>
        <v>1</v>
      </c>
      <c r="S247" s="59" t="s">
        <v>118</v>
      </c>
    </row>
    <row r="248" spans="1:19" ht="21" customHeight="1">
      <c r="A248" s="62">
        <v>244</v>
      </c>
      <c r="B248" s="63">
        <v>45948</v>
      </c>
      <c r="C248" s="64">
        <v>0.64583333333333337</v>
      </c>
      <c r="D248" s="10" t="s">
        <v>776</v>
      </c>
      <c r="E248" s="65" t="s">
        <v>66</v>
      </c>
      <c r="F248" s="65" t="s">
        <v>114</v>
      </c>
      <c r="G248" s="65" t="s">
        <v>777</v>
      </c>
      <c r="H248" s="37" t="s">
        <v>42</v>
      </c>
      <c r="I248" s="62" t="s">
        <v>778</v>
      </c>
      <c r="J248" s="65" t="s">
        <v>117</v>
      </c>
      <c r="K248" s="65" t="s">
        <v>86</v>
      </c>
      <c r="L248" s="66" t="s">
        <v>36</v>
      </c>
      <c r="M248" s="63">
        <v>45948</v>
      </c>
      <c r="N248" s="64">
        <v>0.75</v>
      </c>
      <c r="O248" s="67">
        <f t="shared" ca="1" si="12"/>
        <v>0</v>
      </c>
      <c r="P248" s="39">
        <f t="shared" ca="1" si="13"/>
        <v>0</v>
      </c>
      <c r="Q248" s="15">
        <f t="shared" ca="1" si="14"/>
        <v>2.5</v>
      </c>
      <c r="R248" s="62">
        <f t="shared" si="15"/>
        <v>0</v>
      </c>
      <c r="S248" s="65" t="s">
        <v>118</v>
      </c>
    </row>
    <row r="249" spans="1:19" ht="21" customHeight="1">
      <c r="A249" s="56">
        <v>245</v>
      </c>
      <c r="B249" s="57">
        <v>45960</v>
      </c>
      <c r="C249" s="58">
        <v>0.41666666666666669</v>
      </c>
      <c r="D249" s="2" t="s">
        <v>65</v>
      </c>
      <c r="E249" s="59" t="s">
        <v>66</v>
      </c>
      <c r="F249" s="59" t="s">
        <v>114</v>
      </c>
      <c r="G249" s="59" t="s">
        <v>779</v>
      </c>
      <c r="H249" s="41" t="s">
        <v>42</v>
      </c>
      <c r="I249" s="56" t="s">
        <v>131</v>
      </c>
      <c r="J249" s="59" t="s">
        <v>117</v>
      </c>
      <c r="K249" s="59" t="s">
        <v>86</v>
      </c>
      <c r="L249" s="60" t="s">
        <v>36</v>
      </c>
      <c r="M249" s="57">
        <v>45960</v>
      </c>
      <c r="N249" s="58">
        <v>0.75</v>
      </c>
      <c r="O249" s="61">
        <f t="shared" ca="1" si="12"/>
        <v>0</v>
      </c>
      <c r="P249" s="43">
        <f t="shared" ca="1" si="13"/>
        <v>0</v>
      </c>
      <c r="Q249" s="7">
        <f t="shared" ca="1" si="14"/>
        <v>8</v>
      </c>
      <c r="R249" s="56">
        <f t="shared" si="15"/>
        <v>0</v>
      </c>
      <c r="S249" s="59" t="s">
        <v>118</v>
      </c>
    </row>
    <row r="250" spans="1:19" ht="21" customHeight="1">
      <c r="A250" s="62">
        <v>246</v>
      </c>
      <c r="B250" s="63">
        <v>45961</v>
      </c>
      <c r="C250" s="64">
        <v>0.5</v>
      </c>
      <c r="D250" s="10" t="s">
        <v>52</v>
      </c>
      <c r="E250" s="65" t="s">
        <v>53</v>
      </c>
      <c r="F250" s="65" t="s">
        <v>114</v>
      </c>
      <c r="G250" s="65" t="s">
        <v>759</v>
      </c>
      <c r="H250" s="37" t="s">
        <v>42</v>
      </c>
      <c r="I250" s="62" t="s">
        <v>780</v>
      </c>
      <c r="J250" s="65" t="s">
        <v>117</v>
      </c>
      <c r="K250" s="65" t="s">
        <v>86</v>
      </c>
      <c r="L250" s="66" t="s">
        <v>36</v>
      </c>
      <c r="M250" s="63">
        <v>45961</v>
      </c>
      <c r="N250" s="64">
        <v>0.75</v>
      </c>
      <c r="O250" s="67">
        <f t="shared" ca="1" si="12"/>
        <v>0</v>
      </c>
      <c r="P250" s="39">
        <f t="shared" ca="1" si="13"/>
        <v>0</v>
      </c>
      <c r="Q250" s="15">
        <f t="shared" ca="1" si="14"/>
        <v>6</v>
      </c>
      <c r="R250" s="62">
        <f t="shared" si="15"/>
        <v>0</v>
      </c>
      <c r="S250" s="65" t="s">
        <v>118</v>
      </c>
    </row>
    <row r="251" spans="1:19" ht="21" customHeight="1">
      <c r="A251" s="56">
        <v>247</v>
      </c>
      <c r="B251" s="57">
        <v>45961</v>
      </c>
      <c r="C251" s="58">
        <v>0.54166666666666663</v>
      </c>
      <c r="D251" s="2" t="s">
        <v>52</v>
      </c>
      <c r="E251" s="59" t="s">
        <v>53</v>
      </c>
      <c r="F251" s="59" t="s">
        <v>114</v>
      </c>
      <c r="G251" s="59" t="s">
        <v>781</v>
      </c>
      <c r="H251" s="41" t="s">
        <v>40</v>
      </c>
      <c r="I251" s="56" t="s">
        <v>782</v>
      </c>
      <c r="J251" s="59" t="s">
        <v>117</v>
      </c>
      <c r="K251" s="59" t="s">
        <v>86</v>
      </c>
      <c r="L251" s="60" t="s">
        <v>36</v>
      </c>
      <c r="M251" s="57">
        <v>45961</v>
      </c>
      <c r="N251" s="58">
        <v>0.75</v>
      </c>
      <c r="O251" s="61">
        <f t="shared" ca="1" si="12"/>
        <v>5</v>
      </c>
      <c r="P251" s="43">
        <f t="shared" ca="1" si="13"/>
        <v>0.21</v>
      </c>
      <c r="Q251" s="7">
        <f t="shared" ca="1" si="14"/>
        <v>5</v>
      </c>
      <c r="R251" s="56">
        <f t="shared" si="15"/>
        <v>1</v>
      </c>
      <c r="S251" s="59" t="s">
        <v>118</v>
      </c>
    </row>
    <row r="252" spans="1:19" ht="21" customHeight="1">
      <c r="A252" s="62">
        <v>248</v>
      </c>
      <c r="B252" s="63">
        <v>45961</v>
      </c>
      <c r="C252" s="64">
        <v>0.41666666666666669</v>
      </c>
      <c r="D252" s="10" t="s">
        <v>52</v>
      </c>
      <c r="E252" s="65" t="s">
        <v>53</v>
      </c>
      <c r="F252" s="65" t="s">
        <v>114</v>
      </c>
      <c r="G252" s="65" t="s">
        <v>769</v>
      </c>
      <c r="H252" s="37" t="s">
        <v>42</v>
      </c>
      <c r="I252" s="62" t="s">
        <v>783</v>
      </c>
      <c r="J252" s="65" t="s">
        <v>117</v>
      </c>
      <c r="K252" s="65" t="s">
        <v>86</v>
      </c>
      <c r="L252" s="66" t="s">
        <v>36</v>
      </c>
      <c r="M252" s="63">
        <v>45961</v>
      </c>
      <c r="N252" s="64">
        <v>0.75</v>
      </c>
      <c r="O252" s="67">
        <f t="shared" ca="1" si="12"/>
        <v>0</v>
      </c>
      <c r="P252" s="39">
        <f t="shared" ca="1" si="13"/>
        <v>0</v>
      </c>
      <c r="Q252" s="15">
        <f t="shared" ca="1" si="14"/>
        <v>8</v>
      </c>
      <c r="R252" s="62">
        <f t="shared" si="15"/>
        <v>0</v>
      </c>
      <c r="S252" s="65" t="s">
        <v>118</v>
      </c>
    </row>
    <row r="253" spans="1:19" ht="21" customHeight="1">
      <c r="A253" s="56">
        <v>249</v>
      </c>
      <c r="B253" s="57">
        <v>45961</v>
      </c>
      <c r="C253" s="58">
        <v>0.64583333333333337</v>
      </c>
      <c r="D253" s="2" t="s">
        <v>623</v>
      </c>
      <c r="E253" s="59" t="s">
        <v>58</v>
      </c>
      <c r="F253" s="59" t="s">
        <v>114</v>
      </c>
      <c r="G253" s="59" t="s">
        <v>784</v>
      </c>
      <c r="H253" s="41" t="s">
        <v>42</v>
      </c>
      <c r="I253" s="56" t="s">
        <v>785</v>
      </c>
      <c r="J253" s="59" t="s">
        <v>117</v>
      </c>
      <c r="K253" s="59" t="s">
        <v>86</v>
      </c>
      <c r="L253" s="60" t="s">
        <v>36</v>
      </c>
      <c r="M253" s="57">
        <v>45961</v>
      </c>
      <c r="N253" s="58">
        <v>0.75</v>
      </c>
      <c r="O253" s="61">
        <f t="shared" ca="1" si="12"/>
        <v>0</v>
      </c>
      <c r="P253" s="43">
        <f t="shared" ca="1" si="13"/>
        <v>0</v>
      </c>
      <c r="Q253" s="7">
        <f t="shared" ca="1" si="14"/>
        <v>2.5</v>
      </c>
      <c r="R253" s="56">
        <f t="shared" si="15"/>
        <v>0</v>
      </c>
      <c r="S253" s="59" t="s">
        <v>118</v>
      </c>
    </row>
    <row r="254" spans="1:19" ht="21" customHeight="1">
      <c r="A254" s="62">
        <v>250</v>
      </c>
      <c r="B254" s="63">
        <v>45964</v>
      </c>
      <c r="C254" s="64">
        <v>0.41666666666666669</v>
      </c>
      <c r="D254" s="10" t="s">
        <v>55</v>
      </c>
      <c r="E254" s="65" t="s">
        <v>53</v>
      </c>
      <c r="F254" s="65" t="s">
        <v>137</v>
      </c>
      <c r="G254" s="65" t="s">
        <v>786</v>
      </c>
      <c r="H254" s="37" t="s">
        <v>40</v>
      </c>
      <c r="I254" s="62" t="s">
        <v>787</v>
      </c>
      <c r="J254" s="65" t="s">
        <v>117</v>
      </c>
      <c r="K254" s="65" t="s">
        <v>86</v>
      </c>
      <c r="L254" s="66" t="s">
        <v>36</v>
      </c>
      <c r="M254" s="63">
        <v>45965</v>
      </c>
      <c r="N254" s="64">
        <v>0.75</v>
      </c>
      <c r="O254" s="67">
        <f t="shared" ca="1" si="12"/>
        <v>32</v>
      </c>
      <c r="P254" s="39">
        <f t="shared" ca="1" si="13"/>
        <v>1.33</v>
      </c>
      <c r="Q254" s="15">
        <f t="shared" ca="1" si="14"/>
        <v>32</v>
      </c>
      <c r="R254" s="62">
        <f t="shared" si="15"/>
        <v>1</v>
      </c>
      <c r="S254" s="65" t="s">
        <v>118</v>
      </c>
    </row>
    <row r="255" spans="1:19" ht="21" customHeight="1">
      <c r="A255" s="56">
        <v>251</v>
      </c>
      <c r="B255" s="57">
        <v>45964</v>
      </c>
      <c r="C255" s="58">
        <v>0.41666666666666669</v>
      </c>
      <c r="D255" s="2" t="s">
        <v>55</v>
      </c>
      <c r="E255" s="59" t="s">
        <v>53</v>
      </c>
      <c r="F255" s="59" t="s">
        <v>137</v>
      </c>
      <c r="G255" s="59" t="s">
        <v>786</v>
      </c>
      <c r="H255" s="41" t="s">
        <v>40</v>
      </c>
      <c r="I255" s="56" t="s">
        <v>788</v>
      </c>
      <c r="J255" s="59" t="s">
        <v>117</v>
      </c>
      <c r="K255" s="59" t="s">
        <v>86</v>
      </c>
      <c r="L255" s="60" t="s">
        <v>36</v>
      </c>
      <c r="M255" s="57">
        <v>45967</v>
      </c>
      <c r="N255" s="58">
        <v>0.75</v>
      </c>
      <c r="O255" s="61">
        <f t="shared" ca="1" si="12"/>
        <v>80</v>
      </c>
      <c r="P255" s="43">
        <f t="shared" ca="1" si="13"/>
        <v>3.33</v>
      </c>
      <c r="Q255" s="7">
        <f t="shared" ca="1" si="14"/>
        <v>80</v>
      </c>
      <c r="R255" s="56">
        <f t="shared" si="15"/>
        <v>1</v>
      </c>
      <c r="S255" s="59" t="s">
        <v>118</v>
      </c>
    </row>
    <row r="256" spans="1:19" ht="21" customHeight="1">
      <c r="A256" s="62">
        <v>252</v>
      </c>
      <c r="B256" s="63">
        <v>45964</v>
      </c>
      <c r="C256" s="64">
        <v>0.375</v>
      </c>
      <c r="D256" s="10" t="s">
        <v>236</v>
      </c>
      <c r="E256" s="65" t="s">
        <v>72</v>
      </c>
      <c r="F256" s="65" t="s">
        <v>137</v>
      </c>
      <c r="G256" s="65" t="s">
        <v>789</v>
      </c>
      <c r="H256" s="37" t="s">
        <v>40</v>
      </c>
      <c r="I256" s="62" t="s">
        <v>131</v>
      </c>
      <c r="J256" s="65" t="s">
        <v>117</v>
      </c>
      <c r="K256" s="65" t="s">
        <v>86</v>
      </c>
      <c r="L256" s="66" t="s">
        <v>36</v>
      </c>
      <c r="M256" s="63">
        <v>45964</v>
      </c>
      <c r="N256" s="64">
        <v>0.75</v>
      </c>
      <c r="O256" s="67">
        <f t="shared" ca="1" si="12"/>
        <v>9</v>
      </c>
      <c r="P256" s="39">
        <f t="shared" ca="1" si="13"/>
        <v>0.38</v>
      </c>
      <c r="Q256" s="15">
        <f t="shared" ca="1" si="14"/>
        <v>9</v>
      </c>
      <c r="R256" s="62">
        <f t="shared" si="15"/>
        <v>1</v>
      </c>
      <c r="S256" s="65" t="s">
        <v>118</v>
      </c>
    </row>
    <row r="257" spans="1:19" ht="21" customHeight="1">
      <c r="A257" s="56">
        <v>253</v>
      </c>
      <c r="B257" s="57">
        <v>45965</v>
      </c>
      <c r="C257" s="58">
        <v>0.5</v>
      </c>
      <c r="D257" s="2" t="s">
        <v>530</v>
      </c>
      <c r="E257" s="59" t="s">
        <v>66</v>
      </c>
      <c r="F257" s="59" t="s">
        <v>114</v>
      </c>
      <c r="G257" s="59" t="s">
        <v>790</v>
      </c>
      <c r="H257" s="41" t="s">
        <v>42</v>
      </c>
      <c r="I257" s="56" t="s">
        <v>131</v>
      </c>
      <c r="J257" s="59" t="s">
        <v>117</v>
      </c>
      <c r="K257" s="59" t="s">
        <v>86</v>
      </c>
      <c r="L257" s="60" t="s">
        <v>36</v>
      </c>
      <c r="M257" s="57">
        <v>45981</v>
      </c>
      <c r="N257" s="58">
        <v>0.75</v>
      </c>
      <c r="O257" s="61">
        <f t="shared" ca="1" si="12"/>
        <v>0</v>
      </c>
      <c r="P257" s="43">
        <f t="shared" ca="1" si="13"/>
        <v>0</v>
      </c>
      <c r="Q257" s="7">
        <f t="shared" ca="1" si="14"/>
        <v>390</v>
      </c>
      <c r="R257" s="56">
        <f t="shared" si="15"/>
        <v>0</v>
      </c>
      <c r="S257" s="59" t="s">
        <v>118</v>
      </c>
    </row>
    <row r="258" spans="1:19" ht="21" customHeight="1">
      <c r="A258" s="62">
        <v>254</v>
      </c>
      <c r="B258" s="63">
        <v>45965</v>
      </c>
      <c r="C258" s="64">
        <v>0.29652777777777778</v>
      </c>
      <c r="D258" s="10" t="s">
        <v>55</v>
      </c>
      <c r="E258" s="65" t="s">
        <v>53</v>
      </c>
      <c r="F258" s="65" t="s">
        <v>137</v>
      </c>
      <c r="G258" s="65" t="s">
        <v>791</v>
      </c>
      <c r="H258" s="37" t="s">
        <v>40</v>
      </c>
      <c r="I258" s="62" t="s">
        <v>131</v>
      </c>
      <c r="J258" s="65" t="s">
        <v>117</v>
      </c>
      <c r="K258" s="65" t="s">
        <v>86</v>
      </c>
      <c r="L258" s="66" t="s">
        <v>36</v>
      </c>
      <c r="M258" s="63">
        <v>45971</v>
      </c>
      <c r="N258" s="64">
        <v>0.75</v>
      </c>
      <c r="O258" s="67">
        <f t="shared" ca="1" si="12"/>
        <v>154.9</v>
      </c>
      <c r="P258" s="39">
        <f t="shared" ca="1" si="13"/>
        <v>6.45</v>
      </c>
      <c r="Q258" s="15">
        <f t="shared" ca="1" si="14"/>
        <v>154.9</v>
      </c>
      <c r="R258" s="62">
        <f t="shared" si="15"/>
        <v>1</v>
      </c>
      <c r="S258" s="65" t="s">
        <v>118</v>
      </c>
    </row>
    <row r="259" spans="1:19" ht="21" customHeight="1">
      <c r="A259" s="56">
        <v>255</v>
      </c>
      <c r="B259" s="57">
        <v>45971</v>
      </c>
      <c r="C259" s="58">
        <v>0.63194444444444442</v>
      </c>
      <c r="D259" s="2" t="s">
        <v>52</v>
      </c>
      <c r="E259" s="59" t="s">
        <v>53</v>
      </c>
      <c r="F259" s="59" t="s">
        <v>122</v>
      </c>
      <c r="G259" s="59" t="s">
        <v>792</v>
      </c>
      <c r="H259" s="41" t="s">
        <v>42</v>
      </c>
      <c r="I259" s="56" t="s">
        <v>793</v>
      </c>
      <c r="J259" s="59" t="s">
        <v>117</v>
      </c>
      <c r="K259" s="59" t="s">
        <v>86</v>
      </c>
      <c r="L259" s="60" t="s">
        <v>36</v>
      </c>
      <c r="M259" s="57">
        <v>45972</v>
      </c>
      <c r="N259" s="58">
        <v>0.75</v>
      </c>
      <c r="O259" s="61">
        <f t="shared" ca="1" si="12"/>
        <v>0</v>
      </c>
      <c r="P259" s="43">
        <f t="shared" ca="1" si="13"/>
        <v>0</v>
      </c>
      <c r="Q259" s="7">
        <f t="shared" ca="1" si="14"/>
        <v>26.8</v>
      </c>
      <c r="R259" s="56">
        <f t="shared" si="15"/>
        <v>0</v>
      </c>
      <c r="S259" s="59" t="s">
        <v>118</v>
      </c>
    </row>
    <row r="260" spans="1:19" ht="21" customHeight="1">
      <c r="A260" s="62">
        <v>256</v>
      </c>
      <c r="B260" s="63">
        <v>45973</v>
      </c>
      <c r="C260" s="64">
        <v>0.40277777777777779</v>
      </c>
      <c r="D260" s="10" t="s">
        <v>52</v>
      </c>
      <c r="E260" s="65" t="s">
        <v>53</v>
      </c>
      <c r="F260" s="65" t="s">
        <v>262</v>
      </c>
      <c r="G260" s="65" t="s">
        <v>794</v>
      </c>
      <c r="H260" s="37" t="s">
        <v>42</v>
      </c>
      <c r="I260" s="62" t="s">
        <v>795</v>
      </c>
      <c r="J260" s="65" t="s">
        <v>117</v>
      </c>
      <c r="K260" s="65" t="s">
        <v>86</v>
      </c>
      <c r="L260" s="66" t="s">
        <v>36</v>
      </c>
      <c r="M260" s="63">
        <v>45973</v>
      </c>
      <c r="N260" s="64">
        <v>0.75</v>
      </c>
      <c r="O260" s="67">
        <f t="shared" ca="1" si="12"/>
        <v>0</v>
      </c>
      <c r="P260" s="39">
        <f t="shared" ca="1" si="13"/>
        <v>0</v>
      </c>
      <c r="Q260" s="15">
        <f t="shared" ca="1" si="14"/>
        <v>8.3000000000000007</v>
      </c>
      <c r="R260" s="62">
        <f t="shared" si="15"/>
        <v>0</v>
      </c>
      <c r="S260" s="65" t="s">
        <v>118</v>
      </c>
    </row>
    <row r="261" spans="1:19" ht="21" customHeight="1">
      <c r="A261" s="56">
        <v>257</v>
      </c>
      <c r="B261" s="57">
        <v>45973</v>
      </c>
      <c r="C261" s="58">
        <v>0.40277777777777779</v>
      </c>
      <c r="D261" s="2" t="s">
        <v>52</v>
      </c>
      <c r="E261" s="59" t="s">
        <v>53</v>
      </c>
      <c r="F261" s="59" t="s">
        <v>122</v>
      </c>
      <c r="G261" s="59" t="s">
        <v>796</v>
      </c>
      <c r="H261" s="41" t="s">
        <v>42</v>
      </c>
      <c r="I261" s="56" t="s">
        <v>797</v>
      </c>
      <c r="J261" s="59" t="s">
        <v>117</v>
      </c>
      <c r="K261" s="59" t="s">
        <v>86</v>
      </c>
      <c r="L261" s="60" t="s">
        <v>36</v>
      </c>
      <c r="M261" s="57">
        <v>45973</v>
      </c>
      <c r="N261" s="58">
        <v>0.75</v>
      </c>
      <c r="O261" s="61">
        <f t="shared" ref="O261:O324" ca="1" si="16">IF(ISBLANK(B261), 0, IF(ISNUMBER(SEARCH("Complete", H261)), IF(ISBLANK(M261), IF(L261="Closed", 4, ROUND(MAX(0, (NOW() - (B261 + IF(ISBLANK(C261), TIME(9,0,0), C261))) * 24), 1)), ROUND(MAX(0, ((M261 + IF(ISBLANK(N261), TIME(18,0,0), N261)) - (B261 + IF(ISBLANK(C261), TIME(9,0,0), C261))) * 24), 1)), 0))</f>
        <v>0</v>
      </c>
      <c r="P261" s="43">
        <f t="shared" ref="P261:P324" ca="1" si="17">ROUND(O261 / 24, 2)</f>
        <v>0</v>
      </c>
      <c r="Q261" s="7">
        <f t="shared" ref="Q261:Q305" ca="1" si="18">IF(ISBLANK(B261), 0, IF(ISBLANK(M261), IF(L261="Closed", 4, ROUND(MAX(0, (NOW() - (B261 + IF(ISBLANK(C261), TIME(9,0,0), C261))) * 24), 1)), ROUND(MAX(0, ((M261 + IF(ISBLANK(N261), TIME(18,0,0), N261)) - (B261 + IF(ISBLANK(C261), TIME(9,0,0), C261))) * 24), 1)))</f>
        <v>8.3000000000000007</v>
      </c>
      <c r="R261" s="56">
        <f t="shared" ref="R261:R305" si="19">IF(ISNUMBER(SEARCH("Complete", H261)), 1, 0)</f>
        <v>0</v>
      </c>
      <c r="S261" s="59" t="s">
        <v>118</v>
      </c>
    </row>
    <row r="262" spans="1:19" ht="21" customHeight="1">
      <c r="A262" s="62">
        <v>258</v>
      </c>
      <c r="B262" s="63">
        <v>45973</v>
      </c>
      <c r="C262" s="64">
        <v>0.52777777777777779</v>
      </c>
      <c r="D262" s="10" t="s">
        <v>432</v>
      </c>
      <c r="E262" s="65" t="s">
        <v>63</v>
      </c>
      <c r="F262" s="65" t="s">
        <v>137</v>
      </c>
      <c r="G262" s="65" t="s">
        <v>798</v>
      </c>
      <c r="H262" s="37" t="s">
        <v>42</v>
      </c>
      <c r="I262" s="62" t="s">
        <v>131</v>
      </c>
      <c r="J262" s="65" t="s">
        <v>142</v>
      </c>
      <c r="K262" s="65" t="s">
        <v>88</v>
      </c>
      <c r="L262" s="66" t="s">
        <v>36</v>
      </c>
      <c r="M262" s="63">
        <v>45973</v>
      </c>
      <c r="N262" s="64">
        <v>0.75</v>
      </c>
      <c r="O262" s="67">
        <f t="shared" ca="1" si="16"/>
        <v>0</v>
      </c>
      <c r="P262" s="39">
        <f t="shared" ca="1" si="17"/>
        <v>0</v>
      </c>
      <c r="Q262" s="15">
        <f t="shared" ca="1" si="18"/>
        <v>5.3</v>
      </c>
      <c r="R262" s="62">
        <f t="shared" si="19"/>
        <v>0</v>
      </c>
      <c r="S262" s="65" t="s">
        <v>680</v>
      </c>
    </row>
    <row r="263" spans="1:19" ht="21" customHeight="1">
      <c r="A263" s="56">
        <v>259</v>
      </c>
      <c r="B263" s="57">
        <v>45974</v>
      </c>
      <c r="C263" s="58">
        <v>0.4201388888888889</v>
      </c>
      <c r="D263" s="2" t="s">
        <v>52</v>
      </c>
      <c r="E263" s="59" t="s">
        <v>53</v>
      </c>
      <c r="F263" s="59" t="s">
        <v>122</v>
      </c>
      <c r="G263" s="59" t="s">
        <v>799</v>
      </c>
      <c r="H263" s="41" t="s">
        <v>42</v>
      </c>
      <c r="I263" s="56" t="s">
        <v>800</v>
      </c>
      <c r="J263" s="59" t="s">
        <v>117</v>
      </c>
      <c r="K263" s="59" t="s">
        <v>86</v>
      </c>
      <c r="L263" s="60" t="s">
        <v>36</v>
      </c>
      <c r="M263" s="57">
        <v>45975</v>
      </c>
      <c r="N263" s="58">
        <v>0.75</v>
      </c>
      <c r="O263" s="61">
        <f t="shared" ca="1" si="16"/>
        <v>0</v>
      </c>
      <c r="P263" s="43">
        <f t="shared" ca="1" si="17"/>
        <v>0</v>
      </c>
      <c r="Q263" s="7">
        <f t="shared" ca="1" si="18"/>
        <v>31.9</v>
      </c>
      <c r="R263" s="56">
        <f t="shared" si="19"/>
        <v>0</v>
      </c>
      <c r="S263" s="59" t="s">
        <v>118</v>
      </c>
    </row>
    <row r="264" spans="1:19" ht="21" customHeight="1">
      <c r="A264" s="62">
        <v>260</v>
      </c>
      <c r="B264" s="63">
        <v>45974</v>
      </c>
      <c r="C264" s="64">
        <v>0.4201388888888889</v>
      </c>
      <c r="D264" s="10" t="s">
        <v>52</v>
      </c>
      <c r="E264" s="65" t="s">
        <v>53</v>
      </c>
      <c r="F264" s="65" t="s">
        <v>262</v>
      </c>
      <c r="G264" s="65" t="s">
        <v>801</v>
      </c>
      <c r="H264" s="37" t="s">
        <v>42</v>
      </c>
      <c r="I264" s="62" t="s">
        <v>802</v>
      </c>
      <c r="J264" s="65" t="s">
        <v>117</v>
      </c>
      <c r="K264" s="65" t="s">
        <v>86</v>
      </c>
      <c r="L264" s="66" t="s">
        <v>36</v>
      </c>
      <c r="M264" s="63">
        <v>45975</v>
      </c>
      <c r="N264" s="64">
        <v>0.75</v>
      </c>
      <c r="O264" s="67">
        <f t="shared" ca="1" si="16"/>
        <v>0</v>
      </c>
      <c r="P264" s="39">
        <f t="shared" ca="1" si="17"/>
        <v>0</v>
      </c>
      <c r="Q264" s="15">
        <f t="shared" ca="1" si="18"/>
        <v>31.9</v>
      </c>
      <c r="R264" s="62">
        <f t="shared" si="19"/>
        <v>0</v>
      </c>
      <c r="S264" s="65" t="s">
        <v>118</v>
      </c>
    </row>
    <row r="265" spans="1:19" ht="21" customHeight="1">
      <c r="A265" s="56">
        <v>261</v>
      </c>
      <c r="B265" s="57">
        <v>45974</v>
      </c>
      <c r="C265" s="58">
        <v>0.43263888888888891</v>
      </c>
      <c r="D265" s="2" t="s">
        <v>52</v>
      </c>
      <c r="E265" s="59" t="s">
        <v>53</v>
      </c>
      <c r="F265" s="59" t="s">
        <v>125</v>
      </c>
      <c r="G265" s="59" t="s">
        <v>803</v>
      </c>
      <c r="H265" s="41" t="s">
        <v>42</v>
      </c>
      <c r="I265" s="56" t="s">
        <v>804</v>
      </c>
      <c r="J265" s="59" t="s">
        <v>117</v>
      </c>
      <c r="K265" s="59" t="s">
        <v>86</v>
      </c>
      <c r="L265" s="60" t="s">
        <v>36</v>
      </c>
      <c r="M265" s="57">
        <v>45975</v>
      </c>
      <c r="N265" s="58">
        <v>0.75</v>
      </c>
      <c r="O265" s="61">
        <f t="shared" ca="1" si="16"/>
        <v>0</v>
      </c>
      <c r="P265" s="43">
        <f t="shared" ca="1" si="17"/>
        <v>0</v>
      </c>
      <c r="Q265" s="7">
        <f t="shared" ca="1" si="18"/>
        <v>31.6</v>
      </c>
      <c r="R265" s="56">
        <f t="shared" si="19"/>
        <v>0</v>
      </c>
      <c r="S265" s="59" t="s">
        <v>118</v>
      </c>
    </row>
    <row r="266" spans="1:19" ht="21" customHeight="1">
      <c r="A266" s="62">
        <v>262</v>
      </c>
      <c r="B266" s="63">
        <v>45976</v>
      </c>
      <c r="C266" s="64">
        <v>0.55208333333333337</v>
      </c>
      <c r="D266" s="10" t="s">
        <v>500</v>
      </c>
      <c r="E266" s="65" t="s">
        <v>66</v>
      </c>
      <c r="F266" s="65" t="s">
        <v>114</v>
      </c>
      <c r="G266" s="65" t="s">
        <v>805</v>
      </c>
      <c r="H266" s="37" t="s">
        <v>42</v>
      </c>
      <c r="I266" s="62" t="s">
        <v>131</v>
      </c>
      <c r="J266" s="65" t="s">
        <v>117</v>
      </c>
      <c r="K266" s="65" t="s">
        <v>86</v>
      </c>
      <c r="L266" s="66" t="s">
        <v>36</v>
      </c>
      <c r="M266" s="63">
        <v>45978</v>
      </c>
      <c r="N266" s="64">
        <v>0.75</v>
      </c>
      <c r="O266" s="67">
        <f t="shared" ca="1" si="16"/>
        <v>0</v>
      </c>
      <c r="P266" s="39">
        <f t="shared" ca="1" si="17"/>
        <v>0</v>
      </c>
      <c r="Q266" s="15">
        <f t="shared" ca="1" si="18"/>
        <v>52.7</v>
      </c>
      <c r="R266" s="62">
        <f t="shared" si="19"/>
        <v>0</v>
      </c>
      <c r="S266" s="65" t="s">
        <v>118</v>
      </c>
    </row>
    <row r="267" spans="1:19" ht="21" customHeight="1">
      <c r="A267" s="56">
        <v>263</v>
      </c>
      <c r="B267" s="57">
        <v>45977</v>
      </c>
      <c r="C267" s="58">
        <v>0.56805555555555554</v>
      </c>
      <c r="D267" s="2" t="s">
        <v>806</v>
      </c>
      <c r="E267" s="59" t="s">
        <v>66</v>
      </c>
      <c r="F267" s="59" t="s">
        <v>114</v>
      </c>
      <c r="G267" s="59" t="s">
        <v>807</v>
      </c>
      <c r="H267" s="41" t="s">
        <v>42</v>
      </c>
      <c r="I267" s="56" t="s">
        <v>131</v>
      </c>
      <c r="J267" s="59" t="s">
        <v>117</v>
      </c>
      <c r="K267" s="59" t="s">
        <v>86</v>
      </c>
      <c r="L267" s="60" t="s">
        <v>36</v>
      </c>
      <c r="M267" s="57">
        <v>45977</v>
      </c>
      <c r="N267" s="58">
        <v>0.75</v>
      </c>
      <c r="O267" s="61">
        <f t="shared" ca="1" si="16"/>
        <v>0</v>
      </c>
      <c r="P267" s="43">
        <f t="shared" ca="1" si="17"/>
        <v>0</v>
      </c>
      <c r="Q267" s="7">
        <f t="shared" ca="1" si="18"/>
        <v>4.4000000000000004</v>
      </c>
      <c r="R267" s="56">
        <f t="shared" si="19"/>
        <v>0</v>
      </c>
      <c r="S267" s="59" t="s">
        <v>118</v>
      </c>
    </row>
    <row r="268" spans="1:19" ht="21" customHeight="1">
      <c r="A268" s="62">
        <v>264</v>
      </c>
      <c r="B268" s="63">
        <v>45978</v>
      </c>
      <c r="C268" s="64">
        <v>0.40277777777777779</v>
      </c>
      <c r="D268" s="10" t="s">
        <v>55</v>
      </c>
      <c r="E268" s="65" t="s">
        <v>53</v>
      </c>
      <c r="F268" s="65" t="s">
        <v>122</v>
      </c>
      <c r="G268" s="65" t="s">
        <v>808</v>
      </c>
      <c r="H268" s="37" t="s">
        <v>42</v>
      </c>
      <c r="I268" s="62" t="s">
        <v>809</v>
      </c>
      <c r="J268" s="65" t="s">
        <v>117</v>
      </c>
      <c r="K268" s="65" t="s">
        <v>86</v>
      </c>
      <c r="L268" s="66" t="s">
        <v>36</v>
      </c>
      <c r="M268" s="63">
        <v>45978</v>
      </c>
      <c r="N268" s="64">
        <v>0.75</v>
      </c>
      <c r="O268" s="67">
        <f t="shared" ca="1" si="16"/>
        <v>0</v>
      </c>
      <c r="P268" s="39">
        <f t="shared" ca="1" si="17"/>
        <v>0</v>
      </c>
      <c r="Q268" s="15">
        <f t="shared" ca="1" si="18"/>
        <v>8.3000000000000007</v>
      </c>
      <c r="R268" s="62">
        <f t="shared" si="19"/>
        <v>0</v>
      </c>
      <c r="S268" s="65" t="s">
        <v>118</v>
      </c>
    </row>
    <row r="269" spans="1:19" ht="21" customHeight="1">
      <c r="A269" s="56">
        <v>265</v>
      </c>
      <c r="B269" s="57">
        <v>45979</v>
      </c>
      <c r="C269" s="58">
        <v>0.45416666666666672</v>
      </c>
      <c r="D269" s="2" t="s">
        <v>55</v>
      </c>
      <c r="E269" s="59" t="s">
        <v>53</v>
      </c>
      <c r="F269" s="59" t="s">
        <v>122</v>
      </c>
      <c r="G269" s="59" t="s">
        <v>810</v>
      </c>
      <c r="H269" s="41" t="s">
        <v>42</v>
      </c>
      <c r="I269" s="56" t="s">
        <v>811</v>
      </c>
      <c r="J269" s="59" t="s">
        <v>117</v>
      </c>
      <c r="K269" s="59" t="s">
        <v>86</v>
      </c>
      <c r="L269" s="60" t="s">
        <v>36</v>
      </c>
      <c r="M269" s="57">
        <v>45980</v>
      </c>
      <c r="N269" s="58">
        <v>0.75</v>
      </c>
      <c r="O269" s="61">
        <f t="shared" ca="1" si="16"/>
        <v>0</v>
      </c>
      <c r="P269" s="43">
        <f t="shared" ca="1" si="17"/>
        <v>0</v>
      </c>
      <c r="Q269" s="7">
        <f t="shared" ca="1" si="18"/>
        <v>31.1</v>
      </c>
      <c r="R269" s="56">
        <f t="shared" si="19"/>
        <v>0</v>
      </c>
      <c r="S269" s="59" t="s">
        <v>118</v>
      </c>
    </row>
    <row r="270" spans="1:19" ht="21" customHeight="1">
      <c r="A270" s="62">
        <v>266</v>
      </c>
      <c r="B270" s="63">
        <v>45979</v>
      </c>
      <c r="C270" s="64">
        <v>0.45416666666666672</v>
      </c>
      <c r="D270" s="10" t="s">
        <v>52</v>
      </c>
      <c r="E270" s="65" t="s">
        <v>53</v>
      </c>
      <c r="F270" s="65" t="s">
        <v>262</v>
      </c>
      <c r="G270" s="65" t="s">
        <v>812</v>
      </c>
      <c r="H270" s="37" t="s">
        <v>42</v>
      </c>
      <c r="I270" s="62" t="s">
        <v>813</v>
      </c>
      <c r="J270" s="65" t="s">
        <v>117</v>
      </c>
      <c r="K270" s="65" t="s">
        <v>86</v>
      </c>
      <c r="L270" s="66" t="s">
        <v>36</v>
      </c>
      <c r="M270" s="63">
        <v>45980</v>
      </c>
      <c r="N270" s="64">
        <v>0.75</v>
      </c>
      <c r="O270" s="67">
        <f t="shared" ca="1" si="16"/>
        <v>0</v>
      </c>
      <c r="P270" s="39">
        <f t="shared" ca="1" si="17"/>
        <v>0</v>
      </c>
      <c r="Q270" s="15">
        <f t="shared" ca="1" si="18"/>
        <v>31.1</v>
      </c>
      <c r="R270" s="62">
        <f t="shared" si="19"/>
        <v>0</v>
      </c>
      <c r="S270" s="65" t="s">
        <v>118</v>
      </c>
    </row>
    <row r="271" spans="1:19" ht="21" customHeight="1">
      <c r="A271" s="56">
        <v>267</v>
      </c>
      <c r="B271" s="57">
        <v>45979</v>
      </c>
      <c r="C271" s="58">
        <v>0.45416666666666672</v>
      </c>
      <c r="D271" s="2" t="s">
        <v>52</v>
      </c>
      <c r="E271" s="59" t="s">
        <v>53</v>
      </c>
      <c r="F271" s="59" t="s">
        <v>125</v>
      </c>
      <c r="G271" s="59" t="s">
        <v>803</v>
      </c>
      <c r="H271" s="41" t="s">
        <v>42</v>
      </c>
      <c r="I271" s="56" t="s">
        <v>814</v>
      </c>
      <c r="J271" s="59" t="s">
        <v>117</v>
      </c>
      <c r="K271" s="59" t="s">
        <v>86</v>
      </c>
      <c r="L271" s="60" t="s">
        <v>36</v>
      </c>
      <c r="M271" s="57">
        <v>45980</v>
      </c>
      <c r="N271" s="58">
        <v>0.75</v>
      </c>
      <c r="O271" s="61">
        <f t="shared" ca="1" si="16"/>
        <v>0</v>
      </c>
      <c r="P271" s="43">
        <f t="shared" ca="1" si="17"/>
        <v>0</v>
      </c>
      <c r="Q271" s="7">
        <f t="shared" ca="1" si="18"/>
        <v>31.1</v>
      </c>
      <c r="R271" s="56">
        <f t="shared" si="19"/>
        <v>0</v>
      </c>
      <c r="S271" s="59" t="s">
        <v>118</v>
      </c>
    </row>
    <row r="272" spans="1:19" ht="21" customHeight="1">
      <c r="A272" s="62">
        <v>268</v>
      </c>
      <c r="B272" s="63">
        <v>45982</v>
      </c>
      <c r="C272" s="64">
        <v>0.48194444444444451</v>
      </c>
      <c r="D272" s="10" t="s">
        <v>55</v>
      </c>
      <c r="E272" s="65" t="s">
        <v>53</v>
      </c>
      <c r="F272" s="65" t="s">
        <v>125</v>
      </c>
      <c r="G272" s="65" t="s">
        <v>126</v>
      </c>
      <c r="H272" s="37" t="s">
        <v>42</v>
      </c>
      <c r="I272" s="62" t="s">
        <v>815</v>
      </c>
      <c r="J272" s="65" t="s">
        <v>117</v>
      </c>
      <c r="K272" s="65" t="s">
        <v>86</v>
      </c>
      <c r="L272" s="66" t="s">
        <v>36</v>
      </c>
      <c r="M272" s="63">
        <v>45986</v>
      </c>
      <c r="N272" s="64">
        <v>0.75</v>
      </c>
      <c r="O272" s="67">
        <f t="shared" ca="1" si="16"/>
        <v>0</v>
      </c>
      <c r="P272" s="39">
        <f t="shared" ca="1" si="17"/>
        <v>0</v>
      </c>
      <c r="Q272" s="15">
        <f t="shared" ca="1" si="18"/>
        <v>102.4</v>
      </c>
      <c r="R272" s="62">
        <f t="shared" si="19"/>
        <v>0</v>
      </c>
      <c r="S272" s="65" t="s">
        <v>118</v>
      </c>
    </row>
    <row r="273" spans="1:19" ht="21" customHeight="1">
      <c r="A273" s="56">
        <v>269</v>
      </c>
      <c r="B273" s="57">
        <v>45983</v>
      </c>
      <c r="C273" s="58">
        <v>0.35</v>
      </c>
      <c r="D273" s="2" t="s">
        <v>150</v>
      </c>
      <c r="E273" s="59" t="s">
        <v>53</v>
      </c>
      <c r="F273" s="59" t="s">
        <v>199</v>
      </c>
      <c r="G273" s="59" t="s">
        <v>816</v>
      </c>
      <c r="H273" s="41" t="s">
        <v>42</v>
      </c>
      <c r="I273" s="56" t="s">
        <v>131</v>
      </c>
      <c r="J273" s="59" t="s">
        <v>117</v>
      </c>
      <c r="K273" s="59" t="s">
        <v>86</v>
      </c>
      <c r="L273" s="60" t="s">
        <v>36</v>
      </c>
      <c r="M273" s="57">
        <v>45985</v>
      </c>
      <c r="N273" s="58">
        <v>0.75</v>
      </c>
      <c r="O273" s="61">
        <f t="shared" ca="1" si="16"/>
        <v>0</v>
      </c>
      <c r="P273" s="43">
        <f t="shared" ca="1" si="17"/>
        <v>0</v>
      </c>
      <c r="Q273" s="7">
        <f t="shared" ca="1" si="18"/>
        <v>57.6</v>
      </c>
      <c r="R273" s="56">
        <f t="shared" si="19"/>
        <v>0</v>
      </c>
      <c r="S273" s="59" t="s">
        <v>118</v>
      </c>
    </row>
    <row r="274" spans="1:19" ht="21" customHeight="1">
      <c r="A274" s="62">
        <v>270</v>
      </c>
      <c r="B274" s="63">
        <v>45985</v>
      </c>
      <c r="C274" s="64">
        <v>0.51111111111111107</v>
      </c>
      <c r="D274" s="10" t="s">
        <v>52</v>
      </c>
      <c r="E274" s="65" t="s">
        <v>53</v>
      </c>
      <c r="F274" s="65" t="s">
        <v>262</v>
      </c>
      <c r="G274" s="65" t="s">
        <v>817</v>
      </c>
      <c r="H274" s="37" t="s">
        <v>40</v>
      </c>
      <c r="I274" s="62" t="s">
        <v>818</v>
      </c>
      <c r="J274" s="65" t="s">
        <v>117</v>
      </c>
      <c r="K274" s="65" t="s">
        <v>86</v>
      </c>
      <c r="L274" s="66" t="s">
        <v>36</v>
      </c>
      <c r="M274" s="63">
        <v>45985</v>
      </c>
      <c r="N274" s="64">
        <v>0.75</v>
      </c>
      <c r="O274" s="67">
        <f t="shared" ca="1" si="16"/>
        <v>5.7</v>
      </c>
      <c r="P274" s="39">
        <f t="shared" ca="1" si="17"/>
        <v>0.24</v>
      </c>
      <c r="Q274" s="15">
        <f t="shared" ca="1" si="18"/>
        <v>5.7</v>
      </c>
      <c r="R274" s="62">
        <f t="shared" si="19"/>
        <v>1</v>
      </c>
      <c r="S274" s="65" t="s">
        <v>118</v>
      </c>
    </row>
    <row r="275" spans="1:19" ht="21" customHeight="1">
      <c r="A275" s="56">
        <v>271</v>
      </c>
      <c r="B275" s="57">
        <v>45989</v>
      </c>
      <c r="C275" s="58">
        <v>0.54166666666666663</v>
      </c>
      <c r="D275" s="2" t="s">
        <v>55</v>
      </c>
      <c r="E275" s="59" t="s">
        <v>53</v>
      </c>
      <c r="F275" s="59" t="s">
        <v>137</v>
      </c>
      <c r="G275" s="59" t="s">
        <v>819</v>
      </c>
      <c r="H275" s="41" t="s">
        <v>42</v>
      </c>
      <c r="I275" s="56" t="s">
        <v>820</v>
      </c>
      <c r="J275" s="59" t="s">
        <v>117</v>
      </c>
      <c r="K275" s="59" t="s">
        <v>86</v>
      </c>
      <c r="L275" s="60" t="s">
        <v>36</v>
      </c>
      <c r="M275" s="57">
        <v>45990</v>
      </c>
      <c r="N275" s="58">
        <v>0.75</v>
      </c>
      <c r="O275" s="61">
        <f t="shared" ca="1" si="16"/>
        <v>0</v>
      </c>
      <c r="P275" s="43">
        <f t="shared" ca="1" si="17"/>
        <v>0</v>
      </c>
      <c r="Q275" s="7">
        <f t="shared" ca="1" si="18"/>
        <v>29</v>
      </c>
      <c r="R275" s="56">
        <f t="shared" si="19"/>
        <v>0</v>
      </c>
      <c r="S275" s="59" t="s">
        <v>118</v>
      </c>
    </row>
    <row r="276" spans="1:19" ht="21" customHeight="1">
      <c r="A276" s="62">
        <v>272</v>
      </c>
      <c r="B276" s="63">
        <v>45989</v>
      </c>
      <c r="C276" s="64">
        <v>0.54166666666666663</v>
      </c>
      <c r="D276" s="10" t="s">
        <v>55</v>
      </c>
      <c r="E276" s="65" t="s">
        <v>53</v>
      </c>
      <c r="F276" s="65" t="s">
        <v>125</v>
      </c>
      <c r="G276" s="65" t="s">
        <v>821</v>
      </c>
      <c r="H276" s="37" t="s">
        <v>42</v>
      </c>
      <c r="I276" s="62" t="s">
        <v>822</v>
      </c>
      <c r="J276" s="65" t="s">
        <v>117</v>
      </c>
      <c r="K276" s="65" t="s">
        <v>86</v>
      </c>
      <c r="L276" s="66" t="s">
        <v>36</v>
      </c>
      <c r="M276" s="63">
        <v>45990</v>
      </c>
      <c r="N276" s="64">
        <v>0.75</v>
      </c>
      <c r="O276" s="67">
        <f t="shared" ca="1" si="16"/>
        <v>0</v>
      </c>
      <c r="P276" s="39">
        <f t="shared" ca="1" si="17"/>
        <v>0</v>
      </c>
      <c r="Q276" s="15">
        <f t="shared" ca="1" si="18"/>
        <v>29</v>
      </c>
      <c r="R276" s="62">
        <f t="shared" si="19"/>
        <v>0</v>
      </c>
      <c r="S276" s="65" t="s">
        <v>118</v>
      </c>
    </row>
    <row r="277" spans="1:19" ht="21" customHeight="1">
      <c r="A277" s="56">
        <v>273</v>
      </c>
      <c r="B277" s="57">
        <v>45989</v>
      </c>
      <c r="C277" s="58">
        <v>0.6069444444444444</v>
      </c>
      <c r="D277" s="2" t="s">
        <v>57</v>
      </c>
      <c r="E277" s="59" t="s">
        <v>58</v>
      </c>
      <c r="F277" s="59" t="s">
        <v>137</v>
      </c>
      <c r="G277" s="59" t="s">
        <v>823</v>
      </c>
      <c r="H277" s="41" t="s">
        <v>42</v>
      </c>
      <c r="I277" s="56" t="s">
        <v>131</v>
      </c>
      <c r="J277" s="59" t="s">
        <v>117</v>
      </c>
      <c r="K277" s="59" t="s">
        <v>86</v>
      </c>
      <c r="L277" s="60" t="s">
        <v>36</v>
      </c>
      <c r="M277" s="57">
        <v>45990</v>
      </c>
      <c r="N277" s="58">
        <v>0.75</v>
      </c>
      <c r="O277" s="61">
        <f t="shared" ca="1" si="16"/>
        <v>0</v>
      </c>
      <c r="P277" s="43">
        <f t="shared" ca="1" si="17"/>
        <v>0</v>
      </c>
      <c r="Q277" s="7">
        <f t="shared" ca="1" si="18"/>
        <v>27.4</v>
      </c>
      <c r="R277" s="56">
        <f t="shared" si="19"/>
        <v>0</v>
      </c>
      <c r="S277" s="59" t="s">
        <v>118</v>
      </c>
    </row>
    <row r="278" spans="1:19" ht="21" customHeight="1">
      <c r="A278" s="62">
        <v>274</v>
      </c>
      <c r="B278" s="63">
        <v>45995</v>
      </c>
      <c r="C278" s="64">
        <v>0.63194444444444442</v>
      </c>
      <c r="D278" s="10" t="s">
        <v>57</v>
      </c>
      <c r="E278" s="65" t="s">
        <v>58</v>
      </c>
      <c r="F278" s="65" t="s">
        <v>137</v>
      </c>
      <c r="G278" s="65" t="s">
        <v>823</v>
      </c>
      <c r="H278" s="37" t="s">
        <v>42</v>
      </c>
      <c r="I278" s="62" t="s">
        <v>131</v>
      </c>
      <c r="J278" s="65" t="s">
        <v>117</v>
      </c>
      <c r="K278" s="65" t="s">
        <v>86</v>
      </c>
      <c r="L278" s="66" t="s">
        <v>36</v>
      </c>
      <c r="M278" s="63">
        <v>45996</v>
      </c>
      <c r="N278" s="64">
        <v>0.75</v>
      </c>
      <c r="O278" s="67">
        <f t="shared" ca="1" si="16"/>
        <v>0</v>
      </c>
      <c r="P278" s="39">
        <f t="shared" ca="1" si="17"/>
        <v>0</v>
      </c>
      <c r="Q278" s="15">
        <f t="shared" ca="1" si="18"/>
        <v>26.8</v>
      </c>
      <c r="R278" s="62">
        <f t="shared" si="19"/>
        <v>0</v>
      </c>
      <c r="S278" s="65" t="s">
        <v>118</v>
      </c>
    </row>
    <row r="279" spans="1:19" ht="21" customHeight="1">
      <c r="A279" s="56">
        <v>275</v>
      </c>
      <c r="B279" s="57">
        <v>45996</v>
      </c>
      <c r="C279" s="58">
        <v>0.47222222222222221</v>
      </c>
      <c r="D279" s="2" t="s">
        <v>52</v>
      </c>
      <c r="E279" s="59" t="s">
        <v>53</v>
      </c>
      <c r="F279" s="59" t="s">
        <v>137</v>
      </c>
      <c r="G279" s="59" t="s">
        <v>824</v>
      </c>
      <c r="H279" s="41" t="s">
        <v>42</v>
      </c>
      <c r="I279" s="56" t="s">
        <v>825</v>
      </c>
      <c r="J279" s="59" t="s">
        <v>117</v>
      </c>
      <c r="K279" s="59" t="s">
        <v>86</v>
      </c>
      <c r="L279" s="60" t="s">
        <v>36</v>
      </c>
      <c r="M279" s="57">
        <v>45996</v>
      </c>
      <c r="N279" s="58">
        <v>0.75</v>
      </c>
      <c r="O279" s="61">
        <f t="shared" ca="1" si="16"/>
        <v>0</v>
      </c>
      <c r="P279" s="43">
        <f t="shared" ca="1" si="17"/>
        <v>0</v>
      </c>
      <c r="Q279" s="7">
        <f t="shared" ca="1" si="18"/>
        <v>6.7</v>
      </c>
      <c r="R279" s="56">
        <f t="shared" si="19"/>
        <v>0</v>
      </c>
      <c r="S279" s="59" t="s">
        <v>118</v>
      </c>
    </row>
    <row r="280" spans="1:19" ht="21" customHeight="1">
      <c r="A280" s="62">
        <v>276</v>
      </c>
      <c r="B280" s="63">
        <v>45996</v>
      </c>
      <c r="C280" s="64">
        <v>0.47222222222222221</v>
      </c>
      <c r="D280" s="10" t="s">
        <v>52</v>
      </c>
      <c r="E280" s="65" t="s">
        <v>53</v>
      </c>
      <c r="F280" s="65" t="s">
        <v>122</v>
      </c>
      <c r="G280" s="65" t="s">
        <v>826</v>
      </c>
      <c r="H280" s="37" t="s">
        <v>42</v>
      </c>
      <c r="I280" s="62" t="s">
        <v>827</v>
      </c>
      <c r="J280" s="65" t="s">
        <v>117</v>
      </c>
      <c r="K280" s="65" t="s">
        <v>86</v>
      </c>
      <c r="L280" s="66" t="s">
        <v>36</v>
      </c>
      <c r="M280" s="63">
        <v>45996</v>
      </c>
      <c r="N280" s="64">
        <v>0.75</v>
      </c>
      <c r="O280" s="67">
        <f t="shared" ca="1" si="16"/>
        <v>0</v>
      </c>
      <c r="P280" s="39">
        <f t="shared" ca="1" si="17"/>
        <v>0</v>
      </c>
      <c r="Q280" s="15">
        <f t="shared" ca="1" si="18"/>
        <v>6.7</v>
      </c>
      <c r="R280" s="62">
        <f t="shared" si="19"/>
        <v>0</v>
      </c>
      <c r="S280" s="65" t="s">
        <v>118</v>
      </c>
    </row>
    <row r="281" spans="1:19" ht="21" customHeight="1">
      <c r="A281" s="56">
        <v>277</v>
      </c>
      <c r="B281" s="57">
        <v>45999</v>
      </c>
      <c r="C281" s="58">
        <v>0.5</v>
      </c>
      <c r="D281" s="2" t="s">
        <v>52</v>
      </c>
      <c r="E281" s="59" t="s">
        <v>53</v>
      </c>
      <c r="F281" s="59" t="s">
        <v>137</v>
      </c>
      <c r="G281" s="59" t="s">
        <v>828</v>
      </c>
      <c r="H281" s="41" t="s">
        <v>42</v>
      </c>
      <c r="I281" s="56" t="s">
        <v>829</v>
      </c>
      <c r="J281" s="59" t="s">
        <v>117</v>
      </c>
      <c r="K281" s="59" t="s">
        <v>86</v>
      </c>
      <c r="L281" s="60" t="s">
        <v>36</v>
      </c>
      <c r="M281" s="57">
        <v>46001</v>
      </c>
      <c r="N281" s="58">
        <v>0.75</v>
      </c>
      <c r="O281" s="61">
        <f t="shared" ca="1" si="16"/>
        <v>0</v>
      </c>
      <c r="P281" s="43">
        <f t="shared" ca="1" si="17"/>
        <v>0</v>
      </c>
      <c r="Q281" s="7">
        <f t="shared" ca="1" si="18"/>
        <v>54</v>
      </c>
      <c r="R281" s="56">
        <f t="shared" si="19"/>
        <v>0</v>
      </c>
      <c r="S281" s="59" t="s">
        <v>118</v>
      </c>
    </row>
    <row r="282" spans="1:19" ht="21" customHeight="1">
      <c r="A282" s="62">
        <v>278</v>
      </c>
      <c r="B282" s="63">
        <v>46000</v>
      </c>
      <c r="C282" s="64">
        <v>0.68055555555555558</v>
      </c>
      <c r="D282" s="10" t="s">
        <v>52</v>
      </c>
      <c r="E282" s="65" t="s">
        <v>53</v>
      </c>
      <c r="F282" s="65" t="s">
        <v>137</v>
      </c>
      <c r="G282" s="65" t="s">
        <v>830</v>
      </c>
      <c r="H282" s="37" t="s">
        <v>42</v>
      </c>
      <c r="I282" s="62" t="s">
        <v>831</v>
      </c>
      <c r="J282" s="65" t="s">
        <v>117</v>
      </c>
      <c r="K282" s="65" t="s">
        <v>86</v>
      </c>
      <c r="L282" s="66" t="s">
        <v>36</v>
      </c>
      <c r="M282" s="63">
        <v>46001</v>
      </c>
      <c r="N282" s="64">
        <v>0.75</v>
      </c>
      <c r="O282" s="67">
        <f t="shared" ca="1" si="16"/>
        <v>0</v>
      </c>
      <c r="P282" s="39">
        <f t="shared" ca="1" si="17"/>
        <v>0</v>
      </c>
      <c r="Q282" s="15">
        <f t="shared" ca="1" si="18"/>
        <v>25.7</v>
      </c>
      <c r="R282" s="62">
        <f t="shared" si="19"/>
        <v>0</v>
      </c>
      <c r="S282" s="65" t="s">
        <v>118</v>
      </c>
    </row>
    <row r="283" spans="1:19" ht="21" customHeight="1">
      <c r="A283" s="56">
        <v>279</v>
      </c>
      <c r="B283" s="57">
        <v>46000</v>
      </c>
      <c r="C283" s="58">
        <v>0.57291666666666663</v>
      </c>
      <c r="D283" s="2" t="s">
        <v>166</v>
      </c>
      <c r="E283" s="59" t="s">
        <v>66</v>
      </c>
      <c r="F283" s="59" t="s">
        <v>167</v>
      </c>
      <c r="G283" s="59" t="s">
        <v>168</v>
      </c>
      <c r="H283" s="41" t="s">
        <v>40</v>
      </c>
      <c r="I283" s="56" t="s">
        <v>131</v>
      </c>
      <c r="J283" s="59" t="s">
        <v>169</v>
      </c>
      <c r="K283" s="59" t="s">
        <v>88</v>
      </c>
      <c r="L283" s="60" t="s">
        <v>36</v>
      </c>
      <c r="M283" s="57">
        <v>46040</v>
      </c>
      <c r="N283" s="58">
        <v>0.75</v>
      </c>
      <c r="O283" s="61">
        <f t="shared" ca="1" si="16"/>
        <v>964.3</v>
      </c>
      <c r="P283" s="43">
        <f t="shared" ca="1" si="17"/>
        <v>40.18</v>
      </c>
      <c r="Q283" s="7">
        <f t="shared" ca="1" si="18"/>
        <v>964.3</v>
      </c>
      <c r="R283" s="56">
        <f t="shared" si="19"/>
        <v>1</v>
      </c>
      <c r="S283" s="59" t="s">
        <v>169</v>
      </c>
    </row>
    <row r="284" spans="1:19" ht="21" customHeight="1">
      <c r="A284" s="62">
        <v>280</v>
      </c>
      <c r="B284" s="63">
        <v>46006</v>
      </c>
      <c r="C284" s="64">
        <v>0.62986111111111109</v>
      </c>
      <c r="D284" s="10" t="s">
        <v>55</v>
      </c>
      <c r="E284" s="65" t="s">
        <v>53</v>
      </c>
      <c r="F284" s="65" t="s">
        <v>122</v>
      </c>
      <c r="G284" s="65" t="s">
        <v>832</v>
      </c>
      <c r="H284" s="37" t="s">
        <v>42</v>
      </c>
      <c r="I284" s="62" t="s">
        <v>833</v>
      </c>
      <c r="J284" s="65" t="s">
        <v>117</v>
      </c>
      <c r="K284" s="65" t="s">
        <v>86</v>
      </c>
      <c r="L284" s="66" t="s">
        <v>36</v>
      </c>
      <c r="M284" s="63">
        <v>46006</v>
      </c>
      <c r="N284" s="64">
        <v>0.75</v>
      </c>
      <c r="O284" s="67">
        <f t="shared" ca="1" si="16"/>
        <v>0</v>
      </c>
      <c r="P284" s="39">
        <f t="shared" ca="1" si="17"/>
        <v>0</v>
      </c>
      <c r="Q284" s="15">
        <f t="shared" ca="1" si="18"/>
        <v>2.9</v>
      </c>
      <c r="R284" s="62">
        <f t="shared" si="19"/>
        <v>0</v>
      </c>
      <c r="S284" s="65" t="s">
        <v>118</v>
      </c>
    </row>
    <row r="285" spans="1:19" ht="21" customHeight="1">
      <c r="A285" s="56">
        <v>281</v>
      </c>
      <c r="B285" s="57">
        <v>46008</v>
      </c>
      <c r="C285" s="58">
        <v>0.38958333333333328</v>
      </c>
      <c r="D285" s="2" t="s">
        <v>52</v>
      </c>
      <c r="E285" s="59" t="s">
        <v>53</v>
      </c>
      <c r="F285" s="59" t="s">
        <v>137</v>
      </c>
      <c r="G285" s="59" t="s">
        <v>834</v>
      </c>
      <c r="H285" s="41" t="s">
        <v>42</v>
      </c>
      <c r="I285" s="56" t="s">
        <v>835</v>
      </c>
      <c r="J285" s="59" t="s">
        <v>117</v>
      </c>
      <c r="K285" s="59" t="s">
        <v>86</v>
      </c>
      <c r="L285" s="60" t="s">
        <v>36</v>
      </c>
      <c r="M285" s="57">
        <v>46008</v>
      </c>
      <c r="N285" s="58">
        <v>0.75</v>
      </c>
      <c r="O285" s="61">
        <f t="shared" ca="1" si="16"/>
        <v>0</v>
      </c>
      <c r="P285" s="43">
        <f t="shared" ca="1" si="17"/>
        <v>0</v>
      </c>
      <c r="Q285" s="7">
        <f t="shared" ca="1" si="18"/>
        <v>8.6999999999999993</v>
      </c>
      <c r="R285" s="56">
        <f t="shared" si="19"/>
        <v>0</v>
      </c>
      <c r="S285" s="59" t="s">
        <v>118</v>
      </c>
    </row>
    <row r="286" spans="1:19" ht="21" customHeight="1">
      <c r="A286" s="62">
        <v>282</v>
      </c>
      <c r="B286" s="63">
        <v>46008</v>
      </c>
      <c r="C286" s="64">
        <v>0.38958333333333328</v>
      </c>
      <c r="D286" s="10" t="s">
        <v>52</v>
      </c>
      <c r="E286" s="65" t="s">
        <v>53</v>
      </c>
      <c r="F286" s="65" t="s">
        <v>262</v>
      </c>
      <c r="G286" s="65" t="s">
        <v>812</v>
      </c>
      <c r="H286" s="37" t="s">
        <v>42</v>
      </c>
      <c r="I286" s="62" t="s">
        <v>836</v>
      </c>
      <c r="J286" s="65" t="s">
        <v>117</v>
      </c>
      <c r="K286" s="65" t="s">
        <v>86</v>
      </c>
      <c r="L286" s="66" t="s">
        <v>36</v>
      </c>
      <c r="M286" s="63">
        <v>46008</v>
      </c>
      <c r="N286" s="64">
        <v>0.75</v>
      </c>
      <c r="O286" s="67">
        <f t="shared" ca="1" si="16"/>
        <v>0</v>
      </c>
      <c r="P286" s="39">
        <f t="shared" ca="1" si="17"/>
        <v>0</v>
      </c>
      <c r="Q286" s="15">
        <f t="shared" ca="1" si="18"/>
        <v>8.6999999999999993</v>
      </c>
      <c r="R286" s="62">
        <f t="shared" si="19"/>
        <v>0</v>
      </c>
      <c r="S286" s="65" t="s">
        <v>118</v>
      </c>
    </row>
    <row r="287" spans="1:19" ht="21" customHeight="1">
      <c r="A287" s="56">
        <v>283</v>
      </c>
      <c r="B287" s="57">
        <v>46008</v>
      </c>
      <c r="C287" s="58">
        <v>0.38958333333333328</v>
      </c>
      <c r="D287" s="2" t="s">
        <v>55</v>
      </c>
      <c r="E287" s="59" t="s">
        <v>53</v>
      </c>
      <c r="F287" s="59" t="s">
        <v>137</v>
      </c>
      <c r="G287" s="59" t="s">
        <v>837</v>
      </c>
      <c r="H287" s="41" t="s">
        <v>42</v>
      </c>
      <c r="I287" s="56" t="s">
        <v>838</v>
      </c>
      <c r="J287" s="59" t="s">
        <v>117</v>
      </c>
      <c r="K287" s="59" t="s">
        <v>86</v>
      </c>
      <c r="L287" s="60" t="s">
        <v>36</v>
      </c>
      <c r="M287" s="57">
        <v>46008</v>
      </c>
      <c r="N287" s="58">
        <v>0.75</v>
      </c>
      <c r="O287" s="61">
        <f t="shared" ca="1" si="16"/>
        <v>0</v>
      </c>
      <c r="P287" s="43">
        <f t="shared" ca="1" si="17"/>
        <v>0</v>
      </c>
      <c r="Q287" s="7">
        <f t="shared" ca="1" si="18"/>
        <v>8.6999999999999993</v>
      </c>
      <c r="R287" s="56">
        <f t="shared" si="19"/>
        <v>0</v>
      </c>
      <c r="S287" s="59" t="s">
        <v>118</v>
      </c>
    </row>
    <row r="288" spans="1:19" ht="21" customHeight="1">
      <c r="A288" s="62">
        <v>284</v>
      </c>
      <c r="B288" s="63">
        <v>46008</v>
      </c>
      <c r="C288" s="64">
        <v>0.38958333333333328</v>
      </c>
      <c r="D288" s="10" t="s">
        <v>55</v>
      </c>
      <c r="E288" s="65" t="s">
        <v>53</v>
      </c>
      <c r="F288" s="65" t="s">
        <v>137</v>
      </c>
      <c r="G288" s="65" t="s">
        <v>839</v>
      </c>
      <c r="H288" s="37" t="s">
        <v>42</v>
      </c>
      <c r="I288" s="62" t="s">
        <v>840</v>
      </c>
      <c r="J288" s="65" t="s">
        <v>117</v>
      </c>
      <c r="K288" s="65" t="s">
        <v>86</v>
      </c>
      <c r="L288" s="66" t="s">
        <v>36</v>
      </c>
      <c r="M288" s="63">
        <v>46008</v>
      </c>
      <c r="N288" s="64">
        <v>0.75</v>
      </c>
      <c r="O288" s="67">
        <f t="shared" ca="1" si="16"/>
        <v>0</v>
      </c>
      <c r="P288" s="39">
        <f t="shared" ca="1" si="17"/>
        <v>0</v>
      </c>
      <c r="Q288" s="15">
        <f t="shared" ca="1" si="18"/>
        <v>8.6999999999999993</v>
      </c>
      <c r="R288" s="62">
        <f t="shared" si="19"/>
        <v>0</v>
      </c>
      <c r="S288" s="65" t="s">
        <v>118</v>
      </c>
    </row>
    <row r="289" spans="1:19" ht="21" customHeight="1">
      <c r="A289" s="56">
        <v>285</v>
      </c>
      <c r="B289" s="57">
        <v>46009</v>
      </c>
      <c r="C289" s="58">
        <v>0.53611111111111109</v>
      </c>
      <c r="D289" s="2" t="s">
        <v>55</v>
      </c>
      <c r="E289" s="59" t="s">
        <v>53</v>
      </c>
      <c r="F289" s="59" t="s">
        <v>262</v>
      </c>
      <c r="G289" s="59" t="s">
        <v>841</v>
      </c>
      <c r="H289" s="41" t="s">
        <v>42</v>
      </c>
      <c r="I289" s="56" t="s">
        <v>842</v>
      </c>
      <c r="J289" s="59" t="s">
        <v>117</v>
      </c>
      <c r="K289" s="59" t="s">
        <v>86</v>
      </c>
      <c r="L289" s="60" t="s">
        <v>36</v>
      </c>
      <c r="M289" s="57">
        <v>46008</v>
      </c>
      <c r="N289" s="58">
        <v>0.75</v>
      </c>
      <c r="O289" s="61">
        <f t="shared" ca="1" si="16"/>
        <v>0</v>
      </c>
      <c r="P289" s="43">
        <f t="shared" ca="1" si="17"/>
        <v>0</v>
      </c>
      <c r="Q289" s="7">
        <f t="shared" ca="1" si="18"/>
        <v>0</v>
      </c>
      <c r="R289" s="56">
        <f t="shared" si="19"/>
        <v>0</v>
      </c>
      <c r="S289" s="59" t="s">
        <v>118</v>
      </c>
    </row>
    <row r="290" spans="1:19" ht="21" customHeight="1">
      <c r="A290" s="62">
        <v>286</v>
      </c>
      <c r="B290" s="63">
        <v>46010</v>
      </c>
      <c r="C290" s="64">
        <v>0.65</v>
      </c>
      <c r="D290" s="10" t="s">
        <v>52</v>
      </c>
      <c r="E290" s="65" t="s">
        <v>53</v>
      </c>
      <c r="F290" s="65" t="s">
        <v>137</v>
      </c>
      <c r="G290" s="65" t="s">
        <v>843</v>
      </c>
      <c r="H290" s="37" t="s">
        <v>42</v>
      </c>
      <c r="I290" s="62" t="s">
        <v>844</v>
      </c>
      <c r="J290" s="65" t="s">
        <v>117</v>
      </c>
      <c r="K290" s="65" t="s">
        <v>86</v>
      </c>
      <c r="L290" s="66" t="s">
        <v>36</v>
      </c>
      <c r="M290" s="63">
        <v>46010</v>
      </c>
      <c r="N290" s="64">
        <v>0.75</v>
      </c>
      <c r="O290" s="67">
        <f t="shared" ca="1" si="16"/>
        <v>0</v>
      </c>
      <c r="P290" s="39">
        <f t="shared" ca="1" si="17"/>
        <v>0</v>
      </c>
      <c r="Q290" s="15">
        <f t="shared" ca="1" si="18"/>
        <v>2.4</v>
      </c>
      <c r="R290" s="62">
        <f t="shared" si="19"/>
        <v>0</v>
      </c>
      <c r="S290" s="65" t="s">
        <v>118</v>
      </c>
    </row>
    <row r="291" spans="1:19" ht="21" customHeight="1">
      <c r="A291" s="56">
        <v>287</v>
      </c>
      <c r="B291" s="57">
        <v>46017</v>
      </c>
      <c r="C291" s="58">
        <v>0.43958333333333333</v>
      </c>
      <c r="D291" s="2" t="s">
        <v>52</v>
      </c>
      <c r="E291" s="59" t="s">
        <v>53</v>
      </c>
      <c r="F291" s="59" t="s">
        <v>137</v>
      </c>
      <c r="G291" s="59" t="s">
        <v>830</v>
      </c>
      <c r="H291" s="41" t="s">
        <v>42</v>
      </c>
      <c r="I291" s="56" t="s">
        <v>845</v>
      </c>
      <c r="J291" s="59" t="s">
        <v>117</v>
      </c>
      <c r="K291" s="59" t="s">
        <v>86</v>
      </c>
      <c r="L291" s="60" t="s">
        <v>36</v>
      </c>
      <c r="M291" s="57">
        <v>46017</v>
      </c>
      <c r="N291" s="58">
        <v>0.75</v>
      </c>
      <c r="O291" s="61">
        <f t="shared" ca="1" si="16"/>
        <v>0</v>
      </c>
      <c r="P291" s="43">
        <f t="shared" ca="1" si="17"/>
        <v>0</v>
      </c>
      <c r="Q291" s="7">
        <f t="shared" ca="1" si="18"/>
        <v>7.5</v>
      </c>
      <c r="R291" s="56">
        <f t="shared" si="19"/>
        <v>0</v>
      </c>
      <c r="S291" s="59" t="s">
        <v>118</v>
      </c>
    </row>
    <row r="292" spans="1:19" ht="21" customHeight="1">
      <c r="A292" s="62">
        <v>288</v>
      </c>
      <c r="B292" s="63">
        <v>46017</v>
      </c>
      <c r="C292" s="64">
        <v>0.43958333333333333</v>
      </c>
      <c r="D292" s="10" t="s">
        <v>55</v>
      </c>
      <c r="E292" s="65" t="s">
        <v>53</v>
      </c>
      <c r="F292" s="65" t="s">
        <v>137</v>
      </c>
      <c r="G292" s="65" t="s">
        <v>846</v>
      </c>
      <c r="H292" s="37" t="s">
        <v>42</v>
      </c>
      <c r="I292" s="62" t="s">
        <v>847</v>
      </c>
      <c r="J292" s="65" t="s">
        <v>117</v>
      </c>
      <c r="K292" s="65" t="s">
        <v>86</v>
      </c>
      <c r="L292" s="66" t="s">
        <v>36</v>
      </c>
      <c r="M292" s="63">
        <v>46017</v>
      </c>
      <c r="N292" s="64">
        <v>0.75</v>
      </c>
      <c r="O292" s="67">
        <f t="shared" ca="1" si="16"/>
        <v>0</v>
      </c>
      <c r="P292" s="39">
        <f t="shared" ca="1" si="17"/>
        <v>0</v>
      </c>
      <c r="Q292" s="15">
        <f t="shared" ca="1" si="18"/>
        <v>7.5</v>
      </c>
      <c r="R292" s="62">
        <f t="shared" si="19"/>
        <v>0</v>
      </c>
      <c r="S292" s="65" t="s">
        <v>118</v>
      </c>
    </row>
    <row r="293" spans="1:19" ht="21" customHeight="1">
      <c r="A293" s="56">
        <v>289</v>
      </c>
      <c r="B293" s="57">
        <v>46017</v>
      </c>
      <c r="C293" s="58">
        <v>0.43958333333333333</v>
      </c>
      <c r="D293" s="2" t="s">
        <v>55</v>
      </c>
      <c r="E293" s="59" t="s">
        <v>53</v>
      </c>
      <c r="F293" s="59" t="s">
        <v>125</v>
      </c>
      <c r="G293" s="59" t="s">
        <v>126</v>
      </c>
      <c r="H293" s="41" t="s">
        <v>42</v>
      </c>
      <c r="I293" s="56" t="s">
        <v>848</v>
      </c>
      <c r="J293" s="59" t="s">
        <v>117</v>
      </c>
      <c r="K293" s="59" t="s">
        <v>86</v>
      </c>
      <c r="L293" s="60" t="s">
        <v>36</v>
      </c>
      <c r="M293" s="57">
        <v>46017</v>
      </c>
      <c r="N293" s="58">
        <v>0.75</v>
      </c>
      <c r="O293" s="61">
        <f t="shared" ca="1" si="16"/>
        <v>0</v>
      </c>
      <c r="P293" s="43">
        <f t="shared" ca="1" si="17"/>
        <v>0</v>
      </c>
      <c r="Q293" s="7">
        <f t="shared" ca="1" si="18"/>
        <v>7.5</v>
      </c>
      <c r="R293" s="56">
        <f t="shared" si="19"/>
        <v>0</v>
      </c>
      <c r="S293" s="59" t="s">
        <v>118</v>
      </c>
    </row>
    <row r="294" spans="1:19" ht="21" customHeight="1">
      <c r="A294" s="62">
        <v>290</v>
      </c>
      <c r="B294" s="63">
        <v>46017</v>
      </c>
      <c r="C294" s="64">
        <v>0.44444444444444442</v>
      </c>
      <c r="D294" s="10" t="s">
        <v>849</v>
      </c>
      <c r="E294" s="65" t="s">
        <v>72</v>
      </c>
      <c r="F294" s="65" t="s">
        <v>137</v>
      </c>
      <c r="G294" s="65" t="s">
        <v>850</v>
      </c>
      <c r="H294" s="37" t="s">
        <v>40</v>
      </c>
      <c r="I294" s="62" t="s">
        <v>131</v>
      </c>
      <c r="J294" s="65" t="s">
        <v>117</v>
      </c>
      <c r="K294" s="65" t="s">
        <v>86</v>
      </c>
      <c r="L294" s="66" t="s">
        <v>36</v>
      </c>
      <c r="M294" s="63">
        <v>46020</v>
      </c>
      <c r="N294" s="64">
        <v>0.75</v>
      </c>
      <c r="O294" s="67">
        <f t="shared" ca="1" si="16"/>
        <v>79.3</v>
      </c>
      <c r="P294" s="39">
        <f t="shared" ca="1" si="17"/>
        <v>3.3</v>
      </c>
      <c r="Q294" s="15">
        <f t="shared" ca="1" si="18"/>
        <v>79.3</v>
      </c>
      <c r="R294" s="62">
        <f t="shared" si="19"/>
        <v>1</v>
      </c>
      <c r="S294" s="65" t="s">
        <v>118</v>
      </c>
    </row>
    <row r="295" spans="1:19" ht="21" customHeight="1">
      <c r="A295" s="56">
        <v>291</v>
      </c>
      <c r="B295" s="57">
        <v>46022</v>
      </c>
      <c r="C295" s="58">
        <v>0.50694444444444442</v>
      </c>
      <c r="D295" s="2" t="s">
        <v>52</v>
      </c>
      <c r="E295" s="59" t="s">
        <v>53</v>
      </c>
      <c r="F295" s="59" t="s">
        <v>262</v>
      </c>
      <c r="G295" s="59" t="s">
        <v>812</v>
      </c>
      <c r="H295" s="41" t="s">
        <v>42</v>
      </c>
      <c r="I295" s="56" t="s">
        <v>851</v>
      </c>
      <c r="J295" s="59" t="s">
        <v>117</v>
      </c>
      <c r="K295" s="59" t="s">
        <v>86</v>
      </c>
      <c r="L295" s="60" t="s">
        <v>36</v>
      </c>
      <c r="M295" s="57">
        <v>46022</v>
      </c>
      <c r="N295" s="58">
        <v>0.75</v>
      </c>
      <c r="O295" s="61">
        <f t="shared" ca="1" si="16"/>
        <v>0</v>
      </c>
      <c r="P295" s="43">
        <f t="shared" ca="1" si="17"/>
        <v>0</v>
      </c>
      <c r="Q295" s="7">
        <f t="shared" ca="1" si="18"/>
        <v>5.8</v>
      </c>
      <c r="R295" s="56">
        <f t="shared" si="19"/>
        <v>0</v>
      </c>
      <c r="S295" s="59" t="s">
        <v>118</v>
      </c>
    </row>
    <row r="296" spans="1:19" ht="21" customHeight="1">
      <c r="A296" s="56" t="str">
        <f t="shared" ref="A296:A305" si="20">IF(ISBLANK(B296), "", A295+1)</f>
        <v/>
      </c>
      <c r="B296" s="68"/>
      <c r="C296" s="69"/>
      <c r="D296" s="70"/>
      <c r="E296" s="70"/>
      <c r="F296" s="70"/>
      <c r="G296" s="70"/>
      <c r="H296" s="70"/>
      <c r="I296" s="71"/>
      <c r="J296" s="70"/>
      <c r="K296" s="70"/>
      <c r="L296" s="71"/>
      <c r="M296" s="68"/>
      <c r="N296" s="69"/>
      <c r="O296" s="72">
        <f t="shared" ca="1" si="16"/>
        <v>0</v>
      </c>
      <c r="P296" s="73">
        <f t="shared" ca="1" si="17"/>
        <v>0</v>
      </c>
      <c r="Q296" s="74">
        <f t="shared" ca="1" si="18"/>
        <v>0</v>
      </c>
      <c r="R296" s="71">
        <f t="shared" si="19"/>
        <v>0</v>
      </c>
      <c r="S296" s="70"/>
    </row>
    <row r="297" spans="1:19" ht="21" customHeight="1">
      <c r="A297" s="56" t="str">
        <f t="shared" si="20"/>
        <v/>
      </c>
      <c r="B297" s="68"/>
      <c r="C297" s="69"/>
      <c r="D297" s="70"/>
      <c r="E297" s="70"/>
      <c r="F297" s="70"/>
      <c r="G297" s="70"/>
      <c r="H297" s="70"/>
      <c r="I297" s="71"/>
      <c r="J297" s="70"/>
      <c r="K297" s="70"/>
      <c r="L297" s="71"/>
      <c r="M297" s="68"/>
      <c r="N297" s="69"/>
      <c r="O297" s="72">
        <f t="shared" ca="1" si="16"/>
        <v>0</v>
      </c>
      <c r="P297" s="73">
        <f t="shared" ca="1" si="17"/>
        <v>0</v>
      </c>
      <c r="Q297" s="74">
        <f t="shared" ca="1" si="18"/>
        <v>0</v>
      </c>
      <c r="R297" s="71">
        <f t="shared" si="19"/>
        <v>0</v>
      </c>
      <c r="S297" s="70"/>
    </row>
    <row r="298" spans="1:19" ht="21" customHeight="1">
      <c r="A298" s="56" t="str">
        <f t="shared" si="20"/>
        <v/>
      </c>
      <c r="B298" s="68"/>
      <c r="C298" s="69"/>
      <c r="D298" s="70"/>
      <c r="E298" s="70"/>
      <c r="F298" s="70"/>
      <c r="G298" s="70"/>
      <c r="H298" s="70"/>
      <c r="I298" s="71"/>
      <c r="J298" s="70"/>
      <c r="K298" s="70"/>
      <c r="L298" s="71"/>
      <c r="M298" s="68"/>
      <c r="N298" s="69"/>
      <c r="O298" s="72">
        <f t="shared" ca="1" si="16"/>
        <v>0</v>
      </c>
      <c r="P298" s="73">
        <f t="shared" ca="1" si="17"/>
        <v>0</v>
      </c>
      <c r="Q298" s="74">
        <f t="shared" ca="1" si="18"/>
        <v>0</v>
      </c>
      <c r="R298" s="71">
        <f t="shared" si="19"/>
        <v>0</v>
      </c>
      <c r="S298" s="70"/>
    </row>
    <row r="299" spans="1:19" ht="21" customHeight="1">
      <c r="A299" s="56" t="str">
        <f t="shared" si="20"/>
        <v/>
      </c>
      <c r="B299" s="68"/>
      <c r="C299" s="69"/>
      <c r="D299" s="70"/>
      <c r="E299" s="70"/>
      <c r="F299" s="70"/>
      <c r="G299" s="70"/>
      <c r="H299" s="70"/>
      <c r="I299" s="71"/>
      <c r="J299" s="70"/>
      <c r="K299" s="70"/>
      <c r="L299" s="71"/>
      <c r="M299" s="68"/>
      <c r="N299" s="69"/>
      <c r="O299" s="72">
        <f t="shared" ca="1" si="16"/>
        <v>0</v>
      </c>
      <c r="P299" s="73">
        <f t="shared" ca="1" si="17"/>
        <v>0</v>
      </c>
      <c r="Q299" s="74">
        <f t="shared" ca="1" si="18"/>
        <v>0</v>
      </c>
      <c r="R299" s="71">
        <f t="shared" si="19"/>
        <v>0</v>
      </c>
      <c r="S299" s="70"/>
    </row>
    <row r="300" spans="1:19" ht="21" customHeight="1">
      <c r="A300" s="56" t="str">
        <f t="shared" si="20"/>
        <v/>
      </c>
      <c r="B300" s="68"/>
      <c r="C300" s="69"/>
      <c r="D300" s="70"/>
      <c r="E300" s="70"/>
      <c r="F300" s="70"/>
      <c r="G300" s="70"/>
      <c r="H300" s="70"/>
      <c r="I300" s="71"/>
      <c r="J300" s="70"/>
      <c r="K300" s="70"/>
      <c r="L300" s="71"/>
      <c r="M300" s="68"/>
      <c r="N300" s="69"/>
      <c r="O300" s="72">
        <f t="shared" ca="1" si="16"/>
        <v>0</v>
      </c>
      <c r="P300" s="73">
        <f t="shared" ca="1" si="17"/>
        <v>0</v>
      </c>
      <c r="Q300" s="74">
        <f t="shared" ca="1" si="18"/>
        <v>0</v>
      </c>
      <c r="R300" s="71">
        <f t="shared" si="19"/>
        <v>0</v>
      </c>
      <c r="S300" s="70"/>
    </row>
    <row r="301" spans="1:19" ht="21" customHeight="1">
      <c r="A301" s="56" t="str">
        <f t="shared" si="20"/>
        <v/>
      </c>
      <c r="B301" s="68"/>
      <c r="C301" s="69"/>
      <c r="D301" s="70"/>
      <c r="E301" s="70"/>
      <c r="F301" s="70"/>
      <c r="G301" s="70"/>
      <c r="H301" s="70"/>
      <c r="I301" s="71"/>
      <c r="J301" s="70"/>
      <c r="K301" s="70"/>
      <c r="L301" s="71"/>
      <c r="M301" s="68"/>
      <c r="N301" s="69"/>
      <c r="O301" s="72">
        <f t="shared" ca="1" si="16"/>
        <v>0</v>
      </c>
      <c r="P301" s="73">
        <f t="shared" ca="1" si="17"/>
        <v>0</v>
      </c>
      <c r="Q301" s="74">
        <f t="shared" ca="1" si="18"/>
        <v>0</v>
      </c>
      <c r="R301" s="71">
        <f t="shared" si="19"/>
        <v>0</v>
      </c>
      <c r="S301" s="70"/>
    </row>
    <row r="302" spans="1:19" ht="21" customHeight="1">
      <c r="A302" s="56" t="str">
        <f t="shared" si="20"/>
        <v/>
      </c>
      <c r="B302" s="68"/>
      <c r="C302" s="69"/>
      <c r="D302" s="70"/>
      <c r="E302" s="70"/>
      <c r="F302" s="70"/>
      <c r="G302" s="70"/>
      <c r="H302" s="70"/>
      <c r="I302" s="71"/>
      <c r="J302" s="70"/>
      <c r="K302" s="70"/>
      <c r="L302" s="71"/>
      <c r="M302" s="68"/>
      <c r="N302" s="69"/>
      <c r="O302" s="72">
        <f t="shared" ca="1" si="16"/>
        <v>0</v>
      </c>
      <c r="P302" s="73">
        <f t="shared" ca="1" si="17"/>
        <v>0</v>
      </c>
      <c r="Q302" s="74">
        <f t="shared" ca="1" si="18"/>
        <v>0</v>
      </c>
      <c r="R302" s="71">
        <f t="shared" si="19"/>
        <v>0</v>
      </c>
      <c r="S302" s="70"/>
    </row>
    <row r="303" spans="1:19" ht="21" customHeight="1">
      <c r="A303" s="56" t="str">
        <f t="shared" si="20"/>
        <v/>
      </c>
      <c r="B303" s="68"/>
      <c r="C303" s="69"/>
      <c r="D303" s="70"/>
      <c r="E303" s="70"/>
      <c r="F303" s="70"/>
      <c r="G303" s="70"/>
      <c r="H303" s="70"/>
      <c r="I303" s="71"/>
      <c r="J303" s="70"/>
      <c r="K303" s="70"/>
      <c r="L303" s="71"/>
      <c r="M303" s="68"/>
      <c r="N303" s="69"/>
      <c r="O303" s="72">
        <f t="shared" ca="1" si="16"/>
        <v>0</v>
      </c>
      <c r="P303" s="73">
        <f t="shared" ca="1" si="17"/>
        <v>0</v>
      </c>
      <c r="Q303" s="74">
        <f t="shared" ca="1" si="18"/>
        <v>0</v>
      </c>
      <c r="R303" s="71">
        <f t="shared" si="19"/>
        <v>0</v>
      </c>
      <c r="S303" s="70"/>
    </row>
    <row r="304" spans="1:19" ht="21" customHeight="1">
      <c r="A304" s="56" t="str">
        <f t="shared" si="20"/>
        <v/>
      </c>
      <c r="B304" s="68"/>
      <c r="C304" s="69"/>
      <c r="D304" s="70"/>
      <c r="E304" s="70"/>
      <c r="F304" s="70"/>
      <c r="G304" s="70"/>
      <c r="H304" s="70"/>
      <c r="I304" s="71"/>
      <c r="J304" s="70"/>
      <c r="K304" s="70"/>
      <c r="L304" s="71"/>
      <c r="M304" s="68"/>
      <c r="N304" s="69"/>
      <c r="O304" s="72">
        <f t="shared" ca="1" si="16"/>
        <v>0</v>
      </c>
      <c r="P304" s="73">
        <f t="shared" ca="1" si="17"/>
        <v>0</v>
      </c>
      <c r="Q304" s="74">
        <f t="shared" ca="1" si="18"/>
        <v>0</v>
      </c>
      <c r="R304" s="71">
        <f t="shared" si="19"/>
        <v>0</v>
      </c>
      <c r="S304" s="70"/>
    </row>
    <row r="305" spans="1:19" ht="21" customHeight="1">
      <c r="A305" s="56" t="str">
        <f t="shared" si="20"/>
        <v/>
      </c>
      <c r="B305" s="68"/>
      <c r="C305" s="69"/>
      <c r="D305" s="70"/>
      <c r="E305" s="70"/>
      <c r="F305" s="70"/>
      <c r="G305" s="70"/>
      <c r="H305" s="70"/>
      <c r="I305" s="71"/>
      <c r="J305" s="70"/>
      <c r="K305" s="70"/>
      <c r="L305" s="71"/>
      <c r="M305" s="68"/>
      <c r="N305" s="69"/>
      <c r="O305" s="72">
        <f t="shared" ca="1" si="16"/>
        <v>0</v>
      </c>
      <c r="P305" s="73">
        <f t="shared" ca="1" si="17"/>
        <v>0</v>
      </c>
      <c r="Q305" s="74">
        <f t="shared" ca="1" si="18"/>
        <v>0</v>
      </c>
      <c r="R305" s="71">
        <f t="shared" si="19"/>
        <v>0</v>
      </c>
      <c r="S305" s="70"/>
    </row>
    <row r="306" spans="1:19" ht="24" customHeight="1">
      <c r="A306" s="75" t="s">
        <v>44</v>
      </c>
      <c r="B306" s="76"/>
      <c r="C306" s="76"/>
      <c r="D306" s="76"/>
      <c r="E306" s="76"/>
      <c r="F306" s="76"/>
      <c r="G306" s="76"/>
      <c r="H306" s="76"/>
      <c r="I306" s="76"/>
      <c r="J306" s="76"/>
      <c r="K306" s="76"/>
      <c r="L306" s="76"/>
      <c r="M306" s="76"/>
      <c r="N306" s="76"/>
      <c r="O306" s="77">
        <f ca="1">SUM(O5:O305)</f>
        <v>40718.699999999997</v>
      </c>
      <c r="P306" s="78">
        <f ca="1">SUM(P5:P305)</f>
        <v>1696.6200000000008</v>
      </c>
      <c r="Q306" s="77">
        <f ca="1">SUM(Q5:Q305)</f>
        <v>59774.3</v>
      </c>
      <c r="R306" s="75">
        <f>SUM(R5:R305)</f>
        <v>154</v>
      </c>
      <c r="S306" s="76"/>
    </row>
  </sheetData>
  <autoFilter ref="A4:S305" xr:uid="{00000000-0009-0000-0000-000002000000}"/>
  <mergeCells count="2">
    <mergeCell ref="A2:S2"/>
    <mergeCell ref="A1:S1"/>
  </mergeCells>
  <conditionalFormatting sqref="H5:H305">
    <cfRule type="expression" dxfId="5" priority="5">
      <formula>ISNUMBER(SEARCH("Complete", H5))</formula>
    </cfRule>
    <cfRule type="expression" dxfId="4" priority="6">
      <formula>ISNUMBER(SEARCH("Partial", H5))</formula>
    </cfRule>
  </conditionalFormatting>
  <conditionalFormatting sqref="L5:L305">
    <cfRule type="cellIs" dxfId="3" priority="1" stopIfTrue="1" operator="equal">
      <formula>"Closed"</formula>
    </cfRule>
    <cfRule type="cellIs" dxfId="2" priority="2" stopIfTrue="1" operator="equal">
      <formula>"In Progress (WIP)"</formula>
    </cfRule>
    <cfRule type="cellIs" dxfId="1" priority="3" stopIfTrue="1" operator="equal">
      <formula>"Open"</formula>
    </cfRule>
    <cfRule type="cellIs" dxfId="0" priority="4" stopIfTrue="1" operator="equal">
      <formula>"Pending Spare Parts"</formula>
    </cfRule>
  </conditionalFormatting>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xr:uid="{00000000-0002-0000-0200-000000000000}">
          <x14:formula1>
            <xm:f>'⚙️ Lookup Lists'!$A$2:$A$7</xm:f>
          </x14:formula1>
          <xm: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xm:sqref>
        </x14:dataValidation>
        <x14:dataValidation type="list" allowBlank="1" xr:uid="{00000000-0002-0000-0200-000001000000}">
          <x14:formula1>
            <xm:f>'⚙️ Lookup Lists'!$B$2:$B$3</xm:f>
          </x14:formula1>
          <xm: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xm:sqref>
        </x14:dataValidation>
        <x14:dataValidation type="list" allowBlank="1" xr:uid="{00000000-0002-0000-0200-000002000000}">
          <x14:formula1>
            <xm:f>'⚙️ Lookup Lists'!$C$2:$C$5</xm:f>
          </x14:formula1>
          <xm: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xm:sqref>
        </x14:dataValidation>
        <x14:dataValidation type="list" allowBlank="1" xr:uid="{00000000-0002-0000-0200-000003000000}">
          <x14:formula1>
            <xm:f>'⚙️ Lookup Lists'!$D$2:$D$5</xm:f>
          </x14:formula1>
          <xm: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workbookViewId="0"/>
  </sheetViews>
  <sheetFormatPr defaultRowHeight="14.5"/>
  <cols>
    <col min="1" max="1" width="28" customWidth="1"/>
    <col min="2" max="2" width="44" customWidth="1"/>
    <col min="3" max="3" width="24" customWidth="1"/>
    <col min="4" max="4" width="28" customWidth="1"/>
  </cols>
  <sheetData>
    <row r="1" spans="1:4" ht="16.5">
      <c r="A1" s="79" t="s">
        <v>852</v>
      </c>
      <c r="B1" s="79" t="s">
        <v>853</v>
      </c>
      <c r="C1" s="79" t="s">
        <v>854</v>
      </c>
      <c r="D1" s="79" t="s">
        <v>855</v>
      </c>
    </row>
    <row r="2" spans="1:4" ht="16">
      <c r="A2" s="80" t="s">
        <v>53</v>
      </c>
      <c r="B2" s="80" t="s">
        <v>40</v>
      </c>
      <c r="C2" s="80" t="s">
        <v>36</v>
      </c>
      <c r="D2" s="80" t="s">
        <v>86</v>
      </c>
    </row>
    <row r="3" spans="1:4" ht="16">
      <c r="A3" s="80" t="s">
        <v>58</v>
      </c>
      <c r="B3" s="80" t="s">
        <v>42</v>
      </c>
      <c r="C3" s="80" t="s">
        <v>37</v>
      </c>
      <c r="D3" s="80" t="s">
        <v>88</v>
      </c>
    </row>
    <row r="4" spans="1:4" ht="16">
      <c r="A4" s="80" t="s">
        <v>69</v>
      </c>
      <c r="C4" s="80" t="s">
        <v>296</v>
      </c>
      <c r="D4" s="80" t="s">
        <v>90</v>
      </c>
    </row>
    <row r="5" spans="1:4" ht="16">
      <c r="A5" s="80" t="s">
        <v>72</v>
      </c>
      <c r="C5" s="80" t="s">
        <v>856</v>
      </c>
      <c r="D5" s="80" t="s">
        <v>92</v>
      </c>
    </row>
    <row r="6" spans="1:4" ht="16">
      <c r="A6" s="80" t="s">
        <v>63</v>
      </c>
    </row>
    <row r="7" spans="1:4" ht="16">
      <c r="A7" s="80" t="s">
        <v>66</v>
      </c>
    </row>
  </sheetData>
  <pageMargins left="0.75" right="0.75" top="1" bottom="1" header="0.5" footer="0.5"/>
</worksheet>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Dashboard</vt:lpstr>
      <vt:lpstr>🛠️ Breakdown Tracker 2026</vt:lpstr>
      <vt:lpstr>📁 Historical Tracker 2024-2025</vt:lpstr>
      <vt:lpstr>⚙️ Lookup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Mohanty, Satyabrata @ Gurgaon</cp:lastModifiedBy>
  <dcterms:created xsi:type="dcterms:W3CDTF">2026-08-19T12:08:34Z</dcterms:created>
  <dcterms:modified xsi:type="dcterms:W3CDTF">2026-08-19T12:27:00Z</dcterms:modified>
</cp:coreProperties>
</file>
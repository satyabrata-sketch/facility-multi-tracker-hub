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cbre-my.sharepoint.com/personal/satyabrata_mohanty1_cbre_com/Documents/Desktop/Satya/Event/"/>
    </mc:Choice>
  </mc:AlternateContent>
  <xr:revisionPtr revIDLastSave="2101" documentId="11_5A69188DF85A881EB9659CA1488F6EF0EC93EAFF" xr6:coauthVersionLast="47" xr6:coauthVersionMax="47" xr10:uidLastSave="{EA0B8102-860A-4297-843F-49FA6FA359BD}"/>
  <bookViews>
    <workbookView minimized="1" xWindow="340" yWindow="1440" windowWidth="14100" windowHeight="10150" firstSheet="28" activeTab="19" xr2:uid="{00000000-000D-0000-FFFF-FFFF00000000}"/>
  </bookViews>
  <sheets>
    <sheet name="Dashboard" sheetId="1" r:id="rId1"/>
    <sheet name="Master_Event_Tracker_2026" sheetId="2" r:id="rId2"/>
    <sheet name="DT-3 Jan26" sheetId="3" r:id="rId3"/>
    <sheet name="DT-4 Jan26" sheetId="4" r:id="rId4"/>
    <sheet name="DT-3 Feb26" sheetId="5" r:id="rId5"/>
    <sheet name="DT-4 Feb26" sheetId="6" r:id="rId6"/>
    <sheet name="DT-3 Mar26" sheetId="7" r:id="rId7"/>
    <sheet name="DT-4 Mar26" sheetId="8" r:id="rId8"/>
    <sheet name="DT-3 Apr26" sheetId="9" r:id="rId9"/>
    <sheet name="DT-4 Apr26" sheetId="10" r:id="rId10"/>
    <sheet name="DT-3 May26" sheetId="11" r:id="rId11"/>
    <sheet name="DT-4 May26" sheetId="12" r:id="rId12"/>
    <sheet name="DT-3 Jun26" sheetId="13" r:id="rId13"/>
    <sheet name="DT-4 Jun26" sheetId="14" r:id="rId14"/>
    <sheet name="DT-3 Jul26" sheetId="15" r:id="rId15"/>
    <sheet name="DT-4 Jul26" sheetId="16" r:id="rId16"/>
    <sheet name="DT-3 Aug26" sheetId="17" r:id="rId17"/>
    <sheet name="DT-4 Aug26" sheetId="18" r:id="rId18"/>
    <sheet name="DT-3 Sep26" sheetId="19" r:id="rId19"/>
    <sheet name="DT-4 Sep26" sheetId="20" r:id="rId20"/>
    <sheet name="DT-3 Oct26" sheetId="21" r:id="rId21"/>
    <sheet name="DT-4 Oct26" sheetId="22" r:id="rId22"/>
    <sheet name="DT-3 Nov26" sheetId="23" r:id="rId23"/>
    <sheet name="DT-4 Nov26" sheetId="24" r:id="rId24"/>
    <sheet name="DT-3 Dec26" sheetId="25" r:id="rId25"/>
    <sheet name="DT-4 Dec26" sheetId="26" r:id="rId26"/>
    <sheet name="DT-4 Jan27" sheetId="27" r:id="rId27"/>
    <sheet name="DT-4 Feb27" sheetId="28" r:id="rId28"/>
    <sheet name="DT-4 Mar27" sheetId="29" r:id="rId29"/>
    <sheet name="Jan25" sheetId="30" r:id="rId30"/>
    <sheet name="Feb25" sheetId="31" r:id="rId31"/>
    <sheet name="Mar25" sheetId="32" r:id="rId32"/>
    <sheet name="Apr25" sheetId="33" r:id="rId33"/>
    <sheet name="May25" sheetId="34" r:id="rId34"/>
    <sheet name="Jun25" sheetId="35" r:id="rId35"/>
    <sheet name="Jul25" sheetId="36" r:id="rId36"/>
    <sheet name="Aug'25 (2)" sheetId="37" r:id="rId37"/>
    <sheet name="Sep'25- Downtown-3" sheetId="38" r:id="rId38"/>
    <sheet name="Downtown-4 Sep'25" sheetId="39" r:id="rId39"/>
    <sheet name="Oct'25" sheetId="40" r:id="rId40"/>
    <sheet name="Nov'25" sheetId="41" r:id="rId41"/>
    <sheet name="Dec25" sheetId="42" r:id="rId42"/>
    <sheet name="Feb'24" sheetId="43" r:id="rId43"/>
    <sheet name="Mar'24" sheetId="44" r:id="rId44"/>
    <sheet name="Apr'24" sheetId="45" r:id="rId45"/>
    <sheet name="May'24" sheetId="46" r:id="rId46"/>
    <sheet name="Jun24" sheetId="47" r:id="rId47"/>
    <sheet name="Jul'24" sheetId="48" r:id="rId48"/>
    <sheet name="Aug24" sheetId="49" r:id="rId49"/>
    <sheet name="Sep24" sheetId="50" r:id="rId50"/>
    <sheet name="Oct24" sheetId="51" r:id="rId51"/>
    <sheet name="Nov24" sheetId="52" r:id="rId52"/>
    <sheet name="Dec24" sheetId="53" r:id="rId53"/>
  </sheets>
  <definedNames>
    <definedName name="_xlnm._FilterDatabase" localSheetId="17" hidden="1">'DT-4 Aug26'!$P$1:$P$328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1" i="18" l="1"/>
  <c r="A30" i="17"/>
  <c r="A45" i="17"/>
  <c r="A44" i="17"/>
  <c r="A54" i="17"/>
  <c r="A76" i="20"/>
  <c r="A43" i="29"/>
  <c r="A42" i="29"/>
  <c r="A41" i="29"/>
  <c r="A40" i="29"/>
  <c r="A39" i="29"/>
  <c r="A38" i="29"/>
  <c r="A37" i="29"/>
  <c r="A36" i="29"/>
  <c r="A33" i="29"/>
  <c r="A32" i="29"/>
  <c r="A31" i="29"/>
  <c r="A26" i="29"/>
  <c r="A25" i="29"/>
  <c r="A24" i="29"/>
  <c r="A23" i="29"/>
  <c r="A19" i="29"/>
  <c r="A18" i="29"/>
  <c r="A17" i="29"/>
  <c r="A16" i="29"/>
  <c r="A12" i="29"/>
  <c r="A11" i="29"/>
  <c r="A10" i="29"/>
  <c r="A44" i="28"/>
  <c r="A43" i="28"/>
  <c r="A42" i="28"/>
  <c r="A41" i="28"/>
  <c r="A40" i="28"/>
  <c r="A39" i="28"/>
  <c r="A38" i="28"/>
  <c r="A37" i="28"/>
  <c r="A36" i="28"/>
  <c r="A35" i="28"/>
  <c r="A34" i="28"/>
  <c r="A33" i="28"/>
  <c r="A32" i="28"/>
  <c r="A27" i="28"/>
  <c r="A26" i="28"/>
  <c r="A25" i="28"/>
  <c r="A24" i="28"/>
  <c r="A20" i="28"/>
  <c r="A19" i="28"/>
  <c r="A18" i="28"/>
  <c r="A17" i="28"/>
  <c r="A13" i="28"/>
  <c r="A12" i="28"/>
  <c r="A11" i="28"/>
  <c r="A10" i="28"/>
  <c r="A43" i="27"/>
  <c r="A42" i="27"/>
  <c r="A41" i="27"/>
  <c r="A40" i="27"/>
  <c r="A39" i="27"/>
  <c r="A38" i="27"/>
  <c r="A37" i="27"/>
  <c r="A36" i="27"/>
  <c r="A35" i="27"/>
  <c r="A34" i="27"/>
  <c r="A30" i="27"/>
  <c r="A29" i="27"/>
  <c r="A28" i="27"/>
  <c r="A27" i="27"/>
  <c r="A23" i="27"/>
  <c r="A22" i="27"/>
  <c r="A21" i="27"/>
  <c r="A20" i="27"/>
  <c r="A16" i="27"/>
  <c r="A15" i="27"/>
  <c r="A14" i="27"/>
  <c r="A13" i="27"/>
  <c r="A5" i="27"/>
  <c r="A4" i="27"/>
  <c r="A3" i="27"/>
  <c r="A53" i="26"/>
  <c r="A52" i="26"/>
  <c r="A51" i="26"/>
  <c r="A50" i="26"/>
  <c r="A49" i="26"/>
  <c r="A48" i="26"/>
  <c r="A47" i="26"/>
  <c r="A46" i="26"/>
  <c r="A45" i="26"/>
  <c r="A44" i="26"/>
  <c r="A43" i="26"/>
  <c r="A42" i="26"/>
  <c r="A41" i="26"/>
  <c r="A40" i="26"/>
  <c r="A39" i="26"/>
  <c r="A38" i="26"/>
  <c r="A37" i="26"/>
  <c r="A33" i="26"/>
  <c r="A32" i="26"/>
  <c r="A31" i="26"/>
  <c r="A26" i="26"/>
  <c r="A25" i="26"/>
  <c r="A24" i="26"/>
  <c r="A23" i="26"/>
  <c r="A19" i="26"/>
  <c r="A18" i="26"/>
  <c r="A17" i="26"/>
  <c r="A16" i="26"/>
  <c r="A12" i="26"/>
  <c r="A11" i="26"/>
  <c r="A10" i="26"/>
  <c r="A50" i="25"/>
  <c r="A49" i="25"/>
  <c r="A48" i="25"/>
  <c r="A47" i="25"/>
  <c r="A46" i="25"/>
  <c r="A45" i="25"/>
  <c r="A44" i="25"/>
  <c r="A43" i="25"/>
  <c r="A42" i="25"/>
  <c r="A41" i="25"/>
  <c r="A40" i="25"/>
  <c r="A39" i="25"/>
  <c r="A38" i="25"/>
  <c r="A37" i="25"/>
  <c r="A36" i="25"/>
  <c r="A35" i="25"/>
  <c r="A34" i="25"/>
  <c r="A33" i="25"/>
  <c r="A32" i="25"/>
  <c r="A31" i="25"/>
  <c r="A30" i="25"/>
  <c r="A29" i="25"/>
  <c r="A28" i="25"/>
  <c r="A26" i="25"/>
  <c r="A25" i="25"/>
  <c r="A24" i="25"/>
  <c r="A23" i="25"/>
  <c r="A22" i="25"/>
  <c r="A21" i="25"/>
  <c r="A20" i="25"/>
  <c r="A19" i="25"/>
  <c r="A18" i="25"/>
  <c r="A17" i="25"/>
  <c r="A16" i="25"/>
  <c r="A15" i="25"/>
  <c r="A14" i="25"/>
  <c r="A13" i="25"/>
  <c r="A12" i="25"/>
  <c r="A11" i="25"/>
  <c r="A10" i="25"/>
  <c r="A9" i="25"/>
  <c r="A8" i="25"/>
  <c r="A7" i="25"/>
  <c r="A6" i="25"/>
  <c r="A5" i="25"/>
  <c r="A4" i="25"/>
  <c r="A3" i="25"/>
  <c r="A55" i="24"/>
  <c r="A54" i="24"/>
  <c r="A53" i="24"/>
  <c r="A52" i="24"/>
  <c r="A51" i="24"/>
  <c r="A50" i="24"/>
  <c r="A49" i="24"/>
  <c r="A48" i="24"/>
  <c r="A47" i="24"/>
  <c r="A46" i="24"/>
  <c r="A45" i="24"/>
  <c r="A44" i="24"/>
  <c r="A43" i="24"/>
  <c r="A42" i="24"/>
  <c r="A41" i="24"/>
  <c r="A40" i="24"/>
  <c r="A37" i="24"/>
  <c r="A36" i="24"/>
  <c r="A34" i="24"/>
  <c r="A29" i="24"/>
  <c r="A28" i="24"/>
  <c r="A27" i="24"/>
  <c r="A26" i="24"/>
  <c r="A22" i="24"/>
  <c r="A21" i="24"/>
  <c r="A20" i="24"/>
  <c r="A19" i="24"/>
  <c r="A14" i="24"/>
  <c r="A13" i="24"/>
  <c r="A12" i="24"/>
  <c r="A11" i="24"/>
  <c r="A3" i="24"/>
  <c r="A50" i="23"/>
  <c r="A49" i="23"/>
  <c r="A48" i="23"/>
  <c r="A47" i="23"/>
  <c r="A46" i="23"/>
  <c r="A45" i="23"/>
  <c r="A44" i="23"/>
  <c r="A43" i="23"/>
  <c r="A42" i="23"/>
  <c r="A41" i="23"/>
  <c r="A40" i="23"/>
  <c r="A39" i="23"/>
  <c r="A38" i="23"/>
  <c r="A37" i="23"/>
  <c r="A36" i="23"/>
  <c r="A35" i="23"/>
  <c r="A34" i="23"/>
  <c r="A33"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57" i="22"/>
  <c r="A56" i="22"/>
  <c r="A55" i="22"/>
  <c r="A54" i="22"/>
  <c r="A53" i="22"/>
  <c r="A52" i="22"/>
  <c r="A51" i="22"/>
  <c r="A50" i="22"/>
  <c r="A49" i="22"/>
  <c r="A48" i="22"/>
  <c r="A47" i="22"/>
  <c r="A46" i="22"/>
  <c r="A43" i="22"/>
  <c r="A38" i="22"/>
  <c r="A37" i="22"/>
  <c r="A36" i="22"/>
  <c r="A35" i="22"/>
  <c r="A32" i="22"/>
  <c r="A31" i="22"/>
  <c r="A30" i="22"/>
  <c r="A29" i="22"/>
  <c r="A8" i="22"/>
  <c r="A7" i="22"/>
  <c r="A6" i="22"/>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4" i="21"/>
  <c r="A13" i="21"/>
  <c r="A12" i="21"/>
  <c r="A11" i="21"/>
  <c r="A8" i="21"/>
  <c r="A7" i="21"/>
  <c r="A6" i="21"/>
  <c r="A5" i="21"/>
  <c r="A4" i="21"/>
  <c r="A142" i="20"/>
  <c r="A103" i="20"/>
  <c r="A70" i="20"/>
  <c r="A42" i="20"/>
  <c r="A41" i="20"/>
  <c r="A72" i="19"/>
  <c r="A71" i="19"/>
  <c r="A70" i="19"/>
  <c r="A69" i="19"/>
  <c r="A68" i="19"/>
  <c r="A67" i="19"/>
  <c r="A66" i="19"/>
  <c r="A65" i="19"/>
  <c r="A64" i="19"/>
  <c r="A63" i="19"/>
  <c r="A62" i="19"/>
  <c r="A61" i="19"/>
  <c r="A60" i="19"/>
  <c r="A59" i="19"/>
  <c r="A39" i="19"/>
  <c r="A28" i="19"/>
  <c r="A10" i="19"/>
  <c r="A46" i="18"/>
  <c r="A4" i="18"/>
  <c r="A3" i="18"/>
  <c r="A55" i="17"/>
  <c r="A32" i="17"/>
  <c r="A31" i="17"/>
  <c r="A18" i="17"/>
  <c r="A17" i="17"/>
  <c r="A4" i="17"/>
  <c r="A3" i="17"/>
  <c r="A139" i="16"/>
  <c r="A91" i="16"/>
  <c r="A90" i="16"/>
  <c r="A52" i="16"/>
  <c r="A51" i="16"/>
  <c r="A15" i="16"/>
  <c r="A14" i="16"/>
  <c r="A65" i="15"/>
  <c r="A57" i="15"/>
  <c r="A56" i="15"/>
  <c r="A55" i="15"/>
  <c r="A37" i="15"/>
  <c r="A27" i="15"/>
  <c r="A9" i="15"/>
  <c r="G120" i="14"/>
  <c r="A120" i="14"/>
  <c r="A109" i="14"/>
  <c r="A108" i="14"/>
  <c r="A86" i="14"/>
  <c r="A85" i="14"/>
  <c r="A50" i="14"/>
  <c r="A49" i="14"/>
  <c r="A30" i="14"/>
  <c r="A29" i="14"/>
  <c r="A50" i="13"/>
  <c r="A49" i="13"/>
  <c r="A48" i="13"/>
  <c r="F47" i="13"/>
  <c r="A43" i="13"/>
  <c r="A38" i="13"/>
  <c r="A36" i="13"/>
  <c r="A31" i="13"/>
  <c r="A19" i="13"/>
  <c r="A18" i="13"/>
  <c r="A8" i="13"/>
  <c r="G94" i="12"/>
  <c r="A93" i="12"/>
  <c r="A92" i="12"/>
  <c r="A69" i="12"/>
  <c r="A68" i="12"/>
  <c r="A43" i="12"/>
  <c r="A42" i="12"/>
  <c r="A41" i="12"/>
  <c r="A26" i="12"/>
  <c r="A25" i="12"/>
  <c r="A19" i="12"/>
  <c r="A17" i="12"/>
  <c r="A7" i="12"/>
  <c r="A6" i="12"/>
  <c r="A50" i="11"/>
  <c r="A49" i="11"/>
  <c r="A48" i="11"/>
  <c r="A47" i="11"/>
  <c r="F46" i="11"/>
  <c r="A46" i="11"/>
  <c r="A45" i="11"/>
  <c r="A44" i="11"/>
  <c r="A37" i="11"/>
  <c r="A36" i="11"/>
  <c r="A27" i="11"/>
  <c r="A26" i="11"/>
  <c r="A17" i="11"/>
  <c r="A16" i="11"/>
  <c r="A15" i="11"/>
  <c r="A14" i="11"/>
  <c r="A5" i="11"/>
  <c r="A3" i="11"/>
  <c r="G70" i="10"/>
  <c r="A70" i="10"/>
  <c r="A49" i="10"/>
  <c r="A48" i="10"/>
  <c r="A39" i="10"/>
  <c r="A37" i="10"/>
  <c r="A21" i="10"/>
  <c r="A12" i="10"/>
  <c r="A11" i="10"/>
  <c r="A10" i="10"/>
  <c r="F55" i="9"/>
  <c r="A55" i="9"/>
  <c r="A54" i="9"/>
  <c r="A42" i="9"/>
  <c r="A27" i="9"/>
  <c r="A26" i="9"/>
  <c r="A16" i="9"/>
  <c r="A15" i="9"/>
  <c r="A10" i="9"/>
  <c r="A8" i="9"/>
  <c r="A7" i="9"/>
  <c r="A6" i="9"/>
  <c r="A5" i="9"/>
  <c r="A4" i="9"/>
  <c r="A113" i="8"/>
  <c r="A81" i="8"/>
  <c r="A80" i="8"/>
  <c r="A61" i="8"/>
  <c r="A60" i="8"/>
  <c r="A58" i="8"/>
  <c r="A51" i="8"/>
  <c r="A41" i="8"/>
  <c r="A27" i="8"/>
  <c r="A24" i="8"/>
  <c r="A3" i="8"/>
  <c r="A57" i="7"/>
  <c r="A49" i="7"/>
  <c r="A40" i="7"/>
  <c r="A26" i="7"/>
  <c r="A24" i="7"/>
  <c r="A23" i="7"/>
  <c r="A22" i="7"/>
  <c r="A10" i="7"/>
  <c r="A6" i="7"/>
  <c r="A5" i="7"/>
  <c r="A4" i="7"/>
  <c r="A3" i="7"/>
  <c r="A119" i="6"/>
  <c r="A75" i="6"/>
  <c r="A50" i="6"/>
  <c r="A27" i="6"/>
  <c r="A25" i="6"/>
  <c r="A3" i="6"/>
  <c r="A50" i="5"/>
  <c r="A49" i="5"/>
  <c r="A48" i="5"/>
  <c r="A47" i="5"/>
  <c r="A46" i="5"/>
  <c r="A36" i="5"/>
  <c r="A29" i="5"/>
  <c r="A12" i="5"/>
  <c r="A10" i="5"/>
  <c r="A3" i="5"/>
  <c r="A63" i="4"/>
  <c r="A44" i="4"/>
  <c r="A43" i="4"/>
  <c r="A42" i="4"/>
  <c r="A40" i="4"/>
  <c r="A23" i="4"/>
  <c r="A15" i="4"/>
  <c r="A14" i="4"/>
  <c r="A13" i="4"/>
  <c r="A12" i="4"/>
  <c r="A11" i="4"/>
  <c r="A10" i="4"/>
  <c r="A8" i="4"/>
  <c r="A7" i="4"/>
  <c r="A6" i="4"/>
  <c r="A5" i="4"/>
  <c r="A50" i="3"/>
  <c r="A49" i="3"/>
  <c r="A48" i="3"/>
  <c r="A47" i="3"/>
  <c r="A37" i="3"/>
  <c r="A33" i="3"/>
  <c r="A29" i="3"/>
  <c r="A25" i="3"/>
  <c r="A18" i="3"/>
  <c r="A15" i="3"/>
  <c r="A12" i="3"/>
  <c r="A11" i="3"/>
  <c r="A10" i="3"/>
  <c r="A9" i="3"/>
  <c r="A6" i="3"/>
  <c r="A5" i="3"/>
  <c r="A4" i="3"/>
  <c r="A3" i="3"/>
  <c r="A3" i="2"/>
  <c r="R67" i="1"/>
  <c r="P67" i="1"/>
  <c r="O67" i="1"/>
  <c r="S67" i="1" s="1"/>
  <c r="M67" i="1"/>
  <c r="S66" i="1"/>
  <c r="R66" i="1"/>
  <c r="P66" i="1"/>
  <c r="O66" i="1"/>
  <c r="M66" i="1"/>
  <c r="R65" i="1"/>
  <c r="P65" i="1"/>
  <c r="S65" i="1" s="1"/>
  <c r="O65" i="1"/>
  <c r="M65" i="1"/>
  <c r="R64" i="1"/>
  <c r="P64" i="1"/>
  <c r="O64" i="1"/>
  <c r="M64" i="1"/>
  <c r="R63" i="1"/>
  <c r="P63" i="1"/>
  <c r="O63" i="1"/>
  <c r="S63" i="1" s="1"/>
  <c r="M63" i="1"/>
  <c r="I57" i="1"/>
  <c r="H57" i="1"/>
  <c r="G57" i="1"/>
  <c r="D57" i="1"/>
  <c r="C57" i="1"/>
  <c r="I56" i="1"/>
  <c r="H56" i="1"/>
  <c r="G56" i="1"/>
  <c r="D56" i="1"/>
  <c r="C56" i="1"/>
  <c r="I55" i="1"/>
  <c r="H55" i="1"/>
  <c r="G55" i="1"/>
  <c r="D55" i="1"/>
  <c r="C55" i="1"/>
  <c r="I54" i="1"/>
  <c r="H54" i="1"/>
  <c r="G54" i="1"/>
  <c r="D54" i="1"/>
  <c r="C54" i="1"/>
  <c r="I53" i="1"/>
  <c r="H53" i="1"/>
  <c r="G53" i="1"/>
  <c r="D53" i="1"/>
  <c r="C53" i="1"/>
  <c r="I52" i="1"/>
  <c r="H52" i="1"/>
  <c r="G52" i="1"/>
  <c r="D52" i="1"/>
  <c r="C52" i="1"/>
  <c r="I51" i="1"/>
  <c r="H51" i="1"/>
  <c r="G51" i="1"/>
  <c r="D51" i="1"/>
  <c r="C51" i="1"/>
  <c r="I50" i="1"/>
  <c r="H50" i="1"/>
  <c r="G50" i="1"/>
  <c r="D50" i="1"/>
  <c r="C50" i="1"/>
  <c r="I49" i="1"/>
  <c r="H49" i="1"/>
  <c r="G49" i="1"/>
  <c r="D49" i="1"/>
  <c r="D58" i="1" s="1"/>
  <c r="C49" i="1"/>
  <c r="C58" i="1" s="1"/>
  <c r="B44" i="1"/>
  <c r="I38" i="1"/>
  <c r="C38" i="1"/>
  <c r="D38" i="1" s="1"/>
  <c r="B38" i="1"/>
  <c r="I36" i="1"/>
  <c r="I34" i="1"/>
  <c r="C33" i="1"/>
  <c r="M27" i="1"/>
  <c r="L27" i="1"/>
  <c r="K27" i="1"/>
  <c r="J27" i="1"/>
  <c r="I27" i="1"/>
  <c r="M26" i="1"/>
  <c r="L26" i="1"/>
  <c r="K26" i="1"/>
  <c r="J26" i="1"/>
  <c r="I26" i="1"/>
  <c r="M25" i="1"/>
  <c r="L25" i="1"/>
  <c r="K25" i="1"/>
  <c r="J25" i="1"/>
  <c r="I25" i="1"/>
  <c r="S24" i="1"/>
  <c r="R24" i="1"/>
  <c r="Q24" i="1"/>
  <c r="P24" i="1"/>
  <c r="M24" i="1"/>
  <c r="L24" i="1"/>
  <c r="K24" i="1"/>
  <c r="J24" i="1"/>
  <c r="I24" i="1"/>
  <c r="C44" i="1" s="1"/>
  <c r="D44" i="1" s="1"/>
  <c r="F24" i="1"/>
  <c r="I44" i="1" s="1"/>
  <c r="E24" i="1"/>
  <c r="G44" i="1" s="1"/>
  <c r="D24" i="1"/>
  <c r="C24" i="1"/>
  <c r="B24" i="1"/>
  <c r="S23" i="1"/>
  <c r="R23" i="1"/>
  <c r="Q23" i="1"/>
  <c r="P23" i="1"/>
  <c r="M23" i="1"/>
  <c r="L23" i="1"/>
  <c r="K23" i="1"/>
  <c r="F43" i="1" s="1"/>
  <c r="J23" i="1"/>
  <c r="I23" i="1"/>
  <c r="C43" i="1" s="1"/>
  <c r="F23" i="1"/>
  <c r="I43" i="1" s="1"/>
  <c r="E23" i="1"/>
  <c r="G43" i="1" s="1"/>
  <c r="D23" i="1"/>
  <c r="C23" i="1"/>
  <c r="B23" i="1"/>
  <c r="B43" i="1" s="1"/>
  <c r="S22" i="1"/>
  <c r="R22" i="1"/>
  <c r="Q22" i="1"/>
  <c r="P22" i="1"/>
  <c r="M22" i="1"/>
  <c r="L22" i="1"/>
  <c r="K22" i="1"/>
  <c r="J22" i="1"/>
  <c r="I22" i="1"/>
  <c r="C42" i="1" s="1"/>
  <c r="F22" i="1"/>
  <c r="I42" i="1" s="1"/>
  <c r="E22" i="1"/>
  <c r="G42" i="1" s="1"/>
  <c r="D22" i="1"/>
  <c r="C22" i="1"/>
  <c r="B22" i="1"/>
  <c r="B42" i="1" s="1"/>
  <c r="S21" i="1"/>
  <c r="R21" i="1"/>
  <c r="Q21" i="1"/>
  <c r="P21" i="1"/>
  <c r="M21" i="1"/>
  <c r="L21" i="1"/>
  <c r="K21" i="1"/>
  <c r="J21" i="1"/>
  <c r="I21" i="1"/>
  <c r="C41" i="1" s="1"/>
  <c r="F21" i="1"/>
  <c r="E21" i="1"/>
  <c r="D21" i="1"/>
  <c r="C21" i="1"/>
  <c r="B21" i="1"/>
  <c r="B41" i="1" s="1"/>
  <c r="S20" i="1"/>
  <c r="R20" i="1"/>
  <c r="Q20" i="1"/>
  <c r="P20" i="1"/>
  <c r="M20" i="1"/>
  <c r="L20" i="1"/>
  <c r="K20" i="1"/>
  <c r="J20" i="1"/>
  <c r="I20" i="1"/>
  <c r="C40" i="1" s="1"/>
  <c r="F20" i="1"/>
  <c r="E20" i="1"/>
  <c r="D20" i="1"/>
  <c r="C20" i="1"/>
  <c r="B20" i="1"/>
  <c r="B40" i="1" s="1"/>
  <c r="S19" i="1"/>
  <c r="R19" i="1"/>
  <c r="Q19" i="1"/>
  <c r="P19" i="1"/>
  <c r="M19" i="1"/>
  <c r="L19" i="1"/>
  <c r="K19" i="1"/>
  <c r="F39" i="1" s="1"/>
  <c r="J19" i="1"/>
  <c r="I19" i="1"/>
  <c r="C39" i="1" s="1"/>
  <c r="F19" i="1"/>
  <c r="I39" i="1" s="1"/>
  <c r="E19" i="1"/>
  <c r="G39" i="1" s="1"/>
  <c r="D19" i="1"/>
  <c r="C19" i="1"/>
  <c r="B19" i="1"/>
  <c r="B39" i="1" s="1"/>
  <c r="S18" i="1"/>
  <c r="R18" i="1"/>
  <c r="Q18" i="1"/>
  <c r="P18" i="1"/>
  <c r="M18" i="1"/>
  <c r="L18" i="1"/>
  <c r="K18" i="1"/>
  <c r="J18" i="1"/>
  <c r="I18" i="1"/>
  <c r="F18" i="1"/>
  <c r="E18" i="1"/>
  <c r="G38" i="1" s="1"/>
  <c r="D18" i="1"/>
  <c r="C18" i="1"/>
  <c r="B18" i="1"/>
  <c r="S17" i="1"/>
  <c r="R17" i="1"/>
  <c r="Q17" i="1"/>
  <c r="P17" i="1"/>
  <c r="M17" i="1"/>
  <c r="L17" i="1"/>
  <c r="K17" i="1"/>
  <c r="J17" i="1"/>
  <c r="I17" i="1"/>
  <c r="C37" i="1" s="1"/>
  <c r="F17" i="1"/>
  <c r="I37" i="1" s="1"/>
  <c r="E17" i="1"/>
  <c r="G37" i="1" s="1"/>
  <c r="D17" i="1"/>
  <c r="C17" i="1"/>
  <c r="B17" i="1"/>
  <c r="B37" i="1" s="1"/>
  <c r="S16" i="1"/>
  <c r="R16" i="1"/>
  <c r="Q16" i="1"/>
  <c r="P16" i="1"/>
  <c r="M16" i="1"/>
  <c r="L16" i="1"/>
  <c r="K16" i="1"/>
  <c r="J16" i="1"/>
  <c r="E36" i="1" s="1"/>
  <c r="I16" i="1"/>
  <c r="C36" i="1" s="1"/>
  <c r="F16" i="1"/>
  <c r="E16" i="1"/>
  <c r="G36" i="1" s="1"/>
  <c r="D16" i="1"/>
  <c r="C16" i="1"/>
  <c r="B16" i="1"/>
  <c r="B36" i="1" s="1"/>
  <c r="S15" i="1"/>
  <c r="R15" i="1"/>
  <c r="Q15" i="1"/>
  <c r="P15" i="1"/>
  <c r="M15" i="1"/>
  <c r="L15" i="1"/>
  <c r="K15" i="1"/>
  <c r="J15" i="1"/>
  <c r="I15" i="1"/>
  <c r="C35" i="1" s="1"/>
  <c r="F15" i="1"/>
  <c r="I35" i="1" s="1"/>
  <c r="E15" i="1"/>
  <c r="G35" i="1" s="1"/>
  <c r="D15" i="1"/>
  <c r="C15" i="1"/>
  <c r="B15" i="1"/>
  <c r="B35" i="1" s="1"/>
  <c r="S14" i="1"/>
  <c r="R14" i="1"/>
  <c r="Q14" i="1"/>
  <c r="P14" i="1"/>
  <c r="M14" i="1"/>
  <c r="L14" i="1"/>
  <c r="K14" i="1"/>
  <c r="J14" i="1"/>
  <c r="I14" i="1"/>
  <c r="C34" i="1" s="1"/>
  <c r="F14" i="1"/>
  <c r="E14" i="1"/>
  <c r="G34" i="1" s="1"/>
  <c r="D14" i="1"/>
  <c r="C14" i="1"/>
  <c r="B14" i="1"/>
  <c r="B34" i="1" s="1"/>
  <c r="S13" i="1"/>
  <c r="R13" i="1"/>
  <c r="Q13" i="1"/>
  <c r="Q25" i="1" s="1"/>
  <c r="P13" i="1"/>
  <c r="M13" i="1"/>
  <c r="L13" i="1"/>
  <c r="K13" i="1"/>
  <c r="J13" i="1"/>
  <c r="I13" i="1"/>
  <c r="F13" i="1"/>
  <c r="I33" i="1" s="1"/>
  <c r="E13" i="1"/>
  <c r="G33" i="1" s="1"/>
  <c r="D13" i="1"/>
  <c r="C13" i="1"/>
  <c r="B13" i="1"/>
  <c r="R8" i="1"/>
  <c r="A6" i="27" l="1"/>
  <c r="D42" i="1"/>
  <c r="G40" i="1"/>
  <c r="I40" i="1"/>
  <c r="I41" i="1"/>
  <c r="S25" i="1"/>
  <c r="S29" i="1" s="1"/>
  <c r="L28" i="1"/>
  <c r="G41" i="1"/>
  <c r="I28" i="1"/>
  <c r="N8" i="1" s="1"/>
  <c r="C25" i="1"/>
  <c r="B25" i="1"/>
  <c r="D25" i="1"/>
  <c r="F41" i="1"/>
  <c r="M28" i="1"/>
  <c r="D40" i="1"/>
  <c r="J28" i="1"/>
  <c r="S34" i="1"/>
  <c r="C45" i="1"/>
  <c r="R36" i="1"/>
  <c r="G58" i="1"/>
  <c r="E33" i="1"/>
  <c r="P30" i="1"/>
  <c r="H8" i="1"/>
  <c r="K28" i="1"/>
  <c r="M37" i="1"/>
  <c r="P25" i="1"/>
  <c r="R25" i="1"/>
  <c r="S37" i="1"/>
  <c r="D36" i="1"/>
  <c r="D41" i="1"/>
  <c r="M36" i="1"/>
  <c r="D35" i="1"/>
  <c r="D39" i="1"/>
  <c r="E25" i="1"/>
  <c r="E34" i="1"/>
  <c r="E35" i="1"/>
  <c r="E37" i="1"/>
  <c r="E38" i="1"/>
  <c r="H38" i="1" s="1"/>
  <c r="E40" i="1"/>
  <c r="E41" i="1"/>
  <c r="E42" i="1"/>
  <c r="E43" i="1"/>
  <c r="H43" i="1" s="1"/>
  <c r="E44" i="1"/>
  <c r="P37" i="1"/>
  <c r="I58" i="1"/>
  <c r="D34" i="1"/>
  <c r="D37" i="1"/>
  <c r="D43" i="1"/>
  <c r="F34" i="1"/>
  <c r="F35" i="1"/>
  <c r="F36" i="1"/>
  <c r="H36" i="1" s="1"/>
  <c r="F37" i="1"/>
  <c r="F38" i="1"/>
  <c r="F40" i="1"/>
  <c r="F42" i="1"/>
  <c r="F25" i="1"/>
  <c r="B33" i="1"/>
  <c r="F33" i="1"/>
  <c r="H58" i="1"/>
  <c r="E39" i="1"/>
  <c r="H39" i="1" s="1"/>
  <c r="F44" i="1"/>
  <c r="S64" i="1"/>
  <c r="A4" i="2"/>
  <c r="A7" i="3"/>
  <c r="A7" i="27" l="1"/>
  <c r="G45" i="1"/>
  <c r="I45" i="1"/>
  <c r="J8" i="1"/>
  <c r="H41" i="1"/>
  <c r="D8" i="1"/>
  <c r="L8" i="1"/>
  <c r="B8" i="1"/>
  <c r="H40" i="1"/>
  <c r="A8" i="3"/>
  <c r="H34" i="1"/>
  <c r="H33" i="1"/>
  <c r="K36" i="1" s="1"/>
  <c r="E45" i="1"/>
  <c r="M34" i="1"/>
  <c r="A5" i="2"/>
  <c r="H37" i="1"/>
  <c r="H35" i="1"/>
  <c r="F45" i="1"/>
  <c r="P34" i="1"/>
  <c r="B45" i="1"/>
  <c r="P36" i="1"/>
  <c r="D33" i="1"/>
  <c r="H44" i="1"/>
  <c r="H42" i="1"/>
  <c r="S28" i="1"/>
  <c r="P8" i="1"/>
  <c r="S30" i="1"/>
  <c r="P29" i="1"/>
  <c r="F8" i="1"/>
  <c r="A8" i="27" l="1"/>
  <c r="D45" i="1"/>
  <c r="K34" i="1"/>
  <c r="A6" i="2"/>
  <c r="P28" i="1"/>
  <c r="H45" i="1"/>
  <c r="A13" i="3"/>
  <c r="A9" i="27" l="1"/>
  <c r="A10" i="27"/>
  <c r="A14" i="3"/>
  <c r="A7" i="2"/>
  <c r="A8" i="2" s="1"/>
  <c r="A11" i="27" l="1"/>
  <c r="A12" i="27"/>
  <c r="A9" i="2"/>
  <c r="A10" i="2" s="1"/>
  <c r="A16" i="3"/>
  <c r="A17" i="27" l="1"/>
  <c r="A17" i="3"/>
  <c r="A11" i="2"/>
  <c r="A18" i="27" l="1"/>
  <c r="A19" i="27"/>
  <c r="A19" i="3"/>
  <c r="A12" i="2"/>
  <c r="A24" i="27" l="1"/>
  <c r="A20" i="3"/>
  <c r="A13" i="2"/>
  <c r="A21" i="3"/>
  <c r="A25" i="27" l="1"/>
  <c r="A14" i="2"/>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22" i="3"/>
  <c r="A26" i="27" l="1"/>
  <c r="A31" i="27" s="1"/>
  <c r="A32" i="27" s="1"/>
  <c r="A23" i="3"/>
  <c r="A33" i="27" l="1"/>
  <c r="A24" i="3"/>
  <c r="A3" i="28" l="1"/>
  <c r="A26" i="3"/>
  <c r="A5" i="28" l="1"/>
  <c r="A6" i="28" s="1"/>
  <c r="A27" i="3"/>
  <c r="A7" i="28" l="1"/>
  <c r="A8" i="28" s="1"/>
  <c r="A9" i="28" s="1"/>
  <c r="A28" i="3"/>
  <c r="A14" i="28" l="1"/>
  <c r="A15" i="28" s="1"/>
  <c r="A30" i="3"/>
  <c r="A16" i="28" l="1"/>
  <c r="A31" i="3"/>
  <c r="A21" i="28" l="1"/>
  <c r="A22" i="28" s="1"/>
  <c r="A23" i="28" s="1"/>
  <c r="A28" i="28" s="1"/>
  <c r="A29" i="28" s="1"/>
  <c r="A30" i="28" s="1"/>
  <c r="A32" i="3"/>
  <c r="A31" i="28" l="1"/>
  <c r="A34" i="3"/>
  <c r="A3" i="29" l="1"/>
  <c r="A4" i="29" s="1"/>
  <c r="A35" i="3"/>
  <c r="A5" i="29" l="1"/>
  <c r="A36" i="3"/>
  <c r="A6" i="29" l="1"/>
  <c r="A7" i="29" s="1"/>
  <c r="A8" i="29" s="1"/>
  <c r="A9" i="29" s="1"/>
  <c r="A13" i="29" s="1"/>
  <c r="A14" i="29" s="1"/>
  <c r="A38" i="3"/>
  <c r="A15" i="29" l="1"/>
  <c r="A20" i="29" s="1"/>
  <c r="A39" i="3"/>
  <c r="A21" i="29" l="1"/>
  <c r="A22" i="29" s="1"/>
  <c r="A27" i="29" s="1"/>
  <c r="A28" i="29" s="1"/>
  <c r="A29" i="29" s="1"/>
  <c r="A30" i="29" s="1"/>
  <c r="A34" i="29" s="1"/>
  <c r="A35" i="29" s="1"/>
  <c r="A40" i="3"/>
  <c r="A41" i="3" l="1"/>
  <c r="A42" i="3" l="1"/>
  <c r="A43" i="3" l="1"/>
  <c r="A44" i="3" l="1"/>
  <c r="A45" i="3" l="1"/>
  <c r="A46" i="3" l="1"/>
  <c r="A3" i="4" l="1"/>
  <c r="A4" i="4" l="1"/>
  <c r="A9" i="4" l="1"/>
  <c r="A16" i="4" l="1"/>
  <c r="A17" i="4" l="1"/>
  <c r="A18" i="4" l="1"/>
  <c r="A19" i="4" l="1"/>
  <c r="A20" i="4" l="1"/>
  <c r="A21" i="4" l="1"/>
  <c r="A22" i="4" l="1"/>
  <c r="A24" i="4" l="1"/>
  <c r="A25" i="4" l="1"/>
  <c r="A26" i="4" l="1"/>
  <c r="A27" i="4" l="1"/>
  <c r="A28" i="4" l="1"/>
  <c r="A29" i="4" l="1"/>
  <c r="A30" i="4" l="1"/>
  <c r="A31" i="4" l="1"/>
  <c r="A32" i="4" l="1"/>
  <c r="A33" i="4" l="1"/>
  <c r="A34" i="4" l="1"/>
  <c r="A35" i="4" s="1"/>
  <c r="A36" i="4" s="1"/>
  <c r="A37" i="4" s="1"/>
  <c r="A38" i="4" s="1"/>
  <c r="A39" i="4" l="1"/>
  <c r="A41" i="4" l="1"/>
  <c r="A45" i="4" s="1"/>
  <c r="A46" i="4" l="1"/>
  <c r="A47" i="4" s="1"/>
  <c r="A48" i="4" l="1"/>
  <c r="A49" i="4" l="1"/>
  <c r="A50" i="4" l="1"/>
  <c r="A51" i="4" s="1"/>
  <c r="A52" i="4" l="1"/>
  <c r="A53" i="4" l="1"/>
  <c r="A54" i="4" l="1"/>
  <c r="A55" i="4" l="1"/>
  <c r="A56" i="4" l="1"/>
  <c r="A57" i="4" l="1"/>
  <c r="A58" i="4" l="1"/>
  <c r="A59" i="4" l="1"/>
  <c r="A60" i="4" l="1"/>
  <c r="A61" i="4" l="1"/>
  <c r="A62" i="4" l="1"/>
  <c r="A4" i="5" l="1"/>
  <c r="A5" i="5" l="1"/>
  <c r="A6" i="5" l="1"/>
  <c r="A7" i="5" l="1"/>
  <c r="A8" i="5" l="1"/>
  <c r="A9" i="5" l="1"/>
  <c r="A11" i="5" l="1"/>
  <c r="A13" i="5" l="1"/>
  <c r="A14" i="5" l="1"/>
  <c r="A15" i="5" s="1"/>
  <c r="A16" i="5" l="1"/>
  <c r="A17" i="5" s="1"/>
  <c r="A18" i="5" l="1"/>
  <c r="A19" i="5" l="1"/>
  <c r="A20" i="5" l="1"/>
  <c r="A21" i="5" l="1"/>
  <c r="A22" i="5" l="1"/>
  <c r="A23" i="5" l="1"/>
  <c r="A24" i="5" l="1"/>
  <c r="A25" i="5" l="1"/>
  <c r="A26" i="5" l="1"/>
  <c r="A27" i="5" s="1"/>
  <c r="A28" i="5" l="1"/>
  <c r="A30" i="5" l="1"/>
  <c r="A31" i="5" l="1"/>
  <c r="A32" i="5" l="1"/>
  <c r="A33" i="5" l="1"/>
  <c r="A34" i="5" l="1"/>
  <c r="A35" i="5" l="1"/>
  <c r="A37" i="5" l="1"/>
  <c r="A38" i="5" l="1"/>
  <c r="A39" i="5" s="1"/>
  <c r="A40" i="5" l="1"/>
  <c r="A41" i="5" l="1"/>
  <c r="A42" i="5" s="1"/>
  <c r="A43" i="5" l="1"/>
  <c r="A44" i="5" l="1"/>
  <c r="A45" i="5" s="1"/>
  <c r="A4" i="6" l="1"/>
  <c r="A5" i="6" s="1"/>
  <c r="A6" i="6" s="1"/>
  <c r="A7" i="6" l="1"/>
  <c r="A8" i="6" l="1"/>
  <c r="A9" i="6" l="1"/>
  <c r="A10" i="6" l="1"/>
  <c r="A11" i="6" l="1"/>
  <c r="A12" i="6" s="1"/>
  <c r="A13" i="6" l="1"/>
  <c r="A14" i="6" s="1"/>
  <c r="A15" i="6" l="1"/>
  <c r="A16" i="6" l="1"/>
  <c r="A17" i="6" l="1"/>
  <c r="A18" i="6" s="1"/>
  <c r="A19" i="6" s="1"/>
  <c r="A20" i="6" l="1"/>
  <c r="A21" i="6" l="1"/>
  <c r="A22" i="6" s="1"/>
  <c r="A23" i="6" l="1"/>
  <c r="A24" i="6" s="1"/>
  <c r="A26" i="6" l="1"/>
  <c r="A28" i="6" l="1"/>
  <c r="A29" i="6" l="1"/>
  <c r="A30" i="6" s="1"/>
  <c r="A31" i="6" l="1"/>
  <c r="A32" i="6" l="1"/>
  <c r="A33" i="6" l="1"/>
  <c r="A34" i="6" l="1"/>
  <c r="A35" i="6" l="1"/>
  <c r="A36" i="6" l="1"/>
  <c r="A37" i="6" l="1"/>
  <c r="A38" i="6" l="1"/>
  <c r="A39" i="6" l="1"/>
  <c r="A40" i="6" l="1"/>
  <c r="A41" i="6" l="1"/>
  <c r="A42" i="6" l="1"/>
  <c r="A43" i="6" l="1"/>
  <c r="A44" i="6" l="1"/>
  <c r="A45" i="6" l="1"/>
  <c r="A46" i="6" l="1"/>
  <c r="A47" i="6" l="1"/>
  <c r="A48" i="6" l="1"/>
  <c r="A49" i="6" l="1"/>
  <c r="A51" i="6" l="1"/>
  <c r="A52" i="6" l="1"/>
  <c r="A53" i="6" l="1"/>
  <c r="A54" i="6" l="1"/>
  <c r="A55" i="6" l="1"/>
  <c r="A56" i="6" l="1"/>
  <c r="A57" i="6" l="1"/>
  <c r="A58" i="6" l="1"/>
  <c r="A59" i="6" l="1"/>
  <c r="A60" i="6" l="1"/>
  <c r="A61" i="6" l="1"/>
  <c r="A62" i="6" l="1"/>
  <c r="A63" i="6" l="1"/>
  <c r="A64" i="6" l="1"/>
  <c r="A52" i="19"/>
  <c r="A65" i="6" l="1"/>
  <c r="A66" i="6" l="1"/>
  <c r="A67" i="6" l="1"/>
  <c r="A68" i="6" l="1"/>
  <c r="A69" i="6" l="1"/>
  <c r="A70" i="6" l="1"/>
  <c r="A71" i="6" l="1"/>
  <c r="A72" i="6" l="1"/>
  <c r="A73" i="6" l="1"/>
  <c r="A74" i="6" l="1"/>
  <c r="A76" i="6" l="1"/>
  <c r="A77" i="6" l="1"/>
  <c r="A78" i="6" l="1"/>
  <c r="A79" i="6" l="1"/>
  <c r="A80" i="6" l="1"/>
  <c r="A81" i="6" l="1"/>
  <c r="A82" i="6" l="1"/>
  <c r="A83" i="6" l="1"/>
  <c r="A84" i="6" l="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20" i="6" s="1"/>
  <c r="A121" i="6" s="1"/>
  <c r="A7" i="7" l="1"/>
  <c r="A8" i="7" s="1"/>
  <c r="A9" i="7" s="1"/>
  <c r="A11" i="7" s="1"/>
  <c r="A12" i="7" l="1"/>
  <c r="A13" i="7" s="1"/>
  <c r="A14" i="7" l="1"/>
  <c r="A15" i="7" l="1"/>
  <c r="A16" i="7" l="1"/>
  <c r="A17" i="7" s="1"/>
  <c r="A18" i="7" s="1"/>
  <c r="A19" i="7" s="1"/>
  <c r="A20" i="7" l="1"/>
  <c r="A21" i="7" s="1"/>
  <c r="A25" i="7" s="1"/>
  <c r="A27" i="7" s="1"/>
  <c r="A28" i="7" s="1"/>
  <c r="A29" i="7" l="1"/>
  <c r="A30" i="7" l="1"/>
  <c r="A31" i="7" l="1"/>
  <c r="A32" i="7" l="1"/>
  <c r="A33" i="7" l="1"/>
  <c r="A34" i="7" l="1"/>
  <c r="A35" i="7" l="1"/>
  <c r="A36" i="7" l="1"/>
  <c r="A37" i="7" l="1"/>
  <c r="A38" i="7" l="1"/>
  <c r="A39" i="7" l="1"/>
  <c r="A41" i="7" l="1"/>
  <c r="A42" i="7" l="1"/>
  <c r="A43" i="7" l="1"/>
  <c r="A44" i="7" l="1"/>
  <c r="A45" i="7" l="1"/>
  <c r="A46" i="7" l="1"/>
  <c r="A47" i="7" l="1"/>
  <c r="A48" i="7" l="1"/>
  <c r="A50" i="7" l="1"/>
  <c r="A51" i="7" l="1"/>
  <c r="A52" i="7" l="1"/>
  <c r="A53" i="7" l="1"/>
  <c r="A54" i="7" l="1"/>
  <c r="A55" i="7" l="1"/>
  <c r="A56" i="7" l="1"/>
  <c r="A58" i="7" l="1"/>
  <c r="A59" i="7" l="1"/>
  <c r="A60" i="7" l="1"/>
  <c r="A61" i="7" l="1"/>
  <c r="A4" i="8" l="1"/>
  <c r="A5" i="8" l="1"/>
  <c r="A6" i="8" l="1"/>
  <c r="A7" i="8" l="1"/>
  <c r="A8" i="8" s="1"/>
  <c r="A9" i="8" s="1"/>
  <c r="A10" i="8" l="1"/>
  <c r="A11" i="8" l="1"/>
  <c r="A12" i="8" s="1"/>
  <c r="A13" i="8" s="1"/>
  <c r="A14" i="8" l="1"/>
  <c r="A15" i="8" l="1"/>
  <c r="A16" i="8" l="1"/>
  <c r="A17" i="8" l="1"/>
  <c r="A18" i="8" l="1"/>
  <c r="A19" i="8" l="1"/>
  <c r="A20" i="8" l="1"/>
  <c r="A21" i="8" l="1"/>
  <c r="A22" i="8" l="1"/>
  <c r="A23" i="8" l="1"/>
  <c r="A25" i="8" l="1"/>
  <c r="A26" i="8" l="1"/>
  <c r="A28" i="8" l="1"/>
  <c r="A29" i="8" l="1"/>
  <c r="A30" i="8" l="1"/>
  <c r="A31" i="8" l="1"/>
  <c r="A32" i="8" l="1"/>
  <c r="A33" i="8" l="1"/>
  <c r="A34" i="8" l="1"/>
  <c r="A35" i="8" l="1"/>
  <c r="A36" i="8" l="1"/>
  <c r="A37" i="8" l="1"/>
  <c r="A38" i="8" l="1"/>
  <c r="A39" i="8" l="1"/>
  <c r="A40" i="8" l="1"/>
  <c r="A42" i="8" l="1"/>
  <c r="A43" i="8" l="1"/>
  <c r="A44" i="8" l="1"/>
  <c r="A45" i="8" l="1"/>
  <c r="A46" i="8" l="1"/>
  <c r="A47" i="8" l="1"/>
  <c r="A48" i="8" l="1"/>
  <c r="A49" i="8" l="1"/>
  <c r="A50" i="8" l="1"/>
  <c r="A52" i="8" l="1"/>
  <c r="A53" i="8" l="1"/>
  <c r="A54" i="8" l="1"/>
  <c r="A55" i="8" l="1"/>
  <c r="A56" i="8" l="1"/>
  <c r="A57" i="8" l="1"/>
  <c r="A59" i="8" l="1"/>
  <c r="A62" i="8" l="1"/>
  <c r="A63" i="8" l="1"/>
  <c r="A64" i="8" l="1"/>
  <c r="A65" i="8" l="1"/>
  <c r="A66" i="8" l="1"/>
  <c r="A67" i="8" l="1"/>
  <c r="A68" i="8" l="1"/>
  <c r="A69" i="8" l="1"/>
  <c r="A70" i="8" l="1"/>
  <c r="A71" i="8" l="1"/>
  <c r="A72" i="8" l="1"/>
  <c r="A73" i="8" l="1"/>
  <c r="A74" i="8" l="1"/>
  <c r="A75" i="8" l="1"/>
  <c r="A76" i="8" l="1"/>
  <c r="A77" i="8" l="1"/>
  <c r="A78" i="8" l="1"/>
  <c r="A79" i="8" l="1"/>
  <c r="A82" i="8" l="1"/>
  <c r="A83" i="8" l="1"/>
  <c r="A84" i="8" l="1"/>
  <c r="A85" i="8" l="1"/>
  <c r="A86" i="8" l="1"/>
  <c r="A87" i="8" l="1"/>
  <c r="A88" i="8" l="1"/>
  <c r="A89" i="8" l="1"/>
  <c r="A90" i="8" l="1"/>
  <c r="A91" i="8" l="1"/>
  <c r="A92" i="8" l="1"/>
  <c r="A93" i="8" l="1"/>
  <c r="A94" i="8" l="1"/>
  <c r="A95" i="8" l="1"/>
  <c r="A96" i="8" l="1"/>
  <c r="A97" i="8" l="1"/>
  <c r="A98" i="8" l="1"/>
  <c r="A99" i="8" l="1"/>
  <c r="A100" i="8" l="1"/>
  <c r="A101" i="8" l="1"/>
  <c r="A102" i="8" l="1"/>
  <c r="A103" i="8" l="1"/>
  <c r="A104" i="8" l="1"/>
  <c r="A105" i="8" l="1"/>
  <c r="A106" i="8" l="1"/>
  <c r="A107" i="8" l="1"/>
  <c r="A108" i="8" l="1"/>
  <c r="A109" i="8" l="1"/>
  <c r="A110" i="8" l="1"/>
  <c r="A111" i="8" l="1"/>
  <c r="A112" i="8" l="1"/>
  <c r="A114" i="8" l="1"/>
  <c r="A115" i="8" l="1"/>
  <c r="A116" i="8" l="1"/>
  <c r="A117" i="8" l="1"/>
  <c r="A118" i="8" l="1"/>
  <c r="A119" i="8" l="1"/>
  <c r="A56" i="17"/>
  <c r="A120" i="8" l="1"/>
  <c r="A3" i="9" l="1"/>
  <c r="A9" i="9" l="1"/>
  <c r="A11" i="9" l="1"/>
  <c r="A12" i="9" l="1"/>
  <c r="A13" i="9" l="1"/>
  <c r="A14" i="9" s="1"/>
  <c r="A17" i="9" l="1"/>
  <c r="A18" i="9" l="1"/>
  <c r="A19" i="9" s="1"/>
  <c r="A20" i="9" l="1"/>
  <c r="A21" i="9" l="1"/>
  <c r="A22" i="9" l="1"/>
  <c r="A23" i="9" l="1"/>
  <c r="A24" i="9" l="1"/>
  <c r="A25" i="9" s="1"/>
  <c r="A28" i="9" s="1"/>
  <c r="A29" i="9" s="1"/>
  <c r="A30" i="9" s="1"/>
  <c r="A31" i="9" s="1"/>
  <c r="A32" i="9" s="1"/>
  <c r="A33" i="9" s="1"/>
  <c r="A34" i="9" s="1"/>
  <c r="A35" i="9" s="1"/>
  <c r="A36" i="9" s="1"/>
  <c r="A37" i="9" s="1"/>
  <c r="A38" i="9" s="1"/>
  <c r="A39" i="9" s="1"/>
  <c r="A40" i="9" s="1"/>
  <c r="A41" i="9" s="1"/>
  <c r="A43" i="9" s="1"/>
  <c r="A44" i="9" s="1"/>
  <c r="A45" i="9" s="1"/>
  <c r="A46" i="9" s="1"/>
  <c r="A47" i="9" s="1"/>
  <c r="A48" i="9" s="1"/>
  <c r="A49" i="9" s="1"/>
  <c r="A50" i="9" s="1"/>
  <c r="A51" i="9" s="1"/>
  <c r="A52" i="9" s="1"/>
  <c r="A53" i="9" s="1"/>
  <c r="A3" i="10" l="1"/>
  <c r="A4" i="10" s="1"/>
  <c r="A5" i="10" s="1"/>
  <c r="A6" i="10" s="1"/>
  <c r="A7" i="10" l="1"/>
  <c r="A8" i="10" s="1"/>
  <c r="A9" i="10" s="1"/>
  <c r="A13" i="10" l="1"/>
  <c r="A14" i="10" s="1"/>
  <c r="A15" i="10" s="1"/>
  <c r="A16" i="10" s="1"/>
  <c r="A17" i="10" l="1"/>
  <c r="A18" i="10" s="1"/>
  <c r="A19" i="10" l="1"/>
  <c r="A20" i="10" s="1"/>
  <c r="A22" i="10" s="1"/>
  <c r="A23" i="10" l="1"/>
  <c r="A24" i="10" l="1"/>
  <c r="A25" i="10" s="1"/>
  <c r="A26" i="10" s="1"/>
  <c r="A27" i="10" s="1"/>
  <c r="A28" i="10" s="1"/>
  <c r="A29" i="10" s="1"/>
  <c r="A30" i="10" s="1"/>
  <c r="A31" i="10" s="1"/>
  <c r="A32" i="10" s="1"/>
  <c r="A33" i="10" s="1"/>
  <c r="A34" i="10" s="1"/>
  <c r="A35" i="10" s="1"/>
  <c r="A36" i="10" s="1"/>
  <c r="A38" i="10" s="1"/>
  <c r="A40" i="10" s="1"/>
  <c r="A41" i="10" s="1"/>
  <c r="A42" i="10" s="1"/>
  <c r="A43" i="10" s="1"/>
  <c r="A44" i="10" s="1"/>
  <c r="A45" i="10" s="1"/>
  <c r="A46" i="10" s="1"/>
  <c r="A47"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4" i="11" l="1"/>
  <c r="A6" i="11" s="1"/>
  <c r="A7" i="11" l="1"/>
  <c r="A8" i="11" s="1"/>
  <c r="A9" i="11" s="1"/>
  <c r="A10" i="11" l="1"/>
  <c r="A11" i="11" l="1"/>
  <c r="A12" i="11" l="1"/>
  <c r="A13" i="11" l="1"/>
  <c r="A21" i="22"/>
  <c r="A22" i="22" s="1"/>
  <c r="A18" i="11" l="1"/>
  <c r="A19" i="11" l="1"/>
  <c r="A20" i="11" l="1"/>
  <c r="A21" i="11" l="1"/>
  <c r="A22" i="11" l="1"/>
  <c r="A23" i="11" l="1"/>
  <c r="A24" i="11" l="1"/>
  <c r="A25" i="11" l="1"/>
  <c r="A28" i="11" l="1"/>
  <c r="A29" i="11" l="1"/>
  <c r="A30" i="11" l="1"/>
  <c r="A31" i="11" l="1"/>
  <c r="A32" i="11" l="1"/>
  <c r="A33" i="11" l="1"/>
  <c r="A34" i="11" l="1"/>
  <c r="A35" i="11" l="1"/>
  <c r="A38" i="11" l="1"/>
  <c r="A39" i="11" l="1"/>
  <c r="A40" i="11" l="1"/>
  <c r="A41" i="11" l="1"/>
  <c r="A42" i="11" l="1"/>
  <c r="A43" i="11" l="1"/>
  <c r="A3" i="12" l="1"/>
  <c r="A4" i="12" s="1"/>
  <c r="A5" i="12" s="1"/>
  <c r="A8" i="12" s="1"/>
  <c r="A9" i="12" l="1"/>
  <c r="A10" i="12" l="1"/>
  <c r="A11" i="12" l="1"/>
  <c r="A12" i="12" l="1"/>
  <c r="A13" i="12" l="1"/>
  <c r="A14" i="12" s="1"/>
  <c r="A15" i="12" s="1"/>
  <c r="A16" i="12" s="1"/>
  <c r="A18" i="12" l="1"/>
  <c r="A20" i="12" s="1"/>
  <c r="A21" i="12" s="1"/>
  <c r="A22" i="12" s="1"/>
  <c r="A23" i="12" s="1"/>
  <c r="A24" i="12" s="1"/>
  <c r="A27" i="12" s="1"/>
  <c r="A28" i="12" s="1"/>
  <c r="A29" i="12" s="1"/>
  <c r="A30" i="12" s="1"/>
  <c r="A31" i="12" s="1"/>
  <c r="A32" i="12" s="1"/>
  <c r="A33" i="12" s="1"/>
  <c r="A34" i="12" s="1"/>
  <c r="A35" i="12" s="1"/>
  <c r="A36" i="12" s="1"/>
  <c r="A37" i="12" s="1"/>
  <c r="A38" i="12" s="1"/>
  <c r="A39" i="12" s="1"/>
  <c r="A40"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4" i="12" s="1"/>
  <c r="A3" i="13" l="1"/>
  <c r="A4" i="13" s="1"/>
  <c r="A5" i="13" s="1"/>
  <c r="A6" i="13" s="1"/>
  <c r="A7" i="13" l="1"/>
  <c r="A9" i="13" l="1"/>
  <c r="A10" i="13" l="1"/>
  <c r="A11" i="13" l="1"/>
  <c r="A12" i="13" s="1"/>
  <c r="A13" i="13" l="1"/>
  <c r="A14" i="13" l="1"/>
  <c r="A15" i="13" l="1"/>
  <c r="A16" i="13" l="1"/>
  <c r="A17" i="13" l="1"/>
  <c r="A20" i="13" l="1"/>
  <c r="A21" i="13" l="1"/>
  <c r="A22" i="13" l="1"/>
  <c r="A23" i="13" l="1"/>
  <c r="A24" i="13" l="1"/>
  <c r="A25" i="13" l="1"/>
  <c r="A26" i="13" l="1"/>
  <c r="A27" i="13" l="1"/>
  <c r="A28" i="13" l="1"/>
  <c r="A29" i="13" l="1"/>
  <c r="A30" i="13" l="1"/>
  <c r="A32" i="13" l="1"/>
  <c r="A33" i="13" l="1"/>
  <c r="A34" i="13" l="1"/>
  <c r="A35" i="13" l="1"/>
  <c r="A37" i="13" l="1"/>
  <c r="A39" i="13" l="1"/>
  <c r="A40" i="13" l="1"/>
  <c r="A41" i="13" l="1"/>
  <c r="A42" i="13" l="1"/>
  <c r="A44" i="13" l="1"/>
  <c r="A45" i="13" l="1"/>
  <c r="A46" i="13" l="1"/>
  <c r="A47" i="13" l="1"/>
  <c r="A3" i="14" l="1"/>
  <c r="A4" i="14" l="1"/>
  <c r="A5" i="14" l="1"/>
  <c r="A6" i="14" l="1"/>
  <c r="A7" i="14" s="1"/>
  <c r="A8" i="14" s="1"/>
  <c r="A9" i="14" s="1"/>
  <c r="A10" i="14" l="1"/>
  <c r="A11" i="14" s="1"/>
  <c r="A12" i="14" s="1"/>
  <c r="A13" i="14" l="1"/>
  <c r="A14" i="14" s="1"/>
  <c r="A15" i="14" s="1"/>
  <c r="A16" i="14" s="1"/>
  <c r="A17" i="14" s="1"/>
  <c r="A18" i="14" s="1"/>
  <c r="A19" i="14" s="1"/>
  <c r="A20" i="14" s="1"/>
  <c r="A21" i="14" s="1"/>
  <c r="A22" i="14" s="1"/>
  <c r="A23" i="14" s="1"/>
  <c r="A24" i="14" s="1"/>
  <c r="A25" i="14" s="1"/>
  <c r="A26" i="14" s="1"/>
  <c r="A27" i="14" s="1"/>
  <c r="A28" i="14" s="1"/>
  <c r="A31" i="14" s="1"/>
  <c r="A32" i="14" s="1"/>
  <c r="A33" i="14" s="1"/>
  <c r="A34" i="14" s="1"/>
  <c r="A35" i="14" s="1"/>
  <c r="A36" i="14" s="1"/>
  <c r="A37" i="14" s="1"/>
  <c r="A38" i="14" s="1"/>
  <c r="A39" i="14" s="1"/>
  <c r="A40" i="14" s="1"/>
  <c r="A41" i="14" s="1"/>
  <c r="A42" i="14" s="1"/>
  <c r="A43" i="14" s="1"/>
  <c r="A44" i="14" s="1"/>
  <c r="A45" i="14" s="1"/>
  <c r="A46" i="14" s="1"/>
  <c r="A47" i="14" s="1"/>
  <c r="A48"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l="1"/>
  <c r="A75" i="14" s="1"/>
  <c r="A76" i="14" s="1"/>
  <c r="A77" i="14" s="1"/>
  <c r="A78" i="14" s="1"/>
  <c r="A79" i="14" s="1"/>
  <c r="A80" i="14" s="1"/>
  <c r="A81" i="14" l="1"/>
  <c r="A82" i="14" s="1"/>
  <c r="A83" i="14" s="1"/>
  <c r="A84"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10" i="14" s="1"/>
  <c r="A111" i="14" s="1"/>
  <c r="A112" i="14" s="1"/>
  <c r="A113" i="14" s="1"/>
  <c r="A114" i="14" s="1"/>
  <c r="A115" i="14" s="1"/>
  <c r="A116" i="14" s="1"/>
  <c r="A117" i="14" s="1"/>
  <c r="A118" i="14" s="1"/>
  <c r="A119" i="14" s="1"/>
  <c r="A3" i="15" l="1"/>
  <c r="A4" i="15" s="1"/>
  <c r="A5" i="15" s="1"/>
  <c r="A6" i="15" l="1"/>
  <c r="A7" i="15" s="1"/>
  <c r="A8" i="15" s="1"/>
  <c r="A10" i="15" s="1"/>
  <c r="A11" i="15" l="1"/>
  <c r="A12" i="15" s="1"/>
  <c r="A13" i="15" l="1"/>
  <c r="A14" i="15" l="1"/>
  <c r="A15" i="15" s="1"/>
  <c r="A16" i="15" l="1"/>
  <c r="A17" i="15" l="1"/>
  <c r="A18" i="15" l="1"/>
  <c r="A19" i="15" l="1"/>
  <c r="A20" i="15" l="1"/>
  <c r="A21" i="15" l="1"/>
  <c r="A22" i="15" l="1"/>
  <c r="A23" i="15" l="1"/>
  <c r="A24" i="15" l="1"/>
  <c r="A25" i="15" l="1"/>
  <c r="A26" i="15" l="1"/>
  <c r="A28" i="15" l="1"/>
  <c r="A29" i="15" l="1"/>
  <c r="A30" i="15" l="1"/>
  <c r="A31" i="15" l="1"/>
  <c r="A32" i="15" l="1"/>
  <c r="A33" i="15" l="1"/>
  <c r="A34" i="15" l="1"/>
  <c r="A35" i="15" l="1"/>
  <c r="A36" i="15" l="1"/>
  <c r="A38" i="15" l="1"/>
  <c r="A39" i="15" l="1"/>
  <c r="A40" i="15" l="1"/>
  <c r="A41" i="15" l="1"/>
  <c r="A42" i="15" l="1"/>
  <c r="A43" i="15" l="1"/>
  <c r="A44" i="15" s="1"/>
  <c r="A45" i="15" s="1"/>
  <c r="A46" i="15" s="1"/>
  <c r="A47" i="15" s="1"/>
  <c r="A48" i="15" s="1"/>
  <c r="A49" i="15" s="1"/>
  <c r="A50" i="15" s="1"/>
  <c r="A51" i="15" s="1"/>
  <c r="A52" i="15" s="1"/>
  <c r="A53" i="15" s="1"/>
  <c r="A54" i="15" s="1"/>
  <c r="A58" i="15" s="1"/>
  <c r="A59" i="15" s="1"/>
  <c r="A60" i="15" s="1"/>
  <c r="A61" i="15" s="1"/>
  <c r="A62" i="15" s="1"/>
  <c r="A63" i="15" s="1"/>
  <c r="A64" i="15" s="1"/>
  <c r="A66" i="15" s="1"/>
  <c r="A3" i="16" l="1"/>
  <c r="A4" i="16" s="1"/>
  <c r="A5" i="16" l="1"/>
  <c r="A6" i="16" l="1"/>
  <c r="A7" i="16" l="1"/>
  <c r="A8" i="16" s="1"/>
  <c r="A9" i="16" s="1"/>
  <c r="A10" i="16" l="1"/>
  <c r="A11" i="16" l="1"/>
  <c r="A12" i="16" s="1"/>
  <c r="A13" i="16" s="1"/>
  <c r="A16" i="16" l="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5" i="17" l="1"/>
  <c r="A6" i="17" s="1"/>
  <c r="A7" i="17" s="1"/>
  <c r="A8" i="17" l="1"/>
  <c r="A9" i="17" l="1"/>
  <c r="A10" i="17" l="1"/>
  <c r="A11" i="17" s="1"/>
  <c r="A12" i="17" s="1"/>
  <c r="A13" i="17" l="1"/>
  <c r="A14" i="17" s="1"/>
  <c r="A15" i="17" s="1"/>
  <c r="A16" i="17" s="1"/>
  <c r="A19" i="17" s="1"/>
  <c r="A20" i="17" s="1"/>
  <c r="A21" i="17" s="1"/>
  <c r="A22" i="17" s="1"/>
  <c r="A23" i="17" s="1"/>
  <c r="A24" i="17" s="1"/>
  <c r="A25" i="17" s="1"/>
  <c r="A26" i="17" s="1"/>
  <c r="A27" i="17" s="1"/>
  <c r="A28" i="17" s="1"/>
  <c r="A29" i="17" s="1"/>
  <c r="A33" i="17" s="1"/>
  <c r="A34" i="17" s="1"/>
  <c r="A35" i="17" s="1"/>
  <c r="A37" i="17" s="1"/>
  <c r="A38" i="17" s="1"/>
  <c r="A39" i="17" s="1"/>
  <c r="A40" i="17" s="1"/>
  <c r="A41" i="17" s="1"/>
  <c r="A43" i="17" s="1"/>
  <c r="A46" i="17" s="1"/>
  <c r="A47" i="17" s="1"/>
  <c r="A48" i="17" s="1"/>
  <c r="A49" i="17" s="1"/>
  <c r="A50" i="17" s="1"/>
  <c r="A51" i="17" s="1"/>
  <c r="A52" i="17" s="1"/>
  <c r="A53" i="17" s="1"/>
  <c r="A57" i="17" s="1"/>
  <c r="A5" i="18" l="1"/>
  <c r="A6" i="18" s="1"/>
  <c r="A7" i="18" s="1"/>
  <c r="A8" i="18" s="1"/>
  <c r="A9" i="18" l="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8" i="18" s="1"/>
  <c r="A79" i="18" s="1"/>
  <c r="A80" i="18" s="1"/>
  <c r="A81" i="18" s="1"/>
  <c r="A82" i="18" s="1"/>
  <c r="A83" i="18" s="1"/>
  <c r="A84" i="18" s="1"/>
  <c r="A85" i="18" s="1"/>
  <c r="A86" i="18" s="1"/>
  <c r="A88" i="18" s="1"/>
  <c r="A90" i="18" s="1"/>
  <c r="A91" i="18" s="1"/>
  <c r="A92" i="18" s="1"/>
  <c r="A93" i="18" s="1"/>
  <c r="A94" i="18" s="1"/>
  <c r="A96" i="18" s="1"/>
  <c r="A97" i="18" s="1"/>
  <c r="A98" i="18" s="1"/>
  <c r="A99" i="18" s="1"/>
  <c r="A100" i="18" s="1"/>
  <c r="A101" i="18" s="1"/>
  <c r="A105" i="18" s="1"/>
  <c r="A106" i="18" s="1"/>
  <c r="A107" i="18" s="1"/>
  <c r="A108" i="18" s="1"/>
  <c r="A109" i="18" s="1"/>
  <c r="A111" i="18" s="1"/>
  <c r="A112" i="18" s="1"/>
  <c r="A113" i="18" s="1"/>
  <c r="A114" i="18" s="1"/>
  <c r="A115" i="18" s="1"/>
  <c r="A119" i="18" s="1"/>
  <c r="A120" i="18" s="1"/>
  <c r="A121" i="18" s="1"/>
  <c r="A122" i="18" s="1"/>
  <c r="A128" i="18" s="1"/>
  <c r="A129" i="18" s="1"/>
  <c r="A130" i="18" s="1"/>
  <c r="A131" i="18" s="1"/>
  <c r="A132" i="18" s="1"/>
  <c r="A133" i="18" s="1"/>
  <c r="A134" i="18" s="1"/>
  <c r="A135" i="18" s="1"/>
  <c r="A136" i="18" s="1"/>
  <c r="A137" i="18" s="1"/>
  <c r="A138" i="18" s="1"/>
  <c r="A139" i="18" s="1"/>
  <c r="A140" i="18" s="1"/>
  <c r="A142" i="18" s="1"/>
  <c r="A143" i="18" s="1"/>
  <c r="A144" i="18" s="1"/>
  <c r="A145" i="18" s="1"/>
  <c r="A3" i="19" l="1"/>
  <c r="A4" i="19" s="1"/>
  <c r="A5" i="19" s="1"/>
  <c r="A6" i="19" s="1"/>
  <c r="A7" i="19" l="1"/>
  <c r="A8" i="19" s="1"/>
  <c r="A9" i="19" l="1"/>
  <c r="A11" i="19" l="1"/>
  <c r="A12" i="19" s="1"/>
  <c r="A15" i="19" s="1"/>
  <c r="A16" i="19" s="1"/>
  <c r="A17" i="19" l="1"/>
  <c r="A19" i="19" s="1"/>
  <c r="A20" i="19" s="1"/>
  <c r="A21" i="19" s="1"/>
  <c r="A23" i="19" s="1"/>
  <c r="A24" i="19" s="1"/>
  <c r="A27" i="19" s="1"/>
  <c r="A29" i="19" s="1"/>
  <c r="A30" i="19" s="1"/>
  <c r="A31" i="19" s="1"/>
  <c r="A33" i="19" s="1"/>
  <c r="A34" i="19" s="1"/>
  <c r="A36" i="19" s="1"/>
  <c r="A37" i="19" s="1"/>
  <c r="A38" i="19" s="1"/>
  <c r="A40" i="19" s="1"/>
  <c r="A42" i="19" s="1"/>
  <c r="A43" i="19" s="1"/>
  <c r="A45" i="19" s="1"/>
  <c r="A46" i="19" s="1"/>
  <c r="A47" i="19" s="1"/>
  <c r="A48" i="19" s="1"/>
  <c r="A50" i="19" s="1"/>
  <c r="A51" i="19" s="1"/>
  <c r="A53" i="19" s="1"/>
  <c r="A54" i="19" s="1"/>
  <c r="A56" i="19" s="1"/>
  <c r="A57" i="19" s="1"/>
  <c r="A58" i="19" s="1"/>
  <c r="A3" i="20" l="1"/>
  <c r="A4" i="20" l="1"/>
  <c r="A5" i="20" l="1"/>
  <c r="A6" i="20" l="1"/>
  <c r="A7" i="20" l="1"/>
  <c r="A8" i="20" l="1"/>
  <c r="A9" i="20" s="1"/>
  <c r="A10" i="20" s="1"/>
  <c r="A11" i="20" s="1"/>
  <c r="A13" i="20" s="1"/>
  <c r="A14" i="20" s="1"/>
  <c r="A15" i="20" s="1"/>
  <c r="A16" i="20" s="1"/>
  <c r="A17" i="20" s="1"/>
  <c r="A18" i="20" s="1"/>
  <c r="A19" i="20" s="1"/>
  <c r="A20" i="20" l="1"/>
  <c r="A23" i="20" s="1"/>
  <c r="A24" i="20" l="1"/>
  <c r="A25" i="20" s="1"/>
  <c r="A26" i="20" s="1"/>
  <c r="A27" i="20" s="1"/>
  <c r="A28" i="20" s="1"/>
  <c r="A29" i="20" s="1"/>
  <c r="A30" i="20" s="1"/>
  <c r="A31" i="20" s="1"/>
  <c r="A32" i="20" s="1"/>
  <c r="A33" i="20" s="1"/>
  <c r="A35" i="20" s="1"/>
  <c r="A36" i="20" s="1"/>
  <c r="A37" i="20" s="1"/>
  <c r="A38" i="20" l="1"/>
  <c r="A39" i="20" s="1"/>
  <c r="A40" i="20" l="1"/>
  <c r="A43" i="20" s="1"/>
  <c r="A44" i="20" s="1"/>
  <c r="A45" i="20" s="1"/>
  <c r="A46" i="20" s="1"/>
  <c r="A48" i="20" s="1"/>
  <c r="A49" i="20" s="1"/>
  <c r="A50" i="20" s="1"/>
  <c r="A51" i="20" s="1"/>
  <c r="A53" i="20" s="1"/>
  <c r="A54" i="20" s="1"/>
  <c r="A56" i="20" s="1"/>
  <c r="A57" i="20" s="1"/>
  <c r="A58" i="20" s="1"/>
  <c r="A60" i="20" s="1"/>
  <c r="A61" i="20" s="1"/>
  <c r="A63" i="20" s="1"/>
  <c r="A66" i="20" s="1"/>
  <c r="A67" i="20" s="1"/>
  <c r="A68" i="20" s="1"/>
  <c r="A69" i="20" s="1"/>
  <c r="A71" i="20" s="1"/>
  <c r="A72" i="20" s="1"/>
  <c r="A73" i="20" s="1"/>
  <c r="A74" i="20" s="1"/>
  <c r="A75" i="20" s="1"/>
  <c r="A77" i="20" s="1"/>
  <c r="A78" i="20" s="1"/>
  <c r="A79" i="20" s="1"/>
  <c r="A80" i="20" s="1"/>
  <c r="A82" i="20" s="1"/>
  <c r="A83" i="20" s="1"/>
  <c r="A84" i="20" s="1"/>
  <c r="A85" i="20" s="1"/>
  <c r="A86" i="20" s="1"/>
  <c r="A87" i="20" s="1"/>
  <c r="A88" i="20" s="1"/>
  <c r="A90" i="20" s="1"/>
  <c r="A91" i="20" s="1"/>
  <c r="A92" i="20" s="1"/>
  <c r="A93" i="20" s="1"/>
  <c r="A94" i="20" s="1"/>
  <c r="A95" i="20" s="1"/>
  <c r="A100" i="20" s="1"/>
  <c r="A101" i="20" s="1"/>
  <c r="A102" i="20" s="1"/>
  <c r="A104" i="20" s="1"/>
  <c r="A105" i="20" s="1"/>
  <c r="A106" i="20" s="1"/>
  <c r="A107" i="20" s="1"/>
  <c r="A109" i="20" s="1"/>
  <c r="A112" i="20" s="1"/>
  <c r="A113" i="20" s="1"/>
  <c r="A114" i="20" s="1"/>
  <c r="A115" i="20" s="1"/>
  <c r="A116" i="20" s="1"/>
  <c r="A118" i="20" s="1"/>
  <c r="A119" i="20" s="1"/>
  <c r="A120" i="20" s="1"/>
  <c r="A121" i="20" s="1"/>
  <c r="A122" i="20" s="1"/>
  <c r="A124" i="20" s="1"/>
  <c r="A125" i="20" s="1"/>
  <c r="A126" i="20" s="1"/>
  <c r="A127" i="20" s="1"/>
  <c r="A128" i="20" s="1"/>
  <c r="A129" i="20" s="1"/>
  <c r="A130" i="20" s="1"/>
  <c r="A131" i="20" s="1"/>
  <c r="A132" i="20" s="1"/>
  <c r="A134" i="20" s="1"/>
  <c r="A135" i="20" s="1"/>
  <c r="A136" i="20" s="1"/>
  <c r="A137" i="20" s="1"/>
  <c r="A138" i="20" s="1"/>
  <c r="A139" i="20" s="1"/>
  <c r="A140" i="20" l="1"/>
  <c r="A141" i="20" l="1"/>
  <c r="A143" i="20" s="1"/>
  <c r="A144" i="20" s="1"/>
  <c r="A145" i="20" s="1"/>
  <c r="A146" i="20" s="1"/>
  <c r="A147" i="20" s="1"/>
  <c r="A149" i="20" s="1"/>
  <c r="A150" i="20" s="1"/>
  <c r="A151" i="20" s="1"/>
  <c r="A152" i="20" s="1"/>
  <c r="A153" i="20" s="1"/>
  <c r="A154" i="20" l="1"/>
  <c r="A155" i="20" s="1"/>
  <c r="A156" i="20" s="1"/>
  <c r="A157" i="20" s="1"/>
  <c r="A158" i="20" s="1"/>
  <c r="A159" i="20" s="1"/>
  <c r="A160" i="20" s="1"/>
  <c r="A3" i="21" l="1"/>
  <c r="A9" i="21" s="1"/>
  <c r="A10" i="21" l="1"/>
  <c r="A15" i="21" s="1"/>
  <c r="A3" i="22" s="1"/>
  <c r="A4" i="22" s="1"/>
  <c r="A5" i="22" s="1"/>
  <c r="A9" i="22" l="1"/>
  <c r="A10" i="22" s="1"/>
  <c r="A11" i="22" l="1"/>
  <c r="A12" i="22" s="1"/>
  <c r="A13" i="22" l="1"/>
  <c r="A14" i="22" s="1"/>
  <c r="A15" i="22" l="1"/>
  <c r="A16" i="22" s="1"/>
  <c r="A17" i="22" s="1"/>
  <c r="A18" i="22" s="1"/>
  <c r="A19" i="22" s="1"/>
  <c r="A20" i="22" s="1"/>
  <c r="A23" i="22" l="1"/>
  <c r="A24" i="22" s="1"/>
  <c r="A25" i="22" s="1"/>
  <c r="A26" i="22" s="1"/>
  <c r="A27" i="22" s="1"/>
  <c r="A28" i="22" s="1"/>
  <c r="A33" i="22" s="1"/>
  <c r="A34" i="22" s="1"/>
  <c r="A39" i="22" s="1"/>
  <c r="A40" i="22" s="1"/>
  <c r="A41" i="22" s="1"/>
  <c r="A42" i="22" s="1"/>
  <c r="A44" i="22" s="1"/>
  <c r="A45" i="22" s="1"/>
  <c r="A32" i="23" l="1"/>
  <c r="A4" i="24" s="1"/>
  <c r="A5" i="24" s="1"/>
  <c r="A6" i="24" s="1"/>
  <c r="A7" i="24" l="1"/>
  <c r="A8" i="24" l="1"/>
  <c r="A9" i="24" s="1"/>
  <c r="A10" i="24" s="1"/>
  <c r="A15" i="24" l="1"/>
  <c r="A16" i="24" s="1"/>
  <c r="A17" i="24" s="1"/>
  <c r="A18" i="24" l="1"/>
  <c r="A23" i="24" s="1"/>
  <c r="A24" i="24" s="1"/>
  <c r="A25" i="24" s="1"/>
  <c r="A30" i="24" s="1"/>
  <c r="A31" i="24" s="1"/>
  <c r="A32" i="24" s="1"/>
  <c r="A33" i="24" s="1"/>
  <c r="A35" i="24" s="1"/>
  <c r="A38" i="24" s="1"/>
  <c r="A39" i="24" s="1"/>
  <c r="A27" i="25" l="1"/>
  <c r="A3" i="26" s="1"/>
  <c r="A4" i="26" l="1"/>
  <c r="A5" i="26" s="1"/>
  <c r="A6" i="26" s="1"/>
  <c r="A7" i="26" l="1"/>
  <c r="A8" i="26" s="1"/>
  <c r="A9" i="26" s="1"/>
  <c r="A13" i="26" l="1"/>
  <c r="A14" i="26" s="1"/>
  <c r="A15" i="26" s="1"/>
  <c r="A20" i="26" l="1"/>
  <c r="A21" i="26" l="1"/>
  <c r="A22" i="26" s="1"/>
  <c r="A27" i="26" s="1"/>
  <c r="A28" i="26" s="1"/>
  <c r="A29" i="26" s="1"/>
  <c r="A30" i="26" s="1"/>
  <c r="A34" i="26" s="1"/>
  <c r="A35" i="26" s="1"/>
  <c r="A36" i="26" s="1"/>
</calcChain>
</file>

<file path=xl/sharedStrings.xml><?xml version="1.0" encoding="utf-8"?>
<sst xmlns="http://schemas.openxmlformats.org/spreadsheetml/2006/main" count="59355" uniqueCount="4805">
  <si>
    <t>🏢 CBRE | YEARLY EVENT OPERATIONS DASHBOARD</t>
  </si>
  <si>
    <t>Downtown-3 &amp; Downtown-4 Facilities • 2026 Event Planning, Capacity Analytics &amp; Operations Management</t>
  </si>
  <si>
    <t>OPERATIONS CALENDAR BOOKING POLICY &amp; STATUS GUIDE:</t>
  </si>
  <si>
    <t>🟢 GREEN: Calendar Booking Done / Completed</t>
  </si>
  <si>
    <t>🟡 YELLOW: Booking Pending (Upcoming / Action Required)</t>
  </si>
  <si>
    <t>🔴 RED: Event Canceled by Organizer</t>
  </si>
  <si>
    <t>📑 Open Master Tracker ↗</t>
  </si>
  <si>
    <t>TOTAL EVENTS (2026)</t>
  </si>
  <si>
    <t>EVENTS CONDUCTED (DONE)</t>
  </si>
  <si>
    <t>🌟 BIG EVENTS (100+)</t>
  </si>
  <si>
    <t>👥 SMALL EVENTS (&lt;100)</t>
  </si>
  <si>
    <t>TOTAL ATTENDEES</t>
  </si>
  <si>
    <t>DOWNTOWN-3 EVENTS</t>
  </si>
  <si>
    <t>DOWNTOWN-4 EVENTS</t>
  </si>
  <si>
    <t>📨 TOTAL FEEDBACK SENT</t>
  </si>
  <si>
    <t>⚪ FEEDBACK NOT REQUIRED</t>
  </si>
  <si>
    <t>DT-3 &amp; DT-4 combined</t>
  </si>
  <si>
    <t>🟢 Done / Confirmed</t>
  </si>
  <si>
    <t>100+ Pax (Feedback Applicable)</t>
  </si>
  <si>
    <t>&lt; 100 Pax (Routine Events)</t>
  </si>
  <si>
    <t>👥 Expected Pax</t>
  </si>
  <si>
    <t>🏢 DT-3 Facility</t>
  </si>
  <si>
    <t>🏢 DT-4 Facility</t>
  </si>
  <si>
    <t>DT-3: 12 | DT-4: 37</t>
  </si>
  <si>
    <t>Routine Events / NA</t>
  </si>
  <si>
    <t>🏢 DOWNTOWN-3 (DT-3) MONTHLY EVENT TRACKER &amp; NAVIGATION</t>
  </si>
  <si>
    <t>🏢 DOWNTOWN-4 (DT-4) MONTHLY EVENT TRACKER &amp; NAVIGATION</t>
  </si>
  <si>
    <t>📋 MONTHWISE EVENT SCALE &amp; DT-3 / DT-4 FEEDBACK TRACKER</t>
  </si>
  <si>
    <t>Month (Click to Open)</t>
  </si>
  <si>
    <t>Total Events</t>
  </si>
  <si>
    <t>🟢 Confirmed</t>
  </si>
  <si>
    <t>🟡 Pending</t>
  </si>
  <si>
    <t>🔴 Canceled</t>
  </si>
  <si>
    <t>Total Pax</t>
  </si>
  <si>
    <t>Month</t>
  </si>
  <si>
    <t>🌟 Big (100+)</t>
  </si>
  <si>
    <t>👥 Small (&lt;100)</t>
  </si>
  <si>
    <t>📨 DT-3 FB Sent</t>
  </si>
  <si>
    <t>📨 DT-4 FB Sent</t>
  </si>
  <si>
    <t>Jan 2026 ↗</t>
  </si>
  <si>
    <t>Jan 2026</t>
  </si>
  <si>
    <t>Feb 2026 ↗</t>
  </si>
  <si>
    <t>Feb 2026</t>
  </si>
  <si>
    <t>Mar 2026 ↗</t>
  </si>
  <si>
    <t>Mar 2026</t>
  </si>
  <si>
    <t>Apr 2026 ↗</t>
  </si>
  <si>
    <t>Apr 2026</t>
  </si>
  <si>
    <t>May 2026 ↗</t>
  </si>
  <si>
    <t>May 2026</t>
  </si>
  <si>
    <t>Jun 2026 ↗</t>
  </si>
  <si>
    <t>Jun 2026</t>
  </si>
  <si>
    <t>Jul 2026 ↗</t>
  </si>
  <si>
    <t>Jul 2026</t>
  </si>
  <si>
    <t>Aug 2026 ↗</t>
  </si>
  <si>
    <t>Aug 2026</t>
  </si>
  <si>
    <t>Sep 2026 ↗</t>
  </si>
  <si>
    <t>Sep 2026</t>
  </si>
  <si>
    <t>Oct 2026 ↗</t>
  </si>
  <si>
    <t>Oct 2026</t>
  </si>
  <si>
    <t>Nov 2026 ↗</t>
  </si>
  <si>
    <t>Nov 2026</t>
  </si>
  <si>
    <t>Dec 2026 ↗</t>
  </si>
  <si>
    <t>Dec 2026</t>
  </si>
  <si>
    <t>DT-3 Full Year Total</t>
  </si>
  <si>
    <t>Jan '27 ↗</t>
  </si>
  <si>
    <t>Full Year Total</t>
  </si>
  <si>
    <t>Feb '27 ↗</t>
  </si>
  <si>
    <t>Mar '27 ↗</t>
  </si>
  <si>
    <t>Event Scale Metric</t>
  </si>
  <si>
    <t>Summary</t>
  </si>
  <si>
    <t>Feedback Breakdown</t>
  </si>
  <si>
    <t>Count</t>
  </si>
  <si>
    <t>DT-4 2026 Subtotal</t>
  </si>
  <si>
    <t>🏆 Events Conducted</t>
  </si>
  <si>
    <t>🏢 DT-3 Feedback Sent</t>
  </si>
  <si>
    <t>🌟 Big Events (100+)</t>
  </si>
  <si>
    <t>🏢 DT-4 Feedback Sent</t>
  </si>
  <si>
    <t>👥 Small Events (&lt;100)</t>
  </si>
  <si>
    <t>📨 Total Feedback Sent</t>
  </si>
  <si>
    <t>📊 2026 COMBINED MONTHLY EVENTS SUMMARY</t>
  </si>
  <si>
    <t>🔍 INTERACTIVE MONTH SELECTION &amp; DEEP DIVE</t>
  </si>
  <si>
    <t>DT-3 Events</t>
  </si>
  <si>
    <t>DT-4 Events</t>
  </si>
  <si>
    <t>Confirmed %</t>
  </si>
  <si>
    <t>📅 SELECT MONTH:</t>
  </si>
  <si>
    <t>Jan</t>
  </si>
  <si>
    <t>🟢 Live Auto-Calculated Drilldown</t>
  </si>
  <si>
    <t>TOTAL EVENTS</t>
  </si>
  <si>
    <t>CONFIRMED (DONE)</t>
  </si>
  <si>
    <t>PENDING BOOKING</t>
  </si>
  <si>
    <t>CANCELED</t>
  </si>
  <si>
    <t>Feb</t>
  </si>
  <si>
    <t>Mar</t>
  </si>
  <si>
    <t>CONFIRMED % RATE</t>
  </si>
  <si>
    <t>TOTAL ATTENDEES (PAX)</t>
  </si>
  <si>
    <t>DT-3 EVENTS</t>
  </si>
  <si>
    <t>DT-4 EVENTS</t>
  </si>
  <si>
    <t>Apr</t>
  </si>
  <si>
    <t>May</t>
  </si>
  <si>
    <t>🌟 BIG (100+):</t>
  </si>
  <si>
    <t>👥 SMALL (&lt;100):</t>
  </si>
  <si>
    <t>📨 DT3 / DT4 FB:</t>
  </si>
  <si>
    <t>Jun</t>
  </si>
  <si>
    <t>🚀 QUICK NAVIGATION TO MONTHLY TRACKERS</t>
  </si>
  <si>
    <t>Jul</t>
  </si>
  <si>
    <t>💡 HOW TO USE THIS DASHBOARD:
1. Change the Month dropdown above (M32) to instantly update the Monthly Deep Dive KPIs.
2. Click any Month in the DT-3 / DT-4 tables (Rows 13-27) to jump directly to that month's sheet.
3. In any monthly sheet, click '🏠 ⮌ RETURN TO DASHBOARD' (A1) to return back here.
4. Event Scale: Big Event (100+ pax) vs Small Event (&lt;100 pax). Feedback forms recorded for previous entries are preserved; routine events are marked 'Not Required'.</t>
  </si>
  <si>
    <t>Aug</t>
  </si>
  <si>
    <t>Sep</t>
  </si>
  <si>
    <t>Oct</t>
  </si>
  <si>
    <t>Nov</t>
  </si>
  <si>
    <t>Dec</t>
  </si>
  <si>
    <t>Full Year 2026 Total</t>
  </si>
  <si>
    <t>📍 FACILITY SPACE &amp; VENUE UTILIZATION</t>
  </si>
  <si>
    <t>🎯 EVENT CATEGORY &amp; PURPOSE DISTRIBUTION</t>
  </si>
  <si>
    <t>📜 FEEDBACK FORM POLICY &amp; APPLICABILITY RULES GUIDE</t>
  </si>
  <si>
    <t>Key Venue / Space</t>
  </si>
  <si>
    <t>Building</t>
  </si>
  <si>
    <t>Events</t>
  </si>
  <si>
    <t>Event Category</t>
  </si>
  <si>
    <t>Confirmed</t>
  </si>
  <si>
    <t>Event Category / Tier</t>
  </si>
  <si>
    <t>Applicable Event Scope</t>
  </si>
  <si>
    <t>Pax Scale</t>
  </si>
  <si>
    <t>Feedback Form Rule</t>
  </si>
  <si>
    <t>Operations Guidelines &amp; Rationale</t>
  </si>
  <si>
    <t>Innovation Hub</t>
  </si>
  <si>
    <t>Downtown-4</t>
  </si>
  <si>
    <t>Townhall &amp; All-Hands</t>
  </si>
  <si>
    <t>🌟 Tier 1: Major Townhalls</t>
  </si>
  <si>
    <t>All-Hands, Leadership Forums, Quarterly Townhalls</t>
  </si>
  <si>
    <t>100+ Pax</t>
  </si>
  <si>
    <t>📨 Form Sent (Mandatory)</t>
  </si>
  <si>
    <t>High stakeholder visibility &amp; heavy AV/Cafeteria resource utilization.</t>
  </si>
  <si>
    <t>Cafeteria (L-1)</t>
  </si>
  <si>
    <t>Training &amp; Enablement</t>
  </si>
  <si>
    <t>🌟 Tier 1: Site Celebrations</t>
  </si>
  <si>
    <t>Independence Day, Women Empowerment, Cultural Meets</t>
  </si>
  <si>
    <t>Measure employee engagement, catering satisfaction &amp; event experience.</t>
  </si>
  <si>
    <t>Hackable Area</t>
  </si>
  <si>
    <t>Induction &amp; Onboarding</t>
  </si>
  <si>
    <t>🌟 Tier 1: Strategic R&amp;R</t>
  </si>
  <si>
    <t>Personal Banking R&amp;R, PEB R&amp;R, Annual Rewards</t>
  </si>
  <si>
    <t>70 - 150+</t>
  </si>
  <si>
    <t>Recognize team achievements and track event organization feedback.</t>
  </si>
  <si>
    <t>Social Hub Areas</t>
  </si>
  <si>
    <t>Assessment &amp; Hiring</t>
  </si>
  <si>
    <t>🎓 Tier 2: Tech Workshops</t>
  </si>
  <si>
    <t>Copilot Hacks, CSA Agentic AI, Gender Equity Forums</t>
  </si>
  <si>
    <t>25 - 80 Pax</t>
  </si>
  <si>
    <t>📨 Form Sent (Recommended)</t>
  </si>
  <si>
    <t>Evaluate curriculum depth, technical trainer effectiveness &amp; lab setup.</t>
  </si>
  <si>
    <t>Cafeteria (L-5)</t>
  </si>
  <si>
    <t>Leadership &amp; VIP Visit</t>
  </si>
  <si>
    <t>🎓 Tier 2: Leadership Dev.</t>
  </si>
  <si>
    <t>People Leader Essentials, Think Like a Business, ALT</t>
  </si>
  <si>
    <t>20 - 50 Pax</t>
  </si>
  <si>
    <t>Track capability enhancement &amp; leadership training effectiveness.</t>
  </si>
  <si>
    <t>Meeting Rooms (405, 506, VC)</t>
  </si>
  <si>
    <t>Social &amp; Team Connect</t>
  </si>
  <si>
    <t>🎓 Tier 2: New Hire Induction</t>
  </si>
  <si>
    <t>New Joiners Induction, Grads Training, Immersion</t>
  </si>
  <si>
    <t>25 - 70 Pax</t>
  </si>
  <si>
    <t>Ensure seamless onboarding experience &amp; facilities support feedback.</t>
  </si>
  <si>
    <t>Cafeteria Breakout</t>
  </si>
  <si>
    <t>Downtown-3</t>
  </si>
  <si>
    <t>Tech &amp; Innovation</t>
  </si>
  <si>
    <t>⚪ Tier 3: VIP / AU Visits</t>
  </si>
  <si>
    <t>AU Visitors &amp; Senior Executive Visits (Sweta M, Allan Ha)</t>
  </si>
  <si>
    <t>1 - 5 Pax</t>
  </si>
  <si>
    <t>⚪ Not Required (Excluded)</t>
  </si>
  <si>
    <t>Escorted executive meetings; survey collection is NOT applicable.</t>
  </si>
  <si>
    <t>Breakout Area</t>
  </si>
  <si>
    <t>Dry Run &amp; Rehearsal</t>
  </si>
  <si>
    <t>⚪ Tier 3: Assessments</t>
  </si>
  <si>
    <t>Codility Assessments, Technical Tests, Hiring Drives</t>
  </si>
  <si>
    <t>Recruitment technical assessments; feedback survey is NOT applicable.</t>
  </si>
  <si>
    <t>Meeting Rooms (107, 305/306)</t>
  </si>
  <si>
    <t>Team Meeting &amp; Workshop</t>
  </si>
  <si>
    <t>⚪ Tier 3: Logistics &amp; Routine</t>
  </si>
  <si>
    <t>Visitor Lunch setups, Bank Helpdesk, Daily Standups</t>
  </si>
  <si>
    <t>1 - 15 Pax</t>
  </si>
  <si>
    <t>Routine facilities operational tasks; feedback surveys are excluded.</t>
  </si>
  <si>
    <t>Top Venues Subtotal</t>
  </si>
  <si>
    <t>Total Events Tracked</t>
  </si>
  <si>
    <t>💡 RULE SUMMARY: Feedback is required for Big Events (100+ Pax) &amp; major workshops; routine syncs, AU visits &amp; hiring tests are marked 'Not Required'.</t>
  </si>
  <si>
    <t>⚡ PRIORITY ACTION ITEMS: UPCOMING PENDING CALENDAR BOOKINGS (POST AUG 21)</t>
  </si>
  <si>
    <t>📊 LIVE AUTOMATED FEEDBACK &amp; EVENT SCALE PERFORMANCE</t>
  </si>
  <si>
    <t>Event ID</t>
  </si>
  <si>
    <t>Date</t>
  </si>
  <si>
    <t>Day</t>
  </si>
  <si>
    <t>Location</t>
  </si>
  <si>
    <t>Event Title</t>
  </si>
  <si>
    <t>Pax</t>
  </si>
  <si>
    <t>Booked By</t>
  </si>
  <si>
    <t>Status</t>
  </si>
  <si>
    <t>Operations Breakdown</t>
  </si>
  <si>
    <t>🟢 Done</t>
  </si>
  <si>
    <t>📨 Form Sent</t>
  </si>
  <si>
    <t>⚪ Not Required</t>
  </si>
  <si>
    <t>Feedback %</t>
  </si>
  <si>
    <t>EVT-2026-1117</t>
  </si>
  <si>
    <t>Wed</t>
  </si>
  <si>
    <t>L-5</t>
  </si>
  <si>
    <t>Grads training</t>
  </si>
  <si>
    <t>Pragyasingh.kadyan@nab.com.au</t>
  </si>
  <si>
    <t>🟡 Pending Booking</t>
  </si>
  <si>
    <t>🌟 Big Events (100+ Pax)</t>
  </si>
  <si>
    <t>EVT-2026-1118</t>
  </si>
  <si>
    <t>L-4</t>
  </si>
  <si>
    <t>Ekta.sahrma@nab.com.au</t>
  </si>
  <si>
    <t>👥 Small Events (&lt;100 Pax)</t>
  </si>
  <si>
    <t>EVT-2026-1122</t>
  </si>
  <si>
    <t>Potluck For Payments Ops</t>
  </si>
  <si>
    <t>Rupika.nagpal@nab.com.au</t>
  </si>
  <si>
    <t>🏢 Downtown-3 Operations</t>
  </si>
  <si>
    <t>EVT-2026-1126</t>
  </si>
  <si>
    <t>Thu</t>
  </si>
  <si>
    <t>Codility Assesment</t>
  </si>
  <si>
    <t>🏢 Downtown-4 Operations</t>
  </si>
  <si>
    <t>EVT-2026-1130</t>
  </si>
  <si>
    <t>Fri</t>
  </si>
  <si>
    <t>Tarun.bajaj@nab.com.au</t>
  </si>
  <si>
    <t>🏆 Full Year Combined Total</t>
  </si>
  <si>
    <t>EVT-2026-1135</t>
  </si>
  <si>
    <t>Mon</t>
  </si>
  <si>
    <t>📌 NOTE: All formulas on this dashboard update dynamically as new event records and feedback statuses are logged.</t>
  </si>
  <si>
    <t>EVT-2026-1140</t>
  </si>
  <si>
    <t>Tue</t>
  </si>
  <si>
    <t>L-1</t>
  </si>
  <si>
    <t>Townhall Session</t>
  </si>
  <si>
    <t>Operations Team</t>
  </si>
  <si>
    <t>EVT-2026-1145</t>
  </si>
  <si>
    <t>Tech Enablement Workshop</t>
  </si>
  <si>
    <t>Tech Lead</t>
  </si>
  <si>
    <t>EVT-2026-1150</t>
  </si>
  <si>
    <t>MR-305 &amp; 306</t>
  </si>
  <si>
    <t>New Joiners Induction</t>
  </si>
  <si>
    <t>Deshraj</t>
  </si>
  <si>
    <t>EVT-2026-1155</t>
  </si>
  <si>
    <t>Cafeteria</t>
  </si>
  <si>
    <t>Quarterly R&amp;R Meet</t>
  </si>
  <si>
    <t>HR Team</t>
  </si>
  <si>
    <t>🏠 ⮌ BACK TO DASHBOARD</t>
  </si>
  <si>
    <t>MASTER EVENT OPERATIONS DATABASE • FULL YEAR 2026 (DOWNTOWN-3 &amp; DOWNTOWN-4)</t>
  </si>
  <si>
    <t>🟢 Green: Confirmed | 🟡 Yellow: Pending | 🔴 Red: Canceled</t>
  </si>
  <si>
    <t>Year</t>
  </si>
  <si>
    <t>Event Date</t>
  </si>
  <si>
    <t>Floor</t>
  </si>
  <si>
    <t>Event Title / Purpose</t>
  </si>
  <si>
    <t>Category</t>
  </si>
  <si>
    <t>Capacity / Pax</t>
  </si>
  <si>
    <t>Event Scale</t>
  </si>
  <si>
    <t>Start Time</t>
  </si>
  <si>
    <t>End Time</t>
  </si>
  <si>
    <t>F&amp;B Support</t>
  </si>
  <si>
    <t>Logistic Support</t>
  </si>
  <si>
    <t>Requester Email</t>
  </si>
  <si>
    <t>Calendar Booking Status</t>
  </si>
  <si>
    <t>Feedback Form</t>
  </si>
  <si>
    <t>Booking Date</t>
  </si>
  <si>
    <t>Remarks</t>
  </si>
  <si>
    <t>Booking Taken By</t>
  </si>
  <si>
    <t>General</t>
  </si>
  <si>
    <t>Small Event</t>
  </si>
  <si>
    <t>Confirmed (Done)</t>
  </si>
  <si>
    <t>Not Required</t>
  </si>
  <si>
    <t>Sat</t>
  </si>
  <si>
    <t>Sun</t>
  </si>
  <si>
    <t>Induction Session</t>
  </si>
  <si>
    <t>08:00 AM</t>
  </si>
  <si>
    <t>05:00 PM</t>
  </si>
  <si>
    <t>Lunch</t>
  </si>
  <si>
    <t>Classroom set up with power extension-</t>
  </si>
  <si>
    <t>Driver's Training</t>
  </si>
  <si>
    <t>10:00 AM</t>
  </si>
  <si>
    <t>01:00 PM</t>
  </si>
  <si>
    <t>Snacks</t>
  </si>
  <si>
    <t>Prem Chaudhary</t>
  </si>
  <si>
    <t>Arranged the snacks- Cup Cakes, Samosa and tea</t>
  </si>
  <si>
    <t>Hiring drive</t>
  </si>
  <si>
    <t>ZONE C, D and E</t>
  </si>
  <si>
    <t>08:30 AM</t>
  </si>
  <si>
    <t>Manoj Thakral</t>
  </si>
  <si>
    <t>List will be shared shortly.</t>
  </si>
  <si>
    <t>Inductin Session</t>
  </si>
  <si>
    <t>Classroom set up with power extension</t>
  </si>
  <si>
    <t>Classroom set up and require one table and one chair for the facilitator</t>
  </si>
  <si>
    <t>TBC</t>
  </si>
  <si>
    <t>Communicating with Impact (FCO + Nom)</t>
  </si>
  <si>
    <t>02:30 PM</t>
  </si>
  <si>
    <t>04:30 PM</t>
  </si>
  <si>
    <t>Cluster Set up- add onlyone chair and one chair+table for the facilitator</t>
  </si>
  <si>
    <t>Cafeteria + Breakout Area</t>
  </si>
  <si>
    <t>Risk Awareness session for Enterprise Data team</t>
  </si>
  <si>
    <t>Big Event</t>
  </si>
  <si>
    <t>03:00 PM</t>
  </si>
  <si>
    <t>04:00 PM</t>
  </si>
  <si>
    <t>Maanshu Chugh</t>
  </si>
  <si>
    <t>Theater style</t>
  </si>
  <si>
    <t>Culture Immersion NH + Nominations</t>
  </si>
  <si>
    <t>Hiring Drive</t>
  </si>
  <si>
    <t>Mohit Mishra/ Monika Nigam</t>
  </si>
  <si>
    <t>Induction Session (perm -305 and 306) contractors- (breakout area)</t>
  </si>
  <si>
    <t>Classroom set up</t>
  </si>
  <si>
    <t>ALT Workshop 2</t>
  </si>
  <si>
    <t>Tea, cookies and Food Arrnagement</t>
  </si>
  <si>
    <t>Cluster Set Up- Two white boards required</t>
  </si>
  <si>
    <t>Cluster set up</t>
  </si>
  <si>
    <t>Internal Sourcing Training</t>
  </si>
  <si>
    <t>02:00 PM</t>
  </si>
  <si>
    <t>Tushar Mudgil</t>
  </si>
  <si>
    <t>Theater set up</t>
  </si>
  <si>
    <t>Canceled</t>
  </si>
  <si>
    <t>Breakou Area</t>
  </si>
  <si>
    <t>Q1 R&amp;R Ceremony (Business Lending)</t>
  </si>
  <si>
    <t>09:30 AM</t>
  </si>
  <si>
    <t>10:15 AM</t>
  </si>
  <si>
    <t>Jackie Jose</t>
  </si>
  <si>
    <t>Moved to DT-4 Hackable space</t>
  </si>
  <si>
    <t>DCO Fun Crew – Republic Day Event”</t>
  </si>
  <si>
    <t>Arpan Relan</t>
  </si>
  <si>
    <t>Theater Style</t>
  </si>
  <si>
    <t>Social Hub 2</t>
  </si>
  <si>
    <t>Sameer Duttta</t>
  </si>
  <si>
    <t>Sameer will share the details /</t>
  </si>
  <si>
    <t>Eisha Mittal</t>
  </si>
  <si>
    <t>MR-305 and 306</t>
  </si>
  <si>
    <t>DL Workshop</t>
  </si>
  <si>
    <t>Snacks+Lunch</t>
  </si>
  <si>
    <t>All hands meeting for Enterprise Operations Tech</t>
  </si>
  <si>
    <t>11:00 AM</t>
  </si>
  <si>
    <t>12:00 PM</t>
  </si>
  <si>
    <t>Ajay Sutrave</t>
  </si>
  <si>
    <t>Risk Awareness Session - Enterprise Technology Team</t>
  </si>
  <si>
    <t>Finance Townhall</t>
  </si>
  <si>
    <t>Anju Verma</t>
  </si>
  <si>
    <t>Moved the event on 3rd Feb'26</t>
  </si>
  <si>
    <t>T&amp;EO Global Town Halls 2026</t>
  </si>
  <si>
    <t>09:00 AM</t>
  </si>
  <si>
    <t>Prerena Malik</t>
  </si>
  <si>
    <t>CQiB Felicitation</t>
  </si>
  <si>
    <t>theater style</t>
  </si>
  <si>
    <t>No hiring drive on 31st due to the family day</t>
  </si>
  <si>
    <t>5th Floor</t>
  </si>
  <si>
    <t>Training</t>
  </si>
  <si>
    <t>nO</t>
  </si>
  <si>
    <t>Binu</t>
  </si>
  <si>
    <t>Classroom set up and require the Power extension</t>
  </si>
  <si>
    <t>Zone E Breakout Area</t>
  </si>
  <si>
    <t>Codility</t>
  </si>
  <si>
    <t>01:30 PM</t>
  </si>
  <si>
    <t>Parul Wadhera</t>
  </si>
  <si>
    <t>Innovation ARea</t>
  </si>
  <si>
    <t>Townhall</t>
  </si>
  <si>
    <t>12:30 PM</t>
  </si>
  <si>
    <t>Kriti Kapoor</t>
  </si>
  <si>
    <t>Department Townhall</t>
  </si>
  <si>
    <t>Prateek Gupta</t>
  </si>
  <si>
    <t>Smart Bytes</t>
  </si>
  <si>
    <t>03:30 PM</t>
  </si>
  <si>
    <t>Somaya</t>
  </si>
  <si>
    <t>Eisha Mittal-</t>
  </si>
  <si>
    <t>2026-01-09 00:00:00</t>
  </si>
  <si>
    <t>waiting for the final number of the candidates from Mohit, if numbers are increased then we can keep Eisha hiring drive in Dt-4</t>
  </si>
  <si>
    <t>Fraud Operations- Internal Meeting</t>
  </si>
  <si>
    <t>Manu Singh</t>
  </si>
  <si>
    <t>Introduction sesion Paul cookie- Tech</t>
  </si>
  <si>
    <t>Rupika Nagpal</t>
  </si>
  <si>
    <t>Tech Onboarding -</t>
  </si>
  <si>
    <t>No</t>
  </si>
  <si>
    <t>Soamya</t>
  </si>
  <si>
    <t>Tech Event</t>
  </si>
  <si>
    <t>Yes- Tea and Snacks from Pihu</t>
  </si>
  <si>
    <t>Theater Style - Tea for 20 packs</t>
  </si>
  <si>
    <t>MR-405</t>
  </si>
  <si>
    <t>AU</t>
  </si>
  <si>
    <t>check in by 7:50 am , offline singage, Diet coke, sanitizer &amp; tissue box</t>
  </si>
  <si>
    <t>Markets India Technology - Full Team Meeting</t>
  </si>
  <si>
    <t>Ekta Sharma</t>
  </si>
  <si>
    <t>Shikha Saxena</t>
  </si>
  <si>
    <t>Board room type set up</t>
  </si>
  <si>
    <t>EO PB Townhall</t>
  </si>
  <si>
    <t>Yes</t>
  </si>
  <si>
    <t>Bhawna Kashyap</t>
  </si>
  <si>
    <t>Theater Style - two red chairs +one small table - tissue box with 4 water bottles</t>
  </si>
  <si>
    <t>Cancelled the event - email sent by Bhawna</t>
  </si>
  <si>
    <t>Hackable space / Zone E Brekout Area</t>
  </si>
  <si>
    <t>Meditation Sessioin</t>
  </si>
  <si>
    <t>Nisarg</t>
  </si>
  <si>
    <t>Hackable space</t>
  </si>
  <si>
    <t>Customer Voices Awareness Session II - NAB India)</t>
  </si>
  <si>
    <t>Sneha Kulkarni</t>
  </si>
  <si>
    <t>NAB Assist Rewards and Recognition</t>
  </si>
  <si>
    <t>Avinash Kumar</t>
  </si>
  <si>
    <t>Fin Crime ( Food Fest)</t>
  </si>
  <si>
    <t>Ratri</t>
  </si>
  <si>
    <t>R&amp;R event for BPLS</t>
  </si>
  <si>
    <t>Neha Pandy</t>
  </si>
  <si>
    <t>Zone E Brekout Area</t>
  </si>
  <si>
    <t>Moved on 29th Jan'26</t>
  </si>
  <si>
    <t>Ops - New Joiners Onboarding</t>
  </si>
  <si>
    <t>DT4 – 5.D.405</t>
  </si>
  <si>
    <t>AU visitor</t>
  </si>
  <si>
    <t>check in, offline singage, water bottles Diet coke, sanitizer &amp; tissue box</t>
  </si>
  <si>
    <t>Potluck Lunch</t>
  </si>
  <si>
    <t>Place the tables for placing the lunch near to the Glasses side as 70 pax is arranging the lunch- arranage cutlery - (plates, tissues spooons)</t>
  </si>
  <si>
    <t>Checking with Prem</t>
  </si>
  <si>
    <t>Event cancelled</t>
  </si>
  <si>
    <t>Business update- Townhall</t>
  </si>
  <si>
    <t>Theater style - and two red chairs along with round table - four water bottles and tissue box</t>
  </si>
  <si>
    <t>All Hands- DEDA</t>
  </si>
  <si>
    <t>04:15 PM</t>
  </si>
  <si>
    <t>Moved on 2nd Feb'2026</t>
  </si>
  <si>
    <t>Smart Bites</t>
  </si>
  <si>
    <t>Somya</t>
  </si>
  <si>
    <t>Theater style- event name</t>
  </si>
  <si>
    <t>Group Security event</t>
  </si>
  <si>
    <t>Sadaf Athar</t>
  </si>
  <si>
    <t>Moved on 27th Jan'26</t>
  </si>
  <si>
    <t>Rajesh Motwani</t>
  </si>
  <si>
    <t>L5</t>
  </si>
  <si>
    <t>V- Townhall</t>
  </si>
  <si>
    <t>hackable space</t>
  </si>
  <si>
    <t>Checking with Neeraj</t>
  </si>
  <si>
    <t>Hi Tea- Theater style</t>
  </si>
  <si>
    <t>Anurag Shah</t>
  </si>
  <si>
    <t>Hackable space and Zone E breakout area is not available due to the ongoing trainings</t>
  </si>
  <si>
    <t>original set up of 24 pax- in cluster and add 4 notepad chairs</t>
  </si>
  <si>
    <t>– Teams CVT and M&amp;D</t>
  </si>
  <si>
    <t>11:30 AM</t>
  </si>
  <si>
    <t>Vicky Khosla</t>
  </si>
  <si>
    <t>Support Hub</t>
  </si>
  <si>
    <t>Tentatively</t>
  </si>
  <si>
    <t>Anju</t>
  </si>
  <si>
    <t>Details will be shared by her later</t>
  </si>
  <si>
    <t>Writing Effective Goals &amp; IDPs</t>
  </si>
  <si>
    <t>Cluster set up (add one notepad chair)</t>
  </si>
  <si>
    <t>No hiring drive due to the family day</t>
  </si>
  <si>
    <t>Theate style with Notepad chairs</t>
  </si>
  <si>
    <t>- DT3-GGN-3.E.505-4P-TC</t>
  </si>
  <si>
    <t>AU Visitors</t>
  </si>
  <si>
    <t>Check in MR, tissue box and water bottles</t>
  </si>
  <si>
    <t>Tea, cookies and Food Arrangements</t>
  </si>
  <si>
    <t>Two white boards- Cluster set up of 24 pax and one notepad chair</t>
  </si>
  <si>
    <t>Meet the Grads</t>
  </si>
  <si>
    <t>Roohi Saxena</t>
  </si>
  <si>
    <t>CF and OCE team for our AU visitors</t>
  </si>
  <si>
    <t>02:15 AM</t>
  </si>
  <si>
    <t>03:15 PM</t>
  </si>
  <si>
    <t>Risk Awareness session</t>
  </si>
  <si>
    <t>Maanshu</t>
  </si>
  <si>
    <t>CIB leadership visit</t>
  </si>
  <si>
    <t>07:30 PM</t>
  </si>
  <si>
    <t>08:00 PM</t>
  </si>
  <si>
    <t>Praveen Singhal</t>
  </si>
  <si>
    <t>Cluster set up of 24 pax and add 6 more chairs</t>
  </si>
  <si>
    <t>DT3-GGN-3.E.503-Focus</t>
  </si>
  <si>
    <t>P and C Pot Luck Lunch</t>
  </si>
  <si>
    <t>Place 2 tables at the glass side and 2 in the partition side, free space side keep the chairs at the glass and partition side and no chairs in the center space- will discuss on this</t>
  </si>
  <si>
    <t>Ask me Anything- DCO</t>
  </si>
  <si>
    <t>04:30 AM</t>
  </si>
  <si>
    <t>Shagun</t>
  </si>
  <si>
    <t>Mr-305 and 306</t>
  </si>
  <si>
    <t>Presentation Skills (G3)</t>
  </si>
  <si>
    <t>Cluster setup and add one extra notepad chairs</t>
  </si>
  <si>
    <t>DT3-GGN-3.E.504-4P-TC</t>
  </si>
  <si>
    <t>All Zones</t>
  </si>
  <si>
    <t>Details will be shared shortly</t>
  </si>
  <si>
    <t>Theater style and require writing pad chairs</t>
  </si>
  <si>
    <t>Cookies +Brownies from Pihu Foods and Lunch will be arranged by Cook House</t>
  </si>
  <si>
    <t>Cluster set up, Markers (2-3) , White boards</t>
  </si>
  <si>
    <t>Cluster set up, Markers (2-3)</t>
  </si>
  <si>
    <t>Breakout Area/MR-305 and 306</t>
  </si>
  <si>
    <t>Cafeteria +breakout Area</t>
  </si>
  <si>
    <t>AI Risk and Governance Session by KPMG</t>
  </si>
  <si>
    <t>Mohit Mishra</t>
  </si>
  <si>
    <t>Classroomset up</t>
  </si>
  <si>
    <t>Breakout Area+Cafteria</t>
  </si>
  <si>
    <t>Screen Testing</t>
  </si>
  <si>
    <t>Sahil Kumar</t>
  </si>
  <si>
    <t>No setup- The vendor will come and do the testing of the TV Screens , no bookings on that day</t>
  </si>
  <si>
    <t>PLE</t>
  </si>
  <si>
    <t>P&amp; C Montly Session</t>
  </si>
  <si>
    <t>03:00 AM</t>
  </si>
  <si>
    <t>Kaushik</t>
  </si>
  <si>
    <t>Cluster set u</t>
  </si>
  <si>
    <t>Breakout Area +Cafeteria</t>
  </si>
  <si>
    <t>DCO &amp; CF Townhall</t>
  </si>
  <si>
    <t>Details are awaited</t>
  </si>
  <si>
    <t>Cafeteria +Breakout area</t>
  </si>
  <si>
    <t>CIO BP&amp;D Town Hall for Q2</t>
  </si>
  <si>
    <t>Ekta</t>
  </si>
  <si>
    <t>Personal Banking</t>
  </si>
  <si>
    <t>Theater style - Tentativley booking</t>
  </si>
  <si>
    <t>Tarun Bajaj</t>
  </si>
  <si>
    <t>Awaiting for the details</t>
  </si>
  <si>
    <t>MR-506</t>
  </si>
  <si>
    <t>150 Samosa and Brownies - PIHU Foods</t>
  </si>
  <si>
    <t>Ekta Sharma - Ruchi Bubber</t>
  </si>
  <si>
    <t>Nil</t>
  </si>
  <si>
    <t>Theate style</t>
  </si>
  <si>
    <t>Cafteria</t>
  </si>
  <si>
    <t>Rewards and Recognition team event for all of ES &amp; CIM area.</t>
  </si>
  <si>
    <t>03:45 PM</t>
  </si>
  <si>
    <t>Saurbh Dutta</t>
  </si>
  <si>
    <t>FCO OCDD Townhall</t>
  </si>
  <si>
    <t>10:30 AM</t>
  </si>
  <si>
    <t>Neelu Rana</t>
  </si>
  <si>
    <t>L_4</t>
  </si>
  <si>
    <t>Steve’s Townhall</t>
  </si>
  <si>
    <t>Townhall for Workplace- Greg’s Townhall</t>
  </si>
  <si>
    <t>theater style, fork, spoons, tissue paper , tea and water bottles (4) for the speaker and place round table for the water</t>
  </si>
  <si>
    <t>Haydn's All hand Meet</t>
  </si>
  <si>
    <t>Tripti Anis</t>
  </si>
  <si>
    <t>Dry Run - PEDB Tech Global Townhall</t>
  </si>
  <si>
    <t>Ekta Sharma/ Rashmi Chugh</t>
  </si>
  <si>
    <t>no set up required</t>
  </si>
  <si>
    <t>Wellness</t>
  </si>
  <si>
    <t>Ruhi Malhotra</t>
  </si>
  <si>
    <t>Theater style- she will share more details</t>
  </si>
  <si>
    <t>PEB Tech Global townhall</t>
  </si>
  <si>
    <t>Refreshments Pihu Foods - cookies and tea</t>
  </si>
  <si>
    <t>Tech Session</t>
  </si>
  <si>
    <t>Rupika</t>
  </si>
  <si>
    <t>Cloud Risks and Controls</t>
  </si>
  <si>
    <t>Enterprise Data &amp; Analytics</t>
  </si>
  <si>
    <t>Shashank Shekhar</t>
  </si>
  <si>
    <t>Laxmi Prasad</t>
  </si>
  <si>
    <t>Snacks arrangements for the female colleauge+Tea- awaiting the response</t>
  </si>
  <si>
    <t>Theater style- tea and coffee from Vending machines , arrange the mugs in the advance.</t>
  </si>
  <si>
    <t>Customer Master team connect.</t>
  </si>
  <si>
    <t>NIL</t>
  </si>
  <si>
    <t>Vikas K</t>
  </si>
  <si>
    <t>OPS New Joiners</t>
  </si>
  <si>
    <t>9 to 13 Feb</t>
  </si>
  <si>
    <t>Desk no W.5.F.765</t>
  </si>
  <si>
    <t>Gratitude Week</t>
  </si>
  <si>
    <t>Vaibhav Anand</t>
  </si>
  <si>
    <t>Place the white board near to Desk no F-765</t>
  </si>
  <si>
    <t>Atul Kumar</t>
  </si>
  <si>
    <t>Weighing Machine</t>
  </si>
  <si>
    <t>CIB Transformation domain meet and greet with our AU visitors</t>
  </si>
  <si>
    <t>Prateek Sharma</t>
  </si>
  <si>
    <t>Meeting</t>
  </si>
  <si>
    <t>05:00 AM</t>
  </si>
  <si>
    <t>Prem</t>
  </si>
  <si>
    <t>LT Connect with Frank</t>
  </si>
  <si>
    <t>Self Love Self Care Program</t>
  </si>
  <si>
    <t>Sakshi Singh</t>
  </si>
  <si>
    <t>R &amp; R - Personal Banking</t>
  </si>
  <si>
    <t>10:45 AM</t>
  </si>
  <si>
    <t>Ratinder Soni</t>
  </si>
  <si>
    <t>Market Tech Q1 Townhall</t>
  </si>
  <si>
    <t>11:45 AM</t>
  </si>
  <si>
    <t>Ekta Sharma /Taru</t>
  </si>
  <si>
    <t>Ops Academy Training session part 2 - Ops Excellence (Strong return Pillar)</t>
  </si>
  <si>
    <t>Martin</t>
  </si>
  <si>
    <t>Thearter style- White board, with three different color Markers</t>
  </si>
  <si>
    <t>Innovation Hackathon</t>
  </si>
  <si>
    <t>Rewards and Recognition session- Identity Fraud Services</t>
  </si>
  <si>
    <t>Pooja Kumari</t>
  </si>
  <si>
    <t>Toast Master</t>
  </si>
  <si>
    <t>prateek Sharma</t>
  </si>
  <si>
    <t>Hackable Sapce</t>
  </si>
  <si>
    <t>Sales and Marketing Global Townhall</t>
  </si>
  <si>
    <t>Ekta Sharma /Vikas A</t>
  </si>
  <si>
    <t>DEDA Onboarding Session –</t>
  </si>
  <si>
    <t>Piyush Dhayni</t>
  </si>
  <si>
    <t>NPL</t>
  </si>
  <si>
    <t>Anurah=g Shah</t>
  </si>
  <si>
    <t>Anshika</t>
  </si>
  <si>
    <t>Personal Banking Training</t>
  </si>
  <si>
    <t>CIBO townhall</t>
  </si>
  <si>
    <t>TBEP get together</t>
  </si>
  <si>
    <t>Abhay Dod</t>
  </si>
  <si>
    <t>Hacakable Space</t>
  </si>
  <si>
    <t>Testing</t>
  </si>
  <si>
    <t>Anoop Sir/Abhay Joshi</t>
  </si>
  <si>
    <t>Tech Training</t>
  </si>
  <si>
    <t>MR-601</t>
  </si>
  <si>
    <t>Check in by 7:50 am, Water Bottles, Diet Coke &amp; Tissue box</t>
  </si>
  <si>
    <t>hackable Space</t>
  </si>
  <si>
    <t>Group Seurity Townhall</t>
  </si>
  <si>
    <t>Shikha Mittal</t>
  </si>
  <si>
    <t>Fin Crime and Fraud Operations Townhall</t>
  </si>
  <si>
    <t>Khushboo Kaur</t>
  </si>
  <si>
    <t>Nab Assist Townhall - Q2</t>
  </si>
  <si>
    <t>Sangeeta Malik</t>
  </si>
  <si>
    <t>All Hands Staff-Customer Function Operations</t>
  </si>
  <si>
    <t>Testing of India townhall</t>
  </si>
  <si>
    <t>Prena Malik</t>
  </si>
  <si>
    <t>Keep 15 extra chairs</t>
  </si>
  <si>
    <t>all-hands meeting- Customer Function Operations</t>
  </si>
  <si>
    <t>Lunch boxes placed at the big table</t>
  </si>
  <si>
    <t>Chetan Kumar</t>
  </si>
  <si>
    <t>India townhall</t>
  </si>
  <si>
    <t>Prerna malik</t>
  </si>
  <si>
    <t>Ops Onboarding</t>
  </si>
  <si>
    <t>Semi Circle</t>
  </si>
  <si>
    <t>Baithak, Samvaad Aur Badlav</t>
  </si>
  <si>
    <t>Pratul Singh</t>
  </si>
  <si>
    <t>Group Seurity</t>
  </si>
  <si>
    <t>Anshika Singh</t>
  </si>
  <si>
    <t>1.F603 (10P)</t>
  </si>
  <si>
    <t>07:00 AM</t>
  </si>
  <si>
    <t>Check in by 7:20 am - Water bottles, coke Sanitizer white board markers and tissue box - make a folder of pentonic pen, conferenne pad, higlighter, pencil, eraser and sharpner with sticky noted, Mentos Candies and keep this folder on monday and rest check the markers in the meeting room and also check the temperature</t>
  </si>
  <si>
    <t>Zone C Breakout area</t>
  </si>
  <si>
    <t>Pot Luck Lunch</t>
  </si>
  <si>
    <t>Ratri Bhattacharya</t>
  </si>
  <si>
    <t>place the tables, cutlery and few cluster set up</t>
  </si>
  <si>
    <t>NO</t>
  </si>
  <si>
    <t>Receration Area</t>
  </si>
  <si>
    <t>Fin Crime &amp; Fraud Operations.</t>
  </si>
  <si>
    <t>no set up requried- they will use the space for the games</t>
  </si>
  <si>
    <t>Payment Operations - Engagement Activity</t>
  </si>
  <si>
    <t>Ritika Singhal</t>
  </si>
  <si>
    <t>Hacable Area</t>
  </si>
  <si>
    <t>Executive Meeting- DATA Technology</t>
  </si>
  <si>
    <t>Nidhi Garg</t>
  </si>
  <si>
    <t>Hackabale Space</t>
  </si>
  <si>
    <t>Ada Ingestion RTE, Enterprise Data &amp; Analytics</t>
  </si>
  <si>
    <t>Adeetee Jain</t>
  </si>
  <si>
    <t>Classroom set up and requrie the power extension</t>
  </si>
  <si>
    <t>NCC Inaugration Ceremony</t>
  </si>
  <si>
    <t>Cookies (3 differnt type of cookies) displayed in the big table and tea also (Tea from Pihu Foods) arrange the normal knife for cake cutting and place the round tables for placing the cakes</t>
  </si>
  <si>
    <t>* Cookies will be arranged, tea arranged (70 pax)- ribbon cutting by 9:30 am</t>
  </si>
  <si>
    <t>Technology Showcase</t>
  </si>
  <si>
    <t>7Tables to be placed, like booth- i will discus with you how to place the tables and chairs</t>
  </si>
  <si>
    <t>MR-302</t>
  </si>
  <si>
    <t>Water Bottles, Diet Coke &amp; Tissue box</t>
  </si>
  <si>
    <t>MR-304</t>
  </si>
  <si>
    <t>1.D403 (4P)</t>
  </si>
  <si>
    <t>Water bottles, Conference Pad, Mentos Candies, Coke Pentnoic Pen, white board markers and tissue box</t>
  </si>
  <si>
    <t>Water bottles, Diary, Pen, white board markers and tissue box _ PLEASE CHECK ALL THE ITEMS SHOULD BE PLACED AND RECHECKED THE WHITE BOARD MARKERS</t>
  </si>
  <si>
    <t>DT4 – 5.D.410</t>
  </si>
  <si>
    <t>Check in by 7:50 am, Water bottles, tissue box, sanitizer and put offline signage room</t>
  </si>
  <si>
    <t>Theater style- require white board with White Board Marker</t>
  </si>
  <si>
    <t>Water bottles, and tissue box</t>
  </si>
  <si>
    <t>Steve’s townhall</t>
  </si>
  <si>
    <t>01:15 PM</t>
  </si>
  <si>
    <t>plates, cutlery, Tissue box and water bottles for the speakers - Kriti will check with Parul</t>
  </si>
  <si>
    <t>CET_FCT All-Hands meeting</t>
  </si>
  <si>
    <t>Snacks requirement</t>
  </si>
  <si>
    <t>18th Fe'26</t>
  </si>
  <si>
    <t>ECOM-based squad (CRD) Connect with Angela.</t>
  </si>
  <si>
    <t>P&amp;D townhall</t>
  </si>
  <si>
    <t>Abhinav Kumar</t>
  </si>
  <si>
    <t>Theate style and require two red chairs along with one round table - two water bottles, tissue box)</t>
  </si>
  <si>
    <t>Meet with AU</t>
  </si>
  <si>
    <t>Theater style and place red chairs with wooden table and 4 water bottles</t>
  </si>
  <si>
    <t>P &amp; C Gathering</t>
  </si>
  <si>
    <t>Kaushik Nag</t>
  </si>
  <si>
    <t>Moved to Cafeteria</t>
  </si>
  <si>
    <t>L_5</t>
  </si>
  <si>
    <t>Theater Style- details are awaited</t>
  </si>
  <si>
    <t>Q/A session</t>
  </si>
  <si>
    <t>Connect with Steve</t>
  </si>
  <si>
    <t>Satyendra Jha</t>
  </si>
  <si>
    <t>XLT Catch up</t>
  </si>
  <si>
    <t>Tea and coffee from Pihu</t>
  </si>
  <si>
    <t>ShikhaOberoi</t>
  </si>
  <si>
    <t>Classroom setup with power extension</t>
  </si>
  <si>
    <t>Breakout area+Cafeteria</t>
  </si>
  <si>
    <t>TV Screens Testing</t>
  </si>
  <si>
    <t>No set up required - Testing</t>
  </si>
  <si>
    <t>Details shared with team</t>
  </si>
  <si>
    <t>place 40 writing pads chairs</t>
  </si>
  <si>
    <t>Classroomset up - confirmed by Deshraj</t>
  </si>
  <si>
    <t>Email Writing with Copilot</t>
  </si>
  <si>
    <t>Original cluster set up of 24 pax and adding 6 notepad chairs</t>
  </si>
  <si>
    <t>EPSS Townhall</t>
  </si>
  <si>
    <t>Monika T</t>
  </si>
  <si>
    <t>RiskTeam Meeting- Announcements/ Updates</t>
  </si>
  <si>
    <t>Hemakshi</t>
  </si>
  <si>
    <t>Data Technology Townhall</t>
  </si>
  <si>
    <t>Simran</t>
  </si>
  <si>
    <t>arshal briefing session</t>
  </si>
  <si>
    <t>Manish Sehgal</t>
  </si>
  <si>
    <t>Risk Awareness Session- Group Security</t>
  </si>
  <si>
    <t>Cancelled the event</t>
  </si>
  <si>
    <t>CEOT All-Team Quarterly Townhall</t>
  </si>
  <si>
    <t>Snacks arrangements - by Pihu Foods</t>
  </si>
  <si>
    <t>Achal</t>
  </si>
  <si>
    <t>Fire Side chat</t>
  </si>
  <si>
    <t>Mayank Maheshwari</t>
  </si>
  <si>
    <t>Theater style +2 leather</t>
  </si>
  <si>
    <t>Sarah's Meeting</t>
  </si>
  <si>
    <t>2 Leather chairs + Tissue box and sanitizer on wooden round table</t>
  </si>
  <si>
    <t>Shikha Oberoi</t>
  </si>
  <si>
    <t>Theater style - as much seating</t>
  </si>
  <si>
    <t>Cookies, Brownies and Lunch arrangments</t>
  </si>
  <si>
    <t>Details wil be shared shortly</t>
  </si>
  <si>
    <t>DCO &amp;CF</t>
  </si>
  <si>
    <t>EPSS R&amp; R</t>
  </si>
  <si>
    <t>Poonam</t>
  </si>
  <si>
    <t>Giving and Receiving Feedback</t>
  </si>
  <si>
    <t>Cluster Set up</t>
  </si>
  <si>
    <t>Risk Cohort Session</t>
  </si>
  <si>
    <t>04:00 AM</t>
  </si>
  <si>
    <t>Arti Sharma</t>
  </si>
  <si>
    <t>Theater style and place the wate bottles for the speaker +tissue box + place the tables for lunch +cutlery+plates +tissue paper for 60 pax</t>
  </si>
  <si>
    <t>Early talent in data delivery</t>
  </si>
  <si>
    <t>Simarn</t>
  </si>
  <si>
    <t>Manas Nagpal</t>
  </si>
  <si>
    <t>Detials will be shared shortly</t>
  </si>
  <si>
    <t>Finane team connect</t>
  </si>
  <si>
    <t>Anju Vera</t>
  </si>
  <si>
    <t>Cluster set up and require the extension boards</t>
  </si>
  <si>
    <t>Building your Brand</t>
  </si>
  <si>
    <t>DCO and CF People Leader Meet</t>
  </si>
  <si>
    <t>Model Risk Team Connect</t>
  </si>
  <si>
    <t>Himankshi</t>
  </si>
  <si>
    <t>People Leader Essentials</t>
  </si>
  <si>
    <t>Interaction with Finance Team</t>
  </si>
  <si>
    <t>Theater style - arrange cutlery and plates for the snacks -Anju will confirm to place the snacks</t>
  </si>
  <si>
    <t>Risk</t>
  </si>
  <si>
    <t>Priyanka Kapoor</t>
  </si>
  <si>
    <t>T&amp;EO COO - Townhall</t>
  </si>
  <si>
    <t>Lunch arrangements- Arranged lunch from Cook house of 95 pax</t>
  </si>
  <si>
    <t>Dheeraj Khurana</t>
  </si>
  <si>
    <t>DCO and CF - Team Meeting</t>
  </si>
  <si>
    <t>Theater style, arrange the cutlery and tissue for the snacks</t>
  </si>
  <si>
    <t>Himanshu Sati</t>
  </si>
  <si>
    <t>Renewal GMC</t>
  </si>
  <si>
    <t>Mukesh gupta</t>
  </si>
  <si>
    <t>Fire Safety - Training</t>
  </si>
  <si>
    <t>Manish</t>
  </si>
  <si>
    <t>Connect Legal &amp; Sourcing</t>
  </si>
  <si>
    <t>Alok Chaudhary</t>
  </si>
  <si>
    <t>Adetee Jain</t>
  </si>
  <si>
    <t>DT4-GGN-5.D.410-VC-8P-TC</t>
  </si>
  <si>
    <t>AU Visitors (Carmel)</t>
  </si>
  <si>
    <t>07:30 AM</t>
  </si>
  <si>
    <t>Check in by 7:20 am Coke+water bottles+Tissue box and sanitizer</t>
  </si>
  <si>
    <t>DT4-GGN-5.D.409-VC-5P-TC</t>
  </si>
  <si>
    <t>AU Visitors (Rick)</t>
  </si>
  <si>
    <t>Hackable Space</t>
  </si>
  <si>
    <t>Rajeshwari Hoygegudde</t>
  </si>
  <si>
    <t>Lunch Set up</t>
  </si>
  <si>
    <t>Board room type set up- water bottles, cutlery tissue paper and coke</t>
  </si>
  <si>
    <t>Hacakable Spce</t>
  </si>
  <si>
    <t>Global CIO CIB Townhall</t>
  </si>
  <si>
    <t>Townhall -P &amp; B</t>
  </si>
  <si>
    <t>Poonam Gupta</t>
  </si>
  <si>
    <t>New Joiners Induction - Enterprise Operations and Personal Banking</t>
  </si>
  <si>
    <t>Avinash</t>
  </si>
  <si>
    <t>High-Tea with new joiners</t>
  </si>
  <si>
    <t>Hi Tea from Compass</t>
  </si>
  <si>
    <t>Theater style - set up require in Zone B Bane Marie</t>
  </si>
  <si>
    <t>Women in Leadership</t>
  </si>
  <si>
    <t>Need to discuss on this</t>
  </si>
  <si>
    <t>Ops Training</t>
  </si>
  <si>
    <t>Allwin</t>
  </si>
  <si>
    <t>Classroom Type Set up</t>
  </si>
  <si>
    <t>Lunch Arrangements - PB Au Visitors</t>
  </si>
  <si>
    <t>Water bottles, cutlery and sanitizer</t>
  </si>
  <si>
    <t>Theate style with 2 red chairs - round wooden table +water bottle and sanitizer</t>
  </si>
  <si>
    <t>original set up</t>
  </si>
  <si>
    <t>Disputes head visit</t>
  </si>
  <si>
    <t>Rajeshwari Hoygegudde Prasanna Kumar</t>
  </si>
  <si>
    <t>Tarun Jain</t>
  </si>
  <si>
    <t>DT-4 Level 1 - 30 Seater -DT4-GGN-1.F.506</t>
  </si>
  <si>
    <t>DCO -Sourcing Training</t>
  </si>
  <si>
    <t>Alok Choudhary</t>
  </si>
  <si>
    <t>MR-502 and MR-503</t>
  </si>
  <si>
    <t>Remove the partition and seating will be remain same</t>
  </si>
  <si>
    <t>Birthday Celebrations</t>
  </si>
  <si>
    <t>Require cutlery,</t>
  </si>
  <si>
    <t>EPSS Tranining</t>
  </si>
  <si>
    <t>Monika</t>
  </si>
  <si>
    <t>Theater style - Tentatively</t>
  </si>
  <si>
    <t>Women's Day Celebration</t>
  </si>
  <si>
    <t>Jayant Dhamija</t>
  </si>
  <si>
    <t>Global AI Townhall</t>
  </si>
  <si>
    <t>Simran Vijay</t>
  </si>
  <si>
    <t>Place the planters</t>
  </si>
  <si>
    <t>Place the planters over their</t>
  </si>
  <si>
    <t>AU Executive Townhall</t>
  </si>
  <si>
    <t>Gaurav Jain</t>
  </si>
  <si>
    <t>International women's celebration</t>
  </si>
  <si>
    <t>Ruhi</t>
  </si>
  <si>
    <t>Cafeteria - Small space near to the Helpdesk area</t>
  </si>
  <si>
    <t>National Blind Assocation- Stalls</t>
  </si>
  <si>
    <t>Sharaddha Madan</t>
  </si>
  <si>
    <t>Place the tables for the handicrafts and arange water bottles, tea and coffee for them</t>
  </si>
  <si>
    <t>Saurabh Dutta</t>
  </si>
  <si>
    <t>Classroom set up with the extension board</t>
  </si>
  <si>
    <t>New joniers Connect</t>
  </si>
  <si>
    <t>Shkha Saxena</t>
  </si>
  <si>
    <t>theater set up</t>
  </si>
  <si>
    <t>P and C Event</t>
  </si>
  <si>
    <t>Kanishka Kapoor</t>
  </si>
  <si>
    <t>Worskhop</t>
  </si>
  <si>
    <t>latika</t>
  </si>
  <si>
    <t>TBD - Batch TM investigations</t>
  </si>
  <si>
    <t>Classroom set up with Power extensions</t>
  </si>
  <si>
    <t>Finanace Training</t>
  </si>
  <si>
    <t>Kunal</t>
  </si>
  <si>
    <t>Innovation Trainings and Workshop</t>
  </si>
  <si>
    <t>Clusterset up with power extenison</t>
  </si>
  <si>
    <t>DT4.GGN.5.F.604</t>
  </si>
  <si>
    <t>AU visitors</t>
  </si>
  <si>
    <t>offline message, water bottles, coke tissue box and Sanitizer</t>
  </si>
  <si>
    <t>DT4.GGN.5.F.606</t>
  </si>
  <si>
    <t>Place the offline sheet and no set up required</t>
  </si>
  <si>
    <t>DT4.GGN.5.F.607</t>
  </si>
  <si>
    <t>ELT Visits</t>
  </si>
  <si>
    <t>w</t>
  </si>
  <si>
    <t>Maya</t>
  </si>
  <si>
    <t>Booked for ELT Visit</t>
  </si>
  <si>
    <t>ELT Townhall</t>
  </si>
  <si>
    <t>Prerna Malik</t>
  </si>
  <si>
    <t>CIO CET All Hands- Townhall</t>
  </si>
  <si>
    <t>Thater style- no of particiapants are awaited</t>
  </si>
  <si>
    <t>EnterPrise Services Townhall</t>
  </si>
  <si>
    <t>Innoation Hub</t>
  </si>
  <si>
    <t>HO – Data Ingestion</t>
  </si>
  <si>
    <t>11:30 PM</t>
  </si>
  <si>
    <t>Kapil Chaudhary</t>
  </si>
  <si>
    <t>Enterprise Services Meetig</t>
  </si>
  <si>
    <t>Aastha Sharma</t>
  </si>
  <si>
    <t>Theater style- cutlery require by 12:00 pm</t>
  </si>
  <si>
    <t>NAB Assit</t>
  </si>
  <si>
    <t>Kiran Pushpraj</t>
  </si>
  <si>
    <t>Anthrim data platform -Team connect with Trim</t>
  </si>
  <si>
    <t>NAB Agree Business Customer</t>
  </si>
  <si>
    <t>Classroom set up with the extension board - enclosed the Innovation hub - Light lamping start at 9 am call to vendor to end by 7:30 am - garlands 20 nos</t>
  </si>
  <si>
    <t>V connect with New Joinesr</t>
  </si>
  <si>
    <t>Group Security Townhall</t>
  </si>
  <si>
    <t>.F.603</t>
  </si>
  <si>
    <t>Ankita Monga</t>
  </si>
  <si>
    <t>Sigange and place the water bottles</t>
  </si>
  <si>
    <t>Mar 23rd to 27th</t>
  </si>
  <si>
    <t>Mon to Fri</t>
  </si>
  <si>
    <t>D.408</t>
  </si>
  <si>
    <t>AU visitors - Allan Ha</t>
  </si>
  <si>
    <t>Dheeraj Khurrna</t>
  </si>
  <si>
    <t>offline Signage water bottles, tissue box and sanitizer</t>
  </si>
  <si>
    <t>D.410</t>
  </si>
  <si>
    <t>Au Visitor Peter</t>
  </si>
  <si>
    <t>Mar 23rd to 26th</t>
  </si>
  <si>
    <t>Mon to Thur</t>
  </si>
  <si>
    <t>E.507</t>
  </si>
  <si>
    <t>E.508</t>
  </si>
  <si>
    <t>D.412</t>
  </si>
  <si>
    <t>Classroom set up and place water bottles</t>
  </si>
  <si>
    <t>Executive visit for Personal Banking</t>
  </si>
  <si>
    <t>Aprit Ohri</t>
  </si>
  <si>
    <t>Arrange the cutlery and tissue</t>
  </si>
  <si>
    <t>Connect with Team</t>
  </si>
  <si>
    <t>Theater style and arrange the cutlery</t>
  </si>
  <si>
    <t>Mar 25th to 27th</t>
  </si>
  <si>
    <t>Wed to Fri</t>
  </si>
  <si>
    <t>5.D.409</t>
  </si>
  <si>
    <t>AU Visitor - Usha NewLand</t>
  </si>
  <si>
    <t>offline Signage,candies, coke, perrie water, water bottles, tissue box and sanitizer</t>
  </si>
  <si>
    <t>DT4-GGN-5.D.411</t>
  </si>
  <si>
    <t>AU visitor - Scott</t>
  </si>
  <si>
    <t>25th and 26th Mach</t>
  </si>
  <si>
    <t>Wed and Thur</t>
  </si>
  <si>
    <t>MR-308</t>
  </si>
  <si>
    <t>Neelu</t>
  </si>
  <si>
    <t>Signage, water bottle, tissue box and sanitizer</t>
  </si>
  <si>
    <t>CET_FCT All-Hands Meeting</t>
  </si>
  <si>
    <t>Individual Due Diligence-</t>
  </si>
  <si>
    <t>Arpit Ohri</t>
  </si>
  <si>
    <t>Theater Sytle</t>
  </si>
  <si>
    <t>Rashi</t>
  </si>
  <si>
    <t>Dry run - CIO Tech Mod - Global Townhall</t>
  </si>
  <si>
    <t>Meg</t>
  </si>
  <si>
    <t>Dry run</t>
  </si>
  <si>
    <t>CET R&amp;R activity</t>
  </si>
  <si>
    <t>Team connect</t>
  </si>
  <si>
    <t>C&amp;IB Transformation Townhall</t>
  </si>
  <si>
    <t>Tech Onboarding</t>
  </si>
  <si>
    <t>Ops On boardig</t>
  </si>
  <si>
    <t>24TH Mar</t>
  </si>
  <si>
    <t>Loyalty and Marketing Townhall</t>
  </si>
  <si>
    <t>himanshu Sati</t>
  </si>
  <si>
    <t>Details will be provided shortly</t>
  </si>
  <si>
    <t>Birthday Party Celebration</t>
  </si>
  <si>
    <t>set up remain same as usual and arrange the cutlery and provide the three tables for placing the sancks and cake</t>
  </si>
  <si>
    <t>Classrom type set up</t>
  </si>
  <si>
    <t>Inovation Hub</t>
  </si>
  <si>
    <t>CIO DEDA All Hands- Townhall</t>
  </si>
  <si>
    <t>Tea Arrangements</t>
  </si>
  <si>
    <t>Trainings</t>
  </si>
  <si>
    <t>Welcome to CIB</t>
  </si>
  <si>
    <t>Julia/ Ekta</t>
  </si>
  <si>
    <t>Zone C Breakout AREa</t>
  </si>
  <si>
    <t>Potluck Lunch- Digital Disputes</t>
  </si>
  <si>
    <t>Anuja Prakash</t>
  </si>
  <si>
    <t>arrang cutlery and Tissue paper and 3-4 cluster set up -</t>
  </si>
  <si>
    <t>P&amp; C team connect</t>
  </si>
  <si>
    <t>cluster set up</t>
  </si>
  <si>
    <t>Team Connect</t>
  </si>
  <si>
    <t>02:00 AM</t>
  </si>
  <si>
    <t>Testing- New Joiners Induction</t>
  </si>
  <si>
    <t>For the newjoiners</t>
  </si>
  <si>
    <t>Risk Model</t>
  </si>
  <si>
    <t>Fire Marshall</t>
  </si>
  <si>
    <t>Cancelled</t>
  </si>
  <si>
    <t>NAB Assist team</t>
  </si>
  <si>
    <t>Geeta Mishra</t>
  </si>
  <si>
    <t>Breakout Area +MR-305 and 306</t>
  </si>
  <si>
    <t>Classroom set up in the breakout area</t>
  </si>
  <si>
    <t>Team connect meeting</t>
  </si>
  <si>
    <t>Finance Team connect</t>
  </si>
  <si>
    <t>Copilot Hacks session</t>
  </si>
  <si>
    <t>Pragya Kadian</t>
  </si>
  <si>
    <t>Mr-107</t>
  </si>
  <si>
    <t>All Hand Meet- C&amp; IB operations</t>
  </si>
  <si>
    <t>Rakesh Sharma</t>
  </si>
  <si>
    <t>Theater style and white board- snacks boxes will be placed</t>
  </si>
  <si>
    <t>Copilot hacks</t>
  </si>
  <si>
    <t>Lending Services</t>
  </si>
  <si>
    <t>Kanchan Walia</t>
  </si>
  <si>
    <t>Theate style - they will be using the space from 1pm to 2 pm and then 3:00 pm to 4:00 pm</t>
  </si>
  <si>
    <t>Risk and Cohort</t>
  </si>
  <si>
    <t>Rashi Haldiya</t>
  </si>
  <si>
    <t>Breakout area +MR-305 and 306</t>
  </si>
  <si>
    <t>Classroom set up in the breakout area and MR-305 and 306</t>
  </si>
  <si>
    <t>Classroom</t>
  </si>
  <si>
    <t>Building your brand</t>
  </si>
  <si>
    <t>Enterprise Tec</t>
  </si>
  <si>
    <t>Ashok Singh Bohra</t>
  </si>
  <si>
    <t>Group Security Global event</t>
  </si>
  <si>
    <t>Sadaf</t>
  </si>
  <si>
    <t>Enterprise Technology - Townhall</t>
  </si>
  <si>
    <t>Snacks arrangements</t>
  </si>
  <si>
    <t>Punjit</t>
  </si>
  <si>
    <t>Theater style- details will be shared shortly</t>
  </si>
  <si>
    <t>Model Risk Meeting</t>
  </si>
  <si>
    <t>hemaskhi</t>
  </si>
  <si>
    <t>cluster set up- 1 table and 5 chairs</t>
  </si>
  <si>
    <t>Operations Townhall</t>
  </si>
  <si>
    <t>Tea, Snacks and Lunch Arrangements</t>
  </si>
  <si>
    <t>Breakout area</t>
  </si>
  <si>
    <t>Enterprise Training</t>
  </si>
  <si>
    <t>Culture Immersion (select teams)</t>
  </si>
  <si>
    <t>Ritu Malik</t>
  </si>
  <si>
    <t>Details will be shared shorlty</t>
  </si>
  <si>
    <t>PW Tech Townhal</t>
  </si>
  <si>
    <t>Madan Singh/Ekta Sharma</t>
  </si>
  <si>
    <t>Risk team connect</t>
  </si>
  <si>
    <t>Bharat Nanwani</t>
  </si>
  <si>
    <t>12:00 AM</t>
  </si>
  <si>
    <t>Deshraj will updat that the induciton will be in breakout area or not</t>
  </si>
  <si>
    <t>Core Services (C&amp;CP Team - ET)</t>
  </si>
  <si>
    <t>Rohit Kohli</t>
  </si>
  <si>
    <t>Presentation Skills</t>
  </si>
  <si>
    <t>ITM Training</t>
  </si>
  <si>
    <t>Aman Khattar</t>
  </si>
  <si>
    <t>PLE Session</t>
  </si>
  <si>
    <t>MR-107</t>
  </si>
  <si>
    <t>Training - PB direct</t>
  </si>
  <si>
    <t>DT-4 Level - 1 Innovation Lab</t>
  </si>
  <si>
    <t>CIO Technology Modernisation Town Hall,</t>
  </si>
  <si>
    <t>GMC Renewal</t>
  </si>
  <si>
    <t>Mukesh Gupta</t>
  </si>
  <si>
    <t>L4</t>
  </si>
  <si>
    <t>Vikas Arora</t>
  </si>
  <si>
    <t>Ops New Joiners Session with V</t>
  </si>
  <si>
    <t>Lunch NAB Assist team</t>
  </si>
  <si>
    <t>Operations</t>
  </si>
  <si>
    <t>Tarun and</t>
  </si>
  <si>
    <t>BDSB- Training</t>
  </si>
  <si>
    <t>Meeting Room- 405</t>
  </si>
  <si>
    <t>Eloise Wett and Rebecca Tan (AU visitors)</t>
  </si>
  <si>
    <t>Arrange water bottles perrier wate, candies and coke, tissue box and sanitizer- only place the perrier water, coke for one person- both will sit together</t>
  </si>
  <si>
    <t>Webobs Settlements Batch 1</t>
  </si>
  <si>
    <t>Customer Home Lending Operations Townhall</t>
  </si>
  <si>
    <t>AI Domain All Hands and update on AI Strategy</t>
  </si>
  <si>
    <t>R &amp; R - Fraud Operations</t>
  </si>
  <si>
    <t>Somya Jain</t>
  </si>
  <si>
    <t>Ask Us Anything</t>
  </si>
  <si>
    <t>Tea and snacks arrangements- Ekta will confirm</t>
  </si>
  <si>
    <t>Julia/ Ekta Sharma</t>
  </si>
  <si>
    <t>Fraud Townhall</t>
  </si>
  <si>
    <t>PB &amp; TSM - Monthly Meeting - Baithak, Samvaad Aur Badlav)</t>
  </si>
  <si>
    <t>Group Security- Fun Event</t>
  </si>
  <si>
    <t>03:30 AM</t>
  </si>
  <si>
    <t>Meeting - CIO and CIB Markets QE</t>
  </si>
  <si>
    <t>Anupam</t>
  </si>
  <si>
    <t>Theaters style</t>
  </si>
  <si>
    <t>Q2 R&amp;R - BPLS</t>
  </si>
  <si>
    <t>L-5 Either in DT-3</t>
  </si>
  <si>
    <t>Hiring</t>
  </si>
  <si>
    <t>Meeting Room- 609</t>
  </si>
  <si>
    <t>AU visitos</t>
  </si>
  <si>
    <t>Arrange water bottles and replenish the water bottels before getting over</t>
  </si>
  <si>
    <t>Ashok Bohra</t>
  </si>
  <si>
    <t>ET-Townhall</t>
  </si>
  <si>
    <t>Kriti</t>
  </si>
  <si>
    <t>Markets Global Town Hall</t>
  </si>
  <si>
    <t>Fun Friday Game</t>
  </si>
  <si>
    <t>W.4.D.540.</t>
  </si>
  <si>
    <t>TMI training</t>
  </si>
  <si>
    <t>Classroom set up with power extension and cover the area with standee pls</t>
  </si>
  <si>
    <t>Tech Tonwhall</t>
  </si>
  <si>
    <t>Client Support Townhall</t>
  </si>
  <si>
    <t>Shruti Mahant</t>
  </si>
  <si>
    <t>All Hands - Customer Operations</t>
  </si>
  <si>
    <t>Ranjeeta</t>
  </si>
  <si>
    <t>Transaction Monitoring Town Hall</t>
  </si>
  <si>
    <t>Akash Singh</t>
  </si>
  <si>
    <t>PWO Townhall</t>
  </si>
  <si>
    <t>Ashish Gupta</t>
  </si>
  <si>
    <t>Monthly Team Celebrations</t>
  </si>
  <si>
    <t>Nitesh Singh</t>
  </si>
  <si>
    <t>Zone E Breakout Area / Recreation Area</t>
  </si>
  <si>
    <t>potluck for the Payment Operations team</t>
  </si>
  <si>
    <t>Cutlery +tissue - details will be shared shorlty</t>
  </si>
  <si>
    <t>Recreation Area</t>
  </si>
  <si>
    <t>Birthday cake cutting</t>
  </si>
  <si>
    <t>Shruti Malhotra</t>
  </si>
  <si>
    <t>arrange the cutlery, tissue paper - pls place the table for the snacks boxes and for cake cutting</t>
  </si>
  <si>
    <t>Risk Awareness training - operations</t>
  </si>
  <si>
    <t>Shreya</t>
  </si>
  <si>
    <t>Innnovation HUb</t>
  </si>
  <si>
    <t>R &amp; R</t>
  </si>
  <si>
    <t>Innovation Hub+Breakout Area</t>
  </si>
  <si>
    <t>Lunch with BOB</t>
  </si>
  <si>
    <t>Sara - DCO</t>
  </si>
  <si>
    <t>Gouri</t>
  </si>
  <si>
    <t>Monika Nigam</t>
  </si>
  <si>
    <t>ReserveZone A to E</t>
  </si>
  <si>
    <t>PW Tech TownHall</t>
  </si>
  <si>
    <t>Ekta/Madan</t>
  </si>
  <si>
    <t>TM Training</t>
  </si>
  <si>
    <t>Classrooms set up</t>
  </si>
  <si>
    <t>Enterprise Workforce Planning &amp; Productivity Tonwhall</t>
  </si>
  <si>
    <t>Dheeraj</t>
  </si>
  <si>
    <t>Team Lunch</t>
  </si>
  <si>
    <t>Lunch will be ordered from outside</t>
  </si>
  <si>
    <t>Tech meeting</t>
  </si>
  <si>
    <t>Rashmi Chugh</t>
  </si>
  <si>
    <t>Team Building</t>
  </si>
  <si>
    <t>Muskan Singla</t>
  </si>
  <si>
    <t>People Leader Essential</t>
  </si>
  <si>
    <t>PEGA Meeting</t>
  </si>
  <si>
    <t>Vaibhav Kansal</t>
  </si>
  <si>
    <t>Add 7-8 tables</t>
  </si>
  <si>
    <t>.</t>
  </si>
  <si>
    <t>Cafeteria +Breakout Area</t>
  </si>
  <si>
    <t>Finance</t>
  </si>
  <si>
    <t>EAK Performance Framework &amp; FY 2026 Goals</t>
  </si>
  <si>
    <t>Vaibhav Srivastava</t>
  </si>
  <si>
    <t>CIO B&amp;PB Town Hall for Q3</t>
  </si>
  <si>
    <t>Theater style - lunchwill be in Zone F tech loung side, place the lunch boxes on the big table and Ekta Sharma is arranging</t>
  </si>
  <si>
    <t>Breakout ARea</t>
  </si>
  <si>
    <t>Training - PB</t>
  </si>
  <si>
    <t>Jatin</t>
  </si>
  <si>
    <t>Clasroom set up and few table with chair and rest add tablets chair</t>
  </si>
  <si>
    <t>Breaout Area</t>
  </si>
  <si>
    <t>Social Hub-1</t>
  </si>
  <si>
    <t>P&amp; C Team Connect</t>
  </si>
  <si>
    <t>09:45 AM</t>
  </si>
  <si>
    <t>Thater style- open the glass door</t>
  </si>
  <si>
    <t>Morning Tea, Theater style, two red chairs with two wooden tables water bottles</t>
  </si>
  <si>
    <t>Prem Chaudhray</t>
  </si>
  <si>
    <t>Meeting Room-305 and 306</t>
  </si>
  <si>
    <t>Trainng</t>
  </si>
  <si>
    <t>Classorom set up with Power extension</t>
  </si>
  <si>
    <t>Classorom set up with Power extension- Tentatively Booking</t>
  </si>
  <si>
    <t>Toastmasters</t>
  </si>
  <si>
    <t>Arushi</t>
  </si>
  <si>
    <t>Markets-Event</t>
  </si>
  <si>
    <t>No set up require</t>
  </si>
  <si>
    <t>NAB HY26 results Viva Engage Live - 4 May</t>
  </si>
  <si>
    <t>Prerna will confirm</t>
  </si>
  <si>
    <t>Zone E Breakout ARea</t>
  </si>
  <si>
    <t>Ekta/Madan singh</t>
  </si>
  <si>
    <t>BDSB (Business Direct and Direct Business) LOB Visit + Townhall</t>
  </si>
  <si>
    <t>Lucky Singh</t>
  </si>
  <si>
    <t>Theater style+round table for water bottles</t>
  </si>
  <si>
    <t>T&amp;EO Townhall</t>
  </si>
  <si>
    <t>T&amp;EO Lunch</t>
  </si>
  <si>
    <t>Lunch Arrnagement s</t>
  </si>
  <si>
    <t>Arrange the cutlery, tissue and joint tables with 30 chairs,</t>
  </si>
  <si>
    <t>Soamya Prasad</t>
  </si>
  <si>
    <t>All hands- DEDA</t>
  </si>
  <si>
    <t>Ruchi</t>
  </si>
  <si>
    <t>EDT Team Lunch</t>
  </si>
  <si>
    <t>Cutlery (plates, spoons, and bowls), o 3 tables for keeping cake and food items. and no set up required</t>
  </si>
  <si>
    <t>Transitional Data Platform Townhall</t>
  </si>
  <si>
    <t>Privacy Awareness Week</t>
  </si>
  <si>
    <t>Group Security</t>
  </si>
  <si>
    <t>L1</t>
  </si>
  <si>
    <t>Rishabh Soni</t>
  </si>
  <si>
    <t>the ES &amp; CIM areas townhall</t>
  </si>
  <si>
    <t>Snaks Arrangements for the event -</t>
  </si>
  <si>
    <t>MR-409</t>
  </si>
  <si>
    <t>offline note - Arrange water bottles (8nos)+2 coke (mix ) santizer and tissue box</t>
  </si>
  <si>
    <t>MR-411</t>
  </si>
  <si>
    <t>offline Note with water bottles, tissue box and sanitizer</t>
  </si>
  <si>
    <t>NAB’s Data, Analytics &amp; AI Strategy to colleagues.</t>
  </si>
  <si>
    <t>Gabrielle Marzano/ Ekta Sharma</t>
  </si>
  <si>
    <t>Details wil be shared shorlty</t>
  </si>
  <si>
    <t>Payments Townhall (</t>
  </si>
  <si>
    <t>Anupam Sharma</t>
  </si>
  <si>
    <t>R&amp;R Event- PB</t>
  </si>
  <si>
    <t>Ritendra Soni</t>
  </si>
  <si>
    <t>Theater style- cover both sides</t>
  </si>
  <si>
    <t>Ops Townhall</t>
  </si>
  <si>
    <t>:</t>
  </si>
  <si>
    <t>DEDA onboarding</t>
  </si>
  <si>
    <t>Abhay Verma</t>
  </si>
  <si>
    <t>Fraud Operations</t>
  </si>
  <si>
    <t>Aashish Aashish</t>
  </si>
  <si>
    <t>Theater style+2 sticky notes+ white board marker +White board</t>
  </si>
  <si>
    <t>Group COO Town Hall</t>
  </si>
  <si>
    <t>Board Room</t>
  </si>
  <si>
    <t>Tax Authority visit to India</t>
  </si>
  <si>
    <t>Cokes+water bottles+candies+tissue box+cookies+sanitzer +per</t>
  </si>
  <si>
    <t>Lunch banto boxes+</t>
  </si>
  <si>
    <t>Full Day Training</t>
  </si>
  <si>
    <t>Cluster set up - 1 rund table set with 7 chairs as require 4 more sets</t>
  </si>
  <si>
    <t>Emotional Intelligence</t>
  </si>
  <si>
    <t>Enterprise Services- Townhall</t>
  </si>
  <si>
    <t>Theater style and require the cutlery tissue</t>
  </si>
  <si>
    <t>FC&amp;F Townhall</t>
  </si>
  <si>
    <t>DEDA onboarding session</t>
  </si>
  <si>
    <t>Abhay Varma</t>
  </si>
  <si>
    <t>Blood Donation Drive</t>
  </si>
  <si>
    <t>Request for the Banana and Juice (150 pcs each budget- 8,000(inclusive GST)+Arranged lunch for them</t>
  </si>
  <si>
    <t>Manjeet Singh</t>
  </si>
  <si>
    <t>Place 5-6 tables and</t>
  </si>
  <si>
    <t>Copilot Hack</t>
  </si>
  <si>
    <t>Leadership Connect</t>
  </si>
  <si>
    <t>Neeraj Pandey</t>
  </si>
  <si>
    <t>Place 2 tables to keep the beverages and stationery items Arranging the snacks - chips- 12, choclates- 25, water bottles- 30, Cans (coke, limca mix- 45 nos -300 ml) and staionery (sticky notes -multi colour)- 5 ns, chart- 5 nos, Blue pens- 20 and Markers (5nos) place it by 7:00 am</t>
  </si>
  <si>
    <t>Monthly Gen AI Session for Neeraj XLT</t>
  </si>
  <si>
    <t>Markets Event Technology</t>
  </si>
  <si>
    <t>Cafeteia</t>
  </si>
  <si>
    <t>the seats tilll the help desk</t>
  </si>
  <si>
    <t>Morning Tea- 10:30 am - 11:00 am</t>
  </si>
  <si>
    <t>Snacks Arrangements</t>
  </si>
  <si>
    <t>C&amp; IB Team Connect</t>
  </si>
  <si>
    <t>Gaurav Saxena</t>
  </si>
  <si>
    <t>NAB Assist Meeting</t>
  </si>
  <si>
    <t>04:43 AM</t>
  </si>
  <si>
    <t>Zone E Breakout area</t>
  </si>
  <si>
    <t>Classroom Type set up</t>
  </si>
  <si>
    <t>Individual Due Diligence</t>
  </si>
  <si>
    <t>Fun Event Group Security</t>
  </si>
  <si>
    <t>Theater style - require some sapce for the game activites</t>
  </si>
  <si>
    <t>Cursor training for Neeraj’s SLT and Vikas’ Tech LT.</t>
  </si>
  <si>
    <t>Theater style- no of participants willbe shared shorltl</t>
  </si>
  <si>
    <t>Critical &amp; Complex Townhall</t>
  </si>
  <si>
    <t>Theater style +2 red chairs+round table+ tissue box and sanitizer</t>
  </si>
  <si>
    <t>Innovation Hub+ Social Hub</t>
  </si>
  <si>
    <t>Lunch Arrangemetns for cricitcal and complex townhall</t>
  </si>
  <si>
    <t>Require tea</t>
  </si>
  <si>
    <t>arrange cutlery and tisuse (they will reuqire only Social Hub)- original set up require</t>
  </si>
  <si>
    <t>NAB India Townhall</t>
  </si>
  <si>
    <t>CDR Team Connect</t>
  </si>
  <si>
    <t>Shraddha Madan</t>
  </si>
  <si>
    <t>Email Etiquette Training Session</t>
  </si>
  <si>
    <t>Prem Joseph</t>
  </si>
  <si>
    <t>C&amp;IB Townhall</t>
  </si>
  <si>
    <t>50</t>
  </si>
  <si>
    <t>Snacks to be arranged by Shivani, kindly place the cutlery, tissue papers - details are pending</t>
  </si>
  <si>
    <t>Gouri Puri</t>
  </si>
  <si>
    <t>Fraud operations townhall</t>
  </si>
  <si>
    <t>Summer Cooler event</t>
  </si>
  <si>
    <t>require 15 tables as max and addtional chairs for the participants</t>
  </si>
  <si>
    <t>Team Meeting</t>
  </si>
  <si>
    <t>06:00 PM</t>
  </si>
  <si>
    <t>Arranged cookies+tea for 35 pax and lunch from Cook house</t>
  </si>
  <si>
    <t>Padmanav Kundu</t>
  </si>
  <si>
    <t>Personal Banking Event</t>
  </si>
  <si>
    <t>Abhik Bose</t>
  </si>
  <si>
    <t>Theater style- waiting for the confirmation</t>
  </si>
  <si>
    <t>Total</t>
  </si>
  <si>
    <t>Meeting Room- 305 and 306</t>
  </si>
  <si>
    <t>Anil Kr Jannela</t>
  </si>
  <si>
    <t>Theatre Style</t>
  </si>
  <si>
    <t>NO EVENTS</t>
  </si>
  <si>
    <t>Copilot Hacks</t>
  </si>
  <si>
    <t>Cluster style</t>
  </si>
  <si>
    <t>Cancelled the meeting</t>
  </si>
  <si>
    <t>107</t>
  </si>
  <si>
    <t>connect with Anand</t>
  </si>
  <si>
    <t>Ashwani Ashwani</t>
  </si>
  <si>
    <t>Cluster setup</t>
  </si>
  <si>
    <t>MR305 &amp; 306</t>
  </si>
  <si>
    <t>New Joiner Induction</t>
  </si>
  <si>
    <t>Meeting Room-107</t>
  </si>
  <si>
    <t>Need to connect with Kaushik / Deshraj</t>
  </si>
  <si>
    <t>Cluster style / Add 7 Writing chair in the middle</t>
  </si>
  <si>
    <t>P&amp;C Session</t>
  </si>
  <si>
    <t>Deepak Jhingram</t>
  </si>
  <si>
    <t>DCO&amp;CF Quiz</t>
  </si>
  <si>
    <t>Shagun Agarwal</t>
  </si>
  <si>
    <t>QE All Hands</t>
  </si>
  <si>
    <t>Ritika Pandiya</t>
  </si>
  <si>
    <t>Classroom setup + Notepad chairs 30 &amp; 10chairs with table</t>
  </si>
  <si>
    <t>Deepika Bajaj</t>
  </si>
  <si>
    <t>Cluster setup with 5 participant in 1table</t>
  </si>
  <si>
    <t>Classroom setup</t>
  </si>
  <si>
    <t>Deshra</t>
  </si>
  <si>
    <t>Leadership Workshop</t>
  </si>
  <si>
    <t>Pragya</t>
  </si>
  <si>
    <t>Cluster set up / 1table with 4chairs / 25pen &amp; 25notepad / No water required</t>
  </si>
  <si>
    <t>Time Management and Prioritization</t>
  </si>
  <si>
    <t>TT-Table Area</t>
  </si>
  <si>
    <t>Axis Bank Event</t>
  </si>
  <si>
    <t>Bhawna Yadav</t>
  </si>
  <si>
    <t>Place 2 chairs with 1 Table</t>
  </si>
  <si>
    <t>MR - 305 &amp; 306</t>
  </si>
  <si>
    <t>ET Grads</t>
  </si>
  <si>
    <t>Anurag /Anurag.Vashishtha@nab.com.au</t>
  </si>
  <si>
    <t>Cluster set up / add 6 notepad chairs /White board / Markers / Remove partition /</t>
  </si>
  <si>
    <t>People Leader's Eessential Session</t>
  </si>
  <si>
    <t>B&amp;PB Training Business Verification</t>
  </si>
  <si>
    <t>Classroom setup along with extension board</t>
  </si>
  <si>
    <t>B&amp;PB Training Business verification</t>
  </si>
  <si>
    <t>Cluster Setup</t>
  </si>
  <si>
    <t>DCO + CF Team Townhall</t>
  </si>
  <si>
    <t>Shagun Agarwal / Monika Raj</t>
  </si>
  <si>
    <t>Zone - A,B,C</t>
  </si>
  <si>
    <t>Tablets Chairs / Notepad chairs</t>
  </si>
  <si>
    <t>Original Cluster setup + add 8Tablet chairs</t>
  </si>
  <si>
    <t>EPSS Operation Quaterly recognition</t>
  </si>
  <si>
    <t>09:30 PM</t>
  </si>
  <si>
    <t>Poonam Singh</t>
  </si>
  <si>
    <t>Theatre Style/ 1 table &amp; 1 chair infront</t>
  </si>
  <si>
    <t>Fraud Operations Executive ( Shaq Johnson ) session</t>
  </si>
  <si>
    <t>Bhanuj</t>
  </si>
  <si>
    <t>Fire Marshal Training</t>
  </si>
  <si>
    <t>Shishir / Hitesh</t>
  </si>
  <si>
    <t>Blocked for the Audition</t>
  </si>
  <si>
    <t>Apoorv</t>
  </si>
  <si>
    <t>4chairs infront of the large screen with 1 large table + Place a chairs at the corner + in the centre kep it clear</t>
  </si>
  <si>
    <t>Zone - A,B,C &amp; 401</t>
  </si>
  <si>
    <t>Zone -A,B,C &amp; 401 -meeting room</t>
  </si>
  <si>
    <t>Confirm in Email</t>
  </si>
  <si>
    <t>Cafeteria &amp; Breakout Area</t>
  </si>
  <si>
    <t>D &amp; A Quarterly Town Hall</t>
  </si>
  <si>
    <t>MR107</t>
  </si>
  <si>
    <t>Session with Sara Brown</t>
  </si>
  <si>
    <t>Piya</t>
  </si>
  <si>
    <t>Normal setup + add more chairs</t>
  </si>
  <si>
    <t>1st to 4th Jun'2026</t>
  </si>
  <si>
    <t>E.681.</t>
  </si>
  <si>
    <t>AU Visitor</t>
  </si>
  <si>
    <t>Arrange water bottes,</t>
  </si>
  <si>
    <t>DT4-GGN-4.A.109-VC-2P</t>
  </si>
  <si>
    <t>Hitesh Kumar- Architeture</t>
  </si>
  <si>
    <t>Arrange water bottles, sanitizer and tissue boxes</t>
  </si>
  <si>
    <t>Connect with Gordon - EDA (Enterprise Data)</t>
  </si>
  <si>
    <t>No snacks</t>
  </si>
  <si>
    <t>Grads Lunch with Gordon by EDA</t>
  </si>
  <si>
    <t>Lunch arranged by Simran</t>
  </si>
  <si>
    <t>Cluseter set up- arranged cutlery and tissue</t>
  </si>
  <si>
    <t>Connect with GEN AI</t>
  </si>
  <si>
    <t>ET Townhall</t>
  </si>
  <si>
    <t>MR.511</t>
  </si>
  <si>
    <t>Women in Tech Session</t>
  </si>
  <si>
    <t>L-6</t>
  </si>
  <si>
    <t>E Zone Breakout Area</t>
  </si>
  <si>
    <t>Saurabh Jain</t>
  </si>
  <si>
    <t>Data Tech Townhall</t>
  </si>
  <si>
    <t>Gordon connect with Gold Team</t>
  </si>
  <si>
    <t>Architecture Team Connect</t>
  </si>
  <si>
    <t>02:30 AM</t>
  </si>
  <si>
    <t>Recreational Area</t>
  </si>
  <si>
    <t>Pizza Party</t>
  </si>
  <si>
    <t>Required cutlery/ Cluster style set-up</t>
  </si>
  <si>
    <t>Tech full day training</t>
  </si>
  <si>
    <t>Cluster set up - 1 rectangle table set with 5 chairs as required 4 more sets as we had done as last time same set up required</t>
  </si>
  <si>
    <t>Customer Enabling Technology Q2 RnR.</t>
  </si>
  <si>
    <t>Ranjeeta Navis</t>
  </si>
  <si>
    <t>28th ay'2026</t>
  </si>
  <si>
    <t>Classroom style</t>
  </si>
  <si>
    <t>Leadership Speak session for Women's Sessoin</t>
  </si>
  <si>
    <t>Master class</t>
  </si>
  <si>
    <t>Deepika</t>
  </si>
  <si>
    <t>Theatre Class</t>
  </si>
  <si>
    <t>Team Session With Anand</t>
  </si>
  <si>
    <t>Ashwani</t>
  </si>
  <si>
    <t>Cursor training session</t>
  </si>
  <si>
    <t>Cafetaria near Zone B</t>
  </si>
  <si>
    <t>Pride Event- Fireside Chat with Yash</t>
  </si>
  <si>
    <t>awaiting</t>
  </si>
  <si>
    <t>Deatils will be shared shorlty</t>
  </si>
  <si>
    <t>5.D.410</t>
  </si>
  <si>
    <t>Visitor</t>
  </si>
  <si>
    <t>need to placed water bottles , coke , tissue &amp; sanitizer.</t>
  </si>
  <si>
    <t>Social Hub</t>
  </si>
  <si>
    <t>Soamya Soamya</t>
  </si>
  <si>
    <t>Innovaiton hub</t>
  </si>
  <si>
    <t>Birthday Celebration</t>
  </si>
  <si>
    <t>Shruti Malhotra/Ashutosh Gupta/Sneha Baghel</t>
  </si>
  <si>
    <t>they rescheduled it</t>
  </si>
  <si>
    <t>Cutlery(plates,spoons,and bowls),o 3 tables in one line for keeping cake and food items. Rest of the chair / sofa can stay the way (and hence no need to change them) o Kindly assist in transporting the food items from the ground floor to the venue (cake / snacks item which we will order). Need min 3 persons.</t>
  </si>
  <si>
    <t>CIO CIB Global Town Hall</t>
  </si>
  <si>
    <t>Ekta/Julia</t>
  </si>
  <si>
    <t>Skip Connect</t>
  </si>
  <si>
    <t>Saurabh</t>
  </si>
  <si>
    <t>DEDA Event Team</t>
  </si>
  <si>
    <t>Chestha</t>
  </si>
  <si>
    <t>Coddility Assessment</t>
  </si>
  <si>
    <t>Soumay Soumya</t>
  </si>
  <si>
    <t>FCO Strategy Townhall</t>
  </si>
  <si>
    <t>Leader connect- Lending Services</t>
  </si>
  <si>
    <t>Snacks, sandwhich and tea</t>
  </si>
  <si>
    <t>Details will be shared shortly, require sticky notes, white board marker.Flip Chart, C type set up</t>
  </si>
  <si>
    <t>Zone E Social hub</t>
  </si>
  <si>
    <t>Akshat</t>
  </si>
  <si>
    <t>Theatre Style tentivelly</t>
  </si>
  <si>
    <t>Zone E Social Hub</t>
  </si>
  <si>
    <t>Theatre style</t>
  </si>
  <si>
    <t>DISC training for DEDA</t>
  </si>
  <si>
    <t>Tea, Coffe, Sanwiches &amp; cookies</t>
  </si>
  <si>
    <t>Devendra Kumar Rajpurohit</t>
  </si>
  <si>
    <t>Half C type set up</t>
  </si>
  <si>
    <t>GGN-6.E.506</t>
  </si>
  <si>
    <t>Exec’s visiting from Australia</t>
  </si>
  <si>
    <t>05:30 PM</t>
  </si>
  <si>
    <t>Padmanav</t>
  </si>
  <si>
    <t>require the coke, sanitizer and Tissue Box,place the signage on the meeting room door</t>
  </si>
  <si>
    <t>Theater style+2 red chair+round table+water bottle, sanitizer tissue box</t>
  </si>
  <si>
    <t>Tim's Townhall</t>
  </si>
  <si>
    <t>Clarie/ Ekta Sharma</t>
  </si>
  <si>
    <t>Markets India Technology</t>
  </si>
  <si>
    <t>11:45 PM</t>
  </si>
  <si>
    <t>Sandwich and Cookies</t>
  </si>
  <si>
    <t>Alwajid</t>
  </si>
  <si>
    <t>Pride Commentary</t>
  </si>
  <si>
    <t>Snacks- will confirm by Ekta</t>
  </si>
  <si>
    <t>Ekta Sharma/ Julia</t>
  </si>
  <si>
    <t>Fire side chat with Kapil Jolly</t>
  </si>
  <si>
    <t>Arpit Ohri/Kanchan Walia</t>
  </si>
  <si>
    <t>AV required/Neat board Speaker Mike</t>
  </si>
  <si>
    <t>Saruabh Dutta</t>
  </si>
  <si>
    <t>He will confirm</t>
  </si>
  <si>
    <t>EO&amp;PB Hi tea</t>
  </si>
  <si>
    <t>R&amp;R Session</t>
  </si>
  <si>
    <t>Vaibhav</t>
  </si>
  <si>
    <t>LT &amp;Team Huddle</t>
  </si>
  <si>
    <t>12:45 PM</t>
  </si>
  <si>
    <t>Mayank Taneja</t>
  </si>
  <si>
    <t>Thetre Style</t>
  </si>
  <si>
    <t>B&amp;PB India Visit</t>
  </si>
  <si>
    <t>Boardroom seating style,arrange the cultery, coke diet and regular coke, water bottles and tissues.</t>
  </si>
  <si>
    <t>Celebrating successful deployment of CSA AgenticAI Initiative</t>
  </si>
  <si>
    <t>Vanish Khurana</t>
  </si>
  <si>
    <t>Original set up - cluster set up</t>
  </si>
  <si>
    <t>Session</t>
  </si>
  <si>
    <t>Confirm by latika - awaiting for details</t>
  </si>
  <si>
    <t>Hemakshi Patel</t>
  </si>
  <si>
    <t>B and PB Townwhall</t>
  </si>
  <si>
    <t>Pending</t>
  </si>
  <si>
    <t>Theater style - waiting for the nos of particpants</t>
  </si>
  <si>
    <t>L6</t>
  </si>
  <si>
    <t>Hi tea with australia team</t>
  </si>
  <si>
    <t>Zone E breakout area</t>
  </si>
  <si>
    <t>02:25 PM</t>
  </si>
  <si>
    <t>03:10 PM</t>
  </si>
  <si>
    <t>Mayank Mudgal</t>
  </si>
  <si>
    <t>Theater style with hi tea setup</t>
  </si>
  <si>
    <t>EOPB Townhall</t>
  </si>
  <si>
    <t>Hi Tea -</t>
  </si>
  <si>
    <t>Colurful sticky notes+ White board Markers</t>
  </si>
  <si>
    <t>Social Hub Area</t>
  </si>
  <si>
    <t>Bhawna Chabra</t>
  </si>
  <si>
    <t>Team Connnect</t>
  </si>
  <si>
    <t>Maya Negi</t>
  </si>
  <si>
    <t>Team Training</t>
  </si>
  <si>
    <t>PLE Event</t>
  </si>
  <si>
    <t>Hackathon</t>
  </si>
  <si>
    <t>Pooja/Bhanuj</t>
  </si>
  <si>
    <t>Hackathon R&amp;R session</t>
  </si>
  <si>
    <t>Theatre Style,• 4 microphones • Projector access • 2 Sofa chairs and table</t>
  </si>
  <si>
    <t>Require the coke, sanitizer and Tissue Box,place the signage on the meeting room door</t>
  </si>
  <si>
    <t>CIO PB Townhall</t>
  </si>
  <si>
    <t>P&amp;C connects with colleagues</t>
  </si>
  <si>
    <t>Aradhna Shouri</t>
  </si>
  <si>
    <t>Classroom style (chairs facing the speaker)</t>
  </si>
  <si>
    <t>EO&amp;PD town hall.</t>
  </si>
  <si>
    <t>GS Colleague Engagement Event</t>
  </si>
  <si>
    <t>Payments Townhall</t>
  </si>
  <si>
    <t>ALT Session</t>
  </si>
  <si>
    <t>Group Security Q3 Townhall</t>
  </si>
  <si>
    <t>Shikha</t>
  </si>
  <si>
    <t>Finance &amp; Treasury Global Townhall</t>
  </si>
  <si>
    <t>Rupika Nagpal/ Kaushal</t>
  </si>
  <si>
    <t>Leadership India Visit</t>
  </si>
  <si>
    <t>All Day</t>
  </si>
  <si>
    <t>Awaiting</t>
  </si>
  <si>
    <t>Zone E Social Hub Area</t>
  </si>
  <si>
    <t>Aradhna Shourie</t>
  </si>
  <si>
    <t>YES</t>
  </si>
  <si>
    <t>Cutlery// arrange the water bottle //theatre style with open Innovation hub partition</t>
  </si>
  <si>
    <t>CIO DEDA -Q3 Town Hall</t>
  </si>
  <si>
    <t>11:00 PM</t>
  </si>
  <si>
    <t>Rahul Marwah</t>
  </si>
  <si>
    <t>Classroom Style</t>
  </si>
  <si>
    <t>Saurabh Duta</t>
  </si>
  <si>
    <t>Annual day Practice</t>
  </si>
  <si>
    <t>Sahil</t>
  </si>
  <si>
    <t>Cafeteria / Breakout</t>
  </si>
  <si>
    <t>Full Team Meet</t>
  </si>
  <si>
    <t>02:45 PM</t>
  </si>
  <si>
    <t>Ruchi / Ekta</t>
  </si>
  <si>
    <t>Confirm inemail</t>
  </si>
  <si>
    <t>Booked for the Audition</t>
  </si>
  <si>
    <t>NL</t>
  </si>
  <si>
    <t>Apoorv Sabrun</t>
  </si>
  <si>
    <t>Confirm in email</t>
  </si>
  <si>
    <t>Confirm on email</t>
  </si>
  <si>
    <t>Anual day Prep</t>
  </si>
  <si>
    <t>Cafeteria /Reception</t>
  </si>
  <si>
    <t>Deshraj.Deshraj@nab.com.au</t>
  </si>
  <si>
    <t>TA Team &amp; AU Folks</t>
  </si>
  <si>
    <t>Yes-Plates &amp; Tissue arrangement</t>
  </si>
  <si>
    <t>Shivani.rana@nab.com.au</t>
  </si>
  <si>
    <t>Training Session TA team</t>
  </si>
  <si>
    <t>Manas.Nagpal@nab.com.au</t>
  </si>
  <si>
    <t>PotLuck Lunch</t>
  </si>
  <si>
    <t>Yes - Cutlary</t>
  </si>
  <si>
    <t>Annual day Prep</t>
  </si>
  <si>
    <t>Sahil.Kumar@nab.com.au</t>
  </si>
  <si>
    <t>Yes Snacks &amp; Lunch</t>
  </si>
  <si>
    <t>Stationary arrangment</t>
  </si>
  <si>
    <t>PragyaSingh.Kadian@nab.com.au</t>
  </si>
  <si>
    <t>Monika T Raj Kumari</t>
  </si>
  <si>
    <t>All Hands Meeting</t>
  </si>
  <si>
    <t>Ekta.Sharma@nab.com.au</t>
  </si>
  <si>
    <t>08:30 PM</t>
  </si>
  <si>
    <t>Open space</t>
  </si>
  <si>
    <t>Diksha.Sharma1@nab.com.au</t>
  </si>
  <si>
    <t>Teams Meeting</t>
  </si>
  <si>
    <t>Monika Rajkumari</t>
  </si>
  <si>
    <t>Cancel by Monika</t>
  </si>
  <si>
    <t>Sahil.Kumar@Nab.com.au</t>
  </si>
  <si>
    <t>New Joiner Kits distribution</t>
  </si>
  <si>
    <t>Breakout Area + Cafeteria</t>
  </si>
  <si>
    <t>tARUN.JAIN@NAB.COM.AU</t>
  </si>
  <si>
    <t>Cluster + Classroom</t>
  </si>
  <si>
    <t>FY26 Q3 Enterprise Property &amp; stractegic Sourcing Team Town Hall</t>
  </si>
  <si>
    <t>Sudhanshu.verma@nab.com.au</t>
  </si>
  <si>
    <t>People Learder essential training</t>
  </si>
  <si>
    <t>NA</t>
  </si>
  <si>
    <t>Monika.Nigam@nab.com.au</t>
  </si>
  <si>
    <t>Anju.Verma1@nab.com.au</t>
  </si>
  <si>
    <t>Leadership Program</t>
  </si>
  <si>
    <t>F&amp;B</t>
  </si>
  <si>
    <t>Deepika.Bajaj@nab.com.au</t>
  </si>
  <si>
    <t>3.A.107</t>
  </si>
  <si>
    <t>Team Session</t>
  </si>
  <si>
    <t>Shivang.Malhotra@nab.com.au</t>
  </si>
  <si>
    <t>Confirm in emial</t>
  </si>
  <si>
    <t>MR103</t>
  </si>
  <si>
    <t>Cre Engineering - Townhall</t>
  </si>
  <si>
    <t>AV support</t>
  </si>
  <si>
    <t>Ritika.Pandiya@nab.com.au</t>
  </si>
  <si>
    <t>Hackathon - NAB India Finance</t>
  </si>
  <si>
    <t>Pramod Bandooni</t>
  </si>
  <si>
    <t>Confirm</t>
  </si>
  <si>
    <t>F - MR601</t>
  </si>
  <si>
    <t>Jessica Cuthbertson / 21st till 24th</t>
  </si>
  <si>
    <t>water / Diet /tissue</t>
  </si>
  <si>
    <t>TT Table</t>
  </si>
  <si>
    <t>Pluxee conduct a helpdesk / Worksite</t>
  </si>
  <si>
    <t>Bhawna.Yadav@nab.com.au</t>
  </si>
  <si>
    <t>Confirm in email / 3 tables / Cancle the booking by Bhawna Yadav</t>
  </si>
  <si>
    <t>3.C.305 &amp; 306</t>
  </si>
  <si>
    <t>Teams Session</t>
  </si>
  <si>
    <t>Required add more chair</t>
  </si>
  <si>
    <t>Shivan.Malhotra@nab.com.au</t>
  </si>
  <si>
    <t>India Townhall + Fire Side :DATA &amp; Analytics</t>
  </si>
  <si>
    <t>Devendrakumar.rajpurahit@nab.com.au</t>
  </si>
  <si>
    <t>• 23 July -DT3, 105</t>
  </si>
  <si>
    <t>For Richard</t>
  </si>
  <si>
    <t>Perrier water, Coke, Hand sanitizer &amp; Tissue box</t>
  </si>
  <si>
    <t>Payal.jain@nab.com.au</t>
  </si>
  <si>
    <t>MR105</t>
  </si>
  <si>
    <t>Stephen Alberts / Vivek chopra</t>
  </si>
  <si>
    <t>Beverages</t>
  </si>
  <si>
    <t>21TH jULY</t>
  </si>
  <si>
    <t>cONFIRM IN EMAIL</t>
  </si>
  <si>
    <t>Ignite FY26 T&amp;EO Global Female Talent Program</t>
  </si>
  <si>
    <t>4 chair in 1 table Classroom</t>
  </si>
  <si>
    <t>Confirm in emial / 3 Tables</t>
  </si>
  <si>
    <t>Snacks will be arrange in TT Table /Mic/ Tea / Cake cutting</t>
  </si>
  <si>
    <t>Additionally, please arrange the beverages in Meeting Room 203 on 24 and 27 July 2026.</t>
  </si>
  <si>
    <t>203 / 105</t>
  </si>
  <si>
    <t>yes</t>
  </si>
  <si>
    <t>Rohit.solomon@nab.com.au/ payal.Jain@nab.com.au</t>
  </si>
  <si>
    <t>21st</t>
  </si>
  <si>
    <t>P&amp;C Leadership + Fire site</t>
  </si>
  <si>
    <t>Yes / Water bottle</t>
  </si>
  <si>
    <t>Preeti.vig@nab.com.au</t>
  </si>
  <si>
    <t>Confirm in email / Waterbottle for the panel / Theatre style set up for audience, with 2 chairs and a center table facing audience for our guest panel.</t>
  </si>
  <si>
    <t>Akim</t>
  </si>
  <si>
    <t>Deshraj Deshraj</t>
  </si>
  <si>
    <t>Confirm person</t>
  </si>
  <si>
    <t>105</t>
  </si>
  <si>
    <t>POSH Awareness Session</t>
  </si>
  <si>
    <t>Shikha.Kungar@nab.com.au</t>
  </si>
  <si>
    <t>Meeting Room 105</t>
  </si>
  <si>
    <t>has been reserved for the entire day under Rohit Sir's name.</t>
  </si>
  <si>
    <t>Persoanl leadership session</t>
  </si>
  <si>
    <t>confirm on mail</t>
  </si>
  <si>
    <t>Business Optimization and Capability- townhall</t>
  </si>
  <si>
    <t>Yes- Lunch arrangements</t>
  </si>
  <si>
    <t>Theater style Lunch order placed through food sauda C&amp;C required and pantry to support</t>
  </si>
  <si>
    <t>Soumya Soumya</t>
  </si>
  <si>
    <t>Prasad.Soamya@nab.com.au</t>
  </si>
  <si>
    <t>Innovation hub</t>
  </si>
  <si>
    <t>saurabh.dutta1@nab.com.au</t>
  </si>
  <si>
    <t>We have booked this space//</t>
  </si>
  <si>
    <t>Monthly Team Celebration</t>
  </si>
  <si>
    <t>Nisarg/Kalpana Sharma</t>
  </si>
  <si>
    <t>kalpana.sharma@nab.com.au</t>
  </si>
  <si>
    <t>shruti.malhotra@nab.com.au</t>
  </si>
  <si>
    <t>3 tables in a row for keeping cake and food items</t>
  </si>
  <si>
    <t>anurag.shah@nab.com.au</t>
  </si>
  <si>
    <t>Risk &amp; Recognition connect -Payment Operations</t>
  </si>
  <si>
    <t>mayank.taneja1@nab.com.au</t>
  </si>
  <si>
    <t>maya.negi@nab.com.au</t>
  </si>
  <si>
    <t>Annual day preparation</t>
  </si>
  <si>
    <t>Sachin</t>
  </si>
  <si>
    <t>sachin.kumar2@nab.com.au</t>
  </si>
  <si>
    <t>No setup required</t>
  </si>
  <si>
    <t>aradhanashourie.awasthi@nab.com.au</t>
  </si>
  <si>
    <t>Cafetaria</t>
  </si>
  <si>
    <t>EOPB India Townhall</t>
  </si>
  <si>
    <t>Manas</t>
  </si>
  <si>
    <t>manas.nagpal@nab.com.au</t>
  </si>
  <si>
    <t>Tech On Boarding</t>
  </si>
  <si>
    <t>PB COO Joint Townhall</t>
  </si>
  <si>
    <t>Madhur Gaur</t>
  </si>
  <si>
    <t>2026-06-16 00:00:00</t>
  </si>
  <si>
    <t>Theatre Style for rehersal</t>
  </si>
  <si>
    <t>2026-07-02 00:00:00</t>
  </si>
  <si>
    <t>Training Sessions</t>
  </si>
  <si>
    <t>2026-06-19 00:00:00</t>
  </si>
  <si>
    <t>AI for Leaders</t>
  </si>
  <si>
    <t>01:45 PM</t>
  </si>
  <si>
    <t>2026-07-03 00:00:00</t>
  </si>
  <si>
    <t>Vik's All Hands</t>
  </si>
  <si>
    <t>Chinmayananda</t>
  </si>
  <si>
    <t>2026-06-10 00:00:00</t>
  </si>
  <si>
    <t>R&amp; R Event</t>
  </si>
  <si>
    <t>2026-07-06 00:00:00</t>
  </si>
  <si>
    <t>Soical hub</t>
  </si>
  <si>
    <t>HRBP Connect</t>
  </si>
  <si>
    <t>20th May'2026</t>
  </si>
  <si>
    <t>AI Training</t>
  </si>
  <si>
    <t>SLT Lunch</t>
  </si>
  <si>
    <t>Shivani Sandhu</t>
  </si>
  <si>
    <t>Boardroom Style</t>
  </si>
  <si>
    <t>Shivani</t>
  </si>
  <si>
    <t>Tentatively Not confirmed</t>
  </si>
  <si>
    <t>Alok</t>
  </si>
  <si>
    <t>Theater style and red chairs with 2 round wooden tables (cancelled and pushed in next week) as mail dropped by alok</t>
  </si>
  <si>
    <t>Vikas Gupta</t>
  </si>
  <si>
    <t>11:15 AM</t>
  </si>
  <si>
    <t>Vikram Bisht</t>
  </si>
  <si>
    <t>PB COO Town Hall hosted by PBE AU + NICI</t>
  </si>
  <si>
    <t>2026-05-06 00:00:00</t>
  </si>
  <si>
    <t>Classroom Setup</t>
  </si>
  <si>
    <t>2026-07-09 00:00:00</t>
  </si>
  <si>
    <t>All colleague Connect -PO with Satyam</t>
  </si>
  <si>
    <t>Aradhana</t>
  </si>
  <si>
    <t>46209</t>
  </si>
  <si>
    <t>Tech Star</t>
  </si>
  <si>
    <t>Classroom Set up</t>
  </si>
  <si>
    <t>Learning Series</t>
  </si>
  <si>
    <t>2026-06-12 00:00:00</t>
  </si>
  <si>
    <t>Dry Run</t>
  </si>
  <si>
    <t>Shudhanshu</t>
  </si>
  <si>
    <t>Marketing all hands</t>
  </si>
  <si>
    <t>2026-07-07 00:00:00</t>
  </si>
  <si>
    <t>Theatre style - Event Reschedule on Monday</t>
  </si>
  <si>
    <t>EOPT / Business Townhall</t>
  </si>
  <si>
    <t>Ekta Sharma / Punjit</t>
  </si>
  <si>
    <t>Postponed for 14th July 2026</t>
  </si>
  <si>
    <t>AMA with Amit &amp; Hajesh</t>
  </si>
  <si>
    <t>Kriti.Kapoor1@nab.com.au</t>
  </si>
  <si>
    <t>MR.L1.604</t>
  </si>
  <si>
    <t>Nakshatra</t>
  </si>
  <si>
    <t>Nakshatra.bhardwaj@nab.com.au</t>
  </si>
  <si>
    <t>Prem.chaudhary1@nab.com.au</t>
  </si>
  <si>
    <t>Modernise Briefing for SLT/ XLT</t>
  </si>
  <si>
    <t>Tech Townhall</t>
  </si>
  <si>
    <t>FCO &amp; FO Townhall</t>
  </si>
  <si>
    <t>Khushboo</t>
  </si>
  <si>
    <t>Khushboo.kaur@nab.com.au</t>
  </si>
  <si>
    <t>FY26 Q3 Enterprise Property Strategic Sourcing Team Town Hall</t>
  </si>
  <si>
    <t>Moved to DT-3</t>
  </si>
  <si>
    <t>Emily Williams</t>
  </si>
  <si>
    <t>Emily.williams2@nab.com.au</t>
  </si>
  <si>
    <t>Theater style and red chairs with 2 round wooden tables +nos of participants are awaited</t>
  </si>
  <si>
    <t>PEB- Hi Tea</t>
  </si>
  <si>
    <t>Easha Gupta</t>
  </si>
  <si>
    <t>Easha.gupta@nab.com.au</t>
  </si>
  <si>
    <t>Parul.wadehra@nab.com.au</t>
  </si>
  <si>
    <t>Disputes Townhall</t>
  </si>
  <si>
    <t>Vikram bisht</t>
  </si>
  <si>
    <t>Vikram.Bisht@nab.com.au</t>
  </si>
  <si>
    <t>COO All Hands Session</t>
  </si>
  <si>
    <t>Shivani Sadhu</t>
  </si>
  <si>
    <t>2026-07-13 00:00:00</t>
  </si>
  <si>
    <t>Boardroom Style Arrange water bottles and coke &amp; Crockery Cutlery VIP</t>
  </si>
  <si>
    <t>Rupika Nagpal / Vikas Arora</t>
  </si>
  <si>
    <t>Theatre style/ Hi Tea</t>
  </si>
  <si>
    <t>MR 604</t>
  </si>
  <si>
    <t>Deoki Mishra</t>
  </si>
  <si>
    <t>Deoki.mishra@nab.com.au</t>
  </si>
  <si>
    <t>Recreational area</t>
  </si>
  <si>
    <t>No gas cooking contest</t>
  </si>
  <si>
    <t>Kanchan walia</t>
  </si>
  <si>
    <t>Kanchan.walia@nab.com.au</t>
  </si>
  <si>
    <t>16 Chairs with tables for contest</t>
  </si>
  <si>
    <t>ES &amp; CIM Q3 R&amp;R</t>
  </si>
  <si>
    <t>Saurabh.dutta1@nab.com.au</t>
  </si>
  <si>
    <t>Hiring Drive for banking operation</t>
  </si>
  <si>
    <t>Tarun.jain@nab.com.au</t>
  </si>
  <si>
    <t>Theatre Style Set up</t>
  </si>
  <si>
    <t>B&amp;PB CIO Town Hall</t>
  </si>
  <si>
    <t>Madan Singh</t>
  </si>
  <si>
    <t>Madan.singh@nab.com.au</t>
  </si>
  <si>
    <t>Food will be Ordered by us, and Catering support will be required</t>
  </si>
  <si>
    <t>Townhall with Leila</t>
  </si>
  <si>
    <t>Kalpana Sharma</t>
  </si>
  <si>
    <t>Kalpana.sharma@nab.com.au</t>
  </si>
  <si>
    <t>Training Session</t>
  </si>
  <si>
    <t>Required</t>
  </si>
  <si>
    <t>Theatre Style / Fire side chat</t>
  </si>
  <si>
    <t>Banking Essentials Team Session</t>
  </si>
  <si>
    <t>AI TRAINING SESSION</t>
  </si>
  <si>
    <t>CIB Market Technology July Town Hall</t>
  </si>
  <si>
    <t>Ekta.sharma1@nab.com.au</t>
  </si>
  <si>
    <t>FC&amp;FO Townhall</t>
  </si>
  <si>
    <t>Cluster setup with round table</t>
  </si>
  <si>
    <t>Process Training</t>
  </si>
  <si>
    <t>Vinit</t>
  </si>
  <si>
    <t>Vinit.Singh@nab.com.au</t>
  </si>
  <si>
    <t>Classroom setup with Power extension</t>
  </si>
  <si>
    <t>Yes Ground to L5- Yashank</t>
  </si>
  <si>
    <t>Shikha.saxena@nab.com.au</t>
  </si>
  <si>
    <t>Boardroom setup - Steward requird for support Manik/Lal Singh</t>
  </si>
  <si>
    <t>Priya</t>
  </si>
  <si>
    <t>BP &amp; D All hands</t>
  </si>
  <si>
    <t>Theater style / AKIM</t>
  </si>
  <si>
    <t>MR 511,510</t>
  </si>
  <si>
    <t>AU Visit</t>
  </si>
  <si>
    <t>No offline sign required</t>
  </si>
  <si>
    <t>Marketing India all hands</t>
  </si>
  <si>
    <t>MR.5E.508</t>
  </si>
  <si>
    <t>shikha.saxena@nab.com.au</t>
  </si>
  <si>
    <t>AU setup and check in</t>
  </si>
  <si>
    <t>EOPB induction</t>
  </si>
  <si>
    <t>2026-07-20 00:00:00</t>
  </si>
  <si>
    <t>Theatre style (Extended on 22nd )</t>
  </si>
  <si>
    <t>Personal Banking training session</t>
  </si>
  <si>
    <t>Arpit.Ohri@nab.com.au</t>
  </si>
  <si>
    <t>MR.5E.507</t>
  </si>
  <si>
    <t>Leadership Master class session</t>
  </si>
  <si>
    <t>C type setup shared by requestor with stationery &amp; water bottles</t>
  </si>
  <si>
    <t>Shark Tank S2</t>
  </si>
  <si>
    <t>Food will arrange by themself / Required pantry person</t>
  </si>
  <si>
    <t>Kriti.kapoor1@nab.com.au</t>
  </si>
  <si>
    <t>Social Hub Area Zone - E</t>
  </si>
  <si>
    <t>Ask me anything Session with Frank Flannery ( Exec SMARTTech</t>
  </si>
  <si>
    <t>AV</t>
  </si>
  <si>
    <t>Arun Kaushik</t>
  </si>
  <si>
    <t>Arun.Kaushik@nab.com.au</t>
  </si>
  <si>
    <t>Theatre style setup</t>
  </si>
  <si>
    <t>BPLS Q3 R&amp;R</t>
  </si>
  <si>
    <t>Neha Pandey</t>
  </si>
  <si>
    <t>Neha.Pandey@nab.com.au</t>
  </si>
  <si>
    <t>PB Townhall</t>
  </si>
  <si>
    <t>Red Hat Ansible Training</t>
  </si>
  <si>
    <t>Rohit.kohli1@nab.com.au</t>
  </si>
  <si>
    <t>Classroom style setup</t>
  </si>
  <si>
    <t>BDBS Townhall R&amp;R</t>
  </si>
  <si>
    <t>Vivky Khosla</t>
  </si>
  <si>
    <t>Vicky.khosla@nab.com.au</t>
  </si>
  <si>
    <t>Priya / Akim</t>
  </si>
  <si>
    <t>Enterprise Ops Townhall</t>
  </si>
  <si>
    <t>Anuraj.shah@nab.com.au</t>
  </si>
  <si>
    <t>Banking Essentials</t>
  </si>
  <si>
    <t>Parul.wadhera@nab.com.au</t>
  </si>
  <si>
    <t>Hiring/Banking Operations</t>
  </si>
  <si>
    <t>• Expected footfall in drive will be 25+ • Time – 2 PM to 6 PM</t>
  </si>
  <si>
    <t>Tarun.Jain@nab.com.au</t>
  </si>
  <si>
    <t>Normal setup</t>
  </si>
  <si>
    <t>MR.5E.510</t>
  </si>
  <si>
    <t>White Label Monthly R&amp;R Session</t>
  </si>
  <si>
    <t>Sharvani Raj</t>
  </si>
  <si>
    <t>Sharvani.raj@nab.com.au</t>
  </si>
  <si>
    <t>Core Banking &amp; Account Services Townhall</t>
  </si>
  <si>
    <t>Catering support required, as they will order food by their own</t>
  </si>
  <si>
    <t>Amit Singhal</t>
  </si>
  <si>
    <t>Amit.Singhal@nab.com.au</t>
  </si>
  <si>
    <t>Navdeep</t>
  </si>
  <si>
    <t>Hiring drive / Banking Operation</t>
  </si>
  <si>
    <t>Tarun Jain has taken a booking</t>
  </si>
  <si>
    <t>Tarun.jain2nab.com.au</t>
  </si>
  <si>
    <t>22nd</t>
  </si>
  <si>
    <t>Social Hub Area- E Zone</t>
  </si>
  <si>
    <t>Parul Wadehra</t>
  </si>
  <si>
    <t>Personal Leadership session</t>
  </si>
  <si>
    <t>DT4- Project lunch</t>
  </si>
  <si>
    <t>Required Looped Karunesh</t>
  </si>
  <si>
    <t>Karunesh Goswami</t>
  </si>
  <si>
    <t>Karunesh.goswami@nab.com.au</t>
  </si>
  <si>
    <t>Cluster style setup and Lunch Placed on facade side tables sofa need to remove</t>
  </si>
  <si>
    <t>Hackable area</t>
  </si>
  <si>
    <t>Leadership program</t>
  </si>
  <si>
    <t>16th</t>
  </si>
  <si>
    <t>Cluster style setup</t>
  </si>
  <si>
    <t>Townhall + Potluck ( Richard's visit )</t>
  </si>
  <si>
    <t>Pot luck</t>
  </si>
  <si>
    <t>Payal Jain</t>
  </si>
  <si>
    <t>Preeti vig/ switch to DT3</t>
  </si>
  <si>
    <t>Preeti Vig</t>
  </si>
  <si>
    <t>18th</t>
  </si>
  <si>
    <t>Amazon Connect Training</t>
  </si>
  <si>
    <t>no</t>
  </si>
  <si>
    <t>Karan</t>
  </si>
  <si>
    <t>Karan.Soni1@nab.com.au</t>
  </si>
  <si>
    <t>Theater sytle</t>
  </si>
  <si>
    <t>Session with SLT &amp; XLT</t>
  </si>
  <si>
    <t>Shika Khungar</t>
  </si>
  <si>
    <t>Theatre Style(place the partition)</t>
  </si>
  <si>
    <t>Talent Aquisition Townhall +Potluck</t>
  </si>
  <si>
    <t>02:15 PM</t>
  </si>
  <si>
    <t>Pot Luck</t>
  </si>
  <si>
    <t>Required pantry staff for the cutlary &amp; crokery</t>
  </si>
  <si>
    <t>Payal.Jain@nab.com.au</t>
  </si>
  <si>
    <t>DT4 Project Completion Hi Tea</t>
  </si>
  <si>
    <t>High tea Tentaintely</t>
  </si>
  <si>
    <t>Yes / • Arrangement of utensils for all participants.</t>
  </si>
  <si>
    <t>• Support from 2–3 staff members during the event to help manage logistics and ensure a smooth experience</t>
  </si>
  <si>
    <t>Shivani Rana</t>
  </si>
  <si>
    <t>Shivani.Rana@nab.com.au</t>
  </si>
  <si>
    <t>Markets Monsoon fun fiesta</t>
  </si>
  <si>
    <t>Ashima Dalela</t>
  </si>
  <si>
    <t>Theatre style ( White board + Markers)</t>
  </si>
  <si>
    <t>Apporv Sabrun</t>
  </si>
  <si>
    <t>2026-07-25 00:00:00</t>
  </si>
  <si>
    <t>Theatre</t>
  </si>
  <si>
    <t>Karan Soni</t>
  </si>
  <si>
    <t>Karan.soni@nab.com.au</t>
  </si>
  <si>
    <t>Riya</t>
  </si>
  <si>
    <t>Steve Day's event</t>
  </si>
  <si>
    <t>Sahil.Kumar</t>
  </si>
  <si>
    <t>Sahil.kumar@nab.com.au</t>
  </si>
  <si>
    <t>Ony chairs / Theatre style</t>
  </si>
  <si>
    <t>P&amp;C Townhall</t>
  </si>
  <si>
    <t>AV / Sacks arranges</t>
  </si>
  <si>
    <t>Anju verma</t>
  </si>
  <si>
    <t>Anju.verma1@nab.com.au</t>
  </si>
  <si>
    <t>Theatre style , partition needs to be open, one table at entrance to keep lolly pop , table for cake cutting and cutlery arrangement , need office boy to receive cake at 9:00am</t>
  </si>
  <si>
    <t>PB Training Session</t>
  </si>
  <si>
    <t>Malvika Sharma</t>
  </si>
  <si>
    <t>Malvika.Sharma@nab.com.au</t>
  </si>
  <si>
    <t>Cluster style setup/6 Tables and each table have 6-8 chairs around it</t>
  </si>
  <si>
    <t>AI for leaders</t>
  </si>
  <si>
    <t>Vaibhav Shrivastava</t>
  </si>
  <si>
    <t>Vaibhav.Shrivastava@nab.com.au</t>
  </si>
  <si>
    <t>Cluster along with partition</t>
  </si>
  <si>
    <t>Townhall set up// chairs as much as we can accommodate</t>
  </si>
  <si>
    <t>GF Happy Hours</t>
  </si>
  <si>
    <t>ye humara activities wala event hota h, isme hum games wgrh khelte h. So chairs piche piche lgana, front area khali rkhna for activities</t>
  </si>
  <si>
    <t>Shikha.mittal@nab.com.au</t>
  </si>
  <si>
    <t>2026-07-24 00:00:00</t>
  </si>
  <si>
    <t>Classroom setup with Power extensionRequested to block the area properly and coffee machine needs to be closed</t>
  </si>
  <si>
    <t>2026-07-27 00:00:00</t>
  </si>
  <si>
    <t>Shruti Mahanat</t>
  </si>
  <si>
    <t>Zone B collab area</t>
  </si>
  <si>
    <t>Discussed with wajid to add chairs</t>
  </si>
  <si>
    <t>Sancks arranged by Shivani and arrnged cultery- deatils wil be shared soon</t>
  </si>
  <si>
    <t>Theater sytle - Food by compass food trolley for clearance and Setup on High table - Steward and pantry staff to support</t>
  </si>
  <si>
    <t>Culture Walk</t>
  </si>
  <si>
    <t>2026-06-25 00:00:00</t>
  </si>
  <si>
    <t>Saomya Prasad</t>
  </si>
  <si>
    <t>Easha Gupta/Shrikant</t>
  </si>
  <si>
    <t>Risk Team Meeting</t>
  </si>
  <si>
    <t>Ekta.sharma@nab.com.au</t>
  </si>
  <si>
    <t>E Zone Social hub</t>
  </si>
  <si>
    <t>Friendship Day Celebrations</t>
  </si>
  <si>
    <t>Discussed as closed by karunesh</t>
  </si>
  <si>
    <t>Shreya. Mundra</t>
  </si>
  <si>
    <t>Shreya.Mundra@nab.com.au</t>
  </si>
  <si>
    <t>WL Disputes Fraud Presentation</t>
  </si>
  <si>
    <t>Need 50*30 m Space in front of the screen</t>
  </si>
  <si>
    <t>Bhawna Chhabra BhawnA</t>
  </si>
  <si>
    <t>Bhawna.Chhabra@nab.com.au</t>
  </si>
  <si>
    <t>AKIM</t>
  </si>
  <si>
    <t>2026-03-19 00:00:00</t>
  </si>
  <si>
    <t>Theater style and red chairs with 2 round wooden tables</t>
  </si>
  <si>
    <t>2026-07-08 00:00:00</t>
  </si>
  <si>
    <t>Circle type setup</t>
  </si>
  <si>
    <t>Hi tea event for new joiners</t>
  </si>
  <si>
    <t>Will let us know 3 days before the event</t>
  </si>
  <si>
    <t>23-07-1026</t>
  </si>
  <si>
    <t>Deshraj / Gunjan</t>
  </si>
  <si>
    <t>Women Empowerment session</t>
  </si>
  <si>
    <t>Shrikant</t>
  </si>
  <si>
    <t>Form sent</t>
  </si>
  <si>
    <t>Cluster setup / oPEN THE GLASS PARTION</t>
  </si>
  <si>
    <t>Rashmi.Chug@nab.com.au</t>
  </si>
  <si>
    <t>Confirm in email / Theatre style</t>
  </si>
  <si>
    <t>305 &amp; 306</t>
  </si>
  <si>
    <t>Cafeteria - TT Table Area</t>
  </si>
  <si>
    <t>HSBC Bank Helpdesk</t>
  </si>
  <si>
    <t>Place table with chairs</t>
  </si>
  <si>
    <t>Bhawna.yadav@nab.com.au</t>
  </si>
  <si>
    <t>Fireside Chat</t>
  </si>
  <si>
    <t>Breakout Area / Cafeteria</t>
  </si>
  <si>
    <t>Graduation</t>
  </si>
  <si>
    <t>Yes BF, Lunch - Box Meal</t>
  </si>
  <si>
    <t>Deshraj / Parul Wadhera</t>
  </si>
  <si>
    <t>MR-30A.107</t>
  </si>
  <si>
    <t>Akamai Training Session</t>
  </si>
  <si>
    <t>water bottle arrangement</t>
  </si>
  <si>
    <t>Check-in</t>
  </si>
  <si>
    <t>Shikha mittal</t>
  </si>
  <si>
    <t>as for feedback</t>
  </si>
  <si>
    <t>NAB india data &amp; Analytics</t>
  </si>
  <si>
    <t>Ruchi Bubber/ Ekta</t>
  </si>
  <si>
    <t>AV Support</t>
  </si>
  <si>
    <t>Theatre-style seating for 25 attendees</t>
  </si>
  <si>
    <t>Confirm in email / Classroom</t>
  </si>
  <si>
    <t>Co-pilot hacks training</t>
  </si>
  <si>
    <t>P&amp;C Coversation with Sara White</t>
  </si>
  <si>
    <t>Anju.verma@nab.com.au</t>
  </si>
  <si>
    <t>Data &amp; Analytics in Action</t>
  </si>
  <si>
    <t>Ekta Sharma / Chau traung</t>
  </si>
  <si>
    <t>Communicating with Impact</t>
  </si>
  <si>
    <t>DCO &amp; CF Independence Day Celebration</t>
  </si>
  <si>
    <t>Shagun.Agarwal@nab.com.au</t>
  </si>
  <si>
    <t>aKIM</t>
  </si>
  <si>
    <t>New Joiner</t>
  </si>
  <si>
    <t>Distinctive Leadership</t>
  </si>
  <si>
    <t>yes/ Food arrangement for both the days as per earlier arrangement along with Cookies/Brownies</t>
  </si>
  <si>
    <t>TA&amp;AI - Independence Day Event</t>
  </si>
  <si>
    <t>Siddarth.Tiwari@nab.com.au</t>
  </si>
  <si>
    <t>Wajid</t>
  </si>
  <si>
    <t>Women Leaders Program Workshops</t>
  </si>
  <si>
    <t>Pragya Singh</t>
  </si>
  <si>
    <t>17th</t>
  </si>
  <si>
    <t>Deshraj.deshraj@nab.com.au</t>
  </si>
  <si>
    <t>Only Cafeteria - Move to 11 Sep</t>
  </si>
  <si>
    <t>T &amp; EO COO Townhall</t>
  </si>
  <si>
    <t>Arafat Sddiqui</t>
  </si>
  <si>
    <t>Virtual Connect B&amp;PB &amp; C&amp;IB</t>
  </si>
  <si>
    <t>Vikas Gakhar</t>
  </si>
  <si>
    <t>Vikas.Gakhar@nab.com.au</t>
  </si>
  <si>
    <t>Creative Problem solving</t>
  </si>
  <si>
    <t>Morning Tea, theater style, two red chairs with 2 round tables</t>
  </si>
  <si>
    <t>Pending Calendar Booking</t>
  </si>
  <si>
    <t>107 on 24th Aug between 1PM to 3PM</t>
  </si>
  <si>
    <t>Shivang.Malhotra1@nab.com.au</t>
  </si>
  <si>
    <t>Confirm in email \ Booked by user</t>
  </si>
  <si>
    <t>Grads Training</t>
  </si>
  <si>
    <t>Grads Program</t>
  </si>
  <si>
    <t>Claaroom setup with Power extention</t>
  </si>
  <si>
    <t>Writing Effective Goals and IDP's</t>
  </si>
  <si>
    <t>Need space for Dry run / Required AV</t>
  </si>
  <si>
    <t>Tech OnBoarding</t>
  </si>
  <si>
    <t>Process training</t>
  </si>
  <si>
    <t>Classroomsetup + Power extensions</t>
  </si>
  <si>
    <t>Card Compliance Session</t>
  </si>
  <si>
    <t>Theatre Style + Zoom board</t>
  </si>
  <si>
    <t>akim</t>
  </si>
  <si>
    <t>CSA agentic AI</t>
  </si>
  <si>
    <t>Theatre Style + Zoom board+ Cutlery arrangements pantry staff to support</t>
  </si>
  <si>
    <t>T&amp;EO Gender Equity for Women in Tech Forum</t>
  </si>
  <si>
    <t>on Discussion</t>
  </si>
  <si>
    <t>1. DT-4-GGN-5.C 305 2. DT-4-GGN-5.D 410 3. DT4-GGN-4.D.401-VC-6P-TC 4. DT4-GGN-4.C.305-VC-8P-TC 5. DT4-GGN-5.D.405-VC-6P-TC</t>
  </si>
  <si>
    <t>L-5 &amp; L4</t>
  </si>
  <si>
    <t>Exec Visit- 3rd - 7th Aug 2026</t>
  </si>
  <si>
    <t>Room Taken Offline Stickers Bottled water Cans of Coca-Cola Tissue boxes Hand sanitizer</t>
  </si>
  <si>
    <t>Shrikanth.Kumar@nab.com.au</t>
  </si>
  <si>
    <t>CONFIRM IN EMAIL</t>
  </si>
  <si>
    <t>5.D.412 and 5.C.305 till 7th Aug</t>
  </si>
  <si>
    <t>3rd Aug till 7th Aug / Sweta Mehra, Jo Breruer</t>
  </si>
  <si>
    <t>with tissue box, sanitizer, diet coke, Perrier water bottle</t>
  </si>
  <si>
    <t>Shikha.Saxena@nab.com.au</t>
  </si>
  <si>
    <t>Climbing Hills in Heels</t>
  </si>
  <si>
    <t>4 chairs for panelists and round tables for mics etc. 200 chairs pls</t>
  </si>
  <si>
    <t>Bhanuj Sachdeva/ Ruhi Malhotra</t>
  </si>
  <si>
    <t>Theatre Style (Center table + 4chairs , Planters and water bottles)</t>
  </si>
  <si>
    <t>PEB All colleague Townhall</t>
  </si>
  <si>
    <t>ET Townhall / Moves to 11th Aug</t>
  </si>
  <si>
    <t>Card Compliance Session - 2</t>
  </si>
  <si>
    <t>Varun</t>
  </si>
  <si>
    <t>Exe's Lunch</t>
  </si>
  <si>
    <t>Shrikant Kumar</t>
  </si>
  <si>
    <t>Board room setup along with cutlery arrangements Panrty staff to support</t>
  </si>
  <si>
    <t>Think Like a bussiness</t>
  </si>
  <si>
    <t>Deepika/Rupika</t>
  </si>
  <si>
    <t>Data Transitional Platform – All Hands</t>
  </si>
  <si>
    <t>Required with Zoom, Mic for Q &amp; A</t>
  </si>
  <si>
    <t>Rupika Nagpal / Ashish Pahuja</t>
  </si>
  <si>
    <t>31 - 07-2026</t>
  </si>
  <si>
    <t>CPC All Check-IN meeting</t>
  </si>
  <si>
    <t>46221</t>
  </si>
  <si>
    <t>Personal banking R&amp;R</t>
  </si>
  <si>
    <t>Cafeteria entrance (near Red star)</t>
  </si>
  <si>
    <t>Table with Chairs</t>
  </si>
  <si>
    <t>Personal Banking R&amp;R</t>
  </si>
  <si>
    <t>Theatre style / Townhall setup / Only center part of cafeteria is ocuupied no need to arraneg other setup</t>
  </si>
  <si>
    <t>Lunch with seniors</t>
  </si>
  <si>
    <t>YES /person with a trolley to bring the lunch upstairs and have it placed in the L4 Social Hub by 12:45 PM</t>
  </si>
  <si>
    <t>We will be arranging lunch from the DT4 Food Court (California Burrito). Lunch will start at 1:00 PM AM, therefore we need the food to be delivered and set up in the L4 Social Hub by 11:30 AM</t>
  </si>
  <si>
    <t>Rupika / Rashmi</t>
  </si>
  <si>
    <t>Lunch setup</t>
  </si>
  <si>
    <t>Zone C social hub backside</t>
  </si>
  <si>
    <t>Neat board need to place</t>
  </si>
  <si>
    <t>Saksham Taneja</t>
  </si>
  <si>
    <t>No Required</t>
  </si>
  <si>
    <t>Only chairs required in circular style setup</t>
  </si>
  <si>
    <t>PEB R&amp;R</t>
  </si>
  <si>
    <t>02:50 PM</t>
  </si>
  <si>
    <t>W.5.F.583</t>
  </si>
  <si>
    <t>Jatin Raliya</t>
  </si>
  <si>
    <t>Yes water bottles</t>
  </si>
  <si>
    <t>Yes neat board required</t>
  </si>
  <si>
    <t>CPC Team session</t>
  </si>
  <si>
    <t>Rashmi Chugh / Pratul</t>
  </si>
  <si>
    <t>PO Townhall</t>
  </si>
  <si>
    <t>HRBP Session</t>
  </si>
  <si>
    <t>NO AV</t>
  </si>
  <si>
    <t>Krishna.Rawat1@nab.com.au / Jatin Raliya</t>
  </si>
  <si>
    <t>Chau Truong / Camerom</t>
  </si>
  <si>
    <t>ET Townhall ( Q3) move to 12th Aug</t>
  </si>
  <si>
    <t>Yes/ Will oder from outside</t>
  </si>
  <si>
    <t>Need a pantry staff for the arrangement &amp; 1 person to pick the food from downstair</t>
  </si>
  <si>
    <t>Theatre style / Townhall setup</t>
  </si>
  <si>
    <t>Tech workshop / Move to 18th Aug</t>
  </si>
  <si>
    <t>PWO R&amp;R</t>
  </si>
  <si>
    <t>04:45 PM</t>
  </si>
  <si>
    <t>DT4-GGN-4.F.608-VC-8P-TC</t>
  </si>
  <si>
    <t>Yes / water bottle arrangement</t>
  </si>
  <si>
    <t>8 to 10 bottle</t>
  </si>
  <si>
    <t>Kalpana.Sharma@nab.com.au</t>
  </si>
  <si>
    <t>ET Townhall ( Q3)</t>
  </si>
  <si>
    <t>Need a pantry staff for the arrangement &amp; 1 person to pick the food from downstair / Move from 11th Aug booking</t>
  </si>
  <si>
    <t>Persoanl Leadership Session</t>
  </si>
  <si>
    <t>Soamya.Prasad@nab.com.au</t>
  </si>
  <si>
    <t>Independence Day Celebration</t>
  </si>
  <si>
    <t>Latika</t>
  </si>
  <si>
    <t>No AV support required</t>
  </si>
  <si>
    <t>Jatin.Raliya@nab.com.au / Krishna.Rawat1@nab.com.au</t>
  </si>
  <si>
    <t>DT4-GGN-4.F.608-VC-6P-TC</t>
  </si>
  <si>
    <t>Water bottle arrangement</t>
  </si>
  <si>
    <t>Social Hub Area E</t>
  </si>
  <si>
    <t>FCO Strategy &amp; Transformation - Overview Session with Adip</t>
  </si>
  <si>
    <t>Required AV support / Required white board with markers &amp; duster</t>
  </si>
  <si>
    <t>Social Hub Area C</t>
  </si>
  <si>
    <t>Achal.mehan@nab.com.au</t>
  </si>
  <si>
    <t>No setup required only pantry staff required for support</t>
  </si>
  <si>
    <t>R&amp;R</t>
  </si>
  <si>
    <t>Gaurav Mann</t>
  </si>
  <si>
    <t>Toastmasters Event</t>
  </si>
  <si>
    <t>hand mics / collar mic, Zoom connectivity</t>
  </si>
  <si>
    <t>Diksha.Tripathi@nab.com.au</t>
  </si>
  <si>
    <t>8 to 10 bottle /Water arrangement</t>
  </si>
  <si>
    <t>Townhall for Payment Operations</t>
  </si>
  <si>
    <t>Ritika.Singhal@nab.com.au</t>
  </si>
  <si>
    <t>Indipendence Day</t>
  </si>
  <si>
    <t>Yes will confirm 3 days before</t>
  </si>
  <si>
    <t>Shreya.mundra@nab.com.au</t>
  </si>
  <si>
    <t>Theatre style neat board</t>
  </si>
  <si>
    <t>G4 &amp; above meet (Vik’s span)</t>
  </si>
  <si>
    <t>Yes (Tea. Coffee, cookies/tea cakes)</t>
  </si>
  <si>
    <t>Classroom style set up with 8 chairs and tables in one group / we require name cards for each group, as well as four whiteboards and accompanying markers for each group</t>
  </si>
  <si>
    <t>Neeraj Garg &amp; Shikha Saxena</t>
  </si>
  <si>
    <t>Classroom style set up with 8 chairs and tables in one group.</t>
  </si>
  <si>
    <t>EOPD -All Hands</t>
  </si>
  <si>
    <t>Ritesh.Kumar@nab.com.au</t>
  </si>
  <si>
    <t>Chetan.Kumar1@nab.com.au</t>
  </si>
  <si>
    <t>Theatre style / Confirm on email</t>
  </si>
  <si>
    <t>Banking Operations - Hiring Drive</t>
  </si>
  <si>
    <t>Yes Tuckshop</t>
  </si>
  <si>
    <t>Interview Room - DT-4 1.F.601 , 602, 603, 604, DT-4 1.E.501, 502,503 / Restroom -Near to reception &amp; Zone-D / Coffee machine -Zone - F ( near to innovation hub )</t>
  </si>
  <si>
    <t>Zone - E Social Hub</t>
  </si>
  <si>
    <t>Arrangement Support for Visitor Lunch</t>
  </si>
  <si>
    <t>8</t>
  </si>
  <si>
    <t>Food has order from outside Need a person to pick the food from downstair &amp; a pantry staff</t>
  </si>
  <si>
    <t>Rupika Ngapal</t>
  </si>
  <si>
    <t>12:30 AM</t>
  </si>
  <si>
    <t>Ekta Sharma / Kalpana</t>
  </si>
  <si>
    <t>Theatre style- Confirm in email</t>
  </si>
  <si>
    <t>Tech workshop</t>
  </si>
  <si>
    <t>Financial Crime &amp; Fraud | Q4 Town Hall</t>
  </si>
  <si>
    <t>08:45 AM</t>
  </si>
  <si>
    <t>Bhanuj Sachdeva</t>
  </si>
  <si>
    <t>Bhanuj.sachdeva@nab.com.au</t>
  </si>
  <si>
    <t>B&amp;PB All Hands with Stephen Young</t>
  </si>
  <si>
    <t>PB Transformation Training</t>
  </si>
  <si>
    <t>Malvika.sharma@nab.com.au</t>
  </si>
  <si>
    <t>Innovation Hub - Pantry Area</t>
  </si>
  <si>
    <t>ET Bhandara</t>
  </si>
  <si>
    <t>Anshul / Amit Joshi</t>
  </si>
  <si>
    <t>Amit.joshi@nab.com.au</t>
  </si>
  <si>
    <t>Arrange Crockery &amp; Cutlery</t>
  </si>
  <si>
    <t>Yes/ Required White Board &amp; markers</t>
  </si>
  <si>
    <t>KPI Session</t>
  </si>
  <si>
    <t>12:15 PM</t>
  </si>
  <si>
    <t>Vaibhav Srinastava</t>
  </si>
  <si>
    <t>Vaibhav.Srinastava1@nab.com.au</t>
  </si>
  <si>
    <t>Graduation Day</t>
  </si>
  <si>
    <t>Deepika.bajaj@nab.com.au</t>
  </si>
  <si>
    <t>Group security Townhall</t>
  </si>
  <si>
    <t>Unity Beyond Words</t>
  </si>
  <si>
    <t>Tea and Dhokla TBD With Karunesh</t>
  </si>
  <si>
    <t>Ashima.dalela@nab.com.au</t>
  </si>
  <si>
    <t>Zone-E Social Hub Area</t>
  </si>
  <si>
    <t>DE - Birthday Celebrations</t>
  </si>
  <si>
    <t>Required white board with marker + duster</t>
  </si>
  <si>
    <t>Apoorva Agarwal</t>
  </si>
  <si>
    <t>Apoorva.Agarwal@nab.com.au</t>
  </si>
  <si>
    <t>Tech Mod Team Sync</t>
  </si>
  <si>
    <t>AV Support / Food order from outside , need some1 to pick</t>
  </si>
  <si>
    <t>Ashok Kumar</t>
  </si>
  <si>
    <t>Ashok.Kumar@nab.com.au</t>
  </si>
  <si>
    <t>Banking Ops Hiring Drive</t>
  </si>
  <si>
    <t>Tuck shop to be operational</t>
  </si>
  <si>
    <t>Parul.Wadehra@nab.com.au</t>
  </si>
  <si>
    <t>Classroom setup with power extensions</t>
  </si>
  <si>
    <t>Risk Awareness Session for EO</t>
  </si>
  <si>
    <t>Swati panwar</t>
  </si>
  <si>
    <t>Swati.panwar@nab.com.au</t>
  </si>
  <si>
    <t>R&amp;R with Shaq</t>
  </si>
  <si>
    <t>Tech XLT Session</t>
  </si>
  <si>
    <t>Theater style - No need to open partition</t>
  </si>
  <si>
    <t>R&amp;R Ceremony Disputes Team</t>
  </si>
  <si>
    <t>Vikram.bisht@nab.com.au</t>
  </si>
  <si>
    <t>Market Townhall ( CIO CIB Global Townhall)</t>
  </si>
  <si>
    <t>Ekta Sharma/ Vungkhawlching</t>
  </si>
  <si>
    <t>R&amp;R - Fraud Operations</t>
  </si>
  <si>
    <t>Pooja.Kumari@nab.com.au</t>
  </si>
  <si>
    <t>Zone E social hub</t>
  </si>
  <si>
    <t>Ritika.singhal@nab.com.au</t>
  </si>
  <si>
    <t>No Setup Required</t>
  </si>
  <si>
    <t>02:45 AM</t>
  </si>
  <si>
    <t>Snacsks arraged by Shivani- details willbe shared soon</t>
  </si>
  <si>
    <t>Shivani.sadhu@nab.com.au</t>
  </si>
  <si>
    <t>Morning tea- 10:00 am to 11:00 am</t>
  </si>
  <si>
    <t>Prerna.malik@nab.com.au</t>
  </si>
  <si>
    <t>Friday wrap up with V</t>
  </si>
  <si>
    <t>Semi-circle with chairs , Table not required</t>
  </si>
  <si>
    <t>XLT Catch -UP</t>
  </si>
  <si>
    <t>Anurag shah</t>
  </si>
  <si>
    <t>Anurag.sah@nab.com.au</t>
  </si>
  <si>
    <t>Tentaitaive</t>
  </si>
  <si>
    <t>`</t>
  </si>
  <si>
    <t>Classrom with power extention</t>
  </si>
  <si>
    <t>YES / As usual arrangement</t>
  </si>
  <si>
    <t>2 Flip charts , Markers diaries needs to be collected from the L&amp;D placed on table</t>
  </si>
  <si>
    <t>Deshraj.deshrsj2nab.com.au</t>
  </si>
  <si>
    <t>Cluster setup / confirm in email</t>
  </si>
  <si>
    <t>Deshraj.deshraj.nab.com.au</t>
  </si>
  <si>
    <t>3.F.601-VC-8P</t>
  </si>
  <si>
    <t>AU Visitor / John Whiston</t>
  </si>
  <si>
    <t>water bottles, Diet Coke, and a tissue box</t>
  </si>
  <si>
    <t>New joiner Induction</t>
  </si>
  <si>
    <t>Sourching Training</t>
  </si>
  <si>
    <t>Shivang</t>
  </si>
  <si>
    <t>Classroom with power extention</t>
  </si>
  <si>
    <t>People leaders Essential</t>
  </si>
  <si>
    <t>Co-Pilot Hacks</t>
  </si>
  <si>
    <t>with power extention</t>
  </si>
  <si>
    <t>305 &amp;306</t>
  </si>
  <si>
    <t>Giving &amp; recieving feedback</t>
  </si>
  <si>
    <t>9</t>
  </si>
  <si>
    <t>Emotional Inteligence</t>
  </si>
  <si>
    <t>Presentation skill</t>
  </si>
  <si>
    <t>Risk Awareness session for EO</t>
  </si>
  <si>
    <t>Yes AV</t>
  </si>
  <si>
    <t>Swati Panwar</t>
  </si>
  <si>
    <t>Swati.Panwar@nab.com.au</t>
  </si>
  <si>
    <t>Monthly White Label Rewards and Recognitions.</t>
  </si>
  <si>
    <t>Sharvani.Raj@nab.com.au</t>
  </si>
  <si>
    <t>Theatre style required some space near to screen for performers</t>
  </si>
  <si>
    <t>Montly XLT Meeting</t>
  </si>
  <si>
    <t>Shivani.Sadhu@nab.com.au</t>
  </si>
  <si>
    <t>Confirm in email /  Theatre style</t>
  </si>
  <si>
    <t>NAB india Townhall</t>
  </si>
  <si>
    <t>Darpan Singh</t>
  </si>
  <si>
    <t>PArul.wadhera@nab.com.au</t>
  </si>
  <si>
    <t>Innoation hub</t>
  </si>
  <si>
    <t>Rupika.Nagpal@nab.com.au</t>
  </si>
  <si>
    <t>P&amp;C PACT - Sep Edition</t>
  </si>
  <si>
    <t>Yes but not confirmed</t>
  </si>
  <si>
    <t>AV support required</t>
  </si>
  <si>
    <t>E-Zone Social Hub</t>
  </si>
  <si>
    <t>CIO Tech Modernisation Townhall</t>
  </si>
  <si>
    <t>12th May'2026</t>
  </si>
  <si>
    <t>Training Session PB</t>
  </si>
  <si>
    <t>Shivani Goyal</t>
  </si>
  <si>
    <t>Shivani.goyal@nab.com.au</t>
  </si>
  <si>
    <t>S&amp;A Townhall / Strategy &amp; Architecture town hall</t>
  </si>
  <si>
    <t>Cluster setup / Confirm in email</t>
  </si>
  <si>
    <t>Tentaive</t>
  </si>
  <si>
    <t>Semi-circle with chairs,Table not required</t>
  </si>
  <si>
    <t>All Hands Townhall</t>
  </si>
  <si>
    <t>CIO DEDA_ Q4Town Hall</t>
  </si>
  <si>
    <t>27th Jan'2026</t>
  </si>
  <si>
    <t>EPSS Tonwhall</t>
  </si>
  <si>
    <t>Alok Choudhary/Emily</t>
  </si>
  <si>
    <t>16th Feb'2026</t>
  </si>
  <si>
    <t>Cyber Month Opening Event</t>
  </si>
  <si>
    <t>Theater style + 4 chairs in front for fireside chat with coffee table</t>
  </si>
  <si>
    <t>With power extention</t>
  </si>
  <si>
    <t>Breakoput Area</t>
  </si>
  <si>
    <t>EPSS Enablement Team meeting</t>
  </si>
  <si>
    <t>Alok.Choudhary1@nab.com.au</t>
  </si>
  <si>
    <t>Delivering Results &amp; Scaling Impact</t>
  </si>
  <si>
    <t>Details will be shared</t>
  </si>
  <si>
    <t>FY26 Q4 Enterprise Property &amp; Strategic Sourcing Team Town Hall</t>
  </si>
  <si>
    <t>Craig Wikson</t>
  </si>
  <si>
    <t>Craig.Wilson2@nab.com.au</t>
  </si>
  <si>
    <t>EOPD Townhall</t>
  </si>
  <si>
    <t>S&amp;A Townhall</t>
  </si>
  <si>
    <t>Rupika Nagpal / Kaleem</t>
  </si>
  <si>
    <t>Cluster setup/ Confirm in email</t>
  </si>
  <si>
    <t>F&amp;B - Yes will confirm near to event</t>
  </si>
  <si>
    <t>Confirm Theatre style ( townhall setup )</t>
  </si>
  <si>
    <t>TBEP Strategy Day</t>
  </si>
  <si>
    <t>Snacks arranged by Shivani and details will be shared soon</t>
  </si>
  <si>
    <t>2026-07-15 00:00:00</t>
  </si>
  <si>
    <t>Zone E Socail Hub</t>
  </si>
  <si>
    <t>Cafetteira</t>
  </si>
  <si>
    <t>Theater style, two green chairs with round table for water</t>
  </si>
  <si>
    <t>Snacks arranged by Shivani and details will be shared shortly</t>
  </si>
  <si>
    <t>Christmas / Innovation Hub Event</t>
  </si>
  <si>
    <t>🏠 ⮌ RETURN TO DASHBOARD</t>
  </si>
  <si>
    <t>DOWNTOWN-3 EVENT OPERATIONS TRACKER • JAN26</t>
  </si>
  <si>
    <t>Event Type / Title</t>
  </si>
  <si>
    <t>Capacity</t>
  </si>
  <si>
    <t>Event Start Time</t>
  </si>
  <si>
    <t>Event End Time</t>
  </si>
  <si>
    <t>F&amp; B</t>
  </si>
  <si>
    <t>6th Jan'26</t>
  </si>
  <si>
    <t>13th Jan'26</t>
  </si>
  <si>
    <t>5th Jan'26</t>
  </si>
  <si>
    <t xml:space="preserve">walk in </t>
  </si>
  <si>
    <t>10th Jan'26</t>
  </si>
  <si>
    <t>DOWNTOWN-4 EVENT OPERATIONS TRACKER • JAN26</t>
  </si>
  <si>
    <t>01/01/2026- 30th Jan'26</t>
  </si>
  <si>
    <t>Thur</t>
  </si>
  <si>
    <t>14th Jan'26</t>
  </si>
  <si>
    <t>7th Jan'26</t>
  </si>
  <si>
    <t>20/01/2026 to 22nd jan'26</t>
  </si>
  <si>
    <t>15th Jan'26</t>
  </si>
  <si>
    <t>16th Jan'26</t>
  </si>
  <si>
    <t>19th Jan'26</t>
  </si>
  <si>
    <t>15th JAN'26</t>
  </si>
  <si>
    <t>9th Jan'26</t>
  </si>
  <si>
    <t>27/01/2026 to 29/012026</t>
  </si>
  <si>
    <t>20th Jan'26</t>
  </si>
  <si>
    <t>22nd Jan'26</t>
  </si>
  <si>
    <t>28th Jan'26</t>
  </si>
  <si>
    <t>DOWNTOWN-3 EVENT OPERATIONS TRACKER • FEB26</t>
  </si>
  <si>
    <t>6th Feb'26</t>
  </si>
  <si>
    <t>9th Feb'2026</t>
  </si>
  <si>
    <t>8th Jan'26</t>
  </si>
  <si>
    <t>20th Feb'2026</t>
  </si>
  <si>
    <t>DOWNTOWN-4 EVENT OPERATIONS TRACKER • FEB26</t>
  </si>
  <si>
    <t>4th Feb'26</t>
  </si>
  <si>
    <t>5th Feb'2026</t>
  </si>
  <si>
    <t>3rd Feb'26</t>
  </si>
  <si>
    <t>6th FEb'26</t>
  </si>
  <si>
    <t>6th feb'2026</t>
  </si>
  <si>
    <t>27th Jan'26</t>
  </si>
  <si>
    <t>6th Feb'2026</t>
  </si>
  <si>
    <t>10th Feb'2026</t>
  </si>
  <si>
    <t>16th Feb to 17th April</t>
  </si>
  <si>
    <t>13th Feb'2026</t>
  </si>
  <si>
    <t>12th FEb'2026</t>
  </si>
  <si>
    <t>6th Feb26</t>
  </si>
  <si>
    <t>18-feb to 20th Feb'2026</t>
  </si>
  <si>
    <t>16th Feb '2026</t>
  </si>
  <si>
    <t>17th Feb'2026</t>
  </si>
  <si>
    <t>6th Jan'2026</t>
  </si>
  <si>
    <t>18th Feb</t>
  </si>
  <si>
    <t>11th Feb'2026</t>
  </si>
  <si>
    <t>23/02/2026 to 26th Feb</t>
  </si>
  <si>
    <t>20th feb 2026</t>
  </si>
  <si>
    <t>23rd feb to 3rd March'2026 (except 27th Feb)</t>
  </si>
  <si>
    <t>20 pax</t>
  </si>
  <si>
    <t>23rd Feb</t>
  </si>
  <si>
    <t>23rd Feb'2026 to 27th Feb</t>
  </si>
  <si>
    <t>17th Feb 2026</t>
  </si>
  <si>
    <t>20th feb '2-26</t>
  </si>
  <si>
    <t>19th Feb'2026</t>
  </si>
  <si>
    <t>23rd Feb'2026</t>
  </si>
  <si>
    <t>24th Feb'2026</t>
  </si>
  <si>
    <t>DOWNTOWN-3 EVENT OPERATIONS TRACKER • MAR26</t>
  </si>
  <si>
    <t>2nd Mar</t>
  </si>
  <si>
    <t>100+</t>
  </si>
  <si>
    <t>6th March'2026</t>
  </si>
  <si>
    <t>25th Feb'2026</t>
  </si>
  <si>
    <t>13th March</t>
  </si>
  <si>
    <t>9th March</t>
  </si>
  <si>
    <t>5th March</t>
  </si>
  <si>
    <t>DOWNTOWN-4 EVENT OPERATIONS TRACKER • MAR26</t>
  </si>
  <si>
    <t>02/03/2026 to 5th Mar'2026</t>
  </si>
  <si>
    <t>02/03/2026 to 6th March'2026</t>
  </si>
  <si>
    <t>3rd March'2026</t>
  </si>
  <si>
    <t>27th Feb'2026</t>
  </si>
  <si>
    <t>09/03/2026 to 20th March'2026</t>
  </si>
  <si>
    <t>9th March'2026 to 13th March'2026</t>
  </si>
  <si>
    <t>9th March'2026</t>
  </si>
  <si>
    <t>5th Mar'2026</t>
  </si>
  <si>
    <t>3rd Feb'2026</t>
  </si>
  <si>
    <t>11th March to 30th Apr'2026</t>
  </si>
  <si>
    <t>28th Jan'2026</t>
  </si>
  <si>
    <t>16th Mar to 27th March</t>
  </si>
  <si>
    <t>7th March'2026</t>
  </si>
  <si>
    <t>12th March'2026</t>
  </si>
  <si>
    <t>18th March'2026</t>
  </si>
  <si>
    <t>23-Mar-26 to 27th March'2026</t>
  </si>
  <si>
    <t>19th March'2026</t>
  </si>
  <si>
    <t>23rd Mar</t>
  </si>
  <si>
    <t>23rd Jan'26</t>
  </si>
  <si>
    <t>30/03/2026 t 0 17th Apr 2026</t>
  </si>
  <si>
    <t>31/03/2026 to 30th April</t>
  </si>
  <si>
    <t>DOWNTOWN-3 EVENT OPERATIONS TRACKER • APR26</t>
  </si>
  <si>
    <t>27th March'2026</t>
  </si>
  <si>
    <t>6th Apr'2026</t>
  </si>
  <si>
    <t>10th Apr</t>
  </si>
  <si>
    <t>31st March-2026</t>
  </si>
  <si>
    <t>3rd Apr'2026</t>
  </si>
  <si>
    <t>16th Apr'2026</t>
  </si>
  <si>
    <t>22th April 2026</t>
  </si>
  <si>
    <t>9th Apr'2026</t>
  </si>
  <si>
    <t>29th Apr to 1st May'2026</t>
  </si>
  <si>
    <t>DOWNTOWN-4 EVENT OPERATIONS TRACKER • APR26</t>
  </si>
  <si>
    <t>01/04/2026 to 31st May'2026</t>
  </si>
  <si>
    <t>1st Apr'2026</t>
  </si>
  <si>
    <t>13th Apr to 16th Apr'2026</t>
  </si>
  <si>
    <t>Mon to Thu</t>
  </si>
  <si>
    <t>17th March'2026</t>
  </si>
  <si>
    <t>15th Apr'2026</t>
  </si>
  <si>
    <t>10th Apr'2026</t>
  </si>
  <si>
    <t>20th Apr to 23rd Apr'2026</t>
  </si>
  <si>
    <t>8th Apr'2026</t>
  </si>
  <si>
    <t>27th Apr to 1st May'2026</t>
  </si>
  <si>
    <t>27/04/2026 and 28th Apr</t>
  </si>
  <si>
    <t>310March-2026</t>
  </si>
  <si>
    <t>11th Apr</t>
  </si>
  <si>
    <t>28th Apr'2026</t>
  </si>
  <si>
    <t>DOWNTOWN-3 EVENT OPERATIONS TRACKER • MAY26</t>
  </si>
  <si>
    <t>30th Apr'2026</t>
  </si>
  <si>
    <t>5th May to 8th May'2026</t>
  </si>
  <si>
    <t>Tue to Fri</t>
  </si>
  <si>
    <t>22nd Apr'2026</t>
  </si>
  <si>
    <t>DOWNTOWN-4 EVENT OPERATIONS TRACKER • MAY26</t>
  </si>
  <si>
    <t>2nd May'2026</t>
  </si>
  <si>
    <t>11/05/2026 and 12/05/2026</t>
  </si>
  <si>
    <t>11th May to 15th May '2026</t>
  </si>
  <si>
    <t>29th Apr'2026</t>
  </si>
  <si>
    <t>8th May'2026</t>
  </si>
  <si>
    <t>18th May'2026</t>
  </si>
  <si>
    <t>6th May'2026</t>
  </si>
  <si>
    <t>13th May'2026</t>
  </si>
  <si>
    <t>19th May'2026</t>
  </si>
  <si>
    <t>25th May to 26th Jun'2026</t>
  </si>
  <si>
    <t>2nd April'2026</t>
  </si>
  <si>
    <t>4th May'2026</t>
  </si>
  <si>
    <t>16th April'2026</t>
  </si>
  <si>
    <t>14th May'26</t>
  </si>
  <si>
    <t>DOWNTOWN-3 EVENT OPERATIONS TRACKER • JUN26</t>
  </si>
  <si>
    <t>29th May'26</t>
  </si>
  <si>
    <t xml:space="preserve">Yet to confirm </t>
  </si>
  <si>
    <t xml:space="preserve">Tentative </t>
  </si>
  <si>
    <t>DOWNTOWN-4 EVENT OPERATIONS TRACKER • JUN26</t>
  </si>
  <si>
    <t>28th May'2026</t>
  </si>
  <si>
    <t>1st Jun'2026</t>
  </si>
  <si>
    <t>26th May'2026</t>
  </si>
  <si>
    <t>2nd june to 3rd June</t>
  </si>
  <si>
    <t>2nd Apr-2026</t>
  </si>
  <si>
    <t>2nd June 26</t>
  </si>
  <si>
    <t>04th June</t>
  </si>
  <si>
    <t>25th May'2026</t>
  </si>
  <si>
    <t>12th june</t>
  </si>
  <si>
    <t>18th May 2026</t>
  </si>
  <si>
    <t>6th May 2026</t>
  </si>
  <si>
    <t>11th May'2026</t>
  </si>
  <si>
    <t>Moved on 3rd july 2026</t>
  </si>
  <si>
    <t xml:space="preserve"> </t>
  </si>
  <si>
    <t>24-06-2026</t>
  </si>
  <si>
    <t>25 June-</t>
  </si>
  <si>
    <t>all dy</t>
  </si>
  <si>
    <t>30th Jun'26</t>
  </si>
  <si>
    <t>DOWNTOWN-3 EVENT OPERATIONS TRACKER • JUL26</t>
  </si>
  <si>
    <t>26th Jun'26</t>
  </si>
  <si>
    <t xml:space="preserve">Open space </t>
  </si>
  <si>
    <t>2nd - Jun - 26</t>
  </si>
  <si>
    <t>45 to 47</t>
  </si>
  <si>
    <t>25th June</t>
  </si>
  <si>
    <t>7th -Jul-26</t>
  </si>
  <si>
    <t>6th July'26</t>
  </si>
  <si>
    <t xml:space="preserve">Opne space </t>
  </si>
  <si>
    <t>8th- July - 26</t>
  </si>
  <si>
    <t>35/40</t>
  </si>
  <si>
    <t>80+</t>
  </si>
  <si>
    <t>17th July</t>
  </si>
  <si>
    <t>20th July</t>
  </si>
  <si>
    <t>24th June ' 2026</t>
  </si>
  <si>
    <t>13th July</t>
  </si>
  <si>
    <t>21st July</t>
  </si>
  <si>
    <t>60+</t>
  </si>
  <si>
    <t xml:space="preserve">Maximum - Townhall setup </t>
  </si>
  <si>
    <t>DOWNTOWN-4 EVENT OPERATIONS TRACKER • JUL26</t>
  </si>
  <si>
    <t>13-07-2026 to 1st AUG</t>
  </si>
  <si>
    <t>22nd May'2026</t>
  </si>
  <si>
    <t>200+</t>
  </si>
  <si>
    <t>150+</t>
  </si>
  <si>
    <t>200 to 230</t>
  </si>
  <si>
    <t>25+</t>
  </si>
  <si>
    <t>7th July</t>
  </si>
  <si>
    <t>17th - July</t>
  </si>
  <si>
    <t>50 to 55</t>
  </si>
  <si>
    <t xml:space="preserve">As much as possible </t>
  </si>
  <si>
    <t>50/70</t>
  </si>
  <si>
    <t>DOWNTOWN-3 EVENT OPERATIONS TRACKER • AUG26</t>
  </si>
  <si>
    <t>29th Junly</t>
  </si>
  <si>
    <t xml:space="preserve">45 / 75 total </t>
  </si>
  <si>
    <t>1st Aug</t>
  </si>
  <si>
    <t>17th july</t>
  </si>
  <si>
    <t>180+</t>
  </si>
  <si>
    <t>16th July</t>
  </si>
  <si>
    <t>5th - Aug</t>
  </si>
  <si>
    <t>50 -60</t>
  </si>
  <si>
    <t>4th Aug</t>
  </si>
  <si>
    <t>7th Aug</t>
  </si>
  <si>
    <t>EVT-2026-0994</t>
  </si>
  <si>
    <t xml:space="preserve">Breakout Area </t>
  </si>
  <si>
    <t xml:space="preserve">Women Leaders Program Workshops </t>
  </si>
  <si>
    <t xml:space="preserve">Deshraj </t>
  </si>
  <si>
    <t xml:space="preserve">Deshraj.deshraj@nab.com.au </t>
  </si>
  <si>
    <t>30th July</t>
  </si>
  <si>
    <t xml:space="preserve">Vikas.Gakhar@nab.com.au </t>
  </si>
  <si>
    <t xml:space="preserve">305 &amp; 306 </t>
  </si>
  <si>
    <t xml:space="preserve">Grads Training </t>
  </si>
  <si>
    <t>18th Aug - 2026</t>
  </si>
  <si>
    <t xml:space="preserve">Akim </t>
  </si>
  <si>
    <t xml:space="preserve">Confirm in email / Theatre style </t>
  </si>
  <si>
    <t>Classroom setup with Power extention</t>
  </si>
  <si>
    <t>DOWNTOWN-4 EVENT OPERATIONS TRACKER • AUG 26</t>
  </si>
  <si>
    <t xml:space="preserve">Floor </t>
  </si>
  <si>
    <t>14th July '26</t>
  </si>
  <si>
    <t>20-06-2026</t>
  </si>
  <si>
    <t>25 to 30</t>
  </si>
  <si>
    <t>31th - July</t>
  </si>
  <si>
    <t>4th July 2026</t>
  </si>
  <si>
    <t>100-120</t>
  </si>
  <si>
    <t>10th - Aug-26</t>
  </si>
  <si>
    <t>6th Aug-26</t>
  </si>
  <si>
    <t>50+</t>
  </si>
  <si>
    <t>80 Maximum</t>
  </si>
  <si>
    <t>EVT-2026-1088</t>
  </si>
  <si>
    <t xml:space="preserve">yet to confirm </t>
  </si>
  <si>
    <t xml:space="preserve">Yes/ Required White Board &amp; markers </t>
  </si>
  <si>
    <t>12th Aug</t>
  </si>
  <si>
    <t xml:space="preserve">KPI Session </t>
  </si>
  <si>
    <t xml:space="preserve">Vaibhav Srinastava </t>
  </si>
  <si>
    <t xml:space="preserve">Vaibhav.Srinastava1@nab.com.au </t>
  </si>
  <si>
    <t xml:space="preserve">Confirm in email </t>
  </si>
  <si>
    <t>7th Aug - 2026</t>
  </si>
  <si>
    <t xml:space="preserve">Required white board with marker + duster </t>
  </si>
  <si>
    <t xml:space="preserve">Apoorva Agarwal </t>
  </si>
  <si>
    <t xml:space="preserve">Apoorva.Agarwal@nab.com.au </t>
  </si>
  <si>
    <t xml:space="preserve">AV Support / Food order from outside , need some1 to pick </t>
  </si>
  <si>
    <t xml:space="preserve">Ashok Kumar </t>
  </si>
  <si>
    <t xml:space="preserve">Ashok.Kumar@nab.com.au </t>
  </si>
  <si>
    <t>EVT-2026-1096</t>
  </si>
  <si>
    <t xml:space="preserve">New Joiners Induction </t>
  </si>
  <si>
    <t xml:space="preserve">Deshraj.Deshraj@nab.com.au </t>
  </si>
  <si>
    <t>20th Aug 2026</t>
  </si>
  <si>
    <t xml:space="preserve">Classroom setup </t>
  </si>
  <si>
    <t>15th-July</t>
  </si>
  <si>
    <t>1.E.501</t>
  </si>
  <si>
    <t xml:space="preserve">Risk Awareness Session for EO </t>
  </si>
  <si>
    <t xml:space="preserve">AV Support </t>
  </si>
  <si>
    <t xml:space="preserve">Swati panwar </t>
  </si>
  <si>
    <t xml:space="preserve">Swati.panwar@nab.com.au </t>
  </si>
  <si>
    <t xml:space="preserve">Theatre style </t>
  </si>
  <si>
    <t>Theater style - No need to open partition / Arrange Crockery and cutlery</t>
  </si>
  <si>
    <t>EVT-2026-1104</t>
  </si>
  <si>
    <t>18th-Aug</t>
  </si>
  <si>
    <t xml:space="preserve">Market Townhall ( CIO CIB Global Townhall) </t>
  </si>
  <si>
    <t>Yes - Karunesh</t>
  </si>
  <si>
    <t xml:space="preserve">Ekta Sharma/ Vungkhawlching </t>
  </si>
  <si>
    <t>Theater style - Arrange crockery and cutlery for snacks</t>
  </si>
  <si>
    <t xml:space="preserve">R&amp;R - Fraud Operations </t>
  </si>
  <si>
    <t>EVT-2026-1119</t>
  </si>
  <si>
    <t xml:space="preserve">Zone E social hub </t>
  </si>
  <si>
    <t xml:space="preserve">No Setup Required </t>
  </si>
  <si>
    <t xml:space="preserve">Monthly Team Celebrations </t>
  </si>
  <si>
    <t>3:00pm</t>
  </si>
  <si>
    <t>4:00pm</t>
  </si>
  <si>
    <t xml:space="preserve">Kalpana.sharma@nab.com.au </t>
  </si>
  <si>
    <t>Snacks arraged by Shivani- details willbe shared soon</t>
  </si>
  <si>
    <t>EOPB New Hire Induction - Postponded to 1st Sep</t>
  </si>
  <si>
    <t>Nitin</t>
  </si>
  <si>
    <t>Nitin.pratap@nab.com.au</t>
  </si>
  <si>
    <t>60-70</t>
  </si>
  <si>
    <t xml:space="preserve">Shikha Saxena </t>
  </si>
  <si>
    <t xml:space="preserve">Shivani Sadhu </t>
  </si>
  <si>
    <t xml:space="preserve">4.D. 404 </t>
  </si>
  <si>
    <t xml:space="preserve">Water bottle &amp; tissue </t>
  </si>
  <si>
    <t xml:space="preserve">Rupika Nagpal </t>
  </si>
  <si>
    <t xml:space="preserve">Rupika.Nagpal@nab.com.au </t>
  </si>
  <si>
    <t xml:space="preserve">28th - Aug - </t>
  </si>
  <si>
    <t xml:space="preserve">Water &amp; Tissue arrangement / Confirm on email </t>
  </si>
  <si>
    <t>DOWNTOWN-3 EVENT OPERATIONS TRACKER • SEP26</t>
  </si>
  <si>
    <t xml:space="preserve">Parul.wadhera@nab.com.au </t>
  </si>
  <si>
    <t>21st Aug 2026</t>
  </si>
  <si>
    <t xml:space="preserve">New Joiner induction </t>
  </si>
  <si>
    <t xml:space="preserve">26th Aug </t>
  </si>
  <si>
    <t xml:space="preserve">Setup with the notepad chairs </t>
  </si>
  <si>
    <t xml:space="preserve">Distinctive Leadership </t>
  </si>
  <si>
    <t xml:space="preserve">YES / As usual arrangement </t>
  </si>
  <si>
    <t xml:space="preserve">2 Flip charts , Markers, diaries needs to be collected from the L&amp;D placed on table </t>
  </si>
  <si>
    <t xml:space="preserve">Deshraj.deshrsj2nab.com.au </t>
  </si>
  <si>
    <t xml:space="preserve">17th Aug 2026 </t>
  </si>
  <si>
    <t xml:space="preserve">Cluster setup / confirm in email </t>
  </si>
  <si>
    <t xml:space="preserve">2 Flip charts , Markers diaries needs to be collected from the L&amp;D placed on table </t>
  </si>
  <si>
    <t xml:space="preserve">Deshraj.deshraj.nab.com.au </t>
  </si>
  <si>
    <t xml:space="preserve">Sourching Training </t>
  </si>
  <si>
    <t xml:space="preserve">Shivang </t>
  </si>
  <si>
    <t xml:space="preserve">MR305 &amp; 306 </t>
  </si>
  <si>
    <t xml:space="preserve">People leaders Essential </t>
  </si>
  <si>
    <t xml:space="preserve">MR107 </t>
  </si>
  <si>
    <t xml:space="preserve">Co-Pilot Hacks </t>
  </si>
  <si>
    <t xml:space="preserve">DL Workshop </t>
  </si>
  <si>
    <t xml:space="preserve">Kaushik Nag </t>
  </si>
  <si>
    <t xml:space="preserve">Kaushik.Nag@nab.com.au </t>
  </si>
  <si>
    <t xml:space="preserve">Clustar setup </t>
  </si>
  <si>
    <t xml:space="preserve">305 &amp;306 </t>
  </si>
  <si>
    <t xml:space="preserve">Giving &amp; recieving feedback </t>
  </si>
  <si>
    <t xml:space="preserve">Cafeteria </t>
  </si>
  <si>
    <t xml:space="preserve">Darpan &amp; Prerna </t>
  </si>
  <si>
    <t>Board Room - 107</t>
  </si>
  <si>
    <t xml:space="preserve">Board visit </t>
  </si>
  <si>
    <t xml:space="preserve">Maya </t>
  </si>
  <si>
    <t xml:space="preserve">Maya.Negi@nab.com.au </t>
  </si>
  <si>
    <t xml:space="preserve">Normal setup / Confirm in email </t>
  </si>
  <si>
    <t xml:space="preserve">201- Loiuse T, 203 - Anna B , 303  - Simon M </t>
  </si>
  <si>
    <t xml:space="preserve">Board visit Lunch </t>
  </si>
  <si>
    <t>22nd Aug 2026</t>
  </si>
  <si>
    <t xml:space="preserve">Presentation skill </t>
  </si>
  <si>
    <t xml:space="preserve">Shagun Agarwal </t>
  </si>
  <si>
    <t>2:30pm</t>
  </si>
  <si>
    <t>1st-Sept - 2026</t>
  </si>
  <si>
    <t xml:space="preserve">Theater style/ Confirm in email </t>
  </si>
  <si>
    <t>DOWNTOWN-4 EVENT OPERATIONS TRACKER • SEP26</t>
  </si>
  <si>
    <t>Soamya.prasad@nab.com.au</t>
  </si>
  <si>
    <t>HR Closed Group Meeting</t>
  </si>
  <si>
    <t xml:space="preserve">AV support </t>
  </si>
  <si>
    <t>Devika Dorai</t>
  </si>
  <si>
    <t>Devika.dorai@nab.com.au</t>
  </si>
  <si>
    <t xml:space="preserve">Team Engagement </t>
  </si>
  <si>
    <t>Kancha..walia@nab.com.au</t>
  </si>
  <si>
    <t>26th-Aug</t>
  </si>
  <si>
    <t>Theatre style + 50 spoons and Bowls</t>
  </si>
  <si>
    <t>EOPB New Hire Induction</t>
  </si>
  <si>
    <t>Nitin Pratap</t>
  </si>
  <si>
    <t>Nitin.Pratap@nab.com.au</t>
  </si>
  <si>
    <t>4.D.404</t>
  </si>
  <si>
    <t>Water bottles  and a tissue box</t>
  </si>
  <si>
    <t xml:space="preserve">Water Bottle &amp; Tissue </t>
  </si>
  <si>
    <t xml:space="preserve">BMC AI Capabilities Workshop </t>
  </si>
  <si>
    <t xml:space="preserve">Kriti Kapoor </t>
  </si>
  <si>
    <t xml:space="preserve">Kriti.Kapoor@nab.com.au </t>
  </si>
  <si>
    <t xml:space="preserve">24th Aug </t>
  </si>
  <si>
    <t xml:space="preserve">Theatre style / Confirm on email </t>
  </si>
  <si>
    <t>Shelly</t>
  </si>
  <si>
    <t>shelly.shelly@nab.com.au</t>
  </si>
  <si>
    <t xml:space="preserve">High Tea Event </t>
  </si>
  <si>
    <t xml:space="preserve">Neha </t>
  </si>
  <si>
    <t xml:space="preserve">Risk Awareness session for EO </t>
  </si>
  <si>
    <t xml:space="preserve">Swati Panwar </t>
  </si>
  <si>
    <t>11th Aug'2026</t>
  </si>
  <si>
    <t xml:space="preserve">Montly XLT Meeting </t>
  </si>
  <si>
    <t xml:space="preserve">Yes </t>
  </si>
  <si>
    <t xml:space="preserve">Confirm in email /  Theatre style </t>
  </si>
  <si>
    <t>Wajid@$%2000</t>
  </si>
  <si>
    <t xml:space="preserve">Rashid Desai </t>
  </si>
  <si>
    <t>EVT-2026-1180</t>
  </si>
  <si>
    <t xml:space="preserve">Tech Townhall </t>
  </si>
  <si>
    <t>CIO PB&amp;D Global Townhall</t>
  </si>
  <si>
    <t xml:space="preserve">Customer Success Stories </t>
  </si>
  <si>
    <t xml:space="preserve">Samarth Gupta </t>
  </si>
  <si>
    <t xml:space="preserve">Samarth.Gupta@nab.com.au </t>
  </si>
  <si>
    <t>31st Aug 2026</t>
  </si>
  <si>
    <t xml:space="preserve">Cluster setup / 1 desk with 5 chairs / Confirm in email </t>
  </si>
  <si>
    <t>18th Aug-2026</t>
  </si>
  <si>
    <t>Domain Townhall</t>
  </si>
  <si>
    <t>Anjeline Nguyen</t>
  </si>
  <si>
    <t>Anjeline.nguyen@nab.com.au</t>
  </si>
  <si>
    <t xml:space="preserve">100+ </t>
  </si>
  <si>
    <t xml:space="preserve">Monika Rajkumari </t>
  </si>
  <si>
    <t xml:space="preserve">Monika.Rajkumari@nab.com.au </t>
  </si>
  <si>
    <t xml:space="preserve">25th </t>
  </si>
  <si>
    <t xml:space="preserve">Theatre Style/ Confirm in email </t>
  </si>
  <si>
    <t>CIO Global Townhall</t>
  </si>
  <si>
    <t>Theater style + Neat Board</t>
  </si>
  <si>
    <t>B&amp;PB All Hands with Rebecca Mitchell</t>
  </si>
  <si>
    <t xml:space="preserve">Vungkhawlching </t>
  </si>
  <si>
    <t xml:space="preserve">Vungkhawlching.Vungkhawlching@nab.com.au </t>
  </si>
  <si>
    <t>31st - Aug- 2026</t>
  </si>
  <si>
    <t xml:space="preserve">Theatre style setup/ Confirm in email </t>
  </si>
  <si>
    <t>All Hands for Transional Platform</t>
  </si>
  <si>
    <t>Yes - Not confirmed</t>
  </si>
  <si>
    <t>Ashish Pahuja</t>
  </si>
  <si>
    <t>Ashish.pahuja@nab.com.au</t>
  </si>
  <si>
    <t>Theater style + CC</t>
  </si>
  <si>
    <t>EVT-2026-1197</t>
  </si>
  <si>
    <t>19th-Aug-2026</t>
  </si>
  <si>
    <t>Jon Donoghue's Meeting with Tech Mod Team</t>
  </si>
  <si>
    <t>28th - Aug -2026</t>
  </si>
  <si>
    <t xml:space="preserve">Prerna &amp; Darpan </t>
  </si>
  <si>
    <t xml:space="preserve">Promptathon </t>
  </si>
  <si>
    <t>Kaushik.Nag@nab.com.au</t>
  </si>
  <si>
    <t>27th- Aug - 2026</t>
  </si>
  <si>
    <t xml:space="preserve">Theatre style setup / Confirm in email </t>
  </si>
  <si>
    <t>EVT-2026-1240</t>
  </si>
  <si>
    <t xml:space="preserve">Speakathon - CHLO </t>
  </si>
  <si>
    <t>Samarth.Gupta@nab.com.au</t>
  </si>
  <si>
    <t>28th- Aug - 2026</t>
  </si>
  <si>
    <t xml:space="preserve">1 table with 5 occupancies </t>
  </si>
  <si>
    <t xml:space="preserve">Board Visit </t>
  </si>
  <si>
    <t>Latika Chauhan</t>
  </si>
  <si>
    <t>Latika.chauhan1@nab.com.au</t>
  </si>
  <si>
    <t>TBD</t>
  </si>
  <si>
    <t xml:space="preserve">Hackathon </t>
  </si>
  <si>
    <t>27th Aug -26</t>
  </si>
  <si>
    <t xml:space="preserve"> Board room , 103 , 609 , 610</t>
  </si>
  <si>
    <t xml:space="preserve">103 - Louise T , 609 - Simon M , 610 - Anna B </t>
  </si>
  <si>
    <t xml:space="preserve">Board Visit Lunch </t>
  </si>
  <si>
    <t>Tentative</t>
  </si>
  <si>
    <t xml:space="preserve">AV </t>
  </si>
  <si>
    <t xml:space="preserve">ALT Graduation Day </t>
  </si>
  <si>
    <t xml:space="preserve">All Hands Townhall </t>
  </si>
  <si>
    <t xml:space="preserve">Shikha.saxena@nab.com.au </t>
  </si>
  <si>
    <t>12th Aug 2026</t>
  </si>
  <si>
    <t>DOWNTOWN-3 EVENT OPERATIONS TRACKER • OCT26</t>
  </si>
  <si>
    <t>Ask me Anything</t>
  </si>
  <si>
    <t>Walk in</t>
  </si>
  <si>
    <t>No setup Required only 2 tables and 4 chairs</t>
  </si>
  <si>
    <t xml:space="preserve">Wajid </t>
  </si>
  <si>
    <t>10th Aug</t>
  </si>
  <si>
    <t>DOWNTOWN-4 EVENT OPERATIONS TRACKER • OCT26</t>
  </si>
  <si>
    <t>Ravindra Singh Rajawat</t>
  </si>
  <si>
    <t>Ravindra.singhrajawat@nab.com.au</t>
  </si>
  <si>
    <t xml:space="preserve">Dry run </t>
  </si>
  <si>
    <t>Craig.Wikson2@nab.com.au</t>
  </si>
  <si>
    <t>EO India All Townhall</t>
  </si>
  <si>
    <t>Anurag.shah@nab.com.au</t>
  </si>
  <si>
    <t xml:space="preserve">Theatre style setup - Stage required </t>
  </si>
  <si>
    <t>20-25</t>
  </si>
  <si>
    <t>Ravinder Singh Rawat</t>
  </si>
  <si>
    <t>XLT Vision Alingment Workshop</t>
  </si>
  <si>
    <t xml:space="preserve">Shivani Sadhu / Maya </t>
  </si>
  <si>
    <t>40 TBC</t>
  </si>
  <si>
    <t xml:space="preserve">Innovation Hub	</t>
  </si>
  <si>
    <t>DOWNTOWN-3 EVENT OPERATIONS TRACKER • NOV26</t>
  </si>
  <si>
    <t>DOWNTOWN-4 EVENT OPERATIONS TRACKER • NOV26</t>
  </si>
  <si>
    <t>DOWNTOWN-3 EVENT OPERATIONS TRACKER • DEC26</t>
  </si>
  <si>
    <t>DOWNTOWN-4 EVENT OPERATIONS TRACKER • DEC26</t>
  </si>
  <si>
    <t>DOWNTOWN-4 EVENT OPERATIONS TRACKER • JAN27</t>
  </si>
  <si>
    <t>DOWNTOWN-4 EVENT OPERATIONS TRACKER • FEB27</t>
  </si>
  <si>
    <t>DOWNTOWN-4 EVENT OPERATIONS TRACKER • MAR27</t>
  </si>
  <si>
    <t>EVENT OPERATIONS TRACKER • JAN25</t>
  </si>
  <si>
    <t>Training of new joiners- B &amp; PB (OPS)</t>
  </si>
  <si>
    <t>Mohammad Amir</t>
  </si>
  <si>
    <t>Board Room Type Sitting</t>
  </si>
  <si>
    <t>NIl</t>
  </si>
  <si>
    <t>Hitesh Kapoor</t>
  </si>
  <si>
    <t>Theater type sitting, place one chair and table for Facilitator</t>
  </si>
  <si>
    <t>F 603</t>
  </si>
  <si>
    <t>1 pax</t>
  </si>
  <si>
    <t>Ruchika Nagpal</t>
  </si>
  <si>
    <t>18th Dec'24</t>
  </si>
  <si>
    <t>Arrange water bottles, Tissue Box and Sanitizer</t>
  </si>
  <si>
    <t>F-601</t>
  </si>
  <si>
    <t>Sports League at NAB India Meeting</t>
  </si>
  <si>
    <t>Mayank Kaushik</t>
  </si>
  <si>
    <t>19th Dec'24</t>
  </si>
  <si>
    <t>Theater Type sitting</t>
  </si>
  <si>
    <t>Mannat Narula</t>
  </si>
  <si>
    <t>2nd Jan'25</t>
  </si>
  <si>
    <t>Cookies arranged by Shreya and Lunch vendor is not finalized,arrange the</t>
  </si>
  <si>
    <t>ToastMasters Season 2 - Orientation</t>
  </si>
  <si>
    <t>6th Jan'25</t>
  </si>
  <si>
    <t>TBEP Townhall</t>
  </si>
  <si>
    <t>Dakshaja Behera</t>
  </si>
  <si>
    <t>20th Dec'24</t>
  </si>
  <si>
    <t>Postponed to 16th Jan'24</t>
  </si>
  <si>
    <t>Hitesh Kumar( Tec)</t>
  </si>
  <si>
    <t>add two extra chairs only and the set up will be remained same</t>
  </si>
  <si>
    <t>CP</t>
  </si>
  <si>
    <t>DT-3</t>
  </si>
  <si>
    <t>Divya Bhalla</t>
  </si>
  <si>
    <t>10th Jan'24</t>
  </si>
  <si>
    <t>Theater type sitting</t>
  </si>
  <si>
    <t>Theater sitting and one chair with table for the facilitator</t>
  </si>
  <si>
    <t>E 501</t>
  </si>
  <si>
    <t>CQIB</t>
  </si>
  <si>
    <t>Ashsih Bahrani</t>
  </si>
  <si>
    <t>9th Dec'24</t>
  </si>
  <si>
    <t>Tech Lounge</t>
  </si>
  <si>
    <t>13th Jan'25</t>
  </si>
  <si>
    <t>Canclled the event</t>
  </si>
  <si>
    <t>Storytelling Workshop</t>
  </si>
  <si>
    <t>Sheryl</t>
  </si>
  <si>
    <t>Theater Type sitting , arrange the cutlery, plates and spoons for 45 colleagues</t>
  </si>
  <si>
    <t>Mayank Sharma</t>
  </si>
  <si>
    <t>16th Dec'25</t>
  </si>
  <si>
    <t>F 601</t>
  </si>
  <si>
    <t>Shivani Shivani</t>
  </si>
  <si>
    <t>15th Dec'24</t>
  </si>
  <si>
    <t>20 Jan - 25th Jan'25</t>
  </si>
  <si>
    <t>Training (Ravi Pandey)</t>
  </si>
  <si>
    <t>Arrange water bottles with Tissue boxes from 20th Jan to 25th Jan'25</t>
  </si>
  <si>
    <t>Ashish Baharani</t>
  </si>
  <si>
    <t>Theater sitting. one table with chair for the facilitator</t>
  </si>
  <si>
    <t>Place two flipcharts, cookies and Browines and set up would be remain same</t>
  </si>
  <si>
    <t>Social Hub 1</t>
  </si>
  <si>
    <t>Cake Cutting</t>
  </si>
  <si>
    <t>02:40 PM</t>
  </si>
  <si>
    <t>Manish Kumar</t>
  </si>
  <si>
    <t>Townhall with Bob Pusanik</t>
  </si>
  <si>
    <t>Yukti Bhardwaj</t>
  </si>
  <si>
    <t>Theater Type sitting, 3 chairs for the speackers at the front and keep one round table with water bottles for them.</t>
  </si>
  <si>
    <t>Customer Market</t>
  </si>
  <si>
    <t>Anil Rawat- Customer Master</t>
  </si>
  <si>
    <t>U Shape Sitting arrangements</t>
  </si>
  <si>
    <t>Q2 Townhall</t>
  </si>
  <si>
    <t xml:space="preserve">walkin </t>
  </si>
  <si>
    <t>16th Jan'25</t>
  </si>
  <si>
    <t>Theater sitting</t>
  </si>
  <si>
    <t>Fincrime Connect with Sid</t>
  </si>
  <si>
    <t>60-65</t>
  </si>
  <si>
    <t>Ankit Aggarwal / Muskan Saini</t>
  </si>
  <si>
    <t>Pega Interactions Workshop</t>
  </si>
  <si>
    <t>20th Jan'25</t>
  </si>
  <si>
    <t>Theater Sitting</t>
  </si>
  <si>
    <t>Zone A&amp;B</t>
  </si>
  <si>
    <t>Arrangement as per the email</t>
  </si>
  <si>
    <t>Theatre Style seating, one table &amp; chair for speaker</t>
  </si>
  <si>
    <t>14th Jan'25</t>
  </si>
  <si>
    <t>Theater Type Sitting, One table for speaker with water bottles</t>
  </si>
  <si>
    <t>Data Platforms All Team Monthly Meeting- Jan'25</t>
  </si>
  <si>
    <t>Saksham Gupta</t>
  </si>
  <si>
    <t>15th Jan'25</t>
  </si>
  <si>
    <t>Theater type sitting , arrange the cutlery, plates and spoons for 45 colleagues</t>
  </si>
  <si>
    <t>Customer Enable Technology</t>
  </si>
  <si>
    <t>Shirley Binni</t>
  </si>
  <si>
    <t>Theater sittig and one table with one chair for the facilitator. Keep two tables aside for the snacks</t>
  </si>
  <si>
    <t>Codility Assessment</t>
  </si>
  <si>
    <t>30-35</t>
  </si>
  <si>
    <t>Dinesh Saini</t>
  </si>
  <si>
    <t>one table with two chairs</t>
  </si>
  <si>
    <t>All Hands Meet - EDA Team</t>
  </si>
  <si>
    <t>centre area theatre style seating</t>
  </si>
  <si>
    <t>Personal Banking Townhall</t>
  </si>
  <si>
    <t>Ankita Duggal</t>
  </si>
  <si>
    <t>theatre style will be 60pax</t>
  </si>
  <si>
    <t>EVENT OPERATIONS TRACKER • FEB25</t>
  </si>
  <si>
    <t>Zone ABC,</t>
  </si>
  <si>
    <t>Breakout Area+ 305 and 306</t>
  </si>
  <si>
    <t>305 &amp; 306 +3.A.107</t>
  </si>
  <si>
    <t>Townhall with Melinda</t>
  </si>
  <si>
    <t>Theatre Style, 4 water bottles at speaker desk</t>
  </si>
  <si>
    <t>SME Network Expo</t>
  </si>
  <si>
    <t xml:space="preserve">Walk in </t>
  </si>
  <si>
    <t>Stalls - one table with 2 Chairs, 16 Tables across area.</t>
  </si>
  <si>
    <t>Sanjay Gupta</t>
  </si>
  <si>
    <t>Cluster seating. White board with markers</t>
  </si>
  <si>
    <t>MR-201</t>
  </si>
  <si>
    <t>Melinda Visit</t>
  </si>
  <si>
    <t>Check in MR 201, 4 water bottles+ Tissue Box</t>
  </si>
  <si>
    <t>MR-305</t>
  </si>
  <si>
    <t>Theater style +one chair for Speaker with table</t>
  </si>
  <si>
    <t>Shagun/ Monika Rajkumari</t>
  </si>
  <si>
    <t>Mandatory Posh Session - BP&amp;D Nab India Team</t>
  </si>
  <si>
    <t>3rd Feb'25</t>
  </si>
  <si>
    <t>Theater Style +one chair for Speaker</t>
  </si>
  <si>
    <t>Fireside Chat with Jessica Cuthbertson</t>
  </si>
  <si>
    <t>Sheryl Augustine</t>
  </si>
  <si>
    <t>Theatre Style, small table for speaker with a chair, 4 water bottles &amp; tissue box.</t>
  </si>
  <si>
    <t>Codiity Assessment</t>
  </si>
  <si>
    <t>Cluster seating</t>
  </si>
  <si>
    <t>Fireside Chat with Jess and Ruth</t>
  </si>
  <si>
    <t>Rohit/Rose/ Sheryl</t>
  </si>
  <si>
    <t>4 highchairs in the front (2 for the anchors and 2 for the guests) with a round table in between with water bottles and tissue box. Classroom seating.</t>
  </si>
  <si>
    <t>Risk &amp; Cost Cohort</t>
  </si>
  <si>
    <t>Bharat</t>
  </si>
  <si>
    <t>Theatre style and one round table with chair for speaker</t>
  </si>
  <si>
    <t>6-Feb-25</t>
  </si>
  <si>
    <t>Confirmed.</t>
  </si>
  <si>
    <t>MR-202</t>
  </si>
  <si>
    <t>Hyan</t>
  </si>
  <si>
    <t>Water bottles, Tissue Box and Sanitizer</t>
  </si>
  <si>
    <t>Lunch with Hyan</t>
  </si>
  <si>
    <t>shikha Oberoi</t>
  </si>
  <si>
    <t>Keep the round table aside and arrange the water bottles 18 - please arrange the cutlery in advance.</t>
  </si>
  <si>
    <t>Classroom sitting with one table and chair for Facilitator</t>
  </si>
  <si>
    <t>MR-303</t>
  </si>
  <si>
    <t>MR-505</t>
  </si>
  <si>
    <t>AU Visitos</t>
  </si>
  <si>
    <t>All hands - Core Engineering</t>
  </si>
  <si>
    <t>Theater type style and keep one chair and table for speaker</t>
  </si>
  <si>
    <t>Townhall with Nam VU</t>
  </si>
  <si>
    <t>6th Feb'25</t>
  </si>
  <si>
    <t>Deep Dive Session</t>
  </si>
  <si>
    <t>10th Feb'25</t>
  </si>
  <si>
    <t>11th Feb'25</t>
  </si>
  <si>
    <t>Water bottles, Tissue Box, Coke (2) and Sanitizer</t>
  </si>
  <si>
    <t>Invitation: Brown Bag Session on Comprehensive Testing in EMS</t>
  </si>
  <si>
    <t>Shivanshu Singla</t>
  </si>
  <si>
    <t>Theater style meeting - one chair with table for speaker</t>
  </si>
  <si>
    <t>MR 401</t>
  </si>
  <si>
    <t>CQIB Session</t>
  </si>
  <si>
    <t>10th FEb'25</t>
  </si>
  <si>
    <t>Theater Sitting, and one table with one chair for speaker</t>
  </si>
  <si>
    <t>Fireside Chat session with Sweta Mehra</t>
  </si>
  <si>
    <t>7th Feb'25</t>
  </si>
  <si>
    <t>Interaction with Female Talent – Sweta Mehra</t>
  </si>
  <si>
    <t>MR- 501</t>
  </si>
  <si>
    <t>MR- 603</t>
  </si>
  <si>
    <t>Tentatively booking</t>
  </si>
  <si>
    <t>Theater Style +one chair for Speaker with table</t>
  </si>
  <si>
    <t>MR-105</t>
  </si>
  <si>
    <t>GS Townhall</t>
  </si>
  <si>
    <t>R and R</t>
  </si>
  <si>
    <t>Anupam Sinha</t>
  </si>
  <si>
    <t>All Hands Connect with Rob H</t>
  </si>
  <si>
    <t>Theater Type-</t>
  </si>
  <si>
    <t>Check in MR</t>
  </si>
  <si>
    <t>Jennie Hartrick/ shikha oberoi</t>
  </si>
  <si>
    <t>Place water bottles, tissue box and Sanitizer</t>
  </si>
  <si>
    <t>MR-106</t>
  </si>
  <si>
    <t>08:15 AM</t>
  </si>
  <si>
    <t>India Connor</t>
  </si>
  <si>
    <t>Check onWater bottles with Tissue Box</t>
  </si>
  <si>
    <t>Priyanka Mehta</t>
  </si>
  <si>
    <t>one table with 10 chairs with 2 more sets and MR-107 glass open, cutlery should be ready in advance with 30 pax</t>
  </si>
  <si>
    <t>Tech XLT Meeting</t>
  </si>
  <si>
    <t>Cafeteria + Breakout</t>
  </si>
  <si>
    <t>Board Visit</t>
  </si>
  <si>
    <t>Board Meeting</t>
  </si>
  <si>
    <t>Desk No - 181 and 182</t>
  </si>
  <si>
    <t>2 AU'a</t>
  </si>
  <si>
    <t>Manish Singh</t>
  </si>
  <si>
    <t>Place water bottles only</t>
  </si>
  <si>
    <t>Desk No-033</t>
  </si>
  <si>
    <t>Rob</t>
  </si>
  <si>
    <t>MR-301</t>
  </si>
  <si>
    <t>NEDS-</t>
  </si>
  <si>
    <t>Back up</t>
  </si>
  <si>
    <t>Innovation Grads Cohort</t>
  </si>
  <si>
    <t>Rupika will share the counts</t>
  </si>
  <si>
    <t>Philip</t>
  </si>
  <si>
    <t>MR-603</t>
  </si>
  <si>
    <t xml:space="preserve">Patrick </t>
  </si>
  <si>
    <t xml:space="preserve">Jyoti and Bhaskar </t>
  </si>
  <si>
    <t>MR-501</t>
  </si>
  <si>
    <t>Les</t>
  </si>
  <si>
    <t>Checkin timely</t>
  </si>
  <si>
    <t>MR-504</t>
  </si>
  <si>
    <t>Technology Floor Walk</t>
  </si>
  <si>
    <t>Vikas Malik will confirm the</t>
  </si>
  <si>
    <t>2 AU's</t>
  </si>
  <si>
    <t>MR-303/103</t>
  </si>
  <si>
    <t>MR-605</t>
  </si>
  <si>
    <t>MR5-505/501</t>
  </si>
  <si>
    <t>Rupika will confirm the booking</t>
  </si>
  <si>
    <t>Lunch for NAB Honouree</t>
  </si>
  <si>
    <t>Meeting room -305 and 306</t>
  </si>
  <si>
    <t>CSR Activity</t>
  </si>
  <si>
    <t>Shree Sir /Arti Sharma</t>
  </si>
  <si>
    <t>Cluster sitting, Arrange the water bottles (4), sanitizer, tissue box and keep one chair with one table</t>
  </si>
  <si>
    <t>80 ( Tentatively Booking)</t>
  </si>
  <si>
    <t>Hitesh will confirm and send the new joiners accroding to their alphahabits</t>
  </si>
  <si>
    <t>Dylan’s Session with SLT &amp; nominated colleagues.</t>
  </si>
  <si>
    <t>round table seating, and keep one chair with one table at the front for the speaker</t>
  </si>
  <si>
    <t>Round table set up with 20 chairs</t>
  </si>
  <si>
    <t>Global T&amp;EO Townhall + hi-tea session</t>
  </si>
  <si>
    <t>Theatre style seating with hi-tea arrangement</t>
  </si>
  <si>
    <t>MR-305 &amp;306</t>
  </si>
  <si>
    <t>Theater Sitting, one table with chair</t>
  </si>
  <si>
    <t>Traning</t>
  </si>
  <si>
    <t>Connect with Neeraj</t>
  </si>
  <si>
    <t>Semi Circle shape and keep one table and one chair for Neeraj Sir</t>
  </si>
  <si>
    <t>theater style and one chair with table of the facilitator</t>
  </si>
  <si>
    <t>40-45</t>
  </si>
  <si>
    <t>Moved to</t>
  </si>
  <si>
    <t>EVENT OPERATIONS TRACKER • MAR25</t>
  </si>
  <si>
    <t>ABC Zone</t>
  </si>
  <si>
    <t>Details as per email</t>
  </si>
  <si>
    <t>Moved the hiring drive on 8th March'25</t>
  </si>
  <si>
    <t>Induction</t>
  </si>
  <si>
    <t>Madan Singh/ Devinder Singh</t>
  </si>
  <si>
    <t>Theatre Style, One Chair with one table for facilitator</t>
  </si>
  <si>
    <t>DCO &amp; CF Women's day celebration</t>
  </si>
  <si>
    <t>SheBuilds Celebration Event</t>
  </si>
  <si>
    <t>60pax</t>
  </si>
  <si>
    <t>Awareness session on Prevention of Sexual Harassment at Workplace</t>
  </si>
  <si>
    <t>35 pax</t>
  </si>
  <si>
    <t>Shikha Khangur</t>
  </si>
  <si>
    <t>27-02-2025</t>
  </si>
  <si>
    <t>cluster sitting, flipchart, pens and conferernce pad</t>
  </si>
  <si>
    <t>Breakout Area+Cafeteria</t>
  </si>
  <si>
    <t>Induction / Coding Goorts</t>
  </si>
  <si>
    <t>Hitesh Kapoor/ Ashish Baharani</t>
  </si>
  <si>
    <t>Women's Day</t>
  </si>
  <si>
    <t>50-80</t>
  </si>
  <si>
    <t>Taru/Abhinav</t>
  </si>
  <si>
    <t>EDA all hands meeting</t>
  </si>
  <si>
    <t>DT3</t>
  </si>
  <si>
    <t>26-02-2025</t>
  </si>
  <si>
    <t>Booking confirmed</t>
  </si>
  <si>
    <t>Cyber Park</t>
  </si>
  <si>
    <t>AWT Kick off</t>
  </si>
  <si>
    <t>Maanat Narula</t>
  </si>
  <si>
    <t>U Shape</t>
  </si>
  <si>
    <t>Session for parents - Unlock Your Child's Future!</t>
  </si>
  <si>
    <t>Parul</t>
  </si>
  <si>
    <t>Theatre style seating and two chairs with round table for the speakers, arrange water bottles with Tissue box and Sanitizer</t>
  </si>
  <si>
    <t>Meeting Room -305 &amp; 306</t>
  </si>
  <si>
    <t>NAB India Learning</t>
  </si>
  <si>
    <t>Two chairs with one table</t>
  </si>
  <si>
    <t>W.3.A.034</t>
  </si>
  <si>
    <t>Water Bottles, Sanitizer + tissue box</t>
  </si>
  <si>
    <t>Cluster sitting , one table with one chair for facilitator</t>
  </si>
  <si>
    <t>Theater Type Sitting</t>
  </si>
  <si>
    <t>Breakout Area+ Cafeteria</t>
  </si>
  <si>
    <t>Sudha's Murthy - Welcome</t>
  </si>
  <si>
    <t>Taru Jain</t>
  </si>
  <si>
    <t>26th Feb=-25</t>
  </si>
  <si>
    <t>Will brief on Monday about set up and send the email separately</t>
  </si>
  <si>
    <t>Data Delivery Townhall facilitated by travelling AU executive</t>
  </si>
  <si>
    <t>Theater styleand one chair with one table for facilitator</t>
  </si>
  <si>
    <t>MR-306</t>
  </si>
  <si>
    <t>Story Telling Workshop</t>
  </si>
  <si>
    <t>Collaboration with IBM</t>
  </si>
  <si>
    <t>Ashish Bahrani</t>
  </si>
  <si>
    <t>HItesh Kapoor</t>
  </si>
  <si>
    <t>8th Mar'25</t>
  </si>
  <si>
    <t>He will share the count once the list will finalized</t>
  </si>
  <si>
    <t>LT and XLT Meeting</t>
  </si>
  <si>
    <t>18th Mar'25</t>
  </si>
  <si>
    <t>Zone A, B &amp; C + Cafeteria</t>
  </si>
  <si>
    <t>Shivani &amp; Monika</t>
  </si>
  <si>
    <t>Shivani - To use zone A Monika - To use zone C + cafeteria</t>
  </si>
  <si>
    <t>D.401 &amp; E.505</t>
  </si>
  <si>
    <t>1+1</t>
  </si>
  <si>
    <t>Visit by Alison Kitchen (24th &amp; 25th Mar)</t>
  </si>
  <si>
    <t>CET ALL HANDS</t>
  </si>
  <si>
    <t>Pandiya</t>
  </si>
  <si>
    <t>Booked for Ms Kitchen</t>
  </si>
  <si>
    <t>U Shape- Board room type set up</t>
  </si>
  <si>
    <t>Desk no - C-263,</t>
  </si>
  <si>
    <t>Hitesh Kumar (Architect)</t>
  </si>
  <si>
    <t>Water Bottles</t>
  </si>
  <si>
    <t>Mannat</t>
  </si>
  <si>
    <t>18th March</t>
  </si>
  <si>
    <t>U Shape`</t>
  </si>
  <si>
    <t>Enterprise Technology, NAB India - All Hands Meeting</t>
  </si>
  <si>
    <t>Manoj Mehta</t>
  </si>
  <si>
    <t>Meeting with Frank</t>
  </si>
  <si>
    <t>19th March'25</t>
  </si>
  <si>
    <t>Cluster sitting and need 5-6 extra chairs</t>
  </si>
  <si>
    <t>Townhall with Jason Godfrey</t>
  </si>
  <si>
    <t>24th Mar'25</t>
  </si>
  <si>
    <t>India NAB Learning</t>
  </si>
  <si>
    <t>Theater type sitting with</t>
  </si>
  <si>
    <t>Innovative Mindset Workshop :</t>
  </si>
  <si>
    <t>13th March'25</t>
  </si>
  <si>
    <t>Theater type set up</t>
  </si>
  <si>
    <t>Personal Banking- Team Building</t>
  </si>
  <si>
    <t>21st March'25</t>
  </si>
  <si>
    <t>Breakout + Cafeteria</t>
  </si>
  <si>
    <t>Session on Women Health</t>
  </si>
  <si>
    <t>Taru will share the details and update about the count</t>
  </si>
  <si>
    <t>Now the event will be online</t>
  </si>
  <si>
    <t>Neelu Kapoor</t>
  </si>
  <si>
    <t>Check in the meeting rooms and divide the barrier, Kindly do the set up like board room with 12 pax. Check in the meeting room timely and keep 2 packets of Sticky notes</t>
  </si>
  <si>
    <t>Details to be shared by requestor</t>
  </si>
  <si>
    <t>Holiday - Eid</t>
  </si>
  <si>
    <t>EVENT OPERATIONS TRACKER • APR25</t>
  </si>
  <si>
    <t>CIO PB 'All-In hands</t>
  </si>
  <si>
    <t>Apoorva Aggarwal</t>
  </si>
  <si>
    <t>1st April'25</t>
  </si>
  <si>
    <t>MR501</t>
  </si>
  <si>
    <t>Sagarika</t>
  </si>
  <si>
    <t>Water bottles Arrangments</t>
  </si>
  <si>
    <t>Q2 EPSS Townhall</t>
  </si>
  <si>
    <t>28th Mar'25</t>
  </si>
  <si>
    <t>BP&amp;D All Staff planned</t>
  </si>
  <si>
    <t>02:55 PM</t>
  </si>
  <si>
    <t>Devinder Singh/Anshika Rana</t>
  </si>
  <si>
    <t>27th March'25</t>
  </si>
  <si>
    <t>CET - All Hands Meeting</t>
  </si>
  <si>
    <t>Shirley Binny</t>
  </si>
  <si>
    <t>Fireside chat</t>
  </si>
  <si>
    <t>60 pax</t>
  </si>
  <si>
    <t>Navneet Singh</t>
  </si>
  <si>
    <t>Connect with P &amp; C Team</t>
  </si>
  <si>
    <t>Theater style with four sofas in front- Will discuss the alignments with Anju arrange water bottles and tissue</t>
  </si>
  <si>
    <t>Group Security Meeting</t>
  </si>
  <si>
    <t>she will confirm</t>
  </si>
  <si>
    <t>Hitesh has confirmed for releasing the breakout area</t>
  </si>
  <si>
    <t>P W townhall</t>
  </si>
  <si>
    <t>Anshika Rana</t>
  </si>
  <si>
    <t>Hitesh will confirm on Monday</t>
  </si>
  <si>
    <t>26th Feb'25</t>
  </si>
  <si>
    <t>P&amp;O Townhall</t>
  </si>
  <si>
    <t>Rajender kumar/Vikas Singh</t>
  </si>
  <si>
    <t>PL Essentials</t>
  </si>
  <si>
    <t>3rd Apr</t>
  </si>
  <si>
    <t>Cluster sitting and add 10 more chairs</t>
  </si>
  <si>
    <t>9th April'25</t>
  </si>
  <si>
    <t>Personal Banking POSH session</t>
  </si>
  <si>
    <t>Ravneet Hundal</t>
  </si>
  <si>
    <t>7th Apr'25</t>
  </si>
  <si>
    <t>Need to discuss</t>
  </si>
  <si>
    <t>E.501</t>
  </si>
  <si>
    <t>Arrange water bottles + Tissue Box</t>
  </si>
  <si>
    <t>Payment Townhall</t>
  </si>
  <si>
    <t>Priyanka Malik</t>
  </si>
  <si>
    <t>20th Mar'25</t>
  </si>
  <si>
    <t>Townhall with Christian Nelissen</t>
  </si>
  <si>
    <t>120+</t>
  </si>
  <si>
    <t>4th April'25</t>
  </si>
  <si>
    <t>Cancel the event</t>
  </si>
  <si>
    <t>XLT Meeting</t>
  </si>
  <si>
    <t>Snacks arrangments- place the table at TT side for the Tea and coffee</t>
  </si>
  <si>
    <t>25-30</t>
  </si>
  <si>
    <t>Kaushik Naag</t>
  </si>
  <si>
    <t>Move to Rec Room</t>
  </si>
  <si>
    <t>TDE Team Connect</t>
  </si>
  <si>
    <t>Amit Munjal</t>
  </si>
  <si>
    <t>17-Apr-25</t>
  </si>
  <si>
    <t>New Joiners induction</t>
  </si>
  <si>
    <t>Cafeteria+ Breakout</t>
  </si>
  <si>
    <t>NAB India Q3 FY25 townhall</t>
  </si>
  <si>
    <t>Communications and Branding</t>
  </si>
  <si>
    <t>Mannat/ Kaushik Naag</t>
  </si>
  <si>
    <t>GS All PL - onsite</t>
  </si>
  <si>
    <t>candies in each table keep in the bowl, keep a round table and place 20 water botttles, markers (4), 10 news papers</t>
  </si>
  <si>
    <t>Cluster sitting, 2 extra chairs with one table, Tissue box 6 water bottles for the speakers</t>
  </si>
  <si>
    <t>Theater style and keep one table with one chair</t>
  </si>
  <si>
    <t>Technology on boarding</t>
  </si>
  <si>
    <t>Lead Workshop</t>
  </si>
  <si>
    <t>Social Hub-2</t>
  </si>
  <si>
    <t>Tech-</t>
  </si>
  <si>
    <t>7th Apri'25</t>
  </si>
  <si>
    <t>Temp. booking</t>
  </si>
  <si>
    <t>Theater Stype</t>
  </si>
  <si>
    <t>Theater Style, final count will be shared by Hitesh Kapoor on Wed/.</t>
  </si>
  <si>
    <t>Risk and Cost Cohort</t>
  </si>
  <si>
    <t>Rajesh Agarwal</t>
  </si>
  <si>
    <t>21st Apr'25</t>
  </si>
  <si>
    <t>GS Meeting</t>
  </si>
  <si>
    <t>Add - 7 chairs</t>
  </si>
  <si>
    <t>Hitesh will share the final numbers accordingly to do the set up</t>
  </si>
  <si>
    <t>Australian Visitor</t>
  </si>
  <si>
    <t>Ankit Monga</t>
  </si>
  <si>
    <t>22 Apr'25</t>
  </si>
  <si>
    <t>Paste the signage out side the meeting room, Water bottles+ Tissue Box, replenish the water bottle</t>
  </si>
  <si>
    <t>Aaron McCullough (AU Visitor)</t>
  </si>
  <si>
    <t>23rd Apr'25</t>
  </si>
  <si>
    <t>Water bottles, Coke (2) +Tissue Box and paste the signage of the Australian Visitor</t>
  </si>
  <si>
    <t>NAB India Expo</t>
  </si>
  <si>
    <t>Lunch timings- 12 pm to 1:30 pm, Island counter will be closed for the entire day</t>
  </si>
  <si>
    <t>Water bottles+ Tissue Box, replenish the water bottle</t>
  </si>
  <si>
    <t>Connects with Fraud Team</t>
  </si>
  <si>
    <t>8 pax</t>
  </si>
  <si>
    <t>22nd Apr'25</t>
  </si>
  <si>
    <t>Water bottles+ Tissue Box</t>
  </si>
  <si>
    <t>Water bottles, Coke (2) +Tissue Box</t>
  </si>
  <si>
    <t>EVENT OPERATIONS TRACKER • MAY25</t>
  </si>
  <si>
    <t>Autralia Visitors</t>
  </si>
  <si>
    <t>Enterprise Data townhall</t>
  </si>
  <si>
    <t>Charnajeet Singh</t>
  </si>
  <si>
    <t>4th Feb'25</t>
  </si>
  <si>
    <t>Event</t>
  </si>
  <si>
    <t>M-305 &amp; 306</t>
  </si>
  <si>
    <t>Cafeteria+ Breakout Area</t>
  </si>
  <si>
    <t>IBM Meeting</t>
  </si>
  <si>
    <t>Theater Type Sitting - Hitesh Kapoor will confirm the new joiners count</t>
  </si>
  <si>
    <t>MR-101</t>
  </si>
  <si>
    <t>Theater set up, as maximum keep the chairs</t>
  </si>
  <si>
    <t>New Joiners Inductin</t>
  </si>
  <si>
    <t>Add 4 extra chairs</t>
  </si>
  <si>
    <t>Australian Visitor (Steve Day)</t>
  </si>
  <si>
    <t>Arrange water bottles, tissue box and sanitizer and Coke and paste the signage</t>
  </si>
  <si>
    <t>Cafeteria +Breakout</t>
  </si>
  <si>
    <t>Engieering Month- Opening Ceremony</t>
  </si>
  <si>
    <t>Theater type set up and place the snacks boxes</t>
  </si>
  <si>
    <t>Sadhvi</t>
  </si>
  <si>
    <t>Arrange water bottles, tissue box and sanitizer</t>
  </si>
  <si>
    <t>Steve Day</t>
  </si>
  <si>
    <t>Arrange water bottles, tissue box and sanitizer and Coke</t>
  </si>
  <si>
    <t>Townhall for Core Engineering All Hands</t>
  </si>
  <si>
    <t>Partner Booth</t>
  </si>
  <si>
    <t>3 booths, two square table with 4 chairs tables in each booth, NEAT board suppport by Tech Team- done</t>
  </si>
  <si>
    <t>I&amp;D Awareness talk</t>
  </si>
  <si>
    <t>30th apr'25</t>
  </si>
  <si>
    <t>Knowledge Hour</t>
  </si>
  <si>
    <t>Theater style 60 chairs</t>
  </si>
  <si>
    <t>Ashish will confirm about the event due to Steve townhall he needs to confirm from Manoj Mehta</t>
  </si>
  <si>
    <t>Steve’s visit Townhall</t>
  </si>
  <si>
    <t>Mudit Srivastava</t>
  </si>
  <si>
    <t>MR-401</t>
  </si>
  <si>
    <t>Townhall with Dylan Keath and Brendan Colson</t>
  </si>
  <si>
    <t>Ashish Arora</t>
  </si>
  <si>
    <t>EDA Story Telling Celebration</t>
  </si>
  <si>
    <t>Rohit Jain</t>
  </si>
  <si>
    <t>40 pax seating with two tables for snacks on side and a square table in front for speaker.</t>
  </si>
  <si>
    <t>Team buidling activity- EDA Platform</t>
  </si>
  <si>
    <t>Gaurav Krishna</t>
  </si>
  <si>
    <t>10th Apr'25</t>
  </si>
  <si>
    <t>3-4 tables, semi circle shape- 20 chairs</t>
  </si>
  <si>
    <t>Trade Reporting, Surveillance and Asia Support Technology Monthly Team Meeting’.</t>
  </si>
  <si>
    <t>MR-203</t>
  </si>
  <si>
    <t>Australian Visitor (Rob Ferrier )</t>
  </si>
  <si>
    <t>5th May'25</t>
  </si>
  <si>
    <t>Bisleri, Sparkling Water, Sanitiser, tissue and coke</t>
  </si>
  <si>
    <t>Theater Type sitting , remove the partition and keep one table with chair</t>
  </si>
  <si>
    <t>Australian Visitor (Sandro)</t>
  </si>
  <si>
    <t>Place the beverages on 11th May night. Bisleri, Sanitiser, tissue and coke</t>
  </si>
  <si>
    <t>Cancelled the Event</t>
  </si>
  <si>
    <t>Robert Ferrier (Australian Visitor)</t>
  </si>
  <si>
    <t>Bisleri, Sanitiser, tissue, coke and Perrier water + One glass</t>
  </si>
  <si>
    <t>L&amp;TD</t>
  </si>
  <si>
    <t>Kaushhik Nag</t>
  </si>
  <si>
    <t>Kerin Hurrell (Autralian Visitor)</t>
  </si>
  <si>
    <t>Bisleri, Sanitiser, tissue, coke and Perrier water + One glass, Please check the meeting room, by 10:30 they will leave for CP and remove the beverages</t>
  </si>
  <si>
    <t>Bisleri, Sanitiser, tissue and coke</t>
  </si>
  <si>
    <t>Group Security Townhall with Sandro.</t>
  </si>
  <si>
    <t>6th Apr'25</t>
  </si>
  <si>
    <t>Bisleri, Sanitiser, tissue, coke and Perrier water + One glass,</t>
  </si>
  <si>
    <t>Cathryn Carver</t>
  </si>
  <si>
    <t>Lunch Arrangements</t>
  </si>
  <si>
    <t>6 pax</t>
  </si>
  <si>
    <t>Kerin Hurrell</t>
  </si>
  <si>
    <t>Robert Ferrier</t>
  </si>
  <si>
    <t>Townhall Testing</t>
  </si>
  <si>
    <t>No Booking to be taken</t>
  </si>
  <si>
    <t>Personal Banking Monthly Catch up</t>
  </si>
  <si>
    <t>Knowledge Hour - Codility with Parminder</t>
  </si>
  <si>
    <t>Global T&amp;EO Townhall</t>
  </si>
  <si>
    <t>Theater Style and Cafeteia +Tuckshop &amp; Island will be closed till 10:15 am / Tea will be served in the Socail Hub-1 till 10:15 am</t>
  </si>
  <si>
    <t>Pattrick Wright</t>
  </si>
  <si>
    <t>25th Apr'25</t>
  </si>
  <si>
    <t>Arrange Perrier Water along with Glass, Coke, Sanitizer and Tissue Box, Toffees and Cookies (which is arranged by Shikha)</t>
  </si>
  <si>
    <t>Ravi</t>
  </si>
  <si>
    <t>Ana</t>
  </si>
  <si>
    <t>LES</t>
  </si>
  <si>
    <t>Andy</t>
  </si>
  <si>
    <t>Jess</t>
  </si>
  <si>
    <t>NEDS</t>
  </si>
  <si>
    <t>Spare</t>
  </si>
  <si>
    <t>Theater style and keep one round table for Laptop support . Move the White board near workstation w.3.f.749-</t>
  </si>
  <si>
    <t>Amazon Q</t>
  </si>
  <si>
    <t>Social Hub-2 , require cutlery by 12:30 pm- Plate, spoon, bowl and arrange the lunch. Require chairs with table (classroom set up) 2:30 pm</t>
  </si>
  <si>
    <t>Event moved on 10th June</t>
  </si>
  <si>
    <t>F2F - Meet and Greet- DCO</t>
  </si>
  <si>
    <t>Need to add 5 extra chairs only</t>
  </si>
  <si>
    <t>CQiB certificate facilitation</t>
  </si>
  <si>
    <t>Microsoft Prompt -A- Thon</t>
  </si>
  <si>
    <t>Require chairs with table</t>
  </si>
  <si>
    <t>Global and T&amp;EO Townhall</t>
  </si>
  <si>
    <t>The booking is confirmed by Hitesh Kapoor</t>
  </si>
  <si>
    <t>Network Upgrade Activity - No Hiring Drive to be conducted</t>
  </si>
  <si>
    <t>Hackathon Finale</t>
  </si>
  <si>
    <t>Theater Style - 60 pax plates and spoons arrange in Social Hub-2- Dont open the partition from 8 am to 5 pm , arrnage the tables for the lunch at least 4-5</t>
  </si>
  <si>
    <t>NAB IBM Tech XChange : Modern Mainframe</t>
  </si>
  <si>
    <t>BP&amp;D Townhall</t>
  </si>
  <si>
    <t>Devinder Singh/Rupika Nagpal</t>
  </si>
  <si>
    <t>Coaching for Success | Workshop for leaders</t>
  </si>
  <si>
    <t>Engineering Month - closing Ceremony</t>
  </si>
  <si>
    <t>theater type set up and place the snacks boxes</t>
  </si>
  <si>
    <t>Jessica Robberds</t>
  </si>
  <si>
    <t>Place the signage and Keep the beveragesl tissue box &amp; Sanitizer</t>
  </si>
  <si>
    <t>M Mcleod</t>
  </si>
  <si>
    <t>Group Security Fun-Friday</t>
  </si>
  <si>
    <t>only 20-25 chairs lined at the back/sides. Few activity will be carried out like Zumba and other games</t>
  </si>
  <si>
    <t>EVENT OPERATIONS TRACKER • JUN25</t>
  </si>
  <si>
    <t>MR -505</t>
  </si>
  <si>
    <t>Water bottle, tissue box and sanitizer</t>
  </si>
  <si>
    <t>MR -504</t>
  </si>
  <si>
    <t xml:space="preserve">37+9 </t>
  </si>
  <si>
    <t>Theater style and keep power extensions in the breakout area</t>
  </si>
  <si>
    <t>Breakout</t>
  </si>
  <si>
    <t>Tech Meeting</t>
  </si>
  <si>
    <t>Theatre style 40pax</t>
  </si>
  <si>
    <t>Mr -504</t>
  </si>
  <si>
    <t>CET All Hands</t>
  </si>
  <si>
    <t>Ritika Pandiya/ Kalpana</t>
  </si>
  <si>
    <t>Knwoledge hour</t>
  </si>
  <si>
    <t>Classroom type set up, 2 sqaure tables with 4 chairs</t>
  </si>
  <si>
    <t>Postponed the meeting</t>
  </si>
  <si>
    <t>Data Analytics All Hands</t>
  </si>
  <si>
    <t>26- May'25</t>
  </si>
  <si>
    <t>D &amp; I Session</t>
  </si>
  <si>
    <t>Snacks will be arranged by Shikha, arrnage the cutlery in advance</t>
  </si>
  <si>
    <t>move on 13th jun'25</t>
  </si>
  <si>
    <t>EDA Team Chess Tournament</t>
  </si>
  <si>
    <t>Released</t>
  </si>
  <si>
    <t>People Leader essentials</t>
  </si>
  <si>
    <t>Tech XLT</t>
  </si>
  <si>
    <t>round table with two chairs. (8 pairs)</t>
  </si>
  <si>
    <t>NAB India Badminton Tournament Award Ceremony</t>
  </si>
  <si>
    <t>Enterprise Data Training</t>
  </si>
  <si>
    <t>Book Meeting Room A,B and C zone and cafetreria</t>
  </si>
  <si>
    <t>Meeeting</t>
  </si>
  <si>
    <t>Breakout Area+Cafereia</t>
  </si>
  <si>
    <t>Awards Distribution Ceremony- Badminton Tournament</t>
  </si>
  <si>
    <t>Knwoledge Bytes</t>
  </si>
  <si>
    <t>Comunicating with Impact</t>
  </si>
  <si>
    <t>Theater style and require the white board with markers</t>
  </si>
  <si>
    <t>waiting for Rupika's final confirmaion</t>
  </si>
  <si>
    <t>Postponed to 17th jun'25</t>
  </si>
  <si>
    <t>Prompt Engineering</t>
  </si>
  <si>
    <t>Classroom type sitting</t>
  </si>
  <si>
    <t>Basis confirmation from Parul. Room release &amp; given to Atul. Setaing arrangement will be shared.</t>
  </si>
  <si>
    <t>Coditlity Assessment</t>
  </si>
  <si>
    <t>05:30 AM</t>
  </si>
  <si>
    <t>Kunwar</t>
  </si>
  <si>
    <t>20 sets of one table with two chiars,</t>
  </si>
  <si>
    <t>7 tables, 2 people sitting across each table. 2 Chessboard to be issued on temporary basis.</t>
  </si>
  <si>
    <t>Theater style and its confirmed by Hitesh Kapoor</t>
  </si>
  <si>
    <t>Monthly meet: TR&amp;S and ASIA Support Team</t>
  </si>
  <si>
    <t>Lalit Bhandari</t>
  </si>
  <si>
    <t>Breakut area and MR-305 and 306 will be using for the Induction</t>
  </si>
  <si>
    <t>Desk No -624</t>
  </si>
  <si>
    <t>Vinita</t>
  </si>
  <si>
    <t>Water arrangements</t>
  </si>
  <si>
    <t>Beverages arrangements, Tissue Box and sanitizer</t>
  </si>
  <si>
    <t>Knowledge Bytes</t>
  </si>
  <si>
    <t>Postponed to 24th Jun'25</t>
  </si>
  <si>
    <t>CD&amp;DS All Hands</t>
  </si>
  <si>
    <t>Team Hurdle</t>
  </si>
  <si>
    <t>Anchor Day</t>
  </si>
  <si>
    <t>postponed still date is not confirmed</t>
  </si>
  <si>
    <t>Board Room Type set up, Place water, tissue box and sanitizer and place the dividers</t>
  </si>
  <si>
    <t>postponed the event, date not confirmed yet</t>
  </si>
  <si>
    <t>COO - Strategy Day</t>
  </si>
  <si>
    <t>Shalini will confirm the seating arrangments on 16th Jun'25</t>
  </si>
  <si>
    <t>DCO &amp; Central Functions - Q3 Townhall</t>
  </si>
  <si>
    <t>Marketing and Loyalty Townhall</t>
  </si>
  <si>
    <t>Vikas k Arora</t>
  </si>
  <si>
    <t>BP&amp;D All Staff</t>
  </si>
  <si>
    <t>As confirmed by Deshraj for Mr305 and 306</t>
  </si>
  <si>
    <t>PW and IP Events</t>
  </si>
  <si>
    <t>Pizza</t>
  </si>
  <si>
    <t>Arrange the trolley by 11:20 am at the reception side to pick up the pizza from the downstairs and also place loose tissue papers in the socail Hub-2 .No cutlery require</t>
  </si>
  <si>
    <t>NAB India Tech Onboarding</t>
  </si>
  <si>
    <t>Culture Immersion</t>
  </si>
  <si>
    <t>White board with markers and theater sitting</t>
  </si>
  <si>
    <t>NAB India Tec Onboarding</t>
  </si>
  <si>
    <t>Connect with Neeraj Garg</t>
  </si>
  <si>
    <t>Debobrata Chaudhary</t>
  </si>
  <si>
    <t>Deshraj has sent the double email for the breakout area booking</t>
  </si>
  <si>
    <t>PLE Cohort 3 - M4</t>
  </si>
  <si>
    <t>Cultivating an Innovation Mindset- Tech</t>
  </si>
  <si>
    <t>Deepanshu</t>
  </si>
  <si>
    <t>Cluster sitting</t>
  </si>
  <si>
    <t>confirmed by Hitesh Kapoor</t>
  </si>
  <si>
    <t>Water arrangements, tissue box and sanitizer</t>
  </si>
  <si>
    <t>EVENT OPERATIONS TRACKER • JUL25</t>
  </si>
  <si>
    <t>C&amp;IB India Townhall</t>
  </si>
  <si>
    <t>Theater style and arranged the brownies and Lemonade from Pihu Tuckshop and place @ the</t>
  </si>
  <si>
    <t>TECH XLT Sessiom</t>
  </si>
  <si>
    <t>Deepanshu Burreja</t>
  </si>
  <si>
    <t>Classroom Type</t>
  </si>
  <si>
    <t>All Teams Meeting P &amp;C</t>
  </si>
  <si>
    <t>ToastMaster</t>
  </si>
  <si>
    <t>Niti Sharma</t>
  </si>
  <si>
    <t>Swati Vyas</t>
  </si>
  <si>
    <t>No Hiring Drive</t>
  </si>
  <si>
    <t>C-263</t>
  </si>
  <si>
    <t>Hitesh Kumar (Archi)</t>
  </si>
  <si>
    <t>Dance Pracitse of Senior Leaders</t>
  </si>
  <si>
    <t>Amit Joshi</t>
  </si>
  <si>
    <t>PLE -Cohot -3</t>
  </si>
  <si>
    <t>DeshRaj</t>
  </si>
  <si>
    <t>DCO and Central Functions</t>
  </si>
  <si>
    <t>Global data townhall</t>
  </si>
  <si>
    <t>NAB India Q4 Townhall</t>
  </si>
  <si>
    <t>Set up needs to be done by 2 pm</t>
  </si>
  <si>
    <t>Security Engg &amp; Platform- All hands</t>
  </si>
  <si>
    <t>Markets India Technology – Quarterly Full team meeting</t>
  </si>
  <si>
    <t>Theater Style and arranged the snacks by her from zomato, kindly arrange the trolley by 9:15 am,someone should be</t>
  </si>
  <si>
    <t>Closure session with Architecture Executive</t>
  </si>
  <si>
    <t>Hitesh Kumar</t>
  </si>
  <si>
    <t>theater style, Tables keep aside and arrange the cutlery for 25 pax, tissues (12m)</t>
  </si>
  <si>
    <t>Logic engine showcase and demo- Architecture</t>
  </si>
  <si>
    <t>Theater type</t>
  </si>
  <si>
    <t>A, B and C zone all meeting rooms including 305/306 and 107 rooms</t>
  </si>
  <si>
    <t>26-06-25</t>
  </si>
  <si>
    <t>Writing Effective Goals and IDPs</t>
  </si>
  <si>
    <t>R &amp; R Lending Services</t>
  </si>
  <si>
    <t>Anshul Mathur</t>
  </si>
  <si>
    <t>Eye Camp</t>
  </si>
  <si>
    <t>Shikha Khungar</t>
  </si>
  <si>
    <t>Shikha will confirm for the set up</t>
  </si>
  <si>
    <t>Fire Warden Training</t>
  </si>
  <si>
    <t>Hitesh Kumar (Infra)</t>
  </si>
  <si>
    <t>DCO Pot luck Lunch</t>
  </si>
  <si>
    <t>Anvita Srivastava</t>
  </si>
  <si>
    <t>Arrange the cutlery in advance, they will require the logistic support, informing by them in advance</t>
  </si>
  <si>
    <t>Custoemr Call Listening Session</t>
  </si>
  <si>
    <t>Classroom type set up, remove the partition</t>
  </si>
  <si>
    <t>Classroom type set up</t>
  </si>
  <si>
    <t>Team of Teams Session</t>
  </si>
  <si>
    <t>Set up - Image is attached</t>
  </si>
  <si>
    <t>R &amp; R BDSB - Busniess direct and small business</t>
  </si>
  <si>
    <t>Move the R &amp; R on 24th July'25</t>
  </si>
  <si>
    <t>Data Delivery- Change Check points</t>
  </si>
  <si>
    <t>Saloni Saloni</t>
  </si>
  <si>
    <t>TR &amp; S and Asia Support Monthly Meeting</t>
  </si>
  <si>
    <t>Personal Banking monthly catchup</t>
  </si>
  <si>
    <t>Theater Style - require 2 tables place at the screen side</t>
  </si>
  <si>
    <t>Fintech Event by Fintech Cohort</t>
  </si>
  <si>
    <t>01:00 AM</t>
  </si>
  <si>
    <t>Require 4 chairs for the speakers and keep one round table for the water bottles, sanitizer and tissue box</t>
  </si>
  <si>
    <t>Meeting has been cancelled</t>
  </si>
  <si>
    <t>Classroom Type and require 5 power points</t>
  </si>
  <si>
    <t>Cultivating an Innovation Mindset Tech</t>
  </si>
  <si>
    <t>PLE Cohort 4- M1</t>
  </si>
  <si>
    <t>Meeting with Leaders</t>
  </si>
  <si>
    <t>Alok Sir</t>
  </si>
  <si>
    <t>Theater style, remove the glass partition</t>
  </si>
  <si>
    <t>Theater Style - Shikha is checking with Parul to move her meeting</t>
  </si>
  <si>
    <t>mr-107</t>
  </si>
  <si>
    <t>Parul will confirm</t>
  </si>
  <si>
    <t>Leading with Connection | PLs</t>
  </si>
  <si>
    <t>Connect with Vikas</t>
  </si>
  <si>
    <t>Data Delivery Catch up</t>
  </si>
  <si>
    <t>Training - Customer Call Listening Session</t>
  </si>
  <si>
    <t>Risk Cohort</t>
  </si>
  <si>
    <t>group security townhall</t>
  </si>
  <si>
    <t>Theater style, 70 sandwiches</t>
  </si>
  <si>
    <t>Session with Vikas</t>
  </si>
  <si>
    <t>Theater Style, open the divider</t>
  </si>
  <si>
    <t>DT3-GGN-3.E.505-4P</t>
  </si>
  <si>
    <t>29_jul-25</t>
  </si>
  <si>
    <t>tue</t>
  </si>
  <si>
    <t>Rakhi Stall by National Association of Blind &amp;Disability Studies</t>
  </si>
  <si>
    <t>Remove the Table tennis place the tables @ barricade side and keep 6 chairs and trolley should be ready by 9 am ,require the support to bring stuff on the floor - willl share the vendor contact no shorlty</t>
  </si>
  <si>
    <t>Culture Immersion- All colleagues</t>
  </si>
  <si>
    <t>Inderpal singh</t>
  </si>
  <si>
    <t>Desk no E-549</t>
  </si>
  <si>
    <t>Desk no -</t>
  </si>
  <si>
    <t>CET- All Hands( Customer Enabling Technology)</t>
  </si>
  <si>
    <t>Personal Banking Meeting-</t>
  </si>
  <si>
    <t>PLE Cohort 4- M2</t>
  </si>
  <si>
    <t>Partick office</t>
  </si>
  <si>
    <t>Moved to3rd Sep'25</t>
  </si>
  <si>
    <t>Culture Immersion- July Joiners</t>
  </si>
  <si>
    <t>Disability Pride Month by Inclusive and Diversity Cohort</t>
  </si>
  <si>
    <t>Medha Garg / Sanya Kansal/ Sahil Chabbra</t>
  </si>
  <si>
    <t>Medha will confirm</t>
  </si>
  <si>
    <t>Eng. Excellence Townhall</t>
  </si>
  <si>
    <t>200pax</t>
  </si>
  <si>
    <t>Moved to 6thAug'25</t>
  </si>
  <si>
    <t>Classroom seating</t>
  </si>
  <si>
    <t>EVENT OPERATIONS TRACKER • AUG'25 (2)</t>
  </si>
  <si>
    <t>Induction (Grad-Engineers)</t>
  </si>
  <si>
    <t>Theatre Style- confirmed by Hitesh Kapoor</t>
  </si>
  <si>
    <t>External Traning</t>
  </si>
  <si>
    <t>Zone A and C</t>
  </si>
  <si>
    <t>Opening Ceremony (Neeraj/Vikas)</t>
  </si>
  <si>
    <t>Parul/Soamya</t>
  </si>
  <si>
    <t>Desk no C-329 and C-330</t>
  </si>
  <si>
    <t>4th Aug'25</t>
  </si>
  <si>
    <t>Arrangments of Water bottles and replenish before get over</t>
  </si>
  <si>
    <t>Desk no F-641 and F-642</t>
  </si>
  <si>
    <t>Deepak Jaiswal</t>
  </si>
  <si>
    <t>Posh Traning</t>
  </si>
  <si>
    <t>Theate Style</t>
  </si>
  <si>
    <t>Inderpal</t>
  </si>
  <si>
    <t>PLE -Cohot -4</t>
  </si>
  <si>
    <t>Theater style, place one table for the facilitator</t>
  </si>
  <si>
    <t>Cafeteria+Breakout Area</t>
  </si>
  <si>
    <t>Theate Style- need to drop an email for the cafeteria updates toall colleagues and Latika for coms review</t>
  </si>
  <si>
    <t>Arrange the snacks, the set up would be theater style, arrnage the snacks from Cook House and deliver by 2:00 pm</t>
  </si>
  <si>
    <t>Databricks Training.</t>
  </si>
  <si>
    <t>5th -Aug-25</t>
  </si>
  <si>
    <t>set up image has been shared with the team, require the additonal power extension</t>
  </si>
  <si>
    <t>All Hands session for global financial crime</t>
  </si>
  <si>
    <t>Add 6 extra chairs</t>
  </si>
  <si>
    <t>Codiltiy assessment</t>
  </si>
  <si>
    <t>Canadian security authority- Project golive</t>
  </si>
  <si>
    <t>Govind Chauhan</t>
  </si>
  <si>
    <t>5 sets of 3 chairs with one table,</t>
  </si>
  <si>
    <t>Moved for 14th Aug and they have reserved the meeting room by their own</t>
  </si>
  <si>
    <t>Net worth</t>
  </si>
  <si>
    <t>DT3-GGN-3.C.305 &amp; 306</t>
  </si>
  <si>
    <t>Coaching for Success - Mannat</t>
  </si>
  <si>
    <t>Tbc</t>
  </si>
  <si>
    <t>SE&amp;P Team’s monthly catch-up with Claus</t>
  </si>
  <si>
    <t>DCO and CF Independence Day</t>
  </si>
  <si>
    <t>Shagun Aggarwal</t>
  </si>
  <si>
    <t>Theater style - Need to check with Parul</t>
  </si>
  <si>
    <t>Swetha/ Shagun will confir m</t>
  </si>
  <si>
    <t>Coaching for Success - Kaushik</t>
  </si>
  <si>
    <t>DLF Down Activity _ NO Hiring Drive</t>
  </si>
  <si>
    <t>Desk no -24</t>
  </si>
  <si>
    <t>Water Bottles - replenish the water bottles</t>
  </si>
  <si>
    <t>Prajanay Joshi</t>
  </si>
  <si>
    <t>Water Bottles- Sanitizer and Tissue Box</t>
  </si>
  <si>
    <t>New Skill of the Quarter- Storytelling</t>
  </si>
  <si>
    <t>AWS Generative AI Workshop</t>
  </si>
  <si>
    <t>XLT meeting</t>
  </si>
  <si>
    <t>PEGA Industry Keynote :Harness the power of AI Agents</t>
  </si>
  <si>
    <t>Theater Style - Need to check with Parul</t>
  </si>
  <si>
    <t>Moved the event on21st Aug'25</t>
  </si>
  <si>
    <t>PEB townhall</t>
  </si>
  <si>
    <t>Bhawna Kahsyap</t>
  </si>
  <si>
    <t>ALT Lunch</t>
  </si>
  <si>
    <t>waiting for his confirmation</t>
  </si>
  <si>
    <t>Simplified Account Switching session by Lending Services</t>
  </si>
  <si>
    <t>Shahbaz Md</t>
  </si>
  <si>
    <t>B2B2C session- Lending Services</t>
  </si>
  <si>
    <t>MR-E-505</t>
  </si>
  <si>
    <t>Coke (2), Water bottles tissue box and sanitizer and replenish the beverages accordingly</t>
  </si>
  <si>
    <t>Cafteria + Breakout Area</t>
  </si>
  <si>
    <t>Pega Day</t>
  </si>
  <si>
    <t>Rose Boben</t>
  </si>
  <si>
    <t>Long chairs require for the speakers and theater style set up and arranged the snacks from Cookhouse and arrange tea of 120 pax by 4 pm (email has been already intiated for the logistics support)</t>
  </si>
  <si>
    <t>Personal Everyday Banking- Strategy</t>
  </si>
  <si>
    <t>Gail Rushworth</t>
  </si>
  <si>
    <t>Theater stle</t>
  </si>
  <si>
    <t>Yashan Khanna</t>
  </si>
  <si>
    <t>Tech Stall</t>
  </si>
  <si>
    <t>Remove the TT and place 3-4 tables for the stalls</t>
  </si>
  <si>
    <t>PB townhall</t>
  </si>
  <si>
    <t>IAPP - Panel discussion</t>
  </si>
  <si>
    <t>07:00 PM</t>
  </si>
  <si>
    <t>Theate style - waiting for the snacks confirmation</t>
  </si>
  <si>
    <t>Social Hub Area -1</t>
  </si>
  <si>
    <t>Finance Lunch</t>
  </si>
  <si>
    <t>Ashsih kumar From Finance</t>
  </si>
  <si>
    <t>Arrange the cutlery and place the tables at the glass corner for the food</t>
  </si>
  <si>
    <t>DCO Team Connect</t>
  </si>
  <si>
    <t>Prasantanth</t>
  </si>
  <si>
    <t>Theater style - once the meeting get done place the table and chair in their original set up</t>
  </si>
  <si>
    <t>Culture Immersion- New Joiners</t>
  </si>
  <si>
    <t>Coding Groots</t>
  </si>
  <si>
    <t>SEO session with Colin Gibbons</t>
  </si>
  <si>
    <t>The Great Data Debate (NAB India</t>
  </si>
  <si>
    <t>Once Deshraj will release the breakout area , book for Parul</t>
  </si>
  <si>
    <t>AU Visitors 1</t>
  </si>
  <si>
    <t>Coke(2), Water bottle, sanitizer and tissue box - check in the meeting rooms timely</t>
  </si>
  <si>
    <t>Data as Electricity Challenge</t>
  </si>
  <si>
    <t>EVENT OPERATIONS TRACKER • SEP'25- DOWNTOWN-3</t>
  </si>
  <si>
    <t>9/1/2025 to 15th Sep</t>
  </si>
  <si>
    <t>FCO Training</t>
  </si>
  <si>
    <t>2025-02-05 00:00:00</t>
  </si>
  <si>
    <t>2025-07-23 00:00:00</t>
  </si>
  <si>
    <t>Confirmed by Parul,</t>
  </si>
  <si>
    <t>Parul/ Soamya</t>
  </si>
  <si>
    <t>2025-07-18 00:00:00</t>
  </si>
  <si>
    <t>Parul got agreed on that</t>
  </si>
  <si>
    <t>27-Wed-25</t>
  </si>
  <si>
    <t>Global &amp; T&amp;EO Townhall</t>
  </si>
  <si>
    <t>2025-06-17 00:00:00</t>
  </si>
  <si>
    <t>19-Auig-25</t>
  </si>
  <si>
    <t>Confirmed by Kesha - No Induction</t>
  </si>
  <si>
    <t>FCT( Fincrime technology)</t>
  </si>
  <si>
    <t>2025-08-07 00:00:00</t>
  </si>
  <si>
    <t>theate style</t>
  </si>
  <si>
    <t>“The Great Data Debate</t>
  </si>
  <si>
    <t>2025-08-20 00:00:00</t>
  </si>
  <si>
    <t>Enterprise Data All Hands</t>
  </si>
  <si>
    <t>nfosys Formula E Experience - Data AI Month Set up</t>
  </si>
  <si>
    <t>There is a set up and done by the external vendor</t>
  </si>
  <si>
    <t>Zone A,B, C and Breakout Area</t>
  </si>
  <si>
    <t>Coaching for Success graduation ceremony</t>
  </si>
  <si>
    <t>2025-08-22 00:00:00</t>
  </si>
  <si>
    <t>CDDS Townhall</t>
  </si>
  <si>
    <t>2025-08-18 00:00:00</t>
  </si>
  <si>
    <t>Personal Conflict of Interest Session</t>
  </si>
  <si>
    <t>Sameer Dutta- DCO</t>
  </si>
  <si>
    <t>2025-08-25 00:00:00</t>
  </si>
  <si>
    <t>Theater style - Amit will confirm</t>
  </si>
  <si>
    <t>Tech- Team Connect</t>
  </si>
  <si>
    <t>2025-08-28 00:00:00</t>
  </si>
  <si>
    <t>Theater Style - Check with Deshraj</t>
  </si>
  <si>
    <t>Yukti</t>
  </si>
  <si>
    <t>9-9-205</t>
  </si>
  <si>
    <t>Yukti will confirm</t>
  </si>
  <si>
    <t>Checking with Sadhvi</t>
  </si>
  <si>
    <t>DCO Quarterly Townhall</t>
  </si>
  <si>
    <t>Monika wil change the timings and will share the count very shortly</t>
  </si>
  <si>
    <t>Check in the meeting room, coke, water bottle, Sanitizer and Tissue Box</t>
  </si>
  <si>
    <t>Check the new joiners count</t>
  </si>
  <si>
    <t>Desk no -414</t>
  </si>
  <si>
    <t>2025-09-13 00:00:00</t>
  </si>
  <si>
    <t>4 water bottles and replenish the water bottles</t>
  </si>
  <si>
    <t>Potluck Lunch-</t>
  </si>
  <si>
    <t>Arrange the crockery in advance for 60 pax, place the table for the lunch &amp; tissue paper</t>
  </si>
  <si>
    <t>Perosnal Everyday Banking Hackathon</t>
  </si>
  <si>
    <t>Theater style- Tentatively booking</t>
  </si>
  <si>
    <t>Tech Grads Session- Kirsten Lange &amp; Melissa Hunter</t>
  </si>
  <si>
    <t>Rupika will check with the Parul Wadhera</t>
  </si>
  <si>
    <t>AWT Graduation Ceremony</t>
  </si>
  <si>
    <t>2025-09-02 00:00:00</t>
  </si>
  <si>
    <t>Tea, Coffee, Cookies, Cup Cakes</t>
  </si>
  <si>
    <t>arrange the tea, coffee, cookies, lunch for 32 pax and Arrange Biryani 12:15 pm</t>
  </si>
  <si>
    <t>Fraud Operations Townhall</t>
  </si>
  <si>
    <t>arrange the tea, coffee, cookies, lunch for 32 pax and arrange Pizza by 12 :15 pm</t>
  </si>
  <si>
    <t>FY25 Q4 CIO CET All Hands- Customer Enabling Technology</t>
  </si>
  <si>
    <t>Grads Session</t>
  </si>
  <si>
    <t>05:40 PM</t>
  </si>
  <si>
    <t>CF Releases | Lending Services- Team Connect</t>
  </si>
  <si>
    <t>2025-09-15 00:00:00</t>
  </si>
  <si>
    <t>Theater Style - Place the two tables for the snacks</t>
  </si>
  <si>
    <t>PEB</t>
  </si>
  <si>
    <t>Snacks has been arranged from Cookhouse . snacks to be arranged by 8 am</t>
  </si>
  <si>
    <t>Sadhvi/Vikas A Arora</t>
  </si>
  <si>
    <t>2025-09-08 00:00:00</t>
  </si>
  <si>
    <t>Thater style</t>
  </si>
  <si>
    <t>Excel based classroom Training</t>
  </si>
  <si>
    <t>Clasrrom Type sitting (tables with chair )- the number of pax is not confirmed</t>
  </si>
  <si>
    <t>A, B and C zone</t>
  </si>
  <si>
    <t>Confirmed for 20th Sep and arrnaged teh lunch and snacks for them and share the meeting room list with CBRE team</t>
  </si>
  <si>
    <t>Townhall of PEB and Marketing/Loyalty</t>
  </si>
  <si>
    <t>Vikas A Arora</t>
  </si>
  <si>
    <t>2025-09-19 00:00:00</t>
  </si>
  <si>
    <t>DCO Global Townhall</t>
  </si>
  <si>
    <t>Alok Choudhary/ Yukti Bhardwaj</t>
  </si>
  <si>
    <t>Theater STyle - Check with Priyanka about the timings</t>
  </si>
  <si>
    <t>cluster sitting</t>
  </si>
  <si>
    <t>Session with JD</t>
  </si>
  <si>
    <t>NICI QE &amp; TDE Team All Hands</t>
  </si>
  <si>
    <t>MR-E-501</t>
  </si>
  <si>
    <t>Sadhi</t>
  </si>
  <si>
    <t>Arrange coke, water bottles, Perrier, sanitizer and Tissue box)</t>
  </si>
  <si>
    <t>Market Team Connect</t>
  </si>
  <si>
    <t>Fin Tech</t>
  </si>
  <si>
    <t>Priyanka Malik/ Yogesh</t>
  </si>
  <si>
    <t>2025-08-19 00:00:00</t>
  </si>
  <si>
    <t>Yogesh will confirm on 20th Aug'25</t>
  </si>
  <si>
    <t>2025-08-27 00:00:00</t>
  </si>
  <si>
    <t>CFS Gradutaion Ceremony</t>
  </si>
  <si>
    <t>MR-103</t>
  </si>
  <si>
    <t>Au Visitor</t>
  </si>
  <si>
    <t>Water bottles</t>
  </si>
  <si>
    <t>2025-09-23 00:00:00</t>
  </si>
  <si>
    <t>Theater style- remove the table tennis and place the tables for the snacks- arrange the trolley in advance for snacks movement</t>
  </si>
  <si>
    <t>Cafeteria only</t>
  </si>
  <si>
    <t>DCO &amp; CF Quarterly Event</t>
  </si>
  <si>
    <t>Theater style in the cafeteria</t>
  </si>
  <si>
    <t>Zone C, D &amp; E</t>
  </si>
  <si>
    <t>Caferteria+Breakout Area</t>
  </si>
  <si>
    <t>2025-09-28 00:00:00</t>
  </si>
  <si>
    <t>2025-09-25 00:00:00</t>
  </si>
  <si>
    <t>Theater style- snacks arrangement will be confirmed by Shikha - rquire tea and coffee for 40 pax</t>
  </si>
  <si>
    <t>EVENT OPERATIONS TRACKER • DOWNTOWN-4 SEP'25</t>
  </si>
  <si>
    <t>Hackable Room</t>
  </si>
  <si>
    <t>SLT visit - Enterprise</t>
  </si>
  <si>
    <t>30</t>
  </si>
  <si>
    <t>Aradhana Shourie</t>
  </si>
  <si>
    <t>2025-09-22 00:00:00</t>
  </si>
  <si>
    <t>Townhall - NAB-Assist</t>
  </si>
  <si>
    <t>150</t>
  </si>
  <si>
    <t>Rahul Kumar</t>
  </si>
  <si>
    <t>15th Sep'25</t>
  </si>
  <si>
    <t>Dandiya Dance</t>
  </si>
  <si>
    <t>Monthly Connect</t>
  </si>
  <si>
    <t>17th Sep'25</t>
  </si>
  <si>
    <t>CFS Graduaton</t>
  </si>
  <si>
    <t>16th Sep'25</t>
  </si>
  <si>
    <t>Move to Downtown-3 Cafeteria</t>
  </si>
  <si>
    <t>Cafetria</t>
  </si>
  <si>
    <t>SLT Visits -OPs</t>
  </si>
  <si>
    <t>100</t>
  </si>
  <si>
    <t>Zone E - Breakout</t>
  </si>
  <si>
    <t>2025-09-26 00:00:00</t>
  </si>
  <si>
    <t>FCO India</t>
  </si>
  <si>
    <t>25</t>
  </si>
  <si>
    <t>2025-09-11 00:00:00</t>
  </si>
  <si>
    <t>EVENT OPERATIONS TRACKER • OCT'25</t>
  </si>
  <si>
    <t>BP&amp;D CIO Town Hall</t>
  </si>
  <si>
    <t>60</t>
  </si>
  <si>
    <t>12:00:00</t>
  </si>
  <si>
    <t>2025-09-16 00:00:00</t>
  </si>
  <si>
    <t>DT-4</t>
  </si>
  <si>
    <t xml:space="preserve">FCO India </t>
  </si>
  <si>
    <t>17:00:00</t>
  </si>
  <si>
    <t>JLL - R &amp; R</t>
  </si>
  <si>
    <t>16:30:00</t>
  </si>
  <si>
    <t>Theater style place two rectangluar tables for the gifst and for the snacks</t>
  </si>
  <si>
    <t xml:space="preserve">Induction </t>
  </si>
  <si>
    <t>D.401</t>
  </si>
  <si>
    <t xml:space="preserve">AU Visitor </t>
  </si>
  <si>
    <t>1</t>
  </si>
  <si>
    <t>2025-09-30 00:00:00</t>
  </si>
  <si>
    <t>Arrange water bottles, tissue box and sainitizer and check in the meeting rooms timely by 7:50 am</t>
  </si>
  <si>
    <t>5.D.405</t>
  </si>
  <si>
    <t>55</t>
  </si>
  <si>
    <t>2025-09-17 00:00:00</t>
  </si>
  <si>
    <t>Theater style, numbers would be changed</t>
  </si>
  <si>
    <t>DT3-GGN-3.F.601-8P</t>
  </si>
  <si>
    <t>Steve Day- AU Visitor CTO Enterprise Technology</t>
  </si>
  <si>
    <t>2025-09-29 00:00:00</t>
  </si>
  <si>
    <t>Sprinkler water, coke, water bottles, sanitizer and Tissu Box, Pentonic Pen and Note pad and check in by 6:50 am</t>
  </si>
  <si>
    <t>Steve's Visit</t>
  </si>
  <si>
    <t>Sprinkler water, coke, water bottles, sanitizer and Tissu Box, and check in by 6:50 am</t>
  </si>
  <si>
    <t>Townhall with Senior Exec - Business &amp; Private Banking (B&amp;PB)</t>
  </si>
  <si>
    <t>11:30:00</t>
  </si>
  <si>
    <t>Theater Style - Cafeteria updates send to Latika</t>
  </si>
  <si>
    <t>Smart Byte</t>
  </si>
  <si>
    <t>40</t>
  </si>
  <si>
    <t>16:00:00</t>
  </si>
  <si>
    <t>DT4</t>
  </si>
  <si>
    <t xml:space="preserve">Lunch for  Senior Leadership Visit </t>
  </si>
  <si>
    <t>12</t>
  </si>
  <si>
    <t>13:00:00</t>
  </si>
  <si>
    <t>2025-10-03 00:00:00</t>
  </si>
  <si>
    <t>Board room Type set up and arrange the cutlery and Tissues</t>
  </si>
  <si>
    <t>17</t>
  </si>
  <si>
    <t>HOFS internal training session.</t>
  </si>
  <si>
    <t>2025-10-01 00:00:00</t>
  </si>
  <si>
    <t>participants will be shared by Ratinder and set up will be theater style</t>
  </si>
  <si>
    <t xml:space="preserve">Team Meeting </t>
  </si>
  <si>
    <t xml:space="preserve">DCO Monthly Meet </t>
  </si>
  <si>
    <t>20</t>
  </si>
  <si>
    <t>Priyanka Arora</t>
  </si>
  <si>
    <t>Cafteria +Breakout Area</t>
  </si>
  <si>
    <t xml:space="preserve">AWS session- Cyber Month - Opening cerermony </t>
  </si>
  <si>
    <t>ET Graduates with Steve Day</t>
  </si>
  <si>
    <t>14:30:00</t>
  </si>
  <si>
    <t>Kirti Kapoor</t>
  </si>
  <si>
    <t>Sprinkler water, coke, water bottles, sanitizer and Tissu Box</t>
  </si>
  <si>
    <t>CNCP/Network Townhall</t>
  </si>
  <si>
    <t>09:30:00</t>
  </si>
  <si>
    <t>2025-10-08 00:00:00</t>
  </si>
  <si>
    <t xml:space="preserve">Table Tennis side - Stalls - CSR Activity </t>
  </si>
  <si>
    <t>Walkin</t>
  </si>
  <si>
    <t>Umang</t>
  </si>
  <si>
    <t>remove Table tennis and place 3 tables</t>
  </si>
  <si>
    <t xml:space="preserve">Opp to Help Desk </t>
  </si>
  <si>
    <t>where the seucrity teams sit, require 3 tables for the set up - Prem will share the location</t>
  </si>
  <si>
    <t xml:space="preserve">Group Security Connect </t>
  </si>
  <si>
    <t>15-20 Chairs lined up near walls and 2 tables in the middle (rectangular)</t>
  </si>
  <si>
    <t>Zone C,D and E, Breakout area and MR-305 and 306</t>
  </si>
  <si>
    <t xml:space="preserve">Hiring Drive </t>
  </si>
  <si>
    <t>5:00pm</t>
  </si>
  <si>
    <t>2025-09-06 00:00:00</t>
  </si>
  <si>
    <t>REquire power extension on MR-305 and 306 and breakout area</t>
  </si>
  <si>
    <t>42</t>
  </si>
  <si>
    <t>EDT (Enterprise Data Technology All hands)</t>
  </si>
  <si>
    <t>Ruchi/Sadhvi</t>
  </si>
  <si>
    <t xml:space="preserve">R &amp; R - Lending Services </t>
  </si>
  <si>
    <t>01:30 AM</t>
  </si>
  <si>
    <t>15:00:00</t>
  </si>
  <si>
    <t>Theater style, participants numbers are pending</t>
  </si>
  <si>
    <t xml:space="preserve">Pot Luck- Finance </t>
  </si>
  <si>
    <t>Neha Tuli</t>
  </si>
  <si>
    <t>2025-10-09 00:00:00</t>
  </si>
  <si>
    <t>arrange the cutlery for 30 pax, tissue and place 4 tables for the potluck lunch</t>
  </si>
  <si>
    <t xml:space="preserve">Posh Training - Graduates </t>
  </si>
  <si>
    <t>2025-10-06 00:00:00</t>
  </si>
  <si>
    <t xml:space="preserve">R &amp; R - Tech and operations </t>
  </si>
  <si>
    <t>80</t>
  </si>
  <si>
    <t>Theater style and Tech Team will be placing the Neat Board</t>
  </si>
  <si>
    <t xml:space="preserve">Ask me Anything </t>
  </si>
  <si>
    <t>Chinmoyee</t>
  </si>
  <si>
    <t>Two tables and 4 chairs for the event- Half breakout area will be using for the event,</t>
  </si>
  <si>
    <t>2025-07-04 00:00:00</t>
  </si>
  <si>
    <t>remove the divider and with no seatings arrangements, need to share the details of the materials and along with the vendor</t>
  </si>
  <si>
    <t>ALT</t>
  </si>
  <si>
    <t xml:space="preserve">People Leader Essential </t>
  </si>
  <si>
    <t>Breakout Area - E zone</t>
  </si>
  <si>
    <t>Mike Allen townhall</t>
  </si>
  <si>
    <t>Theater style - Checking with her if she is okay to use the Zone E Breakout Area</t>
  </si>
  <si>
    <t xml:space="preserve">Food stalls </t>
  </si>
  <si>
    <t>2:00pm</t>
  </si>
  <si>
    <t>Food stallls</t>
  </si>
  <si>
    <t>C&amp;IB Lending Operations 3</t>
  </si>
  <si>
    <t>Yet to confirm</t>
  </si>
  <si>
    <t xml:space="preserve">Diwali Celebration- DCO and CF </t>
  </si>
  <si>
    <t xml:space="preserve">Communication with Impact </t>
  </si>
  <si>
    <t xml:space="preserve">FCO Traning </t>
  </si>
  <si>
    <t>2025-10-14 00:00:00</t>
  </si>
  <si>
    <t>Team lunch and Engagement-Diwali celebration</t>
  </si>
  <si>
    <t>45</t>
  </si>
  <si>
    <t>2025-10-15 00:00:00</t>
  </si>
  <si>
    <t xml:space="preserve">Codility </t>
  </si>
  <si>
    <t xml:space="preserve">Transformation </t>
  </si>
  <si>
    <t>35</t>
  </si>
  <si>
    <t>12:30:00</t>
  </si>
  <si>
    <t>Vibhor Budhiraja</t>
  </si>
  <si>
    <t>Breakout Area- E Zone</t>
  </si>
  <si>
    <t>ST&amp;BD Team-  organising Diwali celebration</t>
  </si>
  <si>
    <t>12:15:00</t>
  </si>
  <si>
    <t>Confirmed by Deshraj</t>
  </si>
  <si>
    <t>Classroom Set up - Parul will check with Deshraj for the breakout area</t>
  </si>
  <si>
    <t xml:space="preserve">Inductin - Onboarding </t>
  </si>
  <si>
    <t>final numbers will receive on Wednesday accrodinlgy will do set up</t>
  </si>
  <si>
    <t>Cafteria - Screen side</t>
  </si>
  <si>
    <t>NAB ‘India Rising – Innovation, Inclusion &amp; Global Growth’event with external &amp; visitors from AU.</t>
  </si>
  <si>
    <t>Rangoli made by Santosh- set up would be theater style</t>
  </si>
  <si>
    <t>10:30:00</t>
  </si>
  <si>
    <t xml:space="preserve">Culture Immersion </t>
  </si>
  <si>
    <t>15:30:00</t>
  </si>
  <si>
    <t>DT-4`</t>
  </si>
  <si>
    <t xml:space="preserve">Team connect with Offshore visitors </t>
  </si>
  <si>
    <t>22</t>
  </si>
  <si>
    <t>2025-10-23 00:00:00</t>
  </si>
  <si>
    <t>5.D.401</t>
  </si>
  <si>
    <t>Arrange the water bottles, sanitizer &amp; tissue Box</t>
  </si>
  <si>
    <t xml:space="preserve">Team Connect </t>
  </si>
  <si>
    <t>2025-10-22 00:00:00</t>
  </si>
  <si>
    <t>Theater style- participants details are pending</t>
  </si>
  <si>
    <t xml:space="preserve">R AND R- Gaurav Saxena </t>
  </si>
  <si>
    <t>Shubhra Mittal</t>
  </si>
  <si>
    <t>2025-03-10 00:00:00</t>
  </si>
  <si>
    <t xml:space="preserve">Lunch arrangements </t>
  </si>
  <si>
    <t>Ashu Saphiya</t>
  </si>
  <si>
    <t>27-10/27/2025</t>
  </si>
  <si>
    <t>Arrangments of 17 pax set up, arrange the cultery in advance along with the Tissue Box</t>
  </si>
  <si>
    <t>10:00:00</t>
  </si>
  <si>
    <t xml:space="preserve">Team connect </t>
  </si>
  <si>
    <t>11:45:00</t>
  </si>
  <si>
    <t>DT4 Steer Co.</t>
  </si>
  <si>
    <t>Mary/Anoop</t>
  </si>
  <si>
    <t>2025-10-13 00:00:00</t>
  </si>
  <si>
    <t>Check in the meeting room and board room type set up of 12 pax</t>
  </si>
  <si>
    <t xml:space="preserve">Finance Townhall </t>
  </si>
  <si>
    <t>2025-09-24 00:00:00</t>
  </si>
  <si>
    <t>11:00:00</t>
  </si>
  <si>
    <t>2025-10-16 00:00:00</t>
  </si>
  <si>
    <t>Akash Agarwal</t>
  </si>
  <si>
    <t>arrange the cutlery in advance</t>
  </si>
  <si>
    <t xml:space="preserve">XLT meeting </t>
  </si>
  <si>
    <t>Shikha oberoi</t>
  </si>
  <si>
    <t>2025-10-28 00:00:00</t>
  </si>
  <si>
    <t xml:space="preserve">Banking and Perosnal Baking </t>
  </si>
  <si>
    <t>65</t>
  </si>
  <si>
    <t>21-OC-25</t>
  </si>
  <si>
    <t xml:space="preserve"> Cyber Month - Closing Event </t>
  </si>
  <si>
    <t>2025-08-11 00:00:00</t>
  </si>
  <si>
    <t xml:space="preserve">CF and DCO townhall </t>
  </si>
  <si>
    <t>Theater style +Two leather green chair and round table with water bottles</t>
  </si>
  <si>
    <t>ToastMasters Club at NAB India</t>
  </si>
  <si>
    <t>2025-10-27 00:00:00</t>
  </si>
  <si>
    <t>EVENT OPERATIONS TRACKER • NOV'25</t>
  </si>
  <si>
    <t>Transition Process Training</t>
  </si>
  <si>
    <t>15</t>
  </si>
  <si>
    <t>Varun Arora</t>
  </si>
  <si>
    <t>Theater style - classroom set up with power extension in each table+white board and require duster and Markers as well</t>
  </si>
  <si>
    <t>D-401</t>
  </si>
  <si>
    <t xml:space="preserve">AU Visitors </t>
  </si>
  <si>
    <t>Beverges</t>
  </si>
  <si>
    <t>Checkin meeting room by 7:50 am and arrange water bottles, tissue box and sanitizer</t>
  </si>
  <si>
    <t>D-405</t>
  </si>
  <si>
    <t>Zone E (Breakout Area)</t>
  </si>
  <si>
    <t xml:space="preserve">OPS </t>
  </si>
  <si>
    <t>16:45:00</t>
  </si>
  <si>
    <t xml:space="preserve">AI Workshop </t>
  </si>
  <si>
    <t>17:30:00</t>
  </si>
  <si>
    <t>2025-10-30 00:00:00</t>
  </si>
  <si>
    <t>War Room Style - Rupika will confirm * Tea serve at 9:30 am in Social Hub-1 for 18 pax and arrrnage the tea cake, Lunch by 12 pm arrange the cutlery and arrange tea by 3:30 pm along with the tea cakes</t>
  </si>
  <si>
    <t>5.D. 411</t>
  </si>
  <si>
    <t>2</t>
  </si>
  <si>
    <t>2025-10-31 00:00:00</t>
  </si>
  <si>
    <t>Check in by 7:50 am, Arrnage water bottles, sanitizer and tissue box and replenish the water bottles before getting over</t>
  </si>
  <si>
    <t>3.B.203</t>
  </si>
  <si>
    <t>3.B.201</t>
  </si>
  <si>
    <t>Board Room (MR-104)</t>
  </si>
  <si>
    <t xml:space="preserve">Meeting with Neeraj </t>
  </si>
  <si>
    <t>Check in by 10:30 am and arrnage the water bottles, sanitizer &amp; tissue boxes and keep one table at the side for the water bottles, cutlery in advance and diet coke for the lunch</t>
  </si>
  <si>
    <t>Snacks from Pihu</t>
  </si>
  <si>
    <t>2810/28/2025</t>
  </si>
  <si>
    <t xml:space="preserve">Domestic Payment Townhall </t>
  </si>
  <si>
    <t>Sachin Srivastava</t>
  </si>
  <si>
    <t>Theater style - confirmed</t>
  </si>
  <si>
    <t>2025-10-21 00:00:00</t>
  </si>
  <si>
    <t>Theater style - classroom set up with power extension in each table</t>
  </si>
  <si>
    <t xml:space="preserve">Business &amp; Private Banking- On going training </t>
  </si>
  <si>
    <t>24</t>
  </si>
  <si>
    <t>Allwin Rozario</t>
  </si>
  <si>
    <t>15:45:00</t>
  </si>
  <si>
    <t xml:space="preserve">Townhall </t>
  </si>
  <si>
    <t>Vidya</t>
  </si>
  <si>
    <t>Discussion is going on with the Cook house, he will share the quotaiton, place the snacks in the bain Marie- set up would be te</t>
  </si>
  <si>
    <t>5.E.510</t>
  </si>
  <si>
    <t>Water Bottles, tissue box and sanitizer</t>
  </si>
  <si>
    <t>5.E.508</t>
  </si>
  <si>
    <t>5.E. 507</t>
  </si>
  <si>
    <t>3</t>
  </si>
  <si>
    <t>5.C.305</t>
  </si>
  <si>
    <t xml:space="preserve">Meeing with Seniors </t>
  </si>
  <si>
    <t>Water Bottles, tissue box and sanitizer, coke place on the table and place the round table at the corner for extra water bottles</t>
  </si>
  <si>
    <t>War Room Style - Rupika will confirm * Tea serve at 9:30 am in Social Hub-1 for 18 pax and arrrnage the tea cake, Lunch by 12 pm require the cutlery in advance and tea by 3:30 pm along with the tea cakes</t>
  </si>
  <si>
    <t>MR-305 and MR306</t>
  </si>
  <si>
    <t>Shikha Saxena/Shikha Oberoi</t>
  </si>
  <si>
    <t>Check in the meeting room by 1:00 pm and set up like cluster - set up will confirm by Shikha Saxena</t>
  </si>
  <si>
    <t xml:space="preserve">All staff meeting- OPS </t>
  </si>
  <si>
    <t>14:00:00</t>
  </si>
  <si>
    <t>2025-10-29 00:00:00</t>
  </si>
  <si>
    <t xml:space="preserve">Culture immersion </t>
  </si>
  <si>
    <t>Theater set up - Checking with Deshraj to move in Mr-305 and 306</t>
  </si>
  <si>
    <t>Fraud Ops Town Hall Q1FY26 -</t>
  </si>
  <si>
    <t>Theater style- Neelu wil confirm the no of participants</t>
  </si>
  <si>
    <t>2025-11-04 00:00:00</t>
  </si>
  <si>
    <t>Require water bottles, sanitizer and Tissue box from 10th Nov to 12 th nov ,Check in meeting room timely</t>
  </si>
  <si>
    <t xml:space="preserve">Smart Bytes </t>
  </si>
  <si>
    <t xml:space="preserve">Emailing etiqutte </t>
  </si>
  <si>
    <t>1:00pm</t>
  </si>
  <si>
    <t>Add extra chairs - 20 pax cannot accomodate try to place at least 7-8 extra chairs</t>
  </si>
  <si>
    <t>(C&amp;IB) townhall</t>
  </si>
  <si>
    <t>Siddharth Rahoja</t>
  </si>
  <si>
    <t>* Theater style- arrange the tea and veg grilled sandwich has been placed from Pihu foods, it should be place by 10:30 am in the breakout area</t>
  </si>
  <si>
    <t>Group Security Town Hall</t>
  </si>
  <si>
    <t>Townhall (Statutory Compliance &amp; Common Reporting Standards)</t>
  </si>
  <si>
    <t>10:45:00</t>
  </si>
  <si>
    <t>Dushyant</t>
  </si>
  <si>
    <t>Need to check with him to change the timings</t>
  </si>
  <si>
    <t>PLE Module 1</t>
  </si>
  <si>
    <t>28</t>
  </si>
  <si>
    <t>Clsuter set up of 24+ add 4 chairs</t>
  </si>
  <si>
    <t xml:space="preserve">Global T&amp;EO Townhall </t>
  </si>
  <si>
    <t xml:space="preserve">Skip Level Meeting by Jayanthi </t>
  </si>
  <si>
    <t>Theater style - Checking with the Jayanthi for tea arrangements and the timings</t>
  </si>
  <si>
    <t>Connect with Jay</t>
  </si>
  <si>
    <t>70</t>
  </si>
  <si>
    <t>2025-11-11 00:00:00</t>
  </si>
  <si>
    <t xml:space="preserve">On Boarding- Documents </t>
  </si>
  <si>
    <t>2025-11-12 00:00:00</t>
  </si>
  <si>
    <t>Cluster set up of 12 pax</t>
  </si>
  <si>
    <t xml:space="preserve">Risk </t>
  </si>
  <si>
    <t>TBC checked with Deshraj</t>
  </si>
  <si>
    <t>Banking month</t>
  </si>
  <si>
    <t>Confirmed with theater style</t>
  </si>
  <si>
    <t>Confirmed by Saurabh - Theater style</t>
  </si>
  <si>
    <t xml:space="preserve">Fire side chat - Dispute </t>
  </si>
  <si>
    <t>Rajesh Yadav</t>
  </si>
  <si>
    <t>2025-11-13 00:00:00</t>
  </si>
  <si>
    <t>D.404</t>
  </si>
  <si>
    <t xml:space="preserve">Australian Visitor </t>
  </si>
  <si>
    <t>Shikha Saxena / Shruti Mahant</t>
  </si>
  <si>
    <t>Arrange water bottle, sanitizer and tissue box</t>
  </si>
  <si>
    <t>2025-11-06 00:00:00</t>
  </si>
  <si>
    <t>Deails will be added soon</t>
  </si>
  <si>
    <t>F.606</t>
  </si>
  <si>
    <t>2025-11-10 00:00:00</t>
  </si>
  <si>
    <t>booking of leila from 17th Nov to 20th Nov'25Arrange water bottles, sanitizer and tissue box</t>
  </si>
  <si>
    <t>Private Wealth and Investment Platforms</t>
  </si>
  <si>
    <t>MR-D-5-409</t>
  </si>
  <si>
    <t>Place water bottles, sanitizer and tissue box</t>
  </si>
  <si>
    <t>MR-5-410</t>
  </si>
  <si>
    <t>Zone E Brekaout ARea</t>
  </si>
  <si>
    <t xml:space="preserve">Customer Data Refresh /IDV Connect with Leila </t>
  </si>
  <si>
    <t>01:50 PM</t>
  </si>
  <si>
    <t>Vikas K (External)</t>
  </si>
  <si>
    <t>Confirmt the pariticipants</t>
  </si>
  <si>
    <t>F-606</t>
  </si>
  <si>
    <t>Place water bottles, coke, sanitizer and tissue box</t>
  </si>
  <si>
    <t xml:space="preserve">BoC Masterclass </t>
  </si>
  <si>
    <t>Rupika Nagpal /Jaspreet Kaur</t>
  </si>
  <si>
    <t>DT4 – 4. F .609</t>
  </si>
  <si>
    <t>2025-11-14 00:00:00</t>
  </si>
  <si>
    <t>Please check in Arrange water bottle, sanitizer and tissue box</t>
  </si>
  <si>
    <t xml:space="preserve">DCO and CF Event </t>
  </si>
  <si>
    <t>Shagun Agg.</t>
  </si>
  <si>
    <t xml:space="preserve">E-Com with Peter </t>
  </si>
  <si>
    <t>Cluster seating, two whtite board arrange the cookies for the morning and evening, Tea and coffee, lunch and two white boards</t>
  </si>
  <si>
    <t>Quarterly All-Hands</t>
  </si>
  <si>
    <t>No of participants will be confirmed</t>
  </si>
  <si>
    <t xml:space="preserve">PEB Fireside chat </t>
  </si>
  <si>
    <t>Jaspreet Kaur/ Rupika</t>
  </si>
  <si>
    <t>Theatet style - 4 high chairs</t>
  </si>
  <si>
    <t>5;00 pm</t>
  </si>
  <si>
    <t>Clsuter set up</t>
  </si>
  <si>
    <t>Firse side chat with Natalie</t>
  </si>
  <si>
    <t>2025-11-07 00:00:00</t>
  </si>
  <si>
    <t>Theater style - arrange water bottles (4) +Tissue Box</t>
  </si>
  <si>
    <t xml:space="preserve">Meeting with Team </t>
  </si>
  <si>
    <t>Aditya Mishra</t>
  </si>
  <si>
    <t>Cluster set up of 24 pax</t>
  </si>
  <si>
    <t>New Joiners Document process</t>
  </si>
  <si>
    <t>CDR Connect</t>
  </si>
  <si>
    <t>2025-11-05 00:00:00</t>
  </si>
  <si>
    <t>Theater style - Booking is confirmed</t>
  </si>
  <si>
    <t>Cafeeria</t>
  </si>
  <si>
    <t xml:space="preserve">Firse Mock drill </t>
  </si>
  <si>
    <t>2025-11-18 00:00:00</t>
  </si>
  <si>
    <t xml:space="preserve">Manoj's Farewell </t>
  </si>
  <si>
    <t>15:15:00</t>
  </si>
  <si>
    <t xml:space="preserve">Communicating with Impact </t>
  </si>
  <si>
    <t>Deshraj will confirm</t>
  </si>
  <si>
    <t xml:space="preserve">Neat Movement to Zone E breakout area </t>
  </si>
  <si>
    <t>Please speak to Tech Team from where they willl move the neat board, require the support of Houskeeeping boys</t>
  </si>
  <si>
    <t>Rajvinder Kaur</t>
  </si>
  <si>
    <t>Details witll be added soon</t>
  </si>
  <si>
    <t>CIBO townhall.</t>
  </si>
  <si>
    <t xml:space="preserve">Tech Meeting </t>
  </si>
  <si>
    <t>2025-11-21 00:00:00</t>
  </si>
  <si>
    <t>theater style only- no tables require</t>
  </si>
  <si>
    <t>3. C .303</t>
  </si>
  <si>
    <t>Check in meeting room timely - water bottles, coke, diet coke, Sanitizer &amp; tissue box</t>
  </si>
  <si>
    <t>D.401-8P</t>
  </si>
  <si>
    <t xml:space="preserve">Team Lunch for Executives </t>
  </si>
  <si>
    <t>13:30:00</t>
  </si>
  <si>
    <t>Arrange the cutlery tissue box and one support staff</t>
  </si>
  <si>
    <t>Shikha Saxena / Prerana Pal kaur</t>
  </si>
  <si>
    <t>2025-10-17 00:00:00</t>
  </si>
  <si>
    <t>Theater Style-Snacks arrnaged by them need to place at the opposite to the set up, require one staff on both sides for snacks</t>
  </si>
  <si>
    <t>Theater style require extensions in each table - Checking with Allwin as its booked from 9 am to 10 am for the Shikha Saxena Tonwhall</t>
  </si>
  <si>
    <t xml:space="preserve">NAB India tech on boarding </t>
  </si>
  <si>
    <t>AU townhall</t>
  </si>
  <si>
    <t>Hardik Kumar</t>
  </si>
  <si>
    <t>Zone E Breakout Area- 4th Floor</t>
  </si>
  <si>
    <t>Theater style require extensions in each table</t>
  </si>
  <si>
    <t>DT-4 (5th Floor)</t>
  </si>
  <si>
    <t>18-N0v-25</t>
  </si>
  <si>
    <t>Checkin meeting room, Water Bottle, Sanitizer and Tissue Box, check the power points, light etc</t>
  </si>
  <si>
    <t>MR-307</t>
  </si>
  <si>
    <t>DT-4 (4th Floor)</t>
  </si>
  <si>
    <t>DT4 – 4. D. 401</t>
  </si>
  <si>
    <t>2025-11-19 00:00:00</t>
  </si>
  <si>
    <t>DT4 – 4. C. 302</t>
  </si>
  <si>
    <t>1th Nov'25</t>
  </si>
  <si>
    <t>Classroom set up with power extensions in each table</t>
  </si>
  <si>
    <t xml:space="preserve">SLT from Australia- Lunch </t>
  </si>
  <si>
    <t>Arrnage the cutlery, place the tables at the corner for the pizzas and coke cans, tissues</t>
  </si>
  <si>
    <t xml:space="preserve">Legal meeting </t>
  </si>
  <si>
    <t>Namita Sharma</t>
  </si>
  <si>
    <t xml:space="preserve">Third Party Assurance </t>
  </si>
  <si>
    <t>Arrange the cutlery, tissue box and tables</t>
  </si>
  <si>
    <t>NAB India Whistleblower Champions meeting with Andrew Sealey</t>
  </si>
  <si>
    <t>Archit Mathur</t>
  </si>
  <si>
    <t>he wil confirm the number of pax two days before along with the set up</t>
  </si>
  <si>
    <t>5:00PM</t>
  </si>
  <si>
    <t>2710/27/2025</t>
  </si>
  <si>
    <t>2025-11-23 00:00:00</t>
  </si>
  <si>
    <t>2025-11-24 00:00:00</t>
  </si>
  <si>
    <t xml:space="preserve">Board Vists </t>
  </si>
  <si>
    <t>Theater style keep round table with few water bottles along with the tissue box</t>
  </si>
  <si>
    <t>Ravi (Board of Director)</t>
  </si>
  <si>
    <t>Checkin meeting room, Offline Signage Water Bottle, Sanitizer and Tissue Box, check the power points, light etc</t>
  </si>
  <si>
    <t>A.105-8P</t>
  </si>
  <si>
    <t>105-8P</t>
  </si>
  <si>
    <t xml:space="preserve">Tranaction monitoring townhall </t>
  </si>
  <si>
    <t>Team Connect FCO</t>
  </si>
  <si>
    <t>FCO Townhall</t>
  </si>
  <si>
    <t>Theater style - Arrnange the stage and 3 chairs for them with round table along with 4 water bottles and tissue box</t>
  </si>
  <si>
    <t>Introduction to Value investing -  By Mohith Thimmaiah.</t>
  </si>
  <si>
    <t xml:space="preserve">DCO and CF Activity </t>
  </si>
  <si>
    <t xml:space="preserve">Meeting with Darren </t>
  </si>
  <si>
    <t>Shitij/Rupika/Harjot</t>
  </si>
  <si>
    <t>2025-11-20 00:00:00</t>
  </si>
  <si>
    <t>Tea &amp; Snacks</t>
  </si>
  <si>
    <t>Hi tea and snacks, theater style</t>
  </si>
  <si>
    <t>2025-11-27 00:00:00</t>
  </si>
  <si>
    <t xml:space="preserve">C&amp;IB Townhall </t>
  </si>
  <si>
    <t>120</t>
  </si>
  <si>
    <t>NAB India FY26 Q1 Townhall</t>
  </si>
  <si>
    <t>Arrange Tea, Coffee and set up would be theater Type Sitting</t>
  </si>
  <si>
    <t>TPRM town hall</t>
  </si>
  <si>
    <t>townhall in Market</t>
  </si>
  <si>
    <t>Zone (Beakout Area)</t>
  </si>
  <si>
    <t>Beithak Samvad</t>
  </si>
  <si>
    <t>Apporva</t>
  </si>
  <si>
    <t>2025-11-25 00:00:00</t>
  </si>
  <si>
    <t xml:space="preserve">COO All hands </t>
  </si>
  <si>
    <t>EVENT OPERATIONS TRACKER • DEC25</t>
  </si>
  <si>
    <t>41</t>
  </si>
  <si>
    <t>08:00:00</t>
  </si>
  <si>
    <t>05:00:00</t>
  </si>
  <si>
    <t>MR-305 and MR-306</t>
  </si>
  <si>
    <t>34</t>
  </si>
  <si>
    <t>Training - Enterprise Services</t>
  </si>
  <si>
    <t>2025-11-26 00:00:00</t>
  </si>
  <si>
    <t>Meditation Session</t>
  </si>
  <si>
    <t>Nisrag</t>
  </si>
  <si>
    <t xml:space="preserve">4th Level </t>
  </si>
  <si>
    <t>NAB Assist townhall</t>
  </si>
  <si>
    <t>08:30:00</t>
  </si>
  <si>
    <t>CET RnR</t>
  </si>
  <si>
    <t>2025-12-01 00:00:00</t>
  </si>
  <si>
    <t>MR- 305 &amp; 306</t>
  </si>
  <si>
    <t>CIO BP&amp;D Town Hall</t>
  </si>
  <si>
    <t>P &amp; C Conversation</t>
  </si>
  <si>
    <t>ECDD Team Catch-up</t>
  </si>
  <si>
    <t>Khushoo Kaur</t>
  </si>
  <si>
    <t>2025-12-02 00:00:00</t>
  </si>
  <si>
    <t>NUW team connect</t>
  </si>
  <si>
    <t>Shikha Modi</t>
  </si>
  <si>
    <t>2025-12-03 00:00:00</t>
  </si>
  <si>
    <t>Abhishek Choudhary</t>
  </si>
  <si>
    <t>2002-11-26 00:00:00</t>
  </si>
  <si>
    <t>Team Meet- DCO</t>
  </si>
  <si>
    <t>Sonal Jain</t>
  </si>
  <si>
    <t>Hiring Drive in all Zones</t>
  </si>
  <si>
    <t>Taru jain/ Mukesh Gulati</t>
  </si>
  <si>
    <t>E Zone Breakout Level -4</t>
  </si>
  <si>
    <t>T&amp;EO COO Townhall</t>
  </si>
  <si>
    <t>35-40</t>
  </si>
  <si>
    <t>28th Oct 2025</t>
  </si>
  <si>
    <t>Induction of New JOiners</t>
  </si>
  <si>
    <t>33</t>
  </si>
  <si>
    <t>17:00 pm</t>
  </si>
  <si>
    <t>the NAB India Q1 FY26 townhall</t>
  </si>
  <si>
    <t>16:00 pm</t>
  </si>
  <si>
    <t>Prerna</t>
  </si>
  <si>
    <t>14th Nov'25</t>
  </si>
  <si>
    <t>Training of DCO</t>
  </si>
  <si>
    <t>internal training</t>
  </si>
  <si>
    <t>Gagan Khetarpal</t>
  </si>
  <si>
    <t>2025-11-17 00:00:00</t>
  </si>
  <si>
    <t xml:space="preserve">4th Floor </t>
  </si>
  <si>
    <t>Neelu/ Ruhi</t>
  </si>
  <si>
    <t>2025-11-03 00:00:00</t>
  </si>
  <si>
    <t>Fire Mock Drill</t>
  </si>
  <si>
    <t>Hitesh Kumar(Infra</t>
  </si>
  <si>
    <t>Townhall - PB</t>
  </si>
  <si>
    <t>11:15:00</t>
  </si>
  <si>
    <t>2025-12-05 00:00:00</t>
  </si>
  <si>
    <t>COO Strategy</t>
  </si>
  <si>
    <t>Nischintoo</t>
  </si>
  <si>
    <t>tec team</t>
  </si>
  <si>
    <t>Vik's All staff townhalll</t>
  </si>
  <si>
    <t>10:15:00</t>
  </si>
  <si>
    <t>08:30am</t>
  </si>
  <si>
    <t>11:30am</t>
  </si>
  <si>
    <t>2025-12-04 00:00:00</t>
  </si>
  <si>
    <t>13:45:00</t>
  </si>
  <si>
    <t>2025-12-16 00:00:00</t>
  </si>
  <si>
    <t>I&amp;D Council Event</t>
  </si>
  <si>
    <t>2025-12-09 00:00:00</t>
  </si>
  <si>
    <t>Christmas celebration.</t>
  </si>
  <si>
    <t>2025-12-15 00:00:00</t>
  </si>
  <si>
    <t>XLT Catch up - Snacks Arrangments</t>
  </si>
  <si>
    <t>Zone-E Breakout Area</t>
  </si>
  <si>
    <t> </t>
  </si>
  <si>
    <t>(ST&amp;BD Team)</t>
  </si>
  <si>
    <t>Ritesh Kumar</t>
  </si>
  <si>
    <t>AV team- updation on the screens</t>
  </si>
  <si>
    <t>Sahil Kumar (AV)</t>
  </si>
  <si>
    <t>EVENT OPERATIONS TRACKER • FEB'24</t>
  </si>
  <si>
    <t>Cafeteria Breakout Area</t>
  </si>
  <si>
    <t>Greg Townhall</t>
  </si>
  <si>
    <t>Neat Board</t>
  </si>
  <si>
    <t>21st Feb'24</t>
  </si>
  <si>
    <t>Townhall from Aus</t>
  </si>
  <si>
    <t>20th Feb'24</t>
  </si>
  <si>
    <t>Cafetereia</t>
  </si>
  <si>
    <t>Sharaddha</t>
  </si>
  <si>
    <t>Tech Rendezvous</t>
  </si>
  <si>
    <t>26th Feb'24</t>
  </si>
  <si>
    <t>EVENT OPERATIONS TRACKER • MAR'24</t>
  </si>
  <si>
    <t>Group Security Trainings - 20 pax</t>
  </si>
  <si>
    <t>28th Feb'24</t>
  </si>
  <si>
    <t>Entire Cafeteria</t>
  </si>
  <si>
    <t>PW Visit</t>
  </si>
  <si>
    <t xml:space="preserve">full day </t>
  </si>
  <si>
    <t>Full Day</t>
  </si>
  <si>
    <t>a</t>
  </si>
  <si>
    <t>International Women's Day</t>
  </si>
  <si>
    <t>Medha Garg</t>
  </si>
  <si>
    <t>Toastmasters Club Kick off</t>
  </si>
  <si>
    <t>Adettee Jain</t>
  </si>
  <si>
    <t>Group security</t>
  </si>
  <si>
    <t>Win India Launch</t>
  </si>
  <si>
    <t>13th March'24</t>
  </si>
  <si>
    <t>Social Hub (Near to P&amp; C)</t>
  </si>
  <si>
    <t>P &amp; C</t>
  </si>
  <si>
    <t>19th March'24</t>
  </si>
  <si>
    <t>Lunch arrangement for QB visits</t>
  </si>
  <si>
    <t>17th March'24</t>
  </si>
  <si>
    <t>DCET all hands</t>
  </si>
  <si>
    <t>Tec Rendezvous</t>
  </si>
  <si>
    <t>Holi Party</t>
  </si>
  <si>
    <t>COO Team</t>
  </si>
  <si>
    <t>18th March'24</t>
  </si>
  <si>
    <t>PW's Townhall</t>
  </si>
  <si>
    <t>Divya Singhal- Comms</t>
  </si>
  <si>
    <t>26th March'24</t>
  </si>
  <si>
    <t>Connect with RoB Smith - Quarter Meeting (Colleague Meet)</t>
  </si>
  <si>
    <t>Nihar Saraswat- Cyber Security - Saurabh Jain</t>
  </si>
  <si>
    <t>27th March'24</t>
  </si>
  <si>
    <t>EVENT OPERATIONS TRACKER • APR'24</t>
  </si>
  <si>
    <t>1-April'24</t>
  </si>
  <si>
    <t>Monday</t>
  </si>
  <si>
    <t>Meeting Room -305 and 306</t>
  </si>
  <si>
    <t>New Joiners Meet</t>
  </si>
  <si>
    <t>2-April'24</t>
  </si>
  <si>
    <t>Tuesday</t>
  </si>
  <si>
    <t>Meeting Room - 504</t>
  </si>
  <si>
    <t>Keep 4 bottles, Santizer, tissue Box one pen and one conference pad</t>
  </si>
  <si>
    <t>Preeti Sangwaan- Tech</t>
  </si>
  <si>
    <t>12th March'24</t>
  </si>
  <si>
    <t>Meeting Room - 505</t>
  </si>
  <si>
    <t xml:space="preserve">Full day </t>
  </si>
  <si>
    <t>Cafeteria breakout area</t>
  </si>
  <si>
    <t>neat board</t>
  </si>
  <si>
    <t>3-April'24</t>
  </si>
  <si>
    <t>Wednesday</t>
  </si>
  <si>
    <t>Austraila Visitors</t>
  </si>
  <si>
    <t>Rohit Gupta</t>
  </si>
  <si>
    <t>1st April'24</t>
  </si>
  <si>
    <t>4-April'24</t>
  </si>
  <si>
    <t>Thursday</t>
  </si>
  <si>
    <t>Tech Rande</t>
  </si>
  <si>
    <t>5-April'24</t>
  </si>
  <si>
    <t>Friday</t>
  </si>
  <si>
    <t>Manoj Mehta - Tech</t>
  </si>
  <si>
    <t>Meeting Cancelled</t>
  </si>
  <si>
    <t>6-April'24</t>
  </si>
  <si>
    <t>Saturday</t>
  </si>
  <si>
    <t>7-April'24</t>
  </si>
  <si>
    <t>Sunday</t>
  </si>
  <si>
    <t>8-April'24</t>
  </si>
  <si>
    <t>5th April'24</t>
  </si>
  <si>
    <t>9-April'24</t>
  </si>
  <si>
    <t>Tech Townahll</t>
  </si>
  <si>
    <t>Divya Duggal - Vikas Malik</t>
  </si>
  <si>
    <t>8th Apr'24</t>
  </si>
  <si>
    <t>10-April'24</t>
  </si>
  <si>
    <t>11-April'24</t>
  </si>
  <si>
    <t>3rd Apri'24</t>
  </si>
  <si>
    <t>12-April'24</t>
  </si>
  <si>
    <t>Vijay Raghav- Group Security</t>
  </si>
  <si>
    <t>7th Apr'24</t>
  </si>
  <si>
    <t>13-April'24</t>
  </si>
  <si>
    <t>Building no 9A</t>
  </si>
  <si>
    <t>Hiring Drive - 200 Candidates</t>
  </si>
  <si>
    <t>Sandwiches +Cookies</t>
  </si>
  <si>
    <t>Anshika Singh- P&amp; C Team</t>
  </si>
  <si>
    <t>Enterprise Tech- Q3 review</t>
  </si>
  <si>
    <t>Mayank Kaushik/ Manoj Mehta</t>
  </si>
  <si>
    <t>2nd Apr'24</t>
  </si>
  <si>
    <t>Cancelled By Mayank on 15th Apr'24</t>
  </si>
  <si>
    <t>Townhall with Audit Executive</t>
  </si>
  <si>
    <t>Sponser by Finance Team</t>
  </si>
  <si>
    <t>Saumya - Internal Audit ( Antony K M)</t>
  </si>
  <si>
    <t>10th Apr'24</t>
  </si>
  <si>
    <t>Standees</t>
  </si>
  <si>
    <t>Entire office</t>
  </si>
  <si>
    <t>18th Apr'24</t>
  </si>
  <si>
    <t>Induction and Lounge area- 9 A</t>
  </si>
  <si>
    <t>16th Apr'24</t>
  </si>
  <si>
    <t>Cancelled and move for next week</t>
  </si>
  <si>
    <t>New Joiners Meet- 70 pax</t>
  </si>
  <si>
    <t>Lunch will be arranged by Infra Team</t>
  </si>
  <si>
    <t>Meeting Room 305 and 306</t>
  </si>
  <si>
    <t>New Joiners Meet- Distributing Laptop</t>
  </si>
  <si>
    <t>Townhall TBEP, AST, Corp Finance, Corp Core, CIB Data</t>
  </si>
  <si>
    <t>Hackathon - 70 pax</t>
  </si>
  <si>
    <t>12th Apr'24</t>
  </si>
  <si>
    <t>Group Security Brown bag Session</t>
  </si>
  <si>
    <t>Yash Gupta</t>
  </si>
  <si>
    <t>17th Apr'24</t>
  </si>
  <si>
    <t>Fincrime &amp; IDV Event - 50 pax</t>
  </si>
  <si>
    <t>10:30AM</t>
  </si>
  <si>
    <t>New Joiner's Induction</t>
  </si>
  <si>
    <t>merge both meeting rooms</t>
  </si>
  <si>
    <t>Personal Banking Meeting</t>
  </si>
  <si>
    <t>EVENT OPERATIONS TRACKER • MAY'24</t>
  </si>
  <si>
    <t>Engineering Day</t>
  </si>
  <si>
    <t>100 pax</t>
  </si>
  <si>
    <t>Projector &amp; Screen with Mike</t>
  </si>
  <si>
    <t>19-Ap-24</t>
  </si>
  <si>
    <t>50 Pax</t>
  </si>
  <si>
    <t>02:20 PM</t>
  </si>
  <si>
    <t>Divya Singhal</t>
  </si>
  <si>
    <t>2024-04-29 00:00:00</t>
  </si>
  <si>
    <t>Brown Bag session - Group Security -50 pax</t>
  </si>
  <si>
    <t>Vipin Kumar</t>
  </si>
  <si>
    <t>2024-04-16 00:00:00</t>
  </si>
  <si>
    <t>Group Security - Townhall</t>
  </si>
  <si>
    <t>Vijay Raghav</t>
  </si>
  <si>
    <t>2024-04-23 00:00:00</t>
  </si>
  <si>
    <t>Customer Master and Onboarding Town Hall</t>
  </si>
  <si>
    <t>30 pax</t>
  </si>
  <si>
    <t>Mic</t>
  </si>
  <si>
    <t>Anil Rawat- Vinita Chitora- Tech</t>
  </si>
  <si>
    <t>2024-02-05 00:00:00</t>
  </si>
  <si>
    <t>Udemy Pro Launch</t>
  </si>
  <si>
    <t>2024-04-24 00:00:00</t>
  </si>
  <si>
    <t>EDA Monthly Townhall</t>
  </si>
  <si>
    <t>Charanjeet Singh</t>
  </si>
  <si>
    <t>2024-05-02 00:00:00</t>
  </si>
  <si>
    <t>Meeting Room no 305 and 306</t>
  </si>
  <si>
    <t>30 Pax</t>
  </si>
  <si>
    <t>ED&amp;A May Townhall</t>
  </si>
  <si>
    <t>Preeti Sangwan</t>
  </si>
  <si>
    <t>Fun Activity</t>
  </si>
  <si>
    <t>40 pax</t>
  </si>
  <si>
    <t>Aditi from Shalinder Sethi Team</t>
  </si>
  <si>
    <t>DCET Developers discussion</t>
  </si>
  <si>
    <t>Vinita Chittora</t>
  </si>
  <si>
    <t>Patrick Townhall - Fireside Chat</t>
  </si>
  <si>
    <t>2024-05-08 00:00:00</t>
  </si>
  <si>
    <t>Parul Wadehra - Tech (Manoj Mehta)</t>
  </si>
  <si>
    <t>2024-05-06 00:00:00</t>
  </si>
  <si>
    <t>SheBuilds Celebration</t>
  </si>
  <si>
    <t>Yes- arranged the snacks by Shreya Hospitality</t>
  </si>
  <si>
    <t>50 pax</t>
  </si>
  <si>
    <t>V Vipin Kumar</t>
  </si>
  <si>
    <t xml:space="preserve">All colleagues </t>
  </si>
  <si>
    <t>04:15 AM</t>
  </si>
  <si>
    <t>Yes- Mic</t>
  </si>
  <si>
    <t>2024-05-14 00:00:00</t>
  </si>
  <si>
    <t>New Joiners Meet- paste the sheet for new joiners meeting</t>
  </si>
  <si>
    <t xml:space="preserve">50 -60 </t>
  </si>
  <si>
    <t>2024-05-16 00:00:00</t>
  </si>
  <si>
    <t>50-60</t>
  </si>
  <si>
    <t>Yes- arragned lunch by Infra</t>
  </si>
  <si>
    <t>Meeting Room no 305 &amp;306</t>
  </si>
  <si>
    <t>B&amp;PB Townhall</t>
  </si>
  <si>
    <t>yes - arranged by Shreya</t>
  </si>
  <si>
    <t>Prasad Komini</t>
  </si>
  <si>
    <t>2024-05-17 00:00:00</t>
  </si>
  <si>
    <t>Blood Camp Donation Drive</t>
  </si>
  <si>
    <t>walkin</t>
  </si>
  <si>
    <t>Ashok Singh Bohra-</t>
  </si>
  <si>
    <t>LT meeting- Tech XLT</t>
  </si>
  <si>
    <t>Divva Duggal</t>
  </si>
  <si>
    <t>2024-05-20 00:00:00</t>
  </si>
  <si>
    <t>2024-05-21 00:00:00</t>
  </si>
  <si>
    <t>Tentative - Fincrime Team</t>
  </si>
  <si>
    <t>Arranged the lunch by Infra</t>
  </si>
  <si>
    <t>remove the tables and accomodate 50 chairs</t>
  </si>
  <si>
    <t xml:space="preserve">tentative </t>
  </si>
  <si>
    <t>time is not confirmed</t>
  </si>
  <si>
    <t>Hi Tea</t>
  </si>
  <si>
    <t>Townhall (brigid)</t>
  </si>
  <si>
    <t>Latika will check Shikha for the townhall</t>
  </si>
  <si>
    <t>Women Session</t>
  </si>
  <si>
    <t>2024-05-07 00:00:00</t>
  </si>
  <si>
    <t>Board Room Type sitting and require one office boy</t>
  </si>
  <si>
    <t>Master Class</t>
  </si>
  <si>
    <t>Hi Tea- Tech Engineering</t>
  </si>
  <si>
    <t>Know your teams</t>
  </si>
  <si>
    <t>Support in logistics</t>
  </si>
  <si>
    <t>Siddharth Rai</t>
  </si>
  <si>
    <t>2024-05-29 00:00:00</t>
  </si>
  <si>
    <t>Ask Sandro - Anything</t>
  </si>
  <si>
    <t>MIC</t>
  </si>
  <si>
    <t>2024-05-28 00:00:00</t>
  </si>
  <si>
    <t>Engineering Month Closure</t>
  </si>
  <si>
    <t>Brown Bag Session</t>
  </si>
  <si>
    <t>Jyoti Bhardwaj</t>
  </si>
  <si>
    <t>2024-05-23 00:00:00</t>
  </si>
  <si>
    <t>Monthly PB meeting</t>
  </si>
  <si>
    <t>IT Team</t>
  </si>
  <si>
    <t>EVENT OPERATIONS TRACKER • JUN24</t>
  </si>
  <si>
    <t>Meeting Room 305 an 306</t>
  </si>
  <si>
    <t>New Joiners Meeting</t>
  </si>
  <si>
    <t>22nd May'24</t>
  </si>
  <si>
    <t>Prabhakhar and Hitesh has swaped the meeting room</t>
  </si>
  <si>
    <t>EDA - DP - All hands</t>
  </si>
  <si>
    <t>Yes- supported by Mayank</t>
  </si>
  <si>
    <t>Prabhakar Bablani</t>
  </si>
  <si>
    <t>17th May'24</t>
  </si>
  <si>
    <t>Security Month Launch</t>
  </si>
  <si>
    <t>31th May'24</t>
  </si>
  <si>
    <t>PB Meeting</t>
  </si>
  <si>
    <t>Apoorv aAgarwal</t>
  </si>
  <si>
    <t>30th May'24</t>
  </si>
  <si>
    <t>Meet with Vikas</t>
  </si>
  <si>
    <t>MIc</t>
  </si>
  <si>
    <t>Divya Duggal</t>
  </si>
  <si>
    <t>EDA Team</t>
  </si>
  <si>
    <t>Rimi Saluja</t>
  </si>
  <si>
    <t>27th May'24</t>
  </si>
  <si>
    <t>Manisha Parihar</t>
  </si>
  <si>
    <t>28th May'24</t>
  </si>
  <si>
    <t>Shalini Thakur</t>
  </si>
  <si>
    <t>5th Jun'24</t>
  </si>
  <si>
    <t>Lunch Arranged by Infra</t>
  </si>
  <si>
    <t>please get the dividers removed and arrange the set up (cluster seating), with 12 extra chairs please.</t>
  </si>
  <si>
    <t>Digital &amp; Customer Enabling Technology - All Hands</t>
  </si>
  <si>
    <t>Yes- Snacks arranged for 70 pax from Shreya Hospitality</t>
  </si>
  <si>
    <t>16th May'24</t>
  </si>
  <si>
    <t>Tec- Townhall</t>
  </si>
  <si>
    <t>100 +</t>
  </si>
  <si>
    <t>11th Jun'24</t>
  </si>
  <si>
    <t>Accelerate Women Training Prep</t>
  </si>
  <si>
    <t>please get the dividers removed and arrange the set up (cluster seating), with 4 extra chairs please.</t>
  </si>
  <si>
    <t>Business and Private Banking Monthly Meeting</t>
  </si>
  <si>
    <t>Prasad</t>
  </si>
  <si>
    <t>7th Jun'24</t>
  </si>
  <si>
    <t>Identify Verifcation - Fincrime</t>
  </si>
  <si>
    <t>4th June'24</t>
  </si>
  <si>
    <t>Live Hacking Demonstration</t>
  </si>
  <si>
    <t>Ashsish Baharani</t>
  </si>
  <si>
    <t>1st June'24</t>
  </si>
  <si>
    <t>Dance Audition</t>
  </si>
  <si>
    <t>Rohit Bhola</t>
  </si>
  <si>
    <t>12th Jun'24</t>
  </si>
  <si>
    <t>Please get the dividers removed and remove the chairs and tables</t>
  </si>
  <si>
    <t>Last Person Standing Quiz</t>
  </si>
  <si>
    <t>Ashsih Baharani</t>
  </si>
  <si>
    <t>Markets &amp; WTR team Meeting</t>
  </si>
  <si>
    <t>Taru Jain- Markets &amp; Treasury Risk Technology</t>
  </si>
  <si>
    <t>Townhall for Data Delivery</t>
  </si>
  <si>
    <t>Noopur Singh- Parminder Singh Team (Enterprise Data Technology)</t>
  </si>
  <si>
    <t>Meeting has been postponed</t>
  </si>
  <si>
    <t>Quality Engineering Townhall</t>
  </si>
  <si>
    <t>Sonam Khatkar- Amit Sharma (Quality Engineer- Performance Testing)</t>
  </si>
  <si>
    <t>Corporate and Institutional Banking Quarterly Team Event</t>
  </si>
  <si>
    <t>Yes-arrnage the lunch in the Social Hub and require the trolly</t>
  </si>
  <si>
    <t>Yashan Khanna- Taru Jain Team (Wholesale Treasury Risk)</t>
  </si>
  <si>
    <t>18th Jun'24</t>
  </si>
  <si>
    <t>Plesae get the dividers removed and arranged the set up like Banquet Hall</t>
  </si>
  <si>
    <t>Breather</t>
  </si>
  <si>
    <t>Ashish Baharani- Tech Academy</t>
  </si>
  <si>
    <t>Classroom 5 Colleagues together with Table</t>
  </si>
  <si>
    <t>Shikha Mittal- Group Security - from Vijay Raghav's Team</t>
  </si>
  <si>
    <t>13th Jun'24</t>
  </si>
  <si>
    <t>Allyship kill training</t>
  </si>
  <si>
    <t>Charanjeet Kaur Lead (Statutory Compliance)</t>
  </si>
  <si>
    <t>kindly arrnage the Class Room Type sitting</t>
  </si>
  <si>
    <t>Plesae get the dividers removed and arranged the set up like class room. remove the tables only keep 2 tables for Laptop support</t>
  </si>
  <si>
    <t>Townhall- Customer &amp; Colleague Platform</t>
  </si>
  <si>
    <t>10:30 PM</t>
  </si>
  <si>
    <t>Vinita Chitora</t>
  </si>
  <si>
    <t>Sitting like class room</t>
  </si>
  <si>
    <t>Cyber Response Demonstration</t>
  </si>
  <si>
    <t>Ashish Baharani- Tech Acadmey</t>
  </si>
  <si>
    <t>Meeting Room no 107</t>
  </si>
  <si>
    <t>Know your Team</t>
  </si>
  <si>
    <t>Siddharth Rai- DCO Team- Vikram Sharma</t>
  </si>
  <si>
    <t>26th Jun'24</t>
  </si>
  <si>
    <t>prepond on 26th jun'24</t>
  </si>
  <si>
    <t>Ask Me Anything with Neeraj Goyal</t>
  </si>
  <si>
    <t>Divya Singhal- Comms- Amitha Singh Team</t>
  </si>
  <si>
    <t>Month closing and Treasure Hunt</t>
  </si>
  <si>
    <t>Prepond on 1st July'24</t>
  </si>
  <si>
    <t>EVENT OPERATIONS TRACKER • JUL'24</t>
  </si>
  <si>
    <t>Shanil - Security Team- Vijay Raghav</t>
  </si>
  <si>
    <t>Reschdule for Wed- 3rd Jun'24</t>
  </si>
  <si>
    <t>Data and Analytics Townhall</t>
  </si>
  <si>
    <t>Yes- Snacks arranged by Compass</t>
  </si>
  <si>
    <t>Ruchi Bubber Customer Decisioning- SLT Vikas Malik</t>
  </si>
  <si>
    <t>Data Platforms All Team Monthly Meeting</t>
  </si>
  <si>
    <t>Tipu Thakur- Enterprise and Data Analysis- Parminder Singh</t>
  </si>
  <si>
    <t>24th Jun'24</t>
  </si>
  <si>
    <t>Personal Banking( Baithak, Samvaad Aur... Badlav)</t>
  </si>
  <si>
    <t>Apoorva Agarwal- Gaurav Saxena</t>
  </si>
  <si>
    <t>22nd Jun'24</t>
  </si>
  <si>
    <t>June Awards Distribution</t>
  </si>
  <si>
    <t>Charanjeet Singh, Tipu Thakur- Parminder Singh, Enterprise Data &amp; Analytics (EDA)</t>
  </si>
  <si>
    <t>2nd Jul'24</t>
  </si>
  <si>
    <t>Sourabh Jain- 1st July from Security Team</t>
  </si>
  <si>
    <t>ET Head of Delivery Orchestration</t>
  </si>
  <si>
    <t>Vinita Singh, Enterprise Technology – Release Train Engineer- Manoj Mehta</t>
  </si>
  <si>
    <t>27th Jun'24</t>
  </si>
  <si>
    <t>Culture Champions</t>
  </si>
  <si>
    <t>Shikha Mittal- Group Security- Vijay Raghav</t>
  </si>
  <si>
    <t>Sitting remain same-block the main sitting area and keep Q manager for block that area only. Require trolly for the snacks, time will confirm by the Shikha Mittal</t>
  </si>
  <si>
    <t>Family Day- Dance performance</t>
  </si>
  <si>
    <t>1st Jul'24</t>
  </si>
  <si>
    <t>keep aside the chairs and keep 2 tables</t>
  </si>
  <si>
    <t>Technology Townhall with Patrick</t>
  </si>
  <si>
    <t>Meeting room no 305 and 306</t>
  </si>
  <si>
    <t>Please get the dividers removed. Require one big white rectangle table to keep the laptop and files &amp; remove the hexagon tables and keep 45 chairs only</t>
  </si>
  <si>
    <t>Meeting Room no 603</t>
  </si>
  <si>
    <t>Reserve for Patrick (Alternative Meeting Room</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</si>
  <si>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</si>
  <si>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303</t>
  </si>
  <si>
    <t>Reserve for Patrick</t>
  </si>
  <si>
    <t>Om Prakash - QA- Anupreet Bacchal</t>
  </si>
  <si>
    <t>Classoom Type sitting</t>
  </si>
  <si>
    <t>Please check in according to the timings. Kindly keep 10 water bottles, Normal Coke and Diet coke (180ML)- 12 nos Mentos Cookies, Small Sanitizer and Tissue Box. Keep one white round table at the corner</t>
  </si>
  <si>
    <t>NAB India Enterprise Tech All Hands with Steve Day</t>
  </si>
  <si>
    <t>Manoj Mehta - Head of Technology Enterprise</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</si>
  <si>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</si>
  <si>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203</t>
  </si>
  <si>
    <t>Reserve for Les</t>
  </si>
  <si>
    <t>Les will sit in this meeting room and will reach by 8:00 AM. Please do check in according to meeting room booking - Kindly keep 6 water bottles, Normal Coke (180ML)- 4, Mentos Cookies, Small Sanitizer and Tissue Box. Keep one white round table at the corner</t>
  </si>
  <si>
    <t>9th Jul'24</t>
  </si>
  <si>
    <t>10th Jul'24</t>
  </si>
  <si>
    <t>Meeting Room no 301</t>
  </si>
  <si>
    <t>Board Room Meeting</t>
  </si>
  <si>
    <t>Board Members</t>
  </si>
  <si>
    <t>Keep 10 Reynold pens and 10 confernce pad , 16 Water Bottles , 12 (6-6 Diet and Normal Coke), Mentos, Cookies, Sanitizer and Tissue Box. Keep one white round table to keep extra water bottle and cokes.</t>
  </si>
  <si>
    <t>DCO Quiz</t>
  </si>
  <si>
    <t>3rd Jul'24</t>
  </si>
  <si>
    <t>Meeting Room no 102 and 103</t>
  </si>
  <si>
    <t>Arrange 10 water bottles, normal and diet coke - 10 Tissue box and one big Sanitizer. Keep one round white table at the corner</t>
  </si>
  <si>
    <t>PW with Session</t>
  </si>
  <si>
    <t>Check in @ 1 pm U Shape set up , meeting will be started at 2:30 pm</t>
  </si>
  <si>
    <t>P &amp; C Session</t>
  </si>
  <si>
    <t>12:10 PM</t>
  </si>
  <si>
    <t>Rachna Rawat</t>
  </si>
  <si>
    <t>5th June'24</t>
  </si>
  <si>
    <t>Merge the meeting room and add 15 more chairs</t>
  </si>
  <si>
    <t>Accelerate Women's Training</t>
  </si>
  <si>
    <t>5th Jyly'24</t>
  </si>
  <si>
    <t>Please get the dividers removed. Keep One White board &amp; White board markers Cluster sitting of 28 pax</t>
  </si>
  <si>
    <t>Domestic Payments Monthly connect</t>
  </si>
  <si>
    <t>Sachin Srivastava- Shalinder Sethi</t>
  </si>
  <si>
    <t>: TBEP Townhall</t>
  </si>
  <si>
    <t>Dakshaja Behera - Corporate and Institutional Banking by Shalinder Sethi</t>
  </si>
  <si>
    <t>Postponed to 23rd July'24</t>
  </si>
  <si>
    <t>Please get the dividers removed and its cluster sitting</t>
  </si>
  <si>
    <t>Townhall with Rob H</t>
  </si>
  <si>
    <t>Siddharth Rojha-Business &amp; Private Banking- Devinder Singh</t>
  </si>
  <si>
    <t>Please get the dividers removed and 24 extra chairs and keep</t>
  </si>
  <si>
    <t>16-Jul-24</t>
  </si>
  <si>
    <t>Reg Reporting team meeting with Mandy</t>
  </si>
  <si>
    <t>Ankit Dhingra</t>
  </si>
  <si>
    <t>12th Jul'24</t>
  </si>
  <si>
    <t>Big Quiz</t>
  </si>
  <si>
    <t>Ashish Baharni</t>
  </si>
  <si>
    <t>12th July</t>
  </si>
  <si>
    <t>DL workshop</t>
  </si>
  <si>
    <t>Sitting Arrangement- U Shape, Refreshment and Lunch</t>
  </si>
  <si>
    <t>Women in Tech</t>
  </si>
  <si>
    <t>Parul Wadhera - Tech Academy - Vikas Malik</t>
  </si>
  <si>
    <t>19th Jun'24</t>
  </si>
  <si>
    <t>Enterprise Customer Onboarding and Mastering Townhall</t>
  </si>
  <si>
    <t>Sameer Sameer- Vinita Chhitora (Customer Master)</t>
  </si>
  <si>
    <t>Banquet Type sitting</t>
  </si>
  <si>
    <t>Postponed on 30th July'24</t>
  </si>
  <si>
    <t>Fincrime and Fraud Tech Townhall</t>
  </si>
  <si>
    <t>Ritika Pandiya- from Anupam Katara's Team - Financial Crime Technology</t>
  </si>
  <si>
    <t>25th Jun</t>
  </si>
  <si>
    <t>Cancllled the Event</t>
  </si>
  <si>
    <t>22nd Jul'24</t>
  </si>
  <si>
    <t>Aman Chandra</t>
  </si>
  <si>
    <t>28th Jun'24</t>
  </si>
  <si>
    <t>postponed the event on 2nd Aug'24</t>
  </si>
  <si>
    <t>Ask me anything with Neeraj</t>
  </si>
  <si>
    <t>Cancelled the Townhall</t>
  </si>
  <si>
    <t>Please get the dividers removed and sitting arrangments of 35 pax (only chairs) and keep one table for keeping files and laptop +1 chair and do check in @ 8am</t>
  </si>
  <si>
    <t>Teams of Team Meeting - XLT</t>
  </si>
  <si>
    <t>The mail is attached for your ready reference. Keep 14 pens &amp; 14 conferece pads + White board +Markers+ Tea and snacks arrangments (in Social Hub). Shikha will confirm the timings of tea and snacks. Mail is attached for your ready reference.</t>
  </si>
  <si>
    <t>Transaction banking Enterprise payments Townhall</t>
  </si>
  <si>
    <t>17th July'24</t>
  </si>
  <si>
    <t>Strategic Sourcing Inhand</t>
  </si>
  <si>
    <t>Bhardwaj - Sourcing Team- Vikram Sharma</t>
  </si>
  <si>
    <t>29th July'24</t>
  </si>
  <si>
    <t>The mail is attached for your ready reference. Keep White board +Markers+ Tea and snacks arrangments (in Social Hub). Mail is attached for your ready reference.</t>
  </si>
  <si>
    <t>Meeting Room - 305 &amp; 306</t>
  </si>
  <si>
    <t>Meeting with Enabling Team</t>
  </si>
  <si>
    <t>Mary Mamphilly</t>
  </si>
  <si>
    <t>please get the dividers removed and do check in on time pls</t>
  </si>
  <si>
    <t>Pluralsight Flow Introduction</t>
  </si>
  <si>
    <t>Mayank Sharma- QE-</t>
  </si>
  <si>
    <t>30th Jul'24</t>
  </si>
  <si>
    <t>EVENT OPERATIONS TRACKER • AUG24</t>
  </si>
  <si>
    <t>1st Aug'24</t>
  </si>
  <si>
    <t>Breakouat area</t>
  </si>
  <si>
    <t>XLT Session</t>
  </si>
  <si>
    <t>Alpha Ojha</t>
  </si>
  <si>
    <t>25th July'24</t>
  </si>
  <si>
    <t>Classroom Sitting</t>
  </si>
  <si>
    <t>Data and AI Month</t>
  </si>
  <si>
    <t>Yes- arranged snacks for Compass</t>
  </si>
  <si>
    <t>will support by Tech</t>
  </si>
  <si>
    <t>Parul Wadhera - Tech Academy</t>
  </si>
  <si>
    <t>5th July'24</t>
  </si>
  <si>
    <t>Mannat Narula / Hitesh Kapoor</t>
  </si>
  <si>
    <t>u type sitting</t>
  </si>
  <si>
    <t>Technology Recognition Event</t>
  </si>
  <si>
    <t>Manoj Mehta- Head of Tech (Technology Enterprise)</t>
  </si>
  <si>
    <t>18th Jul'24</t>
  </si>
  <si>
    <t>XLT Learning Session on Prevention of Sexual Harassment</t>
  </si>
  <si>
    <t>19th July'24</t>
  </si>
  <si>
    <t>Shivani Bansal- Seucrity Team - Vijay Raghav</t>
  </si>
  <si>
    <t>Classroom sitting</t>
  </si>
  <si>
    <t>Require white board and support of the houskeeping boy (Tech Lounge)</t>
  </si>
  <si>
    <t>New joiners will sit in the MR-305 and 306</t>
  </si>
  <si>
    <t>Grads will sit in the breakout area</t>
  </si>
  <si>
    <t>Ashish Baharani - Tech Academy</t>
  </si>
  <si>
    <t>Sikha Mittal- Group Security</t>
  </si>
  <si>
    <t>Grads Session with Kisten Lange</t>
  </si>
  <si>
    <t>Anju Verma - P &amp; C</t>
  </si>
  <si>
    <t>U type sitting for 25 pax facing the screen</t>
  </si>
  <si>
    <t>P&amp; C Townhall</t>
  </si>
  <si>
    <t>U type sitting for 40 pax in 2 rows facing the screen and 2 sofas in the room facing the screen for Q&amp;A , arrange the round table, water bottle (4) and tissue box (1)</t>
  </si>
  <si>
    <t>NAB’s Big 5 Data Strategy</t>
  </si>
  <si>
    <t>Shikha Oberoi/ Parminder Singh</t>
  </si>
  <si>
    <t>21st July'24</t>
  </si>
  <si>
    <t>Data &amp;AI Month - Tech Rendezous</t>
  </si>
  <si>
    <t>Starcamp</t>
  </si>
  <si>
    <t>6th Aug'24</t>
  </si>
  <si>
    <t>DCO- FunCrew</t>
  </si>
  <si>
    <t>31st Aug'24</t>
  </si>
  <si>
    <t>PB's Baithak, Samvaad Aur... Badlav</t>
  </si>
  <si>
    <t>Apoorva Agarwal - Personal Banking- Gaurav Saxena team</t>
  </si>
  <si>
    <t>26th July'24</t>
  </si>
  <si>
    <t>Posptponed to 16th Aug'24</t>
  </si>
  <si>
    <t>Ideathon</t>
  </si>
  <si>
    <t>02:40 AM</t>
  </si>
  <si>
    <t>04:40 PM</t>
  </si>
  <si>
    <t>Parul Wadehra- Tech Acadmey- Vikas Malik</t>
  </si>
  <si>
    <t>Data &amp; AI month - Tennis Australia Pod</t>
  </si>
  <si>
    <t>walk-in</t>
  </si>
  <si>
    <t>Dinesh Saini- Enterprise Data and Analytics - Parminder Team</t>
  </si>
  <si>
    <t>Meeting Room- 107</t>
  </si>
  <si>
    <t>Tipu Thakur Team- Parminder Singh, Enterprise Data &amp; Analytics (EDA)</t>
  </si>
  <si>
    <t>Parminder Singh, Enterprise Data &amp; Analytics (EDA)</t>
  </si>
  <si>
    <t>Charanjeet Singh - Enterprise Data Technology - Parminder Singh</t>
  </si>
  <si>
    <t>B &amp; PB Townhall</t>
  </si>
  <si>
    <t>Prasad Kommineni - Personal Banking</t>
  </si>
  <si>
    <t>2nd Aug'24</t>
  </si>
  <si>
    <t>EDA Meeting- All Hands</t>
  </si>
  <si>
    <t>Sourcing meeting with Paul Kaplan</t>
  </si>
  <si>
    <t>Yes- Tea and Snacks arranged by themselves</t>
  </si>
  <si>
    <t>5th Aug'24</t>
  </si>
  <si>
    <t>Financial Crime Entity Master &amp; MCG with Adip</t>
  </si>
  <si>
    <t>Ritika Pandya- DCET- Anupreet Bacchal</t>
  </si>
  <si>
    <t>18th Aug'24</t>
  </si>
  <si>
    <t>12th July'24</t>
  </si>
  <si>
    <t>Gen AI Hackthon</t>
  </si>
  <si>
    <t>9th Aug'24</t>
  </si>
  <si>
    <t>Postponed the event. Ashish will share the final date</t>
  </si>
  <si>
    <t>Data &amp;AI Month</t>
  </si>
  <si>
    <t>16th Aug'24</t>
  </si>
  <si>
    <t>Postponed the event to 11 th Sep'24</t>
  </si>
  <si>
    <t>Townhall with Nic Papanikolakis</t>
  </si>
  <si>
    <t>Anupam Sharma- C&amp; IB - corporate and instiutional banking- Shalinder Sethi</t>
  </si>
  <si>
    <t>Marshal Traning</t>
  </si>
  <si>
    <t>Hitesh Kumar- COO</t>
  </si>
  <si>
    <t>21st Aug'24</t>
  </si>
  <si>
    <t>Dance Rehearsal</t>
  </si>
  <si>
    <t>*cafeteria space (in front of Tuck Shop counter) for conducting rehearsal and in marking the stage area (i.e. 24ft. by 16ft.) in front of Tuck Shop.</t>
  </si>
  <si>
    <t>Postponed the event on 31st Aug'24</t>
  </si>
  <si>
    <t>Parul Wadhera- Tech Academy - Vikas Malik</t>
  </si>
  <si>
    <t>Postpned on 4th Sep'24</t>
  </si>
  <si>
    <t>MR-107,</t>
  </si>
  <si>
    <t>Know yor teams</t>
  </si>
  <si>
    <t>Siddharth Rai- DCO- Meena Srivastava</t>
  </si>
  <si>
    <t>P&amp;C team meeting</t>
  </si>
  <si>
    <t>Anju Verma- P &amp;C - Inderpreet</t>
  </si>
  <si>
    <t>29th Aug'24</t>
  </si>
  <si>
    <t>EVENT OPERATIONS TRACKER • SEP24</t>
  </si>
  <si>
    <t>Head of Global Internal Audit</t>
  </si>
  <si>
    <t>Water Bottles +Tissue Box</t>
  </si>
  <si>
    <t>Water bottle+ tissue box and sanitizer</t>
  </si>
  <si>
    <t>Meeting Room -107</t>
  </si>
  <si>
    <t>Accelerate Women Session</t>
  </si>
  <si>
    <t>18+3 senior leaders</t>
  </si>
  <si>
    <t>U type sitting</t>
  </si>
  <si>
    <t>Nandan Townahll</t>
  </si>
  <si>
    <t>all the chairs towards the stage, remove the tables and all the stage work will done on 2nd Sep evening</t>
  </si>
  <si>
    <t>Social Hub Area-2</t>
  </si>
  <si>
    <t>CSR kids will sit in Social Hub-2</t>
  </si>
  <si>
    <t>Anoop Jha</t>
  </si>
  <si>
    <t>All kids will sit in Social Hub -2</t>
  </si>
  <si>
    <t>CSR Events</t>
  </si>
  <si>
    <t>Technology &amp;Enterprise Opertion Cross Divisonal Execution and Goverance Townhall</t>
  </si>
  <si>
    <t>Lunch for Head of Global Internal Audit</t>
  </si>
  <si>
    <t>Water Bottles and Tissue Paper, require cutlerys+serving bowls and spoons for salads</t>
  </si>
  <si>
    <t>As discussed with Parul</t>
  </si>
  <si>
    <t>Reception</t>
  </si>
  <si>
    <t>Rangoli</t>
  </si>
  <si>
    <t>Rangoli+ Diya + Garland (1)Stand and place it before 7:00 pm- Vendor will come at 6 am for rangoli (sanjay arya)</t>
  </si>
  <si>
    <t>Michael Pocock visit</t>
  </si>
  <si>
    <t>Tissue+Water Bottles (10) + Sanitizer +Diet coke(6)</t>
  </si>
  <si>
    <t>Meeting Room-303</t>
  </si>
  <si>
    <t>Arrangements</t>
  </si>
  <si>
    <t>Water Bottles and Tissue Paper</t>
  </si>
  <si>
    <t>Dinesh Saini- Data Delivery- Vikas Malik</t>
  </si>
  <si>
    <t>PAT ON THE BACK - Blue Screen Issue</t>
  </si>
  <si>
    <t>Maoj Mehta</t>
  </si>
  <si>
    <t>22nd Aug'24</t>
  </si>
  <si>
    <t>3.A.107/Zone A</t>
  </si>
  <si>
    <t>50-70</t>
  </si>
  <si>
    <t>Extension power point</t>
  </si>
  <si>
    <t>2024-09-05 00:00:00</t>
  </si>
  <si>
    <t>Additional seating at Reception</t>
  </si>
  <si>
    <t>MR- 305 and 306</t>
  </si>
  <si>
    <t>New Joiners</t>
  </si>
  <si>
    <t>Class room sitting, please remove</t>
  </si>
  <si>
    <t>Q4 DCET Townhall</t>
  </si>
  <si>
    <t>Enterprise Technology on All Hands</t>
  </si>
  <si>
    <t>Data Platforms All Team Monthly Meeting - August</t>
  </si>
  <si>
    <t>Class room sitting</t>
  </si>
  <si>
    <t>P &amp; C Internal Connect</t>
  </si>
  <si>
    <t>Divyaa Bhalla- P &amp;C</t>
  </si>
  <si>
    <t>Remove the tables and keep one round table one chair at front of the screen</t>
  </si>
  <si>
    <t>Group Security’s September Town Hall</t>
  </si>
  <si>
    <t>ZoneA+Social Hub-1+Reception MR-101,102 and 103</t>
  </si>
  <si>
    <t>Om Prakash</t>
  </si>
  <si>
    <t>Breakfast and Lunch Arragements - Shreya Hospitality</t>
  </si>
  <si>
    <t>Meeting Room- 301</t>
  </si>
  <si>
    <t>Au's visitor</t>
  </si>
  <si>
    <t>Arrange 4 water Bottles, Sanitizer and Tissue box</t>
  </si>
  <si>
    <t>Cancel the booking</t>
  </si>
  <si>
    <t>DEDA (Digital Enterprise Data Analytics) Fun Event</t>
  </si>
  <si>
    <t>Vibhor Popli by Data Analytics</t>
  </si>
  <si>
    <t>U Type Sitting</t>
  </si>
  <si>
    <t>AU's visitor</t>
  </si>
  <si>
    <t>Technolgy Enterprise Data &amp; Technology</t>
  </si>
  <si>
    <t>Class Room Type Sitting</t>
  </si>
  <si>
    <t>Empty space on right and left hand side so that people can stand. chairs must be in the middle</t>
  </si>
  <si>
    <t>Focus Month</t>
  </si>
  <si>
    <t>Reception + Cafeteria Meeting Rooms- 10.02 - Azad,10.03 - Besant, 10.04 - Chand, 10.05 -Chandy ,10.06 - Chatterjee, 10.07 - Cheema</t>
  </si>
  <si>
    <t>Hiring Drive- In CP</t>
  </si>
  <si>
    <t>80-100</t>
  </si>
  <si>
    <t>Machine Tea and coffee arrangements</t>
  </si>
  <si>
    <t>Cyber Park- Rec Room</t>
  </si>
  <si>
    <t>15th July'24</t>
  </si>
  <si>
    <t>Cluster sitting, U Shape, Refreshment and Lunch</t>
  </si>
  <si>
    <t>Accelerate Women Talent Program | Graduation Ceremony</t>
  </si>
  <si>
    <t>13th Aug'24</t>
  </si>
  <si>
    <t>U type sitting with 3 rows + 1 chair and one table at the screen, 3-4 tables at the backside/ and keep the cutlery (Plates, spoons forks and santizer,bowls for 60 pax at 11 am)</t>
  </si>
  <si>
    <t>Discussion with Vikram Sharma</t>
  </si>
  <si>
    <t>DCO's Townhall</t>
  </si>
  <si>
    <t>12th Sep'24</t>
  </si>
  <si>
    <t>Sitting towards the podium without table and close the tuckshop and Island Bar</t>
  </si>
  <si>
    <t>Know your team</t>
  </si>
  <si>
    <t>4th Sep'24</t>
  </si>
  <si>
    <t>Postponed the meeting for 16th Oct'24</t>
  </si>
  <si>
    <t>Personal Banking- Baithak, Samvaad aur Badlav</t>
  </si>
  <si>
    <t>Apoorva Agarwal- Personal Banking</t>
  </si>
  <si>
    <t>require Chairs with Tables (rectanlge tables) Please remove the dividers</t>
  </si>
  <si>
    <t>Townhall for Core Engineering</t>
  </si>
  <si>
    <t>IT</t>
  </si>
  <si>
    <t>30th Sep'24</t>
  </si>
  <si>
    <t>Class room sitting - At the last minute i got the request for the booking</t>
  </si>
  <si>
    <t>EVENT OPERATIONS TRACKER • OCT24</t>
  </si>
  <si>
    <t>Holiday</t>
  </si>
  <si>
    <t xml:space="preserve">Holiday </t>
  </si>
  <si>
    <t>Opening Ceremony of Cyber Month October</t>
  </si>
  <si>
    <t>Sikha Mittal</t>
  </si>
  <si>
    <t>College to Corporate</t>
  </si>
  <si>
    <t>3rd Oct'24</t>
  </si>
  <si>
    <t>SheBuild Launch</t>
  </si>
  <si>
    <t>9th Sep'24</t>
  </si>
  <si>
    <t>Classrooom sitting</t>
  </si>
  <si>
    <t>Postponed to another date on 6th Nov as on this date we have another event. already dropped an email to Parul to change the date,.</t>
  </si>
  <si>
    <t>Priyanka Malik - Shalinder Sethi Team</t>
  </si>
  <si>
    <t>26th Sep'24</t>
  </si>
  <si>
    <t>Postponed the event on 15th Oct'24</t>
  </si>
  <si>
    <t>F -743, 744, 745 and 746 and MR-501</t>
  </si>
  <si>
    <t>Arrnange water bottles and sanitizer</t>
  </si>
  <si>
    <t xml:space="preserve">4 workstation +1 Meeting Room </t>
  </si>
  <si>
    <t>Anju Verma +Ruchi Bubber</t>
  </si>
  <si>
    <t>Place water bottles (3-3 each desk)+ Sanitizer(1 big Sanitizer)+ one tissue box in these four workstation till 9th Oct only and replenish the water bottles and MR-501, water bottle+small sanitizer +one tissue box</t>
  </si>
  <si>
    <t>International Fireside Chat</t>
  </si>
  <si>
    <t>5th Sep'24</t>
  </si>
  <si>
    <t>4 extra chairs +round table+ water bottles 6 and sanitizer, tissue box</t>
  </si>
  <si>
    <t>Transactional Banking and Enterprise Payments</t>
  </si>
  <si>
    <t>Will share thedetails shortly</t>
  </si>
  <si>
    <t>Move in MR-107 hence no support required</t>
  </si>
  <si>
    <t>11th Sep'24</t>
  </si>
  <si>
    <t>Tables with chairs</t>
  </si>
  <si>
    <t>AU's Visitor</t>
  </si>
  <si>
    <t>Ruchi Bubber</t>
  </si>
  <si>
    <t>Arrange water bottles +sanitizer and one tissue box</t>
  </si>
  <si>
    <t>Ask me anything- Booth- Walk in -</t>
  </si>
  <si>
    <t>don’t change the layout we just need two tables and a screen to display banner for setting up booth. It would be open for all</t>
  </si>
  <si>
    <t>Business and Personal Banking Townhall</t>
  </si>
  <si>
    <t>Deepika Sherawat- Banking and Personal Banking Devinder Singh</t>
  </si>
  <si>
    <t>8th Oct'24</t>
  </si>
  <si>
    <t>Theatre Style Seating- Tentatively</t>
  </si>
  <si>
    <t>Place the chairs.</t>
  </si>
  <si>
    <t>R &amp; R of JLL</t>
  </si>
  <si>
    <t>Sunil from JLL</t>
  </si>
  <si>
    <t>Water Bottles and Sanitizer</t>
  </si>
  <si>
    <t>Kindly place the water bottles on both meeting rooms from 15th Oct to 18th Oct'24</t>
  </si>
  <si>
    <t>Know Your Teams!</t>
  </si>
  <si>
    <t>Tentative Booking</t>
  </si>
  <si>
    <t>Diversity and Inclusion Meeting</t>
  </si>
  <si>
    <t>Shreya Hospitality - arrange 25 boxes</t>
  </si>
  <si>
    <t>Shraddha DCET- Digital and customer enable technology</t>
  </si>
  <si>
    <t>14th Oct'24</t>
  </si>
  <si>
    <t>Ask me anything with Vikas</t>
  </si>
  <si>
    <t>Codility Internal Grading</t>
  </si>
  <si>
    <t>Tech India Leadership Session</t>
  </si>
  <si>
    <t>Shreya Hospitality -</t>
  </si>
  <si>
    <t>Rupika Nagpal- Tech</t>
  </si>
  <si>
    <t>16th Oct'24</t>
  </si>
  <si>
    <t>Retrospective FY 24</t>
  </si>
  <si>
    <t>Uday Vashisht Personal Everyday Banking- Gaurav Saxena</t>
  </si>
  <si>
    <t>15th Oct'24</t>
  </si>
  <si>
    <t>DCO &amp; CF Diwali celebration</t>
  </si>
  <si>
    <t>Shagun Aggarwal- DCO Team</t>
  </si>
  <si>
    <t>Theatre Style Seating</t>
  </si>
  <si>
    <t>Meeting Room- 305 &amp;306</t>
  </si>
  <si>
    <t>sitting would be reamin same of 24 pax. Add 2 extra chairs and keep one chair and one table for facilitator</t>
  </si>
  <si>
    <t>Connect with Vikram</t>
  </si>
  <si>
    <t>Red team blue team tech demo</t>
  </si>
  <si>
    <t>Shikha Mittal-</t>
  </si>
  <si>
    <t>Townhall- Strategic Resources</t>
  </si>
  <si>
    <t>Arun P</t>
  </si>
  <si>
    <t>22nd Oct'24</t>
  </si>
  <si>
    <t>Technology Enterprise Data Anlaytics</t>
  </si>
  <si>
    <t>Dinesh Saini- Technology Enterprise Data Anlaytics</t>
  </si>
  <si>
    <t>chairs should be in the midle and left and right free space</t>
  </si>
  <si>
    <t>Sourcing all hands</t>
  </si>
  <si>
    <t>28th Aug'24</t>
  </si>
  <si>
    <t>Digital Identity &amp; Access</t>
  </si>
  <si>
    <t>N</t>
  </si>
  <si>
    <t>Akshay Kumar</t>
  </si>
  <si>
    <t>Support staff gift distribution</t>
  </si>
  <si>
    <t>Sitting would be reamin same of 24 pax. Please keep one extra chair and one table for facilitator</t>
  </si>
  <si>
    <t>Rec Room- CP</t>
  </si>
  <si>
    <t>Closing Ceremony</t>
  </si>
  <si>
    <t>Diwali</t>
  </si>
  <si>
    <t xml:space="preserve">Diwali </t>
  </si>
  <si>
    <t>EVENT OPERATIONS TRACKER • NOV24</t>
  </si>
  <si>
    <t>P &amp; C - Pay Letters and Files</t>
  </si>
  <si>
    <t>Cover the glass half with Standee and rest of with white papers and main door must be cover up with white paper till 15th Nov'24</t>
  </si>
  <si>
    <t>F601 &amp; E505</t>
  </si>
  <si>
    <t>AU visitors of Tech</t>
  </si>
  <si>
    <t>Arrange the water bottles (4 each meeting room Tissue box- 1 nos and sanitizer (small one one each)</t>
  </si>
  <si>
    <t>Set will be remain same like 24 pax classroom sitting. keep one chair and round table for the facilitator</t>
  </si>
  <si>
    <t>F603 &amp; E501</t>
  </si>
  <si>
    <t>Arrange the water bottles( 4 each bottles ),tissue box and sanitizer</t>
  </si>
  <si>
    <t>F601 &amp; E504</t>
  </si>
  <si>
    <t>Arrange the water bottles (4-4 each meeting room),tissue box -1-1and sanitizer 1-1</t>
  </si>
  <si>
    <t>She Builts</t>
  </si>
  <si>
    <t>Lunch for GCC Cohort</t>
  </si>
  <si>
    <t>Host GCC Cohort at NAB</t>
  </si>
  <si>
    <t>Will do set up one day prior, Arrnage the tea, cookies and Lunch for them</t>
  </si>
  <si>
    <t>TBEP session</t>
  </si>
  <si>
    <t>Jyoti Ahuja</t>
  </si>
  <si>
    <t>add 7 extra chairs &amp; keep one round table with one chair for the facilitator</t>
  </si>
  <si>
    <t>F601</t>
  </si>
  <si>
    <t>Arrange the water bottles,tissue box and sanitizer</t>
  </si>
  <si>
    <t>B &amp; PB</t>
  </si>
  <si>
    <t>Neha Saxena-29th Oct'24</t>
  </si>
  <si>
    <t>E501</t>
  </si>
  <si>
    <t>21st Oct'24</t>
  </si>
  <si>
    <t>Patrick Townhall</t>
  </si>
  <si>
    <t>Via Email - High Tea- Need to discuss with Shikha</t>
  </si>
  <si>
    <t>Chirstine Townhall- TEDA</t>
  </si>
  <si>
    <t>Dinesh Saini -</t>
  </si>
  <si>
    <t>Class room Type seating</t>
  </si>
  <si>
    <t>Class room type set up, remove the partition add 1 extra chair &amp; keep one round table with one chair for the facilitator</t>
  </si>
  <si>
    <t>13/11/2024</t>
  </si>
  <si>
    <t>Team Activity</t>
  </si>
  <si>
    <t>Ritika Pandiya- CET- Anupreet Bachhal</t>
  </si>
  <si>
    <t>14/11/2024</t>
  </si>
  <si>
    <t>Market India Townhall</t>
  </si>
  <si>
    <t>Fireside Chat with Sr. Women leaders - C&amp;IB</t>
  </si>
  <si>
    <t>15/11/2024</t>
  </si>
  <si>
    <t>5th Nov'24</t>
  </si>
  <si>
    <t>ECOM Townhall</t>
  </si>
  <si>
    <t>Ritika Pandiya-</t>
  </si>
  <si>
    <t>8th Oc'24</t>
  </si>
  <si>
    <t>add 6 extra chairs and remove the partition and keep one round table with one chair for the facilitator</t>
  </si>
  <si>
    <t>16/11/2024</t>
  </si>
  <si>
    <t>17/11/2024</t>
  </si>
  <si>
    <t>18/11/2024</t>
  </si>
  <si>
    <t>Meeting Room-305 &amp; 306</t>
  </si>
  <si>
    <t>New Joiners Indution</t>
  </si>
  <si>
    <t>303, 504 and 505 &amp;105</t>
  </si>
  <si>
    <t>Australian Visitors</t>
  </si>
  <si>
    <t xml:space="preserve">Arrangements for 1 person in each meeting room </t>
  </si>
  <si>
    <t>Sheryl +Arti Sharma</t>
  </si>
  <si>
    <t>Arrange 4 water bottles in each Meeting room, Sanitizer and 4-4 coke bottles</t>
  </si>
  <si>
    <t>1 no</t>
  </si>
  <si>
    <t>Arrange 4 water bottles, Tissue Boxes, Snacks</t>
  </si>
  <si>
    <t>Lunch Arrangements for P&amp; C LT</t>
  </si>
  <si>
    <t>18 nos</t>
  </si>
  <si>
    <t>Arrange the water bottles cokes tissue boxes and cutlery in advance</t>
  </si>
  <si>
    <t>Meeting of the team with Australian executives</t>
  </si>
  <si>
    <t>19/11/2024</t>
  </si>
  <si>
    <t>Lunch Arrangements for Group Security</t>
  </si>
  <si>
    <t>Lunch Arrangements for Tech LT</t>
  </si>
  <si>
    <t>A</t>
  </si>
  <si>
    <t>Meeting with Australian Executive</t>
  </si>
  <si>
    <t>Class room set up</t>
  </si>
  <si>
    <t>MR-605 WS 743 and 744</t>
  </si>
  <si>
    <t>Shreyl</t>
  </si>
  <si>
    <t>Keep the Cookies, Brownies in the meeting room at8:15 am. Lunch will be in the cafeteria. Arranage the Evening Snacks at 3:30 pm.</t>
  </si>
  <si>
    <t>Patrick Burns, Executive FCO India</t>
  </si>
  <si>
    <t>Arrange 4 water bottles, Sanitizer and 2 coke bottles</t>
  </si>
  <si>
    <t>24th Sep'24</t>
  </si>
  <si>
    <t>20/11/2024</t>
  </si>
  <si>
    <t>MR-605 WS F- 743 and 744</t>
  </si>
  <si>
    <t>Keep the Cookies, Brownies in the meeting room at8:15 am. Lunch will be in the cafereia. Arrnage the Evening Snacks at 3:30 pm</t>
  </si>
  <si>
    <t>Sandro's Meeting - Group Security</t>
  </si>
  <si>
    <t>14th Nov'24</t>
  </si>
  <si>
    <t>13th Nov'24</t>
  </si>
  <si>
    <t>Enterprise Data Analytics EDA Townhall</t>
  </si>
  <si>
    <t>21/11/2024</t>
  </si>
  <si>
    <t>WS F- 743 and 744</t>
  </si>
  <si>
    <t>1-1 each workstation</t>
  </si>
  <si>
    <t>Arrange the water bottles and tissue box and small sanitizer</t>
  </si>
  <si>
    <t>504 and 505 and 105</t>
  </si>
  <si>
    <t xml:space="preserve">1 person in each meeting room </t>
  </si>
  <si>
    <t>22/11/2024</t>
  </si>
  <si>
    <t>Arrange 4 water bottles &amp; Tissue Boxe, Sanitizer</t>
  </si>
  <si>
    <t>W.S-034</t>
  </si>
  <si>
    <t xml:space="preserve">for single </t>
  </si>
  <si>
    <t>Arrnage 4 water bottles and replenish</t>
  </si>
  <si>
    <t>Technology Innovation Month Events</t>
  </si>
  <si>
    <t>23/11/2024</t>
  </si>
  <si>
    <t>24/11/2024</t>
  </si>
  <si>
    <t>25/11/2024</t>
  </si>
  <si>
    <t>T&amp;EO Cross Divisional Execution &amp; Governance Town Hall</t>
  </si>
  <si>
    <t>Arrnage 4 water bottles and replenish the water bottles</t>
  </si>
  <si>
    <t>26/11/2024</t>
  </si>
  <si>
    <t>27/11/2024</t>
  </si>
  <si>
    <t>Piya Sharma</t>
  </si>
  <si>
    <t>Arrnage 8 water bottles 4 Cokes and Check the meeting rooms if require more water bottles</t>
  </si>
  <si>
    <t xml:space="preserve">60 pax </t>
  </si>
  <si>
    <t>Anuj Gupta - Business and Personal Banking</t>
  </si>
  <si>
    <t>Fire Side Chat with Aaron McCullough- G</t>
  </si>
  <si>
    <t>Rupika Singh</t>
  </si>
  <si>
    <t>SME Network Day</t>
  </si>
  <si>
    <t>12th Nov'24</t>
  </si>
  <si>
    <t>Postponed the event</t>
  </si>
  <si>
    <t>28/11/2024</t>
  </si>
  <si>
    <t>Making Idea Sticks</t>
  </si>
  <si>
    <t>20th Nov'24</t>
  </si>
  <si>
    <t>Innovation Shark Tank – Final Pitch Day</t>
  </si>
  <si>
    <t>27th Nov'24</t>
  </si>
  <si>
    <t>Diwan- E-Khas</t>
  </si>
  <si>
    <t>Set-up - 8 tables (6 chairs each) for 48 colleagues</t>
  </si>
  <si>
    <t>Open the glass door as well and keep the Queue Manager over there.Open the glass door as well and keep the Queue Manager over there.</t>
  </si>
  <si>
    <t>Also place the white board tomorrow in MR-107 and P&amp; C require the white board till 10th Dec’24 at their bay</t>
  </si>
  <si>
    <t>29/11/2024</t>
  </si>
  <si>
    <t>18th Nov;24</t>
  </si>
  <si>
    <t>30/11/2024</t>
  </si>
  <si>
    <t>EVENT OPERATIONS TRACKER • DEC24</t>
  </si>
  <si>
    <t>Arrange the water bottles (4) tissue boxes and sanitizer</t>
  </si>
  <si>
    <t>Classroom Type sitting, add 15 more chairs, one chair with table for the facilitator</t>
  </si>
  <si>
    <t>Third Party Risk Management</t>
  </si>
  <si>
    <t>26th Nov'24</t>
  </si>
  <si>
    <t>5 chairs and 1 table for 5 groups</t>
  </si>
  <si>
    <t>Csutomer Enabling Technology Townhall</t>
  </si>
  <si>
    <t>Business and Personal Banking team connect with Gretel.</t>
  </si>
  <si>
    <t>Nimish</t>
  </si>
  <si>
    <t>29th Nov'24</t>
  </si>
  <si>
    <t>Theater Type sitting, remove the tables. Keep one chair and One table for the facilitator</t>
  </si>
  <si>
    <t>KYT Session</t>
  </si>
  <si>
    <t>Siddharth- Divison Control Office</t>
  </si>
  <si>
    <t>18th Oct'24</t>
  </si>
  <si>
    <t>P &amp; C Staff Meeting</t>
  </si>
  <si>
    <t>28th Nov'24</t>
  </si>
  <si>
    <t>2nd Dec'24</t>
  </si>
  <si>
    <t>Theater Type sitting, remove the tables.</t>
  </si>
  <si>
    <t>Teams of Team</t>
  </si>
  <si>
    <t>Codility Winners Award</t>
  </si>
  <si>
    <t>5th Dec'24</t>
  </si>
  <si>
    <t>Townhall (Ops and Banking Tech)</t>
  </si>
  <si>
    <t>3rd Nov'24</t>
  </si>
  <si>
    <t>4th Dec'24</t>
  </si>
  <si>
    <t>Theater Type sitting / Kindly arrange the set up of 60 pax</t>
  </si>
  <si>
    <t>DCO &amp; CF Christmas Celebration</t>
  </si>
  <si>
    <t>10th Dec'24</t>
  </si>
  <si>
    <t>Theater Type sitting - no table require, only keep one table and one chair for the facilitator</t>
  </si>
  <si>
    <t>Movedto MR-601</t>
  </si>
  <si>
    <t>13/12/2024</t>
  </si>
  <si>
    <t>14/12/2024</t>
  </si>
  <si>
    <t>15/12/2024</t>
  </si>
  <si>
    <t>16/12/2024</t>
  </si>
  <si>
    <t>Classroom sitting, and keep one chair and one table for the facilitator</t>
  </si>
  <si>
    <t>Data Delivery December Townhall</t>
  </si>
  <si>
    <t>Moved from 107</t>
  </si>
  <si>
    <t>1no</t>
  </si>
  <si>
    <t>Place 4 water bottles, Small Sanitizer, Tissue Box Markers and Duster</t>
  </si>
  <si>
    <t>Kalapana Sharma</t>
  </si>
  <si>
    <t>12th Dec'24</t>
  </si>
  <si>
    <t>Posteponed on 17th Dec'24</t>
  </si>
  <si>
    <t>Enterprise Tech. All Hands Meeting</t>
  </si>
  <si>
    <t>Manoj Mehta- Enterprise Tech</t>
  </si>
  <si>
    <t>3rd Dec'24</t>
  </si>
  <si>
    <t>17/12/2024</t>
  </si>
  <si>
    <t>PW &amp; IP Townhall</t>
  </si>
  <si>
    <t>Annual Cohort</t>
  </si>
  <si>
    <t>Skhika Oberoi</t>
  </si>
  <si>
    <t>Quality Assurance Townhall</t>
  </si>
  <si>
    <t>18/12/2024</t>
  </si>
  <si>
    <t>Colleague Session</t>
  </si>
  <si>
    <t>Manisha Chawla</t>
  </si>
  <si>
    <t>19th Nov'24</t>
  </si>
  <si>
    <t>19/12/2024</t>
  </si>
  <si>
    <t>Design Brief for SLT/ExLT</t>
  </si>
  <si>
    <t>11th Dec'24</t>
  </si>
  <si>
    <t>20/12/2024</t>
  </si>
  <si>
    <t>Training - Of new joiners- B &amp; PB (OPS)</t>
  </si>
  <si>
    <t>21/12/2024</t>
  </si>
  <si>
    <t>22/12/2024</t>
  </si>
  <si>
    <t>23/12/2024</t>
  </si>
  <si>
    <t>Azure Workshop</t>
  </si>
  <si>
    <t>Classroom Type Sitting</t>
  </si>
  <si>
    <t>tables with two chairs and also arrnag</t>
  </si>
  <si>
    <t>24/12/2024</t>
  </si>
  <si>
    <t>25/12/2024</t>
  </si>
  <si>
    <t>26/12/2024</t>
  </si>
  <si>
    <t>27/12/2024</t>
  </si>
  <si>
    <t>28/12/2024</t>
  </si>
  <si>
    <t>29/12/2024</t>
  </si>
  <si>
    <t>30/12/2024</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</si>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</sst>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hh:mm\ AM/PM"/>
  </numFmts>
  <fonts count="35">
    <font>
      <sz val="11"/>
      <color theme="1"/>
      <name val="Calibri"/>
      <family val="2"/>
      <scheme val="minor"/>
    </font>
    <font>
      <u/>
      <sz val="11"/>
      <color theme="10"/>
      <name val="Calibri"/>
      <family val="2"/>
      <scheme val="minor"/>
    </font>
    <font>
      <b/>
      <u/>
      <sz val="10"/>
      <color rgb="FFFFFFFF"/>
      <name val="Segoe UI"/>
    </font>
    <font>
      <b/>
      <sz val="11"/>
      <color rgb="FFFFFFFF"/>
      <name val="Segoe UI"/>
    </font>
    <font>
      <b/>
      <sz val="10"/>
      <color rgb="FFFFFFFF"/>
      <name val="Segoe UI"/>
    </font>
    <font>
      <sz val="10"/>
      <color rgb="FF000000"/>
      <name val="Segoe UI"/>
    </font>
    <font>
      <sz val="10"/>
      <color rgb="FF333333"/>
      <name val="Segoe UI"/>
    </font>
    <font>
      <sz val="10"/>
      <color rgb="FF595959"/>
      <name val="Segoe UI"/>
    </font>
    <font>
      <b/>
      <sz val="10"/>
      <color rgb="FF1B365D"/>
      <name val="Segoe UI"/>
    </font>
    <font>
      <b/>
      <sz val="10"/>
      <color rgb="FF1F4E79"/>
      <name val="Segoe UI"/>
    </font>
    <font>
      <b/>
      <sz val="10"/>
      <color rgb="FF000000"/>
      <name val="Segoe UI"/>
    </font>
    <font>
      <b/>
      <sz val="15"/>
      <color rgb="FFFFFFFF"/>
      <name val="Segoe UI"/>
    </font>
    <font>
      <sz val="10"/>
      <color rgb="FFDCE6F1"/>
      <name val="Segoe UI"/>
    </font>
    <font>
      <b/>
      <sz val="9"/>
      <color rgb="FF595959"/>
      <name val="Segoe UI"/>
    </font>
    <font>
      <b/>
      <sz val="18"/>
      <color rgb="FF1B365D"/>
      <name val="Segoe UI"/>
    </font>
    <font>
      <sz val="8"/>
      <color rgb="FF7F7F7F"/>
      <name val="Segoe UI"/>
    </font>
    <font>
      <b/>
      <sz val="18"/>
      <color rgb="FFFFFFFF"/>
      <name val="Segoe UI"/>
    </font>
    <font>
      <b/>
      <sz val="9"/>
      <color rgb="FF1B365D"/>
      <name val="Segoe UI"/>
    </font>
    <font>
      <b/>
      <sz val="18"/>
      <color rgb="FF1F4E79"/>
      <name val="Segoe UI"/>
    </font>
    <font>
      <b/>
      <sz val="8"/>
      <color rgb="FF1B365D"/>
      <name val="Segoe UI"/>
    </font>
    <font>
      <b/>
      <sz val="9"/>
      <color rgb="FF1F4E79"/>
      <name val="Segoe UI"/>
    </font>
    <font>
      <b/>
      <sz val="8"/>
      <color rgb="FF1F4E79"/>
      <name val="Segoe UI"/>
    </font>
    <font>
      <b/>
      <u/>
      <sz val="10"/>
      <color rgb="FF0055AA"/>
      <name val="Segoe UI"/>
    </font>
    <font>
      <b/>
      <sz val="12"/>
      <color rgb="FF1B365D"/>
      <name val="Segoe UI"/>
    </font>
    <font>
      <b/>
      <sz val="10"/>
      <color rgb="FF276A3C"/>
      <name val="Segoe UI"/>
    </font>
    <font>
      <b/>
      <sz val="14"/>
      <color rgb="FF1B365D"/>
      <name val="Segoe UI"/>
    </font>
    <font>
      <b/>
      <sz val="14"/>
      <color rgb="FFFFFFFF"/>
      <name val="Segoe UI"/>
    </font>
    <font>
      <b/>
      <sz val="14"/>
      <color rgb="FF000000"/>
      <name val="Segoe UI"/>
    </font>
    <font>
      <b/>
      <sz val="13"/>
      <color rgb="FF1B365D"/>
      <name val="Segoe UI"/>
    </font>
    <font>
      <b/>
      <sz val="9"/>
      <color rgb="FF333333"/>
      <name val="Segoe UI"/>
    </font>
    <font>
      <b/>
      <sz val="12"/>
      <color rgb="FF1F4E79"/>
      <name val="Segoe UI"/>
    </font>
    <font>
      <sz val="9"/>
      <color rgb="FF1B365D"/>
      <name val="Segoe UI"/>
    </font>
    <font>
      <sz val="8"/>
      <color rgb="FF333333"/>
      <name val="Segoe UI"/>
    </font>
    <font>
      <i/>
      <sz val="8"/>
      <color rgb="FF595959"/>
      <name val="Segoe UI"/>
    </font>
    <font>
      <b/>
      <sz val="10"/>
      <color theme="1"/>
      <name val="Segoe UI"/>
    </font>
  </fonts>
  <fills count="23">
    <fill>
      <patternFill patternType="none"/>
    </fill>
    <fill>
      <patternFill patternType="gray125"/>
    </fill>
    <fill>
      <patternFill patternType="solid">
        <fgColor rgb="FF1B365D"/>
        <bgColor rgb="FF1B365D"/>
      </patternFill>
    </fill>
    <fill>
      <patternFill patternType="solid">
        <fgColor rgb="FF2C4D75"/>
        <bgColor rgb="FF2C4D75"/>
      </patternFill>
    </fill>
    <fill>
      <patternFill patternType="solid">
        <fgColor rgb="FF00B050"/>
        <bgColor rgb="FF00B050"/>
      </patternFill>
    </fill>
    <fill>
      <patternFill patternType="solid">
        <fgColor rgb="FFF2F4F7"/>
        <bgColor rgb="FFF2F4F7"/>
      </patternFill>
    </fill>
    <fill>
      <patternFill patternType="solid">
        <fgColor rgb="FFEBF5FB"/>
        <bgColor rgb="FFEBF5FB"/>
      </patternFill>
    </fill>
    <fill>
      <patternFill patternType="solid">
        <fgColor rgb="FFFF0000"/>
        <bgColor rgb="FFFF0000"/>
      </patternFill>
    </fill>
    <fill>
      <patternFill patternType="solid">
        <fgColor rgb="FFDDEBF7"/>
        <bgColor rgb="FFDDEBF7"/>
      </patternFill>
    </fill>
    <fill>
      <patternFill patternType="solid">
        <fgColor rgb="FFFFFF00"/>
        <bgColor rgb="FFFFFF00"/>
      </patternFill>
    </fill>
    <fill>
      <patternFill patternType="solid">
        <fgColor rgb="FF0F2537"/>
        <bgColor rgb="FF0F2537"/>
      </patternFill>
    </fill>
    <fill>
      <patternFill patternType="solid">
        <fgColor rgb="FF008080"/>
        <bgColor rgb="FF008080"/>
      </patternFill>
    </fill>
    <fill>
      <patternFill patternType="solid">
        <fgColor rgb="FFF8FAFC"/>
        <bgColor rgb="FFF8FAFC"/>
      </patternFill>
    </fill>
    <fill>
      <patternFill patternType="solid">
        <fgColor rgb="FF4A69BD"/>
        <bgColor rgb="FF4A69BD"/>
      </patternFill>
    </fill>
    <fill>
      <patternFill patternType="solid">
        <fgColor rgb="FF204A87"/>
        <bgColor rgb="FF204A87"/>
      </patternFill>
    </fill>
    <fill>
      <patternFill patternType="solid">
        <fgColor rgb="FFE9EEF4"/>
        <bgColor rgb="FFE9EEF4"/>
      </patternFill>
    </fill>
    <fill>
      <patternFill patternType="solid">
        <fgColor rgb="FFFFF2CC"/>
        <bgColor rgb="FFFFF2CC"/>
      </patternFill>
    </fill>
    <fill>
      <patternFill patternType="solid">
        <fgColor rgb="FFE2F0D9"/>
        <bgColor rgb="FFE2F0D9"/>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00B050"/>
        <bgColor rgb="FFFFFF00"/>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136">
    <xf numFmtId="0" fontId="0" fillId="0" borderId="0" xfId="0"/>
    <xf numFmtId="0" fontId="4" fillId="4"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2" fillId="0" borderId="1" xfId="0" applyFont="1" applyBorder="1" applyAlignment="1">
      <alignment horizontal="center" vertical="center" wrapText="1"/>
    </xf>
    <xf numFmtId="3" fontId="10" fillId="0" borderId="1" xfId="0" applyNumberFormat="1" applyFont="1" applyBorder="1" applyAlignment="1">
      <alignment horizontal="center" vertical="center" wrapText="1"/>
    </xf>
    <xf numFmtId="3" fontId="4" fillId="4" borderId="1" xfId="0" applyNumberFormat="1" applyFont="1" applyFill="1" applyBorder="1" applyAlignment="1">
      <alignment horizontal="center" vertical="center" wrapText="1"/>
    </xf>
    <xf numFmtId="3" fontId="10" fillId="9" borderId="1" xfId="0" applyNumberFormat="1" applyFont="1" applyFill="1" applyBorder="1" applyAlignment="1">
      <alignment horizontal="center" vertical="center" wrapText="1"/>
    </xf>
    <xf numFmtId="3" fontId="4" fillId="7" borderId="1" xfId="0" applyNumberFormat="1" applyFont="1" applyFill="1" applyBorder="1" applyAlignment="1">
      <alignment horizontal="center" vertical="center" wrapText="1"/>
    </xf>
    <xf numFmtId="3" fontId="5"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3" fontId="8" fillId="6" borderId="1" xfId="0" applyNumberFormat="1" applyFont="1" applyFill="1" applyBorder="1" applyAlignment="1">
      <alignment horizontal="center" vertical="center" wrapText="1"/>
    </xf>
    <xf numFmtId="3" fontId="9" fillId="8" borderId="1" xfId="0" applyNumberFormat="1" applyFont="1" applyFill="1" applyBorder="1" applyAlignment="1">
      <alignment horizontal="center" vertical="center" wrapText="1"/>
    </xf>
    <xf numFmtId="0" fontId="8" fillId="15" borderId="1" xfId="0" applyFont="1" applyFill="1" applyBorder="1" applyAlignment="1">
      <alignment horizontal="center" vertical="center" wrapText="1"/>
    </xf>
    <xf numFmtId="3" fontId="8" fillId="15" borderId="1" xfId="0" applyNumberFormat="1" applyFont="1" applyFill="1" applyBorder="1" applyAlignment="1">
      <alignment horizontal="center" vertical="center" wrapText="1"/>
    </xf>
    <xf numFmtId="0" fontId="8" fillId="15"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3" fontId="9" fillId="6" borderId="1" xfId="0" applyNumberFormat="1" applyFont="1" applyFill="1" applyBorder="1" applyAlignment="1">
      <alignment horizontal="center" vertical="center" wrapText="1"/>
    </xf>
    <xf numFmtId="164" fontId="10" fillId="0" borderId="1" xfId="0" applyNumberFormat="1" applyFont="1" applyBorder="1" applyAlignment="1">
      <alignment horizontal="center" vertical="center" wrapText="1"/>
    </xf>
    <xf numFmtId="3" fontId="26" fillId="7" borderId="1" xfId="0" applyNumberFormat="1" applyFont="1" applyFill="1" applyBorder="1" applyAlignment="1">
      <alignment horizontal="center" vertical="center" wrapText="1"/>
    </xf>
    <xf numFmtId="3" fontId="28" fillId="6" borderId="1" xfId="0" applyNumberFormat="1" applyFont="1" applyFill="1" applyBorder="1" applyAlignment="1">
      <alignment horizontal="center" vertical="center" wrapText="1"/>
    </xf>
    <xf numFmtId="3" fontId="28" fillId="15" borderId="1" xfId="0" applyNumberFormat="1" applyFont="1" applyFill="1" applyBorder="1" applyAlignment="1">
      <alignment horizontal="center" vertical="center" wrapText="1"/>
    </xf>
    <xf numFmtId="0" fontId="30" fillId="8" borderId="1" xfId="0" applyFont="1" applyFill="1" applyBorder="1" applyAlignment="1">
      <alignment horizontal="center" vertical="center" wrapText="1"/>
    </xf>
    <xf numFmtId="164" fontId="8" fillId="15"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9"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65" fontId="5" fillId="0" borderId="1" xfId="0" applyNumberFormat="1" applyFont="1" applyBorder="1" applyAlignment="1">
      <alignment horizontal="center" vertical="center" wrapText="1"/>
    </xf>
    <xf numFmtId="3" fontId="5" fillId="6" borderId="1" xfId="0" applyNumberFormat="1" applyFont="1" applyFill="1" applyBorder="1" applyAlignment="1">
      <alignment horizontal="center" vertical="center" wrapText="1"/>
    </xf>
    <xf numFmtId="164" fontId="10" fillId="6" borderId="1" xfId="0" applyNumberFormat="1" applyFont="1" applyFill="1" applyBorder="1" applyAlignment="1">
      <alignment horizontal="center" vertical="center" wrapText="1"/>
    </xf>
    <xf numFmtId="3" fontId="5" fillId="15" borderId="1" xfId="0" applyNumberFormat="1" applyFont="1" applyFill="1" applyBorder="1" applyAlignment="1">
      <alignment horizontal="center" vertical="center" wrapText="1"/>
    </xf>
    <xf numFmtId="164" fontId="10" fillId="15"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166" fontId="5" fillId="0" borderId="1" xfId="0" applyNumberFormat="1" applyFont="1" applyBorder="1" applyAlignment="1">
      <alignment horizontal="center" vertical="center" wrapText="1"/>
    </xf>
    <xf numFmtId="0" fontId="8" fillId="6" borderId="1" xfId="0" applyFont="1" applyFill="1" applyBorder="1" applyAlignment="1">
      <alignment horizontal="center" vertical="center" wrapText="1"/>
    </xf>
    <xf numFmtId="0" fontId="5" fillId="0" borderId="1" xfId="1" applyFont="1" applyBorder="1" applyAlignment="1">
      <alignment horizontal="center" vertical="center" wrapText="1"/>
    </xf>
    <xf numFmtId="0" fontId="10" fillId="18" borderId="1" xfId="0" applyFont="1" applyFill="1" applyBorder="1" applyAlignment="1">
      <alignment horizontal="center" vertical="center" wrapText="1"/>
    </xf>
    <xf numFmtId="0" fontId="10" fillId="19"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16" fontId="5" fillId="0" borderId="1"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10" fillId="21" borderId="1" xfId="0" applyFont="1" applyFill="1" applyBorder="1" applyAlignment="1">
      <alignment horizontal="center" vertical="center" wrapText="1"/>
    </xf>
    <xf numFmtId="0" fontId="10" fillId="22" borderId="1" xfId="0" applyFont="1" applyFill="1" applyBorder="1" applyAlignment="1">
      <alignment horizontal="center" vertical="center" wrapText="1"/>
    </xf>
    <xf numFmtId="0" fontId="0" fillId="0" borderId="1" xfId="0" applyBorder="1"/>
    <xf numFmtId="166" fontId="5" fillId="0" borderId="4"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4" fillId="2" borderId="4" xfId="0" applyFont="1" applyFill="1" applyBorder="1" applyAlignment="1">
      <alignment horizontal="center" vertical="center" wrapText="1"/>
    </xf>
    <xf numFmtId="0" fontId="0" fillId="0" borderId="7" xfId="0" applyBorder="1"/>
    <xf numFmtId="0" fontId="5" fillId="19" borderId="1" xfId="0" applyFont="1" applyFill="1" applyBorder="1" applyAlignment="1">
      <alignment horizontal="center" vertical="center" wrapText="1"/>
    </xf>
    <xf numFmtId="0" fontId="0" fillId="0" borderId="5" xfId="0" applyBorder="1"/>
    <xf numFmtId="0" fontId="4" fillId="19"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9" fillId="8" borderId="1" xfId="0" applyNumberFormat="1" applyFont="1" applyFill="1" applyBorder="1" applyAlignment="1">
      <alignment horizontal="center" vertical="center" wrapText="1"/>
    </xf>
    <xf numFmtId="3" fontId="14" fillId="12"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3" fontId="26" fillId="4" borderId="1" xfId="0" applyNumberFormat="1" applyFont="1" applyFill="1" applyBorder="1" applyAlignment="1">
      <alignment horizontal="center" vertical="center" wrapText="1"/>
    </xf>
    <xf numFmtId="3" fontId="16" fillId="4"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3" fillId="14" borderId="1" xfId="0" applyFont="1" applyFill="1" applyBorder="1" applyAlignment="1">
      <alignment horizontal="center" vertical="center" wrapText="1"/>
    </xf>
    <xf numFmtId="3" fontId="27" fillId="9" borderId="1" xfId="0" applyNumberFormat="1" applyFont="1" applyFill="1" applyBorder="1" applyAlignment="1">
      <alignment horizontal="center" vertical="center" wrapText="1"/>
    </xf>
    <xf numFmtId="3" fontId="16" fillId="13" borderId="1" xfId="0" applyNumberFormat="1" applyFont="1" applyFill="1" applyBorder="1" applyAlignment="1">
      <alignment horizontal="center" vertical="center" wrapText="1"/>
    </xf>
    <xf numFmtId="0" fontId="8" fillId="15" borderId="1" xfId="0" applyFont="1" applyFill="1" applyBorder="1" applyAlignment="1">
      <alignment horizontal="center" vertical="center" wrapText="1"/>
    </xf>
    <xf numFmtId="3" fontId="10" fillId="15"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3" fontId="18"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3" fontId="25" fillId="12" borderId="1" xfId="0" applyNumberFormat="1" applyFont="1" applyFill="1" applyBorder="1" applyAlignment="1">
      <alignment horizontal="center" vertical="center" wrapText="1"/>
    </xf>
    <xf numFmtId="0" fontId="8" fillId="12"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4" fontId="28" fillId="12" borderId="1" xfId="0" applyNumberFormat="1" applyFont="1" applyFill="1" applyBorder="1" applyAlignment="1">
      <alignment horizontal="center" vertical="center" wrapText="1"/>
    </xf>
    <xf numFmtId="0" fontId="29" fillId="15" borderId="1" xfId="0" applyFont="1" applyFill="1" applyBorder="1" applyAlignment="1">
      <alignment horizontal="center" vertical="center" wrapText="1"/>
    </xf>
    <xf numFmtId="3" fontId="26" fillId="13" borderId="1" xfId="0" applyNumberFormat="1" applyFont="1" applyFill="1" applyBorder="1" applyAlignment="1">
      <alignment horizontal="center" vertical="center" wrapText="1"/>
    </xf>
    <xf numFmtId="3" fontId="18" fillId="8" borderId="1" xfId="0" applyNumberFormat="1" applyFont="1" applyFill="1" applyBorder="1" applyAlignment="1">
      <alignment horizontal="center" vertical="center" wrapText="1"/>
    </xf>
    <xf numFmtId="0" fontId="12" fillId="2" borderId="0" xfId="0" applyFont="1" applyFill="1" applyAlignment="1">
      <alignment horizontal="center" vertical="center" wrapText="1"/>
    </xf>
    <xf numFmtId="0" fontId="8" fillId="6" borderId="1" xfId="0" applyFont="1" applyFill="1" applyBorder="1" applyAlignment="1">
      <alignment horizontal="left" vertical="center" wrapText="1"/>
    </xf>
    <xf numFmtId="0" fontId="17" fillId="15" borderId="1" xfId="0" applyFont="1" applyFill="1" applyBorder="1" applyAlignment="1">
      <alignment horizontal="left" vertical="center" wrapText="1"/>
    </xf>
    <xf numFmtId="0" fontId="21" fillId="8" borderId="1" xfId="0" applyFont="1" applyFill="1" applyBorder="1" applyAlignment="1">
      <alignment horizontal="center" vertical="center" wrapText="1"/>
    </xf>
    <xf numFmtId="0" fontId="31" fillId="15" borderId="1" xfId="0" applyFont="1" applyFill="1" applyBorder="1" applyAlignment="1">
      <alignment horizontal="left" vertical="center" wrapText="1"/>
    </xf>
    <xf numFmtId="0" fontId="8" fillId="0" borderId="0" xfId="0" applyFont="1" applyAlignment="1">
      <alignment horizontal="left" vertical="center" wrapText="1"/>
    </xf>
    <xf numFmtId="3" fontId="10" fillId="0" borderId="1" xfId="0" applyNumberFormat="1" applyFont="1" applyBorder="1" applyAlignment="1">
      <alignment horizontal="center" vertical="center" wrapText="1"/>
    </xf>
    <xf numFmtId="3" fontId="28" fillId="12" borderId="1" xfId="0" applyNumberFormat="1" applyFont="1" applyFill="1" applyBorder="1" applyAlignment="1">
      <alignment horizontal="center" vertical="center" wrapText="1"/>
    </xf>
    <xf numFmtId="0" fontId="19" fillId="6" borderId="1" xfId="0" applyFont="1" applyFill="1" applyBorder="1" applyAlignment="1">
      <alignment horizontal="center" vertical="center" wrapText="1"/>
    </xf>
    <xf numFmtId="0" fontId="33" fillId="15" borderId="1"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11" fillId="10" borderId="0" xfId="0" applyFont="1" applyFill="1" applyAlignment="1">
      <alignment horizontal="center" vertical="center" wrapText="1"/>
    </xf>
    <xf numFmtId="0" fontId="24" fillId="17" borderId="1" xfId="0" applyFont="1" applyFill="1" applyBorder="1" applyAlignment="1">
      <alignment horizontal="center" vertical="center" wrapText="1"/>
    </xf>
    <xf numFmtId="3" fontId="10" fillId="6" borderId="1"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10" borderId="0" xfId="0" applyFill="1" applyAlignment="1"/>
    <xf numFmtId="0" fontId="0" fillId="2" borderId="0" xfId="0" applyFill="1" applyAlignment="1"/>
    <xf numFmtId="0" fontId="0" fillId="0" borderId="0" xfId="0" applyAlignment="1"/>
    <xf numFmtId="0" fontId="0" fillId="4" borderId="1" xfId="0" applyFill="1" applyBorder="1" applyAlignment="1"/>
    <xf numFmtId="0" fontId="0" fillId="9" borderId="1" xfId="0" applyFill="1" applyBorder="1" applyAlignment="1"/>
    <xf numFmtId="0" fontId="0" fillId="7" borderId="1" xfId="0" applyFill="1" applyBorder="1" applyAlignment="1"/>
    <xf numFmtId="0" fontId="0" fillId="11" borderId="1" xfId="0" applyFill="1" applyBorder="1" applyAlignment="1"/>
    <xf numFmtId="0" fontId="0" fillId="12" borderId="1" xfId="0" applyFill="1" applyBorder="1" applyAlignment="1"/>
    <xf numFmtId="0" fontId="0" fillId="6" borderId="1" xfId="0" applyFill="1" applyBorder="1" applyAlignment="1"/>
    <xf numFmtId="0" fontId="0" fillId="13" borderId="1" xfId="0" applyFill="1" applyBorder="1" applyAlignment="1"/>
    <xf numFmtId="0" fontId="0" fillId="8" borderId="1" xfId="0" applyFill="1" applyBorder="1" applyAlignment="1"/>
    <xf numFmtId="0" fontId="0" fillId="14" borderId="1" xfId="0" applyFill="1" applyBorder="1" applyAlignment="1"/>
    <xf numFmtId="0" fontId="0" fillId="2" borderId="1" xfId="0" applyFill="1" applyBorder="1" applyAlignment="1"/>
    <xf numFmtId="0" fontId="0" fillId="3" borderId="1" xfId="0" applyFill="1" applyBorder="1" applyAlignment="1"/>
    <xf numFmtId="0" fontId="0" fillId="16" borderId="1" xfId="0" applyFill="1" applyBorder="1" applyAlignment="1"/>
    <xf numFmtId="0" fontId="0" fillId="17" borderId="1" xfId="0" applyFill="1" applyBorder="1" applyAlignment="1"/>
    <xf numFmtId="0" fontId="0" fillId="15" borderId="1" xfId="0" applyFill="1" applyBorder="1" applyAlignment="1"/>
    <xf numFmtId="0" fontId="0" fillId="0" borderId="1" xfId="0" applyBorder="1" applyAlignment="1"/>
    <xf numFmtId="0" fontId="0" fillId="5" borderId="1" xfId="0" applyFill="1" applyBorder="1" applyAlignment="1"/>
    <xf numFmtId="0" fontId="0" fillId="0" borderId="2" xfId="0" applyBorder="1" applyAlignment="1"/>
    <xf numFmtId="0" fontId="0" fillId="0" borderId="3"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8" Type="http://schemas.openxmlformats.org/officeDocument/2006/relationships/hyperlink" Target="mailto:Deshraj.deshraj@nab.com.au" TargetMode="External"/><Relationship Id="rId3" Type="http://schemas.openxmlformats.org/officeDocument/2006/relationships/hyperlink" Target="mailto:Vikas.Gakhar@nab.com.au" TargetMode="External"/><Relationship Id="rId7" Type="http://schemas.openxmlformats.org/officeDocument/2006/relationships/hyperlink" Target="mailto:Parul.wadhera@nab.com.au" TargetMode="External"/><Relationship Id="rId2" Type="http://schemas.openxmlformats.org/officeDocument/2006/relationships/hyperlink" Target="mailto:Deshraj.deshraj@nab.com.au" TargetMode="External"/><Relationship Id="rId1" Type="http://schemas.openxmlformats.org/officeDocument/2006/relationships/hyperlink" Target="mailto:Pragyasingh.kadyan@nab.com.au" TargetMode="External"/><Relationship Id="rId6" Type="http://schemas.openxmlformats.org/officeDocument/2006/relationships/hyperlink" Target="mailto:Parul.wadhera@nab.com.au" TargetMode="External"/><Relationship Id="rId11" Type="http://schemas.openxmlformats.org/officeDocument/2006/relationships/hyperlink" Target="mailto:Parul.wadhera@nab.com.au" TargetMode="External"/><Relationship Id="rId5" Type="http://schemas.openxmlformats.org/officeDocument/2006/relationships/hyperlink" Target="mailto:Deshraj.deshraj@nab.com.au" TargetMode="External"/><Relationship Id="rId10" Type="http://schemas.openxmlformats.org/officeDocument/2006/relationships/hyperlink" Target="mailto:Parul.wadhera@nab.com.au" TargetMode="External"/><Relationship Id="rId4" Type="http://schemas.openxmlformats.org/officeDocument/2006/relationships/hyperlink" Target="mailto:Deshraj.deshraj@nab.com.au" TargetMode="External"/><Relationship Id="rId9" Type="http://schemas.openxmlformats.org/officeDocument/2006/relationships/hyperlink" Target="mailto:Parul.wadhera@nab.com.au"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Swati.panwar@nab.com.au" TargetMode="External"/><Relationship Id="rId13" Type="http://schemas.openxmlformats.org/officeDocument/2006/relationships/hyperlink" Target="mailto:Shivani.sadhu@nab.com.au" TargetMode="External"/><Relationship Id="rId3" Type="http://schemas.openxmlformats.org/officeDocument/2006/relationships/hyperlink" Target="mailto:Vaibhav.Srinastava1@nab.com.au" TargetMode="External"/><Relationship Id="rId7" Type="http://schemas.openxmlformats.org/officeDocument/2006/relationships/hyperlink" Target="mailto:Deshraj.Deshraj@nab.com.au" TargetMode="External"/><Relationship Id="rId12" Type="http://schemas.openxmlformats.org/officeDocument/2006/relationships/hyperlink" Target="mailto:Ritika.singhal@nab.com.au" TargetMode="External"/><Relationship Id="rId2" Type="http://schemas.openxmlformats.org/officeDocument/2006/relationships/hyperlink" Target="mailto:Ekta.sharma@nab.com.au" TargetMode="External"/><Relationship Id="rId16" Type="http://schemas.openxmlformats.org/officeDocument/2006/relationships/hyperlink" Target="mailto:Rupika.Nagpal@nab.com.au" TargetMode="External"/><Relationship Id="rId1" Type="http://schemas.openxmlformats.org/officeDocument/2006/relationships/hyperlink" Target="mailto:Amit.joshi@nab.com.au" TargetMode="External"/><Relationship Id="rId6" Type="http://schemas.openxmlformats.org/officeDocument/2006/relationships/hyperlink" Target="mailto:Tarun.jain@nab.com.au" TargetMode="External"/><Relationship Id="rId11" Type="http://schemas.openxmlformats.org/officeDocument/2006/relationships/hyperlink" Target="mailto:Pooja.Kumari@nab.com.au" TargetMode="External"/><Relationship Id="rId5" Type="http://schemas.openxmlformats.org/officeDocument/2006/relationships/hyperlink" Target="mailto:Ashok.Kumar@nab.com.au" TargetMode="External"/><Relationship Id="rId15" Type="http://schemas.openxmlformats.org/officeDocument/2006/relationships/hyperlink" Target="mailto:Nitin.pratap@nab.com.au" TargetMode="External"/><Relationship Id="rId10" Type="http://schemas.openxmlformats.org/officeDocument/2006/relationships/hyperlink" Target="mailto:Ekta.sharma@nab.com.au" TargetMode="External"/><Relationship Id="rId4" Type="http://schemas.openxmlformats.org/officeDocument/2006/relationships/hyperlink" Target="mailto:Apoorva.Agarwal@nab.com.au" TargetMode="External"/><Relationship Id="rId9" Type="http://schemas.openxmlformats.org/officeDocument/2006/relationships/hyperlink" Target="mailto:Vikram.bisht@nab.com.au" TargetMode="External"/><Relationship Id="rId14" Type="http://schemas.openxmlformats.org/officeDocument/2006/relationships/hyperlink" Target="mailto:Kalpana.sharma@nab.com.au"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Parul.wadhera@nab.com.au" TargetMode="External"/><Relationship Id="rId13" Type="http://schemas.openxmlformats.org/officeDocument/2006/relationships/hyperlink" Target="mailto:Maya.Negi@nab.com.au" TargetMode="External"/><Relationship Id="rId3" Type="http://schemas.openxmlformats.org/officeDocument/2006/relationships/hyperlink" Target="mailto:Parul.wadhera@nab.com.au" TargetMode="External"/><Relationship Id="rId7" Type="http://schemas.openxmlformats.org/officeDocument/2006/relationships/hyperlink" Target="mailto:Parul.wadhera@nab.com.au" TargetMode="External"/><Relationship Id="rId12" Type="http://schemas.openxmlformats.org/officeDocument/2006/relationships/hyperlink" Target="mailto:Maya.Negi@nab.com.au" TargetMode="External"/><Relationship Id="rId2" Type="http://schemas.openxmlformats.org/officeDocument/2006/relationships/hyperlink" Target="mailto:Parul.wadhera@nab.com.au" TargetMode="External"/><Relationship Id="rId16" Type="http://schemas.openxmlformats.org/officeDocument/2006/relationships/hyperlink" Target="mailto:Shagun.Agarwal@nab.com.au" TargetMode="External"/><Relationship Id="rId1" Type="http://schemas.openxmlformats.org/officeDocument/2006/relationships/hyperlink" Target="mailto:Shivang.Malhotra@nab.com.au" TargetMode="External"/><Relationship Id="rId6" Type="http://schemas.openxmlformats.org/officeDocument/2006/relationships/hyperlink" Target="mailto:Parul.wadhera@nab.com.au" TargetMode="External"/><Relationship Id="rId11" Type="http://schemas.openxmlformats.org/officeDocument/2006/relationships/hyperlink" Target="mailto:Kaushik.Nag@nab.com.au%20" TargetMode="External"/><Relationship Id="rId5" Type="http://schemas.openxmlformats.org/officeDocument/2006/relationships/hyperlink" Target="mailto:Parul.wadhera@nab.com.au" TargetMode="External"/><Relationship Id="rId15" Type="http://schemas.openxmlformats.org/officeDocument/2006/relationships/hyperlink" Target="mailto:Deshraj.Deshraj@nab.com.au%20" TargetMode="External"/><Relationship Id="rId10" Type="http://schemas.openxmlformats.org/officeDocument/2006/relationships/hyperlink" Target="mailto:Parul.wadhera@nab.com.au" TargetMode="External"/><Relationship Id="rId4" Type="http://schemas.openxmlformats.org/officeDocument/2006/relationships/hyperlink" Target="mailto:Parul.wadhera@nab.com.au" TargetMode="External"/><Relationship Id="rId9" Type="http://schemas.openxmlformats.org/officeDocument/2006/relationships/hyperlink" Target="mailto:Parul.wadhera@nab.com.au" TargetMode="External"/><Relationship Id="rId14" Type="http://schemas.openxmlformats.org/officeDocument/2006/relationships/hyperlink" Target="mailto:Maya.Negi@nab.com.au"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mailto:Latika.chauhan1@nab.com.au" TargetMode="External"/><Relationship Id="rId18" Type="http://schemas.openxmlformats.org/officeDocument/2006/relationships/hyperlink" Target="mailto:Soamya.prasad@nab.com.au" TargetMode="External"/><Relationship Id="rId26" Type="http://schemas.openxmlformats.org/officeDocument/2006/relationships/hyperlink" Target="mailto:Soamya.prasad@nab.com.au" TargetMode="External"/><Relationship Id="rId39" Type="http://schemas.openxmlformats.org/officeDocument/2006/relationships/hyperlink" Target="mailto:Kaushik.Nag@nab.com.au" TargetMode="External"/><Relationship Id="rId21" Type="http://schemas.openxmlformats.org/officeDocument/2006/relationships/hyperlink" Target="mailto:Soamya.prasad@nab.com.au" TargetMode="External"/><Relationship Id="rId34" Type="http://schemas.openxmlformats.org/officeDocument/2006/relationships/hyperlink" Target="mailto:Nitin.Pratap@nab.com.au" TargetMode="External"/><Relationship Id="rId42" Type="http://schemas.openxmlformats.org/officeDocument/2006/relationships/hyperlink" Target="mailto:Rupika.Nagpal@nab.com.au" TargetMode="External"/><Relationship Id="rId47" Type="http://schemas.openxmlformats.org/officeDocument/2006/relationships/hyperlink" Target="mailto:Samarth.Gupta@nab.com.au" TargetMode="External"/><Relationship Id="rId50" Type="http://schemas.openxmlformats.org/officeDocument/2006/relationships/hyperlink" Target="mailto:Rupika.Nagpal@nab.com.au" TargetMode="External"/><Relationship Id="rId7" Type="http://schemas.openxmlformats.org/officeDocument/2006/relationships/hyperlink" Target="mailto:Shikha.saxena@nab.com.au" TargetMode="External"/><Relationship Id="rId2" Type="http://schemas.openxmlformats.org/officeDocument/2006/relationships/hyperlink" Target="mailto:Shivani.Sadhu@nab.com.au" TargetMode="External"/><Relationship Id="rId16" Type="http://schemas.openxmlformats.org/officeDocument/2006/relationships/hyperlink" Target="mailto:Soamya.prasad@nab.com.au" TargetMode="External"/><Relationship Id="rId29" Type="http://schemas.openxmlformats.org/officeDocument/2006/relationships/hyperlink" Target="mailto:Soamya.prasad@nab.com.au" TargetMode="External"/><Relationship Id="rId11" Type="http://schemas.openxmlformats.org/officeDocument/2006/relationships/hyperlink" Target="mailto:Latika.chauhan1@nab.com.au" TargetMode="External"/><Relationship Id="rId24" Type="http://schemas.openxmlformats.org/officeDocument/2006/relationships/hyperlink" Target="mailto:Soamya.prasad@nab.com.au" TargetMode="External"/><Relationship Id="rId32" Type="http://schemas.openxmlformats.org/officeDocument/2006/relationships/hyperlink" Target="mailto:Monika.Rajkumari@nab.com.au" TargetMode="External"/><Relationship Id="rId37" Type="http://schemas.openxmlformats.org/officeDocument/2006/relationships/hyperlink" Target="mailto:Kaushik.Nag@nab.com.au" TargetMode="External"/><Relationship Id="rId40" Type="http://schemas.openxmlformats.org/officeDocument/2006/relationships/hyperlink" Target="mailto:Samarth.Gupta@nab.com.au" TargetMode="External"/><Relationship Id="rId45" Type="http://schemas.openxmlformats.org/officeDocument/2006/relationships/hyperlink" Target="mailto:Latika.chauhan1@nab.com.au" TargetMode="External"/><Relationship Id="rId53" Type="http://schemas.openxmlformats.org/officeDocument/2006/relationships/hyperlink" Target="mailto:shelly.shelly@nab.com.au" TargetMode="External"/><Relationship Id="rId5" Type="http://schemas.openxmlformats.org/officeDocument/2006/relationships/hyperlink" Target="mailto:Anju.verma1@nab.com.au" TargetMode="External"/><Relationship Id="rId10" Type="http://schemas.openxmlformats.org/officeDocument/2006/relationships/hyperlink" Target="mailto:Soamya.prasad@nab.com.au" TargetMode="External"/><Relationship Id="rId19" Type="http://schemas.openxmlformats.org/officeDocument/2006/relationships/hyperlink" Target="mailto:Soamya.prasad@nab.com.au" TargetMode="External"/><Relationship Id="rId31" Type="http://schemas.openxmlformats.org/officeDocument/2006/relationships/hyperlink" Target="mailto:Soamya.prasad@nab.com.au" TargetMode="External"/><Relationship Id="rId44" Type="http://schemas.openxmlformats.org/officeDocument/2006/relationships/hyperlink" Target="mailto:Rupika.Nagpal@nab.com.au" TargetMode="External"/><Relationship Id="rId52" Type="http://schemas.openxmlformats.org/officeDocument/2006/relationships/hyperlink" Target="mailto:Ashish.pahuja@nab.com.au" TargetMode="External"/><Relationship Id="rId4" Type="http://schemas.openxmlformats.org/officeDocument/2006/relationships/hyperlink" Target="mailto:Swati.Panwar@nab.com.au" TargetMode="External"/><Relationship Id="rId9" Type="http://schemas.openxmlformats.org/officeDocument/2006/relationships/hyperlink" Target="mailto:Shikha.saxena@nab.com.au" TargetMode="External"/><Relationship Id="rId14" Type="http://schemas.openxmlformats.org/officeDocument/2006/relationships/hyperlink" Target="mailto:Latika.chauhan1@nab.com.au" TargetMode="External"/><Relationship Id="rId22" Type="http://schemas.openxmlformats.org/officeDocument/2006/relationships/hyperlink" Target="mailto:Soamya.prasad@nab.com.au" TargetMode="External"/><Relationship Id="rId27" Type="http://schemas.openxmlformats.org/officeDocument/2006/relationships/hyperlink" Target="mailto:Soamya.prasad@nab.com.au" TargetMode="External"/><Relationship Id="rId30" Type="http://schemas.openxmlformats.org/officeDocument/2006/relationships/hyperlink" Target="mailto:Soamya.prasad@nab.com.au" TargetMode="External"/><Relationship Id="rId35" Type="http://schemas.openxmlformats.org/officeDocument/2006/relationships/hyperlink" Target="mailto:Rupika.Nagpal@nab.com.au" TargetMode="External"/><Relationship Id="rId43" Type="http://schemas.openxmlformats.org/officeDocument/2006/relationships/hyperlink" Target="mailto:Rupika.Nagpal@nab.com.au" TargetMode="External"/><Relationship Id="rId48" Type="http://schemas.openxmlformats.org/officeDocument/2006/relationships/hyperlink" Target="mailto:Vungkhawlching.Vungkhawlching@nab.com.au" TargetMode="External"/><Relationship Id="rId8" Type="http://schemas.openxmlformats.org/officeDocument/2006/relationships/hyperlink" Target="mailto:Anju.verma1@nab.com.au" TargetMode="External"/><Relationship Id="rId51" Type="http://schemas.openxmlformats.org/officeDocument/2006/relationships/hyperlink" Target="mailto:Rupika.Nagpal@nab.com.au" TargetMode="External"/><Relationship Id="rId3" Type="http://schemas.openxmlformats.org/officeDocument/2006/relationships/hyperlink" Target="mailto:Rupika.Nagpal@nab.com.au" TargetMode="External"/><Relationship Id="rId12" Type="http://schemas.openxmlformats.org/officeDocument/2006/relationships/hyperlink" Target="mailto:Kriti.Kapoor@nab.com.au" TargetMode="External"/><Relationship Id="rId17" Type="http://schemas.openxmlformats.org/officeDocument/2006/relationships/hyperlink" Target="mailto:Soamya.prasad@nab.com.au" TargetMode="External"/><Relationship Id="rId25" Type="http://schemas.openxmlformats.org/officeDocument/2006/relationships/hyperlink" Target="mailto:Soamya.prasad@nab.com.au" TargetMode="External"/><Relationship Id="rId33" Type="http://schemas.openxmlformats.org/officeDocument/2006/relationships/hyperlink" Target="mailto:Kancha..walia@nab.com.au" TargetMode="External"/><Relationship Id="rId38" Type="http://schemas.openxmlformats.org/officeDocument/2006/relationships/hyperlink" Target="mailto:Anjeline.nguyen@nab.com.au" TargetMode="External"/><Relationship Id="rId46" Type="http://schemas.openxmlformats.org/officeDocument/2006/relationships/hyperlink" Target="mailto:Monika.Rajkumari@nab.com.au" TargetMode="External"/><Relationship Id="rId20" Type="http://schemas.openxmlformats.org/officeDocument/2006/relationships/hyperlink" Target="mailto:Soamya.prasad@nab.com.au" TargetMode="External"/><Relationship Id="rId41" Type="http://schemas.openxmlformats.org/officeDocument/2006/relationships/hyperlink" Target="mailto:Rupika.Nagpal@nab.com.au" TargetMode="External"/><Relationship Id="rId54" Type="http://schemas.openxmlformats.org/officeDocument/2006/relationships/hyperlink" Target="mailto:shelly.shelly@nab.com.au" TargetMode="External"/><Relationship Id="rId1" Type="http://schemas.openxmlformats.org/officeDocument/2006/relationships/hyperlink" Target="mailto:Swati.Panwar@nab.com.au" TargetMode="External"/><Relationship Id="rId6" Type="http://schemas.openxmlformats.org/officeDocument/2006/relationships/hyperlink" Target="mailto:Shivani.goyal@nab.com.au" TargetMode="External"/><Relationship Id="rId15" Type="http://schemas.openxmlformats.org/officeDocument/2006/relationships/hyperlink" Target="mailto:Soamya.prasad@nab.com.au" TargetMode="External"/><Relationship Id="rId23" Type="http://schemas.openxmlformats.org/officeDocument/2006/relationships/hyperlink" Target="mailto:Soamya.prasad@nab.com.au" TargetMode="External"/><Relationship Id="rId28" Type="http://schemas.openxmlformats.org/officeDocument/2006/relationships/hyperlink" Target="mailto:Soamya.prasad@nab.com.au" TargetMode="External"/><Relationship Id="rId36" Type="http://schemas.openxmlformats.org/officeDocument/2006/relationships/hyperlink" Target="mailto:Kaushik.Nag@nab.com.au" TargetMode="External"/><Relationship Id="rId49" Type="http://schemas.openxmlformats.org/officeDocument/2006/relationships/hyperlink" Target="mailto:Devika.dorai@nab.com.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mailto:Shikha.mittal@nab.com.au"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18" Type="http://schemas.openxmlformats.org/officeDocument/2006/relationships/hyperlink" Target="mailto:Ravindra.singhrajawat@nab.com.au" TargetMode="External"/><Relationship Id="rId3" Type="http://schemas.openxmlformats.org/officeDocument/2006/relationships/hyperlink" Target="mailto:Craig.Wikson2@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17" Type="http://schemas.openxmlformats.org/officeDocument/2006/relationships/hyperlink" Target="mailto:Ravindra.singhrajawat@nab.com.au" TargetMode="External"/><Relationship Id="rId2" Type="http://schemas.openxmlformats.org/officeDocument/2006/relationships/hyperlink" Target="mailto:Craig.Wikson2@nab.com.au" TargetMode="External"/><Relationship Id="rId16" Type="http://schemas.openxmlformats.org/officeDocument/2006/relationships/hyperlink" Target="mailto:Ravindra.singhrajawat@nab.com.au" TargetMode="External"/><Relationship Id="rId20" Type="http://schemas.openxmlformats.org/officeDocument/2006/relationships/hyperlink" Target="mailto:Shikha.mittal@nab.com.au" TargetMode="External"/><Relationship Id="rId1" Type="http://schemas.openxmlformats.org/officeDocument/2006/relationships/hyperlink" Target="mailto:Rupika.nagpal@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19" Type="http://schemas.openxmlformats.org/officeDocument/2006/relationships/hyperlink" Target="mailto:Anurag.shah@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3" Type="http://schemas.openxmlformats.org/officeDocument/2006/relationships/hyperlink" Target="mailto:Ravindra.singhrajawat@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2" Type="http://schemas.openxmlformats.org/officeDocument/2006/relationships/hyperlink" Target="mailto:Ravindra.singhrajawat@nab.com.au" TargetMode="External"/><Relationship Id="rId16" Type="http://schemas.openxmlformats.org/officeDocument/2006/relationships/hyperlink" Target="mailto:Ravindra.singhrajawat@nab.com.au" TargetMode="External"/><Relationship Id="rId1" Type="http://schemas.openxmlformats.org/officeDocument/2006/relationships/hyperlink" Target="mailto:Ravindra.singhrajawat@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18" Type="http://schemas.openxmlformats.org/officeDocument/2006/relationships/hyperlink" Target="mailto:Ravindra.singhrajawat@nab.com.au" TargetMode="External"/><Relationship Id="rId3" Type="http://schemas.openxmlformats.org/officeDocument/2006/relationships/hyperlink" Target="mailto:Ravindra.singhrajawat@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17" Type="http://schemas.openxmlformats.org/officeDocument/2006/relationships/hyperlink" Target="mailto:Ravindra.singhrajawat@nab.com.au" TargetMode="External"/><Relationship Id="rId2" Type="http://schemas.openxmlformats.org/officeDocument/2006/relationships/hyperlink" Target="mailto:Ravindra.singhrajawat@nab.com.au" TargetMode="External"/><Relationship Id="rId16" Type="http://schemas.openxmlformats.org/officeDocument/2006/relationships/hyperlink" Target="mailto:Ravindra.singhrajawat@nab.com.au" TargetMode="External"/><Relationship Id="rId1" Type="http://schemas.openxmlformats.org/officeDocument/2006/relationships/hyperlink" Target="mailto:Ravindra.singhrajawat@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19" Type="http://schemas.openxmlformats.org/officeDocument/2006/relationships/hyperlink" Target="mailto:Ravindra.singhrajawat@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3" Type="http://schemas.openxmlformats.org/officeDocument/2006/relationships/hyperlink" Target="mailto:Ravindra.singhrajawat@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2" Type="http://schemas.openxmlformats.org/officeDocument/2006/relationships/hyperlink" Target="mailto:Ravindra.singhrajawat@nab.com.au" TargetMode="External"/><Relationship Id="rId1" Type="http://schemas.openxmlformats.org/officeDocument/2006/relationships/hyperlink" Target="mailto:Ravindra.singhrajawat@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3" Type="http://schemas.openxmlformats.org/officeDocument/2006/relationships/hyperlink" Target="mailto:Ravindra.singhrajawat@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17" Type="http://schemas.openxmlformats.org/officeDocument/2006/relationships/hyperlink" Target="mailto:Ravindra.singhrajawat@nab.com.au" TargetMode="External"/><Relationship Id="rId2" Type="http://schemas.openxmlformats.org/officeDocument/2006/relationships/hyperlink" Target="mailto:Ravindra.singhrajawat@nab.com.au" TargetMode="External"/><Relationship Id="rId16" Type="http://schemas.openxmlformats.org/officeDocument/2006/relationships/hyperlink" Target="mailto:Ravindra.singhrajawat@nab.com.au" TargetMode="External"/><Relationship Id="rId1" Type="http://schemas.openxmlformats.org/officeDocument/2006/relationships/hyperlink" Target="mailto:Ravindra.singhrajawat@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mailto:Ravindra.singhrajawat@nab.com.au" TargetMode="External"/><Relationship Id="rId13" Type="http://schemas.openxmlformats.org/officeDocument/2006/relationships/hyperlink" Target="mailto:Ravindra.singhrajawat@nab.com.au" TargetMode="External"/><Relationship Id="rId18" Type="http://schemas.openxmlformats.org/officeDocument/2006/relationships/hyperlink" Target="mailto:Ravindra.singhrajawat@nab.com.au" TargetMode="External"/><Relationship Id="rId3" Type="http://schemas.openxmlformats.org/officeDocument/2006/relationships/hyperlink" Target="mailto:Ravindra.singhrajawat@nab.com.au" TargetMode="External"/><Relationship Id="rId7" Type="http://schemas.openxmlformats.org/officeDocument/2006/relationships/hyperlink" Target="mailto:Ravindra.singhrajawat@nab.com.au" TargetMode="External"/><Relationship Id="rId12" Type="http://schemas.openxmlformats.org/officeDocument/2006/relationships/hyperlink" Target="mailto:Ravindra.singhrajawat@nab.com.au" TargetMode="External"/><Relationship Id="rId17" Type="http://schemas.openxmlformats.org/officeDocument/2006/relationships/hyperlink" Target="mailto:Ravindra.singhrajawat@nab.com.au" TargetMode="External"/><Relationship Id="rId2" Type="http://schemas.openxmlformats.org/officeDocument/2006/relationships/hyperlink" Target="mailto:Ravindra.singhrajawat@nab.com.au" TargetMode="External"/><Relationship Id="rId16" Type="http://schemas.openxmlformats.org/officeDocument/2006/relationships/hyperlink" Target="mailto:Ravindra.singhrajawat@nab.com.au" TargetMode="External"/><Relationship Id="rId1" Type="http://schemas.openxmlformats.org/officeDocument/2006/relationships/hyperlink" Target="mailto:Ravindra.singhrajawat@nab.com.au" TargetMode="External"/><Relationship Id="rId6" Type="http://schemas.openxmlformats.org/officeDocument/2006/relationships/hyperlink" Target="mailto:Ravindra.singhrajawat@nab.com.au" TargetMode="External"/><Relationship Id="rId11" Type="http://schemas.openxmlformats.org/officeDocument/2006/relationships/hyperlink" Target="mailto:Ravindra.singhrajawat@nab.com.au" TargetMode="External"/><Relationship Id="rId5" Type="http://schemas.openxmlformats.org/officeDocument/2006/relationships/hyperlink" Target="mailto:Ravindra.singhrajawat@nab.com.au" TargetMode="External"/><Relationship Id="rId15" Type="http://schemas.openxmlformats.org/officeDocument/2006/relationships/hyperlink" Target="mailto:Ravindra.singhrajawat@nab.com.au" TargetMode="External"/><Relationship Id="rId10" Type="http://schemas.openxmlformats.org/officeDocument/2006/relationships/hyperlink" Target="mailto:Ravindra.singhrajawat@nab.com.au" TargetMode="External"/><Relationship Id="rId4" Type="http://schemas.openxmlformats.org/officeDocument/2006/relationships/hyperlink" Target="mailto:Ravindra.singhrajawat@nab.com.au" TargetMode="External"/><Relationship Id="rId9" Type="http://schemas.openxmlformats.org/officeDocument/2006/relationships/hyperlink" Target="mailto:Ravindra.singhrajawat@nab.com.au" TargetMode="External"/><Relationship Id="rId14" Type="http://schemas.openxmlformats.org/officeDocument/2006/relationships/hyperlink" Target="mailto:Ravindra.singhrajawat@nab.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
  <sheetViews>
    <sheetView topLeftCell="I8" workbookViewId="0">
      <selection activeCell="K31" sqref="K31:S31"/>
    </sheetView>
  </sheetViews>
  <sheetFormatPr defaultRowHeight="14.45"/>
  <cols>
    <col min="1" max="1" width="20" customWidth="1"/>
    <col min="2" max="5" width="14" customWidth="1"/>
    <col min="6" max="6" width="22" customWidth="1"/>
    <col min="7" max="7" width="14" customWidth="1"/>
    <col min="8" max="8" width="20" customWidth="1"/>
    <col min="9" max="10" width="14" customWidth="1"/>
    <col min="11" max="12" width="15" customWidth="1"/>
    <col min="13" max="14" width="14" customWidth="1"/>
    <col min="15" max="15" width="18" customWidth="1"/>
    <col min="16" max="16" width="16" customWidth="1"/>
    <col min="17" max="17" width="18" customWidth="1"/>
    <col min="18" max="18" width="16" customWidth="1"/>
    <col min="19" max="19" width="20" customWidth="1"/>
  </cols>
  <sheetData>
    <row r="1" spans="1:19" ht="32.1" customHeight="1">
      <c r="A1" s="109" t="s">
        <v>0</v>
      </c>
      <c r="B1" s="115"/>
      <c r="C1" s="115"/>
      <c r="D1" s="115"/>
      <c r="E1" s="115"/>
      <c r="F1" s="115"/>
      <c r="G1" s="115"/>
      <c r="H1" s="115"/>
      <c r="I1" s="115"/>
      <c r="J1" s="115"/>
      <c r="K1" s="115"/>
      <c r="L1" s="115"/>
      <c r="M1" s="115"/>
      <c r="N1" s="115"/>
      <c r="O1" s="115"/>
      <c r="P1" s="115"/>
      <c r="Q1" s="115"/>
      <c r="R1" s="115"/>
      <c r="S1" s="115"/>
    </row>
    <row r="2" spans="1:19" ht="20.100000000000001" customHeight="1">
      <c r="A2" s="98" t="s">
        <v>1</v>
      </c>
      <c r="B2" s="116"/>
      <c r="C2" s="116"/>
      <c r="D2" s="116"/>
      <c r="E2" s="116"/>
      <c r="F2" s="116"/>
      <c r="G2" s="116"/>
      <c r="H2" s="116"/>
      <c r="I2" s="116"/>
      <c r="J2" s="116"/>
      <c r="K2" s="116"/>
      <c r="L2" s="116"/>
      <c r="M2" s="116"/>
      <c r="N2" s="116"/>
      <c r="O2" s="116"/>
      <c r="P2" s="116"/>
      <c r="Q2" s="116"/>
      <c r="R2" s="116"/>
      <c r="S2" s="116"/>
    </row>
    <row r="3" spans="1:19" ht="8.1" customHeight="1"/>
    <row r="4" spans="1:19" ht="20.100000000000001" customHeight="1">
      <c r="A4" s="103" t="s">
        <v>2</v>
      </c>
      <c r="B4" s="117"/>
      <c r="C4" s="117"/>
      <c r="D4" s="117"/>
      <c r="E4" s="117"/>
      <c r="F4" s="117"/>
      <c r="G4" s="117"/>
      <c r="H4" s="117"/>
      <c r="I4" s="117"/>
      <c r="J4" s="117"/>
      <c r="K4" s="117"/>
      <c r="L4" s="117"/>
      <c r="M4" s="117"/>
      <c r="N4" s="117"/>
      <c r="O4" s="117"/>
      <c r="P4" s="117"/>
      <c r="Q4" s="117"/>
      <c r="R4" s="117"/>
      <c r="S4" s="117"/>
    </row>
    <row r="5" spans="1:19" ht="26.1" customHeight="1">
      <c r="B5" s="93" t="s">
        <v>3</v>
      </c>
      <c r="C5" s="118"/>
      <c r="D5" s="118"/>
      <c r="E5" s="118"/>
      <c r="G5" s="86" t="s">
        <v>4</v>
      </c>
      <c r="H5" s="119"/>
      <c r="I5" s="119"/>
      <c r="J5" s="119"/>
      <c r="K5" s="119"/>
      <c r="M5" s="84" t="s">
        <v>5</v>
      </c>
      <c r="N5" s="120"/>
      <c r="O5" s="120"/>
      <c r="P5" s="120"/>
      <c r="R5" s="89" t="s">
        <v>6</v>
      </c>
      <c r="S5" s="121"/>
    </row>
    <row r="6" spans="1:19" ht="8.1" customHeight="1"/>
    <row r="7" spans="1:19" ht="18" customHeight="1">
      <c r="B7" s="69" t="s">
        <v>7</v>
      </c>
      <c r="C7" s="122"/>
      <c r="D7" s="93" t="s">
        <v>8</v>
      </c>
      <c r="E7" s="118"/>
      <c r="F7" s="92" t="s">
        <v>9</v>
      </c>
      <c r="G7" s="123"/>
      <c r="H7" s="69" t="s">
        <v>10</v>
      </c>
      <c r="I7" s="122"/>
      <c r="J7" s="70" t="s">
        <v>11</v>
      </c>
      <c r="K7" s="124"/>
      <c r="L7" s="69" t="s">
        <v>12</v>
      </c>
      <c r="M7" s="122"/>
      <c r="N7" s="69" t="s">
        <v>13</v>
      </c>
      <c r="O7" s="122"/>
      <c r="P7" s="68" t="s">
        <v>14</v>
      </c>
      <c r="Q7" s="125"/>
      <c r="R7" s="69" t="s">
        <v>15</v>
      </c>
      <c r="S7" s="122"/>
    </row>
    <row r="8" spans="1:19" ht="32.1" customHeight="1">
      <c r="B8" s="66">
        <f>B25+I28</f>
        <v>1786</v>
      </c>
      <c r="C8" s="122"/>
      <c r="D8" s="75">
        <f>C25+J28</f>
        <v>1298</v>
      </c>
      <c r="E8" s="118"/>
      <c r="F8" s="83">
        <f>P25</f>
        <v>148</v>
      </c>
      <c r="G8" s="123"/>
      <c r="H8" s="66">
        <f>Q25</f>
        <v>1709</v>
      </c>
      <c r="I8" s="122"/>
      <c r="J8" s="79">
        <f>F25+M28</f>
        <v>63482.333333333336</v>
      </c>
      <c r="K8" s="124"/>
      <c r="L8" s="66">
        <f>B25</f>
        <v>605</v>
      </c>
      <c r="M8" s="122"/>
      <c r="N8" s="66">
        <f>I28</f>
        <v>1181</v>
      </c>
      <c r="O8" s="122"/>
      <c r="P8" s="97">
        <f>R25+S25</f>
        <v>77</v>
      </c>
      <c r="Q8" s="125"/>
      <c r="R8" s="66">
        <f>COUNTIF(Master_Event_Tracker_2026!$T$3:$T$5000, "Not Required")</f>
        <v>1808</v>
      </c>
      <c r="S8" s="122"/>
    </row>
    <row r="9" spans="1:19" ht="15.95" customHeight="1">
      <c r="B9" s="87" t="s">
        <v>16</v>
      </c>
      <c r="C9" s="122"/>
      <c r="D9" s="93" t="s">
        <v>17</v>
      </c>
      <c r="E9" s="118"/>
      <c r="F9" s="106" t="s">
        <v>18</v>
      </c>
      <c r="G9" s="123"/>
      <c r="H9" s="87" t="s">
        <v>19</v>
      </c>
      <c r="I9" s="122"/>
      <c r="J9" s="70" t="s">
        <v>20</v>
      </c>
      <c r="K9" s="124"/>
      <c r="L9" s="87" t="s">
        <v>21</v>
      </c>
      <c r="M9" s="122"/>
      <c r="N9" s="87" t="s">
        <v>22</v>
      </c>
      <c r="O9" s="122"/>
      <c r="P9" s="101" t="s">
        <v>23</v>
      </c>
      <c r="Q9" s="125"/>
      <c r="R9" s="87" t="s">
        <v>24</v>
      </c>
      <c r="S9" s="122"/>
    </row>
    <row r="10" spans="1:19" ht="9.9499999999999993" customHeight="1"/>
    <row r="11" spans="1:19" ht="26.1" customHeight="1">
      <c r="A11" s="77" t="s">
        <v>25</v>
      </c>
      <c r="B11" s="126"/>
      <c r="C11" s="126"/>
      <c r="D11" s="126"/>
      <c r="E11" s="126"/>
      <c r="F11" s="126"/>
      <c r="H11" s="72" t="s">
        <v>26</v>
      </c>
      <c r="I11" s="127"/>
      <c r="J11" s="127"/>
      <c r="K11" s="127"/>
      <c r="L11" s="127"/>
      <c r="M11" s="127"/>
      <c r="O11" s="77" t="s">
        <v>27</v>
      </c>
      <c r="P11" s="126"/>
      <c r="Q11" s="126"/>
      <c r="R11" s="126"/>
      <c r="S11" s="126"/>
    </row>
    <row r="12" spans="1:19" ht="24" customHeight="1">
      <c r="A12" s="4" t="s">
        <v>28</v>
      </c>
      <c r="B12" s="4" t="s">
        <v>29</v>
      </c>
      <c r="C12" s="4" t="s">
        <v>30</v>
      </c>
      <c r="D12" s="4" t="s">
        <v>31</v>
      </c>
      <c r="E12" s="4" t="s">
        <v>32</v>
      </c>
      <c r="F12" s="4" t="s">
        <v>33</v>
      </c>
      <c r="H12" s="4" t="s">
        <v>28</v>
      </c>
      <c r="I12" s="4" t="s">
        <v>29</v>
      </c>
      <c r="J12" s="4" t="s">
        <v>30</v>
      </c>
      <c r="K12" s="4" t="s">
        <v>31</v>
      </c>
      <c r="L12" s="4" t="s">
        <v>32</v>
      </c>
      <c r="M12" s="4" t="s">
        <v>33</v>
      </c>
      <c r="O12" s="4" t="s">
        <v>34</v>
      </c>
      <c r="P12" s="4" t="s">
        <v>35</v>
      </c>
      <c r="Q12" s="4" t="s">
        <v>36</v>
      </c>
      <c r="R12" s="4" t="s">
        <v>37</v>
      </c>
      <c r="S12" s="4" t="s">
        <v>38</v>
      </c>
    </row>
    <row r="13" spans="1:19" ht="20.100000000000001" customHeight="1">
      <c r="A13" s="5" t="s">
        <v>39</v>
      </c>
      <c r="B13" s="6">
        <f>COUNTIF('DT-3 Jan26'!$O$3:$O$500, "&lt;&gt;")</f>
        <v>48</v>
      </c>
      <c r="C13" s="7">
        <f>COUNTIF('DT-3 Jan26'!$O$3:$O$500, "Confirmed (Done)")</f>
        <v>45</v>
      </c>
      <c r="D13" s="8">
        <f>COUNTIF('DT-3 Jan26'!$O$3:$O$500, "Pending Calendar Booking")</f>
        <v>0</v>
      </c>
      <c r="E13" s="9">
        <f>COUNTIF('DT-3 Jan26'!$O$3:$O$500, "Canceled")</f>
        <v>3</v>
      </c>
      <c r="F13" s="10">
        <f>SUM('DT-3 Jan26'!$F$3:$F$500)</f>
        <v>1190</v>
      </c>
      <c r="H13" s="5" t="s">
        <v>39</v>
      </c>
      <c r="I13" s="6">
        <f>COUNTIF('DT-4 Jan26'!$P$3:$P$500, "&lt;&gt;")</f>
        <v>61</v>
      </c>
      <c r="J13" s="7">
        <f>COUNTIF('DT-4 Jan26'!$P$3:$P$500, "Confirmed (Done)")</f>
        <v>54</v>
      </c>
      <c r="K13" s="8">
        <f>COUNTIF('DT-4 Jan26'!$P$3:$P$500, "Pending Calendar Booking")</f>
        <v>0</v>
      </c>
      <c r="L13" s="9">
        <f>COUNTIF('DT-4 Jan26'!$P$3:$P$500, "Canceled")</f>
        <v>7</v>
      </c>
      <c r="M13" s="10">
        <f>SUM('DT-4 Jan26'!$G$3:$G$500)</f>
        <v>2851.3333333333335</v>
      </c>
      <c r="O13" s="11" t="s">
        <v>40</v>
      </c>
      <c r="P13" s="12">
        <f>COUNTIFS(Master_Event_Tracker_2026!$C$3:$C$5000, "Jan", Master_Event_Tracker_2026!$L$3:$L$5000, "Big Event")</f>
        <v>7</v>
      </c>
      <c r="Q13" s="10">
        <f>COUNTIFS(Master_Event_Tracker_2026!$C$3:$C$5000, "Jan", Master_Event_Tracker_2026!$L$3:$L$5000, "Small Event")</f>
        <v>140</v>
      </c>
      <c r="R13" s="13">
        <f>COUNTIF('DT-3 Jan26'!$P$3:$P$500, "Form sent")</f>
        <v>0</v>
      </c>
      <c r="S13" s="13">
        <f>COUNTIF('DT-4 Jan26'!$Q$3:$Q$500, "Form sent")</f>
        <v>0</v>
      </c>
    </row>
    <row r="14" spans="1:19" ht="20.100000000000001" customHeight="1">
      <c r="A14" s="5" t="s">
        <v>41</v>
      </c>
      <c r="B14" s="6">
        <f>COUNTIF('DT-3 Feb26'!$O$3:$O$500, "&lt;&gt;")</f>
        <v>48</v>
      </c>
      <c r="C14" s="7">
        <f>COUNTIF('DT-3 Feb26'!$O$3:$O$500, "Confirmed (Done)")</f>
        <v>44</v>
      </c>
      <c r="D14" s="8">
        <f>COUNTIF('DT-3 Feb26'!$O$3:$O$500, "Pending Calendar Booking")</f>
        <v>0</v>
      </c>
      <c r="E14" s="9">
        <f>COUNTIF('DT-3 Feb26'!$O$3:$O$500, "Canceled")</f>
        <v>4</v>
      </c>
      <c r="F14" s="10">
        <f>SUM('DT-3 Feb26'!$F$3:$F$500)</f>
        <v>1497</v>
      </c>
      <c r="H14" s="5" t="s">
        <v>41</v>
      </c>
      <c r="I14" s="6">
        <f>COUNTIF('DT-4 Feb26'!$P$3:$P$500, "&lt;&gt;")</f>
        <v>119</v>
      </c>
      <c r="J14" s="7">
        <f>COUNTIF('DT-4 Feb26'!$P$3:$P$500, "Confirmed (Done)")</f>
        <v>107</v>
      </c>
      <c r="K14" s="8">
        <f>COUNTIF('DT-4 Feb26'!$P$3:$P$500, "Pending Calendar Booking")</f>
        <v>0</v>
      </c>
      <c r="L14" s="9">
        <f>COUNTIF('DT-4 Feb26'!$P$3:$P$500, "Canceled")</f>
        <v>12</v>
      </c>
      <c r="M14" s="10">
        <f>SUM('DT-4 Feb26'!$G$3:$G$500)</f>
        <v>4731</v>
      </c>
      <c r="O14" s="11" t="s">
        <v>42</v>
      </c>
      <c r="P14" s="12">
        <f>COUNTIFS(Master_Event_Tracker_2026!$C$3:$C$5000, "Feb", Master_Event_Tracker_2026!$L$3:$L$5000, "Big Event")</f>
        <v>22</v>
      </c>
      <c r="Q14" s="10">
        <f>COUNTIFS(Master_Event_Tracker_2026!$C$3:$C$5000, "Feb", Master_Event_Tracker_2026!$L$3:$L$5000, "Small Event")</f>
        <v>183</v>
      </c>
      <c r="R14" s="13">
        <f>COUNTIF('DT-3 Feb26'!$P$3:$P$500, "Form sent")</f>
        <v>0</v>
      </c>
      <c r="S14" s="13">
        <f>COUNTIF('DT-4 Feb26'!$Q$3:$Q$500, "Form sent")</f>
        <v>0</v>
      </c>
    </row>
    <row r="15" spans="1:19" ht="20.100000000000001" customHeight="1">
      <c r="A15" s="5" t="s">
        <v>43</v>
      </c>
      <c r="B15" s="6">
        <f>COUNTIF('DT-3 Mar26'!$O$3:$O$500, "&lt;&gt;")</f>
        <v>59</v>
      </c>
      <c r="C15" s="7">
        <f>COUNTIF('DT-3 Mar26'!$O$3:$O$500, "Confirmed (Done)")</f>
        <v>58</v>
      </c>
      <c r="D15" s="8">
        <f>COUNTIF('DT-3 Mar26'!$O$3:$O$500, "Pending Calendar Booking")</f>
        <v>0</v>
      </c>
      <c r="E15" s="9">
        <f>COUNTIF('DT-3 Mar26'!$O$3:$O$500, "Canceled")</f>
        <v>1</v>
      </c>
      <c r="F15" s="10">
        <f>SUM('DT-3 Mar26'!$F$3:$F$500)</f>
        <v>1910</v>
      </c>
      <c r="H15" s="5" t="s">
        <v>43</v>
      </c>
      <c r="I15" s="6">
        <f>COUNTIF('DT-4 Mar26'!$P$3:$P$500, "&lt;&gt;")</f>
        <v>118</v>
      </c>
      <c r="J15" s="7">
        <f>COUNTIF('DT-4 Mar26'!$P$3:$P$500, "Confirmed (Done)")</f>
        <v>112</v>
      </c>
      <c r="K15" s="8">
        <f>COUNTIF('DT-4 Mar26'!$P$3:$P$500, "Pending Calendar Booking")</f>
        <v>0</v>
      </c>
      <c r="L15" s="9">
        <f>COUNTIF('DT-4 Mar26'!$P$3:$P$500, "Canceled")</f>
        <v>6</v>
      </c>
      <c r="M15" s="10">
        <f>SUM('DT-4 Mar26'!$G$3:$G$500)</f>
        <v>4180</v>
      </c>
      <c r="O15" s="11" t="s">
        <v>44</v>
      </c>
      <c r="P15" s="12">
        <f>COUNTIFS(Master_Event_Tracker_2026!$C$3:$C$5000, "Mar", Master_Event_Tracker_2026!$L$3:$L$5000, "Big Event")</f>
        <v>19</v>
      </c>
      <c r="Q15" s="10">
        <f>COUNTIFS(Master_Event_Tracker_2026!$C$3:$C$5000, "Mar", Master_Event_Tracker_2026!$L$3:$L$5000, "Small Event")</f>
        <v>196</v>
      </c>
      <c r="R15" s="13">
        <f>COUNTIF('DT-3 Mar26'!$P$3:$P$500, "Form sent")</f>
        <v>0</v>
      </c>
      <c r="S15" s="13">
        <f>COUNTIF('DT-4 Mar26'!$Q$3:$Q$500, "Form sent")</f>
        <v>0</v>
      </c>
    </row>
    <row r="16" spans="1:19" ht="20.100000000000001" customHeight="1">
      <c r="A16" s="5" t="s">
        <v>45</v>
      </c>
      <c r="B16" s="6">
        <f>COUNTIF('DT-3 Apr26'!$O$3:$O$500, "&lt;&gt;")</f>
        <v>53</v>
      </c>
      <c r="C16" s="7">
        <f>COUNTIF('DT-3 Apr26'!$O$3:$O$500, "Confirmed (Done)")</f>
        <v>51</v>
      </c>
      <c r="D16" s="8">
        <f>COUNTIF('DT-3 Apr26'!$O$3:$O$500, "Pending Calendar Booking")</f>
        <v>0</v>
      </c>
      <c r="E16" s="9">
        <f>COUNTIF('DT-3 Apr26'!$O$3:$O$500, "Canceled")</f>
        <v>2</v>
      </c>
      <c r="F16" s="10">
        <f>SUM('DT-3 Apr26'!$F$3:$F$500)</f>
        <v>1713</v>
      </c>
      <c r="H16" s="5" t="s">
        <v>45</v>
      </c>
      <c r="I16" s="6">
        <f>COUNTIF('DT-4 Apr26'!$P$3:$P$500, "&lt;&gt;")</f>
        <v>68</v>
      </c>
      <c r="J16" s="7">
        <f>COUNTIF('DT-4 Apr26'!$P$3:$P$500, "Confirmed (Done)")</f>
        <v>61</v>
      </c>
      <c r="K16" s="8">
        <f>COUNTIF('DT-4 Apr26'!$P$3:$P$500, "Pending Calendar Booking")</f>
        <v>0</v>
      </c>
      <c r="L16" s="9">
        <f>COUNTIF('DT-4 Apr26'!$P$3:$P$500, "Canceled")</f>
        <v>7</v>
      </c>
      <c r="M16" s="10">
        <f>SUM('DT-4 Apr26'!$G$3:$G$500)</f>
        <v>3063</v>
      </c>
      <c r="O16" s="11" t="s">
        <v>46</v>
      </c>
      <c r="P16" s="12">
        <f>COUNTIFS(Master_Event_Tracker_2026!$C$3:$C$5000, "Apr", Master_Event_Tracker_2026!$L$3:$L$5000, "Big Event")</f>
        <v>13</v>
      </c>
      <c r="Q16" s="10">
        <f>COUNTIFS(Master_Event_Tracker_2026!$C$3:$C$5000, "Apr", Master_Event_Tracker_2026!$L$3:$L$5000, "Small Event")</f>
        <v>108</v>
      </c>
      <c r="R16" s="13">
        <f>COUNTIF('DT-3 Apr26'!$P$3:$P$500, "Form sent")</f>
        <v>0</v>
      </c>
      <c r="S16" s="13">
        <f>COUNTIF('DT-4 Apr26'!$Q$3:$Q$500, "Form sent")</f>
        <v>0</v>
      </c>
    </row>
    <row r="17" spans="1:19" ht="20.100000000000001" customHeight="1">
      <c r="A17" s="5" t="s">
        <v>47</v>
      </c>
      <c r="B17" s="6">
        <f>COUNTIF('DT-3 May26'!$O$3:$O$500, "&lt;&gt;")</f>
        <v>48</v>
      </c>
      <c r="C17" s="7">
        <f>COUNTIF('DT-3 May26'!$O$3:$O$500, "Confirmed (Done)")</f>
        <v>45</v>
      </c>
      <c r="D17" s="8">
        <f>COUNTIF('DT-3 May26'!$O$3:$O$500, "Pending Calendar Booking")</f>
        <v>0</v>
      </c>
      <c r="E17" s="9">
        <f>COUNTIF('DT-3 May26'!$O$3:$O$500, "Canceled")</f>
        <v>3</v>
      </c>
      <c r="F17" s="10">
        <f>SUM('DT-3 May26'!$F$3:$F$500)</f>
        <v>1200</v>
      </c>
      <c r="H17" s="5" t="s">
        <v>47</v>
      </c>
      <c r="I17" s="6">
        <f>COUNTIF('DT-4 May26'!$P$3:$P$500, "&lt;&gt;")</f>
        <v>92</v>
      </c>
      <c r="J17" s="7">
        <f>COUNTIF('DT-4 May26'!$P$3:$P$500, "Confirmed (Done)")</f>
        <v>89</v>
      </c>
      <c r="K17" s="8">
        <f>COUNTIF('DT-4 May26'!$P$3:$P$500, "Pending Calendar Booking")</f>
        <v>0</v>
      </c>
      <c r="L17" s="9">
        <f>COUNTIF('DT-4 May26'!$P$3:$P$500, "Canceled")</f>
        <v>3</v>
      </c>
      <c r="M17" s="10">
        <f>SUM('DT-4 May26'!$G$3:$G$500)</f>
        <v>4474</v>
      </c>
      <c r="O17" s="11" t="s">
        <v>48</v>
      </c>
      <c r="P17" s="12">
        <f>COUNTIFS(Master_Event_Tracker_2026!$C$3:$C$5000, "May", Master_Event_Tracker_2026!$L$3:$L$5000, "Big Event")</f>
        <v>16</v>
      </c>
      <c r="Q17" s="10">
        <f>COUNTIFS(Master_Event_Tracker_2026!$C$3:$C$5000, "May", Master_Event_Tracker_2026!$L$3:$L$5000, "Small Event")</f>
        <v>124</v>
      </c>
      <c r="R17" s="13">
        <f>COUNTIF('DT-3 May26'!$P$3:$P$500, "Form sent")</f>
        <v>0</v>
      </c>
      <c r="S17" s="13">
        <f>COUNTIF('DT-4 May26'!$Q$3:$Q$500, "Form sent")</f>
        <v>0</v>
      </c>
    </row>
    <row r="18" spans="1:19" ht="20.100000000000001" customHeight="1">
      <c r="A18" s="5" t="s">
        <v>49</v>
      </c>
      <c r="B18" s="6">
        <f>COUNTIF('DT-3 Jun26'!$O$3:$O$500, "&lt;&gt;")</f>
        <v>48</v>
      </c>
      <c r="C18" s="7">
        <f>COUNTIF('DT-3 Jun26'!$O$3:$O$500, "Confirmed (Done)")</f>
        <v>45</v>
      </c>
      <c r="D18" s="8">
        <f>COUNTIF('DT-3 Jun26'!$O$3:$O$500, "Pending Calendar Booking")</f>
        <v>0</v>
      </c>
      <c r="E18" s="9">
        <f>COUNTIF('DT-3 Jun26'!$O$3:$O$500, "Canceled")</f>
        <v>3</v>
      </c>
      <c r="F18" s="10">
        <f>SUM('DT-3 Jun26'!$F$3:$F$500)</f>
        <v>1217</v>
      </c>
      <c r="H18" s="5" t="s">
        <v>49</v>
      </c>
      <c r="I18" s="6">
        <f>COUNTIF('DT-4 Jun26'!$P$3:$P$500, "&lt;&gt;")</f>
        <v>118</v>
      </c>
      <c r="J18" s="7">
        <f>COUNTIF('DT-4 Jun26'!$P$3:$P$500, "Confirmed (Done)")</f>
        <v>109</v>
      </c>
      <c r="K18" s="8">
        <f>COUNTIF('DT-4 Jun26'!$P$3:$P$500, "Pending Calendar Booking")</f>
        <v>0</v>
      </c>
      <c r="L18" s="9">
        <f>COUNTIF('DT-4 Jun26'!$P$3:$P$500, "Canceled")</f>
        <v>9</v>
      </c>
      <c r="M18" s="10">
        <f>SUM('DT-4 Jun26'!$G$3:$G$500)</f>
        <v>4958</v>
      </c>
      <c r="O18" s="11" t="s">
        <v>50</v>
      </c>
      <c r="P18" s="12">
        <f>COUNTIFS(Master_Event_Tracker_2026!$C$3:$C$5000, "Jun", Master_Event_Tracker_2026!$L$3:$L$5000, "Big Event")</f>
        <v>14</v>
      </c>
      <c r="Q18" s="10">
        <f>COUNTIFS(Master_Event_Tracker_2026!$C$3:$C$5000, "Jun", Master_Event_Tracker_2026!$L$3:$L$5000, "Small Event")</f>
        <v>152</v>
      </c>
      <c r="R18" s="13">
        <f>COUNTIF('DT-3 Jun26'!$P$3:$P$500, "Form sent")</f>
        <v>0</v>
      </c>
      <c r="S18" s="13">
        <f>COUNTIF('DT-4 Jun26'!$Q$3:$Q$500, "Form sent")</f>
        <v>0</v>
      </c>
    </row>
    <row r="19" spans="1:19" ht="20.100000000000001" customHeight="1">
      <c r="A19" s="5" t="s">
        <v>51</v>
      </c>
      <c r="B19" s="6">
        <f>COUNTIF('DT-3 Jul26'!$O$3:$O$500, "&lt;&gt;")</f>
        <v>64</v>
      </c>
      <c r="C19" s="7">
        <f>COUNTIF('DT-3 Jul26'!$O$3:$O$500, "Confirmed (Done)")</f>
        <v>59</v>
      </c>
      <c r="D19" s="8">
        <f>COUNTIF('DT-3 Jul26'!$O$3:$O$500, "Pending Calendar Booking")</f>
        <v>0</v>
      </c>
      <c r="E19" s="9">
        <f>COUNTIF('DT-3 Jul26'!$O$3:$O$500, "Canceled")</f>
        <v>5</v>
      </c>
      <c r="F19" s="10">
        <f>SUM('DT-3 Jul26'!$F$3:$F$500)</f>
        <v>1682</v>
      </c>
      <c r="H19" s="5" t="s">
        <v>51</v>
      </c>
      <c r="I19" s="6">
        <f>COUNTIF('DT-4 Jul26'!$P$3:$P$500, "&lt;&gt;")</f>
        <v>177</v>
      </c>
      <c r="J19" s="7">
        <f>COUNTIF('DT-4 Jul26'!$P$3:$P$500, "Confirmed (Done)")</f>
        <v>147</v>
      </c>
      <c r="K19" s="8">
        <f>COUNTIF('DT-4 Jul26'!$P$3:$P$500, "Pending Calendar Booking")</f>
        <v>0</v>
      </c>
      <c r="L19" s="9">
        <f>COUNTIF('DT-4 Jul26'!$P$3:$P$500, "Canceled")</f>
        <v>30</v>
      </c>
      <c r="M19" s="10">
        <f>SUM('DT-4 Jul26'!$G$3:$G$500)</f>
        <v>7266</v>
      </c>
      <c r="O19" s="11" t="s">
        <v>52</v>
      </c>
      <c r="P19" s="12">
        <f>COUNTIFS(Master_Event_Tracker_2026!$C$3:$C$5000, "Jul", Master_Event_Tracker_2026!$L$3:$L$5000, "Big Event")</f>
        <v>25</v>
      </c>
      <c r="Q19" s="10">
        <f>COUNTIFS(Master_Event_Tracker_2026!$C$3:$C$5000, "Jul", Master_Event_Tracker_2026!$L$3:$L$5000, "Small Event")</f>
        <v>216</v>
      </c>
      <c r="R19" s="13">
        <f>COUNTIF('DT-3 Jul26'!$P$3:$P$500, "Form sent")</f>
        <v>0</v>
      </c>
      <c r="S19" s="13">
        <f>COUNTIF('DT-4 Jul26'!$Q$3:$Q$500, "Form sent")</f>
        <v>0</v>
      </c>
    </row>
    <row r="20" spans="1:19" ht="20.100000000000001" customHeight="1">
      <c r="A20" s="5" t="s">
        <v>53</v>
      </c>
      <c r="B20" s="6">
        <f>COUNTIF('DT-3 Aug26'!$O$3:$O$501, "&lt;&gt;")</f>
        <v>51</v>
      </c>
      <c r="C20" s="7">
        <f>COUNTIF('DT-3 Aug26'!$O$3:$O$501, "Confirmed (Done)")</f>
        <v>38</v>
      </c>
      <c r="D20" s="8">
        <f>COUNTIF('DT-3 Aug26'!$O$3:$O$501, "Pending Calendar Booking")</f>
        <v>3</v>
      </c>
      <c r="E20" s="9">
        <f>COUNTIF('DT-3 Aug26'!$O$3:$O$501, "Canceled")</f>
        <v>10</v>
      </c>
      <c r="F20" s="10">
        <f>SUM('DT-3 Aug26'!$F$3:$F$501)</f>
        <v>1868</v>
      </c>
      <c r="H20" s="5" t="s">
        <v>53</v>
      </c>
      <c r="I20" s="6">
        <f>COUNTIF('DT-4 Aug26'!$P$3:$P$505, "&lt;&gt;")</f>
        <v>133</v>
      </c>
      <c r="J20" s="7">
        <f>COUNTIF('DT-4 Aug26'!$P$3:$P$505, "Confirmed (Done)")</f>
        <v>109</v>
      </c>
      <c r="K20" s="8">
        <f>COUNTIF('DT-4 Aug26'!$P$3:$P$505, "Pending Calendar Booking")</f>
        <v>0</v>
      </c>
      <c r="L20" s="9">
        <f>COUNTIF('DT-4 Aug26'!$P$3:$P$505, "Canceled")</f>
        <v>24</v>
      </c>
      <c r="M20" s="10">
        <f>SUM('DT-4 Aug26'!$G$3:$G$505)</f>
        <v>6113</v>
      </c>
      <c r="O20" s="11" t="s">
        <v>54</v>
      </c>
      <c r="P20" s="12">
        <f>COUNTIFS(Master_Event_Tracker_2026!$C$3:$C$5000, "Aug", Master_Event_Tracker_2026!$L$3:$L$5000, "Big Event")</f>
        <v>21</v>
      </c>
      <c r="Q20" s="10">
        <f>COUNTIFS(Master_Event_Tracker_2026!$C$3:$C$5000, "Aug", Master_Event_Tracker_2026!$L$3:$L$5000, "Small Event")</f>
        <v>162</v>
      </c>
      <c r="R20" s="13">
        <f>COUNTIF('DT-3 Aug26'!$P$3:$P$501, "Form sent")</f>
        <v>12</v>
      </c>
      <c r="S20" s="13">
        <f>COUNTIF('DT-4 Aug26'!$Q$3:$Q$505, "Form sent")</f>
        <v>65</v>
      </c>
    </row>
    <row r="21" spans="1:19" ht="20.100000000000001" customHeight="1">
      <c r="A21" s="5" t="s">
        <v>55</v>
      </c>
      <c r="B21" s="6">
        <f>COUNTIF('DT-3 Sep26'!$O$3:$O$505, "&lt;&gt;")</f>
        <v>42</v>
      </c>
      <c r="C21" s="7">
        <f>COUNTIF('DT-3 Sep26'!$O$3:$O$505, "Confirmed (Done)")</f>
        <v>22</v>
      </c>
      <c r="D21" s="8">
        <f>COUNTIF('DT-3 Sep26'!$O$3:$O$505, "Pending Calendar Booking")</f>
        <v>20</v>
      </c>
      <c r="E21" s="9">
        <f>COUNTIF('DT-3 Sep26'!$O$3:$O$505, "Canceled")</f>
        <v>0</v>
      </c>
      <c r="F21" s="10">
        <f>SUM('DT-3 Sep26'!$F$3:$F$505)</f>
        <v>1174</v>
      </c>
      <c r="H21" s="5" t="s">
        <v>55</v>
      </c>
      <c r="I21" s="6">
        <f>COUNTIF('DT-4 Sep26'!$P$3:$P$554, "&lt;&gt;")</f>
        <v>136</v>
      </c>
      <c r="J21" s="7">
        <f>COUNTIF('DT-4 Sep26'!$P$3:$P$554, "Confirmed (Done)")</f>
        <v>101</v>
      </c>
      <c r="K21" s="8">
        <f>COUNTIF('DT-4 Sep26'!$P$3:$P$554, "Pending Calendar Booking")</f>
        <v>33</v>
      </c>
      <c r="L21" s="9">
        <f>COUNTIF('DT-4 Sep26'!$P$3:$P$554, "Canceled")</f>
        <v>2</v>
      </c>
      <c r="M21" s="10">
        <f>SUM('DT-4 Sep26'!$G$3:$G$554)</f>
        <v>5687</v>
      </c>
      <c r="O21" s="11" t="s">
        <v>56</v>
      </c>
      <c r="P21" s="12">
        <f>COUNTIFS(Master_Event_Tracker_2026!$C$3:$C$5000, "Sep", Master_Event_Tracker_2026!$L$3:$L$5000, "Big Event")</f>
        <v>8</v>
      </c>
      <c r="Q21" s="10">
        <f>COUNTIFS(Master_Event_Tracker_2026!$C$3:$C$5000, "Sep", Master_Event_Tracker_2026!$L$3:$L$5000, "Small Event")</f>
        <v>143</v>
      </c>
      <c r="R21" s="13">
        <f>COUNTIF('DT-3 Sep26'!$P$3:$P$505, "Form sent")</f>
        <v>0</v>
      </c>
      <c r="S21" s="13">
        <f>COUNTIF('DT-4 Sep26'!$Q$3:$Q$554, "Form sent")</f>
        <v>0</v>
      </c>
    </row>
    <row r="22" spans="1:19" ht="20.100000000000001" customHeight="1">
      <c r="A22" s="5" t="s">
        <v>57</v>
      </c>
      <c r="B22" s="6">
        <f>COUNTIF('DT-3 Oct26'!$O$3:$O$500, "&lt;&gt;")</f>
        <v>48</v>
      </c>
      <c r="C22" s="7">
        <f>COUNTIF('DT-3 Oct26'!$O$3:$O$500, "Confirmed (Done)")</f>
        <v>0</v>
      </c>
      <c r="D22" s="8">
        <f>COUNTIF('DT-3 Oct26'!$O$3:$O$500, "Pending Calendar Booking")</f>
        <v>48</v>
      </c>
      <c r="E22" s="9">
        <f>COUNTIF('DT-3 Oct26'!$O$3:$O$500, "Canceled")</f>
        <v>0</v>
      </c>
      <c r="F22" s="10">
        <f>SUM('DT-3 Oct26'!$F$3:$F$500)</f>
        <v>85</v>
      </c>
      <c r="H22" s="5" t="s">
        <v>57</v>
      </c>
      <c r="I22" s="6">
        <f>COUNTIF('DT-4 Oct26'!$P$3:$P$507, "&lt;&gt;")</f>
        <v>55</v>
      </c>
      <c r="J22" s="7">
        <f>COUNTIF('DT-4 Oct26'!$P$3:$P$507, "Confirmed (Done)")</f>
        <v>2</v>
      </c>
      <c r="K22" s="8">
        <f>COUNTIF('DT-4 Oct26'!$P$3:$P$507, "Pending Calendar Booking")</f>
        <v>53</v>
      </c>
      <c r="L22" s="9">
        <f>COUNTIF('DT-4 Oct26'!$P$3:$P$507, "Canceled")</f>
        <v>0</v>
      </c>
      <c r="M22" s="10">
        <f>SUM('DT-4 Oct26'!$G$3:$G$507)</f>
        <v>1398</v>
      </c>
      <c r="O22" s="11" t="s">
        <v>58</v>
      </c>
      <c r="P22" s="12">
        <f>COUNTIFS(Master_Event_Tracker_2026!$C$3:$C$5000, "Oct", Master_Event_Tracker_2026!$L$3:$L$5000, "Big Event")</f>
        <v>0</v>
      </c>
      <c r="Q22" s="10">
        <f>COUNTIFS(Master_Event_Tracker_2026!$C$3:$C$5000, "Oct", Master_Event_Tracker_2026!$L$3:$L$5000, "Small Event")</f>
        <v>96</v>
      </c>
      <c r="R22" s="13">
        <f>COUNTIF('DT-3 Oct26'!$P$3:$P$500, "Form sent")</f>
        <v>0</v>
      </c>
      <c r="S22" s="13">
        <f>COUNTIF('DT-4 Oct26'!$Q$3:$Q$507, "Form sent")</f>
        <v>0</v>
      </c>
    </row>
    <row r="23" spans="1:19" ht="20.100000000000001" customHeight="1">
      <c r="A23" s="5" t="s">
        <v>59</v>
      </c>
      <c r="B23" s="6">
        <f>COUNTIF('DT-3 Nov26'!$O$3:$O$500, "&lt;&gt;")</f>
        <v>48</v>
      </c>
      <c r="C23" s="7">
        <f>COUNTIF('DT-3 Nov26'!$O$3:$O$500, "Confirmed (Done)")</f>
        <v>0</v>
      </c>
      <c r="D23" s="8">
        <f>COUNTIF('DT-3 Nov26'!$O$3:$O$500, "Pending Calendar Booking")</f>
        <v>48</v>
      </c>
      <c r="E23" s="9">
        <f>COUNTIF('DT-3 Nov26'!$O$3:$O$500, "Canceled")</f>
        <v>0</v>
      </c>
      <c r="F23" s="10">
        <f>SUM('DT-3 Nov26'!$F$3:$F$500)</f>
        <v>200</v>
      </c>
      <c r="H23" s="5" t="s">
        <v>59</v>
      </c>
      <c r="I23" s="6">
        <f>COUNTIF('DT-4 Nov26'!$P$3:$P$505, "&lt;&gt;")</f>
        <v>53</v>
      </c>
      <c r="J23" s="7">
        <f>COUNTIF('DT-4 Nov26'!$P$3:$P$505, "Confirmed (Done)")</f>
        <v>0</v>
      </c>
      <c r="K23" s="8">
        <f>COUNTIF('DT-4 Nov26'!$P$3:$P$505, "Pending Calendar Booking")</f>
        <v>53</v>
      </c>
      <c r="L23" s="9">
        <f>COUNTIF('DT-4 Nov26'!$P$3:$P$505, "Canceled")</f>
        <v>0</v>
      </c>
      <c r="M23" s="10">
        <f>SUM('DT-4 Nov26'!$G$3:$G$505)</f>
        <v>1365</v>
      </c>
      <c r="O23" s="11" t="s">
        <v>60</v>
      </c>
      <c r="P23" s="12">
        <f>COUNTIFS(Master_Event_Tracker_2026!$C$3:$C$5000, "Nov", Master_Event_Tracker_2026!$L$3:$L$5000, "Big Event")</f>
        <v>3</v>
      </c>
      <c r="Q23" s="10">
        <f>COUNTIFS(Master_Event_Tracker_2026!$C$3:$C$5000, "Nov", Master_Event_Tracker_2026!$L$3:$L$5000, "Small Event")</f>
        <v>93</v>
      </c>
      <c r="R23" s="13">
        <f>COUNTIF('DT-3 Nov26'!$P$3:$P$500, "Form sent")</f>
        <v>0</v>
      </c>
      <c r="S23" s="13">
        <f>COUNTIF('DT-4 Nov26'!$Q$3:$Q$505, "Form sent")</f>
        <v>0</v>
      </c>
    </row>
    <row r="24" spans="1:19" ht="20.100000000000001" customHeight="1">
      <c r="A24" s="5" t="s">
        <v>61</v>
      </c>
      <c r="B24" s="6">
        <f>COUNTIF('DT-3 Dec26'!$O$3:$O$500, "&lt;&gt;")</f>
        <v>48</v>
      </c>
      <c r="C24" s="7">
        <f>COUNTIF('DT-3 Dec26'!$O$3:$O$500, "Confirmed (Done)")</f>
        <v>0</v>
      </c>
      <c r="D24" s="8">
        <f>COUNTIF('DT-3 Dec26'!$O$3:$O$500, "Pending Calendar Booking")</f>
        <v>48</v>
      </c>
      <c r="E24" s="9">
        <f>COUNTIF('DT-3 Dec26'!$O$3:$O$500, "Canceled")</f>
        <v>0</v>
      </c>
      <c r="F24" s="10">
        <f>SUM('DT-3 Dec26'!$F$3:$F$500)</f>
        <v>50</v>
      </c>
      <c r="H24" s="5" t="s">
        <v>61</v>
      </c>
      <c r="I24" s="6">
        <f>COUNTIF('DT-4 Dec26'!$P$3:$P$503, "&lt;&gt;")</f>
        <v>51</v>
      </c>
      <c r="J24" s="7">
        <f>COUNTIF('DT-4 Dec26'!$P$3:$P$503, "Confirmed (Done)")</f>
        <v>0</v>
      </c>
      <c r="K24" s="8">
        <f>COUNTIF('DT-4 Dec26'!$P$3:$P$503, "Pending Calendar Booking")</f>
        <v>51</v>
      </c>
      <c r="L24" s="9">
        <f>COUNTIF('DT-4 Dec26'!$P$3:$P$503, "Canceled")</f>
        <v>0</v>
      </c>
      <c r="M24" s="10">
        <f>SUM('DT-4 Dec26'!$G$3:$G$503)</f>
        <v>1010</v>
      </c>
      <c r="O24" s="11" t="s">
        <v>62</v>
      </c>
      <c r="P24" s="12">
        <f>COUNTIFS(Master_Event_Tracker_2026!$C$3:$C$5000, "Dec", Master_Event_Tracker_2026!$L$3:$L$5000, "Big Event")</f>
        <v>0</v>
      </c>
      <c r="Q24" s="10">
        <f>COUNTIFS(Master_Event_Tracker_2026!$C$3:$C$5000, "Dec", Master_Event_Tracker_2026!$L$3:$L$5000, "Small Event")</f>
        <v>96</v>
      </c>
      <c r="R24" s="13">
        <f>COUNTIF('DT-3 Dec26'!$P$3:$P$500, "Form sent")</f>
        <v>0</v>
      </c>
      <c r="S24" s="13">
        <f>COUNTIF('DT-4 Dec26'!$Q$3:$Q$503, "Form sent")</f>
        <v>0</v>
      </c>
    </row>
    <row r="25" spans="1:19" ht="21.95" customHeight="1">
      <c r="A25" s="14" t="s">
        <v>63</v>
      </c>
      <c r="B25" s="15">
        <f>SUM(B13:B24)</f>
        <v>605</v>
      </c>
      <c r="C25" s="15">
        <f>SUM(C13:C24)</f>
        <v>407</v>
      </c>
      <c r="D25" s="15">
        <f>SUM(D13:D24)</f>
        <v>167</v>
      </c>
      <c r="E25" s="15">
        <f>SUM(E13:E24)</f>
        <v>31</v>
      </c>
      <c r="F25" s="15">
        <f>SUM(F13:F24)</f>
        <v>13786</v>
      </c>
      <c r="H25" s="5" t="s">
        <v>64</v>
      </c>
      <c r="I25" s="6">
        <f>COUNTIF('DT-4 Jan27'!$P$3:$P$503, "&lt;&gt;")</f>
        <v>41</v>
      </c>
      <c r="J25" s="7">
        <f>COUNTIF('DT-4 Jan27'!$P$3:$P$503, "Confirmed (Done)")</f>
        <v>8</v>
      </c>
      <c r="K25" s="8">
        <f>COUNTIF('DT-4 Jan27'!$P$3:$P$503, "Pending Calendar Booking")</f>
        <v>33</v>
      </c>
      <c r="L25" s="9">
        <f>COUNTIF('DT-4 Jan27'!$P$3:$P$503, "Canceled")</f>
        <v>0</v>
      </c>
      <c r="M25" s="10">
        <f>SUM('DT-4 Jan27'!$G$3:$G$503)</f>
        <v>800</v>
      </c>
      <c r="O25" s="14" t="s">
        <v>65</v>
      </c>
      <c r="P25" s="12">
        <f>SUM(P13:P24)</f>
        <v>148</v>
      </c>
      <c r="Q25" s="15">
        <f>SUM(Q13:Q24)</f>
        <v>1709</v>
      </c>
      <c r="R25" s="13">
        <f>SUM(R13:R24)</f>
        <v>12</v>
      </c>
      <c r="S25" s="13">
        <f>SUM(S13:S24)</f>
        <v>65</v>
      </c>
    </row>
    <row r="26" spans="1:19" ht="15.95">
      <c r="H26" s="5" t="s">
        <v>66</v>
      </c>
      <c r="I26" s="6">
        <f>COUNTIF('DT-4 Feb27'!$P$3:$P$504, "&lt;&gt;")</f>
        <v>42</v>
      </c>
      <c r="J26" s="7">
        <f>COUNTIF('DT-4 Feb27'!$P$3:$P$504, "Confirmed (Done)")</f>
        <v>8</v>
      </c>
      <c r="K26" s="8">
        <f>COUNTIF('DT-4 Feb27'!$P$3:$P$504, "Pending Calendar Booking")</f>
        <v>34</v>
      </c>
      <c r="L26" s="9">
        <f>COUNTIF('DT-4 Feb27'!$P$3:$P$504, "Canceled")</f>
        <v>0</v>
      </c>
      <c r="M26" s="10">
        <f>SUM('DT-4 Feb27'!$G$3:$G$504)</f>
        <v>850</v>
      </c>
    </row>
    <row r="27" spans="1:19" ht="32.1">
      <c r="H27" s="5" t="s">
        <v>67</v>
      </c>
      <c r="I27" s="6">
        <f>COUNTIF('DT-4 Mar27'!$P$3:$P$503, "&lt;&gt;")</f>
        <v>41</v>
      </c>
      <c r="J27" s="7">
        <f>COUNTIF('DT-4 Mar27'!$P$3:$P$503, "Confirmed (Done)")</f>
        <v>8</v>
      </c>
      <c r="K27" s="8">
        <f>COUNTIF('DT-4 Mar27'!$P$3:$P$503, "Pending Calendar Booking")</f>
        <v>33</v>
      </c>
      <c r="L27" s="9">
        <f>COUNTIF('DT-4 Mar27'!$P$3:$P$503, "Canceled")</f>
        <v>0</v>
      </c>
      <c r="M27" s="10">
        <f>SUM('DT-4 Mar27'!$G$3:$G$503)</f>
        <v>950</v>
      </c>
      <c r="O27" s="4" t="s">
        <v>68</v>
      </c>
      <c r="P27" s="4" t="s">
        <v>69</v>
      </c>
      <c r="R27" s="4" t="s">
        <v>70</v>
      </c>
      <c r="S27" s="4" t="s">
        <v>71</v>
      </c>
    </row>
    <row r="28" spans="1:19" ht="21.95" customHeight="1">
      <c r="H28" s="14" t="s">
        <v>72</v>
      </c>
      <c r="I28" s="15">
        <f>SUM(I13:I24)</f>
        <v>1181</v>
      </c>
      <c r="J28" s="15">
        <f>SUM(J13:J24)</f>
        <v>891</v>
      </c>
      <c r="K28" s="15">
        <f>SUM(K13:K24)</f>
        <v>190</v>
      </c>
      <c r="L28" s="15">
        <f>SUM(L13:L24)</f>
        <v>100</v>
      </c>
      <c r="M28" s="15">
        <f>SUM(M13:M27)</f>
        <v>49696.333333333336</v>
      </c>
      <c r="O28" s="16" t="s">
        <v>73</v>
      </c>
      <c r="P28" s="15">
        <f>E45</f>
        <v>1298</v>
      </c>
      <c r="R28" s="17" t="s">
        <v>74</v>
      </c>
      <c r="S28" s="13">
        <f>R25</f>
        <v>12</v>
      </c>
    </row>
    <row r="29" spans="1:19" ht="32.1">
      <c r="O29" s="18" t="s">
        <v>75</v>
      </c>
      <c r="P29" s="19">
        <f>P25</f>
        <v>148</v>
      </c>
      <c r="R29" s="17" t="s">
        <v>76</v>
      </c>
      <c r="S29" s="13">
        <f>S25</f>
        <v>65</v>
      </c>
    </row>
    <row r="30" spans="1:19" ht="32.1">
      <c r="O30" s="16" t="s">
        <v>77</v>
      </c>
      <c r="P30" s="15">
        <f>Q25</f>
        <v>1709</v>
      </c>
      <c r="R30" s="16" t="s">
        <v>78</v>
      </c>
      <c r="S30" s="15">
        <f>R25+S25</f>
        <v>77</v>
      </c>
    </row>
    <row r="31" spans="1:19" ht="26.1" customHeight="1">
      <c r="A31" s="72" t="s">
        <v>79</v>
      </c>
      <c r="B31" s="127"/>
      <c r="C31" s="127"/>
      <c r="D31" s="127"/>
      <c r="E31" s="127"/>
      <c r="F31" s="127"/>
      <c r="G31" s="127"/>
      <c r="H31" s="127"/>
      <c r="I31" s="127"/>
      <c r="K31" s="77" t="s">
        <v>80</v>
      </c>
      <c r="L31" s="126"/>
      <c r="M31" s="126"/>
      <c r="N31" s="126"/>
      <c r="O31" s="126"/>
      <c r="P31" s="126"/>
      <c r="Q31" s="126"/>
      <c r="R31" s="126"/>
      <c r="S31" s="126"/>
    </row>
    <row r="32" spans="1:19" ht="24" customHeight="1">
      <c r="A32" s="4" t="s">
        <v>34</v>
      </c>
      <c r="B32" s="4" t="s">
        <v>81</v>
      </c>
      <c r="C32" s="4" t="s">
        <v>82</v>
      </c>
      <c r="D32" s="4" t="s">
        <v>29</v>
      </c>
      <c r="E32" s="4" t="s">
        <v>30</v>
      </c>
      <c r="F32" s="4" t="s">
        <v>31</v>
      </c>
      <c r="G32" s="4" t="s">
        <v>32</v>
      </c>
      <c r="H32" s="4" t="s">
        <v>83</v>
      </c>
      <c r="I32" s="4" t="s">
        <v>33</v>
      </c>
      <c r="K32" s="67" t="s">
        <v>84</v>
      </c>
      <c r="L32" s="128"/>
      <c r="M32" s="85" t="s">
        <v>85</v>
      </c>
      <c r="N32" s="129"/>
      <c r="O32" s="129"/>
      <c r="P32" s="110" t="s">
        <v>86</v>
      </c>
      <c r="Q32" s="130"/>
      <c r="R32" s="130"/>
      <c r="S32" s="130"/>
    </row>
    <row r="33" spans="1:19" ht="14.1" customHeight="1">
      <c r="A33" s="11" t="s">
        <v>85</v>
      </c>
      <c r="B33" s="10">
        <f t="shared" ref="B33:B44" si="0">B13</f>
        <v>48</v>
      </c>
      <c r="C33" s="10">
        <f t="shared" ref="C33:C44" si="1">I13</f>
        <v>61</v>
      </c>
      <c r="D33" s="6">
        <f t="shared" ref="D33:D44" si="2">B33+C33</f>
        <v>109</v>
      </c>
      <c r="E33" s="7">
        <f t="shared" ref="E33:E44" si="3">C13+J13</f>
        <v>99</v>
      </c>
      <c r="F33" s="8">
        <f t="shared" ref="F33:F44" si="4">D13+K13</f>
        <v>0</v>
      </c>
      <c r="G33" s="9">
        <f t="shared" ref="G33:G44" si="5">E13+L13</f>
        <v>10</v>
      </c>
      <c r="H33" s="20">
        <f t="shared" ref="H33:H45" si="6">IFERROR(E33/(E33+F33), 0)</f>
        <v>1</v>
      </c>
      <c r="I33" s="10">
        <f t="shared" ref="I33:I44" si="7">F13+M13</f>
        <v>4041.3333333333335</v>
      </c>
      <c r="K33" s="69" t="s">
        <v>87</v>
      </c>
      <c r="L33" s="122"/>
      <c r="M33" s="93" t="s">
        <v>88</v>
      </c>
      <c r="N33" s="118"/>
      <c r="O33" s="118"/>
      <c r="P33" s="86" t="s">
        <v>89</v>
      </c>
      <c r="Q33" s="119"/>
      <c r="R33" s="119"/>
      <c r="S33" s="3" t="s">
        <v>90</v>
      </c>
    </row>
    <row r="34" spans="1:19" ht="24" customHeight="1">
      <c r="A34" s="11" t="s">
        <v>91</v>
      </c>
      <c r="B34" s="10">
        <f t="shared" si="0"/>
        <v>48</v>
      </c>
      <c r="C34" s="10">
        <f t="shared" si="1"/>
        <v>119</v>
      </c>
      <c r="D34" s="6">
        <f t="shared" si="2"/>
        <v>167</v>
      </c>
      <c r="E34" s="7">
        <f t="shared" si="3"/>
        <v>151</v>
      </c>
      <c r="F34" s="8">
        <f t="shared" si="4"/>
        <v>0</v>
      </c>
      <c r="G34" s="9">
        <f t="shared" si="5"/>
        <v>16</v>
      </c>
      <c r="H34" s="20">
        <f t="shared" si="6"/>
        <v>1</v>
      </c>
      <c r="I34" s="10">
        <f t="shared" si="7"/>
        <v>6228</v>
      </c>
      <c r="K34" s="90">
        <f>IF($M$32="Full Year 2026", D45, IFERROR(INDEX($D$33:$D$44, MATCH($M$32, $A$33:$A$44, 0)), 0))</f>
        <v>109</v>
      </c>
      <c r="L34" s="122"/>
      <c r="M34" s="74">
        <f>IF($M$32="Full Year 2026", E45, IFERROR(INDEX($E$33:$E$44, MATCH($M$32, $A$33:$A$44, 0)), 0))</f>
        <v>99</v>
      </c>
      <c r="N34" s="118"/>
      <c r="O34" s="118"/>
      <c r="P34" s="78">
        <f>IF($M$32="Full Year 2026", F45, IFERROR(INDEX($F$33:$F$44, MATCH($M$32, $A$33:$A$44, 0)), 0))</f>
        <v>0</v>
      </c>
      <c r="Q34" s="119"/>
      <c r="R34" s="119"/>
      <c r="S34" s="21">
        <f>IF($M$32="Full Year 2026", G45, IFERROR(INDEX($G$33:$G$44, MATCH($M$32, $A$33:$A$44, 0)), 0))</f>
        <v>10</v>
      </c>
    </row>
    <row r="35" spans="1:19" ht="14.1" customHeight="1">
      <c r="A35" s="11" t="s">
        <v>92</v>
      </c>
      <c r="B35" s="10">
        <f t="shared" si="0"/>
        <v>59</v>
      </c>
      <c r="C35" s="10">
        <f t="shared" si="1"/>
        <v>118</v>
      </c>
      <c r="D35" s="6">
        <f t="shared" si="2"/>
        <v>177</v>
      </c>
      <c r="E35" s="7">
        <f t="shared" si="3"/>
        <v>170</v>
      </c>
      <c r="F35" s="8">
        <f t="shared" si="4"/>
        <v>0</v>
      </c>
      <c r="G35" s="9">
        <f t="shared" si="5"/>
        <v>7</v>
      </c>
      <c r="H35" s="20">
        <f t="shared" si="6"/>
        <v>1</v>
      </c>
      <c r="I35" s="10">
        <f t="shared" si="7"/>
        <v>6090</v>
      </c>
      <c r="K35" s="69" t="s">
        <v>93</v>
      </c>
      <c r="L35" s="122"/>
      <c r="M35" s="70" t="s">
        <v>94</v>
      </c>
      <c r="N35" s="124"/>
      <c r="O35" s="124"/>
      <c r="P35" s="69" t="s">
        <v>95</v>
      </c>
      <c r="Q35" s="122"/>
      <c r="R35" s="69" t="s">
        <v>96</v>
      </c>
      <c r="S35" s="122"/>
    </row>
    <row r="36" spans="1:19" ht="24" customHeight="1">
      <c r="A36" s="11" t="s">
        <v>97</v>
      </c>
      <c r="B36" s="10">
        <f t="shared" si="0"/>
        <v>53</v>
      </c>
      <c r="C36" s="10">
        <f t="shared" si="1"/>
        <v>68</v>
      </c>
      <c r="D36" s="6">
        <f t="shared" si="2"/>
        <v>121</v>
      </c>
      <c r="E36" s="7">
        <f t="shared" si="3"/>
        <v>112</v>
      </c>
      <c r="F36" s="8">
        <f t="shared" si="4"/>
        <v>0</v>
      </c>
      <c r="G36" s="9">
        <f t="shared" si="5"/>
        <v>9</v>
      </c>
      <c r="H36" s="20">
        <f t="shared" si="6"/>
        <v>1</v>
      </c>
      <c r="I36" s="10">
        <f t="shared" si="7"/>
        <v>4776</v>
      </c>
      <c r="K36" s="94">
        <f>IF($M$32="Full Year 2026", H45, IFERROR(INDEX($H$33:$H$44, MATCH($M$32, $A$33:$A$44, 0)), 0))</f>
        <v>1</v>
      </c>
      <c r="L36" s="122"/>
      <c r="M36" s="96">
        <f>IF($M$32="Full Year 2026", I45, IFERROR(INDEX($I$33:$I$44, MATCH($M$32, $A$33:$A$44, 0)), 0))</f>
        <v>4041.3333333333335</v>
      </c>
      <c r="N36" s="124"/>
      <c r="O36" s="124"/>
      <c r="P36" s="105">
        <f>IF($M$32="Full Year 2026", B45, IFERROR(INDEX($B$33:$B$44, MATCH($M$32, $A$33:$A$44, 0)), 0))</f>
        <v>48</v>
      </c>
      <c r="Q36" s="122"/>
      <c r="R36" s="105">
        <f>IF($M$32="Full Year 2026", C45, IFERROR(INDEX($C$33:$C$44, MATCH($M$32, $A$33:$A$44, 0)), 0))</f>
        <v>61</v>
      </c>
      <c r="S36" s="122"/>
    </row>
    <row r="37" spans="1:19" ht="21.95" customHeight="1">
      <c r="A37" s="11" t="s">
        <v>98</v>
      </c>
      <c r="B37" s="10">
        <f t="shared" si="0"/>
        <v>48</v>
      </c>
      <c r="C37" s="10">
        <f t="shared" si="1"/>
        <v>92</v>
      </c>
      <c r="D37" s="6">
        <f t="shared" si="2"/>
        <v>140</v>
      </c>
      <c r="E37" s="7">
        <f t="shared" si="3"/>
        <v>134</v>
      </c>
      <c r="F37" s="8">
        <f t="shared" si="4"/>
        <v>0</v>
      </c>
      <c r="G37" s="9">
        <f t="shared" si="5"/>
        <v>6</v>
      </c>
      <c r="H37" s="20">
        <f t="shared" si="6"/>
        <v>1</v>
      </c>
      <c r="I37" s="10">
        <f t="shared" si="7"/>
        <v>5674</v>
      </c>
      <c r="K37" s="92" t="s">
        <v>99</v>
      </c>
      <c r="L37" s="123"/>
      <c r="M37" s="22">
        <f>IF($M$32="Full Year 2026", P25, IFERROR(INDEX($P$13:$P$24, MATCH($M$32, $A$33:$A$44, 0)), 0))</f>
        <v>7</v>
      </c>
      <c r="N37" s="95" t="s">
        <v>100</v>
      </c>
      <c r="O37" s="131"/>
      <c r="P37" s="23">
        <f>IF($M$32="Full Year 2026", Q25, IFERROR(INDEX($Q$13:$Q$24, MATCH($M$32, $A$33:$A$44, 0)), 0))</f>
        <v>140</v>
      </c>
      <c r="Q37" s="101" t="s">
        <v>101</v>
      </c>
      <c r="R37" s="125"/>
      <c r="S37" s="24" t="str">
        <f>IF($M$32="Full Year 2026", R25&amp;"/"&amp;S25, IFERROR(INDEX($R$13:$R$24, MATCH($M$32, $A$33:$A$44, 0))&amp;"/"&amp;INDEX($S$13:$S$24, MATCH($M$32, $A$33:$A$44, 0)), "0/0"))</f>
        <v>0/0</v>
      </c>
    </row>
    <row r="38" spans="1:19" ht="20.100000000000001" customHeight="1">
      <c r="A38" s="11" t="s">
        <v>102</v>
      </c>
      <c r="B38" s="10">
        <f t="shared" si="0"/>
        <v>48</v>
      </c>
      <c r="C38" s="10">
        <f t="shared" si="1"/>
        <v>118</v>
      </c>
      <c r="D38" s="6">
        <f t="shared" si="2"/>
        <v>166</v>
      </c>
      <c r="E38" s="7">
        <f t="shared" si="3"/>
        <v>154</v>
      </c>
      <c r="F38" s="8">
        <f t="shared" si="4"/>
        <v>0</v>
      </c>
      <c r="G38" s="9">
        <f t="shared" si="5"/>
        <v>12</v>
      </c>
      <c r="H38" s="20">
        <f t="shared" si="6"/>
        <v>1</v>
      </c>
      <c r="I38" s="10">
        <f t="shared" si="7"/>
        <v>6175</v>
      </c>
      <c r="K38" s="67" t="s">
        <v>103</v>
      </c>
      <c r="L38" s="128"/>
      <c r="M38" s="128"/>
      <c r="N38" s="128"/>
      <c r="O38" s="128"/>
      <c r="P38" s="128"/>
      <c r="Q38" s="128"/>
      <c r="R38" s="128"/>
      <c r="S38" s="128"/>
    </row>
    <row r="39" spans="1:19" ht="20.100000000000001" customHeight="1">
      <c r="A39" s="11" t="s">
        <v>104</v>
      </c>
      <c r="B39" s="10">
        <f t="shared" si="0"/>
        <v>64</v>
      </c>
      <c r="C39" s="10">
        <f t="shared" si="1"/>
        <v>177</v>
      </c>
      <c r="D39" s="6">
        <f t="shared" si="2"/>
        <v>241</v>
      </c>
      <c r="E39" s="7">
        <f t="shared" si="3"/>
        <v>206</v>
      </c>
      <c r="F39" s="8">
        <f t="shared" si="4"/>
        <v>0</v>
      </c>
      <c r="G39" s="9">
        <f t="shared" si="5"/>
        <v>35</v>
      </c>
      <c r="H39" s="20">
        <f t="shared" si="6"/>
        <v>1</v>
      </c>
      <c r="I39" s="10">
        <f t="shared" si="7"/>
        <v>8948</v>
      </c>
      <c r="K39" s="102" t="s">
        <v>105</v>
      </c>
      <c r="L39" s="117"/>
      <c r="M39" s="117"/>
      <c r="N39" s="117"/>
      <c r="O39" s="117"/>
      <c r="P39" s="117"/>
      <c r="Q39" s="117"/>
      <c r="R39" s="117"/>
      <c r="S39" s="117"/>
    </row>
    <row r="40" spans="1:19" ht="20.100000000000001" customHeight="1">
      <c r="A40" s="11" t="s">
        <v>106</v>
      </c>
      <c r="B40" s="10">
        <f t="shared" si="0"/>
        <v>51</v>
      </c>
      <c r="C40" s="10">
        <f t="shared" si="1"/>
        <v>133</v>
      </c>
      <c r="D40" s="6">
        <f t="shared" si="2"/>
        <v>184</v>
      </c>
      <c r="E40" s="7">
        <f t="shared" si="3"/>
        <v>147</v>
      </c>
      <c r="F40" s="8">
        <f t="shared" si="4"/>
        <v>3</v>
      </c>
      <c r="G40" s="9">
        <f t="shared" si="5"/>
        <v>34</v>
      </c>
      <c r="H40" s="20">
        <f t="shared" si="6"/>
        <v>0.98</v>
      </c>
      <c r="I40" s="10">
        <f t="shared" si="7"/>
        <v>7981</v>
      </c>
      <c r="K40" s="117"/>
      <c r="L40" s="117"/>
      <c r="M40" s="117"/>
      <c r="N40" s="117"/>
      <c r="O40" s="117"/>
      <c r="P40" s="117"/>
      <c r="Q40" s="117"/>
      <c r="R40" s="117"/>
      <c r="S40" s="117"/>
    </row>
    <row r="41" spans="1:19" ht="20.100000000000001" customHeight="1">
      <c r="A41" s="11" t="s">
        <v>107</v>
      </c>
      <c r="B41" s="10">
        <f t="shared" si="0"/>
        <v>42</v>
      </c>
      <c r="C41" s="10">
        <f t="shared" si="1"/>
        <v>136</v>
      </c>
      <c r="D41" s="6">
        <f t="shared" si="2"/>
        <v>178</v>
      </c>
      <c r="E41" s="7">
        <f t="shared" si="3"/>
        <v>123</v>
      </c>
      <c r="F41" s="8">
        <f t="shared" si="4"/>
        <v>53</v>
      </c>
      <c r="G41" s="9">
        <f t="shared" si="5"/>
        <v>2</v>
      </c>
      <c r="H41" s="20">
        <f t="shared" si="6"/>
        <v>0.69886363636363635</v>
      </c>
      <c r="I41" s="10">
        <f t="shared" si="7"/>
        <v>6861</v>
      </c>
      <c r="K41" s="117"/>
      <c r="L41" s="117"/>
      <c r="M41" s="117"/>
      <c r="N41" s="117"/>
      <c r="O41" s="117"/>
      <c r="P41" s="117"/>
      <c r="Q41" s="117"/>
      <c r="R41" s="117"/>
      <c r="S41" s="117"/>
    </row>
    <row r="42" spans="1:19" ht="20.100000000000001" customHeight="1">
      <c r="A42" s="11" t="s">
        <v>108</v>
      </c>
      <c r="B42" s="10">
        <f t="shared" si="0"/>
        <v>48</v>
      </c>
      <c r="C42" s="10">
        <f t="shared" si="1"/>
        <v>55</v>
      </c>
      <c r="D42" s="6">
        <f t="shared" si="2"/>
        <v>103</v>
      </c>
      <c r="E42" s="7">
        <f t="shared" si="3"/>
        <v>2</v>
      </c>
      <c r="F42" s="8">
        <f t="shared" si="4"/>
        <v>101</v>
      </c>
      <c r="G42" s="9">
        <f t="shared" si="5"/>
        <v>0</v>
      </c>
      <c r="H42" s="20">
        <f t="shared" si="6"/>
        <v>1.9417475728155338E-2</v>
      </c>
      <c r="I42" s="10">
        <f t="shared" si="7"/>
        <v>1483</v>
      </c>
      <c r="K42" s="117"/>
      <c r="L42" s="117"/>
      <c r="M42" s="117"/>
      <c r="N42" s="117"/>
      <c r="O42" s="117"/>
      <c r="P42" s="117"/>
      <c r="Q42" s="117"/>
      <c r="R42" s="117"/>
      <c r="S42" s="117"/>
    </row>
    <row r="43" spans="1:19" ht="20.100000000000001" customHeight="1">
      <c r="A43" s="11" t="s">
        <v>109</v>
      </c>
      <c r="B43" s="10">
        <f t="shared" si="0"/>
        <v>48</v>
      </c>
      <c r="C43" s="10">
        <f t="shared" si="1"/>
        <v>53</v>
      </c>
      <c r="D43" s="6">
        <f t="shared" si="2"/>
        <v>101</v>
      </c>
      <c r="E43" s="7">
        <f t="shared" si="3"/>
        <v>0</v>
      </c>
      <c r="F43" s="8">
        <f t="shared" si="4"/>
        <v>101</v>
      </c>
      <c r="G43" s="9">
        <f t="shared" si="5"/>
        <v>0</v>
      </c>
      <c r="H43" s="20">
        <f t="shared" si="6"/>
        <v>0</v>
      </c>
      <c r="I43" s="10">
        <f t="shared" si="7"/>
        <v>1565</v>
      </c>
      <c r="K43" s="117"/>
      <c r="L43" s="117"/>
      <c r="M43" s="117"/>
      <c r="N43" s="117"/>
      <c r="O43" s="117"/>
      <c r="P43" s="117"/>
      <c r="Q43" s="117"/>
      <c r="R43" s="117"/>
      <c r="S43" s="117"/>
    </row>
    <row r="44" spans="1:19" ht="20.100000000000001" customHeight="1">
      <c r="A44" s="11" t="s">
        <v>110</v>
      </c>
      <c r="B44" s="10">
        <f t="shared" si="0"/>
        <v>48</v>
      </c>
      <c r="C44" s="10">
        <f t="shared" si="1"/>
        <v>51</v>
      </c>
      <c r="D44" s="6">
        <f t="shared" si="2"/>
        <v>99</v>
      </c>
      <c r="E44" s="7">
        <f t="shared" si="3"/>
        <v>0</v>
      </c>
      <c r="F44" s="8">
        <f t="shared" si="4"/>
        <v>99</v>
      </c>
      <c r="G44" s="9">
        <f t="shared" si="5"/>
        <v>0</v>
      </c>
      <c r="H44" s="20">
        <f t="shared" si="6"/>
        <v>0</v>
      </c>
      <c r="I44" s="10">
        <f t="shared" si="7"/>
        <v>1060</v>
      </c>
      <c r="K44" s="117"/>
      <c r="L44" s="117"/>
      <c r="M44" s="117"/>
      <c r="N44" s="117"/>
      <c r="O44" s="117"/>
      <c r="P44" s="117"/>
      <c r="Q44" s="117"/>
      <c r="R44" s="117"/>
      <c r="S44" s="117"/>
    </row>
    <row r="45" spans="1:19" ht="21.95" customHeight="1">
      <c r="A45" s="14" t="s">
        <v>111</v>
      </c>
      <c r="B45" s="15">
        <f t="shared" ref="B45:G45" si="8">SUM(B33:B44)</f>
        <v>605</v>
      </c>
      <c r="C45" s="15">
        <f t="shared" si="8"/>
        <v>1181</v>
      </c>
      <c r="D45" s="15">
        <f t="shared" si="8"/>
        <v>1786</v>
      </c>
      <c r="E45" s="7">
        <f t="shared" si="8"/>
        <v>1298</v>
      </c>
      <c r="F45" s="8">
        <f t="shared" si="8"/>
        <v>357</v>
      </c>
      <c r="G45" s="9">
        <f t="shared" si="8"/>
        <v>131</v>
      </c>
      <c r="H45" s="25">
        <f t="shared" si="6"/>
        <v>0.78429003021148036</v>
      </c>
      <c r="I45" s="15">
        <f>SUM(I33:I44)</f>
        <v>60882.333333333336</v>
      </c>
    </row>
    <row r="46" spans="1:19" ht="9.9499999999999993" customHeight="1"/>
    <row r="47" spans="1:19" ht="26.1" customHeight="1">
      <c r="A47" s="72" t="s">
        <v>112</v>
      </c>
      <c r="B47" s="127"/>
      <c r="C47" s="127"/>
      <c r="D47" s="127"/>
      <c r="F47" s="72" t="s">
        <v>113</v>
      </c>
      <c r="G47" s="127"/>
      <c r="H47" s="127"/>
      <c r="I47" s="127"/>
      <c r="K47" s="77" t="s">
        <v>114</v>
      </c>
      <c r="L47" s="126"/>
      <c r="M47" s="126"/>
      <c r="N47" s="126"/>
      <c r="O47" s="126"/>
      <c r="P47" s="126"/>
      <c r="Q47" s="126"/>
      <c r="R47" s="126"/>
      <c r="S47" s="126"/>
    </row>
    <row r="48" spans="1:19" ht="24" customHeight="1">
      <c r="A48" s="4" t="s">
        <v>115</v>
      </c>
      <c r="B48" s="4" t="s">
        <v>116</v>
      </c>
      <c r="C48" s="4" t="s">
        <v>117</v>
      </c>
      <c r="D48" s="4" t="s">
        <v>33</v>
      </c>
      <c r="F48" s="4" t="s">
        <v>118</v>
      </c>
      <c r="G48" s="4" t="s">
        <v>29</v>
      </c>
      <c r="H48" s="4" t="s">
        <v>119</v>
      </c>
      <c r="I48" s="4" t="s">
        <v>33</v>
      </c>
      <c r="K48" s="67" t="s">
        <v>120</v>
      </c>
      <c r="L48" s="128"/>
      <c r="M48" s="67" t="s">
        <v>121</v>
      </c>
      <c r="N48" s="128"/>
      <c r="O48" s="4" t="s">
        <v>122</v>
      </c>
      <c r="P48" s="67" t="s">
        <v>123</v>
      </c>
      <c r="Q48" s="128"/>
      <c r="R48" s="67" t="s">
        <v>124</v>
      </c>
      <c r="S48" s="128"/>
    </row>
    <row r="49" spans="1:19" ht="15.95">
      <c r="A49" s="26" t="s">
        <v>125</v>
      </c>
      <c r="B49" s="27" t="s">
        <v>126</v>
      </c>
      <c r="C49" s="10">
        <f>COUNTIFS(Master_Event_Tracker_2026!$H$3:$H$5000, "*Innovation Hub*", Master_Event_Tracker_2026!$F$3:$F$5000, "Downtown-4")</f>
        <v>173</v>
      </c>
      <c r="D49" s="10">
        <f>SUMIFS(Master_Event_Tracker_2026!$K$3:$K$5000, Master_Event_Tracker_2026!$H$3:$H$5000, "*Innovation Hub*", Master_Event_Tracker_2026!$F$3:$F$5000, "Downtown-4")</f>
        <v>9624</v>
      </c>
      <c r="F49" s="26" t="s">
        <v>127</v>
      </c>
      <c r="G49" s="10">
        <f>COUNTIF(Master_Event_Tracker_2026!$J$3:$J$5000, "Townhall &amp; All-Hands")</f>
        <v>186</v>
      </c>
      <c r="H49" s="7">
        <f>COUNTIFS(Master_Event_Tracker_2026!$J$3:$J$5000, "Townhall &amp; All-Hands", Master_Event_Tracker_2026!$S$3:$S$5000, "Confirmed (Done)")</f>
        <v>144</v>
      </c>
      <c r="I49" s="10">
        <f>SUMIF(Master_Event_Tracker_2026!$J$3:$J$5000, "Townhall &amp; All-Hands", Master_Event_Tracker_2026!$K$3:$K$5000)</f>
        <v>17345</v>
      </c>
      <c r="K49" s="99" t="s">
        <v>128</v>
      </c>
      <c r="L49" s="123"/>
      <c r="M49" s="76" t="s">
        <v>129</v>
      </c>
      <c r="N49" s="132"/>
      <c r="O49" s="11" t="s">
        <v>130</v>
      </c>
      <c r="P49" s="82" t="s">
        <v>131</v>
      </c>
      <c r="Q49" s="125"/>
      <c r="R49" s="71" t="s">
        <v>132</v>
      </c>
      <c r="S49" s="132"/>
    </row>
    <row r="50" spans="1:19" ht="15.95">
      <c r="A50" s="26" t="s">
        <v>133</v>
      </c>
      <c r="B50" s="27" t="s">
        <v>126</v>
      </c>
      <c r="C50" s="10">
        <f>COUNTIFS(Master_Event_Tracker_2026!$H$3:$H$5000, "*Cafeteria*", Master_Event_Tracker_2026!$F$3:$F$5000, "Downtown-4")</f>
        <v>47</v>
      </c>
      <c r="D50" s="10">
        <f>SUMIFS(Master_Event_Tracker_2026!$K$3:$K$5000, Master_Event_Tracker_2026!$H$3:$H$5000, "*Cafeteria*", Master_Event_Tracker_2026!$F$3:$F$5000, "Downtown-4")</f>
        <v>5640</v>
      </c>
      <c r="F50" s="26" t="s">
        <v>134</v>
      </c>
      <c r="G50" s="10">
        <f>COUNTIF(Master_Event_Tracker_2026!$J$3:$J$5000, "Training &amp; Enablement")</f>
        <v>210</v>
      </c>
      <c r="H50" s="7">
        <f>COUNTIFS(Master_Event_Tracker_2026!$J$3:$J$5000, "Training &amp; Enablement", Master_Event_Tracker_2026!$S$3:$S$5000, "Confirmed (Done)")</f>
        <v>104</v>
      </c>
      <c r="I50" s="10">
        <f>SUMIF(Master_Event_Tracker_2026!$J$3:$J$5000, "Training &amp; Enablement", Master_Event_Tracker_2026!$K$3:$K$5000)</f>
        <v>6278</v>
      </c>
      <c r="K50" s="99" t="s">
        <v>135</v>
      </c>
      <c r="L50" s="123"/>
      <c r="M50" s="76" t="s">
        <v>136</v>
      </c>
      <c r="N50" s="132"/>
      <c r="O50" s="11" t="s">
        <v>130</v>
      </c>
      <c r="P50" s="82" t="s">
        <v>131</v>
      </c>
      <c r="Q50" s="125"/>
      <c r="R50" s="71" t="s">
        <v>137</v>
      </c>
      <c r="S50" s="132"/>
    </row>
    <row r="51" spans="1:19" ht="15.95">
      <c r="A51" s="26" t="s">
        <v>138</v>
      </c>
      <c r="B51" s="27" t="s">
        <v>126</v>
      </c>
      <c r="C51" s="10">
        <f>COUNTIFS(Master_Event_Tracker_2026!$H$3:$H$5000, "*Hackable*", Master_Event_Tracker_2026!$F$3:$F$5000, "Downtown-4")</f>
        <v>106</v>
      </c>
      <c r="D51" s="10">
        <f>SUMIFS(Master_Event_Tracker_2026!$K$3:$K$5000, Master_Event_Tracker_2026!$H$3:$H$5000, "*Hackable*", Master_Event_Tracker_2026!$F$3:$F$5000, "Downtown-4")</f>
        <v>4303</v>
      </c>
      <c r="F51" s="26" t="s">
        <v>139</v>
      </c>
      <c r="G51" s="10">
        <f>COUNTIF(Master_Event_Tracker_2026!$J$3:$J$5000, "Induction &amp; Onboarding")</f>
        <v>98</v>
      </c>
      <c r="H51" s="7">
        <f>COUNTIFS(Master_Event_Tracker_2026!$J$3:$J$5000, "Induction &amp; Onboarding", Master_Event_Tracker_2026!$S$3:$S$5000, "Confirmed (Done)")</f>
        <v>80</v>
      </c>
      <c r="I51" s="10">
        <f>SUMIF(Master_Event_Tracker_2026!$J$3:$J$5000, "Induction &amp; Onboarding", Master_Event_Tracker_2026!$K$3:$K$5000)</f>
        <v>3730</v>
      </c>
      <c r="K51" s="99" t="s">
        <v>140</v>
      </c>
      <c r="L51" s="123"/>
      <c r="M51" s="76" t="s">
        <v>141</v>
      </c>
      <c r="N51" s="132"/>
      <c r="O51" s="11" t="s">
        <v>142</v>
      </c>
      <c r="P51" s="82" t="s">
        <v>131</v>
      </c>
      <c r="Q51" s="125"/>
      <c r="R51" s="71" t="s">
        <v>143</v>
      </c>
      <c r="S51" s="132"/>
    </row>
    <row r="52" spans="1:19" ht="15.95">
      <c r="A52" s="26" t="s">
        <v>144</v>
      </c>
      <c r="B52" s="27" t="s">
        <v>126</v>
      </c>
      <c r="C52" s="10">
        <f>COUNTIFS(Master_Event_Tracker_2026!$H$3:$H$5000, "*Social Hub*", Master_Event_Tracker_2026!$F$3:$F$5000, "Downtown-4")</f>
        <v>114</v>
      </c>
      <c r="D52" s="10">
        <f>SUMIFS(Master_Event_Tracker_2026!$K$3:$K$5000, Master_Event_Tracker_2026!$H$3:$H$5000, "*Social Hub*", Master_Event_Tracker_2026!$F$3:$F$5000, "Downtown-4")</f>
        <v>3964</v>
      </c>
      <c r="F52" s="26" t="s">
        <v>145</v>
      </c>
      <c r="G52" s="10">
        <f>COUNTIF(Master_Event_Tracker_2026!$J$3:$J$5000, "Assessment &amp; Hiring")</f>
        <v>133</v>
      </c>
      <c r="H52" s="7">
        <f>COUNTIFS(Master_Event_Tracker_2026!$J$3:$J$5000, "Assessment &amp; Hiring", Master_Event_Tracker_2026!$S$3:$S$5000, "Confirmed (Done)")</f>
        <v>107</v>
      </c>
      <c r="I52" s="10">
        <f>SUMIF(Master_Event_Tracker_2026!$J$3:$J$5000, "Assessment &amp; Hiring", Master_Event_Tracker_2026!$K$3:$K$5000)</f>
        <v>5809</v>
      </c>
      <c r="K52" s="91" t="s">
        <v>146</v>
      </c>
      <c r="L52" s="122"/>
      <c r="M52" s="76" t="s">
        <v>147</v>
      </c>
      <c r="N52" s="132"/>
      <c r="O52" s="11" t="s">
        <v>148</v>
      </c>
      <c r="P52" s="82" t="s">
        <v>149</v>
      </c>
      <c r="Q52" s="125"/>
      <c r="R52" s="71" t="s">
        <v>150</v>
      </c>
      <c r="S52" s="132"/>
    </row>
    <row r="53" spans="1:19" ht="15.95">
      <c r="A53" s="26" t="s">
        <v>151</v>
      </c>
      <c r="B53" s="27" t="s">
        <v>126</v>
      </c>
      <c r="C53" s="10">
        <f>COUNTIFS(Master_Event_Tracker_2026!$H$3:$H$5000, "*Cafeteria*", Master_Event_Tracker_2026!$F$3:$F$5000, "Downtown-4")</f>
        <v>47</v>
      </c>
      <c r="D53" s="10">
        <f>SUMIFS(Master_Event_Tracker_2026!$K$3:$K$5000, Master_Event_Tracker_2026!$H$3:$H$5000, "*Cafeteria*", Master_Event_Tracker_2026!$F$3:$F$5000, "Downtown-4")</f>
        <v>5640</v>
      </c>
      <c r="F53" s="26" t="s">
        <v>152</v>
      </c>
      <c r="G53" s="10">
        <f>COUNTIF(Master_Event_Tracker_2026!$J$3:$J$5000, "Leadership &amp; VIP Visit")</f>
        <v>131</v>
      </c>
      <c r="H53" s="7">
        <f>COUNTIFS(Master_Event_Tracker_2026!$J$3:$J$5000, "Leadership &amp; VIP Visit", Master_Event_Tracker_2026!$S$3:$S$5000, "Confirmed (Done)")</f>
        <v>114</v>
      </c>
      <c r="I53" s="10">
        <f>SUMIF(Master_Event_Tracker_2026!$J$3:$J$5000, "Leadership &amp; VIP Visit", Master_Event_Tracker_2026!$K$3:$K$5000)</f>
        <v>2383</v>
      </c>
      <c r="K53" s="91" t="s">
        <v>153</v>
      </c>
      <c r="L53" s="122"/>
      <c r="M53" s="76" t="s">
        <v>154</v>
      </c>
      <c r="N53" s="132"/>
      <c r="O53" s="11" t="s">
        <v>155</v>
      </c>
      <c r="P53" s="82" t="s">
        <v>149</v>
      </c>
      <c r="Q53" s="125"/>
      <c r="R53" s="71" t="s">
        <v>156</v>
      </c>
      <c r="S53" s="132"/>
    </row>
    <row r="54" spans="1:19" ht="32.1">
      <c r="A54" s="26" t="s">
        <v>157</v>
      </c>
      <c r="B54" s="27" t="s">
        <v>126</v>
      </c>
      <c r="C54" s="10">
        <f>COUNTIFS(Master_Event_Tracker_2026!$H$3:$H$5000, "*MR*", Master_Event_Tracker_2026!$F$3:$F$5000, "Downtown-4")</f>
        <v>32</v>
      </c>
      <c r="D54" s="10">
        <f>SUMIFS(Master_Event_Tracker_2026!$K$3:$K$5000, Master_Event_Tracker_2026!$H$3:$H$5000, "*MR*", Master_Event_Tracker_2026!$F$3:$F$5000, "Downtown-4")</f>
        <v>239</v>
      </c>
      <c r="F54" s="26" t="s">
        <v>158</v>
      </c>
      <c r="G54" s="10">
        <f>COUNTIF(Master_Event_Tracker_2026!$J$3:$J$5000, "Social &amp; Team Connect")</f>
        <v>113</v>
      </c>
      <c r="H54" s="7">
        <f>COUNTIFS(Master_Event_Tracker_2026!$J$3:$J$5000, "Social &amp; Team Connect", Master_Event_Tracker_2026!$S$3:$S$5000, "Confirmed (Done)")</f>
        <v>101</v>
      </c>
      <c r="I54" s="10">
        <f>SUMIF(Master_Event_Tracker_2026!$J$3:$J$5000, "Social &amp; Team Connect", Master_Event_Tracker_2026!$K$3:$K$5000)</f>
        <v>4948</v>
      </c>
      <c r="K54" s="91" t="s">
        <v>159</v>
      </c>
      <c r="L54" s="122"/>
      <c r="M54" s="76" t="s">
        <v>160</v>
      </c>
      <c r="N54" s="132"/>
      <c r="O54" s="11" t="s">
        <v>161</v>
      </c>
      <c r="P54" s="82" t="s">
        <v>149</v>
      </c>
      <c r="Q54" s="125"/>
      <c r="R54" s="71" t="s">
        <v>162</v>
      </c>
      <c r="S54" s="132"/>
    </row>
    <row r="55" spans="1:19" ht="15.95">
      <c r="A55" s="26" t="s">
        <v>163</v>
      </c>
      <c r="B55" s="27" t="s">
        <v>164</v>
      </c>
      <c r="C55" s="10">
        <f>COUNTIFS(Master_Event_Tracker_2026!$H$3:$H$5000, "*Cafeteria*", Master_Event_Tracker_2026!$F$3:$F$5000, "Downtown-3")</f>
        <v>37</v>
      </c>
      <c r="D55" s="10">
        <f>SUMIFS(Master_Event_Tracker_2026!$K$3:$K$5000, Master_Event_Tracker_2026!$H$3:$H$5000, "*Cafeteria*", Master_Event_Tracker_2026!$F$3:$F$5000, "Downtown-3")</f>
        <v>4017</v>
      </c>
      <c r="F55" s="26" t="s">
        <v>165</v>
      </c>
      <c r="G55" s="10">
        <f>COUNTIF(Master_Event_Tracker_2026!$J$3:$J$5000, "Tech &amp; Innovation")</f>
        <v>64</v>
      </c>
      <c r="H55" s="7">
        <f>COUNTIFS(Master_Event_Tracker_2026!$J$3:$J$5000, "Tech &amp; Innovation", Master_Event_Tracker_2026!$S$3:$S$5000, "Confirmed (Done)")</f>
        <v>54</v>
      </c>
      <c r="I55" s="10">
        <f>SUMIF(Master_Event_Tracker_2026!$J$3:$J$5000, "Tech &amp; Innovation", Master_Event_Tracker_2026!$K$3:$K$5000)</f>
        <v>3052</v>
      </c>
      <c r="K55" s="88" t="s">
        <v>166</v>
      </c>
      <c r="L55" s="131"/>
      <c r="M55" s="76" t="s">
        <v>167</v>
      </c>
      <c r="N55" s="132"/>
      <c r="O55" s="11" t="s">
        <v>168</v>
      </c>
      <c r="P55" s="73" t="s">
        <v>169</v>
      </c>
      <c r="Q55" s="133"/>
      <c r="R55" s="71" t="s">
        <v>170</v>
      </c>
      <c r="S55" s="132"/>
    </row>
    <row r="56" spans="1:19" ht="15.95">
      <c r="A56" s="26" t="s">
        <v>171</v>
      </c>
      <c r="B56" s="27" t="s">
        <v>164</v>
      </c>
      <c r="C56" s="10">
        <f>COUNTIFS(Master_Event_Tracker_2026!$H$3:$H$5000, "*Breakout*", Master_Event_Tracker_2026!$F$3:$F$5000, "Downtown-3")</f>
        <v>212</v>
      </c>
      <c r="D56" s="10">
        <f>SUMIFS(Master_Event_Tracker_2026!$K$3:$K$5000, Master_Event_Tracker_2026!$H$3:$H$5000, "*Breakout*", Master_Event_Tracker_2026!$F$3:$F$5000, "Downtown-3")</f>
        <v>9153</v>
      </c>
      <c r="F56" s="26" t="s">
        <v>172</v>
      </c>
      <c r="G56" s="10">
        <f>COUNTIF(Master_Event_Tracker_2026!$J$3:$J$5000, "Dry Run &amp; Rehearsal")</f>
        <v>3</v>
      </c>
      <c r="H56" s="7">
        <f>COUNTIFS(Master_Event_Tracker_2026!$J$3:$J$5000, "Dry Run &amp; Rehearsal", Master_Event_Tracker_2026!$S$3:$S$5000, "Confirmed (Done)")</f>
        <v>3</v>
      </c>
      <c r="I56" s="10">
        <f>SUMIF(Master_Event_Tracker_2026!$J$3:$J$5000, "Dry Run &amp; Rehearsal", Master_Event_Tracker_2026!$K$3:$K$5000)</f>
        <v>5</v>
      </c>
      <c r="K56" s="88" t="s">
        <v>173</v>
      </c>
      <c r="L56" s="131"/>
      <c r="M56" s="76" t="s">
        <v>174</v>
      </c>
      <c r="N56" s="132"/>
      <c r="O56" s="11" t="s">
        <v>155</v>
      </c>
      <c r="P56" s="73" t="s">
        <v>169</v>
      </c>
      <c r="Q56" s="133"/>
      <c r="R56" s="71" t="s">
        <v>175</v>
      </c>
      <c r="S56" s="132"/>
    </row>
    <row r="57" spans="1:19" ht="32.1">
      <c r="A57" s="26" t="s">
        <v>176</v>
      </c>
      <c r="B57" s="27" t="s">
        <v>164</v>
      </c>
      <c r="C57" s="10">
        <f>COUNTIFS(Master_Event_Tracker_2026!$H$3:$H$5000, "*MR*", Master_Event_Tracker_2026!$F$3:$F$5000, "Downtown-3")</f>
        <v>85</v>
      </c>
      <c r="D57" s="10">
        <f>SUMIFS(Master_Event_Tracker_2026!$K$3:$K$5000, Master_Event_Tracker_2026!$H$3:$H$5000, "*MR*", Master_Event_Tracker_2026!$F$3:$F$5000, "Downtown-3")</f>
        <v>2428</v>
      </c>
      <c r="F57" s="26" t="s">
        <v>177</v>
      </c>
      <c r="G57" s="10">
        <f>COUNTIF(Master_Event_Tracker_2026!$J$3:$J$5000, "Team Meeting &amp; Workshop")</f>
        <v>919</v>
      </c>
      <c r="H57" s="7">
        <f>COUNTIFS(Master_Event_Tracker_2026!$J$3:$J$5000, "Team Meeting &amp; Workshop", Master_Event_Tracker_2026!$S$3:$S$5000, "Confirmed (Done)")</f>
        <v>485</v>
      </c>
      <c r="I57" s="10">
        <f>SUMIF(Master_Event_Tracker_2026!$J$3:$J$5000, "Team Meeting &amp; Workshop", Master_Event_Tracker_2026!$K$3:$K$5000)</f>
        <v>14678</v>
      </c>
      <c r="K57" s="88" t="s">
        <v>178</v>
      </c>
      <c r="L57" s="131"/>
      <c r="M57" s="76" t="s">
        <v>179</v>
      </c>
      <c r="N57" s="132"/>
      <c r="O57" s="11" t="s">
        <v>180</v>
      </c>
      <c r="P57" s="73" t="s">
        <v>169</v>
      </c>
      <c r="Q57" s="133"/>
      <c r="R57" s="71" t="s">
        <v>181</v>
      </c>
      <c r="S57" s="132"/>
    </row>
    <row r="58" spans="1:19" ht="21.95" customHeight="1">
      <c r="A58" s="80" t="s">
        <v>182</v>
      </c>
      <c r="B58" s="131"/>
      <c r="C58" s="15">
        <f>SUM(C49:C57)</f>
        <v>853</v>
      </c>
      <c r="D58" s="15">
        <f>SUM(D49:D57)</f>
        <v>45008</v>
      </c>
      <c r="F58" s="14" t="s">
        <v>183</v>
      </c>
      <c r="G58" s="15">
        <f>SUM(G49:G57)</f>
        <v>1857</v>
      </c>
      <c r="H58" s="15">
        <f>SUM(H49:H57)</f>
        <v>1192</v>
      </c>
      <c r="I58" s="15">
        <f>SUM(I49:I57)</f>
        <v>58228</v>
      </c>
      <c r="K58" s="100" t="s">
        <v>184</v>
      </c>
      <c r="L58" s="131"/>
      <c r="M58" s="131"/>
      <c r="N58" s="131"/>
      <c r="O58" s="131"/>
      <c r="P58" s="131"/>
      <c r="Q58" s="131"/>
      <c r="R58" s="131"/>
      <c r="S58" s="131"/>
    </row>
    <row r="59" spans="1:19" ht="9.9499999999999993" customHeight="1"/>
    <row r="60" spans="1:19" ht="6" customHeight="1"/>
    <row r="61" spans="1:19" ht="26.1" customHeight="1">
      <c r="A61" s="72" t="s">
        <v>185</v>
      </c>
      <c r="B61" s="127"/>
      <c r="C61" s="127"/>
      <c r="D61" s="127"/>
      <c r="E61" s="127"/>
      <c r="F61" s="127"/>
      <c r="G61" s="127"/>
      <c r="H61" s="127"/>
      <c r="I61" s="127"/>
      <c r="K61" s="72" t="s">
        <v>186</v>
      </c>
      <c r="L61" s="127"/>
      <c r="M61" s="127"/>
      <c r="N61" s="127"/>
      <c r="O61" s="127"/>
      <c r="P61" s="127"/>
      <c r="Q61" s="127"/>
      <c r="R61" s="127"/>
      <c r="S61" s="127"/>
    </row>
    <row r="62" spans="1:19" ht="24" customHeight="1">
      <c r="A62" s="4" t="s">
        <v>187</v>
      </c>
      <c r="B62" s="4" t="s">
        <v>188</v>
      </c>
      <c r="C62" s="4" t="s">
        <v>189</v>
      </c>
      <c r="D62" s="4" t="s">
        <v>116</v>
      </c>
      <c r="E62" s="4" t="s">
        <v>190</v>
      </c>
      <c r="F62" s="4" t="s">
        <v>191</v>
      </c>
      <c r="G62" s="4" t="s">
        <v>192</v>
      </c>
      <c r="H62" s="4" t="s">
        <v>193</v>
      </c>
      <c r="I62" s="4" t="s">
        <v>194</v>
      </c>
      <c r="K62" s="67" t="s">
        <v>195</v>
      </c>
      <c r="L62" s="128"/>
      <c r="M62" s="67" t="s">
        <v>29</v>
      </c>
      <c r="N62" s="128"/>
      <c r="O62" s="1" t="s">
        <v>196</v>
      </c>
      <c r="P62" s="67" t="s">
        <v>197</v>
      </c>
      <c r="Q62" s="128"/>
      <c r="R62" s="4" t="s">
        <v>198</v>
      </c>
      <c r="S62" s="4" t="s">
        <v>199</v>
      </c>
    </row>
    <row r="63" spans="1:19" ht="20.100000000000001" customHeight="1">
      <c r="A63" s="27" t="s">
        <v>200</v>
      </c>
      <c r="B63" s="30">
        <v>46260</v>
      </c>
      <c r="C63" s="27" t="s">
        <v>201</v>
      </c>
      <c r="D63" s="27" t="s">
        <v>126</v>
      </c>
      <c r="E63" s="26" t="s">
        <v>202</v>
      </c>
      <c r="F63" s="26" t="s">
        <v>203</v>
      </c>
      <c r="G63" s="10">
        <v>50</v>
      </c>
      <c r="H63" s="26" t="s">
        <v>204</v>
      </c>
      <c r="I63" s="2" t="s">
        <v>205</v>
      </c>
      <c r="K63" s="99" t="s">
        <v>206</v>
      </c>
      <c r="L63" s="123"/>
      <c r="M63" s="111">
        <f>COUNTIF(Master_Event_Tracker_2026!$L$3:$L$5000, "Big Event")</f>
        <v>148</v>
      </c>
      <c r="N63" s="123"/>
      <c r="O63" s="7">
        <f>COUNTIFS(Master_Event_Tracker_2026!$L$3:$L$5000, "Big Event", Master_Event_Tracker_2026!$S$3:$S$5000, "Confirmed (Done)")</f>
        <v>112</v>
      </c>
      <c r="P63" s="65">
        <f>COUNTIFS(Master_Event_Tracker_2026!$L$3:$L$5000, "Big Event", Master_Event_Tracker_2026!$T$3:$T$5000, "Form sent")</f>
        <v>8</v>
      </c>
      <c r="Q63" s="125"/>
      <c r="R63" s="31">
        <f>COUNTIFS(Master_Event_Tracker_2026!$L$3:$L$5000, "Big Event", Master_Event_Tracker_2026!$T$3:$T$5000, "Not Required")</f>
        <v>140</v>
      </c>
      <c r="S63" s="32">
        <f>IFERROR(P63/O63, 0)</f>
        <v>7.1428571428571425E-2</v>
      </c>
    </row>
    <row r="64" spans="1:19" ht="20.100000000000001" customHeight="1">
      <c r="A64" s="27" t="s">
        <v>207</v>
      </c>
      <c r="B64" s="30">
        <v>46260</v>
      </c>
      <c r="C64" s="27" t="s">
        <v>201</v>
      </c>
      <c r="D64" s="27" t="s">
        <v>126</v>
      </c>
      <c r="E64" s="26" t="s">
        <v>208</v>
      </c>
      <c r="F64" s="26" t="s">
        <v>203</v>
      </c>
      <c r="G64" s="10">
        <v>25</v>
      </c>
      <c r="H64" s="26" t="s">
        <v>209</v>
      </c>
      <c r="I64" s="2" t="s">
        <v>205</v>
      </c>
      <c r="K64" s="76" t="s">
        <v>210</v>
      </c>
      <c r="L64" s="132"/>
      <c r="M64" s="104">
        <f>COUNTIF(Master_Event_Tracker_2026!$L$3:$L$5000, "Small Event")</f>
        <v>1709</v>
      </c>
      <c r="N64" s="132"/>
      <c r="O64" s="7">
        <f>COUNTIFS(Master_Event_Tracker_2026!$L$3:$L$5000, "Small Event", Master_Event_Tracker_2026!$S$3:$S$5000, "Confirmed (Done)")</f>
        <v>1080</v>
      </c>
      <c r="P64" s="65">
        <f>COUNTIFS(Master_Event_Tracker_2026!$L$3:$L$5000, "Small Event", Master_Event_Tracker_2026!$T$3:$T$5000, "Form sent")</f>
        <v>41</v>
      </c>
      <c r="Q64" s="125"/>
      <c r="R64" s="10">
        <f>COUNTIFS(Master_Event_Tracker_2026!$L$3:$L$5000, "Small Event", Master_Event_Tracker_2026!$T$3:$T$5000, "Not Required")</f>
        <v>1668</v>
      </c>
      <c r="S64" s="20">
        <f>IFERROR(P64/O64, 0)</f>
        <v>3.7962962962962962E-2</v>
      </c>
    </row>
    <row r="65" spans="1:19" ht="20.100000000000001" customHeight="1">
      <c r="A65" s="27" t="s">
        <v>211</v>
      </c>
      <c r="B65" s="30">
        <v>46260</v>
      </c>
      <c r="C65" s="27" t="s">
        <v>201</v>
      </c>
      <c r="D65" s="27" t="s">
        <v>126</v>
      </c>
      <c r="E65" s="26" t="s">
        <v>202</v>
      </c>
      <c r="F65" s="26" t="s">
        <v>212</v>
      </c>
      <c r="G65" s="10">
        <v>80</v>
      </c>
      <c r="H65" s="26" t="s">
        <v>213</v>
      </c>
      <c r="I65" s="2" t="s">
        <v>205</v>
      </c>
      <c r="K65" s="76" t="s">
        <v>214</v>
      </c>
      <c r="L65" s="132"/>
      <c r="M65" s="104">
        <f>COUNTIF(Master_Event_Tracker_2026!$F$3:$F$5000, "Downtown-3")</f>
        <v>621</v>
      </c>
      <c r="N65" s="132"/>
      <c r="O65" s="7">
        <f>COUNTIFS(Master_Event_Tracker_2026!$F$3:$F$5000, "Downtown-3", Master_Event_Tracker_2026!$S$3:$S$5000, "Confirmed (Done)")</f>
        <v>394</v>
      </c>
      <c r="P65" s="65">
        <f>COUNTIFS(Master_Event_Tracker_2026!$F$3:$F$5000, "Downtown-3", Master_Event_Tracker_2026!$T$3:$T$5000, "Form sent")</f>
        <v>12</v>
      </c>
      <c r="Q65" s="125"/>
      <c r="R65" s="10">
        <f>COUNTIFS(Master_Event_Tracker_2026!$F$3:$F$5000, "Downtown-3", Master_Event_Tracker_2026!$T$3:$T$5000, "Not Required")</f>
        <v>609</v>
      </c>
      <c r="S65" s="20">
        <f>IFERROR(P65/O65, 0)</f>
        <v>3.0456852791878174E-2</v>
      </c>
    </row>
    <row r="66" spans="1:19" ht="20.100000000000001" customHeight="1">
      <c r="A66" s="27" t="s">
        <v>215</v>
      </c>
      <c r="B66" s="30">
        <v>46261</v>
      </c>
      <c r="C66" s="27" t="s">
        <v>216</v>
      </c>
      <c r="D66" s="27" t="s">
        <v>126</v>
      </c>
      <c r="E66" s="26" t="s">
        <v>202</v>
      </c>
      <c r="F66" s="26" t="s">
        <v>217</v>
      </c>
      <c r="G66" s="10">
        <v>50</v>
      </c>
      <c r="H66" s="26" t="s">
        <v>213</v>
      </c>
      <c r="I66" s="2" t="s">
        <v>205</v>
      </c>
      <c r="K66" s="76" t="s">
        <v>218</v>
      </c>
      <c r="L66" s="132"/>
      <c r="M66" s="104">
        <f>COUNTIF(Master_Event_Tracker_2026!$F$3:$F$5000, "Downtown-4")</f>
        <v>1236</v>
      </c>
      <c r="N66" s="132"/>
      <c r="O66" s="7">
        <f>COUNTIFS(Master_Event_Tracker_2026!$F$3:$F$5000, "Downtown-4", Master_Event_Tracker_2026!$S$3:$S$5000, "Confirmed (Done)")</f>
        <v>798</v>
      </c>
      <c r="P66" s="65">
        <f>COUNTIFS(Master_Event_Tracker_2026!$F$3:$F$5000, "Downtown-4", Master_Event_Tracker_2026!$T$3:$T$5000, "Form sent")</f>
        <v>37</v>
      </c>
      <c r="Q66" s="125"/>
      <c r="R66" s="10">
        <f>COUNTIFS(Master_Event_Tracker_2026!$F$3:$F$5000, "Downtown-4", Master_Event_Tracker_2026!$T$3:$T$5000, "Not Required")</f>
        <v>1199</v>
      </c>
      <c r="S66" s="20">
        <f>IFERROR(P66/O66, 0)</f>
        <v>4.6365914786967416E-2</v>
      </c>
    </row>
    <row r="67" spans="1:19" ht="20.100000000000001" customHeight="1">
      <c r="A67" s="27" t="s">
        <v>219</v>
      </c>
      <c r="B67" s="30">
        <v>46262</v>
      </c>
      <c r="C67" s="27" t="s">
        <v>220</v>
      </c>
      <c r="D67" s="27" t="s">
        <v>126</v>
      </c>
      <c r="E67" s="26" t="s">
        <v>202</v>
      </c>
      <c r="F67" s="26" t="s">
        <v>217</v>
      </c>
      <c r="G67" s="10">
        <v>50</v>
      </c>
      <c r="H67" s="26" t="s">
        <v>221</v>
      </c>
      <c r="I67" s="2" t="s">
        <v>205</v>
      </c>
      <c r="K67" s="108" t="s">
        <v>222</v>
      </c>
      <c r="L67" s="131"/>
      <c r="M67" s="81">
        <f>COUNTIF(Master_Event_Tracker_2026!$L$3:$L$5000, "&lt;&gt;")</f>
        <v>1857</v>
      </c>
      <c r="N67" s="131"/>
      <c r="O67" s="7">
        <f>COUNTIF(Master_Event_Tracker_2026!$S$3:$S$5000, "Confirmed (Done)")</f>
        <v>1192</v>
      </c>
      <c r="P67" s="65">
        <f>COUNTIF(Master_Event_Tracker_2026!$T$3:$T$5000, "Form sent")</f>
        <v>49</v>
      </c>
      <c r="Q67" s="125"/>
      <c r="R67" s="33">
        <f>COUNTIF(Master_Event_Tracker_2026!$T$3:$T$5000, "Not Required")</f>
        <v>1808</v>
      </c>
      <c r="S67" s="34">
        <f>IFERROR(P67/O67, 0)</f>
        <v>4.1107382550335574E-2</v>
      </c>
    </row>
    <row r="68" spans="1:19" ht="20.100000000000001" customHeight="1">
      <c r="A68" s="27" t="s">
        <v>223</v>
      </c>
      <c r="B68" s="30">
        <v>46265</v>
      </c>
      <c r="C68" s="27" t="s">
        <v>224</v>
      </c>
      <c r="D68" s="27" t="s">
        <v>126</v>
      </c>
      <c r="E68" s="26" t="s">
        <v>202</v>
      </c>
      <c r="F68" s="26" t="s">
        <v>217</v>
      </c>
      <c r="G68" s="10">
        <v>50</v>
      </c>
      <c r="H68" s="26" t="s">
        <v>221</v>
      </c>
      <c r="I68" s="2" t="s">
        <v>205</v>
      </c>
      <c r="K68" s="107" t="s">
        <v>225</v>
      </c>
      <c r="L68" s="131"/>
      <c r="M68" s="131"/>
      <c r="N68" s="131"/>
      <c r="O68" s="131"/>
      <c r="P68" s="131"/>
      <c r="Q68" s="131"/>
      <c r="R68" s="131"/>
      <c r="S68" s="131"/>
    </row>
    <row r="69" spans="1:19" ht="20.100000000000001" customHeight="1">
      <c r="A69" s="27" t="s">
        <v>226</v>
      </c>
      <c r="B69" s="30">
        <v>46266</v>
      </c>
      <c r="C69" s="27" t="s">
        <v>227</v>
      </c>
      <c r="D69" s="27" t="s">
        <v>126</v>
      </c>
      <c r="E69" s="26" t="s">
        <v>228</v>
      </c>
      <c r="F69" s="26" t="s">
        <v>229</v>
      </c>
      <c r="G69" s="10">
        <v>100</v>
      </c>
      <c r="H69" s="26" t="s">
        <v>230</v>
      </c>
      <c r="I69" s="2" t="s">
        <v>205</v>
      </c>
      <c r="K69" s="64"/>
      <c r="L69" s="132"/>
      <c r="M69" s="132"/>
      <c r="N69" s="132"/>
      <c r="O69" s="132"/>
      <c r="P69" s="132"/>
      <c r="Q69" s="132"/>
      <c r="R69" s="132"/>
      <c r="S69" s="132"/>
    </row>
    <row r="70" spans="1:19" ht="20.100000000000001" customHeight="1">
      <c r="A70" s="27" t="s">
        <v>231</v>
      </c>
      <c r="B70" s="30">
        <v>46268</v>
      </c>
      <c r="C70" s="27" t="s">
        <v>216</v>
      </c>
      <c r="D70" s="27" t="s">
        <v>126</v>
      </c>
      <c r="E70" s="26" t="s">
        <v>202</v>
      </c>
      <c r="F70" s="26" t="s">
        <v>232</v>
      </c>
      <c r="G70" s="10">
        <v>60</v>
      </c>
      <c r="H70" s="26" t="s">
        <v>233</v>
      </c>
      <c r="I70" s="2" t="s">
        <v>205</v>
      </c>
      <c r="K70" s="64"/>
      <c r="L70" s="132"/>
      <c r="M70" s="132"/>
      <c r="N70" s="132"/>
      <c r="O70" s="132"/>
      <c r="P70" s="132"/>
      <c r="Q70" s="132"/>
      <c r="R70" s="132"/>
      <c r="S70" s="132"/>
    </row>
    <row r="71" spans="1:19" ht="20.100000000000001" customHeight="1">
      <c r="A71" s="27" t="s">
        <v>234</v>
      </c>
      <c r="B71" s="30">
        <v>46272</v>
      </c>
      <c r="C71" s="27" t="s">
        <v>224</v>
      </c>
      <c r="D71" s="27" t="s">
        <v>164</v>
      </c>
      <c r="E71" s="26" t="s">
        <v>235</v>
      </c>
      <c r="F71" s="26" t="s">
        <v>236</v>
      </c>
      <c r="G71" s="10">
        <v>40</v>
      </c>
      <c r="H71" s="26" t="s">
        <v>237</v>
      </c>
      <c r="I71" s="2" t="s">
        <v>205</v>
      </c>
      <c r="K71" s="64"/>
      <c r="L71" s="132"/>
      <c r="M71" s="132"/>
      <c r="N71" s="132"/>
      <c r="O71" s="132"/>
      <c r="P71" s="132"/>
      <c r="Q71" s="132"/>
      <c r="R71" s="132"/>
      <c r="S71" s="132"/>
    </row>
    <row r="72" spans="1:19" ht="20.100000000000001" customHeight="1">
      <c r="A72" s="27" t="s">
        <v>238</v>
      </c>
      <c r="B72" s="30">
        <v>46275</v>
      </c>
      <c r="C72" s="27" t="s">
        <v>216</v>
      </c>
      <c r="D72" s="27" t="s">
        <v>164</v>
      </c>
      <c r="E72" s="26" t="s">
        <v>239</v>
      </c>
      <c r="F72" s="26" t="s">
        <v>240</v>
      </c>
      <c r="G72" s="10">
        <v>75</v>
      </c>
      <c r="H72" s="26" t="s">
        <v>241</v>
      </c>
      <c r="I72" s="2" t="s">
        <v>205</v>
      </c>
      <c r="K72" s="64"/>
      <c r="L72" s="132"/>
      <c r="M72" s="132"/>
      <c r="N72" s="132"/>
      <c r="O72" s="132"/>
      <c r="P72" s="132"/>
      <c r="Q72" s="132"/>
      <c r="R72" s="132"/>
      <c r="S72" s="132"/>
    </row>
  </sheetData>
  <mergeCells count="131">
    <mergeCell ref="K67:L67"/>
    <mergeCell ref="D7:E7"/>
    <mergeCell ref="R51:S51"/>
    <mergeCell ref="A1:S1"/>
    <mergeCell ref="R54:S54"/>
    <mergeCell ref="K69:S69"/>
    <mergeCell ref="K53:L53"/>
    <mergeCell ref="R56:S56"/>
    <mergeCell ref="M62:N62"/>
    <mergeCell ref="K37:L37"/>
    <mergeCell ref="M50:N50"/>
    <mergeCell ref="A61:I61"/>
    <mergeCell ref="P32:S32"/>
    <mergeCell ref="R8:S8"/>
    <mergeCell ref="L7:M7"/>
    <mergeCell ref="P35:Q35"/>
    <mergeCell ref="N7:O7"/>
    <mergeCell ref="P62:Q62"/>
    <mergeCell ref="F47:I47"/>
    <mergeCell ref="K66:L66"/>
    <mergeCell ref="M66:N66"/>
    <mergeCell ref="M63:N63"/>
    <mergeCell ref="M35:O35"/>
    <mergeCell ref="M53:N53"/>
    <mergeCell ref="K72:S72"/>
    <mergeCell ref="Q37:R37"/>
    <mergeCell ref="P63:Q63"/>
    <mergeCell ref="K39:S44"/>
    <mergeCell ref="P50:Q50"/>
    <mergeCell ref="A4:S4"/>
    <mergeCell ref="K55:L55"/>
    <mergeCell ref="K64:L64"/>
    <mergeCell ref="P9:Q9"/>
    <mergeCell ref="M64:N64"/>
    <mergeCell ref="K51:L51"/>
    <mergeCell ref="M51:N51"/>
    <mergeCell ref="P52:Q52"/>
    <mergeCell ref="K32:L32"/>
    <mergeCell ref="K63:L63"/>
    <mergeCell ref="P36:Q36"/>
    <mergeCell ref="R36:S36"/>
    <mergeCell ref="K56:L56"/>
    <mergeCell ref="M65:N65"/>
    <mergeCell ref="K62:L62"/>
    <mergeCell ref="D9:E9"/>
    <mergeCell ref="F9:G9"/>
    <mergeCell ref="K68:S68"/>
    <mergeCell ref="A11:F11"/>
    <mergeCell ref="K61:S61"/>
    <mergeCell ref="A2:S2"/>
    <mergeCell ref="P55:Q55"/>
    <mergeCell ref="P64:Q64"/>
    <mergeCell ref="K47:S47"/>
    <mergeCell ref="B7:C7"/>
    <mergeCell ref="P51:Q51"/>
    <mergeCell ref="M55:N55"/>
    <mergeCell ref="K31:S31"/>
    <mergeCell ref="M52:N52"/>
    <mergeCell ref="B9:C9"/>
    <mergeCell ref="B5:E5"/>
    <mergeCell ref="K49:L49"/>
    <mergeCell ref="K33:L33"/>
    <mergeCell ref="K58:S58"/>
    <mergeCell ref="H9:I9"/>
    <mergeCell ref="J9:K9"/>
    <mergeCell ref="K35:L35"/>
    <mergeCell ref="M54:N54"/>
    <mergeCell ref="K50:L50"/>
    <mergeCell ref="R55:S55"/>
    <mergeCell ref="P48:Q48"/>
    <mergeCell ref="K52:L52"/>
    <mergeCell ref="H11:M11"/>
    <mergeCell ref="K54:L54"/>
    <mergeCell ref="M48:N48"/>
    <mergeCell ref="F7:G7"/>
    <mergeCell ref="R49:S49"/>
    <mergeCell ref="P56:Q56"/>
    <mergeCell ref="M33:O33"/>
    <mergeCell ref="R7:S7"/>
    <mergeCell ref="K36:L36"/>
    <mergeCell ref="N37:O37"/>
    <mergeCell ref="M36:O36"/>
    <mergeCell ref="P8:Q8"/>
    <mergeCell ref="K71:S71"/>
    <mergeCell ref="P49:Q49"/>
    <mergeCell ref="L8:M8"/>
    <mergeCell ref="P67:Q67"/>
    <mergeCell ref="N8:O8"/>
    <mergeCell ref="F8:G8"/>
    <mergeCell ref="M5:P5"/>
    <mergeCell ref="R35:S35"/>
    <mergeCell ref="M32:O32"/>
    <mergeCell ref="P33:R33"/>
    <mergeCell ref="G5:K5"/>
    <mergeCell ref="P66:Q66"/>
    <mergeCell ref="P53:Q53"/>
    <mergeCell ref="R53:S53"/>
    <mergeCell ref="L9:M9"/>
    <mergeCell ref="N9:O9"/>
    <mergeCell ref="K65:L65"/>
    <mergeCell ref="K57:L57"/>
    <mergeCell ref="R52:S52"/>
    <mergeCell ref="R9:S9"/>
    <mergeCell ref="R5:S5"/>
    <mergeCell ref="P54:Q54"/>
    <mergeCell ref="R48:S48"/>
    <mergeCell ref="K34:L34"/>
    <mergeCell ref="K70:S70"/>
    <mergeCell ref="P65:Q65"/>
    <mergeCell ref="B8:C8"/>
    <mergeCell ref="K38:S38"/>
    <mergeCell ref="P7:Q7"/>
    <mergeCell ref="H7:I7"/>
    <mergeCell ref="J7:K7"/>
    <mergeCell ref="R50:S50"/>
    <mergeCell ref="A31:I31"/>
    <mergeCell ref="P57:Q57"/>
    <mergeCell ref="M34:O34"/>
    <mergeCell ref="K48:L48"/>
    <mergeCell ref="D8:E8"/>
    <mergeCell ref="M57:N57"/>
    <mergeCell ref="O11:S11"/>
    <mergeCell ref="H8:I8"/>
    <mergeCell ref="P34:R34"/>
    <mergeCell ref="A47:D47"/>
    <mergeCell ref="J8:K8"/>
    <mergeCell ref="A58:B58"/>
    <mergeCell ref="M56:N56"/>
    <mergeCell ref="M67:N67"/>
    <mergeCell ref="M49:N49"/>
    <mergeCell ref="R57:S57"/>
  </mergeCells>
  <dataValidations count="1">
    <dataValidation type="list" sqref="M32" xr:uid="{00000000-0002-0000-0000-000000000000}">
      <formula1>"Full Year 2026,Jan,Feb,Mar,Apr,May,Jun,Jul,Aug,Sep,Oct,Nov,Dec"</formula1>
    </dataValidation>
  </dataValidations>
  <hyperlinks>
    <hyperlink ref="R5" location="'Master_Event_Tracker_2026'!A1" display="📑 Open Master Tracker ↗" xr:uid="{00000000-0004-0000-0000-000000000000}"/>
    <hyperlink ref="A13" location="'DT-3 Jan26'!A1" display="Jan 2026 ↗" xr:uid="{00000000-0004-0000-0000-000001000000}"/>
    <hyperlink ref="H13" location="'DT-4 Jan26'!A1" display="Jan 2026 ↗" xr:uid="{00000000-0004-0000-0000-000002000000}"/>
    <hyperlink ref="A14" location="'DT-3 Feb26'!A1" display="Feb 2026 ↗" xr:uid="{00000000-0004-0000-0000-000003000000}"/>
    <hyperlink ref="H14" location="'DT-4 Feb26'!A1" display="Feb 2026 ↗" xr:uid="{00000000-0004-0000-0000-000004000000}"/>
    <hyperlink ref="A15" location="'DT-3 Mar26'!A1" display="Mar 2026 ↗" xr:uid="{00000000-0004-0000-0000-000005000000}"/>
    <hyperlink ref="H15" location="'DT-4 Mar26'!A1" display="Mar 2026 ↗" xr:uid="{00000000-0004-0000-0000-000006000000}"/>
    <hyperlink ref="A16" location="'DT-3 Apr26'!A1" display="Apr 2026 ↗" xr:uid="{00000000-0004-0000-0000-000007000000}"/>
    <hyperlink ref="H16" location="'DT-4 Apr26'!A1" display="Apr 2026 ↗" xr:uid="{00000000-0004-0000-0000-000008000000}"/>
    <hyperlink ref="A17" location="'DT-3 May26'!A1" display="May 2026 ↗" xr:uid="{00000000-0004-0000-0000-000009000000}"/>
    <hyperlink ref="H17" location="'DT-4 May26'!A1" display="May 2026 ↗" xr:uid="{00000000-0004-0000-0000-00000A000000}"/>
    <hyperlink ref="A18" location="'DT-3 Jun26'!A1" display="Jun 2026 ↗" xr:uid="{00000000-0004-0000-0000-00000B000000}"/>
    <hyperlink ref="H18" location="'DT-4 Jun26'!A1" display="Jun 2026 ↗" xr:uid="{00000000-0004-0000-0000-00000C000000}"/>
    <hyperlink ref="A19" location="'DT-3 Jul26'!A1" display="Jul 2026 ↗" xr:uid="{00000000-0004-0000-0000-00000D000000}"/>
    <hyperlink ref="H19" location="'DT-4 Jul26'!A1" display="Jul 2026 ↗" xr:uid="{00000000-0004-0000-0000-00000E000000}"/>
    <hyperlink ref="A20" location="'DT-3 Aug26'!A1" display="Aug 2026 ↗" xr:uid="{00000000-0004-0000-0000-00000F000000}"/>
    <hyperlink ref="H20" location="'DT-4 Aug26'!A1" display="Aug 2026 ↗" xr:uid="{00000000-0004-0000-0000-000010000000}"/>
    <hyperlink ref="A21" location="'DT-3 Sep26'!A1" display="Sep 2026 ↗" xr:uid="{00000000-0004-0000-0000-000011000000}"/>
    <hyperlink ref="H21" location="'DT-4 Sep26'!A1" display="Sep 2026 ↗" xr:uid="{00000000-0004-0000-0000-000012000000}"/>
    <hyperlink ref="A22" location="'DT-3 Oct26'!A1" display="Oct 2026 ↗" xr:uid="{00000000-0004-0000-0000-000013000000}"/>
    <hyperlink ref="H22" location="'DT-4 Oct26'!A1" display="Oct 2026 ↗" xr:uid="{00000000-0004-0000-0000-000014000000}"/>
    <hyperlink ref="A23" location="'DT-3 Nov26'!A1" display="Nov 2026 ↗" xr:uid="{00000000-0004-0000-0000-000015000000}"/>
    <hyperlink ref="H23" location="'DT-4 Nov26'!A1" display="Nov 2026 ↗" xr:uid="{00000000-0004-0000-0000-000016000000}"/>
    <hyperlink ref="A24" location="'DT-3 Dec26'!A1" display="Dec 2026 ↗" xr:uid="{00000000-0004-0000-0000-000017000000}"/>
    <hyperlink ref="H24" location="'DT-4 Dec26'!A1" display="Dec 2026 ↗" xr:uid="{00000000-0004-0000-0000-000018000000}"/>
    <hyperlink ref="H25" location="'DT-4 Jan27'!A1" display="Jan '27 ↗" xr:uid="{00000000-0004-0000-0000-000019000000}"/>
    <hyperlink ref="H26" location="'DT-4 Feb27'!A1" display="Feb '27 ↗" xr:uid="{00000000-0004-0000-0000-00001A000000}"/>
    <hyperlink ref="H27" location="'DT-4 Mar27'!A1" display="Mar '27 ↗" xr:uid="{00000000-0004-0000-0000-00001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859"/>
  <sheetViews>
    <sheetView topLeftCell="Q1" workbookViewId="0">
      <pane ySplit="2" topLeftCell="A3" activePane="bottomLeft" state="frozen"/>
      <selection pane="bottomLeft" activeCell="T33" sqref="T33"/>
    </sheetView>
  </sheetViews>
  <sheetFormatPr defaultRowHeight="14.45"/>
  <cols>
    <col min="1" max="1" width="18" customWidth="1"/>
    <col min="2" max="3" width="10" customWidth="1"/>
    <col min="4" max="4" width="22" customWidth="1"/>
    <col min="5" max="5" width="48" customWidth="1"/>
    <col min="6" max="6" width="14" customWidth="1"/>
    <col min="7" max="9" width="48" customWidth="1"/>
    <col min="10" max="10" width="26" customWidth="1"/>
    <col min="11" max="11" width="17" customWidth="1"/>
    <col min="12" max="12" width="15" customWidth="1"/>
    <col min="13" max="14" width="14" customWidth="1"/>
    <col min="15" max="17" width="48" customWidth="1"/>
    <col min="18" max="18" width="37" customWidth="1"/>
    <col min="19" max="19" width="27" customWidth="1"/>
    <col min="20" max="20" width="18" customWidth="1"/>
    <col min="21" max="23" width="48" customWidth="1"/>
  </cols>
  <sheetData>
    <row r="1" spans="1:23" ht="27.95" customHeight="1">
      <c r="A1" s="62" t="s">
        <v>242</v>
      </c>
      <c r="B1" s="134"/>
      <c r="C1" s="135"/>
      <c r="D1" s="63" t="s">
        <v>243</v>
      </c>
      <c r="E1" s="134"/>
      <c r="F1" s="134"/>
      <c r="G1" s="134"/>
      <c r="H1" s="134"/>
      <c r="I1" s="134"/>
      <c r="J1" s="134"/>
      <c r="K1" s="134"/>
      <c r="L1" s="134"/>
      <c r="M1" s="134"/>
      <c r="N1" s="134"/>
      <c r="O1" s="134"/>
      <c r="P1" s="135"/>
      <c r="Q1" s="61" t="s">
        <v>244</v>
      </c>
      <c r="R1" s="134"/>
      <c r="S1" s="134"/>
      <c r="T1" s="134"/>
      <c r="U1" s="134"/>
      <c r="V1" s="134"/>
      <c r="W1" s="135"/>
    </row>
    <row r="2" spans="1:23" ht="27.95" customHeight="1">
      <c r="A2" s="35" t="s">
        <v>187</v>
      </c>
      <c r="B2" s="35" t="s">
        <v>245</v>
      </c>
      <c r="C2" s="35" t="s">
        <v>34</v>
      </c>
      <c r="D2" s="35" t="s">
        <v>246</v>
      </c>
      <c r="E2" s="35" t="s">
        <v>189</v>
      </c>
      <c r="F2" s="35" t="s">
        <v>116</v>
      </c>
      <c r="G2" s="35" t="s">
        <v>247</v>
      </c>
      <c r="H2" s="35" t="s">
        <v>190</v>
      </c>
      <c r="I2" s="35" t="s">
        <v>248</v>
      </c>
      <c r="J2" s="35" t="s">
        <v>249</v>
      </c>
      <c r="K2" s="35" t="s">
        <v>250</v>
      </c>
      <c r="L2" s="35" t="s">
        <v>251</v>
      </c>
      <c r="M2" s="35" t="s">
        <v>252</v>
      </c>
      <c r="N2" s="35" t="s">
        <v>253</v>
      </c>
      <c r="O2" s="35" t="s">
        <v>254</v>
      </c>
      <c r="P2" s="35" t="s">
        <v>255</v>
      </c>
      <c r="Q2" s="35" t="s">
        <v>193</v>
      </c>
      <c r="R2" s="35" t="s">
        <v>256</v>
      </c>
      <c r="S2" s="35" t="s">
        <v>257</v>
      </c>
      <c r="T2" s="35" t="s">
        <v>258</v>
      </c>
      <c r="U2" s="35" t="s">
        <v>259</v>
      </c>
      <c r="V2" s="35" t="s">
        <v>260</v>
      </c>
      <c r="W2" s="35" t="s">
        <v>261</v>
      </c>
    </row>
    <row r="3" spans="1:23" ht="24" customHeight="1">
      <c r="A3" s="27" t="str">
        <f t="shared" ref="A3:A66" ca="1" si="0">IF(OR(D3&lt;&gt;"",H3&lt;&gt;"",I3&lt;&gt;"",Q3&lt;&gt;"",S3&lt;&gt;""), "EVT-" &amp; TEXT(B3, "0000") &amp; "-" &amp; TEXT(COUNTIF(OFFSET($A$1, 1, 0, ROW()-2, 1), "EVT*") + 1, "0000"), "")</f>
        <v>EVT-2026-0001</v>
      </c>
      <c r="B3" s="27">
        <v>2026</v>
      </c>
      <c r="C3" s="27" t="s">
        <v>85</v>
      </c>
      <c r="D3" s="30">
        <v>46023</v>
      </c>
      <c r="E3" s="27" t="s">
        <v>216</v>
      </c>
      <c r="F3" s="27" t="s">
        <v>164</v>
      </c>
      <c r="G3" s="27" t="s">
        <v>262</v>
      </c>
      <c r="H3" s="27"/>
      <c r="I3" s="27"/>
      <c r="J3" s="27" t="s">
        <v>177</v>
      </c>
      <c r="K3" s="10">
        <v>0</v>
      </c>
      <c r="L3" s="36" t="s">
        <v>263</v>
      </c>
      <c r="M3" s="37"/>
      <c r="N3" s="37"/>
      <c r="O3" s="27"/>
      <c r="P3" s="27"/>
      <c r="Q3" s="27"/>
      <c r="R3" s="27"/>
      <c r="S3" s="1" t="s">
        <v>264</v>
      </c>
      <c r="T3" s="29" t="s">
        <v>265</v>
      </c>
      <c r="U3" s="27"/>
      <c r="V3" s="27"/>
      <c r="W3" s="27"/>
    </row>
    <row r="4" spans="1:23" ht="24" customHeight="1">
      <c r="A4" s="27" t="str">
        <f t="shared" ca="1" si="0"/>
        <v>EVT-2026-0002</v>
      </c>
      <c r="B4" s="27">
        <v>2026</v>
      </c>
      <c r="C4" s="27" t="s">
        <v>85</v>
      </c>
      <c r="D4" s="30">
        <v>46024</v>
      </c>
      <c r="E4" s="27" t="s">
        <v>220</v>
      </c>
      <c r="F4" s="27" t="s">
        <v>164</v>
      </c>
      <c r="G4" s="27" t="s">
        <v>262</v>
      </c>
      <c r="H4" s="27"/>
      <c r="I4" s="27"/>
      <c r="J4" s="27" t="s">
        <v>177</v>
      </c>
      <c r="K4" s="10">
        <v>0</v>
      </c>
      <c r="L4" s="36" t="s">
        <v>263</v>
      </c>
      <c r="M4" s="37"/>
      <c r="N4" s="37"/>
      <c r="O4" s="27"/>
      <c r="P4" s="27"/>
      <c r="Q4" s="27"/>
      <c r="R4" s="27"/>
      <c r="S4" s="1" t="s">
        <v>264</v>
      </c>
      <c r="T4" s="29" t="s">
        <v>265</v>
      </c>
      <c r="U4" s="27"/>
      <c r="V4" s="27"/>
      <c r="W4" s="27"/>
    </row>
    <row r="5" spans="1:23" ht="24" customHeight="1">
      <c r="A5" s="27" t="str">
        <f t="shared" ca="1" si="0"/>
        <v>EVT-2026-0003</v>
      </c>
      <c r="B5" s="27">
        <v>2026</v>
      </c>
      <c r="C5" s="27" t="s">
        <v>85</v>
      </c>
      <c r="D5" s="30">
        <v>46025</v>
      </c>
      <c r="E5" s="27" t="s">
        <v>266</v>
      </c>
      <c r="F5" s="27" t="s">
        <v>164</v>
      </c>
      <c r="G5" s="27" t="s">
        <v>262</v>
      </c>
      <c r="H5" s="27"/>
      <c r="I5" s="27"/>
      <c r="J5" s="27" t="s">
        <v>177</v>
      </c>
      <c r="K5" s="10">
        <v>0</v>
      </c>
      <c r="L5" s="36" t="s">
        <v>263</v>
      </c>
      <c r="M5" s="37"/>
      <c r="N5" s="37"/>
      <c r="O5" s="27"/>
      <c r="P5" s="27"/>
      <c r="Q5" s="27"/>
      <c r="R5" s="27"/>
      <c r="S5" s="1" t="s">
        <v>264</v>
      </c>
      <c r="T5" s="29" t="s">
        <v>265</v>
      </c>
      <c r="U5" s="27"/>
      <c r="V5" s="27"/>
      <c r="W5" s="27"/>
    </row>
    <row r="6" spans="1:23" ht="24" customHeight="1">
      <c r="A6" s="27" t="str">
        <f t="shared" ca="1" si="0"/>
        <v>EVT-2026-0004</v>
      </c>
      <c r="B6" s="27">
        <v>2026</v>
      </c>
      <c r="C6" s="27" t="s">
        <v>85</v>
      </c>
      <c r="D6" s="30">
        <v>46026</v>
      </c>
      <c r="E6" s="27" t="s">
        <v>267</v>
      </c>
      <c r="F6" s="27" t="s">
        <v>164</v>
      </c>
      <c r="G6" s="27" t="s">
        <v>262</v>
      </c>
      <c r="H6" s="27"/>
      <c r="I6" s="27"/>
      <c r="J6" s="27" t="s">
        <v>177</v>
      </c>
      <c r="K6" s="10">
        <v>0</v>
      </c>
      <c r="L6" s="36" t="s">
        <v>263</v>
      </c>
      <c r="M6" s="37"/>
      <c r="N6" s="37"/>
      <c r="O6" s="27"/>
      <c r="P6" s="27"/>
      <c r="Q6" s="27"/>
      <c r="R6" s="27"/>
      <c r="S6" s="1" t="s">
        <v>264</v>
      </c>
      <c r="T6" s="29" t="s">
        <v>265</v>
      </c>
      <c r="U6" s="27"/>
      <c r="V6" s="27"/>
      <c r="W6" s="27"/>
    </row>
    <row r="7" spans="1:23" ht="24" customHeight="1">
      <c r="A7" s="27" t="str">
        <f t="shared" ca="1" si="0"/>
        <v>EVT-2026-0005</v>
      </c>
      <c r="B7" s="27">
        <v>2026</v>
      </c>
      <c r="C7" s="27" t="s">
        <v>85</v>
      </c>
      <c r="D7" s="30">
        <v>46027</v>
      </c>
      <c r="E7" s="27" t="s">
        <v>224</v>
      </c>
      <c r="F7" s="27" t="s">
        <v>164</v>
      </c>
      <c r="G7" s="27" t="s">
        <v>202</v>
      </c>
      <c r="H7" s="27" t="s">
        <v>235</v>
      </c>
      <c r="I7" s="27" t="s">
        <v>268</v>
      </c>
      <c r="J7" s="27" t="s">
        <v>139</v>
      </c>
      <c r="K7" s="10">
        <v>35</v>
      </c>
      <c r="L7" s="36" t="s">
        <v>263</v>
      </c>
      <c r="M7" s="37" t="s">
        <v>269</v>
      </c>
      <c r="N7" s="37" t="s">
        <v>270</v>
      </c>
      <c r="O7" s="27" t="s">
        <v>271</v>
      </c>
      <c r="P7" s="27"/>
      <c r="Q7" s="27" t="s">
        <v>237</v>
      </c>
      <c r="R7" s="27"/>
      <c r="S7" s="1" t="s">
        <v>264</v>
      </c>
      <c r="T7" s="29" t="s">
        <v>265</v>
      </c>
      <c r="U7" s="30">
        <v>46001</v>
      </c>
      <c r="V7" s="27" t="s">
        <v>272</v>
      </c>
      <c r="W7" s="27"/>
    </row>
    <row r="8" spans="1:23" ht="24" customHeight="1">
      <c r="A8" s="27" t="str">
        <f t="shared" ca="1" si="0"/>
        <v>EVT-2026-0006</v>
      </c>
      <c r="B8" s="27">
        <v>2026</v>
      </c>
      <c r="C8" s="27" t="s">
        <v>85</v>
      </c>
      <c r="D8" s="30">
        <v>46027</v>
      </c>
      <c r="E8" s="27" t="s">
        <v>224</v>
      </c>
      <c r="F8" s="27" t="s">
        <v>164</v>
      </c>
      <c r="G8" s="27" t="s">
        <v>262</v>
      </c>
      <c r="H8" s="27" t="s">
        <v>171</v>
      </c>
      <c r="I8" s="27" t="s">
        <v>268</v>
      </c>
      <c r="J8" s="27" t="s">
        <v>139</v>
      </c>
      <c r="K8" s="10">
        <v>35</v>
      </c>
      <c r="L8" s="36" t="s">
        <v>263</v>
      </c>
      <c r="M8" s="37" t="s">
        <v>269</v>
      </c>
      <c r="N8" s="37" t="s">
        <v>270</v>
      </c>
      <c r="O8" s="27" t="s">
        <v>271</v>
      </c>
      <c r="P8" s="27"/>
      <c r="Q8" s="27" t="s">
        <v>237</v>
      </c>
      <c r="R8" s="27"/>
      <c r="S8" s="1" t="s">
        <v>264</v>
      </c>
      <c r="T8" s="29" t="s">
        <v>265</v>
      </c>
      <c r="U8" s="27"/>
      <c r="V8" s="27" t="s">
        <v>272</v>
      </c>
      <c r="W8" s="27"/>
    </row>
    <row r="9" spans="1:23" ht="24" customHeight="1">
      <c r="A9" s="27" t="str">
        <f t="shared" ca="1" si="0"/>
        <v>EVT-2026-0007</v>
      </c>
      <c r="B9" s="27">
        <v>2026</v>
      </c>
      <c r="C9" s="27" t="s">
        <v>85</v>
      </c>
      <c r="D9" s="30">
        <v>46028</v>
      </c>
      <c r="E9" s="27" t="s">
        <v>227</v>
      </c>
      <c r="F9" s="27" t="s">
        <v>164</v>
      </c>
      <c r="G9" s="27" t="s">
        <v>262</v>
      </c>
      <c r="H9" s="27"/>
      <c r="I9" s="27"/>
      <c r="J9" s="27" t="s">
        <v>177</v>
      </c>
      <c r="K9" s="10">
        <v>0</v>
      </c>
      <c r="L9" s="36" t="s">
        <v>263</v>
      </c>
      <c r="M9" s="37"/>
      <c r="N9" s="37"/>
      <c r="O9" s="27"/>
      <c r="P9" s="27"/>
      <c r="Q9" s="27"/>
      <c r="R9" s="27"/>
      <c r="S9" s="1" t="s">
        <v>264</v>
      </c>
      <c r="T9" s="29" t="s">
        <v>265</v>
      </c>
      <c r="U9" s="27"/>
      <c r="V9" s="27"/>
      <c r="W9" s="27"/>
    </row>
    <row r="10" spans="1:23" ht="24" customHeight="1">
      <c r="A10" s="27" t="str">
        <f t="shared" ca="1" si="0"/>
        <v>EVT-2026-0008</v>
      </c>
      <c r="B10" s="27">
        <v>2026</v>
      </c>
      <c r="C10" s="27" t="s">
        <v>85</v>
      </c>
      <c r="D10" s="30">
        <v>46029</v>
      </c>
      <c r="E10" s="27" t="s">
        <v>201</v>
      </c>
      <c r="F10" s="27" t="s">
        <v>164</v>
      </c>
      <c r="G10" s="27" t="s">
        <v>262</v>
      </c>
      <c r="H10" s="27"/>
      <c r="I10" s="27"/>
      <c r="J10" s="27" t="s">
        <v>177</v>
      </c>
      <c r="K10" s="10">
        <v>0</v>
      </c>
      <c r="L10" s="36" t="s">
        <v>263</v>
      </c>
      <c r="M10" s="37"/>
      <c r="N10" s="37"/>
      <c r="O10" s="27"/>
      <c r="P10" s="27"/>
      <c r="Q10" s="27"/>
      <c r="R10" s="27"/>
      <c r="S10" s="1" t="s">
        <v>264</v>
      </c>
      <c r="T10" s="29" t="s">
        <v>265</v>
      </c>
      <c r="U10" s="27"/>
      <c r="V10" s="27"/>
      <c r="W10" s="27"/>
    </row>
    <row r="11" spans="1:23" ht="24" customHeight="1">
      <c r="A11" s="27" t="str">
        <f t="shared" ca="1" si="0"/>
        <v>EVT-2026-0009</v>
      </c>
      <c r="B11" s="27">
        <v>2026</v>
      </c>
      <c r="C11" s="27" t="s">
        <v>85</v>
      </c>
      <c r="D11" s="30">
        <v>46030</v>
      </c>
      <c r="E11" s="27" t="s">
        <v>216</v>
      </c>
      <c r="F11" s="27" t="s">
        <v>164</v>
      </c>
      <c r="G11" s="27" t="s">
        <v>262</v>
      </c>
      <c r="H11" s="27"/>
      <c r="I11" s="27"/>
      <c r="J11" s="27" t="s">
        <v>177</v>
      </c>
      <c r="K11" s="10">
        <v>0</v>
      </c>
      <c r="L11" s="36" t="s">
        <v>263</v>
      </c>
      <c r="M11" s="37"/>
      <c r="N11" s="37"/>
      <c r="O11" s="27"/>
      <c r="P11" s="27"/>
      <c r="Q11" s="27"/>
      <c r="R11" s="27"/>
      <c r="S11" s="1" t="s">
        <v>264</v>
      </c>
      <c r="T11" s="29" t="s">
        <v>265</v>
      </c>
      <c r="U11" s="27"/>
      <c r="V11" s="27"/>
      <c r="W11" s="27"/>
    </row>
    <row r="12" spans="1:23" ht="24" customHeight="1">
      <c r="A12" s="27" t="str">
        <f t="shared" ca="1" si="0"/>
        <v>EVT-2026-0010</v>
      </c>
      <c r="B12" s="27">
        <v>2026</v>
      </c>
      <c r="C12" s="27" t="s">
        <v>85</v>
      </c>
      <c r="D12" s="30">
        <v>46031</v>
      </c>
      <c r="E12" s="27" t="s">
        <v>220</v>
      </c>
      <c r="F12" s="27" t="s">
        <v>164</v>
      </c>
      <c r="G12" s="27" t="s">
        <v>262</v>
      </c>
      <c r="H12" s="27"/>
      <c r="I12" s="27"/>
      <c r="J12" s="27" t="s">
        <v>177</v>
      </c>
      <c r="K12" s="10">
        <v>0</v>
      </c>
      <c r="L12" s="36" t="s">
        <v>263</v>
      </c>
      <c r="M12" s="37"/>
      <c r="N12" s="37"/>
      <c r="O12" s="27"/>
      <c r="P12" s="27"/>
      <c r="Q12" s="27"/>
      <c r="R12" s="27"/>
      <c r="S12" s="1" t="s">
        <v>264</v>
      </c>
      <c r="T12" s="29" t="s">
        <v>265</v>
      </c>
      <c r="U12" s="27"/>
      <c r="V12" s="27"/>
      <c r="W12" s="27"/>
    </row>
    <row r="13" spans="1:23" ht="24" customHeight="1">
      <c r="A13" s="27" t="str">
        <f t="shared" ca="1" si="0"/>
        <v>EVT-2026-0011</v>
      </c>
      <c r="B13" s="27">
        <v>2026</v>
      </c>
      <c r="C13" s="27" t="s">
        <v>85</v>
      </c>
      <c r="D13" s="30">
        <v>46032</v>
      </c>
      <c r="E13" s="27" t="s">
        <v>266</v>
      </c>
      <c r="F13" s="27" t="s">
        <v>164</v>
      </c>
      <c r="G13" s="27" t="s">
        <v>202</v>
      </c>
      <c r="H13" s="27" t="s">
        <v>235</v>
      </c>
      <c r="I13" s="27" t="s">
        <v>273</v>
      </c>
      <c r="J13" s="27" t="s">
        <v>134</v>
      </c>
      <c r="K13" s="10">
        <v>20</v>
      </c>
      <c r="L13" s="36" t="s">
        <v>263</v>
      </c>
      <c r="M13" s="37" t="s">
        <v>274</v>
      </c>
      <c r="N13" s="37" t="s">
        <v>275</v>
      </c>
      <c r="O13" s="27" t="s">
        <v>276</v>
      </c>
      <c r="P13" s="27"/>
      <c r="Q13" s="27" t="s">
        <v>277</v>
      </c>
      <c r="R13" s="27"/>
      <c r="S13" s="1" t="s">
        <v>264</v>
      </c>
      <c r="T13" s="29" t="s">
        <v>265</v>
      </c>
      <c r="U13" s="27"/>
      <c r="V13" s="27" t="s">
        <v>278</v>
      </c>
      <c r="W13" s="27"/>
    </row>
    <row r="14" spans="1:23" ht="24" customHeight="1">
      <c r="A14" s="27" t="str">
        <f t="shared" ca="1" si="0"/>
        <v>EVT-2026-0012</v>
      </c>
      <c r="B14" s="27">
        <v>2026</v>
      </c>
      <c r="C14" s="27" t="s">
        <v>85</v>
      </c>
      <c r="D14" s="30">
        <v>46032</v>
      </c>
      <c r="E14" s="27" t="s">
        <v>266</v>
      </c>
      <c r="F14" s="27" t="s">
        <v>164</v>
      </c>
      <c r="G14" s="27" t="s">
        <v>262</v>
      </c>
      <c r="H14" s="27" t="s">
        <v>279</v>
      </c>
      <c r="I14" s="27" t="s">
        <v>280</v>
      </c>
      <c r="J14" s="27" t="s">
        <v>145</v>
      </c>
      <c r="K14" s="10">
        <v>0</v>
      </c>
      <c r="L14" s="36" t="s">
        <v>263</v>
      </c>
      <c r="M14" s="37" t="s">
        <v>281</v>
      </c>
      <c r="N14" s="37" t="s">
        <v>270</v>
      </c>
      <c r="O14" s="27"/>
      <c r="P14" s="27"/>
      <c r="Q14" s="27" t="s">
        <v>282</v>
      </c>
      <c r="R14" s="27"/>
      <c r="S14" s="1" t="s">
        <v>264</v>
      </c>
      <c r="T14" s="29" t="s">
        <v>265</v>
      </c>
      <c r="U14" s="27"/>
      <c r="V14" s="27" t="s">
        <v>283</v>
      </c>
      <c r="W14" s="27"/>
    </row>
    <row r="15" spans="1:23" ht="24" customHeight="1">
      <c r="A15" s="27" t="str">
        <f t="shared" ca="1" si="0"/>
        <v>EVT-2026-0013</v>
      </c>
      <c r="B15" s="27">
        <v>2026</v>
      </c>
      <c r="C15" s="27" t="s">
        <v>85</v>
      </c>
      <c r="D15" s="30">
        <v>46033</v>
      </c>
      <c r="E15" s="27" t="s">
        <v>267</v>
      </c>
      <c r="F15" s="27" t="s">
        <v>164</v>
      </c>
      <c r="G15" s="27" t="s">
        <v>262</v>
      </c>
      <c r="H15" s="27"/>
      <c r="I15" s="27"/>
      <c r="J15" s="27" t="s">
        <v>177</v>
      </c>
      <c r="K15" s="10">
        <v>0</v>
      </c>
      <c r="L15" s="36" t="s">
        <v>263</v>
      </c>
      <c r="M15" s="37"/>
      <c r="N15" s="37"/>
      <c r="O15" s="27"/>
      <c r="P15" s="27"/>
      <c r="Q15" s="27"/>
      <c r="R15" s="27"/>
      <c r="S15" s="1" t="s">
        <v>264</v>
      </c>
      <c r="T15" s="29" t="s">
        <v>265</v>
      </c>
      <c r="U15" s="27"/>
      <c r="V15" s="27"/>
      <c r="W15" s="27"/>
    </row>
    <row r="16" spans="1:23" ht="24" customHeight="1">
      <c r="A16" s="27" t="str">
        <f t="shared" ca="1" si="0"/>
        <v>EVT-2026-0014</v>
      </c>
      <c r="B16" s="27">
        <v>2026</v>
      </c>
      <c r="C16" s="27" t="s">
        <v>85</v>
      </c>
      <c r="D16" s="30">
        <v>46034</v>
      </c>
      <c r="E16" s="27" t="s">
        <v>224</v>
      </c>
      <c r="F16" s="27" t="s">
        <v>164</v>
      </c>
      <c r="G16" s="27" t="s">
        <v>202</v>
      </c>
      <c r="H16" s="27" t="s">
        <v>235</v>
      </c>
      <c r="I16" s="27" t="s">
        <v>284</v>
      </c>
      <c r="J16" s="27" t="s">
        <v>177</v>
      </c>
      <c r="K16" s="10">
        <v>40</v>
      </c>
      <c r="L16" s="36" t="s">
        <v>263</v>
      </c>
      <c r="M16" s="37" t="s">
        <v>269</v>
      </c>
      <c r="N16" s="37" t="s">
        <v>270</v>
      </c>
      <c r="O16" s="27" t="s">
        <v>271</v>
      </c>
      <c r="P16" s="27"/>
      <c r="Q16" s="27" t="s">
        <v>237</v>
      </c>
      <c r="R16" s="27"/>
      <c r="S16" s="1" t="s">
        <v>264</v>
      </c>
      <c r="T16" s="29" t="s">
        <v>265</v>
      </c>
      <c r="U16" s="27"/>
      <c r="V16" s="27" t="s">
        <v>285</v>
      </c>
      <c r="W16" s="27"/>
    </row>
    <row r="17" spans="1:23" ht="24" customHeight="1">
      <c r="A17" s="27" t="str">
        <f t="shared" ca="1" si="0"/>
        <v>EVT-2026-0015</v>
      </c>
      <c r="B17" s="27">
        <v>2026</v>
      </c>
      <c r="C17" s="27" t="s">
        <v>85</v>
      </c>
      <c r="D17" s="30">
        <v>46034</v>
      </c>
      <c r="E17" s="27" t="s">
        <v>224</v>
      </c>
      <c r="F17" s="27" t="s">
        <v>164</v>
      </c>
      <c r="G17" s="27" t="s">
        <v>262</v>
      </c>
      <c r="H17" s="27" t="s">
        <v>171</v>
      </c>
      <c r="I17" s="27" t="s">
        <v>284</v>
      </c>
      <c r="J17" s="27" t="s">
        <v>177</v>
      </c>
      <c r="K17" s="10">
        <v>20</v>
      </c>
      <c r="L17" s="36" t="s">
        <v>263</v>
      </c>
      <c r="M17" s="37" t="s">
        <v>269</v>
      </c>
      <c r="N17" s="37" t="s">
        <v>270</v>
      </c>
      <c r="O17" s="27" t="s">
        <v>271</v>
      </c>
      <c r="P17" s="27"/>
      <c r="Q17" s="27" t="s">
        <v>237</v>
      </c>
      <c r="R17" s="27"/>
      <c r="S17" s="1" t="s">
        <v>264</v>
      </c>
      <c r="T17" s="29" t="s">
        <v>265</v>
      </c>
      <c r="U17" s="27"/>
      <c r="V17" s="27" t="s">
        <v>286</v>
      </c>
      <c r="W17" s="27"/>
    </row>
    <row r="18" spans="1:23" ht="24" customHeight="1">
      <c r="A18" s="27" t="str">
        <f t="shared" ca="1" si="0"/>
        <v>EVT-2026-0016</v>
      </c>
      <c r="B18" s="27">
        <v>2026</v>
      </c>
      <c r="C18" s="27" t="s">
        <v>85</v>
      </c>
      <c r="D18" s="30">
        <v>46035</v>
      </c>
      <c r="E18" s="27" t="s">
        <v>227</v>
      </c>
      <c r="F18" s="27" t="s">
        <v>164</v>
      </c>
      <c r="G18" s="27" t="s">
        <v>262</v>
      </c>
      <c r="H18" s="27"/>
      <c r="I18" s="27"/>
      <c r="J18" s="27" t="s">
        <v>177</v>
      </c>
      <c r="K18" s="10">
        <v>0</v>
      </c>
      <c r="L18" s="36" t="s">
        <v>263</v>
      </c>
      <c r="M18" s="37"/>
      <c r="N18" s="37"/>
      <c r="O18" s="27"/>
      <c r="P18" s="27"/>
      <c r="Q18" s="27"/>
      <c r="R18" s="27"/>
      <c r="S18" s="1" t="s">
        <v>264</v>
      </c>
      <c r="T18" s="29" t="s">
        <v>265</v>
      </c>
      <c r="U18" s="27"/>
      <c r="V18" s="27" t="s">
        <v>287</v>
      </c>
      <c r="W18" s="27"/>
    </row>
    <row r="19" spans="1:23" ht="24" customHeight="1">
      <c r="A19" s="27" t="str">
        <f t="shared" ca="1" si="0"/>
        <v>EVT-2026-0017</v>
      </c>
      <c r="B19" s="27">
        <v>2026</v>
      </c>
      <c r="C19" s="27" t="s">
        <v>85</v>
      </c>
      <c r="D19" s="30">
        <v>46036</v>
      </c>
      <c r="E19" s="27" t="s">
        <v>201</v>
      </c>
      <c r="F19" s="27" t="s">
        <v>164</v>
      </c>
      <c r="G19" s="27" t="s">
        <v>202</v>
      </c>
      <c r="H19" s="27" t="s">
        <v>235</v>
      </c>
      <c r="I19" s="27" t="s">
        <v>284</v>
      </c>
      <c r="J19" s="27" t="s">
        <v>177</v>
      </c>
      <c r="K19" s="10">
        <v>25</v>
      </c>
      <c r="L19" s="36" t="s">
        <v>263</v>
      </c>
      <c r="M19" s="37" t="s">
        <v>269</v>
      </c>
      <c r="N19" s="37" t="s">
        <v>270</v>
      </c>
      <c r="O19" s="27" t="s">
        <v>271</v>
      </c>
      <c r="P19" s="27"/>
      <c r="Q19" s="27" t="s">
        <v>237</v>
      </c>
      <c r="R19" s="27"/>
      <c r="S19" s="1" t="s">
        <v>264</v>
      </c>
      <c r="T19" s="29" t="s">
        <v>265</v>
      </c>
      <c r="U19" s="27"/>
      <c r="V19" s="27"/>
      <c r="W19" s="27"/>
    </row>
    <row r="20" spans="1:23" ht="24" customHeight="1">
      <c r="A20" s="27" t="str">
        <f t="shared" ca="1" si="0"/>
        <v>EVT-2026-0018</v>
      </c>
      <c r="B20" s="27">
        <v>2026</v>
      </c>
      <c r="C20" s="27" t="s">
        <v>85</v>
      </c>
      <c r="D20" s="30">
        <v>46036</v>
      </c>
      <c r="E20" s="27" t="s">
        <v>201</v>
      </c>
      <c r="F20" s="27" t="s">
        <v>164</v>
      </c>
      <c r="G20" s="27" t="s">
        <v>262</v>
      </c>
      <c r="H20" s="27" t="s">
        <v>171</v>
      </c>
      <c r="I20" s="27"/>
      <c r="J20" s="27" t="s">
        <v>177</v>
      </c>
      <c r="K20" s="10">
        <v>0</v>
      </c>
      <c r="L20" s="36" t="s">
        <v>263</v>
      </c>
      <c r="M20" s="37"/>
      <c r="N20" s="37"/>
      <c r="O20" s="27"/>
      <c r="P20" s="27"/>
      <c r="Q20" s="27"/>
      <c r="R20" s="27"/>
      <c r="S20" s="1" t="s">
        <v>264</v>
      </c>
      <c r="T20" s="29" t="s">
        <v>265</v>
      </c>
      <c r="U20" s="27"/>
      <c r="V20" s="27"/>
      <c r="W20" s="27"/>
    </row>
    <row r="21" spans="1:23" ht="24" customHeight="1">
      <c r="A21" s="27" t="str">
        <f t="shared" ca="1" si="0"/>
        <v>EVT-2026-0019</v>
      </c>
      <c r="B21" s="27">
        <v>2026</v>
      </c>
      <c r="C21" s="27" t="s">
        <v>85</v>
      </c>
      <c r="D21" s="30">
        <v>46037</v>
      </c>
      <c r="E21" s="27" t="s">
        <v>216</v>
      </c>
      <c r="F21" s="27" t="s">
        <v>164</v>
      </c>
      <c r="G21" s="27" t="s">
        <v>202</v>
      </c>
      <c r="H21" s="27" t="s">
        <v>235</v>
      </c>
      <c r="I21" s="27" t="s">
        <v>288</v>
      </c>
      <c r="J21" s="27" t="s">
        <v>177</v>
      </c>
      <c r="K21" s="10">
        <v>25</v>
      </c>
      <c r="L21" s="36" t="s">
        <v>263</v>
      </c>
      <c r="M21" s="37" t="s">
        <v>289</v>
      </c>
      <c r="N21" s="37" t="s">
        <v>290</v>
      </c>
      <c r="O21" s="27"/>
      <c r="P21" s="27"/>
      <c r="Q21" s="27" t="s">
        <v>237</v>
      </c>
      <c r="R21" s="27"/>
      <c r="S21" s="1" t="s">
        <v>264</v>
      </c>
      <c r="T21" s="29" t="s">
        <v>265</v>
      </c>
      <c r="U21" s="27"/>
      <c r="V21" s="27" t="s">
        <v>291</v>
      </c>
      <c r="W21" s="27"/>
    </row>
    <row r="22" spans="1:23" ht="24" customHeight="1">
      <c r="A22" s="27" t="str">
        <f t="shared" ca="1" si="0"/>
        <v>EVT-2026-0020</v>
      </c>
      <c r="B22" s="27">
        <v>2026</v>
      </c>
      <c r="C22" s="27" t="s">
        <v>85</v>
      </c>
      <c r="D22" s="30">
        <v>46037</v>
      </c>
      <c r="E22" s="27" t="s">
        <v>216</v>
      </c>
      <c r="F22" s="27" t="s">
        <v>164</v>
      </c>
      <c r="G22" s="27" t="s">
        <v>262</v>
      </c>
      <c r="H22" s="27" t="s">
        <v>292</v>
      </c>
      <c r="I22" s="27" t="s">
        <v>293</v>
      </c>
      <c r="J22" s="27" t="s">
        <v>177</v>
      </c>
      <c r="K22" s="10">
        <v>200</v>
      </c>
      <c r="L22" s="38" t="s">
        <v>294</v>
      </c>
      <c r="M22" s="37" t="s">
        <v>295</v>
      </c>
      <c r="N22" s="37" t="s">
        <v>296</v>
      </c>
      <c r="O22" s="27"/>
      <c r="P22" s="27"/>
      <c r="Q22" s="27" t="s">
        <v>297</v>
      </c>
      <c r="R22" s="27"/>
      <c r="S22" s="1" t="s">
        <v>264</v>
      </c>
      <c r="T22" s="29" t="s">
        <v>265</v>
      </c>
      <c r="U22" s="30">
        <v>46028</v>
      </c>
      <c r="V22" s="27" t="s">
        <v>298</v>
      </c>
      <c r="W22" s="27"/>
    </row>
    <row r="23" spans="1:23" ht="24" customHeight="1">
      <c r="A23" s="27" t="str">
        <f t="shared" ca="1" si="0"/>
        <v>EVT-2026-0021</v>
      </c>
      <c r="B23" s="27">
        <v>2026</v>
      </c>
      <c r="C23" s="27" t="s">
        <v>85</v>
      </c>
      <c r="D23" s="30">
        <v>46038</v>
      </c>
      <c r="E23" s="27" t="s">
        <v>220</v>
      </c>
      <c r="F23" s="27" t="s">
        <v>164</v>
      </c>
      <c r="G23" s="27" t="s">
        <v>262</v>
      </c>
      <c r="H23" s="27" t="s">
        <v>239</v>
      </c>
      <c r="I23" s="27" t="s">
        <v>299</v>
      </c>
      <c r="J23" s="27" t="s">
        <v>177</v>
      </c>
      <c r="K23" s="10">
        <v>50</v>
      </c>
      <c r="L23" s="36" t="s">
        <v>263</v>
      </c>
      <c r="M23" s="37" t="s">
        <v>295</v>
      </c>
      <c r="N23" s="37" t="s">
        <v>290</v>
      </c>
      <c r="O23" s="27"/>
      <c r="P23" s="27"/>
      <c r="Q23" s="27" t="s">
        <v>237</v>
      </c>
      <c r="R23" s="27"/>
      <c r="S23" s="1" t="s">
        <v>264</v>
      </c>
      <c r="T23" s="29" t="s">
        <v>265</v>
      </c>
      <c r="U23" s="27"/>
      <c r="V23" s="27" t="s">
        <v>298</v>
      </c>
      <c r="W23" s="27"/>
    </row>
    <row r="24" spans="1:23" ht="24" customHeight="1">
      <c r="A24" s="27" t="str">
        <f t="shared" ca="1" si="0"/>
        <v>EVT-2026-0022</v>
      </c>
      <c r="B24" s="27">
        <v>2026</v>
      </c>
      <c r="C24" s="27" t="s">
        <v>85</v>
      </c>
      <c r="D24" s="30">
        <v>46039</v>
      </c>
      <c r="E24" s="27" t="s">
        <v>266</v>
      </c>
      <c r="F24" s="27" t="s">
        <v>164</v>
      </c>
      <c r="G24" s="27" t="s">
        <v>262</v>
      </c>
      <c r="H24" s="27"/>
      <c r="I24" s="27" t="s">
        <v>300</v>
      </c>
      <c r="J24" s="27" t="s">
        <v>145</v>
      </c>
      <c r="K24" s="10">
        <v>0</v>
      </c>
      <c r="L24" s="36" t="s">
        <v>263</v>
      </c>
      <c r="M24" s="37" t="s">
        <v>269</v>
      </c>
      <c r="N24" s="37" t="s">
        <v>270</v>
      </c>
      <c r="O24" s="27"/>
      <c r="P24" s="27"/>
      <c r="Q24" s="27" t="s">
        <v>301</v>
      </c>
      <c r="R24" s="27"/>
      <c r="S24" s="1" t="s">
        <v>264</v>
      </c>
      <c r="T24" s="29" t="s">
        <v>265</v>
      </c>
      <c r="U24" s="27"/>
      <c r="V24" s="27"/>
      <c r="W24" s="27"/>
    </row>
    <row r="25" spans="1:23" ht="24" customHeight="1">
      <c r="A25" s="27" t="str">
        <f t="shared" ca="1" si="0"/>
        <v>EVT-2026-0023</v>
      </c>
      <c r="B25" s="27">
        <v>2026</v>
      </c>
      <c r="C25" s="27" t="s">
        <v>85</v>
      </c>
      <c r="D25" s="30">
        <v>46040</v>
      </c>
      <c r="E25" s="27" t="s">
        <v>267</v>
      </c>
      <c r="F25" s="27" t="s">
        <v>164</v>
      </c>
      <c r="G25" s="27" t="s">
        <v>262</v>
      </c>
      <c r="H25" s="27"/>
      <c r="I25" s="27"/>
      <c r="J25" s="27" t="s">
        <v>177</v>
      </c>
      <c r="K25" s="10">
        <v>0</v>
      </c>
      <c r="L25" s="36" t="s">
        <v>263</v>
      </c>
      <c r="M25" s="37"/>
      <c r="N25" s="37"/>
      <c r="O25" s="27"/>
      <c r="P25" s="27"/>
      <c r="Q25" s="27"/>
      <c r="R25" s="27"/>
      <c r="S25" s="1" t="s">
        <v>264</v>
      </c>
      <c r="T25" s="29" t="s">
        <v>265</v>
      </c>
      <c r="U25" s="27"/>
      <c r="V25" s="27"/>
      <c r="W25" s="27"/>
    </row>
    <row r="26" spans="1:23" ht="24" customHeight="1">
      <c r="A26" s="27" t="str">
        <f t="shared" ca="1" si="0"/>
        <v>EVT-2026-0024</v>
      </c>
      <c r="B26" s="27">
        <v>2026</v>
      </c>
      <c r="C26" s="27" t="s">
        <v>85</v>
      </c>
      <c r="D26" s="30">
        <v>46041</v>
      </c>
      <c r="E26" s="27" t="s">
        <v>224</v>
      </c>
      <c r="F26" s="27" t="s">
        <v>164</v>
      </c>
      <c r="G26" s="27" t="s">
        <v>202</v>
      </c>
      <c r="H26" s="27" t="s">
        <v>235</v>
      </c>
      <c r="I26" s="27" t="s">
        <v>302</v>
      </c>
      <c r="J26" s="27" t="s">
        <v>139</v>
      </c>
      <c r="K26" s="10">
        <v>70</v>
      </c>
      <c r="L26" s="36" t="s">
        <v>263</v>
      </c>
      <c r="M26" s="37" t="s">
        <v>269</v>
      </c>
      <c r="N26" s="37" t="s">
        <v>270</v>
      </c>
      <c r="O26" s="27" t="s">
        <v>271</v>
      </c>
      <c r="P26" s="27"/>
      <c r="Q26" s="27" t="s">
        <v>237</v>
      </c>
      <c r="R26" s="27"/>
      <c r="S26" s="1" t="s">
        <v>264</v>
      </c>
      <c r="T26" s="29" t="s">
        <v>265</v>
      </c>
      <c r="U26" s="30">
        <v>46001</v>
      </c>
      <c r="V26" s="27" t="s">
        <v>303</v>
      </c>
      <c r="W26" s="27"/>
    </row>
    <row r="27" spans="1:23" ht="24" customHeight="1">
      <c r="A27" s="27" t="str">
        <f t="shared" ca="1" si="0"/>
        <v>EVT-2026-0025</v>
      </c>
      <c r="B27" s="27">
        <v>2026</v>
      </c>
      <c r="C27" s="27" t="s">
        <v>85</v>
      </c>
      <c r="D27" s="30">
        <v>46041</v>
      </c>
      <c r="E27" s="27" t="s">
        <v>224</v>
      </c>
      <c r="F27" s="27" t="s">
        <v>164</v>
      </c>
      <c r="G27" s="27" t="s">
        <v>262</v>
      </c>
      <c r="H27" s="27" t="s">
        <v>171</v>
      </c>
      <c r="I27" s="27"/>
      <c r="J27" s="27" t="s">
        <v>177</v>
      </c>
      <c r="K27" s="10">
        <v>0</v>
      </c>
      <c r="L27" s="36" t="s">
        <v>263</v>
      </c>
      <c r="M27" s="37"/>
      <c r="N27" s="37"/>
      <c r="O27" s="27"/>
      <c r="P27" s="27"/>
      <c r="Q27" s="27" t="s">
        <v>237</v>
      </c>
      <c r="R27" s="27"/>
      <c r="S27" s="1" t="s">
        <v>264</v>
      </c>
      <c r="T27" s="29" t="s">
        <v>265</v>
      </c>
      <c r="U27" s="27"/>
      <c r="V27" s="27" t="s">
        <v>303</v>
      </c>
      <c r="W27" s="27"/>
    </row>
    <row r="28" spans="1:23" ht="24" customHeight="1">
      <c r="A28" s="27" t="str">
        <f t="shared" ca="1" si="0"/>
        <v>EVT-2026-0026</v>
      </c>
      <c r="B28" s="27">
        <v>2026</v>
      </c>
      <c r="C28" s="27" t="s">
        <v>85</v>
      </c>
      <c r="D28" s="30">
        <v>46042</v>
      </c>
      <c r="E28" s="27" t="s">
        <v>227</v>
      </c>
      <c r="F28" s="27" t="s">
        <v>164</v>
      </c>
      <c r="G28" s="27" t="s">
        <v>202</v>
      </c>
      <c r="H28" s="27" t="s">
        <v>235</v>
      </c>
      <c r="I28" s="27" t="s">
        <v>304</v>
      </c>
      <c r="J28" s="27" t="s">
        <v>177</v>
      </c>
      <c r="K28" s="10">
        <v>0</v>
      </c>
      <c r="L28" s="36" t="s">
        <v>263</v>
      </c>
      <c r="M28" s="37" t="s">
        <v>281</v>
      </c>
      <c r="N28" s="37" t="s">
        <v>290</v>
      </c>
      <c r="O28" s="27" t="s">
        <v>305</v>
      </c>
      <c r="P28" s="27"/>
      <c r="Q28" s="27" t="s">
        <v>237</v>
      </c>
      <c r="R28" s="27"/>
      <c r="S28" s="1" t="s">
        <v>264</v>
      </c>
      <c r="T28" s="29" t="s">
        <v>265</v>
      </c>
      <c r="U28" s="30">
        <v>46364</v>
      </c>
      <c r="V28" s="27" t="s">
        <v>306</v>
      </c>
      <c r="W28" s="27"/>
    </row>
    <row r="29" spans="1:23" ht="24" customHeight="1">
      <c r="A29" s="27" t="str">
        <f t="shared" ca="1" si="0"/>
        <v>EVT-2026-0027</v>
      </c>
      <c r="B29" s="27">
        <v>2026</v>
      </c>
      <c r="C29" s="27" t="s">
        <v>85</v>
      </c>
      <c r="D29" s="30">
        <v>46042</v>
      </c>
      <c r="E29" s="27" t="s">
        <v>227</v>
      </c>
      <c r="F29" s="27" t="s">
        <v>164</v>
      </c>
      <c r="G29" s="27" t="s">
        <v>262</v>
      </c>
      <c r="H29" s="27"/>
      <c r="I29" s="27"/>
      <c r="J29" s="27" t="s">
        <v>177</v>
      </c>
      <c r="K29" s="10">
        <v>0</v>
      </c>
      <c r="L29" s="36" t="s">
        <v>263</v>
      </c>
      <c r="M29" s="37"/>
      <c r="N29" s="37"/>
      <c r="O29" s="27"/>
      <c r="P29" s="27"/>
      <c r="Q29" s="27"/>
      <c r="R29" s="27"/>
      <c r="S29" s="1" t="s">
        <v>264</v>
      </c>
      <c r="T29" s="29" t="s">
        <v>265</v>
      </c>
      <c r="U29" s="27"/>
      <c r="V29" s="27" t="s">
        <v>307</v>
      </c>
      <c r="W29" s="27"/>
    </row>
    <row r="30" spans="1:23" ht="24" customHeight="1">
      <c r="A30" s="27" t="str">
        <f t="shared" ca="1" si="0"/>
        <v>EVT-2026-0028</v>
      </c>
      <c r="B30" s="27">
        <v>2026</v>
      </c>
      <c r="C30" s="27" t="s">
        <v>85</v>
      </c>
      <c r="D30" s="30">
        <v>46042</v>
      </c>
      <c r="E30" s="27" t="s">
        <v>227</v>
      </c>
      <c r="F30" s="27" t="s">
        <v>164</v>
      </c>
      <c r="G30" s="27" t="s">
        <v>262</v>
      </c>
      <c r="H30" s="27" t="s">
        <v>171</v>
      </c>
      <c r="I30" s="27" t="s">
        <v>308</v>
      </c>
      <c r="J30" s="27" t="s">
        <v>134</v>
      </c>
      <c r="K30" s="10">
        <v>30</v>
      </c>
      <c r="L30" s="36" t="s">
        <v>263</v>
      </c>
      <c r="M30" s="37" t="s">
        <v>309</v>
      </c>
      <c r="N30" s="37" t="s">
        <v>296</v>
      </c>
      <c r="O30" s="27"/>
      <c r="P30" s="27"/>
      <c r="Q30" s="27" t="s">
        <v>310</v>
      </c>
      <c r="R30" s="27"/>
      <c r="S30" s="1" t="s">
        <v>264</v>
      </c>
      <c r="T30" s="29" t="s">
        <v>265</v>
      </c>
      <c r="U30" s="30">
        <v>46035</v>
      </c>
      <c r="V30" s="27" t="s">
        <v>311</v>
      </c>
      <c r="W30" s="27"/>
    </row>
    <row r="31" spans="1:23" ht="24" customHeight="1">
      <c r="A31" s="27" t="str">
        <f t="shared" ca="1" si="0"/>
        <v>EVT-2026-0029</v>
      </c>
      <c r="B31" s="27">
        <v>2026</v>
      </c>
      <c r="C31" s="27" t="s">
        <v>85</v>
      </c>
      <c r="D31" s="30">
        <v>46043</v>
      </c>
      <c r="E31" s="27" t="s">
        <v>201</v>
      </c>
      <c r="F31" s="27" t="s">
        <v>164</v>
      </c>
      <c r="G31" s="27" t="s">
        <v>262</v>
      </c>
      <c r="H31" s="27" t="s">
        <v>171</v>
      </c>
      <c r="I31" s="27" t="s">
        <v>308</v>
      </c>
      <c r="J31" s="27" t="s">
        <v>134</v>
      </c>
      <c r="K31" s="10">
        <v>30</v>
      </c>
      <c r="L31" s="36" t="s">
        <v>263</v>
      </c>
      <c r="M31" s="37" t="s">
        <v>309</v>
      </c>
      <c r="N31" s="37" t="s">
        <v>296</v>
      </c>
      <c r="O31" s="27"/>
      <c r="P31" s="27"/>
      <c r="Q31" s="27" t="s">
        <v>310</v>
      </c>
      <c r="R31" s="27"/>
      <c r="S31" s="3" t="s">
        <v>312</v>
      </c>
      <c r="T31" s="29" t="s">
        <v>265</v>
      </c>
      <c r="U31" s="30">
        <v>46035</v>
      </c>
      <c r="V31" s="27" t="s">
        <v>311</v>
      </c>
      <c r="W31" s="27"/>
    </row>
    <row r="32" spans="1:23" ht="24" customHeight="1">
      <c r="A32" s="27" t="str">
        <f t="shared" ca="1" si="0"/>
        <v>EVT-2026-0030</v>
      </c>
      <c r="B32" s="27">
        <v>2026</v>
      </c>
      <c r="C32" s="27" t="s">
        <v>85</v>
      </c>
      <c r="D32" s="30">
        <v>46044</v>
      </c>
      <c r="E32" s="27" t="s">
        <v>216</v>
      </c>
      <c r="F32" s="27" t="s">
        <v>164</v>
      </c>
      <c r="G32" s="27" t="s">
        <v>262</v>
      </c>
      <c r="H32" s="27" t="s">
        <v>313</v>
      </c>
      <c r="I32" s="27" t="s">
        <v>314</v>
      </c>
      <c r="J32" s="27" t="s">
        <v>177</v>
      </c>
      <c r="K32" s="10">
        <v>70</v>
      </c>
      <c r="L32" s="36" t="s">
        <v>263</v>
      </c>
      <c r="M32" s="37" t="s">
        <v>315</v>
      </c>
      <c r="N32" s="37" t="s">
        <v>316</v>
      </c>
      <c r="O32" s="27"/>
      <c r="P32" s="27"/>
      <c r="Q32" s="27" t="s">
        <v>317</v>
      </c>
      <c r="R32" s="27"/>
      <c r="S32" s="3" t="s">
        <v>312</v>
      </c>
      <c r="T32" s="29" t="s">
        <v>265</v>
      </c>
      <c r="U32" s="30">
        <v>46035</v>
      </c>
      <c r="V32" s="27" t="s">
        <v>298</v>
      </c>
      <c r="W32" s="27" t="s">
        <v>318</v>
      </c>
    </row>
    <row r="33" spans="1:23" ht="24" customHeight="1">
      <c r="A33" s="27" t="str">
        <f t="shared" ca="1" si="0"/>
        <v>EVT-2026-0031</v>
      </c>
      <c r="B33" s="27">
        <v>2026</v>
      </c>
      <c r="C33" s="27" t="s">
        <v>85</v>
      </c>
      <c r="D33" s="30">
        <v>46044</v>
      </c>
      <c r="E33" s="27" t="s">
        <v>216</v>
      </c>
      <c r="F33" s="27" t="s">
        <v>164</v>
      </c>
      <c r="G33" s="27" t="s">
        <v>262</v>
      </c>
      <c r="H33" s="27"/>
      <c r="I33" s="27"/>
      <c r="J33" s="27" t="s">
        <v>177</v>
      </c>
      <c r="K33" s="10">
        <v>0</v>
      </c>
      <c r="L33" s="36" t="s">
        <v>263</v>
      </c>
      <c r="M33" s="37"/>
      <c r="N33" s="37"/>
      <c r="O33" s="27"/>
      <c r="P33" s="27"/>
      <c r="Q33" s="27"/>
      <c r="R33" s="27"/>
      <c r="S33" s="1" t="s">
        <v>264</v>
      </c>
      <c r="T33" s="29" t="s">
        <v>265</v>
      </c>
      <c r="U33" s="27"/>
      <c r="V33" s="27" t="s">
        <v>298</v>
      </c>
      <c r="W33" s="27"/>
    </row>
    <row r="34" spans="1:23" ht="24" customHeight="1">
      <c r="A34" s="27" t="str">
        <f t="shared" ca="1" si="0"/>
        <v>EVT-2026-0032</v>
      </c>
      <c r="B34" s="27">
        <v>2026</v>
      </c>
      <c r="C34" s="27" t="s">
        <v>85</v>
      </c>
      <c r="D34" s="30">
        <v>46044</v>
      </c>
      <c r="E34" s="27" t="s">
        <v>216</v>
      </c>
      <c r="F34" s="27" t="s">
        <v>164</v>
      </c>
      <c r="G34" s="27" t="s">
        <v>262</v>
      </c>
      <c r="H34" s="27" t="s">
        <v>313</v>
      </c>
      <c r="I34" s="27" t="s">
        <v>319</v>
      </c>
      <c r="J34" s="27" t="s">
        <v>177</v>
      </c>
      <c r="K34" s="10">
        <v>60</v>
      </c>
      <c r="L34" s="36" t="s">
        <v>263</v>
      </c>
      <c r="M34" s="37" t="s">
        <v>295</v>
      </c>
      <c r="N34" s="37" t="s">
        <v>290</v>
      </c>
      <c r="O34" s="27"/>
      <c r="P34" s="27"/>
      <c r="Q34" s="27" t="s">
        <v>320</v>
      </c>
      <c r="R34" s="27"/>
      <c r="S34" s="1" t="s">
        <v>264</v>
      </c>
      <c r="T34" s="29" t="s">
        <v>265</v>
      </c>
      <c r="U34" s="30">
        <v>46027</v>
      </c>
      <c r="V34" s="27" t="s">
        <v>321</v>
      </c>
      <c r="W34" s="27"/>
    </row>
    <row r="35" spans="1:23" ht="24" customHeight="1">
      <c r="A35" s="27" t="str">
        <f t="shared" ca="1" si="0"/>
        <v>EVT-2026-0033</v>
      </c>
      <c r="B35" s="27">
        <v>2026</v>
      </c>
      <c r="C35" s="27" t="s">
        <v>85</v>
      </c>
      <c r="D35" s="30">
        <v>46045</v>
      </c>
      <c r="E35" s="27" t="s">
        <v>220</v>
      </c>
      <c r="F35" s="27" t="s">
        <v>164</v>
      </c>
      <c r="G35" s="27" t="s">
        <v>262</v>
      </c>
      <c r="H35" s="27" t="s">
        <v>322</v>
      </c>
      <c r="I35" s="27" t="s">
        <v>271</v>
      </c>
      <c r="J35" s="27" t="s">
        <v>158</v>
      </c>
      <c r="K35" s="10">
        <v>0</v>
      </c>
      <c r="L35" s="36" t="s">
        <v>263</v>
      </c>
      <c r="M35" s="37"/>
      <c r="N35" s="37"/>
      <c r="O35" s="27"/>
      <c r="P35" s="27"/>
      <c r="Q35" s="27" t="s">
        <v>323</v>
      </c>
      <c r="R35" s="27"/>
      <c r="S35" s="1" t="s">
        <v>264</v>
      </c>
      <c r="T35" s="29" t="s">
        <v>265</v>
      </c>
      <c r="U35" s="30">
        <v>46044</v>
      </c>
      <c r="V35" s="27" t="s">
        <v>324</v>
      </c>
      <c r="W35" s="27"/>
    </row>
    <row r="36" spans="1:23" ht="24" customHeight="1">
      <c r="A36" s="27" t="str">
        <f t="shared" ca="1" si="0"/>
        <v>EVT-2026-0034</v>
      </c>
      <c r="B36" s="27">
        <v>2026</v>
      </c>
      <c r="C36" s="27" t="s">
        <v>85</v>
      </c>
      <c r="D36" s="30">
        <v>46046</v>
      </c>
      <c r="E36" s="27" t="s">
        <v>266</v>
      </c>
      <c r="F36" s="27" t="s">
        <v>164</v>
      </c>
      <c r="G36" s="27" t="s">
        <v>262</v>
      </c>
      <c r="H36" s="27"/>
      <c r="I36" s="27" t="s">
        <v>300</v>
      </c>
      <c r="J36" s="27" t="s">
        <v>145</v>
      </c>
      <c r="K36" s="10">
        <v>0</v>
      </c>
      <c r="L36" s="36" t="s">
        <v>263</v>
      </c>
      <c r="M36" s="37" t="s">
        <v>269</v>
      </c>
      <c r="N36" s="37" t="s">
        <v>270</v>
      </c>
      <c r="O36" s="27"/>
      <c r="P36" s="27"/>
      <c r="Q36" s="27" t="s">
        <v>325</v>
      </c>
      <c r="R36" s="27"/>
      <c r="S36" s="1" t="s">
        <v>264</v>
      </c>
      <c r="T36" s="29" t="s">
        <v>265</v>
      </c>
      <c r="U36" s="30">
        <v>46031</v>
      </c>
      <c r="V36" s="27"/>
      <c r="W36" s="27"/>
    </row>
    <row r="37" spans="1:23" ht="24" customHeight="1">
      <c r="A37" s="27" t="str">
        <f t="shared" ca="1" si="0"/>
        <v>EVT-2026-0035</v>
      </c>
      <c r="B37" s="27">
        <v>2026</v>
      </c>
      <c r="C37" s="27" t="s">
        <v>85</v>
      </c>
      <c r="D37" s="30">
        <v>46047</v>
      </c>
      <c r="E37" s="27" t="s">
        <v>267</v>
      </c>
      <c r="F37" s="27" t="s">
        <v>164</v>
      </c>
      <c r="G37" s="27" t="s">
        <v>262</v>
      </c>
      <c r="H37" s="27"/>
      <c r="I37" s="27"/>
      <c r="J37" s="27" t="s">
        <v>177</v>
      </c>
      <c r="K37" s="10">
        <v>0</v>
      </c>
      <c r="L37" s="36" t="s">
        <v>263</v>
      </c>
      <c r="M37" s="37"/>
      <c r="N37" s="37"/>
      <c r="O37" s="27"/>
      <c r="P37" s="27"/>
      <c r="Q37" s="27"/>
      <c r="R37" s="27"/>
      <c r="S37" s="1" t="s">
        <v>264</v>
      </c>
      <c r="T37" s="29" t="s">
        <v>265</v>
      </c>
      <c r="U37" s="27"/>
      <c r="V37" s="27"/>
      <c r="W37" s="27"/>
    </row>
    <row r="38" spans="1:23" ht="24" customHeight="1">
      <c r="A38" s="27" t="str">
        <f t="shared" ca="1" si="0"/>
        <v>EVT-2026-0036</v>
      </c>
      <c r="B38" s="27">
        <v>2026</v>
      </c>
      <c r="C38" s="27" t="s">
        <v>85</v>
      </c>
      <c r="D38" s="30">
        <v>46049</v>
      </c>
      <c r="E38" s="27" t="s">
        <v>227</v>
      </c>
      <c r="F38" s="27" t="s">
        <v>164</v>
      </c>
      <c r="G38" s="27" t="s">
        <v>202</v>
      </c>
      <c r="H38" s="27" t="s">
        <v>326</v>
      </c>
      <c r="I38" s="27" t="s">
        <v>302</v>
      </c>
      <c r="J38" s="27" t="s">
        <v>139</v>
      </c>
      <c r="K38" s="10">
        <v>0</v>
      </c>
      <c r="L38" s="36" t="s">
        <v>263</v>
      </c>
      <c r="M38" s="37" t="s">
        <v>269</v>
      </c>
      <c r="N38" s="37" t="s">
        <v>270</v>
      </c>
      <c r="O38" s="27" t="s">
        <v>271</v>
      </c>
      <c r="P38" s="27"/>
      <c r="Q38" s="27" t="s">
        <v>237</v>
      </c>
      <c r="R38" s="27"/>
      <c r="S38" s="1" t="s">
        <v>264</v>
      </c>
      <c r="T38" s="29" t="s">
        <v>265</v>
      </c>
      <c r="U38" s="27"/>
      <c r="V38" s="27" t="s">
        <v>303</v>
      </c>
      <c r="W38" s="27"/>
    </row>
    <row r="39" spans="1:23" ht="24" customHeight="1">
      <c r="A39" s="27" t="str">
        <f t="shared" ca="1" si="0"/>
        <v>EVT-2026-0037</v>
      </c>
      <c r="B39" s="27">
        <v>2026</v>
      </c>
      <c r="C39" s="27" t="s">
        <v>85</v>
      </c>
      <c r="D39" s="30">
        <v>46049</v>
      </c>
      <c r="E39" s="27" t="s">
        <v>227</v>
      </c>
      <c r="F39" s="27" t="s">
        <v>164</v>
      </c>
      <c r="G39" s="27" t="s">
        <v>262</v>
      </c>
      <c r="H39" s="27" t="s">
        <v>171</v>
      </c>
      <c r="I39" s="27" t="s">
        <v>327</v>
      </c>
      <c r="J39" s="27" t="s">
        <v>177</v>
      </c>
      <c r="K39" s="10">
        <v>0</v>
      </c>
      <c r="L39" s="36" t="s">
        <v>263</v>
      </c>
      <c r="M39" s="37" t="s">
        <v>269</v>
      </c>
      <c r="N39" s="37" t="s">
        <v>270</v>
      </c>
      <c r="O39" s="27" t="s">
        <v>328</v>
      </c>
      <c r="P39" s="27"/>
      <c r="Q39" s="27" t="s">
        <v>237</v>
      </c>
      <c r="R39" s="27"/>
      <c r="S39" s="1" t="s">
        <v>264</v>
      </c>
      <c r="T39" s="29" t="s">
        <v>265</v>
      </c>
      <c r="U39" s="27"/>
      <c r="V39" s="27" t="s">
        <v>303</v>
      </c>
      <c r="W39" s="27"/>
    </row>
    <row r="40" spans="1:23" ht="24" customHeight="1">
      <c r="A40" s="27" t="str">
        <f t="shared" ca="1" si="0"/>
        <v>EVT-2026-0038</v>
      </c>
      <c r="B40" s="27">
        <v>2026</v>
      </c>
      <c r="C40" s="27" t="s">
        <v>85</v>
      </c>
      <c r="D40" s="30">
        <v>46050</v>
      </c>
      <c r="E40" s="27" t="s">
        <v>201</v>
      </c>
      <c r="F40" s="27" t="s">
        <v>164</v>
      </c>
      <c r="G40" s="27" t="s">
        <v>202</v>
      </c>
      <c r="H40" s="27" t="s">
        <v>326</v>
      </c>
      <c r="I40" s="27" t="s">
        <v>327</v>
      </c>
      <c r="J40" s="27" t="s">
        <v>177</v>
      </c>
      <c r="K40" s="10">
        <v>0</v>
      </c>
      <c r="L40" s="36" t="s">
        <v>263</v>
      </c>
      <c r="M40" s="37" t="s">
        <v>269</v>
      </c>
      <c r="N40" s="37" t="s">
        <v>270</v>
      </c>
      <c r="O40" s="27" t="s">
        <v>328</v>
      </c>
      <c r="P40" s="27"/>
      <c r="Q40" s="27" t="s">
        <v>237</v>
      </c>
      <c r="R40" s="27"/>
      <c r="S40" s="1" t="s">
        <v>264</v>
      </c>
      <c r="T40" s="29" t="s">
        <v>265</v>
      </c>
      <c r="U40" s="27"/>
      <c r="V40" s="27" t="s">
        <v>303</v>
      </c>
      <c r="W40" s="27"/>
    </row>
    <row r="41" spans="1:23" ht="24" customHeight="1">
      <c r="A41" s="27" t="str">
        <f t="shared" ca="1" si="0"/>
        <v>EVT-2026-0039</v>
      </c>
      <c r="B41" s="27">
        <v>2026</v>
      </c>
      <c r="C41" s="27" t="s">
        <v>85</v>
      </c>
      <c r="D41" s="30">
        <v>46051</v>
      </c>
      <c r="E41" s="27" t="s">
        <v>216</v>
      </c>
      <c r="F41" s="27" t="s">
        <v>164</v>
      </c>
      <c r="G41" s="27" t="s">
        <v>262</v>
      </c>
      <c r="H41" s="27" t="s">
        <v>171</v>
      </c>
      <c r="I41" s="27" t="s">
        <v>329</v>
      </c>
      <c r="J41" s="27" t="s">
        <v>127</v>
      </c>
      <c r="K41" s="10">
        <v>50</v>
      </c>
      <c r="L41" s="36" t="s">
        <v>263</v>
      </c>
      <c r="M41" s="37" t="s">
        <v>330</v>
      </c>
      <c r="N41" s="37" t="s">
        <v>331</v>
      </c>
      <c r="O41" s="27"/>
      <c r="P41" s="27"/>
      <c r="Q41" s="27" t="s">
        <v>332</v>
      </c>
      <c r="R41" s="27"/>
      <c r="S41" s="1" t="s">
        <v>264</v>
      </c>
      <c r="T41" s="29" t="s">
        <v>265</v>
      </c>
      <c r="U41" s="27"/>
      <c r="V41" s="27" t="s">
        <v>298</v>
      </c>
      <c r="W41" s="27"/>
    </row>
    <row r="42" spans="1:23" ht="24" customHeight="1">
      <c r="A42" s="27" t="str">
        <f t="shared" ca="1" si="0"/>
        <v>EVT-2026-0040</v>
      </c>
      <c r="B42" s="27">
        <v>2026</v>
      </c>
      <c r="C42" s="27" t="s">
        <v>85</v>
      </c>
      <c r="D42" s="30">
        <v>46051</v>
      </c>
      <c r="E42" s="27" t="s">
        <v>216</v>
      </c>
      <c r="F42" s="27" t="s">
        <v>164</v>
      </c>
      <c r="G42" s="27" t="s">
        <v>262</v>
      </c>
      <c r="H42" s="27" t="s">
        <v>292</v>
      </c>
      <c r="I42" s="27" t="s">
        <v>333</v>
      </c>
      <c r="J42" s="27" t="s">
        <v>165</v>
      </c>
      <c r="K42" s="10">
        <v>200</v>
      </c>
      <c r="L42" s="38" t="s">
        <v>294</v>
      </c>
      <c r="M42" s="37" t="s">
        <v>295</v>
      </c>
      <c r="N42" s="37" t="s">
        <v>290</v>
      </c>
      <c r="O42" s="27"/>
      <c r="P42" s="27"/>
      <c r="Q42" s="27" t="s">
        <v>297</v>
      </c>
      <c r="R42" s="27"/>
      <c r="S42" s="1" t="s">
        <v>264</v>
      </c>
      <c r="T42" s="29" t="s">
        <v>265</v>
      </c>
      <c r="U42" s="27"/>
      <c r="V42" s="27" t="s">
        <v>298</v>
      </c>
      <c r="W42" s="27"/>
    </row>
    <row r="43" spans="1:23" ht="24" customHeight="1">
      <c r="A43" s="27" t="str">
        <f t="shared" ca="1" si="0"/>
        <v>EVT-2026-0041</v>
      </c>
      <c r="B43" s="27">
        <v>2026</v>
      </c>
      <c r="C43" s="27" t="s">
        <v>85</v>
      </c>
      <c r="D43" s="30">
        <v>46051</v>
      </c>
      <c r="E43" s="27" t="s">
        <v>216</v>
      </c>
      <c r="F43" s="27" t="s">
        <v>164</v>
      </c>
      <c r="G43" s="27" t="s">
        <v>262</v>
      </c>
      <c r="H43" s="27" t="s">
        <v>171</v>
      </c>
      <c r="I43" s="27" t="s">
        <v>334</v>
      </c>
      <c r="J43" s="27" t="s">
        <v>127</v>
      </c>
      <c r="K43" s="10">
        <v>50</v>
      </c>
      <c r="L43" s="36" t="s">
        <v>263</v>
      </c>
      <c r="M43" s="37" t="s">
        <v>309</v>
      </c>
      <c r="N43" s="37" t="s">
        <v>296</v>
      </c>
      <c r="O43" s="27"/>
      <c r="P43" s="27"/>
      <c r="Q43" s="27" t="s">
        <v>335</v>
      </c>
      <c r="R43" s="27"/>
      <c r="S43" s="3" t="s">
        <v>312</v>
      </c>
      <c r="T43" s="29" t="s">
        <v>265</v>
      </c>
      <c r="U43" s="27"/>
      <c r="V43" s="27" t="s">
        <v>321</v>
      </c>
      <c r="W43" s="27" t="s">
        <v>336</v>
      </c>
    </row>
    <row r="44" spans="1:23" ht="24" customHeight="1">
      <c r="A44" s="27" t="str">
        <f t="shared" ca="1" si="0"/>
        <v>EVT-2026-0042</v>
      </c>
      <c r="B44" s="27">
        <v>2026</v>
      </c>
      <c r="C44" s="27" t="s">
        <v>85</v>
      </c>
      <c r="D44" s="30">
        <v>46052</v>
      </c>
      <c r="E44" s="27" t="s">
        <v>220</v>
      </c>
      <c r="F44" s="27" t="s">
        <v>164</v>
      </c>
      <c r="G44" s="27" t="s">
        <v>262</v>
      </c>
      <c r="H44" s="27" t="s">
        <v>239</v>
      </c>
      <c r="I44" s="27" t="s">
        <v>337</v>
      </c>
      <c r="J44" s="27" t="s">
        <v>127</v>
      </c>
      <c r="K44" s="10">
        <v>0</v>
      </c>
      <c r="L44" s="36" t="s">
        <v>263</v>
      </c>
      <c r="M44" s="37" t="s">
        <v>338</v>
      </c>
      <c r="N44" s="37" t="s">
        <v>274</v>
      </c>
      <c r="O44" s="27"/>
      <c r="P44" s="27"/>
      <c r="Q44" s="27" t="s">
        <v>339</v>
      </c>
      <c r="R44" s="27"/>
      <c r="S44" s="1" t="s">
        <v>264</v>
      </c>
      <c r="T44" s="29" t="s">
        <v>265</v>
      </c>
      <c r="U44" s="27"/>
      <c r="V44" s="27"/>
      <c r="W44" s="27"/>
    </row>
    <row r="45" spans="1:23" ht="24" customHeight="1">
      <c r="A45" s="27" t="str">
        <f t="shared" ca="1" si="0"/>
        <v>EVT-2026-0043</v>
      </c>
      <c r="B45" s="27">
        <v>2026</v>
      </c>
      <c r="C45" s="27" t="s">
        <v>85</v>
      </c>
      <c r="D45" s="30">
        <v>46052</v>
      </c>
      <c r="E45" s="27" t="s">
        <v>220</v>
      </c>
      <c r="F45" s="27" t="s">
        <v>164</v>
      </c>
      <c r="G45" s="27" t="s">
        <v>262</v>
      </c>
      <c r="H45" s="27" t="s">
        <v>239</v>
      </c>
      <c r="I45" s="27" t="s">
        <v>340</v>
      </c>
      <c r="J45" s="27" t="s">
        <v>177</v>
      </c>
      <c r="K45" s="10">
        <v>180</v>
      </c>
      <c r="L45" s="38" t="s">
        <v>294</v>
      </c>
      <c r="M45" s="37" t="s">
        <v>295</v>
      </c>
      <c r="N45" s="37" t="s">
        <v>296</v>
      </c>
      <c r="O45" s="27"/>
      <c r="P45" s="27"/>
      <c r="Q45" s="27" t="s">
        <v>237</v>
      </c>
      <c r="R45" s="27"/>
      <c r="S45" s="1" t="s">
        <v>264</v>
      </c>
      <c r="T45" s="29" t="s">
        <v>265</v>
      </c>
      <c r="U45" s="30">
        <v>46032</v>
      </c>
      <c r="V45" s="27" t="s">
        <v>341</v>
      </c>
      <c r="W45" s="27"/>
    </row>
    <row r="46" spans="1:23" ht="24" customHeight="1">
      <c r="A46" s="27" t="str">
        <f t="shared" ca="1" si="0"/>
        <v>EVT-2026-0044</v>
      </c>
      <c r="B46" s="27">
        <v>2026</v>
      </c>
      <c r="C46" s="27" t="s">
        <v>85</v>
      </c>
      <c r="D46" s="30">
        <v>46053</v>
      </c>
      <c r="E46" s="27" t="s">
        <v>266</v>
      </c>
      <c r="F46" s="27" t="s">
        <v>164</v>
      </c>
      <c r="G46" s="27" t="s">
        <v>228</v>
      </c>
      <c r="H46" s="27" t="s">
        <v>342</v>
      </c>
      <c r="I46" s="27"/>
      <c r="J46" s="27" t="s">
        <v>145</v>
      </c>
      <c r="K46" s="10">
        <v>0</v>
      </c>
      <c r="L46" s="36" t="s">
        <v>263</v>
      </c>
      <c r="M46" s="37"/>
      <c r="N46" s="37"/>
      <c r="O46" s="27"/>
      <c r="P46" s="27"/>
      <c r="Q46" s="27"/>
      <c r="R46" s="27"/>
      <c r="S46" s="1" t="s">
        <v>264</v>
      </c>
      <c r="T46" s="29" t="s">
        <v>265</v>
      </c>
      <c r="U46" s="27"/>
      <c r="V46" s="27"/>
      <c r="W46" s="27"/>
    </row>
    <row r="47" spans="1:23" ht="24" customHeight="1">
      <c r="A47" s="27" t="str">
        <f t="shared" ca="1" si="0"/>
        <v>EVT-2026-0045</v>
      </c>
      <c r="B47" s="27">
        <v>2026</v>
      </c>
      <c r="C47" s="27" t="s">
        <v>85</v>
      </c>
      <c r="D47" s="27"/>
      <c r="E47" s="27"/>
      <c r="F47" s="27" t="s">
        <v>164</v>
      </c>
      <c r="G47" s="27" t="s">
        <v>262</v>
      </c>
      <c r="H47" s="27"/>
      <c r="I47" s="27"/>
      <c r="J47" s="27" t="s">
        <v>177</v>
      </c>
      <c r="K47" s="10">
        <v>0</v>
      </c>
      <c r="L47" s="36" t="s">
        <v>263</v>
      </c>
      <c r="M47" s="37"/>
      <c r="N47" s="37"/>
      <c r="O47" s="27"/>
      <c r="P47" s="27"/>
      <c r="Q47" s="27"/>
      <c r="R47" s="27"/>
      <c r="S47" s="1" t="s">
        <v>264</v>
      </c>
      <c r="T47" s="29" t="s">
        <v>265</v>
      </c>
      <c r="U47" s="27"/>
      <c r="V47" s="27"/>
      <c r="W47" s="27"/>
    </row>
    <row r="48" spans="1:23" ht="24" customHeight="1">
      <c r="A48" s="27" t="str">
        <f t="shared" ca="1" si="0"/>
        <v>EVT-2026-0046</v>
      </c>
      <c r="B48" s="27">
        <v>2026</v>
      </c>
      <c r="C48" s="27" t="s">
        <v>85</v>
      </c>
      <c r="D48" s="27"/>
      <c r="E48" s="27"/>
      <c r="F48" s="27" t="s">
        <v>164</v>
      </c>
      <c r="G48" s="27" t="s">
        <v>262</v>
      </c>
      <c r="H48" s="27"/>
      <c r="I48" s="27"/>
      <c r="J48" s="27" t="s">
        <v>177</v>
      </c>
      <c r="K48" s="10">
        <v>0</v>
      </c>
      <c r="L48" s="36" t="s">
        <v>263</v>
      </c>
      <c r="M48" s="37"/>
      <c r="N48" s="37"/>
      <c r="O48" s="27"/>
      <c r="P48" s="27"/>
      <c r="Q48" s="27"/>
      <c r="R48" s="27"/>
      <c r="S48" s="1" t="s">
        <v>264</v>
      </c>
      <c r="T48" s="29" t="s">
        <v>265</v>
      </c>
      <c r="U48" s="27"/>
      <c r="V48" s="27"/>
      <c r="W48" s="27"/>
    </row>
    <row r="49" spans="1:23" ht="24" customHeight="1">
      <c r="A49" s="27" t="str">
        <f t="shared" ca="1" si="0"/>
        <v>EVT-2026-0047</v>
      </c>
      <c r="B49" s="27">
        <v>2026</v>
      </c>
      <c r="C49" s="27" t="s">
        <v>85</v>
      </c>
      <c r="D49" s="27"/>
      <c r="E49" s="27"/>
      <c r="F49" s="27" t="s">
        <v>164</v>
      </c>
      <c r="G49" s="27" t="s">
        <v>262</v>
      </c>
      <c r="H49" s="27"/>
      <c r="I49" s="27"/>
      <c r="J49" s="27" t="s">
        <v>177</v>
      </c>
      <c r="K49" s="10">
        <v>0</v>
      </c>
      <c r="L49" s="36" t="s">
        <v>263</v>
      </c>
      <c r="M49" s="37"/>
      <c r="N49" s="37"/>
      <c r="O49" s="27"/>
      <c r="P49" s="27"/>
      <c r="Q49" s="27"/>
      <c r="R49" s="27"/>
      <c r="S49" s="1" t="s">
        <v>264</v>
      </c>
      <c r="T49" s="29" t="s">
        <v>265</v>
      </c>
      <c r="U49" s="27"/>
      <c r="V49" s="27"/>
      <c r="W49" s="27"/>
    </row>
    <row r="50" spans="1:23" ht="24" customHeight="1">
      <c r="A50" s="27" t="str">
        <f t="shared" ca="1" si="0"/>
        <v>EVT-2026-0048</v>
      </c>
      <c r="B50" s="27">
        <v>2026</v>
      </c>
      <c r="C50" s="27" t="s">
        <v>85</v>
      </c>
      <c r="D50" s="27"/>
      <c r="E50" s="27"/>
      <c r="F50" s="27" t="s">
        <v>164</v>
      </c>
      <c r="G50" s="27" t="s">
        <v>262</v>
      </c>
      <c r="H50" s="27"/>
      <c r="I50" s="27"/>
      <c r="J50" s="27" t="s">
        <v>177</v>
      </c>
      <c r="K50" s="10">
        <v>0</v>
      </c>
      <c r="L50" s="36" t="s">
        <v>263</v>
      </c>
      <c r="M50" s="37"/>
      <c r="N50" s="37"/>
      <c r="O50" s="27"/>
      <c r="P50" s="27"/>
      <c r="Q50" s="27"/>
      <c r="R50" s="27"/>
      <c r="S50" s="1" t="s">
        <v>264</v>
      </c>
      <c r="T50" s="29" t="s">
        <v>265</v>
      </c>
      <c r="U50" s="27"/>
      <c r="V50" s="27"/>
      <c r="W50" s="27"/>
    </row>
    <row r="51" spans="1:23" ht="24" customHeight="1">
      <c r="A51" s="27" t="str">
        <f t="shared" ca="1" si="0"/>
        <v>EVT-2026-0049</v>
      </c>
      <c r="B51" s="27">
        <v>2026</v>
      </c>
      <c r="C51" s="27" t="s">
        <v>85</v>
      </c>
      <c r="D51" s="30">
        <v>46023</v>
      </c>
      <c r="E51" s="27" t="s">
        <v>216</v>
      </c>
      <c r="F51" s="27" t="s">
        <v>126</v>
      </c>
      <c r="G51" s="27" t="s">
        <v>343</v>
      </c>
      <c r="H51" s="27" t="s">
        <v>138</v>
      </c>
      <c r="I51" s="27" t="s">
        <v>344</v>
      </c>
      <c r="J51" s="27" t="s">
        <v>134</v>
      </c>
      <c r="K51" s="10">
        <v>35</v>
      </c>
      <c r="L51" s="36" t="s">
        <v>263</v>
      </c>
      <c r="M51" s="37" t="s">
        <v>269</v>
      </c>
      <c r="N51" s="37" t="s">
        <v>270</v>
      </c>
      <c r="O51" s="27"/>
      <c r="P51" s="27" t="s">
        <v>345</v>
      </c>
      <c r="Q51" s="27" t="s">
        <v>346</v>
      </c>
      <c r="R51" s="27"/>
      <c r="S51" s="1" t="s">
        <v>264</v>
      </c>
      <c r="T51" s="29" t="s">
        <v>265</v>
      </c>
      <c r="U51" s="30">
        <v>45992</v>
      </c>
      <c r="V51" s="27" t="s">
        <v>347</v>
      </c>
      <c r="W51" s="27"/>
    </row>
    <row r="52" spans="1:23" ht="24" customHeight="1">
      <c r="A52" s="27" t="str">
        <f t="shared" ca="1" si="0"/>
        <v>EVT-2026-0050</v>
      </c>
      <c r="B52" s="27">
        <v>2026</v>
      </c>
      <c r="C52" s="27" t="s">
        <v>85</v>
      </c>
      <c r="D52" s="30">
        <v>46023</v>
      </c>
      <c r="E52" s="27" t="s">
        <v>216</v>
      </c>
      <c r="F52" s="27" t="s">
        <v>126</v>
      </c>
      <c r="G52" s="27" t="s">
        <v>343</v>
      </c>
      <c r="H52" s="27" t="s">
        <v>348</v>
      </c>
      <c r="I52" s="27" t="s">
        <v>344</v>
      </c>
      <c r="J52" s="27" t="s">
        <v>134</v>
      </c>
      <c r="K52" s="10">
        <v>35</v>
      </c>
      <c r="L52" s="36" t="s">
        <v>263</v>
      </c>
      <c r="M52" s="37" t="s">
        <v>269</v>
      </c>
      <c r="N52" s="37" t="s">
        <v>270</v>
      </c>
      <c r="O52" s="27"/>
      <c r="P52" s="27" t="s">
        <v>345</v>
      </c>
      <c r="Q52" s="27" t="s">
        <v>346</v>
      </c>
      <c r="R52" s="27"/>
      <c r="S52" s="1" t="s">
        <v>264</v>
      </c>
      <c r="T52" s="29" t="s">
        <v>265</v>
      </c>
      <c r="U52" s="30">
        <v>45992</v>
      </c>
      <c r="V52" s="27" t="s">
        <v>347</v>
      </c>
      <c r="W52" s="27"/>
    </row>
    <row r="53" spans="1:23" ht="24" customHeight="1">
      <c r="A53" s="27" t="str">
        <f t="shared" ca="1" si="0"/>
        <v>EVT-2026-0051</v>
      </c>
      <c r="B53" s="27">
        <v>2026</v>
      </c>
      <c r="C53" s="27" t="s">
        <v>85</v>
      </c>
      <c r="D53" s="30">
        <v>46024</v>
      </c>
      <c r="E53" s="27" t="s">
        <v>220</v>
      </c>
      <c r="F53" s="27" t="s">
        <v>126</v>
      </c>
      <c r="G53" s="27"/>
      <c r="H53" s="27"/>
      <c r="I53" s="27"/>
      <c r="J53" s="27" t="s">
        <v>177</v>
      </c>
      <c r="K53" s="10">
        <v>0</v>
      </c>
      <c r="L53" s="36" t="s">
        <v>263</v>
      </c>
      <c r="M53" s="37"/>
      <c r="N53" s="37"/>
      <c r="O53" s="27"/>
      <c r="P53" s="27"/>
      <c r="Q53" s="27"/>
      <c r="R53" s="27"/>
      <c r="S53" s="1" t="s">
        <v>264</v>
      </c>
      <c r="T53" s="29" t="s">
        <v>265</v>
      </c>
      <c r="U53" s="27"/>
      <c r="V53" s="27"/>
      <c r="W53" s="27"/>
    </row>
    <row r="54" spans="1:23" ht="24" customHeight="1">
      <c r="A54" s="27" t="str">
        <f t="shared" ca="1" si="0"/>
        <v>EVT-2026-0052</v>
      </c>
      <c r="B54" s="27">
        <v>2026</v>
      </c>
      <c r="C54" s="27" t="s">
        <v>85</v>
      </c>
      <c r="D54" s="30">
        <v>46025</v>
      </c>
      <c r="E54" s="27" t="s">
        <v>266</v>
      </c>
      <c r="F54" s="27" t="s">
        <v>126</v>
      </c>
      <c r="G54" s="27"/>
      <c r="H54" s="27"/>
      <c r="I54" s="27"/>
      <c r="J54" s="27" t="s">
        <v>177</v>
      </c>
      <c r="K54" s="10">
        <v>0</v>
      </c>
      <c r="L54" s="36" t="s">
        <v>263</v>
      </c>
      <c r="M54" s="37"/>
      <c r="N54" s="37"/>
      <c r="O54" s="27"/>
      <c r="P54" s="27"/>
      <c r="Q54" s="27"/>
      <c r="R54" s="27"/>
      <c r="S54" s="1" t="s">
        <v>264</v>
      </c>
      <c r="T54" s="29" t="s">
        <v>265</v>
      </c>
      <c r="U54" s="27"/>
      <c r="V54" s="27"/>
      <c r="W54" s="27"/>
    </row>
    <row r="55" spans="1:23" ht="24" customHeight="1">
      <c r="A55" s="27" t="str">
        <f t="shared" ca="1" si="0"/>
        <v>EVT-2026-0053</v>
      </c>
      <c r="B55" s="27">
        <v>2026</v>
      </c>
      <c r="C55" s="27" t="s">
        <v>85</v>
      </c>
      <c r="D55" s="30">
        <v>46026</v>
      </c>
      <c r="E55" s="27" t="s">
        <v>267</v>
      </c>
      <c r="F55" s="27" t="s">
        <v>126</v>
      </c>
      <c r="G55" s="27"/>
      <c r="H55" s="27"/>
      <c r="I55" s="27"/>
      <c r="J55" s="27" t="s">
        <v>177</v>
      </c>
      <c r="K55" s="10">
        <v>0</v>
      </c>
      <c r="L55" s="36" t="s">
        <v>263</v>
      </c>
      <c r="M55" s="37"/>
      <c r="N55" s="37"/>
      <c r="O55" s="27"/>
      <c r="P55" s="27"/>
      <c r="Q55" s="27"/>
      <c r="R55" s="27"/>
      <c r="S55" s="1" t="s">
        <v>264</v>
      </c>
      <c r="T55" s="29" t="s">
        <v>265</v>
      </c>
      <c r="U55" s="27"/>
      <c r="V55" s="27"/>
      <c r="W55" s="27"/>
    </row>
    <row r="56" spans="1:23" ht="24" customHeight="1">
      <c r="A56" s="27" t="str">
        <f t="shared" ca="1" si="0"/>
        <v>EVT-2026-0054</v>
      </c>
      <c r="B56" s="27">
        <v>2026</v>
      </c>
      <c r="C56" s="27" t="s">
        <v>85</v>
      </c>
      <c r="D56" s="30">
        <v>46027</v>
      </c>
      <c r="E56" s="27" t="s">
        <v>224</v>
      </c>
      <c r="F56" s="27" t="s">
        <v>126</v>
      </c>
      <c r="G56" s="27"/>
      <c r="H56" s="27"/>
      <c r="I56" s="27"/>
      <c r="J56" s="27" t="s">
        <v>177</v>
      </c>
      <c r="K56" s="10">
        <v>0</v>
      </c>
      <c r="L56" s="36" t="s">
        <v>263</v>
      </c>
      <c r="M56" s="37"/>
      <c r="N56" s="37"/>
      <c r="O56" s="27"/>
      <c r="P56" s="27"/>
      <c r="Q56" s="27"/>
      <c r="R56" s="27"/>
      <c r="S56" s="1" t="s">
        <v>264</v>
      </c>
      <c r="T56" s="29" t="s">
        <v>265</v>
      </c>
      <c r="U56" s="27"/>
      <c r="V56" s="27"/>
      <c r="W56" s="27"/>
    </row>
    <row r="57" spans="1:23" ht="24" customHeight="1">
      <c r="A57" s="27" t="str">
        <f t="shared" ca="1" si="0"/>
        <v>EVT-2026-0055</v>
      </c>
      <c r="B57" s="27">
        <v>2026</v>
      </c>
      <c r="C57" s="27" t="s">
        <v>85</v>
      </c>
      <c r="D57" s="30">
        <v>46028</v>
      </c>
      <c r="E57" s="27" t="s">
        <v>227</v>
      </c>
      <c r="F57" s="27" t="s">
        <v>126</v>
      </c>
      <c r="G57" s="27" t="s">
        <v>208</v>
      </c>
      <c r="H57" s="27" t="s">
        <v>348</v>
      </c>
      <c r="I57" s="27" t="s">
        <v>349</v>
      </c>
      <c r="J57" s="27" t="s">
        <v>145</v>
      </c>
      <c r="K57" s="10">
        <v>50</v>
      </c>
      <c r="L57" s="36" t="s">
        <v>263</v>
      </c>
      <c r="M57" s="37" t="s">
        <v>350</v>
      </c>
      <c r="N57" s="37" t="s">
        <v>296</v>
      </c>
      <c r="O57" s="27"/>
      <c r="P57" s="27"/>
      <c r="Q57" s="27" t="s">
        <v>351</v>
      </c>
      <c r="R57" s="27"/>
      <c r="S57" s="1" t="s">
        <v>264</v>
      </c>
      <c r="T57" s="29" t="s">
        <v>265</v>
      </c>
      <c r="U57" s="30">
        <v>46008</v>
      </c>
      <c r="V57" s="27" t="s">
        <v>303</v>
      </c>
      <c r="W57" s="27"/>
    </row>
    <row r="58" spans="1:23" ht="24" customHeight="1">
      <c r="A58" s="27" t="str">
        <f t="shared" ca="1" si="0"/>
        <v>EVT-2026-0056</v>
      </c>
      <c r="B58" s="27">
        <v>2026</v>
      </c>
      <c r="C58" s="27" t="s">
        <v>85</v>
      </c>
      <c r="D58" s="30">
        <v>46029</v>
      </c>
      <c r="E58" s="27" t="s">
        <v>201</v>
      </c>
      <c r="F58" s="27" t="s">
        <v>126</v>
      </c>
      <c r="G58" s="27"/>
      <c r="H58" s="27"/>
      <c r="I58" s="27"/>
      <c r="J58" s="27" t="s">
        <v>177</v>
      </c>
      <c r="K58" s="10">
        <v>0</v>
      </c>
      <c r="L58" s="36" t="s">
        <v>263</v>
      </c>
      <c r="M58" s="37"/>
      <c r="N58" s="37"/>
      <c r="O58" s="27"/>
      <c r="P58" s="27"/>
      <c r="Q58" s="27"/>
      <c r="R58" s="27"/>
      <c r="S58" s="1" t="s">
        <v>264</v>
      </c>
      <c r="T58" s="29" t="s">
        <v>265</v>
      </c>
      <c r="U58" s="27"/>
      <c r="V58" s="27"/>
      <c r="W58" s="27"/>
    </row>
    <row r="59" spans="1:23" ht="24" customHeight="1">
      <c r="A59" s="27" t="str">
        <f t="shared" ca="1" si="0"/>
        <v>EVT-2026-0057</v>
      </c>
      <c r="B59" s="27">
        <v>2026</v>
      </c>
      <c r="C59" s="27" t="s">
        <v>85</v>
      </c>
      <c r="D59" s="30">
        <v>46030</v>
      </c>
      <c r="E59" s="27" t="s">
        <v>216</v>
      </c>
      <c r="F59" s="27" t="s">
        <v>126</v>
      </c>
      <c r="G59" s="27"/>
      <c r="H59" s="27"/>
      <c r="I59" s="27"/>
      <c r="J59" s="27" t="s">
        <v>177</v>
      </c>
      <c r="K59" s="10">
        <v>0</v>
      </c>
      <c r="L59" s="36" t="s">
        <v>263</v>
      </c>
      <c r="M59" s="37"/>
      <c r="N59" s="37"/>
      <c r="O59" s="27"/>
      <c r="P59" s="27"/>
      <c r="Q59" s="27"/>
      <c r="R59" s="27"/>
      <c r="S59" s="1" t="s">
        <v>264</v>
      </c>
      <c r="T59" s="29" t="s">
        <v>265</v>
      </c>
      <c r="U59" s="27"/>
      <c r="V59" s="27"/>
      <c r="W59" s="27"/>
    </row>
    <row r="60" spans="1:23" ht="24" customHeight="1">
      <c r="A60" s="27" t="str">
        <f t="shared" ca="1" si="0"/>
        <v>EVT-2026-0058</v>
      </c>
      <c r="B60" s="27">
        <v>2026</v>
      </c>
      <c r="C60" s="27" t="s">
        <v>85</v>
      </c>
      <c r="D60" s="30">
        <v>46031</v>
      </c>
      <c r="E60" s="27" t="s">
        <v>220</v>
      </c>
      <c r="F60" s="27" t="s">
        <v>126</v>
      </c>
      <c r="G60" s="27"/>
      <c r="H60" s="27"/>
      <c r="I60" s="27"/>
      <c r="J60" s="27" t="s">
        <v>177</v>
      </c>
      <c r="K60" s="10">
        <v>0</v>
      </c>
      <c r="L60" s="36" t="s">
        <v>263</v>
      </c>
      <c r="M60" s="37"/>
      <c r="N60" s="37"/>
      <c r="O60" s="27"/>
      <c r="P60" s="27"/>
      <c r="Q60" s="27"/>
      <c r="R60" s="27"/>
      <c r="S60" s="1" t="s">
        <v>264</v>
      </c>
      <c r="T60" s="29" t="s">
        <v>265</v>
      </c>
      <c r="U60" s="27"/>
      <c r="V60" s="27"/>
      <c r="W60" s="27"/>
    </row>
    <row r="61" spans="1:23" ht="24" customHeight="1">
      <c r="A61" s="27" t="str">
        <f t="shared" ca="1" si="0"/>
        <v>EVT-2026-0059</v>
      </c>
      <c r="B61" s="27">
        <v>2026</v>
      </c>
      <c r="C61" s="27" t="s">
        <v>85</v>
      </c>
      <c r="D61" s="30">
        <v>46032</v>
      </c>
      <c r="E61" s="27" t="s">
        <v>266</v>
      </c>
      <c r="F61" s="27" t="s">
        <v>126</v>
      </c>
      <c r="G61" s="27"/>
      <c r="H61" s="27"/>
      <c r="I61" s="27"/>
      <c r="J61" s="27" t="s">
        <v>177</v>
      </c>
      <c r="K61" s="10">
        <v>0</v>
      </c>
      <c r="L61" s="36" t="s">
        <v>263</v>
      </c>
      <c r="M61" s="37"/>
      <c r="N61" s="37"/>
      <c r="O61" s="27"/>
      <c r="P61" s="27"/>
      <c r="Q61" s="27"/>
      <c r="R61" s="27"/>
      <c r="S61" s="1" t="s">
        <v>264</v>
      </c>
      <c r="T61" s="29" t="s">
        <v>265</v>
      </c>
      <c r="U61" s="27"/>
      <c r="V61" s="27"/>
      <c r="W61" s="27"/>
    </row>
    <row r="62" spans="1:23" ht="24" customHeight="1">
      <c r="A62" s="27" t="str">
        <f t="shared" ca="1" si="0"/>
        <v>EVT-2026-0060</v>
      </c>
      <c r="B62" s="27">
        <v>2026</v>
      </c>
      <c r="C62" s="27" t="s">
        <v>85</v>
      </c>
      <c r="D62" s="30">
        <v>46033</v>
      </c>
      <c r="E62" s="27" t="s">
        <v>267</v>
      </c>
      <c r="F62" s="27" t="s">
        <v>126</v>
      </c>
      <c r="G62" s="27"/>
      <c r="H62" s="27"/>
      <c r="I62" s="27"/>
      <c r="J62" s="27" t="s">
        <v>177</v>
      </c>
      <c r="K62" s="10">
        <v>0</v>
      </c>
      <c r="L62" s="36" t="s">
        <v>263</v>
      </c>
      <c r="M62" s="37"/>
      <c r="N62" s="37"/>
      <c r="O62" s="27"/>
      <c r="P62" s="27"/>
      <c r="Q62" s="27"/>
      <c r="R62" s="27"/>
      <c r="S62" s="1" t="s">
        <v>264</v>
      </c>
      <c r="T62" s="29" t="s">
        <v>265</v>
      </c>
      <c r="U62" s="27"/>
      <c r="V62" s="27"/>
      <c r="W62" s="27"/>
    </row>
    <row r="63" spans="1:23" ht="24" customHeight="1">
      <c r="A63" s="27" t="str">
        <f t="shared" ca="1" si="0"/>
        <v>EVT-2026-0061</v>
      </c>
      <c r="B63" s="27">
        <v>2026</v>
      </c>
      <c r="C63" s="27" t="s">
        <v>85</v>
      </c>
      <c r="D63" s="30">
        <v>46034</v>
      </c>
      <c r="E63" s="27" t="s">
        <v>224</v>
      </c>
      <c r="F63" s="27" t="s">
        <v>126</v>
      </c>
      <c r="G63" s="27"/>
      <c r="H63" s="27"/>
      <c r="I63" s="27"/>
      <c r="J63" s="27" t="s">
        <v>177</v>
      </c>
      <c r="K63" s="10">
        <v>0</v>
      </c>
      <c r="L63" s="36" t="s">
        <v>263</v>
      </c>
      <c r="M63" s="37"/>
      <c r="N63" s="37"/>
      <c r="O63" s="27"/>
      <c r="P63" s="27"/>
      <c r="Q63" s="27"/>
      <c r="R63" s="27"/>
      <c r="S63" s="1" t="s">
        <v>264</v>
      </c>
      <c r="T63" s="29" t="s">
        <v>265</v>
      </c>
      <c r="U63" s="27"/>
      <c r="V63" s="27"/>
      <c r="W63" s="27"/>
    </row>
    <row r="64" spans="1:23" ht="24" customHeight="1">
      <c r="A64" s="27" t="str">
        <f t="shared" ca="1" si="0"/>
        <v>EVT-2026-0062</v>
      </c>
      <c r="B64" s="27">
        <v>2026</v>
      </c>
      <c r="C64" s="27" t="s">
        <v>85</v>
      </c>
      <c r="D64" s="30">
        <v>46035</v>
      </c>
      <c r="E64" s="27" t="s">
        <v>227</v>
      </c>
      <c r="F64" s="27" t="s">
        <v>126</v>
      </c>
      <c r="G64" s="27" t="s">
        <v>208</v>
      </c>
      <c r="H64" s="27" t="s">
        <v>348</v>
      </c>
      <c r="I64" s="27" t="s">
        <v>349</v>
      </c>
      <c r="J64" s="27" t="s">
        <v>145</v>
      </c>
      <c r="K64" s="10">
        <v>50</v>
      </c>
      <c r="L64" s="36" t="s">
        <v>263</v>
      </c>
      <c r="M64" s="37" t="s">
        <v>350</v>
      </c>
      <c r="N64" s="37" t="s">
        <v>296</v>
      </c>
      <c r="O64" s="27"/>
      <c r="P64" s="27"/>
      <c r="Q64" s="27" t="s">
        <v>351</v>
      </c>
      <c r="R64" s="27"/>
      <c r="S64" s="1" t="s">
        <v>264</v>
      </c>
      <c r="T64" s="29" t="s">
        <v>265</v>
      </c>
      <c r="U64" s="30">
        <v>46008</v>
      </c>
      <c r="V64" s="27" t="s">
        <v>303</v>
      </c>
      <c r="W64" s="27"/>
    </row>
    <row r="65" spans="1:23" ht="24" customHeight="1">
      <c r="A65" s="27" t="str">
        <f t="shared" ca="1" si="0"/>
        <v>EVT-2026-0063</v>
      </c>
      <c r="B65" s="27">
        <v>2026</v>
      </c>
      <c r="C65" s="27" t="s">
        <v>85</v>
      </c>
      <c r="D65" s="30">
        <v>46037</v>
      </c>
      <c r="E65" s="27" t="s">
        <v>216</v>
      </c>
      <c r="F65" s="27" t="s">
        <v>126</v>
      </c>
      <c r="G65" s="27" t="s">
        <v>208</v>
      </c>
      <c r="H65" s="27" t="s">
        <v>348</v>
      </c>
      <c r="I65" s="27" t="s">
        <v>349</v>
      </c>
      <c r="J65" s="27" t="s">
        <v>145</v>
      </c>
      <c r="K65" s="10">
        <v>50</v>
      </c>
      <c r="L65" s="36" t="s">
        <v>263</v>
      </c>
      <c r="M65" s="37" t="s">
        <v>350</v>
      </c>
      <c r="N65" s="37" t="s">
        <v>296</v>
      </c>
      <c r="O65" s="27"/>
      <c r="P65" s="27"/>
      <c r="Q65" s="27" t="s">
        <v>351</v>
      </c>
      <c r="R65" s="27"/>
      <c r="S65" s="1" t="s">
        <v>264</v>
      </c>
      <c r="T65" s="29" t="s">
        <v>265</v>
      </c>
      <c r="U65" s="27"/>
      <c r="V65" s="27"/>
      <c r="W65" s="27"/>
    </row>
    <row r="66" spans="1:23" ht="24" customHeight="1">
      <c r="A66" s="27" t="str">
        <f t="shared" ca="1" si="0"/>
        <v>EVT-2026-0064</v>
      </c>
      <c r="B66" s="27">
        <v>2026</v>
      </c>
      <c r="C66" s="27" t="s">
        <v>85</v>
      </c>
      <c r="D66" s="30">
        <v>46037</v>
      </c>
      <c r="E66" s="27" t="s">
        <v>216</v>
      </c>
      <c r="F66" s="27" t="s">
        <v>126</v>
      </c>
      <c r="G66" s="27" t="s">
        <v>228</v>
      </c>
      <c r="H66" s="27" t="s">
        <v>352</v>
      </c>
      <c r="I66" s="27" t="s">
        <v>353</v>
      </c>
      <c r="J66" s="27" t="s">
        <v>127</v>
      </c>
      <c r="K66" s="10">
        <v>200</v>
      </c>
      <c r="L66" s="38" t="s">
        <v>294</v>
      </c>
      <c r="M66" s="37" t="s">
        <v>330</v>
      </c>
      <c r="N66" s="37" t="s">
        <v>354</v>
      </c>
      <c r="O66" s="27"/>
      <c r="P66" s="27"/>
      <c r="Q66" s="27" t="s">
        <v>355</v>
      </c>
      <c r="R66" s="27"/>
      <c r="S66" s="1" t="s">
        <v>264</v>
      </c>
      <c r="T66" s="29" t="s">
        <v>265</v>
      </c>
      <c r="U66" s="30">
        <v>46036</v>
      </c>
      <c r="V66" s="27" t="s">
        <v>321</v>
      </c>
      <c r="W66" s="27"/>
    </row>
    <row r="67" spans="1:23" ht="24" customHeight="1">
      <c r="A67" s="27" t="str">
        <f t="shared" ref="A67:A130" ca="1" si="1">IF(OR(D67&lt;&gt;"",H67&lt;&gt;"",I67&lt;&gt;"",Q67&lt;&gt;"",S67&lt;&gt;""), "EVT-" &amp; TEXT(B67, "0000") &amp; "-" &amp; TEXT(COUNTIF(OFFSET($A$1, 1, 0, ROW()-2, 1), "EVT*") + 1, "0000"), "")</f>
        <v>EVT-2026-0065</v>
      </c>
      <c r="B67" s="27">
        <v>2026</v>
      </c>
      <c r="C67" s="27" t="s">
        <v>85</v>
      </c>
      <c r="D67" s="30">
        <v>46037</v>
      </c>
      <c r="E67" s="27" t="s">
        <v>216</v>
      </c>
      <c r="F67" s="27" t="s">
        <v>126</v>
      </c>
      <c r="G67" s="27" t="s">
        <v>208</v>
      </c>
      <c r="H67" s="27" t="s">
        <v>348</v>
      </c>
      <c r="I67" s="27" t="s">
        <v>349</v>
      </c>
      <c r="J67" s="27" t="s">
        <v>145</v>
      </c>
      <c r="K67" s="10">
        <v>50</v>
      </c>
      <c r="L67" s="36" t="s">
        <v>263</v>
      </c>
      <c r="M67" s="37" t="s">
        <v>309</v>
      </c>
      <c r="N67" s="37" t="s">
        <v>296</v>
      </c>
      <c r="O67" s="27"/>
      <c r="P67" s="27"/>
      <c r="Q67" s="27" t="s">
        <v>351</v>
      </c>
      <c r="R67" s="27"/>
      <c r="S67" s="1" t="s">
        <v>264</v>
      </c>
      <c r="T67" s="29" t="s">
        <v>265</v>
      </c>
      <c r="U67" s="27"/>
      <c r="V67" s="27"/>
      <c r="W67" s="27"/>
    </row>
    <row r="68" spans="1:23" ht="24" customHeight="1">
      <c r="A68" s="27" t="str">
        <f t="shared" ca="1" si="1"/>
        <v>EVT-2026-0066</v>
      </c>
      <c r="B68" s="27">
        <v>2026</v>
      </c>
      <c r="C68" s="27" t="s">
        <v>85</v>
      </c>
      <c r="D68" s="30">
        <v>46038</v>
      </c>
      <c r="E68" s="27" t="s">
        <v>220</v>
      </c>
      <c r="F68" s="27" t="s">
        <v>126</v>
      </c>
      <c r="G68" s="27" t="s">
        <v>202</v>
      </c>
      <c r="H68" s="27" t="s">
        <v>239</v>
      </c>
      <c r="I68" s="27" t="s">
        <v>356</v>
      </c>
      <c r="J68" s="27" t="s">
        <v>127</v>
      </c>
      <c r="K68" s="10">
        <v>60</v>
      </c>
      <c r="L68" s="36" t="s">
        <v>263</v>
      </c>
      <c r="M68" s="37" t="s">
        <v>296</v>
      </c>
      <c r="N68" s="37" t="s">
        <v>270</v>
      </c>
      <c r="O68" s="27"/>
      <c r="P68" s="27"/>
      <c r="Q68" s="27" t="s">
        <v>357</v>
      </c>
      <c r="R68" s="27"/>
      <c r="S68" s="1" t="s">
        <v>264</v>
      </c>
      <c r="T68" s="29" t="s">
        <v>265</v>
      </c>
      <c r="U68" s="30">
        <v>46029</v>
      </c>
      <c r="V68" s="27" t="s">
        <v>298</v>
      </c>
      <c r="W68" s="27"/>
    </row>
    <row r="69" spans="1:23" ht="24" customHeight="1">
      <c r="A69" s="27" t="str">
        <f t="shared" ca="1" si="1"/>
        <v>EVT-2026-0067</v>
      </c>
      <c r="B69" s="27">
        <v>2026</v>
      </c>
      <c r="C69" s="27" t="s">
        <v>85</v>
      </c>
      <c r="D69" s="30">
        <v>46038</v>
      </c>
      <c r="E69" s="27" t="s">
        <v>220</v>
      </c>
      <c r="F69" s="27" t="s">
        <v>126</v>
      </c>
      <c r="G69" s="27" t="s">
        <v>208</v>
      </c>
      <c r="H69" s="27" t="s">
        <v>348</v>
      </c>
      <c r="I69" s="27" t="s">
        <v>358</v>
      </c>
      <c r="J69" s="27" t="s">
        <v>177</v>
      </c>
      <c r="K69" s="10">
        <v>30</v>
      </c>
      <c r="L69" s="36" t="s">
        <v>263</v>
      </c>
      <c r="M69" s="37" t="s">
        <v>295</v>
      </c>
      <c r="N69" s="37" t="s">
        <v>359</v>
      </c>
      <c r="O69" s="27"/>
      <c r="P69" s="27"/>
      <c r="Q69" s="27" t="s">
        <v>360</v>
      </c>
      <c r="R69" s="27"/>
      <c r="S69" s="1" t="s">
        <v>264</v>
      </c>
      <c r="T69" s="29" t="s">
        <v>265</v>
      </c>
      <c r="U69" s="30">
        <v>46029</v>
      </c>
      <c r="V69" s="27" t="s">
        <v>321</v>
      </c>
      <c r="W69" s="27"/>
    </row>
    <row r="70" spans="1:23" ht="24" customHeight="1">
      <c r="A70" s="27" t="str">
        <f t="shared" ca="1" si="1"/>
        <v>EVT-2026-0068</v>
      </c>
      <c r="B70" s="27">
        <v>2026</v>
      </c>
      <c r="C70" s="27" t="s">
        <v>85</v>
      </c>
      <c r="D70" s="30">
        <v>46039</v>
      </c>
      <c r="E70" s="27" t="s">
        <v>266</v>
      </c>
      <c r="F70" s="27" t="s">
        <v>126</v>
      </c>
      <c r="G70" s="27" t="s">
        <v>300</v>
      </c>
      <c r="H70" s="27"/>
      <c r="I70" s="27"/>
      <c r="J70" s="27" t="s">
        <v>177</v>
      </c>
      <c r="K70" s="10">
        <v>0</v>
      </c>
      <c r="L70" s="36" t="s">
        <v>263</v>
      </c>
      <c r="M70" s="37" t="s">
        <v>270</v>
      </c>
      <c r="N70" s="37"/>
      <c r="O70" s="27"/>
      <c r="P70" s="27" t="s">
        <v>361</v>
      </c>
      <c r="Q70" s="27" t="s">
        <v>362</v>
      </c>
      <c r="R70" s="27"/>
      <c r="S70" s="1" t="s">
        <v>264</v>
      </c>
      <c r="T70" s="29" t="s">
        <v>265</v>
      </c>
      <c r="U70" s="27" t="s">
        <v>363</v>
      </c>
      <c r="V70" s="27"/>
      <c r="W70" s="27"/>
    </row>
    <row r="71" spans="1:23" ht="24" customHeight="1">
      <c r="A71" s="27" t="str">
        <f t="shared" ca="1" si="1"/>
        <v>EVT-2026-0069</v>
      </c>
      <c r="B71" s="27">
        <v>2026</v>
      </c>
      <c r="C71" s="27" t="s">
        <v>85</v>
      </c>
      <c r="D71" s="30">
        <v>46040</v>
      </c>
      <c r="E71" s="27" t="s">
        <v>267</v>
      </c>
      <c r="F71" s="27" t="s">
        <v>126</v>
      </c>
      <c r="G71" s="27"/>
      <c r="H71" s="27"/>
      <c r="I71" s="27"/>
      <c r="J71" s="27" t="s">
        <v>177</v>
      </c>
      <c r="K71" s="10">
        <v>0</v>
      </c>
      <c r="L71" s="36" t="s">
        <v>263</v>
      </c>
      <c r="M71" s="37"/>
      <c r="N71" s="37"/>
      <c r="O71" s="27"/>
      <c r="P71" s="27"/>
      <c r="Q71" s="27"/>
      <c r="R71" s="27"/>
      <c r="S71" s="1" t="s">
        <v>264</v>
      </c>
      <c r="T71" s="29" t="s">
        <v>265</v>
      </c>
      <c r="U71" s="27"/>
      <c r="V71" s="27"/>
      <c r="W71" s="27"/>
    </row>
    <row r="72" spans="1:23" ht="24" customHeight="1">
      <c r="A72" s="27" t="str">
        <f t="shared" ca="1" si="1"/>
        <v>EVT-2026-0070</v>
      </c>
      <c r="B72" s="27">
        <v>2026</v>
      </c>
      <c r="C72" s="27" t="s">
        <v>85</v>
      </c>
      <c r="D72" s="30">
        <v>46041</v>
      </c>
      <c r="E72" s="27" t="s">
        <v>224</v>
      </c>
      <c r="F72" s="27" t="s">
        <v>126</v>
      </c>
      <c r="G72" s="27" t="s">
        <v>202</v>
      </c>
      <c r="H72" s="27" t="s">
        <v>138</v>
      </c>
      <c r="I72" s="27" t="s">
        <v>364</v>
      </c>
      <c r="J72" s="27" t="s">
        <v>165</v>
      </c>
      <c r="K72" s="10">
        <v>16</v>
      </c>
      <c r="L72" s="36" t="s">
        <v>263</v>
      </c>
      <c r="M72" s="37" t="s">
        <v>330</v>
      </c>
      <c r="N72" s="37" t="s">
        <v>331</v>
      </c>
      <c r="O72" s="27"/>
      <c r="P72" s="27"/>
      <c r="Q72" s="27" t="s">
        <v>365</v>
      </c>
      <c r="R72" s="27"/>
      <c r="S72" s="1" t="s">
        <v>264</v>
      </c>
      <c r="T72" s="29" t="s">
        <v>265</v>
      </c>
      <c r="U72" s="27"/>
      <c r="V72" s="27" t="s">
        <v>298</v>
      </c>
      <c r="W72" s="27"/>
    </row>
    <row r="73" spans="1:23" ht="24" customHeight="1">
      <c r="A73" s="27" t="str">
        <f t="shared" ca="1" si="1"/>
        <v>EVT-2026-0071</v>
      </c>
      <c r="B73" s="27">
        <v>2026</v>
      </c>
      <c r="C73" s="27" t="s">
        <v>85</v>
      </c>
      <c r="D73" s="30">
        <v>46041</v>
      </c>
      <c r="E73" s="27" t="s">
        <v>224</v>
      </c>
      <c r="F73" s="27" t="s">
        <v>126</v>
      </c>
      <c r="G73" s="27" t="s">
        <v>202</v>
      </c>
      <c r="H73" s="27" t="s">
        <v>138</v>
      </c>
      <c r="I73" s="27" t="s">
        <v>366</v>
      </c>
      <c r="J73" s="27" t="s">
        <v>165</v>
      </c>
      <c r="K73" s="10">
        <v>70</v>
      </c>
      <c r="L73" s="36" t="s">
        <v>263</v>
      </c>
      <c r="M73" s="37" t="s">
        <v>289</v>
      </c>
      <c r="N73" s="37" t="s">
        <v>359</v>
      </c>
      <c r="O73" s="27"/>
      <c r="P73" s="27"/>
      <c r="Q73" s="27" t="s">
        <v>367</v>
      </c>
      <c r="R73" s="27"/>
      <c r="S73" s="1" t="s">
        <v>264</v>
      </c>
      <c r="T73" s="29" t="s">
        <v>265</v>
      </c>
      <c r="U73" s="27"/>
      <c r="V73" s="27" t="s">
        <v>321</v>
      </c>
      <c r="W73" s="27"/>
    </row>
    <row r="74" spans="1:23" ht="24" customHeight="1">
      <c r="A74" s="27" t="str">
        <f t="shared" ca="1" si="1"/>
        <v>EVT-2026-0072</v>
      </c>
      <c r="B74" s="27">
        <v>2026</v>
      </c>
      <c r="C74" s="27" t="s">
        <v>85</v>
      </c>
      <c r="D74" s="30">
        <v>46041</v>
      </c>
      <c r="E74" s="27" t="s">
        <v>224</v>
      </c>
      <c r="F74" s="27" t="s">
        <v>126</v>
      </c>
      <c r="G74" s="27" t="s">
        <v>208</v>
      </c>
      <c r="H74" s="27" t="s">
        <v>348</v>
      </c>
      <c r="I74" s="27" t="s">
        <v>368</v>
      </c>
      <c r="J74" s="27" t="s">
        <v>139</v>
      </c>
      <c r="K74" s="10">
        <v>30</v>
      </c>
      <c r="L74" s="36" t="s">
        <v>263</v>
      </c>
      <c r="M74" s="37" t="s">
        <v>309</v>
      </c>
      <c r="N74" s="37" t="s">
        <v>270</v>
      </c>
      <c r="O74" s="27"/>
      <c r="P74" s="27" t="s">
        <v>369</v>
      </c>
      <c r="Q74" s="27" t="s">
        <v>370</v>
      </c>
      <c r="R74" s="27"/>
      <c r="S74" s="1" t="s">
        <v>264</v>
      </c>
      <c r="T74" s="29" t="s">
        <v>265</v>
      </c>
      <c r="U74" s="30">
        <v>46008</v>
      </c>
      <c r="V74" s="27" t="s">
        <v>298</v>
      </c>
      <c r="W74" s="27"/>
    </row>
    <row r="75" spans="1:23" ht="24" customHeight="1">
      <c r="A75" s="27" t="str">
        <f t="shared" ca="1" si="1"/>
        <v>EVT-2026-0073</v>
      </c>
      <c r="B75" s="27">
        <v>2026</v>
      </c>
      <c r="C75" s="27" t="s">
        <v>85</v>
      </c>
      <c r="D75" s="30">
        <v>46042</v>
      </c>
      <c r="E75" s="27" t="s">
        <v>227</v>
      </c>
      <c r="F75" s="27" t="s">
        <v>126</v>
      </c>
      <c r="G75" s="27" t="s">
        <v>208</v>
      </c>
      <c r="H75" s="27" t="s">
        <v>348</v>
      </c>
      <c r="I75" s="27" t="s">
        <v>371</v>
      </c>
      <c r="J75" s="27" t="s">
        <v>165</v>
      </c>
      <c r="K75" s="10">
        <v>20</v>
      </c>
      <c r="L75" s="36" t="s">
        <v>263</v>
      </c>
      <c r="M75" s="37" t="s">
        <v>338</v>
      </c>
      <c r="N75" s="37" t="s">
        <v>274</v>
      </c>
      <c r="O75" s="27" t="s">
        <v>372</v>
      </c>
      <c r="P75" s="27"/>
      <c r="Q75" s="27" t="s">
        <v>367</v>
      </c>
      <c r="R75" s="27"/>
      <c r="S75" s="1" t="s">
        <v>264</v>
      </c>
      <c r="T75" s="29" t="s">
        <v>265</v>
      </c>
      <c r="U75" s="30">
        <v>46021</v>
      </c>
      <c r="V75" s="27" t="s">
        <v>373</v>
      </c>
      <c r="W75" s="27"/>
    </row>
    <row r="76" spans="1:23" ht="24" customHeight="1">
      <c r="A76" s="27" t="str">
        <f t="shared" ca="1" si="1"/>
        <v>EVT-2026-0074</v>
      </c>
      <c r="B76" s="27">
        <v>2026</v>
      </c>
      <c r="C76" s="27" t="s">
        <v>85</v>
      </c>
      <c r="D76" s="30">
        <v>46042</v>
      </c>
      <c r="E76" s="27" t="s">
        <v>227</v>
      </c>
      <c r="F76" s="27" t="s">
        <v>126</v>
      </c>
      <c r="G76" s="27" t="s">
        <v>202</v>
      </c>
      <c r="H76" s="27" t="s">
        <v>374</v>
      </c>
      <c r="I76" s="27" t="s">
        <v>375</v>
      </c>
      <c r="J76" s="27" t="s">
        <v>177</v>
      </c>
      <c r="K76" s="10">
        <v>1</v>
      </c>
      <c r="L76" s="36" t="s">
        <v>263</v>
      </c>
      <c r="M76" s="37" t="s">
        <v>269</v>
      </c>
      <c r="N76" s="37" t="s">
        <v>270</v>
      </c>
      <c r="O76" s="27"/>
      <c r="P76" s="27"/>
      <c r="Q76" s="27" t="s">
        <v>376</v>
      </c>
      <c r="R76" s="27"/>
      <c r="S76" s="1" t="s">
        <v>264</v>
      </c>
      <c r="T76" s="29" t="s">
        <v>265</v>
      </c>
      <c r="U76" s="27"/>
      <c r="V76" s="27"/>
      <c r="W76" s="27"/>
    </row>
    <row r="77" spans="1:23" ht="24" customHeight="1">
      <c r="A77" s="27" t="str">
        <f t="shared" ca="1" si="1"/>
        <v>EVT-2026-0075</v>
      </c>
      <c r="B77" s="27">
        <v>2026</v>
      </c>
      <c r="C77" s="27" t="s">
        <v>85</v>
      </c>
      <c r="D77" s="30">
        <v>46042</v>
      </c>
      <c r="E77" s="27" t="s">
        <v>227</v>
      </c>
      <c r="F77" s="27" t="s">
        <v>126</v>
      </c>
      <c r="G77" s="27" t="s">
        <v>202</v>
      </c>
      <c r="H77" s="27" t="s">
        <v>138</v>
      </c>
      <c r="I77" s="27" t="s">
        <v>377</v>
      </c>
      <c r="J77" s="27" t="s">
        <v>165</v>
      </c>
      <c r="K77" s="10">
        <v>75</v>
      </c>
      <c r="L77" s="36" t="s">
        <v>263</v>
      </c>
      <c r="M77" s="37" t="s">
        <v>350</v>
      </c>
      <c r="N77" s="37" t="s">
        <v>289</v>
      </c>
      <c r="O77" s="27"/>
      <c r="P77" s="27" t="s">
        <v>378</v>
      </c>
      <c r="Q77" s="27" t="s">
        <v>298</v>
      </c>
      <c r="R77" s="27"/>
      <c r="S77" s="1" t="s">
        <v>264</v>
      </c>
      <c r="T77" s="29" t="s">
        <v>265</v>
      </c>
      <c r="U77" s="27"/>
      <c r="V77" s="27"/>
      <c r="W77" s="27"/>
    </row>
    <row r="78" spans="1:23" ht="24" customHeight="1">
      <c r="A78" s="27" t="str">
        <f t="shared" ca="1" si="1"/>
        <v>EVT-2026-0076</v>
      </c>
      <c r="B78" s="27">
        <v>2026</v>
      </c>
      <c r="C78" s="27" t="s">
        <v>85</v>
      </c>
      <c r="D78" s="30">
        <v>46042</v>
      </c>
      <c r="E78" s="27" t="s">
        <v>227</v>
      </c>
      <c r="F78" s="27" t="s">
        <v>126</v>
      </c>
      <c r="G78" s="27" t="s">
        <v>202</v>
      </c>
      <c r="H78" s="27" t="s">
        <v>348</v>
      </c>
      <c r="I78" s="27" t="s">
        <v>271</v>
      </c>
      <c r="J78" s="27" t="s">
        <v>158</v>
      </c>
      <c r="K78" s="10">
        <v>12</v>
      </c>
      <c r="L78" s="36" t="s">
        <v>263</v>
      </c>
      <c r="M78" s="37" t="s">
        <v>331</v>
      </c>
      <c r="N78" s="37" t="s">
        <v>350</v>
      </c>
      <c r="O78" s="27"/>
      <c r="P78" s="27"/>
      <c r="Q78" s="27" t="s">
        <v>379</v>
      </c>
      <c r="R78" s="27"/>
      <c r="S78" s="1" t="s">
        <v>264</v>
      </c>
      <c r="T78" s="29" t="s">
        <v>265</v>
      </c>
      <c r="U78" s="30">
        <v>46037</v>
      </c>
      <c r="V78" s="27" t="s">
        <v>380</v>
      </c>
      <c r="W78" s="27"/>
    </row>
    <row r="79" spans="1:23" ht="24" customHeight="1">
      <c r="A79" s="27" t="str">
        <f t="shared" ca="1" si="1"/>
        <v>EVT-2026-0077</v>
      </c>
      <c r="B79" s="27">
        <v>2026</v>
      </c>
      <c r="C79" s="27" t="s">
        <v>85</v>
      </c>
      <c r="D79" s="30">
        <v>46042</v>
      </c>
      <c r="E79" s="27" t="s">
        <v>227</v>
      </c>
      <c r="F79" s="27" t="s">
        <v>126</v>
      </c>
      <c r="G79" s="27" t="s">
        <v>208</v>
      </c>
      <c r="H79" s="27" t="s">
        <v>348</v>
      </c>
      <c r="I79" s="27" t="s">
        <v>368</v>
      </c>
      <c r="J79" s="27" t="s">
        <v>139</v>
      </c>
      <c r="K79" s="10">
        <v>30</v>
      </c>
      <c r="L79" s="36" t="s">
        <v>263</v>
      </c>
      <c r="M79" s="37" t="s">
        <v>309</v>
      </c>
      <c r="N79" s="37" t="s">
        <v>270</v>
      </c>
      <c r="O79" s="27"/>
      <c r="P79" s="27" t="s">
        <v>369</v>
      </c>
      <c r="Q79" s="27" t="s">
        <v>370</v>
      </c>
      <c r="R79" s="27"/>
      <c r="S79" s="1" t="s">
        <v>264</v>
      </c>
      <c r="T79" s="29" t="s">
        <v>265</v>
      </c>
      <c r="U79" s="30">
        <v>46008</v>
      </c>
      <c r="V79" s="27" t="s">
        <v>298</v>
      </c>
      <c r="W79" s="27"/>
    </row>
    <row r="80" spans="1:23" ht="24" customHeight="1">
      <c r="A80" s="27" t="str">
        <f t="shared" ca="1" si="1"/>
        <v>EVT-2026-0078</v>
      </c>
      <c r="B80" s="27">
        <v>2026</v>
      </c>
      <c r="C80" s="27" t="s">
        <v>85</v>
      </c>
      <c r="D80" s="30">
        <v>46043</v>
      </c>
      <c r="E80" s="27" t="s">
        <v>201</v>
      </c>
      <c r="F80" s="27" t="s">
        <v>126</v>
      </c>
      <c r="G80" s="27" t="s">
        <v>202</v>
      </c>
      <c r="H80" s="27" t="s">
        <v>239</v>
      </c>
      <c r="I80" s="27" t="s">
        <v>381</v>
      </c>
      <c r="J80" s="27" t="s">
        <v>127</v>
      </c>
      <c r="K80" s="10">
        <v>500</v>
      </c>
      <c r="L80" s="38" t="s">
        <v>294</v>
      </c>
      <c r="M80" s="37" t="s">
        <v>309</v>
      </c>
      <c r="N80" s="37" t="s">
        <v>270</v>
      </c>
      <c r="O80" s="27" t="s">
        <v>382</v>
      </c>
      <c r="P80" s="27"/>
      <c r="Q80" s="27" t="s">
        <v>383</v>
      </c>
      <c r="R80" s="27"/>
      <c r="S80" s="3" t="s">
        <v>312</v>
      </c>
      <c r="T80" s="29" t="s">
        <v>265</v>
      </c>
      <c r="U80" s="30">
        <v>46015</v>
      </c>
      <c r="V80" s="27" t="s">
        <v>384</v>
      </c>
      <c r="W80" s="27" t="s">
        <v>385</v>
      </c>
    </row>
    <row r="81" spans="1:23" ht="24" customHeight="1">
      <c r="A81" s="27" t="str">
        <f t="shared" ca="1" si="1"/>
        <v>EVT-2026-0079</v>
      </c>
      <c r="B81" s="27">
        <v>2026</v>
      </c>
      <c r="C81" s="27" t="s">
        <v>85</v>
      </c>
      <c r="D81" s="30">
        <v>46043</v>
      </c>
      <c r="E81" s="27" t="s">
        <v>201</v>
      </c>
      <c r="F81" s="27" t="s">
        <v>126</v>
      </c>
      <c r="G81" s="27" t="s">
        <v>208</v>
      </c>
      <c r="H81" s="27" t="s">
        <v>386</v>
      </c>
      <c r="I81" s="27" t="s">
        <v>387</v>
      </c>
      <c r="J81" s="27" t="s">
        <v>165</v>
      </c>
      <c r="K81" s="10">
        <v>80</v>
      </c>
      <c r="L81" s="36" t="s">
        <v>263</v>
      </c>
      <c r="M81" s="37" t="s">
        <v>289</v>
      </c>
      <c r="N81" s="37" t="s">
        <v>296</v>
      </c>
      <c r="O81" s="27"/>
      <c r="P81" s="27" t="s">
        <v>369</v>
      </c>
      <c r="Q81" s="27" t="s">
        <v>388</v>
      </c>
      <c r="R81" s="27"/>
      <c r="S81" s="3" t="s">
        <v>312</v>
      </c>
      <c r="T81" s="29" t="s">
        <v>265</v>
      </c>
      <c r="U81" s="27"/>
      <c r="V81" s="27"/>
      <c r="W81" s="27"/>
    </row>
    <row r="82" spans="1:23" ht="24" customHeight="1">
      <c r="A82" s="27" t="str">
        <f t="shared" ca="1" si="1"/>
        <v>EVT-2026-0080</v>
      </c>
      <c r="B82" s="27">
        <v>2026</v>
      </c>
      <c r="C82" s="27" t="s">
        <v>85</v>
      </c>
      <c r="D82" s="30">
        <v>46044</v>
      </c>
      <c r="E82" s="27" t="s">
        <v>216</v>
      </c>
      <c r="F82" s="27" t="s">
        <v>126</v>
      </c>
      <c r="G82" s="27" t="s">
        <v>202</v>
      </c>
      <c r="H82" s="27" t="s">
        <v>389</v>
      </c>
      <c r="I82" s="27" t="s">
        <v>390</v>
      </c>
      <c r="J82" s="27" t="s">
        <v>165</v>
      </c>
      <c r="K82" s="10">
        <v>50</v>
      </c>
      <c r="L82" s="36" t="s">
        <v>263</v>
      </c>
      <c r="M82" s="37" t="s">
        <v>275</v>
      </c>
      <c r="N82" s="37" t="s">
        <v>309</v>
      </c>
      <c r="O82" s="27"/>
      <c r="P82" s="27"/>
      <c r="Q82" s="27" t="s">
        <v>391</v>
      </c>
      <c r="R82" s="27"/>
      <c r="S82" s="1" t="s">
        <v>264</v>
      </c>
      <c r="T82" s="29" t="s">
        <v>265</v>
      </c>
      <c r="U82" s="30">
        <v>46035</v>
      </c>
      <c r="V82" s="27" t="s">
        <v>298</v>
      </c>
      <c r="W82" s="27"/>
    </row>
    <row r="83" spans="1:23" ht="24" customHeight="1">
      <c r="A83" s="27" t="str">
        <f t="shared" ca="1" si="1"/>
        <v>EVT-2026-0081</v>
      </c>
      <c r="B83" s="27">
        <v>2026</v>
      </c>
      <c r="C83" s="27" t="s">
        <v>85</v>
      </c>
      <c r="D83" s="30">
        <v>46044</v>
      </c>
      <c r="E83" s="27" t="s">
        <v>216</v>
      </c>
      <c r="F83" s="27" t="s">
        <v>126</v>
      </c>
      <c r="G83" s="27" t="s">
        <v>202</v>
      </c>
      <c r="H83" s="27" t="s">
        <v>389</v>
      </c>
      <c r="I83" s="27" t="s">
        <v>392</v>
      </c>
      <c r="J83" s="27" t="s">
        <v>165</v>
      </c>
      <c r="K83" s="10">
        <v>80</v>
      </c>
      <c r="L83" s="36" t="s">
        <v>263</v>
      </c>
      <c r="M83" s="37" t="s">
        <v>295</v>
      </c>
      <c r="N83" s="37" t="s">
        <v>296</v>
      </c>
      <c r="O83" s="27"/>
      <c r="P83" s="27" t="s">
        <v>369</v>
      </c>
      <c r="Q83" s="27" t="s">
        <v>393</v>
      </c>
      <c r="R83" s="27"/>
      <c r="S83" s="1" t="s">
        <v>264</v>
      </c>
      <c r="T83" s="29" t="s">
        <v>265</v>
      </c>
      <c r="U83" s="30">
        <v>46038</v>
      </c>
      <c r="V83" s="27"/>
      <c r="W83" s="27"/>
    </row>
    <row r="84" spans="1:23" ht="24" customHeight="1">
      <c r="A84" s="27" t="str">
        <f t="shared" ca="1" si="1"/>
        <v>EVT-2026-0082</v>
      </c>
      <c r="B84" s="27">
        <v>2026</v>
      </c>
      <c r="C84" s="27" t="s">
        <v>85</v>
      </c>
      <c r="D84" s="30">
        <v>46044</v>
      </c>
      <c r="E84" s="27" t="s">
        <v>216</v>
      </c>
      <c r="F84" s="27" t="s">
        <v>126</v>
      </c>
      <c r="G84" s="27" t="s">
        <v>202</v>
      </c>
      <c r="H84" s="27" t="s">
        <v>348</v>
      </c>
      <c r="I84" s="27" t="s">
        <v>394</v>
      </c>
      <c r="J84" s="27" t="s">
        <v>177</v>
      </c>
      <c r="K84" s="10">
        <v>180</v>
      </c>
      <c r="L84" s="38" t="s">
        <v>294</v>
      </c>
      <c r="M84" s="37" t="s">
        <v>331</v>
      </c>
      <c r="N84" s="37" t="s">
        <v>309</v>
      </c>
      <c r="O84" s="27"/>
      <c r="P84" s="27"/>
      <c r="Q84" s="27" t="s">
        <v>395</v>
      </c>
      <c r="R84" s="27"/>
      <c r="S84" s="1" t="s">
        <v>264</v>
      </c>
      <c r="T84" s="29" t="s">
        <v>265</v>
      </c>
      <c r="U84" s="30">
        <v>46041</v>
      </c>
      <c r="V84" s="27"/>
      <c r="W84" s="27"/>
    </row>
    <row r="85" spans="1:23" ht="24" customHeight="1">
      <c r="A85" s="27" t="str">
        <f t="shared" ca="1" si="1"/>
        <v>EVT-2026-0083</v>
      </c>
      <c r="B85" s="27">
        <v>2026</v>
      </c>
      <c r="C85" s="27" t="s">
        <v>85</v>
      </c>
      <c r="D85" s="30">
        <v>46044</v>
      </c>
      <c r="E85" s="27" t="s">
        <v>216</v>
      </c>
      <c r="F85" s="27" t="s">
        <v>126</v>
      </c>
      <c r="G85" s="27" t="s">
        <v>202</v>
      </c>
      <c r="H85" s="27" t="s">
        <v>138</v>
      </c>
      <c r="I85" s="27" t="s">
        <v>396</v>
      </c>
      <c r="J85" s="27" t="s">
        <v>165</v>
      </c>
      <c r="K85" s="10">
        <v>70</v>
      </c>
      <c r="L85" s="36" t="s">
        <v>263</v>
      </c>
      <c r="M85" s="37" t="s">
        <v>315</v>
      </c>
      <c r="N85" s="37" t="s">
        <v>316</v>
      </c>
      <c r="O85" s="27"/>
      <c r="P85" s="27"/>
      <c r="Q85" s="27" t="s">
        <v>397</v>
      </c>
      <c r="R85" s="27"/>
      <c r="S85" s="1" t="s">
        <v>264</v>
      </c>
      <c r="T85" s="29" t="s">
        <v>265</v>
      </c>
      <c r="U85" s="30">
        <v>46037</v>
      </c>
      <c r="V85" s="27"/>
      <c r="W85" s="27"/>
    </row>
    <row r="86" spans="1:23" ht="24" customHeight="1">
      <c r="A86" s="27" t="str">
        <f t="shared" ca="1" si="1"/>
        <v>EVT-2026-0084</v>
      </c>
      <c r="B86" s="27">
        <v>2026</v>
      </c>
      <c r="C86" s="27" t="s">
        <v>85</v>
      </c>
      <c r="D86" s="30">
        <v>46044</v>
      </c>
      <c r="E86" s="27" t="s">
        <v>216</v>
      </c>
      <c r="F86" s="27" t="s">
        <v>126</v>
      </c>
      <c r="G86" s="27" t="s">
        <v>208</v>
      </c>
      <c r="H86" s="27" t="s">
        <v>398</v>
      </c>
      <c r="I86" s="27" t="s">
        <v>387</v>
      </c>
      <c r="J86" s="27" t="s">
        <v>177</v>
      </c>
      <c r="K86" s="10">
        <v>80</v>
      </c>
      <c r="L86" s="36" t="s">
        <v>263</v>
      </c>
      <c r="M86" s="37" t="s">
        <v>289</v>
      </c>
      <c r="N86" s="37" t="s">
        <v>296</v>
      </c>
      <c r="O86" s="27"/>
      <c r="P86" s="27" t="s">
        <v>369</v>
      </c>
      <c r="Q86" s="27" t="s">
        <v>388</v>
      </c>
      <c r="R86" s="27"/>
      <c r="S86" s="3" t="s">
        <v>312</v>
      </c>
      <c r="T86" s="29" t="s">
        <v>265</v>
      </c>
      <c r="U86" s="27"/>
      <c r="V86" s="27" t="s">
        <v>298</v>
      </c>
      <c r="W86" s="27" t="s">
        <v>399</v>
      </c>
    </row>
    <row r="87" spans="1:23" ht="24" customHeight="1">
      <c r="A87" s="27" t="str">
        <f t="shared" ca="1" si="1"/>
        <v>EVT-2026-0085</v>
      </c>
      <c r="B87" s="27">
        <v>2026</v>
      </c>
      <c r="C87" s="27" t="s">
        <v>85</v>
      </c>
      <c r="D87" s="30">
        <v>46045</v>
      </c>
      <c r="E87" s="27" t="s">
        <v>220</v>
      </c>
      <c r="F87" s="27" t="s">
        <v>126</v>
      </c>
      <c r="G87" s="27" t="s">
        <v>202</v>
      </c>
      <c r="H87" s="27" t="s">
        <v>138</v>
      </c>
      <c r="I87" s="27" t="s">
        <v>400</v>
      </c>
      <c r="J87" s="27" t="s">
        <v>139</v>
      </c>
      <c r="K87" s="10">
        <v>70</v>
      </c>
      <c r="L87" s="36" t="s">
        <v>263</v>
      </c>
      <c r="M87" s="37" t="s">
        <v>338</v>
      </c>
      <c r="N87" s="37" t="s">
        <v>331</v>
      </c>
      <c r="O87" s="27"/>
      <c r="P87" s="27"/>
      <c r="Q87" s="27" t="s">
        <v>379</v>
      </c>
      <c r="R87" s="27"/>
      <c r="S87" s="3" t="s">
        <v>312</v>
      </c>
      <c r="T87" s="29" t="s">
        <v>265</v>
      </c>
      <c r="U87" s="30">
        <v>46031</v>
      </c>
      <c r="V87" s="27" t="s">
        <v>298</v>
      </c>
      <c r="W87" s="27"/>
    </row>
    <row r="88" spans="1:23" ht="24" customHeight="1">
      <c r="A88" s="27" t="str">
        <f t="shared" ca="1" si="1"/>
        <v>EVT-2026-0086</v>
      </c>
      <c r="B88" s="27">
        <v>2026</v>
      </c>
      <c r="C88" s="27" t="s">
        <v>85</v>
      </c>
      <c r="D88" s="30">
        <v>46045</v>
      </c>
      <c r="E88" s="27" t="s">
        <v>220</v>
      </c>
      <c r="F88" s="27" t="s">
        <v>126</v>
      </c>
      <c r="G88" s="27"/>
      <c r="H88" s="27"/>
      <c r="I88" s="27"/>
      <c r="J88" s="27" t="s">
        <v>177</v>
      </c>
      <c r="K88" s="10">
        <v>0</v>
      </c>
      <c r="L88" s="36" t="s">
        <v>263</v>
      </c>
      <c r="M88" s="37"/>
      <c r="N88" s="37"/>
      <c r="O88" s="27"/>
      <c r="P88" s="27"/>
      <c r="Q88" s="27"/>
      <c r="R88" s="27"/>
      <c r="S88" s="1" t="s">
        <v>264</v>
      </c>
      <c r="T88" s="29" t="s">
        <v>265</v>
      </c>
      <c r="U88" s="27"/>
      <c r="V88" s="27"/>
      <c r="W88" s="27"/>
    </row>
    <row r="89" spans="1:23" ht="24" customHeight="1">
      <c r="A89" s="27" t="str">
        <f t="shared" ca="1" si="1"/>
        <v>EVT-2026-0087</v>
      </c>
      <c r="B89" s="27">
        <v>2026</v>
      </c>
      <c r="C89" s="27" t="s">
        <v>85</v>
      </c>
      <c r="D89" s="30">
        <v>46045</v>
      </c>
      <c r="E89" s="27" t="s">
        <v>220</v>
      </c>
      <c r="F89" s="27" t="s">
        <v>126</v>
      </c>
      <c r="G89" s="27" t="s">
        <v>208</v>
      </c>
      <c r="H89" s="27" t="s">
        <v>348</v>
      </c>
      <c r="I89" s="27" t="s">
        <v>368</v>
      </c>
      <c r="J89" s="27" t="s">
        <v>139</v>
      </c>
      <c r="K89" s="10">
        <v>30</v>
      </c>
      <c r="L89" s="36" t="s">
        <v>263</v>
      </c>
      <c r="M89" s="37" t="s">
        <v>309</v>
      </c>
      <c r="N89" s="37" t="s">
        <v>270</v>
      </c>
      <c r="O89" s="27"/>
      <c r="P89" s="27" t="s">
        <v>369</v>
      </c>
      <c r="Q89" s="27" t="s">
        <v>370</v>
      </c>
      <c r="R89" s="27"/>
      <c r="S89" s="1" t="s">
        <v>264</v>
      </c>
      <c r="T89" s="29" t="s">
        <v>265</v>
      </c>
      <c r="U89" s="30">
        <v>46008</v>
      </c>
      <c r="V89" s="27" t="s">
        <v>298</v>
      </c>
      <c r="W89" s="27"/>
    </row>
    <row r="90" spans="1:23" ht="24" customHeight="1">
      <c r="A90" s="27" t="str">
        <f t="shared" ca="1" si="1"/>
        <v>EVT-2026-0088</v>
      </c>
      <c r="B90" s="27">
        <v>2026</v>
      </c>
      <c r="C90" s="27" t="s">
        <v>85</v>
      </c>
      <c r="D90" s="30">
        <v>46046</v>
      </c>
      <c r="E90" s="27" t="s">
        <v>266</v>
      </c>
      <c r="F90" s="27" t="s">
        <v>126</v>
      </c>
      <c r="G90" s="27"/>
      <c r="H90" s="27"/>
      <c r="I90" s="27"/>
      <c r="J90" s="27" t="s">
        <v>177</v>
      </c>
      <c r="K90" s="10">
        <v>0</v>
      </c>
      <c r="L90" s="36" t="s">
        <v>263</v>
      </c>
      <c r="M90" s="37"/>
      <c r="N90" s="37"/>
      <c r="O90" s="27"/>
      <c r="P90" s="27"/>
      <c r="Q90" s="27"/>
      <c r="R90" s="27"/>
      <c r="S90" s="1" t="s">
        <v>264</v>
      </c>
      <c r="T90" s="29" t="s">
        <v>265</v>
      </c>
      <c r="U90" s="27"/>
      <c r="V90" s="27"/>
      <c r="W90" s="27"/>
    </row>
    <row r="91" spans="1:23" ht="24" customHeight="1">
      <c r="A91" s="27" t="str">
        <f t="shared" ca="1" si="1"/>
        <v>EVT-2026-0089</v>
      </c>
      <c r="B91" s="27">
        <v>2026</v>
      </c>
      <c r="C91" s="27" t="s">
        <v>85</v>
      </c>
      <c r="D91" s="30">
        <v>46047</v>
      </c>
      <c r="E91" s="27" t="s">
        <v>267</v>
      </c>
      <c r="F91" s="27" t="s">
        <v>126</v>
      </c>
      <c r="G91" s="27"/>
      <c r="H91" s="27"/>
      <c r="I91" s="27"/>
      <c r="J91" s="27" t="s">
        <v>177</v>
      </c>
      <c r="K91" s="10">
        <v>0</v>
      </c>
      <c r="L91" s="36" t="s">
        <v>263</v>
      </c>
      <c r="M91" s="37"/>
      <c r="N91" s="37"/>
      <c r="O91" s="27"/>
      <c r="P91" s="27"/>
      <c r="Q91" s="27"/>
      <c r="R91" s="27"/>
      <c r="S91" s="1" t="s">
        <v>264</v>
      </c>
      <c r="T91" s="29" t="s">
        <v>265</v>
      </c>
      <c r="U91" s="27"/>
      <c r="V91" s="27"/>
      <c r="W91" s="27"/>
    </row>
    <row r="92" spans="1:23" ht="24" customHeight="1">
      <c r="A92" s="27" t="str">
        <f t="shared" ca="1" si="1"/>
        <v>EVT-2026-0090</v>
      </c>
      <c r="B92" s="27">
        <v>2026</v>
      </c>
      <c r="C92" s="27" t="s">
        <v>85</v>
      </c>
      <c r="D92" s="30">
        <v>46048</v>
      </c>
      <c r="E92" s="27" t="s">
        <v>224</v>
      </c>
      <c r="F92" s="27" t="s">
        <v>126</v>
      </c>
      <c r="G92" s="27"/>
      <c r="H92" s="27"/>
      <c r="I92" s="27"/>
      <c r="J92" s="27" t="s">
        <v>177</v>
      </c>
      <c r="K92" s="10">
        <v>0</v>
      </c>
      <c r="L92" s="36" t="s">
        <v>263</v>
      </c>
      <c r="M92" s="37"/>
      <c r="N92" s="37"/>
      <c r="O92" s="27"/>
      <c r="P92" s="27"/>
      <c r="Q92" s="27"/>
      <c r="R92" s="27"/>
      <c r="S92" s="1" t="s">
        <v>264</v>
      </c>
      <c r="T92" s="29" t="s">
        <v>265</v>
      </c>
      <c r="U92" s="27"/>
      <c r="V92" s="27"/>
      <c r="W92" s="27"/>
    </row>
    <row r="93" spans="1:23" ht="24" customHeight="1">
      <c r="A93" s="27" t="str">
        <f t="shared" ca="1" si="1"/>
        <v>EVT-2026-0091</v>
      </c>
      <c r="B93" s="27">
        <v>2026</v>
      </c>
      <c r="C93" s="27" t="s">
        <v>85</v>
      </c>
      <c r="D93" s="30">
        <v>46049</v>
      </c>
      <c r="E93" s="27" t="s">
        <v>227</v>
      </c>
      <c r="F93" s="27" t="s">
        <v>126</v>
      </c>
      <c r="G93" s="27" t="s">
        <v>202</v>
      </c>
      <c r="H93" s="27" t="s">
        <v>401</v>
      </c>
      <c r="I93" s="27" t="s">
        <v>402</v>
      </c>
      <c r="J93" s="27" t="s">
        <v>152</v>
      </c>
      <c r="K93" s="10">
        <v>2</v>
      </c>
      <c r="L93" s="36" t="s">
        <v>263</v>
      </c>
      <c r="M93" s="37" t="s">
        <v>269</v>
      </c>
      <c r="N93" s="37" t="s">
        <v>270</v>
      </c>
      <c r="O93" s="27"/>
      <c r="P93" s="27"/>
      <c r="Q93" s="27"/>
      <c r="R93" s="27"/>
      <c r="S93" s="1" t="s">
        <v>264</v>
      </c>
      <c r="T93" s="29" t="s">
        <v>265</v>
      </c>
      <c r="U93" s="27"/>
      <c r="V93" s="27" t="s">
        <v>403</v>
      </c>
      <c r="W93" s="27"/>
    </row>
    <row r="94" spans="1:23" ht="24" customHeight="1">
      <c r="A94" s="27" t="str">
        <f t="shared" ca="1" si="1"/>
        <v>EVT-2026-0092</v>
      </c>
      <c r="B94" s="27">
        <v>2026</v>
      </c>
      <c r="C94" s="27" t="s">
        <v>85</v>
      </c>
      <c r="D94" s="30">
        <v>46049</v>
      </c>
      <c r="E94" s="27" t="s">
        <v>227</v>
      </c>
      <c r="F94" s="27" t="s">
        <v>126</v>
      </c>
      <c r="G94" s="27" t="s">
        <v>202</v>
      </c>
      <c r="H94" s="27" t="s">
        <v>348</v>
      </c>
      <c r="I94" s="27" t="s">
        <v>404</v>
      </c>
      <c r="J94" s="27" t="s">
        <v>158</v>
      </c>
      <c r="K94" s="10">
        <v>70</v>
      </c>
      <c r="L94" s="36" t="s">
        <v>263</v>
      </c>
      <c r="M94" s="37" t="s">
        <v>331</v>
      </c>
      <c r="N94" s="37" t="s">
        <v>275</v>
      </c>
      <c r="O94" s="27"/>
      <c r="P94" s="27"/>
      <c r="Q94" s="27" t="s">
        <v>379</v>
      </c>
      <c r="R94" s="27"/>
      <c r="S94" s="1" t="s">
        <v>264</v>
      </c>
      <c r="T94" s="29" t="s">
        <v>265</v>
      </c>
      <c r="U94" s="30">
        <v>46037</v>
      </c>
      <c r="V94" s="27" t="s">
        <v>405</v>
      </c>
      <c r="W94" s="27"/>
    </row>
    <row r="95" spans="1:23" ht="24" customHeight="1">
      <c r="A95" s="27" t="str">
        <f t="shared" ca="1" si="1"/>
        <v>EVT-2026-0093</v>
      </c>
      <c r="B95" s="27">
        <v>2026</v>
      </c>
      <c r="C95" s="27" t="s">
        <v>85</v>
      </c>
      <c r="D95" s="30">
        <v>46049</v>
      </c>
      <c r="E95" s="27" t="s">
        <v>227</v>
      </c>
      <c r="F95" s="27" t="s">
        <v>126</v>
      </c>
      <c r="G95" s="27" t="s">
        <v>202</v>
      </c>
      <c r="H95" s="27" t="s">
        <v>138</v>
      </c>
      <c r="I95" s="27" t="s">
        <v>377</v>
      </c>
      <c r="J95" s="27" t="s">
        <v>165</v>
      </c>
      <c r="K95" s="10">
        <v>75</v>
      </c>
      <c r="L95" s="36" t="s">
        <v>263</v>
      </c>
      <c r="M95" s="37" t="s">
        <v>350</v>
      </c>
      <c r="N95" s="37" t="s">
        <v>289</v>
      </c>
      <c r="O95" s="27"/>
      <c r="P95" s="27" t="s">
        <v>378</v>
      </c>
      <c r="Q95" s="27" t="s">
        <v>298</v>
      </c>
      <c r="R95" s="27"/>
      <c r="S95" s="3" t="s">
        <v>312</v>
      </c>
      <c r="T95" s="29" t="s">
        <v>265</v>
      </c>
      <c r="U95" s="27"/>
      <c r="V95" s="27" t="s">
        <v>406</v>
      </c>
      <c r="W95" s="27" t="s">
        <v>407</v>
      </c>
    </row>
    <row r="96" spans="1:23" ht="24" customHeight="1">
      <c r="A96" s="27" t="str">
        <f t="shared" ca="1" si="1"/>
        <v>EVT-2026-0094</v>
      </c>
      <c r="B96" s="27">
        <v>2026</v>
      </c>
      <c r="C96" s="27" t="s">
        <v>85</v>
      </c>
      <c r="D96" s="30">
        <v>46049</v>
      </c>
      <c r="E96" s="27" t="s">
        <v>227</v>
      </c>
      <c r="F96" s="27" t="s">
        <v>126</v>
      </c>
      <c r="G96" s="27" t="s">
        <v>202</v>
      </c>
      <c r="H96" s="27" t="s">
        <v>239</v>
      </c>
      <c r="I96" s="27" t="s">
        <v>408</v>
      </c>
      <c r="J96" s="27" t="s">
        <v>127</v>
      </c>
      <c r="K96" s="10">
        <v>80</v>
      </c>
      <c r="L96" s="36" t="s">
        <v>263</v>
      </c>
      <c r="M96" s="37" t="s">
        <v>359</v>
      </c>
      <c r="N96" s="37" t="s">
        <v>270</v>
      </c>
      <c r="O96" s="27"/>
      <c r="P96" s="27"/>
      <c r="Q96" s="27" t="s">
        <v>379</v>
      </c>
      <c r="R96" s="27"/>
      <c r="S96" s="1" t="s">
        <v>264</v>
      </c>
      <c r="T96" s="29" t="s">
        <v>265</v>
      </c>
      <c r="U96" s="30">
        <v>46028</v>
      </c>
      <c r="V96" s="27" t="s">
        <v>409</v>
      </c>
      <c r="W96" s="27"/>
    </row>
    <row r="97" spans="1:23" ht="24" customHeight="1">
      <c r="A97" s="27" t="str">
        <f t="shared" ca="1" si="1"/>
        <v>EVT-2026-0095</v>
      </c>
      <c r="B97" s="27">
        <v>2026</v>
      </c>
      <c r="C97" s="27" t="s">
        <v>85</v>
      </c>
      <c r="D97" s="30">
        <v>46049</v>
      </c>
      <c r="E97" s="27" t="s">
        <v>227</v>
      </c>
      <c r="F97" s="27" t="s">
        <v>126</v>
      </c>
      <c r="G97" s="27" t="s">
        <v>208</v>
      </c>
      <c r="H97" s="27" t="s">
        <v>348</v>
      </c>
      <c r="I97" s="27" t="s">
        <v>349</v>
      </c>
      <c r="J97" s="27" t="s">
        <v>145</v>
      </c>
      <c r="K97" s="10">
        <v>50</v>
      </c>
      <c r="L97" s="36" t="s">
        <v>263</v>
      </c>
      <c r="M97" s="37" t="s">
        <v>350</v>
      </c>
      <c r="N97" s="37" t="s">
        <v>296</v>
      </c>
      <c r="O97" s="27"/>
      <c r="P97" s="27"/>
      <c r="Q97" s="27" t="s">
        <v>351</v>
      </c>
      <c r="R97" s="27"/>
      <c r="S97" s="1" t="s">
        <v>264</v>
      </c>
      <c r="T97" s="29" t="s">
        <v>265</v>
      </c>
      <c r="U97" s="30">
        <v>46008</v>
      </c>
      <c r="V97" s="27" t="s">
        <v>303</v>
      </c>
      <c r="W97" s="27"/>
    </row>
    <row r="98" spans="1:23" ht="24" customHeight="1">
      <c r="A98" s="27" t="str">
        <f t="shared" ca="1" si="1"/>
        <v>EVT-2026-0096</v>
      </c>
      <c r="B98" s="27">
        <v>2026</v>
      </c>
      <c r="C98" s="27" t="s">
        <v>85</v>
      </c>
      <c r="D98" s="30">
        <v>46050</v>
      </c>
      <c r="E98" s="27" t="s">
        <v>201</v>
      </c>
      <c r="F98" s="27" t="s">
        <v>126</v>
      </c>
      <c r="G98" s="27" t="s">
        <v>202</v>
      </c>
      <c r="H98" s="27" t="s">
        <v>239</v>
      </c>
      <c r="I98" s="27" t="s">
        <v>410</v>
      </c>
      <c r="J98" s="27" t="s">
        <v>127</v>
      </c>
      <c r="K98" s="10">
        <v>180</v>
      </c>
      <c r="L98" s="38" t="s">
        <v>294</v>
      </c>
      <c r="M98" s="37" t="s">
        <v>295</v>
      </c>
      <c r="N98" s="37" t="s">
        <v>411</v>
      </c>
      <c r="O98" s="27"/>
      <c r="P98" s="27"/>
      <c r="Q98" s="27" t="s">
        <v>378</v>
      </c>
      <c r="R98" s="27"/>
      <c r="S98" s="3" t="s">
        <v>312</v>
      </c>
      <c r="T98" s="29" t="s">
        <v>265</v>
      </c>
      <c r="U98" s="30">
        <v>46035</v>
      </c>
      <c r="V98" s="27"/>
      <c r="W98" s="27" t="s">
        <v>412</v>
      </c>
    </row>
    <row r="99" spans="1:23" ht="24" customHeight="1">
      <c r="A99" s="27" t="str">
        <f t="shared" ca="1" si="1"/>
        <v>EVT-2026-0097</v>
      </c>
      <c r="B99" s="27">
        <v>2026</v>
      </c>
      <c r="C99" s="27" t="s">
        <v>85</v>
      </c>
      <c r="D99" s="30">
        <v>46050</v>
      </c>
      <c r="E99" s="27" t="s">
        <v>201</v>
      </c>
      <c r="F99" s="27" t="s">
        <v>126</v>
      </c>
      <c r="G99" s="27" t="s">
        <v>208</v>
      </c>
      <c r="H99" s="27" t="s">
        <v>348</v>
      </c>
      <c r="I99" s="27" t="s">
        <v>413</v>
      </c>
      <c r="J99" s="27" t="s">
        <v>177</v>
      </c>
      <c r="K99" s="10">
        <v>30</v>
      </c>
      <c r="L99" s="36" t="s">
        <v>263</v>
      </c>
      <c r="M99" s="37" t="s">
        <v>309</v>
      </c>
      <c r="N99" s="37" t="s">
        <v>290</v>
      </c>
      <c r="O99" s="27"/>
      <c r="P99" s="27"/>
      <c r="Q99" s="27" t="s">
        <v>414</v>
      </c>
      <c r="R99" s="27"/>
      <c r="S99" s="1" t="s">
        <v>264</v>
      </c>
      <c r="T99" s="29" t="s">
        <v>265</v>
      </c>
      <c r="U99" s="30">
        <v>46042</v>
      </c>
      <c r="V99" s="27" t="s">
        <v>415</v>
      </c>
      <c r="W99" s="27"/>
    </row>
    <row r="100" spans="1:23" ht="24" customHeight="1">
      <c r="A100" s="27" t="str">
        <f t="shared" ca="1" si="1"/>
        <v>EVT-2026-0098</v>
      </c>
      <c r="B100" s="27">
        <v>2026</v>
      </c>
      <c r="C100" s="27" t="s">
        <v>85</v>
      </c>
      <c r="D100" s="30">
        <v>46050</v>
      </c>
      <c r="E100" s="27" t="s">
        <v>201</v>
      </c>
      <c r="F100" s="27" t="s">
        <v>126</v>
      </c>
      <c r="G100" s="27" t="s">
        <v>202</v>
      </c>
      <c r="H100" s="27" t="s">
        <v>138</v>
      </c>
      <c r="I100" s="27" t="s">
        <v>416</v>
      </c>
      <c r="J100" s="27" t="s">
        <v>165</v>
      </c>
      <c r="K100" s="10">
        <v>40</v>
      </c>
      <c r="L100" s="36" t="s">
        <v>263</v>
      </c>
      <c r="M100" s="37" t="s">
        <v>289</v>
      </c>
      <c r="N100" s="37" t="s">
        <v>270</v>
      </c>
      <c r="O100" s="27"/>
      <c r="P100" s="27"/>
      <c r="Q100" s="27" t="s">
        <v>417</v>
      </c>
      <c r="R100" s="27"/>
      <c r="S100" s="1" t="s">
        <v>264</v>
      </c>
      <c r="T100" s="29" t="s">
        <v>265</v>
      </c>
      <c r="U100" s="30">
        <v>46044</v>
      </c>
      <c r="V100" s="27"/>
      <c r="W100" s="27"/>
    </row>
    <row r="101" spans="1:23" ht="24" customHeight="1">
      <c r="A101" s="27" t="str">
        <f t="shared" ca="1" si="1"/>
        <v>EVT-2026-0099</v>
      </c>
      <c r="B101" s="27">
        <v>2026</v>
      </c>
      <c r="C101" s="27" t="s">
        <v>85</v>
      </c>
      <c r="D101" s="30">
        <v>46050</v>
      </c>
      <c r="E101" s="27" t="s">
        <v>201</v>
      </c>
      <c r="F101" s="27" t="s">
        <v>126</v>
      </c>
      <c r="G101" s="27" t="s">
        <v>202</v>
      </c>
      <c r="H101" s="27" t="s">
        <v>239</v>
      </c>
      <c r="I101" s="27" t="s">
        <v>408</v>
      </c>
      <c r="J101" s="27" t="s">
        <v>127</v>
      </c>
      <c r="K101" s="10">
        <v>80</v>
      </c>
      <c r="L101" s="36" t="s">
        <v>263</v>
      </c>
      <c r="M101" s="37" t="s">
        <v>295</v>
      </c>
      <c r="N101" s="37" t="s">
        <v>296</v>
      </c>
      <c r="O101" s="27"/>
      <c r="P101" s="27"/>
      <c r="Q101" s="27" t="s">
        <v>379</v>
      </c>
      <c r="R101" s="27"/>
      <c r="S101" s="3" t="s">
        <v>312</v>
      </c>
      <c r="T101" s="29" t="s">
        <v>265</v>
      </c>
      <c r="U101" s="30">
        <v>46028</v>
      </c>
      <c r="V101" s="27" t="s">
        <v>409</v>
      </c>
      <c r="W101" s="27" t="s">
        <v>418</v>
      </c>
    </row>
    <row r="102" spans="1:23" ht="24" customHeight="1">
      <c r="A102" s="27" t="str">
        <f t="shared" ca="1" si="1"/>
        <v>EVT-2026-0100</v>
      </c>
      <c r="B102" s="27">
        <v>2026</v>
      </c>
      <c r="C102" s="27" t="s">
        <v>85</v>
      </c>
      <c r="D102" s="30">
        <v>46051</v>
      </c>
      <c r="E102" s="27" t="s">
        <v>216</v>
      </c>
      <c r="F102" s="27" t="s">
        <v>126</v>
      </c>
      <c r="G102" s="27" t="s">
        <v>202</v>
      </c>
      <c r="H102" s="27" t="s">
        <v>239</v>
      </c>
      <c r="I102" s="27"/>
      <c r="J102" s="27" t="s">
        <v>177</v>
      </c>
      <c r="K102" s="10">
        <v>40</v>
      </c>
      <c r="L102" s="36" t="s">
        <v>263</v>
      </c>
      <c r="M102" s="37" t="s">
        <v>359</v>
      </c>
      <c r="N102" s="37" t="s">
        <v>290</v>
      </c>
      <c r="O102" s="27"/>
      <c r="P102" s="27"/>
      <c r="Q102" s="27" t="s">
        <v>419</v>
      </c>
      <c r="R102" s="27"/>
      <c r="S102" s="1" t="s">
        <v>264</v>
      </c>
      <c r="T102" s="29" t="s">
        <v>265</v>
      </c>
      <c r="U102" s="27"/>
      <c r="V102" s="27" t="s">
        <v>298</v>
      </c>
      <c r="W102" s="27"/>
    </row>
    <row r="103" spans="1:23" ht="24" customHeight="1">
      <c r="A103" s="27" t="str">
        <f t="shared" ca="1" si="1"/>
        <v>EVT-2026-0101</v>
      </c>
      <c r="B103" s="27">
        <v>2026</v>
      </c>
      <c r="C103" s="27" t="s">
        <v>85</v>
      </c>
      <c r="D103" s="30">
        <v>46051</v>
      </c>
      <c r="E103" s="27" t="s">
        <v>216</v>
      </c>
      <c r="F103" s="27" t="s">
        <v>126</v>
      </c>
      <c r="G103" s="27" t="s">
        <v>208</v>
      </c>
      <c r="H103" s="27" t="s">
        <v>348</v>
      </c>
      <c r="I103" s="27" t="s">
        <v>387</v>
      </c>
      <c r="J103" s="27" t="s">
        <v>177</v>
      </c>
      <c r="K103" s="10">
        <v>80</v>
      </c>
      <c r="L103" s="36" t="s">
        <v>263</v>
      </c>
      <c r="M103" s="37" t="s">
        <v>289</v>
      </c>
      <c r="N103" s="37" t="s">
        <v>296</v>
      </c>
      <c r="O103" s="27"/>
      <c r="P103" s="27" t="s">
        <v>369</v>
      </c>
      <c r="Q103" s="27" t="s">
        <v>388</v>
      </c>
      <c r="R103" s="27"/>
      <c r="S103" s="1" t="s">
        <v>264</v>
      </c>
      <c r="T103" s="29" t="s">
        <v>265</v>
      </c>
      <c r="U103" s="27"/>
      <c r="V103" s="27"/>
      <c r="W103" s="27"/>
    </row>
    <row r="104" spans="1:23" ht="24" customHeight="1">
      <c r="A104" s="27" t="str">
        <f t="shared" ca="1" si="1"/>
        <v>EVT-2026-0102</v>
      </c>
      <c r="B104" s="27">
        <v>2026</v>
      </c>
      <c r="C104" s="27" t="s">
        <v>85</v>
      </c>
      <c r="D104" s="30">
        <v>46051</v>
      </c>
      <c r="E104" s="27" t="s">
        <v>216</v>
      </c>
      <c r="F104" s="27" t="s">
        <v>126</v>
      </c>
      <c r="G104" s="27" t="s">
        <v>420</v>
      </c>
      <c r="H104" s="27" t="s">
        <v>348</v>
      </c>
      <c r="I104" s="27" t="s">
        <v>377</v>
      </c>
      <c r="J104" s="27" t="s">
        <v>165</v>
      </c>
      <c r="K104" s="10">
        <v>80</v>
      </c>
      <c r="L104" s="36" t="s">
        <v>263</v>
      </c>
      <c r="M104" s="37" t="s">
        <v>350</v>
      </c>
      <c r="N104" s="37" t="s">
        <v>289</v>
      </c>
      <c r="O104" s="27"/>
      <c r="P104" s="27"/>
      <c r="Q104" s="27" t="s">
        <v>378</v>
      </c>
      <c r="R104" s="27"/>
      <c r="S104" s="1" t="s">
        <v>264</v>
      </c>
      <c r="T104" s="29" t="s">
        <v>265</v>
      </c>
      <c r="U104" s="30">
        <v>46043</v>
      </c>
      <c r="V104" s="27"/>
      <c r="W104" s="27"/>
    </row>
    <row r="105" spans="1:23" ht="24" customHeight="1">
      <c r="A105" s="27" t="str">
        <f t="shared" ca="1" si="1"/>
        <v>EVT-2026-0103</v>
      </c>
      <c r="B105" s="27">
        <v>2026</v>
      </c>
      <c r="C105" s="27" t="s">
        <v>85</v>
      </c>
      <c r="D105" s="30">
        <v>46051</v>
      </c>
      <c r="E105" s="27" t="s">
        <v>216</v>
      </c>
      <c r="F105" s="27" t="s">
        <v>126</v>
      </c>
      <c r="G105" s="27" t="s">
        <v>420</v>
      </c>
      <c r="H105" s="27" t="s">
        <v>138</v>
      </c>
      <c r="I105" s="27" t="s">
        <v>421</v>
      </c>
      <c r="J105" s="27" t="s">
        <v>127</v>
      </c>
      <c r="K105" s="10">
        <v>40</v>
      </c>
      <c r="L105" s="36" t="s">
        <v>263</v>
      </c>
      <c r="M105" s="37" t="s">
        <v>331</v>
      </c>
      <c r="N105" s="37" t="s">
        <v>296</v>
      </c>
      <c r="O105" s="27"/>
      <c r="P105" s="27"/>
      <c r="Q105" s="27" t="s">
        <v>379</v>
      </c>
      <c r="R105" s="27"/>
      <c r="S105" s="1" t="s">
        <v>264</v>
      </c>
      <c r="T105" s="29" t="s">
        <v>265</v>
      </c>
      <c r="U105" s="27"/>
      <c r="V105" s="27"/>
      <c r="W105" s="27"/>
    </row>
    <row r="106" spans="1:23" ht="24" customHeight="1">
      <c r="A106" s="27" t="str">
        <f t="shared" ca="1" si="1"/>
        <v>EVT-2026-0104</v>
      </c>
      <c r="B106" s="27">
        <v>2026</v>
      </c>
      <c r="C106" s="27" t="s">
        <v>85</v>
      </c>
      <c r="D106" s="30">
        <v>46051</v>
      </c>
      <c r="E106" s="27" t="s">
        <v>216</v>
      </c>
      <c r="F106" s="27" t="s">
        <v>126</v>
      </c>
      <c r="G106" s="27" t="s">
        <v>202</v>
      </c>
      <c r="H106" s="27" t="s">
        <v>348</v>
      </c>
      <c r="I106" s="27" t="s">
        <v>349</v>
      </c>
      <c r="J106" s="27" t="s">
        <v>145</v>
      </c>
      <c r="K106" s="10">
        <v>50</v>
      </c>
      <c r="L106" s="36" t="s">
        <v>263</v>
      </c>
      <c r="M106" s="37" t="s">
        <v>350</v>
      </c>
      <c r="N106" s="37" t="s">
        <v>296</v>
      </c>
      <c r="O106" s="27"/>
      <c r="P106" s="27"/>
      <c r="Q106" s="27" t="s">
        <v>351</v>
      </c>
      <c r="R106" s="27"/>
      <c r="S106" s="1" t="s">
        <v>264</v>
      </c>
      <c r="T106" s="29" t="s">
        <v>265</v>
      </c>
      <c r="U106" s="30">
        <v>46050</v>
      </c>
      <c r="V106" s="27" t="s">
        <v>303</v>
      </c>
      <c r="W106" s="27"/>
    </row>
    <row r="107" spans="1:23" ht="24" customHeight="1">
      <c r="A107" s="27" t="str">
        <f t="shared" ca="1" si="1"/>
        <v>EVT-2026-0105</v>
      </c>
      <c r="B107" s="27">
        <v>2026</v>
      </c>
      <c r="C107" s="27" t="s">
        <v>85</v>
      </c>
      <c r="D107" s="30">
        <v>46052</v>
      </c>
      <c r="E107" s="27" t="s">
        <v>220</v>
      </c>
      <c r="F107" s="27" t="s">
        <v>126</v>
      </c>
      <c r="G107" s="27" t="s">
        <v>228</v>
      </c>
      <c r="H107" s="27" t="s">
        <v>422</v>
      </c>
      <c r="I107" s="27" t="s">
        <v>337</v>
      </c>
      <c r="J107" s="27" t="s">
        <v>127</v>
      </c>
      <c r="K107" s="10">
        <v>0</v>
      </c>
      <c r="L107" s="36" t="s">
        <v>263</v>
      </c>
      <c r="M107" s="37" t="s">
        <v>338</v>
      </c>
      <c r="N107" s="37" t="s">
        <v>274</v>
      </c>
      <c r="O107" s="27"/>
      <c r="P107" s="27"/>
      <c r="Q107" s="27" t="s">
        <v>339</v>
      </c>
      <c r="R107" s="27"/>
      <c r="S107" s="1" t="s">
        <v>264</v>
      </c>
      <c r="T107" s="29" t="s">
        <v>265</v>
      </c>
      <c r="U107" s="27" t="s">
        <v>423</v>
      </c>
      <c r="V107" s="27"/>
      <c r="W107" s="27"/>
    </row>
    <row r="108" spans="1:23" ht="24" customHeight="1">
      <c r="A108" s="27" t="str">
        <f t="shared" ca="1" si="1"/>
        <v>EVT-2026-0106</v>
      </c>
      <c r="B108" s="27">
        <v>2026</v>
      </c>
      <c r="C108" s="27" t="s">
        <v>85</v>
      </c>
      <c r="D108" s="30">
        <v>46052</v>
      </c>
      <c r="E108" s="27" t="s">
        <v>220</v>
      </c>
      <c r="F108" s="27" t="s">
        <v>126</v>
      </c>
      <c r="G108" s="27" t="s">
        <v>202</v>
      </c>
      <c r="H108" s="27" t="s">
        <v>239</v>
      </c>
      <c r="I108" s="27" t="s">
        <v>337</v>
      </c>
      <c r="J108" s="27" t="s">
        <v>127</v>
      </c>
      <c r="K108" s="10">
        <v>0</v>
      </c>
      <c r="L108" s="36" t="s">
        <v>263</v>
      </c>
      <c r="M108" s="37" t="s">
        <v>338</v>
      </c>
      <c r="N108" s="37" t="s">
        <v>274</v>
      </c>
      <c r="O108" s="27"/>
      <c r="P108" s="27"/>
      <c r="Q108" s="27" t="s">
        <v>339</v>
      </c>
      <c r="R108" s="27"/>
      <c r="S108" s="1" t="s">
        <v>264</v>
      </c>
      <c r="T108" s="29" t="s">
        <v>265</v>
      </c>
      <c r="U108" s="27"/>
      <c r="V108" s="27" t="s">
        <v>424</v>
      </c>
      <c r="W108" s="27"/>
    </row>
    <row r="109" spans="1:23" ht="24" customHeight="1">
      <c r="A109" s="27" t="str">
        <f t="shared" ca="1" si="1"/>
        <v>EVT-2026-0107</v>
      </c>
      <c r="B109" s="27">
        <v>2026</v>
      </c>
      <c r="C109" s="27" t="s">
        <v>85</v>
      </c>
      <c r="D109" s="30">
        <v>46052</v>
      </c>
      <c r="E109" s="27" t="s">
        <v>220</v>
      </c>
      <c r="F109" s="27" t="s">
        <v>126</v>
      </c>
      <c r="G109" s="27" t="s">
        <v>202</v>
      </c>
      <c r="H109" s="27" t="s">
        <v>239</v>
      </c>
      <c r="I109" s="27"/>
      <c r="J109" s="27" t="s">
        <v>177</v>
      </c>
      <c r="K109" s="10">
        <v>0</v>
      </c>
      <c r="L109" s="36" t="s">
        <v>263</v>
      </c>
      <c r="M109" s="37" t="s">
        <v>295</v>
      </c>
      <c r="N109" s="37" t="s">
        <v>296</v>
      </c>
      <c r="O109" s="27"/>
      <c r="P109" s="27"/>
      <c r="Q109" s="27" t="s">
        <v>425</v>
      </c>
      <c r="R109" s="27"/>
      <c r="S109" s="1" t="s">
        <v>264</v>
      </c>
      <c r="T109" s="29" t="s">
        <v>265</v>
      </c>
      <c r="U109" s="27"/>
      <c r="V109" s="27"/>
      <c r="W109" s="27"/>
    </row>
    <row r="110" spans="1:23" ht="24" customHeight="1">
      <c r="A110" s="27" t="str">
        <f t="shared" ca="1" si="1"/>
        <v>EVT-2026-0108</v>
      </c>
      <c r="B110" s="27">
        <v>2026</v>
      </c>
      <c r="C110" s="27" t="s">
        <v>85</v>
      </c>
      <c r="D110" s="30">
        <v>46053</v>
      </c>
      <c r="E110" s="27" t="s">
        <v>266</v>
      </c>
      <c r="F110" s="27" t="s">
        <v>126</v>
      </c>
      <c r="G110" s="27"/>
      <c r="H110" s="27" t="s">
        <v>342</v>
      </c>
      <c r="I110" s="27"/>
      <c r="J110" s="27" t="s">
        <v>145</v>
      </c>
      <c r="K110" s="10">
        <v>0</v>
      </c>
      <c r="L110" s="36" t="s">
        <v>263</v>
      </c>
      <c r="M110" s="37"/>
      <c r="N110" s="37"/>
      <c r="O110" s="27"/>
      <c r="P110" s="27"/>
      <c r="Q110" s="27"/>
      <c r="R110" s="27"/>
      <c r="S110" s="1" t="s">
        <v>264</v>
      </c>
      <c r="T110" s="29" t="s">
        <v>265</v>
      </c>
      <c r="U110" s="27"/>
      <c r="V110" s="27"/>
      <c r="W110" s="27"/>
    </row>
    <row r="111" spans="1:23" ht="24" customHeight="1">
      <c r="A111" s="27" t="str">
        <f t="shared" ca="1" si="1"/>
        <v>EVT-2026-0109</v>
      </c>
      <c r="B111" s="27">
        <v>2026</v>
      </c>
      <c r="C111" s="27" t="s">
        <v>85</v>
      </c>
      <c r="D111" s="27"/>
      <c r="E111" s="27" t="s">
        <v>426</v>
      </c>
      <c r="F111" s="27" t="s">
        <v>126</v>
      </c>
      <c r="G111" s="27"/>
      <c r="H111" s="27"/>
      <c r="I111" s="27"/>
      <c r="J111" s="27" t="s">
        <v>177</v>
      </c>
      <c r="K111" s="10">
        <v>0</v>
      </c>
      <c r="L111" s="36" t="s">
        <v>263</v>
      </c>
      <c r="M111" s="37"/>
      <c r="N111" s="37"/>
      <c r="O111" s="27"/>
      <c r="P111" s="27"/>
      <c r="Q111" s="27"/>
      <c r="R111" s="27"/>
      <c r="S111" s="1" t="s">
        <v>264</v>
      </c>
      <c r="T111" s="29" t="s">
        <v>265</v>
      </c>
      <c r="U111" s="27"/>
      <c r="V111" s="27"/>
      <c r="W111" s="27"/>
    </row>
    <row r="112" spans="1:23" ht="24" customHeight="1">
      <c r="A112" s="27" t="str">
        <f t="shared" ca="1" si="1"/>
        <v>EVT-2026-0110</v>
      </c>
      <c r="B112" s="27">
        <v>2026</v>
      </c>
      <c r="C112" s="27" t="s">
        <v>91</v>
      </c>
      <c r="D112" s="30">
        <v>46054</v>
      </c>
      <c r="E112" s="27" t="s">
        <v>267</v>
      </c>
      <c r="F112" s="27" t="s">
        <v>164</v>
      </c>
      <c r="G112" s="27" t="s">
        <v>262</v>
      </c>
      <c r="H112" s="27"/>
      <c r="I112" s="27"/>
      <c r="J112" s="27" t="s">
        <v>177</v>
      </c>
      <c r="K112" s="10">
        <v>0</v>
      </c>
      <c r="L112" s="36" t="s">
        <v>263</v>
      </c>
      <c r="M112" s="37"/>
      <c r="N112" s="37"/>
      <c r="O112" s="27"/>
      <c r="P112" s="27"/>
      <c r="Q112" s="27"/>
      <c r="R112" s="27"/>
      <c r="S112" s="1" t="s">
        <v>264</v>
      </c>
      <c r="T112" s="29" t="s">
        <v>265</v>
      </c>
      <c r="U112" s="27"/>
      <c r="V112" s="27"/>
      <c r="W112" s="27"/>
    </row>
    <row r="113" spans="1:23" ht="24" customHeight="1">
      <c r="A113" s="27" t="str">
        <f t="shared" ca="1" si="1"/>
        <v>EVT-2026-0111</v>
      </c>
      <c r="B113" s="27">
        <v>2026</v>
      </c>
      <c r="C113" s="27" t="s">
        <v>91</v>
      </c>
      <c r="D113" s="30">
        <v>46055</v>
      </c>
      <c r="E113" s="27" t="s">
        <v>224</v>
      </c>
      <c r="F113" s="27" t="s">
        <v>164</v>
      </c>
      <c r="G113" s="27" t="s">
        <v>202</v>
      </c>
      <c r="H113" s="27" t="s">
        <v>326</v>
      </c>
      <c r="I113" s="27" t="s">
        <v>236</v>
      </c>
      <c r="J113" s="27" t="s">
        <v>139</v>
      </c>
      <c r="K113" s="10">
        <v>28</v>
      </c>
      <c r="L113" s="36" t="s">
        <v>263</v>
      </c>
      <c r="M113" s="37" t="s">
        <v>269</v>
      </c>
      <c r="N113" s="37" t="s">
        <v>270</v>
      </c>
      <c r="O113" s="27"/>
      <c r="P113" s="27"/>
      <c r="Q113" s="27" t="s">
        <v>237</v>
      </c>
      <c r="R113" s="27"/>
      <c r="S113" s="1" t="s">
        <v>264</v>
      </c>
      <c r="T113" s="29" t="s">
        <v>265</v>
      </c>
      <c r="U113" s="27"/>
      <c r="V113" s="27" t="s">
        <v>427</v>
      </c>
      <c r="W113" s="27"/>
    </row>
    <row r="114" spans="1:23" ht="24" customHeight="1">
      <c r="A114" s="27" t="str">
        <f t="shared" ca="1" si="1"/>
        <v>EVT-2026-0112</v>
      </c>
      <c r="B114" s="27">
        <v>2026</v>
      </c>
      <c r="C114" s="27" t="s">
        <v>91</v>
      </c>
      <c r="D114" s="30">
        <v>46056</v>
      </c>
      <c r="E114" s="27" t="s">
        <v>227</v>
      </c>
      <c r="F114" s="27" t="s">
        <v>164</v>
      </c>
      <c r="G114" s="27" t="s">
        <v>262</v>
      </c>
      <c r="H114" s="27" t="s">
        <v>171</v>
      </c>
      <c r="I114" s="27" t="s">
        <v>428</v>
      </c>
      <c r="J114" s="27" t="s">
        <v>177</v>
      </c>
      <c r="K114" s="10">
        <v>50</v>
      </c>
      <c r="L114" s="36" t="s">
        <v>263</v>
      </c>
      <c r="M114" s="37" t="s">
        <v>429</v>
      </c>
      <c r="N114" s="37" t="s">
        <v>354</v>
      </c>
      <c r="O114" s="27"/>
      <c r="P114" s="27"/>
      <c r="Q114" s="27" t="s">
        <v>430</v>
      </c>
      <c r="R114" s="27"/>
      <c r="S114" s="1" t="s">
        <v>264</v>
      </c>
      <c r="T114" s="29" t="s">
        <v>265</v>
      </c>
      <c r="U114" s="27"/>
      <c r="V114" s="27" t="s">
        <v>298</v>
      </c>
      <c r="W114" s="27"/>
    </row>
    <row r="115" spans="1:23" ht="24" customHeight="1">
      <c r="A115" s="27" t="str">
        <f t="shared" ca="1" si="1"/>
        <v>EVT-2026-0113</v>
      </c>
      <c r="B115" s="27">
        <v>2026</v>
      </c>
      <c r="C115" s="27" t="s">
        <v>91</v>
      </c>
      <c r="D115" s="30">
        <v>46057</v>
      </c>
      <c r="E115" s="27" t="s">
        <v>201</v>
      </c>
      <c r="F115" s="27" t="s">
        <v>164</v>
      </c>
      <c r="G115" s="27" t="s">
        <v>262</v>
      </c>
      <c r="H115" s="27" t="s">
        <v>171</v>
      </c>
      <c r="I115" s="27" t="s">
        <v>431</v>
      </c>
      <c r="J115" s="27" t="s">
        <v>177</v>
      </c>
      <c r="K115" s="10">
        <v>35</v>
      </c>
      <c r="L115" s="36" t="s">
        <v>263</v>
      </c>
      <c r="M115" s="37" t="s">
        <v>429</v>
      </c>
      <c r="N115" s="37" t="s">
        <v>354</v>
      </c>
      <c r="O115" s="27"/>
      <c r="P115" s="27"/>
      <c r="Q115" s="27" t="s">
        <v>430</v>
      </c>
      <c r="R115" s="27"/>
      <c r="S115" s="1" t="s">
        <v>264</v>
      </c>
      <c r="T115" s="29" t="s">
        <v>265</v>
      </c>
      <c r="U115" s="27"/>
      <c r="V115" s="27" t="s">
        <v>298</v>
      </c>
      <c r="W115" s="27"/>
    </row>
    <row r="116" spans="1:23" ht="24" customHeight="1">
      <c r="A116" s="27" t="str">
        <f t="shared" ca="1" si="1"/>
        <v>EVT-2026-0114</v>
      </c>
      <c r="B116" s="27">
        <v>2026</v>
      </c>
      <c r="C116" s="27" t="s">
        <v>91</v>
      </c>
      <c r="D116" s="30">
        <v>46057</v>
      </c>
      <c r="E116" s="27" t="s">
        <v>201</v>
      </c>
      <c r="F116" s="27" t="s">
        <v>164</v>
      </c>
      <c r="G116" s="27" t="s">
        <v>262</v>
      </c>
      <c r="H116" s="27" t="s">
        <v>171</v>
      </c>
      <c r="I116" s="27"/>
      <c r="J116" s="27" t="s">
        <v>177</v>
      </c>
      <c r="K116" s="10">
        <v>0</v>
      </c>
      <c r="L116" s="36" t="s">
        <v>263</v>
      </c>
      <c r="M116" s="37" t="s">
        <v>309</v>
      </c>
      <c r="N116" s="37" t="s">
        <v>270</v>
      </c>
      <c r="O116" s="27"/>
      <c r="P116" s="27"/>
      <c r="Q116" s="27" t="s">
        <v>237</v>
      </c>
      <c r="R116" s="27"/>
      <c r="S116" s="1" t="s">
        <v>264</v>
      </c>
      <c r="T116" s="29" t="s">
        <v>265</v>
      </c>
      <c r="U116" s="27"/>
      <c r="V116" s="27" t="s">
        <v>432</v>
      </c>
      <c r="W116" s="27"/>
    </row>
    <row r="117" spans="1:23" ht="24" customHeight="1">
      <c r="A117" s="27" t="str">
        <f t="shared" ca="1" si="1"/>
        <v>EVT-2026-0115</v>
      </c>
      <c r="B117" s="27">
        <v>2026</v>
      </c>
      <c r="C117" s="27" t="s">
        <v>91</v>
      </c>
      <c r="D117" s="30">
        <v>46058</v>
      </c>
      <c r="E117" s="27" t="s">
        <v>216</v>
      </c>
      <c r="F117" s="27" t="s">
        <v>164</v>
      </c>
      <c r="G117" s="27" t="s">
        <v>262</v>
      </c>
      <c r="H117" s="27" t="s">
        <v>171</v>
      </c>
      <c r="I117" s="27" t="s">
        <v>334</v>
      </c>
      <c r="J117" s="27" t="s">
        <v>127</v>
      </c>
      <c r="K117" s="10">
        <v>60</v>
      </c>
      <c r="L117" s="36" t="s">
        <v>263</v>
      </c>
      <c r="M117" s="37" t="s">
        <v>289</v>
      </c>
      <c r="N117" s="37" t="s">
        <v>296</v>
      </c>
      <c r="O117" s="27"/>
      <c r="P117" s="27"/>
      <c r="Q117" s="27" t="s">
        <v>433</v>
      </c>
      <c r="R117" s="27"/>
      <c r="S117" s="1" t="s">
        <v>264</v>
      </c>
      <c r="T117" s="29" t="s">
        <v>265</v>
      </c>
      <c r="U117" s="27"/>
      <c r="V117" s="27" t="s">
        <v>434</v>
      </c>
      <c r="W117" s="27"/>
    </row>
    <row r="118" spans="1:23" ht="24" customHeight="1">
      <c r="A118" s="27" t="str">
        <f t="shared" ca="1" si="1"/>
        <v>EVT-2026-0116</v>
      </c>
      <c r="B118" s="27">
        <v>2026</v>
      </c>
      <c r="C118" s="27" t="s">
        <v>91</v>
      </c>
      <c r="D118" s="30">
        <v>46058</v>
      </c>
      <c r="E118" s="27" t="s">
        <v>216</v>
      </c>
      <c r="F118" s="27" t="s">
        <v>164</v>
      </c>
      <c r="G118" s="27" t="s">
        <v>202</v>
      </c>
      <c r="H118" s="27" t="s">
        <v>326</v>
      </c>
      <c r="I118" s="27" t="s">
        <v>435</v>
      </c>
      <c r="J118" s="27" t="s">
        <v>177</v>
      </c>
      <c r="K118" s="10">
        <v>25</v>
      </c>
      <c r="L118" s="36" t="s">
        <v>263</v>
      </c>
      <c r="M118" s="37" t="s">
        <v>289</v>
      </c>
      <c r="N118" s="37" t="s">
        <v>290</v>
      </c>
      <c r="O118" s="27"/>
      <c r="P118" s="27"/>
      <c r="Q118" s="27" t="s">
        <v>237</v>
      </c>
      <c r="R118" s="27"/>
      <c r="S118" s="1" t="s">
        <v>264</v>
      </c>
      <c r="T118" s="29" t="s">
        <v>265</v>
      </c>
      <c r="U118" s="27"/>
      <c r="V118" s="27" t="s">
        <v>436</v>
      </c>
      <c r="W118" s="27"/>
    </row>
    <row r="119" spans="1:23" ht="24" customHeight="1">
      <c r="A119" s="27" t="str">
        <f t="shared" ca="1" si="1"/>
        <v>EVT-2026-0117</v>
      </c>
      <c r="B119" s="27">
        <v>2026</v>
      </c>
      <c r="C119" s="27" t="s">
        <v>91</v>
      </c>
      <c r="D119" s="30">
        <v>46059</v>
      </c>
      <c r="E119" s="27" t="s">
        <v>220</v>
      </c>
      <c r="F119" s="27" t="s">
        <v>164</v>
      </c>
      <c r="G119" s="27" t="s">
        <v>262</v>
      </c>
      <c r="H119" s="27"/>
      <c r="I119" s="27"/>
      <c r="J119" s="27" t="s">
        <v>177</v>
      </c>
      <c r="K119" s="10">
        <v>0</v>
      </c>
      <c r="L119" s="36" t="s">
        <v>263</v>
      </c>
      <c r="M119" s="37"/>
      <c r="N119" s="37"/>
      <c r="O119" s="27"/>
      <c r="P119" s="27"/>
      <c r="Q119" s="27"/>
      <c r="R119" s="27"/>
      <c r="S119" s="1" t="s">
        <v>264</v>
      </c>
      <c r="T119" s="29" t="s">
        <v>265</v>
      </c>
      <c r="U119" s="27"/>
      <c r="V119" s="27"/>
      <c r="W119" s="27"/>
    </row>
    <row r="120" spans="1:23" ht="24" customHeight="1">
      <c r="A120" s="27" t="str">
        <f t="shared" ca="1" si="1"/>
        <v>EVT-2026-0118</v>
      </c>
      <c r="B120" s="27">
        <v>2026</v>
      </c>
      <c r="C120" s="27" t="s">
        <v>91</v>
      </c>
      <c r="D120" s="30">
        <v>46060</v>
      </c>
      <c r="E120" s="27" t="s">
        <v>266</v>
      </c>
      <c r="F120" s="27" t="s">
        <v>164</v>
      </c>
      <c r="G120" s="27" t="s">
        <v>262</v>
      </c>
      <c r="H120" s="27" t="s">
        <v>437</v>
      </c>
      <c r="I120" s="27"/>
      <c r="J120" s="27" t="s">
        <v>145</v>
      </c>
      <c r="K120" s="10">
        <v>0</v>
      </c>
      <c r="L120" s="36" t="s">
        <v>263</v>
      </c>
      <c r="M120" s="37"/>
      <c r="N120" s="37"/>
      <c r="O120" s="27"/>
      <c r="P120" s="27"/>
      <c r="Q120" s="27"/>
      <c r="R120" s="27"/>
      <c r="S120" s="1" t="s">
        <v>264</v>
      </c>
      <c r="T120" s="29" t="s">
        <v>265</v>
      </c>
      <c r="U120" s="27"/>
      <c r="V120" s="27"/>
      <c r="W120" s="27"/>
    </row>
    <row r="121" spans="1:23" ht="24" customHeight="1">
      <c r="A121" s="27" t="str">
        <f t="shared" ca="1" si="1"/>
        <v>EVT-2026-0119</v>
      </c>
      <c r="B121" s="27">
        <v>2026</v>
      </c>
      <c r="C121" s="27" t="s">
        <v>91</v>
      </c>
      <c r="D121" s="30">
        <v>46061</v>
      </c>
      <c r="E121" s="27" t="s">
        <v>267</v>
      </c>
      <c r="F121" s="27" t="s">
        <v>164</v>
      </c>
      <c r="G121" s="27" t="s">
        <v>262</v>
      </c>
      <c r="H121" s="27"/>
      <c r="I121" s="27"/>
      <c r="J121" s="27" t="s">
        <v>177</v>
      </c>
      <c r="K121" s="10">
        <v>0</v>
      </c>
      <c r="L121" s="36" t="s">
        <v>263</v>
      </c>
      <c r="M121" s="37"/>
      <c r="N121" s="37"/>
      <c r="O121" s="27"/>
      <c r="P121" s="27"/>
      <c r="Q121" s="27"/>
      <c r="R121" s="27"/>
      <c r="S121" s="1" t="s">
        <v>264</v>
      </c>
      <c r="T121" s="29" t="s">
        <v>265</v>
      </c>
      <c r="U121" s="27"/>
      <c r="V121" s="27"/>
      <c r="W121" s="27"/>
    </row>
    <row r="122" spans="1:23" ht="24" customHeight="1">
      <c r="A122" s="27" t="str">
        <f t="shared" ca="1" si="1"/>
        <v>EVT-2026-0120</v>
      </c>
      <c r="B122" s="27">
        <v>2026</v>
      </c>
      <c r="C122" s="27" t="s">
        <v>91</v>
      </c>
      <c r="D122" s="30">
        <v>46062</v>
      </c>
      <c r="E122" s="27" t="s">
        <v>224</v>
      </c>
      <c r="F122" s="27" t="s">
        <v>164</v>
      </c>
      <c r="G122" s="27" t="s">
        <v>202</v>
      </c>
      <c r="H122" s="27" t="s">
        <v>326</v>
      </c>
      <c r="I122" s="27" t="s">
        <v>236</v>
      </c>
      <c r="J122" s="27" t="s">
        <v>139</v>
      </c>
      <c r="K122" s="10">
        <v>40</v>
      </c>
      <c r="L122" s="36" t="s">
        <v>263</v>
      </c>
      <c r="M122" s="37" t="s">
        <v>269</v>
      </c>
      <c r="N122" s="37" t="s">
        <v>270</v>
      </c>
      <c r="O122" s="27"/>
      <c r="P122" s="27"/>
      <c r="Q122" s="27" t="s">
        <v>237</v>
      </c>
      <c r="R122" s="27"/>
      <c r="S122" s="1" t="s">
        <v>264</v>
      </c>
      <c r="T122" s="29" t="s">
        <v>265</v>
      </c>
      <c r="U122" s="27"/>
      <c r="V122" s="27" t="s">
        <v>438</v>
      </c>
      <c r="W122" s="27"/>
    </row>
    <row r="123" spans="1:23" ht="24" customHeight="1">
      <c r="A123" s="27" t="str">
        <f t="shared" ca="1" si="1"/>
        <v>EVT-2026-0121</v>
      </c>
      <c r="B123" s="27">
        <v>2026</v>
      </c>
      <c r="C123" s="27" t="s">
        <v>91</v>
      </c>
      <c r="D123" s="30">
        <v>46063</v>
      </c>
      <c r="E123" s="27" t="s">
        <v>227</v>
      </c>
      <c r="F123" s="27" t="s">
        <v>164</v>
      </c>
      <c r="G123" s="27" t="s">
        <v>202</v>
      </c>
      <c r="H123" s="27" t="s">
        <v>439</v>
      </c>
      <c r="I123" s="27" t="s">
        <v>440</v>
      </c>
      <c r="J123" s="27" t="s">
        <v>152</v>
      </c>
      <c r="K123" s="10">
        <v>1</v>
      </c>
      <c r="L123" s="36" t="s">
        <v>263</v>
      </c>
      <c r="M123" s="37" t="s">
        <v>269</v>
      </c>
      <c r="N123" s="37" t="s">
        <v>270</v>
      </c>
      <c r="O123" s="27"/>
      <c r="P123" s="27"/>
      <c r="Q123" s="27" t="s">
        <v>379</v>
      </c>
      <c r="R123" s="27"/>
      <c r="S123" s="1" t="s">
        <v>264</v>
      </c>
      <c r="T123" s="29" t="s">
        <v>265</v>
      </c>
      <c r="U123" s="27"/>
      <c r="V123" s="27" t="s">
        <v>441</v>
      </c>
      <c r="W123" s="27"/>
    </row>
    <row r="124" spans="1:23" ht="24" customHeight="1">
      <c r="A124" s="27" t="str">
        <f t="shared" ca="1" si="1"/>
        <v>EVT-2026-0122</v>
      </c>
      <c r="B124" s="27">
        <v>2026</v>
      </c>
      <c r="C124" s="27" t="s">
        <v>91</v>
      </c>
      <c r="D124" s="30">
        <v>46063</v>
      </c>
      <c r="E124" s="27" t="s">
        <v>227</v>
      </c>
      <c r="F124" s="27" t="s">
        <v>164</v>
      </c>
      <c r="G124" s="27" t="s">
        <v>202</v>
      </c>
      <c r="H124" s="27" t="s">
        <v>326</v>
      </c>
      <c r="I124" s="27" t="s">
        <v>327</v>
      </c>
      <c r="J124" s="27" t="s">
        <v>177</v>
      </c>
      <c r="K124" s="10">
        <v>25</v>
      </c>
      <c r="L124" s="36" t="s">
        <v>263</v>
      </c>
      <c r="M124" s="37" t="s">
        <v>269</v>
      </c>
      <c r="N124" s="37" t="s">
        <v>270</v>
      </c>
      <c r="O124" s="27" t="s">
        <v>442</v>
      </c>
      <c r="P124" s="27"/>
      <c r="Q124" s="27" t="s">
        <v>237</v>
      </c>
      <c r="R124" s="27"/>
      <c r="S124" s="3" t="s">
        <v>312</v>
      </c>
      <c r="T124" s="29" t="s">
        <v>265</v>
      </c>
      <c r="U124" s="27"/>
      <c r="V124" s="27" t="s">
        <v>443</v>
      </c>
      <c r="W124" s="27"/>
    </row>
    <row r="125" spans="1:23" ht="24" customHeight="1">
      <c r="A125" s="27" t="str">
        <f t="shared" ca="1" si="1"/>
        <v>EVT-2026-0123</v>
      </c>
      <c r="B125" s="27">
        <v>2026</v>
      </c>
      <c r="C125" s="27" t="s">
        <v>91</v>
      </c>
      <c r="D125" s="30">
        <v>46064</v>
      </c>
      <c r="E125" s="27" t="s">
        <v>201</v>
      </c>
      <c r="F125" s="27" t="s">
        <v>164</v>
      </c>
      <c r="G125" s="27" t="s">
        <v>202</v>
      </c>
      <c r="H125" s="27" t="s">
        <v>326</v>
      </c>
      <c r="I125" s="27" t="s">
        <v>327</v>
      </c>
      <c r="J125" s="27" t="s">
        <v>177</v>
      </c>
      <c r="K125" s="10">
        <v>25</v>
      </c>
      <c r="L125" s="36" t="s">
        <v>263</v>
      </c>
      <c r="M125" s="37" t="s">
        <v>269</v>
      </c>
      <c r="N125" s="37" t="s">
        <v>270</v>
      </c>
      <c r="O125" s="27" t="s">
        <v>442</v>
      </c>
      <c r="P125" s="27"/>
      <c r="Q125" s="27" t="s">
        <v>237</v>
      </c>
      <c r="R125" s="27"/>
      <c r="S125" s="3" t="s">
        <v>312</v>
      </c>
      <c r="T125" s="29" t="s">
        <v>265</v>
      </c>
      <c r="U125" s="27"/>
      <c r="V125" s="27"/>
      <c r="W125" s="27"/>
    </row>
    <row r="126" spans="1:23" ht="24" customHeight="1">
      <c r="A126" s="27" t="str">
        <f t="shared" ca="1" si="1"/>
        <v>EVT-2026-0124</v>
      </c>
      <c r="B126" s="27">
        <v>2026</v>
      </c>
      <c r="C126" s="27" t="s">
        <v>91</v>
      </c>
      <c r="D126" s="30">
        <v>46064</v>
      </c>
      <c r="E126" s="27" t="s">
        <v>201</v>
      </c>
      <c r="F126" s="27" t="s">
        <v>164</v>
      </c>
      <c r="G126" s="27" t="s">
        <v>202</v>
      </c>
      <c r="H126" s="27" t="s">
        <v>439</v>
      </c>
      <c r="I126" s="27" t="s">
        <v>440</v>
      </c>
      <c r="J126" s="27" t="s">
        <v>152</v>
      </c>
      <c r="K126" s="10">
        <v>1</v>
      </c>
      <c r="L126" s="36" t="s">
        <v>263</v>
      </c>
      <c r="M126" s="37" t="s">
        <v>269</v>
      </c>
      <c r="N126" s="37" t="s">
        <v>270</v>
      </c>
      <c r="O126" s="27"/>
      <c r="P126" s="27"/>
      <c r="Q126" s="27" t="s">
        <v>379</v>
      </c>
      <c r="R126" s="27"/>
      <c r="S126" s="1" t="s">
        <v>264</v>
      </c>
      <c r="T126" s="29" t="s">
        <v>265</v>
      </c>
      <c r="U126" s="27"/>
      <c r="V126" s="27" t="s">
        <v>441</v>
      </c>
      <c r="W126" s="27"/>
    </row>
    <row r="127" spans="1:23" ht="24" customHeight="1">
      <c r="A127" s="27" t="str">
        <f t="shared" ca="1" si="1"/>
        <v>EVT-2026-0125</v>
      </c>
      <c r="B127" s="27">
        <v>2026</v>
      </c>
      <c r="C127" s="27" t="s">
        <v>91</v>
      </c>
      <c r="D127" s="30">
        <v>46064</v>
      </c>
      <c r="E127" s="27" t="s">
        <v>201</v>
      </c>
      <c r="F127" s="27" t="s">
        <v>164</v>
      </c>
      <c r="G127" s="27" t="s">
        <v>262</v>
      </c>
      <c r="H127" s="27" t="s">
        <v>171</v>
      </c>
      <c r="I127" s="27" t="s">
        <v>444</v>
      </c>
      <c r="J127" s="27" t="s">
        <v>134</v>
      </c>
      <c r="K127" s="10">
        <v>25</v>
      </c>
      <c r="L127" s="36" t="s">
        <v>263</v>
      </c>
      <c r="M127" s="37" t="s">
        <v>429</v>
      </c>
      <c r="N127" s="37" t="s">
        <v>354</v>
      </c>
      <c r="O127" s="27"/>
      <c r="P127" s="27"/>
      <c r="Q127" s="27" t="s">
        <v>445</v>
      </c>
      <c r="R127" s="27"/>
      <c r="S127" s="1" t="s">
        <v>264</v>
      </c>
      <c r="T127" s="29" t="s">
        <v>265</v>
      </c>
      <c r="U127" s="30">
        <v>46059</v>
      </c>
      <c r="V127" s="27" t="s">
        <v>298</v>
      </c>
      <c r="W127" s="27"/>
    </row>
    <row r="128" spans="1:23" ht="24" customHeight="1">
      <c r="A128" s="27" t="str">
        <f t="shared" ca="1" si="1"/>
        <v>EVT-2026-0126</v>
      </c>
      <c r="B128" s="27">
        <v>2026</v>
      </c>
      <c r="C128" s="27" t="s">
        <v>91</v>
      </c>
      <c r="D128" s="30">
        <v>46064</v>
      </c>
      <c r="E128" s="27" t="s">
        <v>201</v>
      </c>
      <c r="F128" s="27" t="s">
        <v>164</v>
      </c>
      <c r="G128" s="27" t="s">
        <v>262</v>
      </c>
      <c r="H128" s="27" t="s">
        <v>171</v>
      </c>
      <c r="I128" s="27" t="s">
        <v>446</v>
      </c>
      <c r="J128" s="27" t="s">
        <v>152</v>
      </c>
      <c r="K128" s="10">
        <v>35</v>
      </c>
      <c r="L128" s="36" t="s">
        <v>263</v>
      </c>
      <c r="M128" s="37" t="s">
        <v>447</v>
      </c>
      <c r="N128" s="37" t="s">
        <v>448</v>
      </c>
      <c r="O128" s="27"/>
      <c r="P128" s="27"/>
      <c r="Q128" s="27" t="s">
        <v>445</v>
      </c>
      <c r="R128" s="27"/>
      <c r="S128" s="1" t="s">
        <v>264</v>
      </c>
      <c r="T128" s="29" t="s">
        <v>265</v>
      </c>
      <c r="U128" s="30">
        <v>46062</v>
      </c>
      <c r="V128" s="27" t="s">
        <v>298</v>
      </c>
      <c r="W128" s="27"/>
    </row>
    <row r="129" spans="1:23" ht="24" customHeight="1">
      <c r="A129" s="27" t="str">
        <f t="shared" ca="1" si="1"/>
        <v>EVT-2026-0127</v>
      </c>
      <c r="B129" s="27">
        <v>2026</v>
      </c>
      <c r="C129" s="27" t="s">
        <v>91</v>
      </c>
      <c r="D129" s="30">
        <v>46064</v>
      </c>
      <c r="E129" s="27" t="s">
        <v>201</v>
      </c>
      <c r="F129" s="27" t="s">
        <v>164</v>
      </c>
      <c r="G129" s="27" t="s">
        <v>262</v>
      </c>
      <c r="H129" s="27" t="s">
        <v>239</v>
      </c>
      <c r="I129" s="27" t="s">
        <v>449</v>
      </c>
      <c r="J129" s="27" t="s">
        <v>177</v>
      </c>
      <c r="K129" s="10">
        <v>60</v>
      </c>
      <c r="L129" s="36" t="s">
        <v>263</v>
      </c>
      <c r="M129" s="37" t="s">
        <v>295</v>
      </c>
      <c r="N129" s="37" t="s">
        <v>296</v>
      </c>
      <c r="O129" s="27"/>
      <c r="P129" s="27"/>
      <c r="Q129" s="27" t="s">
        <v>450</v>
      </c>
      <c r="R129" s="27"/>
      <c r="S129" s="1" t="s">
        <v>264</v>
      </c>
      <c r="T129" s="29" t="s">
        <v>265</v>
      </c>
      <c r="U129" s="27"/>
      <c r="V129" s="27" t="s">
        <v>298</v>
      </c>
      <c r="W129" s="27"/>
    </row>
    <row r="130" spans="1:23" ht="24" customHeight="1">
      <c r="A130" s="27" t="str">
        <f t="shared" ca="1" si="1"/>
        <v>EVT-2026-0128</v>
      </c>
      <c r="B130" s="27">
        <v>2026</v>
      </c>
      <c r="C130" s="27" t="s">
        <v>91</v>
      </c>
      <c r="D130" s="30">
        <v>46064</v>
      </c>
      <c r="E130" s="27" t="s">
        <v>201</v>
      </c>
      <c r="F130" s="27" t="s">
        <v>164</v>
      </c>
      <c r="G130" s="27" t="s">
        <v>202</v>
      </c>
      <c r="H130" s="27" t="s">
        <v>326</v>
      </c>
      <c r="I130" s="27" t="s">
        <v>451</v>
      </c>
      <c r="J130" s="27" t="s">
        <v>152</v>
      </c>
      <c r="K130" s="10">
        <v>30</v>
      </c>
      <c r="L130" s="36" t="s">
        <v>263</v>
      </c>
      <c r="M130" s="37" t="s">
        <v>452</v>
      </c>
      <c r="N130" s="37" t="s">
        <v>453</v>
      </c>
      <c r="O130" s="27"/>
      <c r="P130" s="27"/>
      <c r="Q130" s="27" t="s">
        <v>454</v>
      </c>
      <c r="R130" s="27"/>
      <c r="S130" s="1" t="s">
        <v>264</v>
      </c>
      <c r="T130" s="29" t="s">
        <v>265</v>
      </c>
      <c r="U130" s="27"/>
      <c r="V130" s="27" t="s">
        <v>455</v>
      </c>
      <c r="W130" s="27"/>
    </row>
    <row r="131" spans="1:23" ht="24" customHeight="1">
      <c r="A131" s="27" t="str">
        <f t="shared" ref="A131:A194" ca="1" si="2">IF(OR(D131&lt;&gt;"",H131&lt;&gt;"",I131&lt;&gt;"",Q131&lt;&gt;"",S131&lt;&gt;""), "EVT-" &amp; TEXT(B131, "0000") &amp; "-" &amp; TEXT(COUNTIF(OFFSET($A$1, 1, 0, ROW()-2, 1), "EVT*") + 1, "0000"), "")</f>
        <v>EVT-2026-0129</v>
      </c>
      <c r="B131" s="27">
        <v>2026</v>
      </c>
      <c r="C131" s="27" t="s">
        <v>91</v>
      </c>
      <c r="D131" s="30">
        <v>46065</v>
      </c>
      <c r="E131" s="27" t="s">
        <v>216</v>
      </c>
      <c r="F131" s="27" t="s">
        <v>164</v>
      </c>
      <c r="G131" s="27" t="s">
        <v>202</v>
      </c>
      <c r="H131" s="27" t="s">
        <v>456</v>
      </c>
      <c r="I131" s="27" t="s">
        <v>440</v>
      </c>
      <c r="J131" s="27" t="s">
        <v>152</v>
      </c>
      <c r="K131" s="10">
        <v>1</v>
      </c>
      <c r="L131" s="36" t="s">
        <v>263</v>
      </c>
      <c r="M131" s="37" t="s">
        <v>269</v>
      </c>
      <c r="N131" s="37" t="s">
        <v>270</v>
      </c>
      <c r="O131" s="27"/>
      <c r="P131" s="27"/>
      <c r="Q131" s="27" t="s">
        <v>379</v>
      </c>
      <c r="R131" s="27"/>
      <c r="S131" s="1" t="s">
        <v>264</v>
      </c>
      <c r="T131" s="29" t="s">
        <v>265</v>
      </c>
      <c r="U131" s="27"/>
      <c r="V131" s="27" t="s">
        <v>441</v>
      </c>
      <c r="W131" s="27"/>
    </row>
    <row r="132" spans="1:23" ht="24" customHeight="1">
      <c r="A132" s="27" t="str">
        <f t="shared" ca="1" si="2"/>
        <v>EVT-2026-0130</v>
      </c>
      <c r="B132" s="27">
        <v>2026</v>
      </c>
      <c r="C132" s="27" t="s">
        <v>91</v>
      </c>
      <c r="D132" s="30">
        <v>46065</v>
      </c>
      <c r="E132" s="27" t="s">
        <v>216</v>
      </c>
      <c r="F132" s="27" t="s">
        <v>164</v>
      </c>
      <c r="G132" s="27" t="s">
        <v>262</v>
      </c>
      <c r="H132" s="27" t="s">
        <v>171</v>
      </c>
      <c r="I132" s="27" t="s">
        <v>457</v>
      </c>
      <c r="J132" s="27" t="s">
        <v>158</v>
      </c>
      <c r="K132" s="10">
        <v>100</v>
      </c>
      <c r="L132" s="38" t="s">
        <v>294</v>
      </c>
      <c r="M132" s="37" t="s">
        <v>330</v>
      </c>
      <c r="N132" s="37" t="s">
        <v>275</v>
      </c>
      <c r="O132" s="27"/>
      <c r="P132" s="27"/>
      <c r="Q132" s="27" t="s">
        <v>445</v>
      </c>
      <c r="R132" s="27"/>
      <c r="S132" s="1" t="s">
        <v>264</v>
      </c>
      <c r="T132" s="29" t="s">
        <v>265</v>
      </c>
      <c r="U132" s="27"/>
      <c r="V132" s="27" t="s">
        <v>458</v>
      </c>
      <c r="W132" s="27"/>
    </row>
    <row r="133" spans="1:23" ht="24" customHeight="1">
      <c r="A133" s="27" t="str">
        <f t="shared" ca="1" si="2"/>
        <v>EVT-2026-0131</v>
      </c>
      <c r="B133" s="27">
        <v>2026</v>
      </c>
      <c r="C133" s="27" t="s">
        <v>91</v>
      </c>
      <c r="D133" s="30">
        <v>46065</v>
      </c>
      <c r="E133" s="27" t="s">
        <v>216</v>
      </c>
      <c r="F133" s="27" t="s">
        <v>164</v>
      </c>
      <c r="G133" s="27" t="s">
        <v>262</v>
      </c>
      <c r="H133" s="27" t="s">
        <v>171</v>
      </c>
      <c r="I133" s="27" t="s">
        <v>459</v>
      </c>
      <c r="J133" s="27" t="s">
        <v>177</v>
      </c>
      <c r="K133" s="10">
        <v>100</v>
      </c>
      <c r="L133" s="38" t="s">
        <v>294</v>
      </c>
      <c r="M133" s="37" t="s">
        <v>295</v>
      </c>
      <c r="N133" s="37" t="s">
        <v>460</v>
      </c>
      <c r="O133" s="27"/>
      <c r="P133" s="27"/>
      <c r="Q133" s="27" t="s">
        <v>461</v>
      </c>
      <c r="R133" s="27"/>
      <c r="S133" s="3" t="s">
        <v>312</v>
      </c>
      <c r="T133" s="29" t="s">
        <v>265</v>
      </c>
      <c r="U133" s="27"/>
      <c r="V133" s="27" t="s">
        <v>298</v>
      </c>
      <c r="W133" s="27"/>
    </row>
    <row r="134" spans="1:23" ht="24" customHeight="1">
      <c r="A134" s="27" t="str">
        <f t="shared" ca="1" si="2"/>
        <v>EVT-2026-0132</v>
      </c>
      <c r="B134" s="27">
        <v>2026</v>
      </c>
      <c r="C134" s="27" t="s">
        <v>91</v>
      </c>
      <c r="D134" s="30">
        <v>46065</v>
      </c>
      <c r="E134" s="27" t="s">
        <v>216</v>
      </c>
      <c r="F134" s="27" t="s">
        <v>164</v>
      </c>
      <c r="G134" s="27" t="s">
        <v>202</v>
      </c>
      <c r="H134" s="27" t="s">
        <v>462</v>
      </c>
      <c r="I134" s="27" t="s">
        <v>463</v>
      </c>
      <c r="J134" s="27" t="s">
        <v>177</v>
      </c>
      <c r="K134" s="10">
        <v>25</v>
      </c>
      <c r="L134" s="36" t="s">
        <v>263</v>
      </c>
      <c r="M134" s="37" t="s">
        <v>309</v>
      </c>
      <c r="N134" s="37" t="s">
        <v>270</v>
      </c>
      <c r="O134" s="27"/>
      <c r="P134" s="27"/>
      <c r="Q134" s="27" t="s">
        <v>237</v>
      </c>
      <c r="R134" s="27"/>
      <c r="S134" s="1" t="s">
        <v>264</v>
      </c>
      <c r="T134" s="29" t="s">
        <v>265</v>
      </c>
      <c r="U134" s="27"/>
      <c r="V134" s="27" t="s">
        <v>464</v>
      </c>
      <c r="W134" s="27"/>
    </row>
    <row r="135" spans="1:23" ht="24" customHeight="1">
      <c r="A135" s="27" t="str">
        <f t="shared" ca="1" si="2"/>
        <v>EVT-2026-0133</v>
      </c>
      <c r="B135" s="27">
        <v>2026</v>
      </c>
      <c r="C135" s="27" t="s">
        <v>91</v>
      </c>
      <c r="D135" s="30">
        <v>46066</v>
      </c>
      <c r="E135" s="27" t="s">
        <v>220</v>
      </c>
      <c r="F135" s="27" t="s">
        <v>164</v>
      </c>
      <c r="G135" s="27" t="s">
        <v>202</v>
      </c>
      <c r="H135" s="27" t="s">
        <v>465</v>
      </c>
      <c r="I135" s="27" t="s">
        <v>440</v>
      </c>
      <c r="J135" s="27" t="s">
        <v>152</v>
      </c>
      <c r="K135" s="10">
        <v>1</v>
      </c>
      <c r="L135" s="36" t="s">
        <v>263</v>
      </c>
      <c r="M135" s="37" t="s">
        <v>269</v>
      </c>
      <c r="N135" s="37" t="s">
        <v>270</v>
      </c>
      <c r="O135" s="27"/>
      <c r="P135" s="27"/>
      <c r="Q135" s="27" t="s">
        <v>379</v>
      </c>
      <c r="R135" s="27"/>
      <c r="S135" s="1" t="s">
        <v>264</v>
      </c>
      <c r="T135" s="29" t="s">
        <v>265</v>
      </c>
      <c r="U135" s="27"/>
      <c r="V135" s="27" t="s">
        <v>441</v>
      </c>
      <c r="W135" s="27"/>
    </row>
    <row r="136" spans="1:23" ht="24" customHeight="1">
      <c r="A136" s="27" t="str">
        <f t="shared" ca="1" si="2"/>
        <v>EVT-2026-0134</v>
      </c>
      <c r="B136" s="27">
        <v>2026</v>
      </c>
      <c r="C136" s="27" t="s">
        <v>91</v>
      </c>
      <c r="D136" s="30">
        <v>46066</v>
      </c>
      <c r="E136" s="27" t="s">
        <v>220</v>
      </c>
      <c r="F136" s="27" t="s">
        <v>164</v>
      </c>
      <c r="G136" s="27" t="s">
        <v>262</v>
      </c>
      <c r="H136" s="27" t="s">
        <v>171</v>
      </c>
      <c r="I136" s="27" t="s">
        <v>459</v>
      </c>
      <c r="J136" s="27" t="s">
        <v>177</v>
      </c>
      <c r="K136" s="10">
        <v>70</v>
      </c>
      <c r="L136" s="36" t="s">
        <v>263</v>
      </c>
      <c r="M136" s="37" t="s">
        <v>295</v>
      </c>
      <c r="N136" s="37" t="s">
        <v>290</v>
      </c>
      <c r="O136" s="27"/>
      <c r="P136" s="27"/>
      <c r="Q136" s="27" t="s">
        <v>461</v>
      </c>
      <c r="R136" s="27"/>
      <c r="S136" s="1" t="s">
        <v>264</v>
      </c>
      <c r="T136" s="29" t="s">
        <v>265</v>
      </c>
      <c r="U136" s="27"/>
      <c r="V136" s="27" t="s">
        <v>298</v>
      </c>
      <c r="W136" s="27"/>
    </row>
    <row r="137" spans="1:23" ht="24" customHeight="1">
      <c r="A137" s="27" t="str">
        <f t="shared" ca="1" si="2"/>
        <v>EVT-2026-0135</v>
      </c>
      <c r="B137" s="27">
        <v>2026</v>
      </c>
      <c r="C137" s="27" t="s">
        <v>91</v>
      </c>
      <c r="D137" s="30">
        <v>46067</v>
      </c>
      <c r="E137" s="27" t="s">
        <v>266</v>
      </c>
      <c r="F137" s="27" t="s">
        <v>164</v>
      </c>
      <c r="G137" s="27" t="s">
        <v>262</v>
      </c>
      <c r="H137" s="27" t="s">
        <v>279</v>
      </c>
      <c r="I137" s="27" t="s">
        <v>466</v>
      </c>
      <c r="J137" s="27" t="s">
        <v>145</v>
      </c>
      <c r="K137" s="10">
        <v>0</v>
      </c>
      <c r="L137" s="36" t="s">
        <v>263</v>
      </c>
      <c r="M137" s="37" t="s">
        <v>269</v>
      </c>
      <c r="N137" s="37" t="s">
        <v>270</v>
      </c>
      <c r="O137" s="27"/>
      <c r="P137" s="27"/>
      <c r="Q137" s="27" t="s">
        <v>325</v>
      </c>
      <c r="R137" s="27"/>
      <c r="S137" s="1" t="s">
        <v>264</v>
      </c>
      <c r="T137" s="29" t="s">
        <v>265</v>
      </c>
      <c r="U137" s="27"/>
      <c r="V137" s="27" t="s">
        <v>467</v>
      </c>
      <c r="W137" s="27"/>
    </row>
    <row r="138" spans="1:23" ht="24" customHeight="1">
      <c r="A138" s="27" t="str">
        <f t="shared" ca="1" si="2"/>
        <v>EVT-2026-0136</v>
      </c>
      <c r="B138" s="27">
        <v>2026</v>
      </c>
      <c r="C138" s="27" t="s">
        <v>91</v>
      </c>
      <c r="D138" s="30">
        <v>46068</v>
      </c>
      <c r="E138" s="27" t="s">
        <v>267</v>
      </c>
      <c r="F138" s="27" t="s">
        <v>164</v>
      </c>
      <c r="G138" s="27" t="s">
        <v>262</v>
      </c>
      <c r="H138" s="27"/>
      <c r="I138" s="27"/>
      <c r="J138" s="27" t="s">
        <v>177</v>
      </c>
      <c r="K138" s="10">
        <v>0</v>
      </c>
      <c r="L138" s="36" t="s">
        <v>263</v>
      </c>
      <c r="M138" s="37"/>
      <c r="N138" s="37"/>
      <c r="O138" s="27"/>
      <c r="P138" s="27"/>
      <c r="Q138" s="27"/>
      <c r="R138" s="27"/>
      <c r="S138" s="1" t="s">
        <v>264</v>
      </c>
      <c r="T138" s="29" t="s">
        <v>265</v>
      </c>
      <c r="U138" s="27"/>
      <c r="V138" s="27"/>
      <c r="W138" s="27"/>
    </row>
    <row r="139" spans="1:23" ht="24" customHeight="1">
      <c r="A139" s="27" t="str">
        <f t="shared" ca="1" si="2"/>
        <v>EVT-2026-0137</v>
      </c>
      <c r="B139" s="27">
        <v>2026</v>
      </c>
      <c r="C139" s="27" t="s">
        <v>91</v>
      </c>
      <c r="D139" s="30">
        <v>46069</v>
      </c>
      <c r="E139" s="27" t="s">
        <v>224</v>
      </c>
      <c r="F139" s="27" t="s">
        <v>164</v>
      </c>
      <c r="G139" s="27" t="s">
        <v>202</v>
      </c>
      <c r="H139" s="27" t="s">
        <v>326</v>
      </c>
      <c r="I139" s="27" t="s">
        <v>236</v>
      </c>
      <c r="J139" s="27" t="s">
        <v>139</v>
      </c>
      <c r="K139" s="10">
        <v>40</v>
      </c>
      <c r="L139" s="36" t="s">
        <v>263</v>
      </c>
      <c r="M139" s="37" t="s">
        <v>269</v>
      </c>
      <c r="N139" s="37" t="s">
        <v>270</v>
      </c>
      <c r="O139" s="27"/>
      <c r="P139" s="27"/>
      <c r="Q139" s="27" t="s">
        <v>237</v>
      </c>
      <c r="R139" s="27"/>
      <c r="S139" s="1" t="s">
        <v>264</v>
      </c>
      <c r="T139" s="29" t="s">
        <v>265</v>
      </c>
      <c r="U139" s="27"/>
      <c r="V139" s="27" t="s">
        <v>468</v>
      </c>
      <c r="W139" s="27"/>
    </row>
    <row r="140" spans="1:23" ht="24" customHeight="1">
      <c r="A140" s="27" t="str">
        <f t="shared" ca="1" si="2"/>
        <v>EVT-2026-0138</v>
      </c>
      <c r="B140" s="27">
        <v>2026</v>
      </c>
      <c r="C140" s="27" t="s">
        <v>91</v>
      </c>
      <c r="D140" s="30">
        <v>46070</v>
      </c>
      <c r="E140" s="27" t="s">
        <v>227</v>
      </c>
      <c r="F140" s="27" t="s">
        <v>164</v>
      </c>
      <c r="G140" s="27" t="s">
        <v>202</v>
      </c>
      <c r="H140" s="27" t="s">
        <v>462</v>
      </c>
      <c r="I140" s="27" t="s">
        <v>327</v>
      </c>
      <c r="J140" s="27" t="s">
        <v>177</v>
      </c>
      <c r="K140" s="10">
        <v>25</v>
      </c>
      <c r="L140" s="36" t="s">
        <v>263</v>
      </c>
      <c r="M140" s="37" t="s">
        <v>269</v>
      </c>
      <c r="N140" s="37" t="s">
        <v>270</v>
      </c>
      <c r="O140" s="27" t="s">
        <v>469</v>
      </c>
      <c r="P140" s="27"/>
      <c r="Q140" s="27" t="s">
        <v>237</v>
      </c>
      <c r="R140" s="27"/>
      <c r="S140" s="1" t="s">
        <v>264</v>
      </c>
      <c r="T140" s="29" t="s">
        <v>265</v>
      </c>
      <c r="U140" s="27"/>
      <c r="V140" s="27" t="s">
        <v>470</v>
      </c>
      <c r="W140" s="27"/>
    </row>
    <row r="141" spans="1:23" ht="24" customHeight="1">
      <c r="A141" s="27" t="str">
        <f t="shared" ca="1" si="2"/>
        <v>EVT-2026-0139</v>
      </c>
      <c r="B141" s="27">
        <v>2026</v>
      </c>
      <c r="C141" s="27" t="s">
        <v>91</v>
      </c>
      <c r="D141" s="30">
        <v>46071</v>
      </c>
      <c r="E141" s="27" t="s">
        <v>201</v>
      </c>
      <c r="F141" s="27" t="s">
        <v>164</v>
      </c>
      <c r="G141" s="27" t="s">
        <v>202</v>
      </c>
      <c r="H141" s="27" t="s">
        <v>462</v>
      </c>
      <c r="I141" s="27" t="s">
        <v>327</v>
      </c>
      <c r="J141" s="27" t="s">
        <v>177</v>
      </c>
      <c r="K141" s="10">
        <v>25</v>
      </c>
      <c r="L141" s="36" t="s">
        <v>263</v>
      </c>
      <c r="M141" s="37" t="s">
        <v>269</v>
      </c>
      <c r="N141" s="37" t="s">
        <v>270</v>
      </c>
      <c r="O141" s="27" t="s">
        <v>469</v>
      </c>
      <c r="P141" s="27"/>
      <c r="Q141" s="27" t="s">
        <v>237</v>
      </c>
      <c r="R141" s="27"/>
      <c r="S141" s="1" t="s">
        <v>264</v>
      </c>
      <c r="T141" s="29" t="s">
        <v>265</v>
      </c>
      <c r="U141" s="27"/>
      <c r="V141" s="27" t="s">
        <v>471</v>
      </c>
      <c r="W141" s="27"/>
    </row>
    <row r="142" spans="1:23" ht="24" customHeight="1">
      <c r="A142" s="27" t="str">
        <f t="shared" ca="1" si="2"/>
        <v>EVT-2026-0140</v>
      </c>
      <c r="B142" s="27">
        <v>2026</v>
      </c>
      <c r="C142" s="27" t="s">
        <v>91</v>
      </c>
      <c r="D142" s="30">
        <v>46073</v>
      </c>
      <c r="E142" s="27" t="s">
        <v>220</v>
      </c>
      <c r="F142" s="27" t="s">
        <v>164</v>
      </c>
      <c r="G142" s="27" t="s">
        <v>202</v>
      </c>
      <c r="H142" s="27" t="s">
        <v>472</v>
      </c>
      <c r="I142" s="27" t="s">
        <v>299</v>
      </c>
      <c r="J142" s="27" t="s">
        <v>177</v>
      </c>
      <c r="K142" s="10">
        <v>35</v>
      </c>
      <c r="L142" s="36" t="s">
        <v>263</v>
      </c>
      <c r="M142" s="37" t="s">
        <v>289</v>
      </c>
      <c r="N142" s="37" t="s">
        <v>290</v>
      </c>
      <c r="O142" s="27"/>
      <c r="P142" s="27"/>
      <c r="Q142" s="27" t="s">
        <v>237</v>
      </c>
      <c r="R142" s="27"/>
      <c r="S142" s="1" t="s">
        <v>264</v>
      </c>
      <c r="T142" s="29" t="s">
        <v>265</v>
      </c>
      <c r="U142" s="27"/>
      <c r="V142" s="27" t="s">
        <v>307</v>
      </c>
      <c r="W142" s="27"/>
    </row>
    <row r="143" spans="1:23" ht="24" customHeight="1">
      <c r="A143" s="27" t="str">
        <f t="shared" ca="1" si="2"/>
        <v>EVT-2026-0141</v>
      </c>
      <c r="B143" s="27">
        <v>2026</v>
      </c>
      <c r="C143" s="27" t="s">
        <v>91</v>
      </c>
      <c r="D143" s="30">
        <v>46073</v>
      </c>
      <c r="E143" s="27" t="s">
        <v>220</v>
      </c>
      <c r="F143" s="27" t="s">
        <v>164</v>
      </c>
      <c r="G143" s="27" t="s">
        <v>262</v>
      </c>
      <c r="H143" s="27" t="s">
        <v>473</v>
      </c>
      <c r="I143" s="27" t="s">
        <v>474</v>
      </c>
      <c r="J143" s="27" t="s">
        <v>177</v>
      </c>
      <c r="K143" s="10">
        <v>120</v>
      </c>
      <c r="L143" s="38" t="s">
        <v>294</v>
      </c>
      <c r="M143" s="37" t="s">
        <v>295</v>
      </c>
      <c r="N143" s="37" t="s">
        <v>296</v>
      </c>
      <c r="O143" s="27"/>
      <c r="P143" s="27"/>
      <c r="Q143" s="27" t="s">
        <v>450</v>
      </c>
      <c r="R143" s="27"/>
      <c r="S143" s="1" t="s">
        <v>264</v>
      </c>
      <c r="T143" s="29" t="s">
        <v>265</v>
      </c>
      <c r="U143" s="27"/>
      <c r="V143" s="27" t="s">
        <v>298</v>
      </c>
      <c r="W143" s="27"/>
    </row>
    <row r="144" spans="1:23" ht="24" customHeight="1">
      <c r="A144" s="27" t="str">
        <f t="shared" ca="1" si="2"/>
        <v>EVT-2026-0142</v>
      </c>
      <c r="B144" s="27">
        <v>2026</v>
      </c>
      <c r="C144" s="27" t="s">
        <v>91</v>
      </c>
      <c r="D144" s="30">
        <v>46074</v>
      </c>
      <c r="E144" s="27" t="s">
        <v>266</v>
      </c>
      <c r="F144" s="27" t="s">
        <v>164</v>
      </c>
      <c r="G144" s="27" t="s">
        <v>262</v>
      </c>
      <c r="H144" s="27" t="s">
        <v>279</v>
      </c>
      <c r="I144" s="27"/>
      <c r="J144" s="27" t="s">
        <v>145</v>
      </c>
      <c r="K144" s="10">
        <v>0</v>
      </c>
      <c r="L144" s="36" t="s">
        <v>263</v>
      </c>
      <c r="M144" s="37" t="s">
        <v>269</v>
      </c>
      <c r="N144" s="37" t="s">
        <v>270</v>
      </c>
      <c r="O144" s="27"/>
      <c r="P144" s="27"/>
      <c r="Q144" s="27" t="s">
        <v>475</v>
      </c>
      <c r="R144" s="27"/>
      <c r="S144" s="1" t="s">
        <v>264</v>
      </c>
      <c r="T144" s="29" t="s">
        <v>265</v>
      </c>
      <c r="U144" s="30">
        <v>46030</v>
      </c>
      <c r="V144" s="27"/>
      <c r="W144" s="27"/>
    </row>
    <row r="145" spans="1:23" ht="24" customHeight="1">
      <c r="A145" s="27" t="str">
        <f t="shared" ca="1" si="2"/>
        <v>EVT-2026-0143</v>
      </c>
      <c r="B145" s="27">
        <v>2026</v>
      </c>
      <c r="C145" s="27" t="s">
        <v>91</v>
      </c>
      <c r="D145" s="30">
        <v>46075</v>
      </c>
      <c r="E145" s="27" t="s">
        <v>267</v>
      </c>
      <c r="F145" s="27" t="s">
        <v>164</v>
      </c>
      <c r="G145" s="27" t="s">
        <v>262</v>
      </c>
      <c r="H145" s="27"/>
      <c r="I145" s="27"/>
      <c r="J145" s="27" t="s">
        <v>177</v>
      </c>
      <c r="K145" s="10">
        <v>0</v>
      </c>
      <c r="L145" s="36" t="s">
        <v>263</v>
      </c>
      <c r="M145" s="37"/>
      <c r="N145" s="37"/>
      <c r="O145" s="27"/>
      <c r="P145" s="27"/>
      <c r="Q145" s="27"/>
      <c r="R145" s="27"/>
      <c r="S145" s="1" t="s">
        <v>264</v>
      </c>
      <c r="T145" s="29" t="s">
        <v>265</v>
      </c>
      <c r="U145" s="27"/>
      <c r="V145" s="27"/>
      <c r="W145" s="27"/>
    </row>
    <row r="146" spans="1:23" ht="24" customHeight="1">
      <c r="A146" s="27" t="str">
        <f t="shared" ca="1" si="2"/>
        <v>EVT-2026-0144</v>
      </c>
      <c r="B146" s="27">
        <v>2026</v>
      </c>
      <c r="C146" s="27" t="s">
        <v>91</v>
      </c>
      <c r="D146" s="30">
        <v>46076</v>
      </c>
      <c r="E146" s="27" t="s">
        <v>224</v>
      </c>
      <c r="F146" s="27" t="s">
        <v>164</v>
      </c>
      <c r="G146" s="27" t="s">
        <v>202</v>
      </c>
      <c r="H146" s="27" t="s">
        <v>326</v>
      </c>
      <c r="I146" s="27" t="s">
        <v>236</v>
      </c>
      <c r="J146" s="27" t="s">
        <v>139</v>
      </c>
      <c r="K146" s="10">
        <v>35</v>
      </c>
      <c r="L146" s="36" t="s">
        <v>263</v>
      </c>
      <c r="M146" s="37" t="s">
        <v>269</v>
      </c>
      <c r="N146" s="37" t="s">
        <v>270</v>
      </c>
      <c r="O146" s="27" t="s">
        <v>271</v>
      </c>
      <c r="P146" s="27"/>
      <c r="Q146" s="27" t="s">
        <v>237</v>
      </c>
      <c r="R146" s="27"/>
      <c r="S146" s="1" t="s">
        <v>264</v>
      </c>
      <c r="T146" s="29" t="s">
        <v>265</v>
      </c>
      <c r="U146" s="27"/>
      <c r="V146" s="27" t="s">
        <v>476</v>
      </c>
      <c r="W146" s="27"/>
    </row>
    <row r="147" spans="1:23" ht="24" customHeight="1">
      <c r="A147" s="27" t="str">
        <f t="shared" ca="1" si="2"/>
        <v>EVT-2026-0145</v>
      </c>
      <c r="B147" s="27">
        <v>2026</v>
      </c>
      <c r="C147" s="27" t="s">
        <v>91</v>
      </c>
      <c r="D147" s="30">
        <v>46077</v>
      </c>
      <c r="E147" s="27" t="s">
        <v>227</v>
      </c>
      <c r="F147" s="27" t="s">
        <v>164</v>
      </c>
      <c r="G147" s="27" t="s">
        <v>262</v>
      </c>
      <c r="H147" s="27" t="s">
        <v>477</v>
      </c>
      <c r="I147" s="27" t="s">
        <v>478</v>
      </c>
      <c r="J147" s="27" t="s">
        <v>177</v>
      </c>
      <c r="K147" s="10">
        <v>0</v>
      </c>
      <c r="L147" s="36" t="s">
        <v>263</v>
      </c>
      <c r="M147" s="37" t="s">
        <v>269</v>
      </c>
      <c r="N147" s="37" t="s">
        <v>270</v>
      </c>
      <c r="O147" s="27"/>
      <c r="P147" s="27"/>
      <c r="Q147" s="27" t="s">
        <v>479</v>
      </c>
      <c r="R147" s="27"/>
      <c r="S147" s="1" t="s">
        <v>264</v>
      </c>
      <c r="T147" s="29" t="s">
        <v>265</v>
      </c>
      <c r="U147" s="27"/>
      <c r="V147" s="27" t="s">
        <v>480</v>
      </c>
      <c r="W147" s="27"/>
    </row>
    <row r="148" spans="1:23" ht="24" customHeight="1">
      <c r="A148" s="27" t="str">
        <f t="shared" ca="1" si="2"/>
        <v>EVT-2026-0146</v>
      </c>
      <c r="B148" s="27">
        <v>2026</v>
      </c>
      <c r="C148" s="27" t="s">
        <v>91</v>
      </c>
      <c r="D148" s="30">
        <v>46078</v>
      </c>
      <c r="E148" s="27" t="s">
        <v>201</v>
      </c>
      <c r="F148" s="27" t="s">
        <v>164</v>
      </c>
      <c r="G148" s="27" t="s">
        <v>202</v>
      </c>
      <c r="H148" s="27" t="s">
        <v>326</v>
      </c>
      <c r="I148" s="27" t="s">
        <v>481</v>
      </c>
      <c r="J148" s="27" t="s">
        <v>177</v>
      </c>
      <c r="K148" s="10">
        <v>25</v>
      </c>
      <c r="L148" s="36" t="s">
        <v>263</v>
      </c>
      <c r="M148" s="37" t="s">
        <v>309</v>
      </c>
      <c r="N148" s="37" t="s">
        <v>270</v>
      </c>
      <c r="O148" s="27"/>
      <c r="P148" s="27"/>
      <c r="Q148" s="27" t="s">
        <v>237</v>
      </c>
      <c r="R148" s="27"/>
      <c r="S148" s="1" t="s">
        <v>264</v>
      </c>
      <c r="T148" s="29" t="s">
        <v>265</v>
      </c>
      <c r="U148" s="27"/>
      <c r="V148" s="27" t="s">
        <v>436</v>
      </c>
      <c r="W148" s="27"/>
    </row>
    <row r="149" spans="1:23" ht="24" customHeight="1">
      <c r="A149" s="27" t="str">
        <f t="shared" ca="1" si="2"/>
        <v>EVT-2026-0147</v>
      </c>
      <c r="B149" s="27">
        <v>2026</v>
      </c>
      <c r="C149" s="27" t="s">
        <v>91</v>
      </c>
      <c r="D149" s="30">
        <v>46078</v>
      </c>
      <c r="E149" s="27" t="s">
        <v>201</v>
      </c>
      <c r="F149" s="27" t="s">
        <v>164</v>
      </c>
      <c r="G149" s="27" t="s">
        <v>262</v>
      </c>
      <c r="H149" s="27" t="s">
        <v>477</v>
      </c>
      <c r="I149" s="27" t="s">
        <v>482</v>
      </c>
      <c r="J149" s="27" t="s">
        <v>177</v>
      </c>
      <c r="K149" s="10">
        <v>60</v>
      </c>
      <c r="L149" s="36" t="s">
        <v>263</v>
      </c>
      <c r="M149" s="37" t="s">
        <v>483</v>
      </c>
      <c r="N149" s="37" t="s">
        <v>270</v>
      </c>
      <c r="O149" s="27"/>
      <c r="P149" s="27"/>
      <c r="Q149" s="27" t="s">
        <v>484</v>
      </c>
      <c r="R149" s="27"/>
      <c r="S149" s="1" t="s">
        <v>264</v>
      </c>
      <c r="T149" s="29" t="s">
        <v>265</v>
      </c>
      <c r="U149" s="27"/>
      <c r="V149" s="27" t="s">
        <v>485</v>
      </c>
      <c r="W149" s="27"/>
    </row>
    <row r="150" spans="1:23" ht="24" customHeight="1">
      <c r="A150" s="27" t="str">
        <f t="shared" ca="1" si="2"/>
        <v>EVT-2026-0148</v>
      </c>
      <c r="B150" s="27">
        <v>2026</v>
      </c>
      <c r="C150" s="27" t="s">
        <v>91</v>
      </c>
      <c r="D150" s="30">
        <v>46078</v>
      </c>
      <c r="E150" s="27" t="s">
        <v>201</v>
      </c>
      <c r="F150" s="27" t="s">
        <v>164</v>
      </c>
      <c r="G150" s="27" t="s">
        <v>262</v>
      </c>
      <c r="H150" s="27" t="s">
        <v>486</v>
      </c>
      <c r="I150" s="27" t="s">
        <v>487</v>
      </c>
      <c r="J150" s="27" t="s">
        <v>127</v>
      </c>
      <c r="K150" s="10">
        <v>150</v>
      </c>
      <c r="L150" s="38" t="s">
        <v>294</v>
      </c>
      <c r="M150" s="37" t="s">
        <v>295</v>
      </c>
      <c r="N150" s="37" t="s">
        <v>290</v>
      </c>
      <c r="O150" s="27"/>
      <c r="P150" s="27"/>
      <c r="Q150" s="27" t="s">
        <v>461</v>
      </c>
      <c r="R150" s="27"/>
      <c r="S150" s="3" t="s">
        <v>312</v>
      </c>
      <c r="T150" s="29" t="s">
        <v>265</v>
      </c>
      <c r="U150" s="27"/>
      <c r="V150" s="27" t="s">
        <v>488</v>
      </c>
      <c r="W150" s="27"/>
    </row>
    <row r="151" spans="1:23" ht="24" customHeight="1">
      <c r="A151" s="27" t="str">
        <f t="shared" ca="1" si="2"/>
        <v>EVT-2026-0149</v>
      </c>
      <c r="B151" s="27">
        <v>2026</v>
      </c>
      <c r="C151" s="27" t="s">
        <v>91</v>
      </c>
      <c r="D151" s="30">
        <v>46079</v>
      </c>
      <c r="E151" s="27" t="s">
        <v>216</v>
      </c>
      <c r="F151" s="27" t="s">
        <v>164</v>
      </c>
      <c r="G151" s="27" t="s">
        <v>202</v>
      </c>
      <c r="H151" s="27" t="s">
        <v>326</v>
      </c>
      <c r="I151" s="27" t="s">
        <v>481</v>
      </c>
      <c r="J151" s="27" t="s">
        <v>177</v>
      </c>
      <c r="K151" s="10">
        <v>25</v>
      </c>
      <c r="L151" s="36" t="s">
        <v>263</v>
      </c>
      <c r="M151" s="37" t="s">
        <v>309</v>
      </c>
      <c r="N151" s="37" t="s">
        <v>270</v>
      </c>
      <c r="O151" s="27"/>
      <c r="P151" s="27"/>
      <c r="Q151" s="27" t="s">
        <v>237</v>
      </c>
      <c r="R151" s="27"/>
      <c r="S151" s="1" t="s">
        <v>264</v>
      </c>
      <c r="T151" s="29" t="s">
        <v>265</v>
      </c>
      <c r="U151" s="27"/>
      <c r="V151" s="27" t="s">
        <v>436</v>
      </c>
      <c r="W151" s="27"/>
    </row>
    <row r="152" spans="1:23" ht="24" customHeight="1">
      <c r="A152" s="27" t="str">
        <f t="shared" ca="1" si="2"/>
        <v>EVT-2026-0150</v>
      </c>
      <c r="B152" s="27">
        <v>2026</v>
      </c>
      <c r="C152" s="27" t="s">
        <v>91</v>
      </c>
      <c r="D152" s="30">
        <v>46079</v>
      </c>
      <c r="E152" s="27" t="s">
        <v>216</v>
      </c>
      <c r="F152" s="27" t="s">
        <v>164</v>
      </c>
      <c r="G152" s="27" t="s">
        <v>262</v>
      </c>
      <c r="H152" s="27" t="s">
        <v>489</v>
      </c>
      <c r="I152" s="27" t="s">
        <v>490</v>
      </c>
      <c r="J152" s="27" t="s">
        <v>127</v>
      </c>
      <c r="K152" s="10">
        <v>100</v>
      </c>
      <c r="L152" s="38" t="s">
        <v>294</v>
      </c>
      <c r="M152" s="37" t="s">
        <v>274</v>
      </c>
      <c r="N152" s="37" t="s">
        <v>429</v>
      </c>
      <c r="O152" s="27"/>
      <c r="P152" s="27"/>
      <c r="Q152" s="27" t="s">
        <v>491</v>
      </c>
      <c r="R152" s="27"/>
      <c r="S152" s="1" t="s">
        <v>264</v>
      </c>
      <c r="T152" s="29" t="s">
        <v>265</v>
      </c>
      <c r="U152" s="27"/>
      <c r="V152" s="27" t="s">
        <v>298</v>
      </c>
      <c r="W152" s="27"/>
    </row>
    <row r="153" spans="1:23" ht="24" customHeight="1">
      <c r="A153" s="27" t="str">
        <f t="shared" ca="1" si="2"/>
        <v>EVT-2026-0151</v>
      </c>
      <c r="B153" s="27">
        <v>2026</v>
      </c>
      <c r="C153" s="27" t="s">
        <v>91</v>
      </c>
      <c r="D153" s="30">
        <v>46080</v>
      </c>
      <c r="E153" s="27" t="s">
        <v>220</v>
      </c>
      <c r="F153" s="27" t="s">
        <v>164</v>
      </c>
      <c r="G153" s="27" t="s">
        <v>262</v>
      </c>
      <c r="H153" s="27" t="s">
        <v>486</v>
      </c>
      <c r="I153" s="27" t="s">
        <v>492</v>
      </c>
      <c r="J153" s="27" t="s">
        <v>177</v>
      </c>
      <c r="K153" s="10">
        <v>120</v>
      </c>
      <c r="L153" s="38" t="s">
        <v>294</v>
      </c>
      <c r="M153" s="37" t="s">
        <v>295</v>
      </c>
      <c r="N153" s="37" t="s">
        <v>296</v>
      </c>
      <c r="O153" s="27"/>
      <c r="P153" s="27"/>
      <c r="Q153" s="27" t="s">
        <v>450</v>
      </c>
      <c r="R153" s="27"/>
      <c r="S153" s="1" t="s">
        <v>264</v>
      </c>
      <c r="T153" s="29" t="s">
        <v>265</v>
      </c>
      <c r="U153" s="27"/>
      <c r="V153" s="27" t="s">
        <v>493</v>
      </c>
      <c r="W153" s="27"/>
    </row>
    <row r="154" spans="1:23" ht="24" customHeight="1">
      <c r="A154" s="27" t="str">
        <f t="shared" ca="1" si="2"/>
        <v>EVT-2026-0152</v>
      </c>
      <c r="B154" s="27">
        <v>2026</v>
      </c>
      <c r="C154" s="27" t="s">
        <v>91</v>
      </c>
      <c r="D154" s="30">
        <v>46081</v>
      </c>
      <c r="E154" s="27" t="s">
        <v>266</v>
      </c>
      <c r="F154" s="27" t="s">
        <v>164</v>
      </c>
      <c r="G154" s="27" t="s">
        <v>262</v>
      </c>
      <c r="H154" s="27"/>
      <c r="I154" s="27" t="s">
        <v>300</v>
      </c>
      <c r="J154" s="27" t="s">
        <v>145</v>
      </c>
      <c r="K154" s="10">
        <v>0</v>
      </c>
      <c r="L154" s="36" t="s">
        <v>263</v>
      </c>
      <c r="M154" s="37" t="s">
        <v>281</v>
      </c>
      <c r="N154" s="37" t="s">
        <v>270</v>
      </c>
      <c r="O154" s="27"/>
      <c r="P154" s="27"/>
      <c r="Q154" s="27" t="s">
        <v>494</v>
      </c>
      <c r="R154" s="27"/>
      <c r="S154" s="1" t="s">
        <v>264</v>
      </c>
      <c r="T154" s="29" t="s">
        <v>265</v>
      </c>
      <c r="U154" s="30">
        <v>46073</v>
      </c>
      <c r="V154" s="27" t="s">
        <v>495</v>
      </c>
      <c r="W154" s="27"/>
    </row>
    <row r="155" spans="1:23" ht="24" customHeight="1">
      <c r="A155" s="27" t="str">
        <f t="shared" ca="1" si="2"/>
        <v>EVT-2026-0153</v>
      </c>
      <c r="B155" s="27">
        <v>2026</v>
      </c>
      <c r="C155" s="27" t="s">
        <v>91</v>
      </c>
      <c r="D155" s="27"/>
      <c r="E155" s="27"/>
      <c r="F155" s="27" t="s">
        <v>164</v>
      </c>
      <c r="G155" s="27" t="s">
        <v>262</v>
      </c>
      <c r="H155" s="27"/>
      <c r="I155" s="27"/>
      <c r="J155" s="27" t="s">
        <v>177</v>
      </c>
      <c r="K155" s="10">
        <v>0</v>
      </c>
      <c r="L155" s="36" t="s">
        <v>263</v>
      </c>
      <c r="M155" s="37"/>
      <c r="N155" s="37"/>
      <c r="O155" s="27"/>
      <c r="P155" s="27"/>
      <c r="Q155" s="27"/>
      <c r="R155" s="27"/>
      <c r="S155" s="1" t="s">
        <v>264</v>
      </c>
      <c r="T155" s="29" t="s">
        <v>265</v>
      </c>
      <c r="U155" s="27"/>
      <c r="V155" s="27"/>
      <c r="W155" s="27"/>
    </row>
    <row r="156" spans="1:23" ht="24" customHeight="1">
      <c r="A156" s="27" t="str">
        <f t="shared" ca="1" si="2"/>
        <v>EVT-2026-0154</v>
      </c>
      <c r="B156" s="27">
        <v>2026</v>
      </c>
      <c r="C156" s="27" t="s">
        <v>91</v>
      </c>
      <c r="D156" s="27"/>
      <c r="E156" s="27"/>
      <c r="F156" s="27" t="s">
        <v>164</v>
      </c>
      <c r="G156" s="27" t="s">
        <v>262</v>
      </c>
      <c r="H156" s="27"/>
      <c r="I156" s="27"/>
      <c r="J156" s="27" t="s">
        <v>177</v>
      </c>
      <c r="K156" s="10">
        <v>0</v>
      </c>
      <c r="L156" s="36" t="s">
        <v>263</v>
      </c>
      <c r="M156" s="37"/>
      <c r="N156" s="37"/>
      <c r="O156" s="27"/>
      <c r="P156" s="27"/>
      <c r="Q156" s="27"/>
      <c r="R156" s="27"/>
      <c r="S156" s="1" t="s">
        <v>264</v>
      </c>
      <c r="T156" s="29" t="s">
        <v>265</v>
      </c>
      <c r="U156" s="27"/>
      <c r="V156" s="27"/>
      <c r="W156" s="27"/>
    </row>
    <row r="157" spans="1:23" ht="24" customHeight="1">
      <c r="A157" s="27" t="str">
        <f t="shared" ca="1" si="2"/>
        <v>EVT-2026-0155</v>
      </c>
      <c r="B157" s="27">
        <v>2026</v>
      </c>
      <c r="C157" s="27" t="s">
        <v>91</v>
      </c>
      <c r="D157" s="27"/>
      <c r="E157" s="27"/>
      <c r="F157" s="27" t="s">
        <v>164</v>
      </c>
      <c r="G157" s="27" t="s">
        <v>262</v>
      </c>
      <c r="H157" s="27"/>
      <c r="I157" s="27"/>
      <c r="J157" s="27" t="s">
        <v>177</v>
      </c>
      <c r="K157" s="10">
        <v>0</v>
      </c>
      <c r="L157" s="36" t="s">
        <v>263</v>
      </c>
      <c r="M157" s="37"/>
      <c r="N157" s="37"/>
      <c r="O157" s="27"/>
      <c r="P157" s="27"/>
      <c r="Q157" s="27"/>
      <c r="R157" s="27"/>
      <c r="S157" s="1" t="s">
        <v>264</v>
      </c>
      <c r="T157" s="29" t="s">
        <v>265</v>
      </c>
      <c r="U157" s="27"/>
      <c r="V157" s="27"/>
      <c r="W157" s="27"/>
    </row>
    <row r="158" spans="1:23" ht="24" customHeight="1">
      <c r="A158" s="27" t="str">
        <f t="shared" ca="1" si="2"/>
        <v>EVT-2026-0156</v>
      </c>
      <c r="B158" s="27">
        <v>2026</v>
      </c>
      <c r="C158" s="27" t="s">
        <v>91</v>
      </c>
      <c r="D158" s="27"/>
      <c r="E158" s="27"/>
      <c r="F158" s="27" t="s">
        <v>164</v>
      </c>
      <c r="G158" s="27" t="s">
        <v>262</v>
      </c>
      <c r="H158" s="27"/>
      <c r="I158" s="27"/>
      <c r="J158" s="27" t="s">
        <v>177</v>
      </c>
      <c r="K158" s="10">
        <v>0</v>
      </c>
      <c r="L158" s="36" t="s">
        <v>263</v>
      </c>
      <c r="M158" s="37"/>
      <c r="N158" s="37"/>
      <c r="O158" s="27"/>
      <c r="P158" s="27"/>
      <c r="Q158" s="27"/>
      <c r="R158" s="27"/>
      <c r="S158" s="1" t="s">
        <v>264</v>
      </c>
      <c r="T158" s="29" t="s">
        <v>265</v>
      </c>
      <c r="U158" s="27"/>
      <c r="V158" s="27"/>
      <c r="W158" s="27"/>
    </row>
    <row r="159" spans="1:23" ht="24" customHeight="1">
      <c r="A159" s="27" t="str">
        <f t="shared" ca="1" si="2"/>
        <v>EVT-2026-0157</v>
      </c>
      <c r="B159" s="27">
        <v>2026</v>
      </c>
      <c r="C159" s="27" t="s">
        <v>91</v>
      </c>
      <c r="D159" s="27"/>
      <c r="E159" s="27"/>
      <c r="F159" s="27" t="s">
        <v>164</v>
      </c>
      <c r="G159" s="27" t="s">
        <v>262</v>
      </c>
      <c r="H159" s="27"/>
      <c r="I159" s="27"/>
      <c r="J159" s="27" t="s">
        <v>177</v>
      </c>
      <c r="K159" s="10">
        <v>0</v>
      </c>
      <c r="L159" s="36" t="s">
        <v>263</v>
      </c>
      <c r="M159" s="37"/>
      <c r="N159" s="37"/>
      <c r="O159" s="27"/>
      <c r="P159" s="27"/>
      <c r="Q159" s="27"/>
      <c r="R159" s="27"/>
      <c r="S159" s="1" t="s">
        <v>264</v>
      </c>
      <c r="T159" s="29" t="s">
        <v>265</v>
      </c>
      <c r="U159" s="27"/>
      <c r="V159" s="27"/>
      <c r="W159" s="27"/>
    </row>
    <row r="160" spans="1:23" ht="24" customHeight="1">
      <c r="A160" s="27" t="str">
        <f t="shared" ca="1" si="2"/>
        <v>EVT-2026-0158</v>
      </c>
      <c r="B160" s="27">
        <v>2026</v>
      </c>
      <c r="C160" s="27" t="s">
        <v>91</v>
      </c>
      <c r="D160" s="30">
        <v>46054</v>
      </c>
      <c r="E160" s="27" t="s">
        <v>267</v>
      </c>
      <c r="F160" s="27" t="s">
        <v>126</v>
      </c>
      <c r="G160" s="27"/>
      <c r="H160" s="27"/>
      <c r="I160" s="27"/>
      <c r="J160" s="27" t="s">
        <v>177</v>
      </c>
      <c r="K160" s="10">
        <v>0</v>
      </c>
      <c r="L160" s="36" t="s">
        <v>263</v>
      </c>
      <c r="M160" s="37"/>
      <c r="N160" s="37"/>
      <c r="O160" s="27"/>
      <c r="P160" s="27"/>
      <c r="Q160" s="27"/>
      <c r="R160" s="27"/>
      <c r="S160" s="1" t="s">
        <v>264</v>
      </c>
      <c r="T160" s="29" t="s">
        <v>265</v>
      </c>
      <c r="U160" s="27"/>
      <c r="V160" s="27"/>
      <c r="W160" s="27"/>
    </row>
    <row r="161" spans="1:23" ht="24" customHeight="1">
      <c r="A161" s="27" t="str">
        <f t="shared" ca="1" si="2"/>
        <v>EVT-2026-0159</v>
      </c>
      <c r="B161" s="27">
        <v>2026</v>
      </c>
      <c r="C161" s="27" t="s">
        <v>91</v>
      </c>
      <c r="D161" s="30">
        <v>46055</v>
      </c>
      <c r="E161" s="27" t="s">
        <v>224</v>
      </c>
      <c r="F161" s="27" t="s">
        <v>126</v>
      </c>
      <c r="G161" s="27"/>
      <c r="H161" s="27" t="s">
        <v>496</v>
      </c>
      <c r="I161" s="27"/>
      <c r="J161" s="27" t="s">
        <v>177</v>
      </c>
      <c r="K161" s="10">
        <v>0</v>
      </c>
      <c r="L161" s="36" t="s">
        <v>263</v>
      </c>
      <c r="M161" s="37"/>
      <c r="N161" s="37"/>
      <c r="O161" s="27"/>
      <c r="P161" s="27"/>
      <c r="Q161" s="27"/>
      <c r="R161" s="27"/>
      <c r="S161" s="1" t="s">
        <v>264</v>
      </c>
      <c r="T161" s="29" t="s">
        <v>265</v>
      </c>
      <c r="U161" s="27"/>
      <c r="V161" s="27"/>
      <c r="W161" s="27"/>
    </row>
    <row r="162" spans="1:23" ht="24" customHeight="1">
      <c r="A162" s="27" t="str">
        <f t="shared" ca="1" si="2"/>
        <v>EVT-2026-0160</v>
      </c>
      <c r="B162" s="27">
        <v>2026</v>
      </c>
      <c r="C162" s="27" t="s">
        <v>91</v>
      </c>
      <c r="D162" s="30">
        <v>46055</v>
      </c>
      <c r="E162" s="27" t="s">
        <v>224</v>
      </c>
      <c r="F162" s="27" t="s">
        <v>126</v>
      </c>
      <c r="G162" s="27" t="s">
        <v>202</v>
      </c>
      <c r="H162" s="27" t="s">
        <v>239</v>
      </c>
      <c r="I162" s="27" t="s">
        <v>410</v>
      </c>
      <c r="J162" s="27" t="s">
        <v>127</v>
      </c>
      <c r="K162" s="10">
        <v>180</v>
      </c>
      <c r="L162" s="38" t="s">
        <v>294</v>
      </c>
      <c r="M162" s="37" t="s">
        <v>295</v>
      </c>
      <c r="N162" s="37" t="s">
        <v>411</v>
      </c>
      <c r="O162" s="27"/>
      <c r="P162" s="27" t="s">
        <v>497</v>
      </c>
      <c r="Q162" s="27" t="s">
        <v>498</v>
      </c>
      <c r="R162" s="27"/>
      <c r="S162" s="1" t="s">
        <v>264</v>
      </c>
      <c r="T162" s="29" t="s">
        <v>265</v>
      </c>
      <c r="U162" s="30">
        <v>46035</v>
      </c>
      <c r="V162" s="27" t="s">
        <v>298</v>
      </c>
      <c r="W162" s="27"/>
    </row>
    <row r="163" spans="1:23" ht="24" customHeight="1">
      <c r="A163" s="27" t="str">
        <f t="shared" ca="1" si="2"/>
        <v>EVT-2026-0161</v>
      </c>
      <c r="B163" s="27">
        <v>2026</v>
      </c>
      <c r="C163" s="27" t="s">
        <v>91</v>
      </c>
      <c r="D163" s="30">
        <v>46055</v>
      </c>
      <c r="E163" s="27" t="s">
        <v>224</v>
      </c>
      <c r="F163" s="27" t="s">
        <v>126</v>
      </c>
      <c r="G163" s="27" t="s">
        <v>208</v>
      </c>
      <c r="H163" s="27" t="s">
        <v>348</v>
      </c>
      <c r="I163" s="27" t="s">
        <v>368</v>
      </c>
      <c r="J163" s="27" t="s">
        <v>139</v>
      </c>
      <c r="K163" s="10">
        <v>30</v>
      </c>
      <c r="L163" s="36" t="s">
        <v>263</v>
      </c>
      <c r="M163" s="37" t="s">
        <v>309</v>
      </c>
      <c r="N163" s="37" t="s">
        <v>270</v>
      </c>
      <c r="O163" s="27" t="s">
        <v>369</v>
      </c>
      <c r="P163" s="27" t="s">
        <v>499</v>
      </c>
      <c r="Q163" s="27" t="s">
        <v>370</v>
      </c>
      <c r="R163" s="27"/>
      <c r="S163" s="1" t="s">
        <v>264</v>
      </c>
      <c r="T163" s="29" t="s">
        <v>265</v>
      </c>
      <c r="U163" s="30">
        <v>46008</v>
      </c>
      <c r="V163" s="27" t="s">
        <v>500</v>
      </c>
      <c r="W163" s="27"/>
    </row>
    <row r="164" spans="1:23" ht="24" customHeight="1">
      <c r="A164" s="27" t="str">
        <f t="shared" ca="1" si="2"/>
        <v>EVT-2026-0162</v>
      </c>
      <c r="B164" s="27">
        <v>2026</v>
      </c>
      <c r="C164" s="27" t="s">
        <v>91</v>
      </c>
      <c r="D164" s="30">
        <v>46055</v>
      </c>
      <c r="E164" s="27" t="s">
        <v>224</v>
      </c>
      <c r="F164" s="27" t="s">
        <v>126</v>
      </c>
      <c r="G164" s="27" t="s">
        <v>202</v>
      </c>
      <c r="H164" s="27" t="s">
        <v>138</v>
      </c>
      <c r="I164" s="27"/>
      <c r="J164" s="27" t="s">
        <v>165</v>
      </c>
      <c r="K164" s="10">
        <v>0</v>
      </c>
      <c r="L164" s="36" t="s">
        <v>263</v>
      </c>
      <c r="M164" s="37"/>
      <c r="N164" s="37"/>
      <c r="O164" s="27"/>
      <c r="P164" s="27"/>
      <c r="Q164" s="27"/>
      <c r="R164" s="27"/>
      <c r="S164" s="1" t="s">
        <v>264</v>
      </c>
      <c r="T164" s="29" t="s">
        <v>265</v>
      </c>
      <c r="U164" s="27"/>
      <c r="V164" s="27"/>
      <c r="W164" s="27"/>
    </row>
    <row r="165" spans="1:23" ht="24" customHeight="1">
      <c r="A165" s="27" t="str">
        <f t="shared" ca="1" si="2"/>
        <v>EVT-2026-0163</v>
      </c>
      <c r="B165" s="27">
        <v>2026</v>
      </c>
      <c r="C165" s="27" t="s">
        <v>91</v>
      </c>
      <c r="D165" s="30">
        <v>46056</v>
      </c>
      <c r="E165" s="27" t="s">
        <v>227</v>
      </c>
      <c r="F165" s="27" t="s">
        <v>126</v>
      </c>
      <c r="G165" s="27" t="s">
        <v>202</v>
      </c>
      <c r="H165" s="27" t="s">
        <v>501</v>
      </c>
      <c r="I165" s="27" t="s">
        <v>502</v>
      </c>
      <c r="J165" s="27" t="s">
        <v>177</v>
      </c>
      <c r="K165" s="10">
        <v>100</v>
      </c>
      <c r="L165" s="38" t="s">
        <v>294</v>
      </c>
      <c r="M165" s="37" t="s">
        <v>295</v>
      </c>
      <c r="N165" s="37" t="s">
        <v>503</v>
      </c>
      <c r="O165" s="27"/>
      <c r="P165" s="27"/>
      <c r="Q165" s="27" t="s">
        <v>504</v>
      </c>
      <c r="R165" s="27"/>
      <c r="S165" s="1" t="s">
        <v>264</v>
      </c>
      <c r="T165" s="29" t="s">
        <v>265</v>
      </c>
      <c r="U165" s="30">
        <v>46050</v>
      </c>
      <c r="V165" s="27" t="s">
        <v>298</v>
      </c>
      <c r="W165" s="27"/>
    </row>
    <row r="166" spans="1:23" ht="24" customHeight="1">
      <c r="A166" s="27" t="str">
        <f t="shared" ca="1" si="2"/>
        <v>EVT-2026-0164</v>
      </c>
      <c r="B166" s="27">
        <v>2026</v>
      </c>
      <c r="C166" s="27" t="s">
        <v>91</v>
      </c>
      <c r="D166" s="30">
        <v>46056</v>
      </c>
      <c r="E166" s="27" t="s">
        <v>227</v>
      </c>
      <c r="F166" s="27" t="s">
        <v>126</v>
      </c>
      <c r="G166" s="27" t="s">
        <v>208</v>
      </c>
      <c r="H166" s="27" t="s">
        <v>348</v>
      </c>
      <c r="I166" s="27" t="s">
        <v>505</v>
      </c>
      <c r="J166" s="27" t="s">
        <v>127</v>
      </c>
      <c r="K166" s="10">
        <v>70</v>
      </c>
      <c r="L166" s="36" t="s">
        <v>263</v>
      </c>
      <c r="M166" s="37" t="s">
        <v>315</v>
      </c>
      <c r="N166" s="37" t="s">
        <v>506</v>
      </c>
      <c r="O166" s="27" t="s">
        <v>369</v>
      </c>
      <c r="P166" s="27"/>
      <c r="Q166" s="27" t="s">
        <v>507</v>
      </c>
      <c r="R166" s="27"/>
      <c r="S166" s="1" t="s">
        <v>264</v>
      </c>
      <c r="T166" s="29" t="s">
        <v>265</v>
      </c>
      <c r="U166" s="30">
        <v>46042</v>
      </c>
      <c r="V166" s="27" t="s">
        <v>500</v>
      </c>
      <c r="W166" s="27"/>
    </row>
    <row r="167" spans="1:23" ht="24" customHeight="1">
      <c r="A167" s="27" t="str">
        <f t="shared" ca="1" si="2"/>
        <v>EVT-2026-0165</v>
      </c>
      <c r="B167" s="27">
        <v>2026</v>
      </c>
      <c r="C167" s="27" t="s">
        <v>91</v>
      </c>
      <c r="D167" s="30">
        <v>46056</v>
      </c>
      <c r="E167" s="27" t="s">
        <v>227</v>
      </c>
      <c r="F167" s="27" t="s">
        <v>126</v>
      </c>
      <c r="G167" s="27" t="s">
        <v>208</v>
      </c>
      <c r="H167" s="27" t="s">
        <v>348</v>
      </c>
      <c r="I167" s="27" t="s">
        <v>349</v>
      </c>
      <c r="J167" s="27" t="s">
        <v>145</v>
      </c>
      <c r="K167" s="10">
        <v>50</v>
      </c>
      <c r="L167" s="36" t="s">
        <v>263</v>
      </c>
      <c r="M167" s="37" t="s">
        <v>350</v>
      </c>
      <c r="N167" s="37" t="s">
        <v>296</v>
      </c>
      <c r="O167" s="27"/>
      <c r="P167" s="27"/>
      <c r="Q167" s="27" t="s">
        <v>351</v>
      </c>
      <c r="R167" s="27"/>
      <c r="S167" s="1" t="s">
        <v>264</v>
      </c>
      <c r="T167" s="29" t="s">
        <v>265</v>
      </c>
      <c r="U167" s="30">
        <v>46008</v>
      </c>
      <c r="V167" s="27" t="s">
        <v>303</v>
      </c>
      <c r="W167" s="27"/>
    </row>
    <row r="168" spans="1:23" ht="24" customHeight="1">
      <c r="A168" s="27" t="str">
        <f t="shared" ca="1" si="2"/>
        <v>EVT-2026-0166</v>
      </c>
      <c r="B168" s="27">
        <v>2026</v>
      </c>
      <c r="C168" s="27" t="s">
        <v>91</v>
      </c>
      <c r="D168" s="30">
        <v>46056</v>
      </c>
      <c r="E168" s="27" t="s">
        <v>227</v>
      </c>
      <c r="F168" s="27" t="s">
        <v>126</v>
      </c>
      <c r="G168" s="27" t="s">
        <v>508</v>
      </c>
      <c r="H168" s="27" t="s">
        <v>125</v>
      </c>
      <c r="I168" s="27" t="s">
        <v>509</v>
      </c>
      <c r="J168" s="27" t="s">
        <v>127</v>
      </c>
      <c r="K168" s="10">
        <v>90</v>
      </c>
      <c r="L168" s="36" t="s">
        <v>263</v>
      </c>
      <c r="M168" s="37" t="s">
        <v>338</v>
      </c>
      <c r="N168" s="37" t="s">
        <v>274</v>
      </c>
      <c r="O168" s="27"/>
      <c r="P168" s="27"/>
      <c r="Q168" s="27" t="s">
        <v>378</v>
      </c>
      <c r="R168" s="27"/>
      <c r="S168" s="1" t="s">
        <v>264</v>
      </c>
      <c r="T168" s="29" t="s">
        <v>265</v>
      </c>
      <c r="U168" s="27"/>
      <c r="V168" s="27"/>
      <c r="W168" s="27"/>
    </row>
    <row r="169" spans="1:23" ht="24" customHeight="1">
      <c r="A169" s="27" t="str">
        <f t="shared" ca="1" si="2"/>
        <v>EVT-2026-0167</v>
      </c>
      <c r="B169" s="27">
        <v>2026</v>
      </c>
      <c r="C169" s="27" t="s">
        <v>91</v>
      </c>
      <c r="D169" s="30">
        <v>46056</v>
      </c>
      <c r="E169" s="27" t="s">
        <v>227</v>
      </c>
      <c r="F169" s="27" t="s">
        <v>126</v>
      </c>
      <c r="G169" s="27" t="s">
        <v>202</v>
      </c>
      <c r="H169" s="27" t="s">
        <v>125</v>
      </c>
      <c r="I169" s="27" t="s">
        <v>510</v>
      </c>
      <c r="J169" s="27" t="s">
        <v>127</v>
      </c>
      <c r="K169" s="10">
        <v>90</v>
      </c>
      <c r="L169" s="36" t="s">
        <v>263</v>
      </c>
      <c r="M169" s="37" t="s">
        <v>331</v>
      </c>
      <c r="N169" s="37" t="s">
        <v>350</v>
      </c>
      <c r="O169" s="27"/>
      <c r="P169" s="27"/>
      <c r="Q169" s="27" t="s">
        <v>355</v>
      </c>
      <c r="R169" s="27"/>
      <c r="S169" s="1" t="s">
        <v>264</v>
      </c>
      <c r="T169" s="29" t="s">
        <v>265</v>
      </c>
      <c r="U169" s="30">
        <v>46050</v>
      </c>
      <c r="V169" s="27" t="s">
        <v>511</v>
      </c>
      <c r="W169" s="27"/>
    </row>
    <row r="170" spans="1:23" ht="24" customHeight="1">
      <c r="A170" s="27" t="str">
        <f t="shared" ca="1" si="2"/>
        <v>EVT-2026-0168</v>
      </c>
      <c r="B170" s="27">
        <v>2026</v>
      </c>
      <c r="C170" s="27" t="s">
        <v>91</v>
      </c>
      <c r="D170" s="30">
        <v>46056</v>
      </c>
      <c r="E170" s="27" t="s">
        <v>227</v>
      </c>
      <c r="F170" s="27" t="s">
        <v>126</v>
      </c>
      <c r="G170" s="27" t="s">
        <v>202</v>
      </c>
      <c r="H170" s="27" t="s">
        <v>138</v>
      </c>
      <c r="I170" s="27" t="s">
        <v>512</v>
      </c>
      <c r="J170" s="27" t="s">
        <v>165</v>
      </c>
      <c r="K170" s="10">
        <v>80</v>
      </c>
      <c r="L170" s="36" t="s">
        <v>263</v>
      </c>
      <c r="M170" s="37" t="s">
        <v>331</v>
      </c>
      <c r="N170" s="37" t="s">
        <v>275</v>
      </c>
      <c r="O170" s="27"/>
      <c r="P170" s="27"/>
      <c r="Q170" s="27" t="s">
        <v>513</v>
      </c>
      <c r="R170" s="27"/>
      <c r="S170" s="1" t="s">
        <v>264</v>
      </c>
      <c r="T170" s="29" t="s">
        <v>265</v>
      </c>
      <c r="U170" s="30">
        <v>46044</v>
      </c>
      <c r="V170" s="27" t="s">
        <v>500</v>
      </c>
      <c r="W170" s="27"/>
    </row>
    <row r="171" spans="1:23" ht="24" customHeight="1">
      <c r="A171" s="27" t="str">
        <f t="shared" ca="1" si="2"/>
        <v>EVT-2026-0169</v>
      </c>
      <c r="B171" s="27">
        <v>2026</v>
      </c>
      <c r="C171" s="27" t="s">
        <v>91</v>
      </c>
      <c r="D171" s="30">
        <v>46056</v>
      </c>
      <c r="E171" s="27" t="s">
        <v>227</v>
      </c>
      <c r="F171" s="27" t="s">
        <v>126</v>
      </c>
      <c r="G171" s="27" t="s">
        <v>202</v>
      </c>
      <c r="H171" s="27" t="s">
        <v>138</v>
      </c>
      <c r="I171" s="27" t="s">
        <v>514</v>
      </c>
      <c r="J171" s="27" t="s">
        <v>127</v>
      </c>
      <c r="K171" s="10">
        <v>0</v>
      </c>
      <c r="L171" s="36" t="s">
        <v>263</v>
      </c>
      <c r="M171" s="37" t="s">
        <v>506</v>
      </c>
      <c r="N171" s="37" t="s">
        <v>330</v>
      </c>
      <c r="O171" s="27"/>
      <c r="P171" s="27"/>
      <c r="Q171" s="27" t="s">
        <v>515</v>
      </c>
      <c r="R171" s="27"/>
      <c r="S171" s="1" t="s">
        <v>264</v>
      </c>
      <c r="T171" s="29" t="s">
        <v>265</v>
      </c>
      <c r="U171" s="30">
        <v>46055</v>
      </c>
      <c r="V171" s="27" t="s">
        <v>516</v>
      </c>
      <c r="W171" s="27"/>
    </row>
    <row r="172" spans="1:23" ht="24" customHeight="1">
      <c r="A172" s="27" t="str">
        <f t="shared" ca="1" si="2"/>
        <v>EVT-2026-0170</v>
      </c>
      <c r="B172" s="27">
        <v>2026</v>
      </c>
      <c r="C172" s="27" t="s">
        <v>91</v>
      </c>
      <c r="D172" s="30">
        <v>46057</v>
      </c>
      <c r="E172" s="27" t="s">
        <v>201</v>
      </c>
      <c r="F172" s="27" t="s">
        <v>126</v>
      </c>
      <c r="G172" s="27" t="s">
        <v>202</v>
      </c>
      <c r="H172" s="27" t="s">
        <v>125</v>
      </c>
      <c r="I172" s="27" t="s">
        <v>517</v>
      </c>
      <c r="J172" s="27" t="s">
        <v>177</v>
      </c>
      <c r="K172" s="10">
        <v>150</v>
      </c>
      <c r="L172" s="38" t="s">
        <v>294</v>
      </c>
      <c r="M172" s="37" t="s">
        <v>295</v>
      </c>
      <c r="N172" s="37" t="s">
        <v>296</v>
      </c>
      <c r="O172" s="27"/>
      <c r="P172" s="27"/>
      <c r="Q172" s="27" t="s">
        <v>518</v>
      </c>
      <c r="R172" s="27"/>
      <c r="S172" s="1" t="s">
        <v>264</v>
      </c>
      <c r="T172" s="29" t="s">
        <v>265</v>
      </c>
      <c r="U172" s="30">
        <v>46049</v>
      </c>
      <c r="V172" s="27" t="s">
        <v>519</v>
      </c>
      <c r="W172" s="27"/>
    </row>
    <row r="173" spans="1:23" ht="24" customHeight="1">
      <c r="A173" s="27" t="str">
        <f t="shared" ca="1" si="2"/>
        <v>EVT-2026-0171</v>
      </c>
      <c r="B173" s="27">
        <v>2026</v>
      </c>
      <c r="C173" s="27" t="s">
        <v>91</v>
      </c>
      <c r="D173" s="30">
        <v>46057</v>
      </c>
      <c r="E173" s="27" t="s">
        <v>201</v>
      </c>
      <c r="F173" s="27" t="s">
        <v>126</v>
      </c>
      <c r="G173" s="27" t="s">
        <v>202</v>
      </c>
      <c r="H173" s="27" t="s">
        <v>138</v>
      </c>
      <c r="I173" s="27" t="s">
        <v>520</v>
      </c>
      <c r="J173" s="27" t="s">
        <v>127</v>
      </c>
      <c r="K173" s="10">
        <v>60</v>
      </c>
      <c r="L173" s="36" t="s">
        <v>263</v>
      </c>
      <c r="M173" s="37" t="s">
        <v>506</v>
      </c>
      <c r="N173" s="37" t="s">
        <v>331</v>
      </c>
      <c r="O173" s="27"/>
      <c r="P173" s="27" t="s">
        <v>521</v>
      </c>
      <c r="Q173" s="27" t="s">
        <v>378</v>
      </c>
      <c r="R173" s="27"/>
      <c r="S173" s="1" t="s">
        <v>264</v>
      </c>
      <c r="T173" s="29" t="s">
        <v>265</v>
      </c>
      <c r="U173" s="30">
        <v>46051</v>
      </c>
      <c r="V173" s="27" t="s">
        <v>298</v>
      </c>
      <c r="W173" s="27"/>
    </row>
    <row r="174" spans="1:23" ht="24" customHeight="1">
      <c r="A174" s="27" t="str">
        <f t="shared" ca="1" si="2"/>
        <v>EVT-2026-0172</v>
      </c>
      <c r="B174" s="27">
        <v>2026</v>
      </c>
      <c r="C174" s="27" t="s">
        <v>91</v>
      </c>
      <c r="D174" s="30">
        <v>46057</v>
      </c>
      <c r="E174" s="27" t="s">
        <v>201</v>
      </c>
      <c r="F174" s="27" t="s">
        <v>126</v>
      </c>
      <c r="G174" s="27" t="s">
        <v>202</v>
      </c>
      <c r="H174" s="27" t="s">
        <v>138</v>
      </c>
      <c r="I174" s="27" t="s">
        <v>522</v>
      </c>
      <c r="J174" s="27" t="s">
        <v>165</v>
      </c>
      <c r="K174" s="10">
        <v>80</v>
      </c>
      <c r="L174" s="36" t="s">
        <v>263</v>
      </c>
      <c r="M174" s="37" t="s">
        <v>295</v>
      </c>
      <c r="N174" s="37" t="s">
        <v>296</v>
      </c>
      <c r="O174" s="27"/>
      <c r="P174" s="27"/>
      <c r="Q174" s="27" t="s">
        <v>523</v>
      </c>
      <c r="R174" s="27"/>
      <c r="S174" s="1" t="s">
        <v>264</v>
      </c>
      <c r="T174" s="29" t="s">
        <v>265</v>
      </c>
      <c r="U174" s="30">
        <v>46056</v>
      </c>
      <c r="V174" s="27"/>
      <c r="W174" s="27"/>
    </row>
    <row r="175" spans="1:23" ht="24" customHeight="1">
      <c r="A175" s="27" t="str">
        <f t="shared" ca="1" si="2"/>
        <v>EVT-2026-0173</v>
      </c>
      <c r="B175" s="27">
        <v>2026</v>
      </c>
      <c r="C175" s="27" t="s">
        <v>91</v>
      </c>
      <c r="D175" s="30">
        <v>46058</v>
      </c>
      <c r="E175" s="27" t="s">
        <v>216</v>
      </c>
      <c r="F175" s="27" t="s">
        <v>126</v>
      </c>
      <c r="G175" s="27" t="s">
        <v>228</v>
      </c>
      <c r="H175" s="27" t="s">
        <v>125</v>
      </c>
      <c r="I175" s="27" t="s">
        <v>524</v>
      </c>
      <c r="J175" s="27" t="s">
        <v>177</v>
      </c>
      <c r="K175" s="10">
        <v>100</v>
      </c>
      <c r="L175" s="38" t="s">
        <v>294</v>
      </c>
      <c r="M175" s="37" t="s">
        <v>330</v>
      </c>
      <c r="N175" s="37" t="s">
        <v>354</v>
      </c>
      <c r="O175" s="27"/>
      <c r="P175" s="27"/>
      <c r="Q175" s="27" t="s">
        <v>297</v>
      </c>
      <c r="R175" s="27"/>
      <c r="S175" s="1" t="s">
        <v>264</v>
      </c>
      <c r="T175" s="29" t="s">
        <v>265</v>
      </c>
      <c r="U175" s="30">
        <v>46043</v>
      </c>
      <c r="V175" s="27" t="s">
        <v>298</v>
      </c>
      <c r="W175" s="27"/>
    </row>
    <row r="176" spans="1:23" ht="24" customHeight="1">
      <c r="A176" s="27" t="str">
        <f t="shared" ca="1" si="2"/>
        <v>EVT-2026-0174</v>
      </c>
      <c r="B176" s="27">
        <v>2026</v>
      </c>
      <c r="C176" s="27" t="s">
        <v>91</v>
      </c>
      <c r="D176" s="30">
        <v>46058</v>
      </c>
      <c r="E176" s="27" t="s">
        <v>216</v>
      </c>
      <c r="F176" s="27" t="s">
        <v>126</v>
      </c>
      <c r="G176" s="27" t="s">
        <v>202</v>
      </c>
      <c r="H176" s="27" t="s">
        <v>389</v>
      </c>
      <c r="I176" s="27" t="s">
        <v>525</v>
      </c>
      <c r="J176" s="27" t="s">
        <v>165</v>
      </c>
      <c r="K176" s="10">
        <v>25</v>
      </c>
      <c r="L176" s="36" t="s">
        <v>263</v>
      </c>
      <c r="M176" s="37" t="s">
        <v>309</v>
      </c>
      <c r="N176" s="37" t="s">
        <v>295</v>
      </c>
      <c r="O176" s="27"/>
      <c r="P176" s="27"/>
      <c r="Q176" s="27" t="s">
        <v>526</v>
      </c>
      <c r="R176" s="27"/>
      <c r="S176" s="1" t="s">
        <v>264</v>
      </c>
      <c r="T176" s="29" t="s">
        <v>265</v>
      </c>
      <c r="U176" s="30">
        <v>46057</v>
      </c>
      <c r="V176" s="27" t="s">
        <v>298</v>
      </c>
      <c r="W176" s="27"/>
    </row>
    <row r="177" spans="1:23" ht="24" customHeight="1">
      <c r="A177" s="27" t="str">
        <f t="shared" ca="1" si="2"/>
        <v>EVT-2026-0175</v>
      </c>
      <c r="B177" s="27">
        <v>2026</v>
      </c>
      <c r="C177" s="27" t="s">
        <v>91</v>
      </c>
      <c r="D177" s="30">
        <v>46058</v>
      </c>
      <c r="E177" s="27" t="s">
        <v>216</v>
      </c>
      <c r="F177" s="27" t="s">
        <v>126</v>
      </c>
      <c r="G177" s="27" t="s">
        <v>202</v>
      </c>
      <c r="H177" s="27" t="s">
        <v>389</v>
      </c>
      <c r="I177" s="27"/>
      <c r="J177" s="27" t="s">
        <v>165</v>
      </c>
      <c r="K177" s="10">
        <v>50</v>
      </c>
      <c r="L177" s="36" t="s">
        <v>263</v>
      </c>
      <c r="M177" s="37" t="s">
        <v>296</v>
      </c>
      <c r="N177" s="37" t="s">
        <v>270</v>
      </c>
      <c r="O177" s="27"/>
      <c r="P177" s="27"/>
      <c r="Q177" s="27" t="s">
        <v>527</v>
      </c>
      <c r="R177" s="27"/>
      <c r="S177" s="1" t="s">
        <v>264</v>
      </c>
      <c r="T177" s="29" t="s">
        <v>265</v>
      </c>
      <c r="U177" s="30">
        <v>46058</v>
      </c>
      <c r="V177" s="27" t="s">
        <v>298</v>
      </c>
      <c r="W177" s="27"/>
    </row>
    <row r="178" spans="1:23" ht="24" customHeight="1">
      <c r="A178" s="27" t="str">
        <f t="shared" ca="1" si="2"/>
        <v>EVT-2026-0176</v>
      </c>
      <c r="B178" s="27">
        <v>2026</v>
      </c>
      <c r="C178" s="27" t="s">
        <v>91</v>
      </c>
      <c r="D178" s="30">
        <v>46058</v>
      </c>
      <c r="E178" s="27" t="s">
        <v>216</v>
      </c>
      <c r="F178" s="27" t="s">
        <v>126</v>
      </c>
      <c r="G178" s="27" t="s">
        <v>202</v>
      </c>
      <c r="H178" s="27" t="s">
        <v>125</v>
      </c>
      <c r="I178" s="27" t="s">
        <v>517</v>
      </c>
      <c r="J178" s="27" t="s">
        <v>177</v>
      </c>
      <c r="K178" s="10">
        <v>150</v>
      </c>
      <c r="L178" s="38" t="s">
        <v>294</v>
      </c>
      <c r="M178" s="37" t="s">
        <v>295</v>
      </c>
      <c r="N178" s="37" t="s">
        <v>290</v>
      </c>
      <c r="O178" s="27"/>
      <c r="P178" s="27" t="s">
        <v>528</v>
      </c>
      <c r="Q178" s="27" t="s">
        <v>518</v>
      </c>
      <c r="R178" s="27"/>
      <c r="S178" s="1" t="s">
        <v>264</v>
      </c>
      <c r="T178" s="29" t="s">
        <v>265</v>
      </c>
      <c r="U178" s="30">
        <v>46049</v>
      </c>
      <c r="V178" s="27" t="s">
        <v>529</v>
      </c>
      <c r="W178" s="27"/>
    </row>
    <row r="179" spans="1:23" ht="24" customHeight="1">
      <c r="A179" s="27" t="str">
        <f t="shared" ca="1" si="2"/>
        <v>EVT-2026-0177</v>
      </c>
      <c r="B179" s="27">
        <v>2026</v>
      </c>
      <c r="C179" s="27" t="s">
        <v>91</v>
      </c>
      <c r="D179" s="30">
        <v>46058</v>
      </c>
      <c r="E179" s="27" t="s">
        <v>216</v>
      </c>
      <c r="F179" s="27" t="s">
        <v>126</v>
      </c>
      <c r="G179" s="27" t="s">
        <v>208</v>
      </c>
      <c r="H179" s="27" t="s">
        <v>348</v>
      </c>
      <c r="I179" s="27" t="s">
        <v>530</v>
      </c>
      <c r="J179" s="27" t="s">
        <v>158</v>
      </c>
      <c r="K179" s="10">
        <v>40</v>
      </c>
      <c r="L179" s="36" t="s">
        <v>263</v>
      </c>
      <c r="M179" s="37" t="s">
        <v>289</v>
      </c>
      <c r="N179" s="37" t="s">
        <v>296</v>
      </c>
      <c r="O179" s="27" t="s">
        <v>369</v>
      </c>
      <c r="P179" s="27" t="s">
        <v>531</v>
      </c>
      <c r="Q179" s="27" t="s">
        <v>532</v>
      </c>
      <c r="R179" s="27"/>
      <c r="S179" s="1" t="s">
        <v>264</v>
      </c>
      <c r="T179" s="29" t="s">
        <v>265</v>
      </c>
      <c r="U179" s="30">
        <v>46006</v>
      </c>
      <c r="V179" s="27" t="s">
        <v>298</v>
      </c>
      <c r="W179" s="27"/>
    </row>
    <row r="180" spans="1:23" ht="24" customHeight="1">
      <c r="A180" s="27" t="str">
        <f t="shared" ca="1" si="2"/>
        <v>EVT-2026-0178</v>
      </c>
      <c r="B180" s="27">
        <v>2026</v>
      </c>
      <c r="C180" s="27" t="s">
        <v>91</v>
      </c>
      <c r="D180" s="30">
        <v>46058</v>
      </c>
      <c r="E180" s="27" t="s">
        <v>216</v>
      </c>
      <c r="F180" s="27" t="s">
        <v>126</v>
      </c>
      <c r="G180" s="27" t="s">
        <v>202</v>
      </c>
      <c r="H180" s="27" t="s">
        <v>348</v>
      </c>
      <c r="I180" s="27" t="s">
        <v>349</v>
      </c>
      <c r="J180" s="27" t="s">
        <v>145</v>
      </c>
      <c r="K180" s="10">
        <v>50</v>
      </c>
      <c r="L180" s="36" t="s">
        <v>263</v>
      </c>
      <c r="M180" s="37" t="s">
        <v>350</v>
      </c>
      <c r="N180" s="37" t="s">
        <v>296</v>
      </c>
      <c r="O180" s="27"/>
      <c r="P180" s="27"/>
      <c r="Q180" s="27" t="s">
        <v>351</v>
      </c>
      <c r="R180" s="27"/>
      <c r="S180" s="1" t="s">
        <v>264</v>
      </c>
      <c r="T180" s="29" t="s">
        <v>265</v>
      </c>
      <c r="U180" s="30">
        <v>46008</v>
      </c>
      <c r="V180" s="27" t="s">
        <v>303</v>
      </c>
      <c r="W180" s="27"/>
    </row>
    <row r="181" spans="1:23" ht="24" customHeight="1">
      <c r="A181" s="27" t="str">
        <f t="shared" ca="1" si="2"/>
        <v>EVT-2026-0179</v>
      </c>
      <c r="B181" s="27">
        <v>2026</v>
      </c>
      <c r="C181" s="27" t="s">
        <v>91</v>
      </c>
      <c r="D181" s="30">
        <v>46059</v>
      </c>
      <c r="E181" s="27" t="s">
        <v>220</v>
      </c>
      <c r="F181" s="27" t="s">
        <v>126</v>
      </c>
      <c r="G181" s="27" t="s">
        <v>202</v>
      </c>
      <c r="H181" s="27" t="s">
        <v>389</v>
      </c>
      <c r="I181" s="27" t="s">
        <v>533</v>
      </c>
      <c r="J181" s="27" t="s">
        <v>139</v>
      </c>
      <c r="K181" s="10">
        <v>0</v>
      </c>
      <c r="L181" s="36" t="s">
        <v>263</v>
      </c>
      <c r="M181" s="37" t="s">
        <v>506</v>
      </c>
      <c r="N181" s="37" t="s">
        <v>331</v>
      </c>
      <c r="O181" s="27"/>
      <c r="P181" s="27"/>
      <c r="Q181" s="27" t="s">
        <v>379</v>
      </c>
      <c r="R181" s="27"/>
      <c r="S181" s="1" t="s">
        <v>264</v>
      </c>
      <c r="T181" s="29" t="s">
        <v>265</v>
      </c>
      <c r="U181" s="30">
        <v>46057</v>
      </c>
      <c r="V181" s="27" t="s">
        <v>298</v>
      </c>
      <c r="W181" s="27"/>
    </row>
    <row r="182" spans="1:23" ht="24" customHeight="1">
      <c r="A182" s="27" t="str">
        <f t="shared" ca="1" si="2"/>
        <v>EVT-2026-0180</v>
      </c>
      <c r="B182" s="27">
        <v>2026</v>
      </c>
      <c r="C182" s="27" t="s">
        <v>91</v>
      </c>
      <c r="D182" s="30">
        <v>46059</v>
      </c>
      <c r="E182" s="27" t="s">
        <v>220</v>
      </c>
      <c r="F182" s="27" t="s">
        <v>126</v>
      </c>
      <c r="G182" s="27"/>
      <c r="H182" s="27"/>
      <c r="I182" s="27"/>
      <c r="J182" s="27" t="s">
        <v>177</v>
      </c>
      <c r="K182" s="10">
        <v>0</v>
      </c>
      <c r="L182" s="36" t="s">
        <v>263</v>
      </c>
      <c r="M182" s="37"/>
      <c r="N182" s="37"/>
      <c r="O182" s="27"/>
      <c r="P182" s="27"/>
      <c r="Q182" s="27"/>
      <c r="R182" s="27"/>
      <c r="S182" s="1" t="s">
        <v>264</v>
      </c>
      <c r="T182" s="29" t="s">
        <v>265</v>
      </c>
      <c r="U182" s="27"/>
      <c r="V182" s="27"/>
      <c r="W182" s="27"/>
    </row>
    <row r="183" spans="1:23" ht="24" customHeight="1">
      <c r="A183" s="27" t="str">
        <f t="shared" ca="1" si="2"/>
        <v>EVT-2026-0181</v>
      </c>
      <c r="B183" s="27">
        <v>2026</v>
      </c>
      <c r="C183" s="27" t="s">
        <v>91</v>
      </c>
      <c r="D183" s="30">
        <v>46060</v>
      </c>
      <c r="E183" s="27" t="s">
        <v>266</v>
      </c>
      <c r="F183" s="27" t="s">
        <v>126</v>
      </c>
      <c r="G183" s="27"/>
      <c r="H183" s="27" t="s">
        <v>437</v>
      </c>
      <c r="I183" s="27"/>
      <c r="J183" s="27" t="s">
        <v>145</v>
      </c>
      <c r="K183" s="10">
        <v>0</v>
      </c>
      <c r="L183" s="36" t="s">
        <v>263</v>
      </c>
      <c r="M183" s="37"/>
      <c r="N183" s="37"/>
      <c r="O183" s="27"/>
      <c r="P183" s="27"/>
      <c r="Q183" s="27"/>
      <c r="R183" s="27"/>
      <c r="S183" s="1" t="s">
        <v>264</v>
      </c>
      <c r="T183" s="29" t="s">
        <v>265</v>
      </c>
      <c r="U183" s="27"/>
      <c r="V183" s="27"/>
      <c r="W183" s="27"/>
    </row>
    <row r="184" spans="1:23" ht="24" customHeight="1">
      <c r="A184" s="27" t="str">
        <f t="shared" ca="1" si="2"/>
        <v>EVT-2026-0182</v>
      </c>
      <c r="B184" s="27">
        <v>2026</v>
      </c>
      <c r="C184" s="27" t="s">
        <v>91</v>
      </c>
      <c r="D184" s="30">
        <v>46061</v>
      </c>
      <c r="E184" s="27" t="s">
        <v>267</v>
      </c>
      <c r="F184" s="27" t="s">
        <v>126</v>
      </c>
      <c r="G184" s="27"/>
      <c r="H184" s="27"/>
      <c r="I184" s="27"/>
      <c r="J184" s="27" t="s">
        <v>177</v>
      </c>
      <c r="K184" s="10">
        <v>0</v>
      </c>
      <c r="L184" s="36" t="s">
        <v>263</v>
      </c>
      <c r="M184" s="37"/>
      <c r="N184" s="37"/>
      <c r="O184" s="27"/>
      <c r="P184" s="27"/>
      <c r="Q184" s="27"/>
      <c r="R184" s="27"/>
      <c r="S184" s="1" t="s">
        <v>264</v>
      </c>
      <c r="T184" s="29" t="s">
        <v>265</v>
      </c>
      <c r="U184" s="27"/>
      <c r="V184" s="27"/>
      <c r="W184" s="27"/>
    </row>
    <row r="185" spans="1:23" ht="24" customHeight="1">
      <c r="A185" s="27" t="str">
        <f t="shared" ca="1" si="2"/>
        <v>EVT-2026-0183</v>
      </c>
      <c r="B185" s="27">
        <v>2026</v>
      </c>
      <c r="C185" s="27" t="s">
        <v>91</v>
      </c>
      <c r="D185" s="27" t="s">
        <v>534</v>
      </c>
      <c r="E185" s="27" t="s">
        <v>224</v>
      </c>
      <c r="F185" s="27" t="s">
        <v>126</v>
      </c>
      <c r="G185" s="27" t="s">
        <v>202</v>
      </c>
      <c r="H185" s="27" t="s">
        <v>535</v>
      </c>
      <c r="I185" s="27" t="s">
        <v>536</v>
      </c>
      <c r="J185" s="27" t="s">
        <v>177</v>
      </c>
      <c r="K185" s="10">
        <v>0</v>
      </c>
      <c r="L185" s="36" t="s">
        <v>263</v>
      </c>
      <c r="M185" s="37" t="s">
        <v>269</v>
      </c>
      <c r="N185" s="37" t="s">
        <v>270</v>
      </c>
      <c r="O185" s="27"/>
      <c r="P185" s="27"/>
      <c r="Q185" s="27" t="s">
        <v>537</v>
      </c>
      <c r="R185" s="27"/>
      <c r="S185" s="1" t="s">
        <v>264</v>
      </c>
      <c r="T185" s="29" t="s">
        <v>265</v>
      </c>
      <c r="U185" s="30">
        <v>46056</v>
      </c>
      <c r="V185" s="27" t="s">
        <v>538</v>
      </c>
      <c r="W185" s="27"/>
    </row>
    <row r="186" spans="1:23" ht="24" customHeight="1">
      <c r="A186" s="27" t="str">
        <f t="shared" ca="1" si="2"/>
        <v>EVT-2026-0184</v>
      </c>
      <c r="B186" s="27">
        <v>2026</v>
      </c>
      <c r="C186" s="27" t="s">
        <v>91</v>
      </c>
      <c r="D186" s="30">
        <v>46062</v>
      </c>
      <c r="E186" s="27" t="s">
        <v>224</v>
      </c>
      <c r="F186" s="27" t="s">
        <v>126</v>
      </c>
      <c r="G186" s="27" t="s">
        <v>208</v>
      </c>
      <c r="H186" s="27" t="s">
        <v>348</v>
      </c>
      <c r="I186" s="27" t="s">
        <v>525</v>
      </c>
      <c r="J186" s="27" t="s">
        <v>177</v>
      </c>
      <c r="K186" s="10">
        <v>25</v>
      </c>
      <c r="L186" s="36" t="s">
        <v>263</v>
      </c>
      <c r="M186" s="37" t="s">
        <v>309</v>
      </c>
      <c r="N186" s="37" t="s">
        <v>295</v>
      </c>
      <c r="O186" s="27"/>
      <c r="P186" s="27"/>
      <c r="Q186" s="27" t="s">
        <v>526</v>
      </c>
      <c r="R186" s="27"/>
      <c r="S186" s="1" t="s">
        <v>264</v>
      </c>
      <c r="T186" s="29" t="s">
        <v>265</v>
      </c>
      <c r="U186" s="30">
        <v>46057</v>
      </c>
      <c r="V186" s="27"/>
      <c r="W186" s="27" t="s">
        <v>298</v>
      </c>
    </row>
    <row r="187" spans="1:23" ht="24" customHeight="1">
      <c r="A187" s="27" t="str">
        <f t="shared" ca="1" si="2"/>
        <v>EVT-2026-0185</v>
      </c>
      <c r="B187" s="27">
        <v>2026</v>
      </c>
      <c r="C187" s="27" t="s">
        <v>91</v>
      </c>
      <c r="D187" s="30">
        <v>46063</v>
      </c>
      <c r="E187" s="27" t="s">
        <v>227</v>
      </c>
      <c r="F187" s="27" t="s">
        <v>126</v>
      </c>
      <c r="G187" s="27" t="s">
        <v>202</v>
      </c>
      <c r="H187" s="27" t="s">
        <v>348</v>
      </c>
      <c r="I187" s="27"/>
      <c r="J187" s="27" t="s">
        <v>177</v>
      </c>
      <c r="K187" s="10">
        <v>0</v>
      </c>
      <c r="L187" s="36" t="s">
        <v>263</v>
      </c>
      <c r="M187" s="37" t="s">
        <v>274</v>
      </c>
      <c r="N187" s="37" t="s">
        <v>330</v>
      </c>
      <c r="O187" s="27"/>
      <c r="P187" s="27"/>
      <c r="Q187" s="27" t="s">
        <v>539</v>
      </c>
      <c r="R187" s="27"/>
      <c r="S187" s="1" t="s">
        <v>264</v>
      </c>
      <c r="T187" s="29" t="s">
        <v>265</v>
      </c>
      <c r="U187" s="27"/>
      <c r="V187" s="27" t="s">
        <v>540</v>
      </c>
      <c r="W187" s="27"/>
    </row>
    <row r="188" spans="1:23" ht="24" customHeight="1">
      <c r="A188" s="27" t="str">
        <f t="shared" ca="1" si="2"/>
        <v>EVT-2026-0186</v>
      </c>
      <c r="B188" s="27">
        <v>2026</v>
      </c>
      <c r="C188" s="27" t="s">
        <v>91</v>
      </c>
      <c r="D188" s="30">
        <v>46063</v>
      </c>
      <c r="E188" s="27" t="s">
        <v>227</v>
      </c>
      <c r="F188" s="27" t="s">
        <v>126</v>
      </c>
      <c r="G188" s="27" t="s">
        <v>202</v>
      </c>
      <c r="H188" s="27" t="s">
        <v>348</v>
      </c>
      <c r="I188" s="27"/>
      <c r="J188" s="27" t="s">
        <v>177</v>
      </c>
      <c r="K188" s="10">
        <v>0</v>
      </c>
      <c r="L188" s="36" t="s">
        <v>263</v>
      </c>
      <c r="M188" s="37" t="s">
        <v>359</v>
      </c>
      <c r="N188" s="37" t="s">
        <v>290</v>
      </c>
      <c r="O188" s="27"/>
      <c r="P188" s="27"/>
      <c r="Q188" s="27" t="s">
        <v>539</v>
      </c>
      <c r="R188" s="27"/>
      <c r="S188" s="1" t="s">
        <v>264</v>
      </c>
      <c r="T188" s="29" t="s">
        <v>265</v>
      </c>
      <c r="U188" s="27"/>
      <c r="V188" s="27" t="s">
        <v>540</v>
      </c>
      <c r="W188" s="27"/>
    </row>
    <row r="189" spans="1:23" ht="24" customHeight="1">
      <c r="A189" s="27" t="str">
        <f t="shared" ca="1" si="2"/>
        <v>EVT-2026-0187</v>
      </c>
      <c r="B189" s="27">
        <v>2026</v>
      </c>
      <c r="C189" s="27" t="s">
        <v>91</v>
      </c>
      <c r="D189" s="30">
        <v>46063</v>
      </c>
      <c r="E189" s="27" t="s">
        <v>227</v>
      </c>
      <c r="F189" s="27" t="s">
        <v>126</v>
      </c>
      <c r="G189" s="27" t="s">
        <v>202</v>
      </c>
      <c r="H189" s="27" t="s">
        <v>348</v>
      </c>
      <c r="I189" s="27" t="s">
        <v>541</v>
      </c>
      <c r="J189" s="27" t="s">
        <v>152</v>
      </c>
      <c r="K189" s="10">
        <v>25</v>
      </c>
      <c r="L189" s="36" t="s">
        <v>263</v>
      </c>
      <c r="M189" s="37" t="s">
        <v>350</v>
      </c>
      <c r="N189" s="37" t="s">
        <v>289</v>
      </c>
      <c r="O189" s="27"/>
      <c r="P189" s="27"/>
      <c r="Q189" s="27" t="s">
        <v>542</v>
      </c>
      <c r="R189" s="27"/>
      <c r="S189" s="1" t="s">
        <v>264</v>
      </c>
      <c r="T189" s="29" t="s">
        <v>265</v>
      </c>
      <c r="U189" s="30">
        <v>46056</v>
      </c>
      <c r="V189" s="27" t="s">
        <v>298</v>
      </c>
      <c r="W189" s="27"/>
    </row>
    <row r="190" spans="1:23" ht="24" customHeight="1">
      <c r="A190" s="27" t="str">
        <f t="shared" ca="1" si="2"/>
        <v>EVT-2026-0188</v>
      </c>
      <c r="B190" s="27">
        <v>2026</v>
      </c>
      <c r="C190" s="27" t="s">
        <v>91</v>
      </c>
      <c r="D190" s="30">
        <v>46063</v>
      </c>
      <c r="E190" s="27" t="s">
        <v>227</v>
      </c>
      <c r="F190" s="27" t="s">
        <v>126</v>
      </c>
      <c r="G190" s="27" t="s">
        <v>208</v>
      </c>
      <c r="H190" s="27" t="s">
        <v>348</v>
      </c>
      <c r="I190" s="27" t="s">
        <v>349</v>
      </c>
      <c r="J190" s="27" t="s">
        <v>145</v>
      </c>
      <c r="K190" s="10">
        <v>50</v>
      </c>
      <c r="L190" s="36" t="s">
        <v>263</v>
      </c>
      <c r="M190" s="37" t="s">
        <v>350</v>
      </c>
      <c r="N190" s="37" t="s">
        <v>296</v>
      </c>
      <c r="O190" s="27"/>
      <c r="P190" s="27"/>
      <c r="Q190" s="27" t="s">
        <v>351</v>
      </c>
      <c r="R190" s="27"/>
      <c r="S190" s="1" t="s">
        <v>264</v>
      </c>
      <c r="T190" s="29" t="s">
        <v>265</v>
      </c>
      <c r="U190" s="30">
        <v>46008</v>
      </c>
      <c r="V190" s="27" t="s">
        <v>303</v>
      </c>
      <c r="W190" s="27"/>
    </row>
    <row r="191" spans="1:23" ht="24" customHeight="1">
      <c r="A191" s="27" t="str">
        <f t="shared" ca="1" si="2"/>
        <v>EVT-2026-0189</v>
      </c>
      <c r="B191" s="27">
        <v>2026</v>
      </c>
      <c r="C191" s="27" t="s">
        <v>91</v>
      </c>
      <c r="D191" s="30">
        <v>46063</v>
      </c>
      <c r="E191" s="27" t="s">
        <v>227</v>
      </c>
      <c r="F191" s="27" t="s">
        <v>126</v>
      </c>
      <c r="G191" s="27" t="s">
        <v>228</v>
      </c>
      <c r="H191" s="27" t="s">
        <v>125</v>
      </c>
      <c r="I191" s="27" t="s">
        <v>543</v>
      </c>
      <c r="J191" s="27" t="s">
        <v>177</v>
      </c>
      <c r="K191" s="10">
        <v>0</v>
      </c>
      <c r="L191" s="36" t="s">
        <v>263</v>
      </c>
      <c r="M191" s="37" t="s">
        <v>269</v>
      </c>
      <c r="N191" s="37" t="s">
        <v>544</v>
      </c>
      <c r="O191" s="27"/>
      <c r="P191" s="27"/>
      <c r="Q191" s="27" t="s">
        <v>545</v>
      </c>
      <c r="R191" s="27"/>
      <c r="S191" s="1" t="s">
        <v>264</v>
      </c>
      <c r="T191" s="29" t="s">
        <v>265</v>
      </c>
      <c r="U191" s="27"/>
      <c r="V191" s="27" t="s">
        <v>516</v>
      </c>
      <c r="W191" s="27"/>
    </row>
    <row r="192" spans="1:23" ht="24" customHeight="1">
      <c r="A192" s="27" t="str">
        <f t="shared" ca="1" si="2"/>
        <v>EVT-2026-0190</v>
      </c>
      <c r="B192" s="27">
        <v>2026</v>
      </c>
      <c r="C192" s="27" t="s">
        <v>91</v>
      </c>
      <c r="D192" s="30">
        <v>46064</v>
      </c>
      <c r="E192" s="27" t="s">
        <v>201</v>
      </c>
      <c r="F192" s="27" t="s">
        <v>126</v>
      </c>
      <c r="G192" s="27" t="s">
        <v>228</v>
      </c>
      <c r="H192" s="27" t="s">
        <v>125</v>
      </c>
      <c r="I192" s="27" t="s">
        <v>546</v>
      </c>
      <c r="J192" s="27" t="s">
        <v>158</v>
      </c>
      <c r="K192" s="10">
        <v>15</v>
      </c>
      <c r="L192" s="36" t="s">
        <v>263</v>
      </c>
      <c r="M192" s="37" t="s">
        <v>506</v>
      </c>
      <c r="N192" s="37" t="s">
        <v>330</v>
      </c>
      <c r="O192" s="27"/>
      <c r="P192" s="27"/>
      <c r="Q192" s="27" t="s">
        <v>378</v>
      </c>
      <c r="R192" s="27"/>
      <c r="S192" s="1" t="s">
        <v>264</v>
      </c>
      <c r="T192" s="29" t="s">
        <v>265</v>
      </c>
      <c r="U192" s="30">
        <v>46059</v>
      </c>
      <c r="V192" s="27" t="s">
        <v>298</v>
      </c>
      <c r="W192" s="27"/>
    </row>
    <row r="193" spans="1:23" ht="24" customHeight="1">
      <c r="A193" s="27" t="str">
        <f t="shared" ca="1" si="2"/>
        <v>EVT-2026-0191</v>
      </c>
      <c r="B193" s="27">
        <v>2026</v>
      </c>
      <c r="C193" s="27" t="s">
        <v>91</v>
      </c>
      <c r="D193" s="30">
        <v>46064</v>
      </c>
      <c r="E193" s="27" t="s">
        <v>201</v>
      </c>
      <c r="F193" s="27" t="s">
        <v>126</v>
      </c>
      <c r="G193" s="27" t="s">
        <v>228</v>
      </c>
      <c r="H193" s="27" t="s">
        <v>125</v>
      </c>
      <c r="I193" s="27" t="s">
        <v>547</v>
      </c>
      <c r="J193" s="27" t="s">
        <v>177</v>
      </c>
      <c r="K193" s="10">
        <v>40</v>
      </c>
      <c r="L193" s="36" t="s">
        <v>263</v>
      </c>
      <c r="M193" s="37" t="s">
        <v>275</v>
      </c>
      <c r="N193" s="37" t="s">
        <v>309</v>
      </c>
      <c r="O193" s="27"/>
      <c r="P193" s="27"/>
      <c r="Q193" s="27" t="s">
        <v>548</v>
      </c>
      <c r="R193" s="27"/>
      <c r="S193" s="1" t="s">
        <v>264</v>
      </c>
      <c r="T193" s="29" t="s">
        <v>265</v>
      </c>
      <c r="U193" s="30">
        <v>46059</v>
      </c>
      <c r="V193" s="27"/>
      <c r="W193" s="27"/>
    </row>
    <row r="194" spans="1:23" ht="24" customHeight="1">
      <c r="A194" s="27" t="str">
        <f t="shared" ca="1" si="2"/>
        <v>EVT-2026-0192</v>
      </c>
      <c r="B194" s="27">
        <v>2026</v>
      </c>
      <c r="C194" s="27" t="s">
        <v>91</v>
      </c>
      <c r="D194" s="30">
        <v>46064</v>
      </c>
      <c r="E194" s="27" t="s">
        <v>201</v>
      </c>
      <c r="F194" s="27" t="s">
        <v>126</v>
      </c>
      <c r="G194" s="27" t="s">
        <v>202</v>
      </c>
      <c r="H194" s="27" t="s">
        <v>239</v>
      </c>
      <c r="I194" s="27" t="s">
        <v>549</v>
      </c>
      <c r="J194" s="27" t="s">
        <v>177</v>
      </c>
      <c r="K194" s="10">
        <v>100</v>
      </c>
      <c r="L194" s="38" t="s">
        <v>294</v>
      </c>
      <c r="M194" s="37" t="s">
        <v>316</v>
      </c>
      <c r="N194" s="37" t="s">
        <v>550</v>
      </c>
      <c r="O194" s="27"/>
      <c r="P194" s="27"/>
      <c r="Q194" s="27" t="s">
        <v>551</v>
      </c>
      <c r="R194" s="27"/>
      <c r="S194" s="1" t="s">
        <v>264</v>
      </c>
      <c r="T194" s="29" t="s">
        <v>265</v>
      </c>
      <c r="U194" s="30">
        <v>46057</v>
      </c>
      <c r="V194" s="27" t="s">
        <v>298</v>
      </c>
      <c r="W194" s="27"/>
    </row>
    <row r="195" spans="1:23" ht="24" customHeight="1">
      <c r="A195" s="27" t="str">
        <f t="shared" ref="A195:A258" ca="1" si="3">IF(OR(D195&lt;&gt;"",H195&lt;&gt;"",I195&lt;&gt;"",Q195&lt;&gt;"",S195&lt;&gt;""), "EVT-" &amp; TEXT(B195, "0000") &amp; "-" &amp; TEXT(COUNTIF(OFFSET($A$1, 1, 0, ROW()-2, 1), "EVT*") + 1, "0000"), "")</f>
        <v>EVT-2026-0193</v>
      </c>
      <c r="B195" s="27">
        <v>2026</v>
      </c>
      <c r="C195" s="27" t="s">
        <v>91</v>
      </c>
      <c r="D195" s="30">
        <v>46064</v>
      </c>
      <c r="E195" s="27" t="s">
        <v>201</v>
      </c>
      <c r="F195" s="27" t="s">
        <v>126</v>
      </c>
      <c r="G195" s="27" t="s">
        <v>202</v>
      </c>
      <c r="H195" s="27" t="s">
        <v>239</v>
      </c>
      <c r="I195" s="27" t="s">
        <v>525</v>
      </c>
      <c r="J195" s="27" t="s">
        <v>177</v>
      </c>
      <c r="K195" s="10">
        <v>180</v>
      </c>
      <c r="L195" s="38" t="s">
        <v>294</v>
      </c>
      <c r="M195" s="37" t="s">
        <v>295</v>
      </c>
      <c r="N195" s="37" t="s">
        <v>290</v>
      </c>
      <c r="O195" s="27"/>
      <c r="P195" s="27"/>
      <c r="Q195" s="27" t="s">
        <v>378</v>
      </c>
      <c r="R195" s="27"/>
      <c r="S195" s="1" t="s">
        <v>264</v>
      </c>
      <c r="T195" s="29" t="s">
        <v>265</v>
      </c>
      <c r="U195" s="30">
        <v>46059</v>
      </c>
      <c r="V195" s="27" t="s">
        <v>298</v>
      </c>
      <c r="W195" s="27"/>
    </row>
    <row r="196" spans="1:23" ht="24" customHeight="1">
      <c r="A196" s="27" t="str">
        <f t="shared" ca="1" si="3"/>
        <v>EVT-2026-0194</v>
      </c>
      <c r="B196" s="27">
        <v>2026</v>
      </c>
      <c r="C196" s="27" t="s">
        <v>91</v>
      </c>
      <c r="D196" s="30">
        <v>46064</v>
      </c>
      <c r="E196" s="27" t="s">
        <v>201</v>
      </c>
      <c r="F196" s="27" t="s">
        <v>126</v>
      </c>
      <c r="G196" s="27" t="s">
        <v>202</v>
      </c>
      <c r="H196" s="27" t="s">
        <v>138</v>
      </c>
      <c r="I196" s="27" t="s">
        <v>552</v>
      </c>
      <c r="J196" s="27" t="s">
        <v>127</v>
      </c>
      <c r="K196" s="10">
        <v>90</v>
      </c>
      <c r="L196" s="36" t="s">
        <v>263</v>
      </c>
      <c r="M196" s="37" t="s">
        <v>274</v>
      </c>
      <c r="N196" s="37" t="s">
        <v>553</v>
      </c>
      <c r="O196" s="27"/>
      <c r="P196" s="27"/>
      <c r="Q196" s="27" t="s">
        <v>554</v>
      </c>
      <c r="R196" s="27"/>
      <c r="S196" s="1" t="s">
        <v>264</v>
      </c>
      <c r="T196" s="29" t="s">
        <v>265</v>
      </c>
      <c r="U196" s="30">
        <v>46049</v>
      </c>
      <c r="V196" s="27" t="s">
        <v>298</v>
      </c>
      <c r="W196" s="27"/>
    </row>
    <row r="197" spans="1:23" ht="24" customHeight="1">
      <c r="A197" s="27" t="str">
        <f t="shared" ca="1" si="3"/>
        <v>EVT-2026-0195</v>
      </c>
      <c r="B197" s="27">
        <v>2026</v>
      </c>
      <c r="C197" s="27" t="s">
        <v>91</v>
      </c>
      <c r="D197" s="30">
        <v>46064</v>
      </c>
      <c r="E197" s="27" t="s">
        <v>201</v>
      </c>
      <c r="F197" s="27" t="s">
        <v>126</v>
      </c>
      <c r="G197" s="27" t="s">
        <v>202</v>
      </c>
      <c r="H197" s="27" t="s">
        <v>138</v>
      </c>
      <c r="I197" s="27" t="s">
        <v>555</v>
      </c>
      <c r="J197" s="27" t="s">
        <v>134</v>
      </c>
      <c r="K197" s="10">
        <v>20</v>
      </c>
      <c r="L197" s="36" t="s">
        <v>263</v>
      </c>
      <c r="M197" s="37" t="s">
        <v>309</v>
      </c>
      <c r="N197" s="37" t="s">
        <v>295</v>
      </c>
      <c r="O197" s="27"/>
      <c r="P197" s="27"/>
      <c r="Q197" s="27" t="s">
        <v>556</v>
      </c>
      <c r="R197" s="27"/>
      <c r="S197" s="3" t="s">
        <v>312</v>
      </c>
      <c r="T197" s="29" t="s">
        <v>265</v>
      </c>
      <c r="U197" s="30">
        <v>46058</v>
      </c>
      <c r="V197" s="27" t="s">
        <v>557</v>
      </c>
      <c r="W197" s="27"/>
    </row>
    <row r="198" spans="1:23" ht="24" customHeight="1">
      <c r="A198" s="27" t="str">
        <f t="shared" ca="1" si="3"/>
        <v>EVT-2026-0196</v>
      </c>
      <c r="B198" s="27">
        <v>2026</v>
      </c>
      <c r="C198" s="27" t="s">
        <v>91</v>
      </c>
      <c r="D198" s="30">
        <v>46065</v>
      </c>
      <c r="E198" s="27" t="s">
        <v>216</v>
      </c>
      <c r="F198" s="27" t="s">
        <v>126</v>
      </c>
      <c r="G198" s="27" t="s">
        <v>202</v>
      </c>
      <c r="H198" s="27" t="s">
        <v>138</v>
      </c>
      <c r="I198" s="27" t="s">
        <v>558</v>
      </c>
      <c r="J198" s="27" t="s">
        <v>165</v>
      </c>
      <c r="K198" s="10">
        <v>20</v>
      </c>
      <c r="L198" s="36" t="s">
        <v>263</v>
      </c>
      <c r="M198" s="37" t="s">
        <v>350</v>
      </c>
      <c r="N198" s="37" t="s">
        <v>295</v>
      </c>
      <c r="O198" s="27"/>
      <c r="P198" s="27"/>
      <c r="Q198" s="27" t="s">
        <v>378</v>
      </c>
      <c r="R198" s="27"/>
      <c r="S198" s="1" t="s">
        <v>264</v>
      </c>
      <c r="T198" s="29" t="s">
        <v>265</v>
      </c>
      <c r="U198" s="30">
        <v>46059</v>
      </c>
      <c r="V198" s="27" t="s">
        <v>500</v>
      </c>
      <c r="W198" s="27"/>
    </row>
    <row r="199" spans="1:23" ht="24" customHeight="1">
      <c r="A199" s="27" t="str">
        <f t="shared" ca="1" si="3"/>
        <v>EVT-2026-0197</v>
      </c>
      <c r="B199" s="27">
        <v>2026</v>
      </c>
      <c r="C199" s="27" t="s">
        <v>91</v>
      </c>
      <c r="D199" s="30">
        <v>46065</v>
      </c>
      <c r="E199" s="27" t="s">
        <v>216</v>
      </c>
      <c r="F199" s="27" t="s">
        <v>126</v>
      </c>
      <c r="G199" s="27" t="s">
        <v>208</v>
      </c>
      <c r="H199" s="27" t="s">
        <v>348</v>
      </c>
      <c r="I199" s="27" t="s">
        <v>349</v>
      </c>
      <c r="J199" s="27" t="s">
        <v>145</v>
      </c>
      <c r="K199" s="10">
        <v>50</v>
      </c>
      <c r="L199" s="36" t="s">
        <v>263</v>
      </c>
      <c r="M199" s="37" t="s">
        <v>350</v>
      </c>
      <c r="N199" s="37" t="s">
        <v>296</v>
      </c>
      <c r="O199" s="27"/>
      <c r="P199" s="27"/>
      <c r="Q199" s="27" t="s">
        <v>351</v>
      </c>
      <c r="R199" s="27"/>
      <c r="S199" s="1" t="s">
        <v>264</v>
      </c>
      <c r="T199" s="29" t="s">
        <v>265</v>
      </c>
      <c r="U199" s="30">
        <v>46008</v>
      </c>
      <c r="V199" s="27" t="s">
        <v>303</v>
      </c>
      <c r="W199" s="27"/>
    </row>
    <row r="200" spans="1:23" ht="24" customHeight="1">
      <c r="A200" s="27" t="str">
        <f t="shared" ca="1" si="3"/>
        <v>EVT-2026-0198</v>
      </c>
      <c r="B200" s="27">
        <v>2026</v>
      </c>
      <c r="C200" s="27" t="s">
        <v>91</v>
      </c>
      <c r="D200" s="30">
        <v>46065</v>
      </c>
      <c r="E200" s="27" t="s">
        <v>216</v>
      </c>
      <c r="F200" s="27" t="s">
        <v>126</v>
      </c>
      <c r="G200" s="27" t="s">
        <v>228</v>
      </c>
      <c r="H200" s="27" t="s">
        <v>125</v>
      </c>
      <c r="I200" s="27" t="s">
        <v>559</v>
      </c>
      <c r="J200" s="27" t="s">
        <v>177</v>
      </c>
      <c r="K200" s="10">
        <v>0</v>
      </c>
      <c r="L200" s="36" t="s">
        <v>263</v>
      </c>
      <c r="M200" s="37" t="s">
        <v>506</v>
      </c>
      <c r="N200" s="37" t="s">
        <v>354</v>
      </c>
      <c r="O200" s="27"/>
      <c r="P200" s="27"/>
      <c r="Q200" s="27" t="s">
        <v>560</v>
      </c>
      <c r="R200" s="27"/>
      <c r="S200" s="3" t="s">
        <v>312</v>
      </c>
      <c r="T200" s="29" t="s">
        <v>265</v>
      </c>
      <c r="U200" s="30">
        <v>46063</v>
      </c>
      <c r="V200" s="27" t="s">
        <v>298</v>
      </c>
      <c r="W200" s="27"/>
    </row>
    <row r="201" spans="1:23" ht="24" customHeight="1">
      <c r="A201" s="27" t="str">
        <f t="shared" ca="1" si="3"/>
        <v>EVT-2026-0199</v>
      </c>
      <c r="B201" s="27">
        <v>2026</v>
      </c>
      <c r="C201" s="27" t="s">
        <v>91</v>
      </c>
      <c r="D201" s="30">
        <v>46065</v>
      </c>
      <c r="E201" s="27" t="s">
        <v>216</v>
      </c>
      <c r="F201" s="27" t="s">
        <v>126</v>
      </c>
      <c r="G201" s="27" t="s">
        <v>228</v>
      </c>
      <c r="H201" s="27" t="s">
        <v>125</v>
      </c>
      <c r="I201" s="27" t="s">
        <v>561</v>
      </c>
      <c r="J201" s="27" t="s">
        <v>177</v>
      </c>
      <c r="K201" s="10">
        <v>25</v>
      </c>
      <c r="L201" s="36" t="s">
        <v>263</v>
      </c>
      <c r="M201" s="37" t="s">
        <v>289</v>
      </c>
      <c r="N201" s="37" t="s">
        <v>290</v>
      </c>
      <c r="O201" s="27"/>
      <c r="P201" s="27"/>
      <c r="Q201" s="27" t="s">
        <v>562</v>
      </c>
      <c r="R201" s="27"/>
      <c r="S201" s="1" t="s">
        <v>264</v>
      </c>
      <c r="T201" s="29" t="s">
        <v>265</v>
      </c>
      <c r="U201" s="27"/>
      <c r="V201" s="27" t="s">
        <v>298</v>
      </c>
      <c r="W201" s="27"/>
    </row>
    <row r="202" spans="1:23" ht="24" customHeight="1">
      <c r="A202" s="27" t="str">
        <f t="shared" ca="1" si="3"/>
        <v>EVT-2026-0200</v>
      </c>
      <c r="B202" s="27">
        <v>2026</v>
      </c>
      <c r="C202" s="27" t="s">
        <v>91</v>
      </c>
      <c r="D202" s="30">
        <v>46065</v>
      </c>
      <c r="E202" s="27" t="s">
        <v>216</v>
      </c>
      <c r="F202" s="27" t="s">
        <v>126</v>
      </c>
      <c r="G202" s="27" t="s">
        <v>202</v>
      </c>
      <c r="H202" s="27" t="s">
        <v>563</v>
      </c>
      <c r="I202" s="27" t="s">
        <v>564</v>
      </c>
      <c r="J202" s="27" t="s">
        <v>127</v>
      </c>
      <c r="K202" s="10">
        <v>50</v>
      </c>
      <c r="L202" s="36" t="s">
        <v>263</v>
      </c>
      <c r="M202" s="37" t="s">
        <v>274</v>
      </c>
      <c r="N202" s="37" t="s">
        <v>429</v>
      </c>
      <c r="O202" s="27"/>
      <c r="P202" s="27"/>
      <c r="Q202" s="27" t="s">
        <v>565</v>
      </c>
      <c r="R202" s="27"/>
      <c r="S202" s="1" t="s">
        <v>264</v>
      </c>
      <c r="T202" s="29" t="s">
        <v>265</v>
      </c>
      <c r="U202" s="27"/>
      <c r="V202" s="27" t="s">
        <v>298</v>
      </c>
      <c r="W202" s="27"/>
    </row>
    <row r="203" spans="1:23" ht="24" customHeight="1">
      <c r="A203" s="27" t="str">
        <f t="shared" ca="1" si="3"/>
        <v>EVT-2026-0201</v>
      </c>
      <c r="B203" s="27">
        <v>2026</v>
      </c>
      <c r="C203" s="27" t="s">
        <v>91</v>
      </c>
      <c r="D203" s="30">
        <v>46065</v>
      </c>
      <c r="E203" s="27" t="s">
        <v>216</v>
      </c>
      <c r="F203" s="27" t="s">
        <v>126</v>
      </c>
      <c r="G203" s="27" t="s">
        <v>202</v>
      </c>
      <c r="H203" s="27" t="s">
        <v>348</v>
      </c>
      <c r="I203" s="27" t="s">
        <v>566</v>
      </c>
      <c r="J203" s="27" t="s">
        <v>139</v>
      </c>
      <c r="K203" s="10">
        <v>20</v>
      </c>
      <c r="L203" s="36" t="s">
        <v>263</v>
      </c>
      <c r="M203" s="37" t="s">
        <v>295</v>
      </c>
      <c r="N203" s="37" t="s">
        <v>296</v>
      </c>
      <c r="O203" s="27"/>
      <c r="P203" s="27"/>
      <c r="Q203" s="27" t="s">
        <v>567</v>
      </c>
      <c r="R203" s="27"/>
      <c r="S203" s="1" t="s">
        <v>264</v>
      </c>
      <c r="T203" s="29" t="s">
        <v>265</v>
      </c>
      <c r="U203" s="30">
        <v>46058</v>
      </c>
      <c r="V203" s="27" t="s">
        <v>298</v>
      </c>
      <c r="W203" s="27"/>
    </row>
    <row r="204" spans="1:23" ht="24" customHeight="1">
      <c r="A204" s="27" t="str">
        <f t="shared" ca="1" si="3"/>
        <v>EVT-2026-0202</v>
      </c>
      <c r="B204" s="27">
        <v>2026</v>
      </c>
      <c r="C204" s="27" t="s">
        <v>91</v>
      </c>
      <c r="D204" s="30">
        <v>46066</v>
      </c>
      <c r="E204" s="27" t="s">
        <v>220</v>
      </c>
      <c r="F204" s="27" t="s">
        <v>126</v>
      </c>
      <c r="G204" s="27" t="s">
        <v>228</v>
      </c>
      <c r="H204" s="27" t="s">
        <v>125</v>
      </c>
      <c r="I204" s="27" t="s">
        <v>559</v>
      </c>
      <c r="J204" s="27" t="s">
        <v>177</v>
      </c>
      <c r="K204" s="10">
        <v>40</v>
      </c>
      <c r="L204" s="36" t="s">
        <v>263</v>
      </c>
      <c r="M204" s="37" t="s">
        <v>506</v>
      </c>
      <c r="N204" s="37" t="s">
        <v>354</v>
      </c>
      <c r="O204" s="27"/>
      <c r="P204" s="27"/>
      <c r="Q204" s="27" t="s">
        <v>560</v>
      </c>
      <c r="R204" s="27"/>
      <c r="S204" s="1" t="s">
        <v>264</v>
      </c>
      <c r="T204" s="29" t="s">
        <v>265</v>
      </c>
      <c r="U204" s="30">
        <v>46063</v>
      </c>
      <c r="V204" s="27" t="s">
        <v>298</v>
      </c>
      <c r="W204" s="27"/>
    </row>
    <row r="205" spans="1:23" ht="24" customHeight="1">
      <c r="A205" s="27" t="str">
        <f t="shared" ca="1" si="3"/>
        <v>EVT-2026-0203</v>
      </c>
      <c r="B205" s="27">
        <v>2026</v>
      </c>
      <c r="C205" s="27" t="s">
        <v>91</v>
      </c>
      <c r="D205" s="30">
        <v>46066</v>
      </c>
      <c r="E205" s="27" t="s">
        <v>220</v>
      </c>
      <c r="F205" s="27" t="s">
        <v>126</v>
      </c>
      <c r="G205" s="27" t="s">
        <v>202</v>
      </c>
      <c r="H205" s="27" t="s">
        <v>563</v>
      </c>
      <c r="I205" s="27" t="s">
        <v>568</v>
      </c>
      <c r="J205" s="27" t="s">
        <v>165</v>
      </c>
      <c r="K205" s="10">
        <v>15</v>
      </c>
      <c r="L205" s="36" t="s">
        <v>263</v>
      </c>
      <c r="M205" s="37" t="s">
        <v>275</v>
      </c>
      <c r="N205" s="37" t="s">
        <v>350</v>
      </c>
      <c r="O205" s="27"/>
      <c r="P205" s="27"/>
      <c r="Q205" s="27" t="s">
        <v>569</v>
      </c>
      <c r="R205" s="27"/>
      <c r="S205" s="1" t="s">
        <v>264</v>
      </c>
      <c r="T205" s="29" t="s">
        <v>265</v>
      </c>
      <c r="U205" s="27"/>
      <c r="V205" s="27" t="s">
        <v>321</v>
      </c>
      <c r="W205" s="27"/>
    </row>
    <row r="206" spans="1:23" ht="24" customHeight="1">
      <c r="A206" s="27" t="str">
        <f t="shared" ca="1" si="3"/>
        <v>EVT-2026-0204</v>
      </c>
      <c r="B206" s="27">
        <v>2026</v>
      </c>
      <c r="C206" s="27" t="s">
        <v>91</v>
      </c>
      <c r="D206" s="30">
        <v>46067</v>
      </c>
      <c r="E206" s="27" t="s">
        <v>266</v>
      </c>
      <c r="F206" s="27" t="s">
        <v>126</v>
      </c>
      <c r="G206" s="27" t="s">
        <v>420</v>
      </c>
      <c r="H206" s="27" t="s">
        <v>300</v>
      </c>
      <c r="I206" s="27"/>
      <c r="J206" s="27" t="s">
        <v>145</v>
      </c>
      <c r="K206" s="10">
        <v>0</v>
      </c>
      <c r="L206" s="36" t="s">
        <v>263</v>
      </c>
      <c r="M206" s="37"/>
      <c r="N206" s="37"/>
      <c r="O206" s="27"/>
      <c r="P206" s="27"/>
      <c r="Q206" s="27" t="s">
        <v>570</v>
      </c>
      <c r="R206" s="27"/>
      <c r="S206" s="3" t="s">
        <v>312</v>
      </c>
      <c r="T206" s="29" t="s">
        <v>265</v>
      </c>
      <c r="U206" s="27"/>
      <c r="V206" s="27"/>
      <c r="W206" s="27"/>
    </row>
    <row r="207" spans="1:23" ht="24" customHeight="1">
      <c r="A207" s="27" t="str">
        <f t="shared" ca="1" si="3"/>
        <v>EVT-2026-0205</v>
      </c>
      <c r="B207" s="27">
        <v>2026</v>
      </c>
      <c r="C207" s="27" t="s">
        <v>91</v>
      </c>
      <c r="D207" s="30">
        <v>46068</v>
      </c>
      <c r="E207" s="27" t="s">
        <v>267</v>
      </c>
      <c r="F207" s="27" t="s">
        <v>126</v>
      </c>
      <c r="G207" s="27"/>
      <c r="H207" s="27"/>
      <c r="I207" s="27"/>
      <c r="J207" s="27" t="s">
        <v>177</v>
      </c>
      <c r="K207" s="10">
        <v>0</v>
      </c>
      <c r="L207" s="36" t="s">
        <v>263</v>
      </c>
      <c r="M207" s="37"/>
      <c r="N207" s="37"/>
      <c r="O207" s="27"/>
      <c r="P207" s="27"/>
      <c r="Q207" s="27"/>
      <c r="R207" s="27"/>
      <c r="S207" s="1" t="s">
        <v>264</v>
      </c>
      <c r="T207" s="29" t="s">
        <v>265</v>
      </c>
      <c r="U207" s="27"/>
      <c r="V207" s="27"/>
      <c r="W207" s="27"/>
    </row>
    <row r="208" spans="1:23" ht="24" customHeight="1">
      <c r="A208" s="27" t="str">
        <f t="shared" ca="1" si="3"/>
        <v>EVT-2026-0206</v>
      </c>
      <c r="B208" s="27">
        <v>2026</v>
      </c>
      <c r="C208" s="27" t="s">
        <v>91</v>
      </c>
      <c r="D208" s="30">
        <v>46069</v>
      </c>
      <c r="E208" s="27" t="s">
        <v>224</v>
      </c>
      <c r="F208" s="27" t="s">
        <v>126</v>
      </c>
      <c r="G208" s="27" t="s">
        <v>202</v>
      </c>
      <c r="H208" s="27" t="s">
        <v>348</v>
      </c>
      <c r="I208" s="27" t="s">
        <v>571</v>
      </c>
      <c r="J208" s="27" t="s">
        <v>134</v>
      </c>
      <c r="K208" s="10">
        <v>0</v>
      </c>
      <c r="L208" s="36" t="s">
        <v>263</v>
      </c>
      <c r="M208" s="37" t="s">
        <v>269</v>
      </c>
      <c r="N208" s="37" t="s">
        <v>270</v>
      </c>
      <c r="O208" s="27"/>
      <c r="P208" s="27"/>
      <c r="Q208" s="27"/>
      <c r="R208" s="27"/>
      <c r="S208" s="3" t="s">
        <v>312</v>
      </c>
      <c r="T208" s="29" t="s">
        <v>265</v>
      </c>
      <c r="U208" s="27"/>
      <c r="V208" s="27"/>
      <c r="W208" s="27"/>
    </row>
    <row r="209" spans="1:23" ht="24" customHeight="1">
      <c r="A209" s="27" t="str">
        <f t="shared" ca="1" si="3"/>
        <v>EVT-2026-0207</v>
      </c>
      <c r="B209" s="27">
        <v>2026</v>
      </c>
      <c r="C209" s="27" t="s">
        <v>91</v>
      </c>
      <c r="D209" s="30">
        <v>46069</v>
      </c>
      <c r="E209" s="27" t="s">
        <v>224</v>
      </c>
      <c r="F209" s="27" t="s">
        <v>126</v>
      </c>
      <c r="G209" s="27" t="s">
        <v>228</v>
      </c>
      <c r="H209" s="27" t="s">
        <v>125</v>
      </c>
      <c r="I209" s="27" t="s">
        <v>572</v>
      </c>
      <c r="J209" s="27" t="s">
        <v>127</v>
      </c>
      <c r="K209" s="10">
        <v>80</v>
      </c>
      <c r="L209" s="36" t="s">
        <v>263</v>
      </c>
      <c r="M209" s="37" t="s">
        <v>281</v>
      </c>
      <c r="N209" s="37" t="s">
        <v>274</v>
      </c>
      <c r="O209" s="27"/>
      <c r="P209" s="27"/>
      <c r="Q209" s="27" t="s">
        <v>379</v>
      </c>
      <c r="R209" s="27"/>
      <c r="S209" s="1" t="s">
        <v>264</v>
      </c>
      <c r="T209" s="29" t="s">
        <v>265</v>
      </c>
      <c r="U209" s="30">
        <v>46059</v>
      </c>
      <c r="V209" s="27" t="s">
        <v>298</v>
      </c>
      <c r="W209" s="27"/>
    </row>
    <row r="210" spans="1:23" ht="24" customHeight="1">
      <c r="A210" s="27" t="str">
        <f t="shared" ca="1" si="3"/>
        <v>EVT-2026-0208</v>
      </c>
      <c r="B210" s="27">
        <v>2026</v>
      </c>
      <c r="C210" s="27" t="s">
        <v>91</v>
      </c>
      <c r="D210" s="30">
        <v>46069</v>
      </c>
      <c r="E210" s="27" t="s">
        <v>224</v>
      </c>
      <c r="F210" s="27" t="s">
        <v>126</v>
      </c>
      <c r="G210" s="27" t="s">
        <v>228</v>
      </c>
      <c r="H210" s="27" t="s">
        <v>125</v>
      </c>
      <c r="I210" s="27" t="s">
        <v>573</v>
      </c>
      <c r="J210" s="27" t="s">
        <v>177</v>
      </c>
      <c r="K210" s="10">
        <v>60</v>
      </c>
      <c r="L210" s="36" t="s">
        <v>263</v>
      </c>
      <c r="M210" s="37" t="s">
        <v>289</v>
      </c>
      <c r="N210" s="37" t="s">
        <v>359</v>
      </c>
      <c r="O210" s="27"/>
      <c r="P210" s="27"/>
      <c r="Q210" s="27" t="s">
        <v>574</v>
      </c>
      <c r="R210" s="27"/>
      <c r="S210" s="1" t="s">
        <v>264</v>
      </c>
      <c r="T210" s="29" t="s">
        <v>265</v>
      </c>
      <c r="U210" s="30">
        <v>46066</v>
      </c>
      <c r="V210" s="27" t="s">
        <v>500</v>
      </c>
      <c r="W210" s="27"/>
    </row>
    <row r="211" spans="1:23" ht="24" customHeight="1">
      <c r="A211" s="27" t="str">
        <f t="shared" ca="1" si="3"/>
        <v>EVT-2026-0209</v>
      </c>
      <c r="B211" s="27">
        <v>2026</v>
      </c>
      <c r="C211" s="27" t="s">
        <v>91</v>
      </c>
      <c r="D211" s="30">
        <v>46069</v>
      </c>
      <c r="E211" s="27" t="s">
        <v>224</v>
      </c>
      <c r="F211" s="27" t="s">
        <v>126</v>
      </c>
      <c r="G211" s="27" t="s">
        <v>202</v>
      </c>
      <c r="H211" s="27" t="s">
        <v>575</v>
      </c>
      <c r="I211" s="27" t="s">
        <v>525</v>
      </c>
      <c r="J211" s="27" t="s">
        <v>177</v>
      </c>
      <c r="K211" s="10">
        <v>25</v>
      </c>
      <c r="L211" s="36" t="s">
        <v>263</v>
      </c>
      <c r="M211" s="37" t="s">
        <v>309</v>
      </c>
      <c r="N211" s="37" t="s">
        <v>295</v>
      </c>
      <c r="O211" s="27"/>
      <c r="P211" s="27"/>
      <c r="Q211" s="27" t="s">
        <v>526</v>
      </c>
      <c r="R211" s="27"/>
      <c r="S211" s="1" t="s">
        <v>264</v>
      </c>
      <c r="T211" s="29" t="s">
        <v>265</v>
      </c>
      <c r="U211" s="27"/>
      <c r="V211" s="27" t="s">
        <v>298</v>
      </c>
      <c r="W211" s="27"/>
    </row>
    <row r="212" spans="1:23" ht="24" customHeight="1">
      <c r="A212" s="27" t="str">
        <f t="shared" ca="1" si="3"/>
        <v>EVT-2026-0210</v>
      </c>
      <c r="B212" s="27">
        <v>2026</v>
      </c>
      <c r="C212" s="27" t="s">
        <v>91</v>
      </c>
      <c r="D212" s="30">
        <v>46070</v>
      </c>
      <c r="E212" s="27" t="s">
        <v>227</v>
      </c>
      <c r="F212" s="27" t="s">
        <v>126</v>
      </c>
      <c r="G212" s="27" t="s">
        <v>202</v>
      </c>
      <c r="H212" s="27" t="s">
        <v>239</v>
      </c>
      <c r="I212" s="27" t="s">
        <v>576</v>
      </c>
      <c r="J212" s="27" t="s">
        <v>177</v>
      </c>
      <c r="K212" s="10">
        <v>0</v>
      </c>
      <c r="L212" s="36" t="s">
        <v>263</v>
      </c>
      <c r="M212" s="37" t="s">
        <v>274</v>
      </c>
      <c r="N212" s="37" t="s">
        <v>330</v>
      </c>
      <c r="O212" s="27"/>
      <c r="P212" s="27"/>
      <c r="Q212" s="27" t="s">
        <v>577</v>
      </c>
      <c r="R212" s="27"/>
      <c r="S212" s="1" t="s">
        <v>264</v>
      </c>
      <c r="T212" s="29" t="s">
        <v>265</v>
      </c>
      <c r="U212" s="30">
        <v>46065</v>
      </c>
      <c r="V212" s="27" t="s">
        <v>516</v>
      </c>
      <c r="W212" s="27"/>
    </row>
    <row r="213" spans="1:23" ht="24" customHeight="1">
      <c r="A213" s="27" t="str">
        <f t="shared" ca="1" si="3"/>
        <v>EVT-2026-0211</v>
      </c>
      <c r="B213" s="27">
        <v>2026</v>
      </c>
      <c r="C213" s="27" t="s">
        <v>91</v>
      </c>
      <c r="D213" s="30">
        <v>46070</v>
      </c>
      <c r="E213" s="27" t="s">
        <v>227</v>
      </c>
      <c r="F213" s="27" t="s">
        <v>126</v>
      </c>
      <c r="G213" s="27" t="s">
        <v>208</v>
      </c>
      <c r="H213" s="27" t="s">
        <v>348</v>
      </c>
      <c r="I213" s="27" t="s">
        <v>349</v>
      </c>
      <c r="J213" s="27" t="s">
        <v>145</v>
      </c>
      <c r="K213" s="10">
        <v>50</v>
      </c>
      <c r="L213" s="36" t="s">
        <v>263</v>
      </c>
      <c r="M213" s="37" t="s">
        <v>350</v>
      </c>
      <c r="N213" s="37" t="s">
        <v>296</v>
      </c>
      <c r="O213" s="27"/>
      <c r="P213" s="27"/>
      <c r="Q213" s="27" t="s">
        <v>351</v>
      </c>
      <c r="R213" s="27"/>
      <c r="S213" s="1" t="s">
        <v>264</v>
      </c>
      <c r="T213" s="29" t="s">
        <v>265</v>
      </c>
      <c r="U213" s="30">
        <v>46008</v>
      </c>
      <c r="V213" s="27" t="s">
        <v>303</v>
      </c>
      <c r="W213" s="27"/>
    </row>
    <row r="214" spans="1:23" ht="24" customHeight="1">
      <c r="A214" s="27" t="str">
        <f t="shared" ca="1" si="3"/>
        <v>EVT-2026-0212</v>
      </c>
      <c r="B214" s="27">
        <v>2026</v>
      </c>
      <c r="C214" s="27" t="s">
        <v>91</v>
      </c>
      <c r="D214" s="30">
        <v>46070</v>
      </c>
      <c r="E214" s="27" t="s">
        <v>227</v>
      </c>
      <c r="F214" s="27" t="s">
        <v>126</v>
      </c>
      <c r="G214" s="27"/>
      <c r="H214" s="27" t="s">
        <v>575</v>
      </c>
      <c r="I214" s="27" t="s">
        <v>555</v>
      </c>
      <c r="J214" s="27" t="s">
        <v>134</v>
      </c>
      <c r="K214" s="10">
        <v>20</v>
      </c>
      <c r="L214" s="36" t="s">
        <v>263</v>
      </c>
      <c r="M214" s="37" t="s">
        <v>295</v>
      </c>
      <c r="N214" s="37" t="s">
        <v>296</v>
      </c>
      <c r="O214" s="27"/>
      <c r="P214" s="27"/>
      <c r="Q214" s="27" t="s">
        <v>556</v>
      </c>
      <c r="R214" s="27"/>
      <c r="S214" s="3" t="s">
        <v>312</v>
      </c>
      <c r="T214" s="29" t="s">
        <v>265</v>
      </c>
      <c r="U214" s="30">
        <v>46062</v>
      </c>
      <c r="V214" s="27" t="s">
        <v>298</v>
      </c>
      <c r="W214" s="27"/>
    </row>
    <row r="215" spans="1:23" ht="24" customHeight="1">
      <c r="A215" s="27" t="str">
        <f t="shared" ca="1" si="3"/>
        <v>EVT-2026-0213</v>
      </c>
      <c r="B215" s="27">
        <v>2026</v>
      </c>
      <c r="C215" s="27" t="s">
        <v>91</v>
      </c>
      <c r="D215" s="30">
        <v>46070</v>
      </c>
      <c r="E215" s="27" t="s">
        <v>227</v>
      </c>
      <c r="F215" s="27" t="s">
        <v>126</v>
      </c>
      <c r="G215" s="27" t="s">
        <v>228</v>
      </c>
      <c r="H215" s="27" t="s">
        <v>125</v>
      </c>
      <c r="I215" s="27" t="s">
        <v>578</v>
      </c>
      <c r="J215" s="27" t="s">
        <v>134</v>
      </c>
      <c r="K215" s="10">
        <v>35</v>
      </c>
      <c r="L215" s="36" t="s">
        <v>263</v>
      </c>
      <c r="M215" s="37" t="s">
        <v>289</v>
      </c>
      <c r="N215" s="37" t="s">
        <v>296</v>
      </c>
      <c r="O215" s="27"/>
      <c r="P215" s="27"/>
      <c r="Q215" s="27" t="s">
        <v>351</v>
      </c>
      <c r="R215" s="27"/>
      <c r="S215" s="1" t="s">
        <v>264</v>
      </c>
      <c r="T215" s="29" t="s">
        <v>265</v>
      </c>
      <c r="U215" s="30">
        <v>46059</v>
      </c>
      <c r="V215" s="27" t="s">
        <v>303</v>
      </c>
      <c r="W215" s="27"/>
    </row>
    <row r="216" spans="1:23" ht="24" customHeight="1">
      <c r="A216" s="27" t="str">
        <f t="shared" ca="1" si="3"/>
        <v>EVT-2026-0214</v>
      </c>
      <c r="B216" s="27">
        <v>2026</v>
      </c>
      <c r="C216" s="27" t="s">
        <v>91</v>
      </c>
      <c r="D216" s="30">
        <v>46071</v>
      </c>
      <c r="E216" s="27" t="s">
        <v>201</v>
      </c>
      <c r="F216" s="27" t="s">
        <v>126</v>
      </c>
      <c r="G216" s="27" t="s">
        <v>208</v>
      </c>
      <c r="H216" s="27" t="s">
        <v>579</v>
      </c>
      <c r="I216" s="27" t="s">
        <v>440</v>
      </c>
      <c r="J216" s="27" t="s">
        <v>152</v>
      </c>
      <c r="K216" s="10">
        <v>1</v>
      </c>
      <c r="L216" s="36" t="s">
        <v>263</v>
      </c>
      <c r="M216" s="37" t="s">
        <v>269</v>
      </c>
      <c r="N216" s="37" t="s">
        <v>270</v>
      </c>
      <c r="O216" s="27"/>
      <c r="P216" s="27"/>
      <c r="Q216" s="27" t="s">
        <v>378</v>
      </c>
      <c r="R216" s="27"/>
      <c r="S216" s="1" t="s">
        <v>264</v>
      </c>
      <c r="T216" s="29" t="s">
        <v>265</v>
      </c>
      <c r="U216" s="30">
        <v>46063</v>
      </c>
      <c r="V216" s="27" t="s">
        <v>580</v>
      </c>
      <c r="W216" s="27"/>
    </row>
    <row r="217" spans="1:23" ht="24" customHeight="1">
      <c r="A217" s="27" t="str">
        <f t="shared" ca="1" si="3"/>
        <v>EVT-2026-0215</v>
      </c>
      <c r="B217" s="27">
        <v>2026</v>
      </c>
      <c r="C217" s="27" t="s">
        <v>91</v>
      </c>
      <c r="D217" s="30">
        <v>46071</v>
      </c>
      <c r="E217" s="27" t="s">
        <v>201</v>
      </c>
      <c r="F217" s="27" t="s">
        <v>126</v>
      </c>
      <c r="G217" s="27" t="s">
        <v>202</v>
      </c>
      <c r="H217" s="27" t="s">
        <v>581</v>
      </c>
      <c r="I217" s="27" t="s">
        <v>582</v>
      </c>
      <c r="J217" s="27" t="s">
        <v>127</v>
      </c>
      <c r="K217" s="10">
        <v>100</v>
      </c>
      <c r="L217" s="38" t="s">
        <v>294</v>
      </c>
      <c r="M217" s="37" t="s">
        <v>315</v>
      </c>
      <c r="N217" s="37" t="s">
        <v>330</v>
      </c>
      <c r="O217" s="27"/>
      <c r="P217" s="27"/>
      <c r="Q217" s="27" t="s">
        <v>583</v>
      </c>
      <c r="R217" s="27"/>
      <c r="S217" s="1" t="s">
        <v>264</v>
      </c>
      <c r="T217" s="29" t="s">
        <v>265</v>
      </c>
      <c r="U217" s="30">
        <v>46069</v>
      </c>
      <c r="V217" s="27" t="s">
        <v>298</v>
      </c>
      <c r="W217" s="27"/>
    </row>
    <row r="218" spans="1:23" ht="24" customHeight="1">
      <c r="A218" s="27" t="str">
        <f t="shared" ca="1" si="3"/>
        <v>EVT-2026-0216</v>
      </c>
      <c r="B218" s="27">
        <v>2026</v>
      </c>
      <c r="C218" s="27" t="s">
        <v>91</v>
      </c>
      <c r="D218" s="30">
        <v>46071</v>
      </c>
      <c r="E218" s="27" t="s">
        <v>201</v>
      </c>
      <c r="F218" s="27" t="s">
        <v>126</v>
      </c>
      <c r="G218" s="27" t="s">
        <v>202</v>
      </c>
      <c r="H218" s="27" t="s">
        <v>125</v>
      </c>
      <c r="I218" s="27" t="s">
        <v>584</v>
      </c>
      <c r="J218" s="27" t="s">
        <v>127</v>
      </c>
      <c r="K218" s="10">
        <v>100</v>
      </c>
      <c r="L218" s="38" t="s">
        <v>294</v>
      </c>
      <c r="M218" s="37" t="s">
        <v>338</v>
      </c>
      <c r="N218" s="37" t="s">
        <v>274</v>
      </c>
      <c r="O218" s="27"/>
      <c r="P218" s="27"/>
      <c r="Q218" s="27" t="s">
        <v>585</v>
      </c>
      <c r="R218" s="27"/>
      <c r="S218" s="1" t="s">
        <v>264</v>
      </c>
      <c r="T218" s="29" t="s">
        <v>265</v>
      </c>
      <c r="U218" s="30">
        <v>46063</v>
      </c>
      <c r="V218" s="27" t="s">
        <v>311</v>
      </c>
      <c r="W218" s="27"/>
    </row>
    <row r="219" spans="1:23" ht="24" customHeight="1">
      <c r="A219" s="27" t="str">
        <f t="shared" ca="1" si="3"/>
        <v>EVT-2026-0217</v>
      </c>
      <c r="B219" s="27">
        <v>2026</v>
      </c>
      <c r="C219" s="27" t="s">
        <v>91</v>
      </c>
      <c r="D219" s="30">
        <v>46071</v>
      </c>
      <c r="E219" s="27" t="s">
        <v>201</v>
      </c>
      <c r="F219" s="27" t="s">
        <v>126</v>
      </c>
      <c r="G219" s="27" t="s">
        <v>202</v>
      </c>
      <c r="H219" s="27" t="s">
        <v>348</v>
      </c>
      <c r="I219" s="27" t="s">
        <v>586</v>
      </c>
      <c r="J219" s="27" t="s">
        <v>127</v>
      </c>
      <c r="K219" s="10">
        <v>60</v>
      </c>
      <c r="L219" s="36" t="s">
        <v>263</v>
      </c>
      <c r="M219" s="37" t="s">
        <v>315</v>
      </c>
      <c r="N219" s="37" t="s">
        <v>506</v>
      </c>
      <c r="O219" s="27"/>
      <c r="P219" s="27"/>
      <c r="Q219" s="27" t="s">
        <v>587</v>
      </c>
      <c r="R219" s="27"/>
      <c r="S219" s="1" t="s">
        <v>264</v>
      </c>
      <c r="T219" s="29" t="s">
        <v>265</v>
      </c>
      <c r="U219" s="30">
        <v>46070</v>
      </c>
      <c r="V219" s="27"/>
      <c r="W219" s="27"/>
    </row>
    <row r="220" spans="1:23" ht="24" customHeight="1">
      <c r="A220" s="27" t="str">
        <f t="shared" ca="1" si="3"/>
        <v>EVT-2026-0218</v>
      </c>
      <c r="B220" s="27">
        <v>2026</v>
      </c>
      <c r="C220" s="27" t="s">
        <v>91</v>
      </c>
      <c r="D220" s="30">
        <v>46071</v>
      </c>
      <c r="E220" s="27" t="s">
        <v>201</v>
      </c>
      <c r="F220" s="27" t="s">
        <v>126</v>
      </c>
      <c r="G220" s="27" t="s">
        <v>228</v>
      </c>
      <c r="H220" s="27" t="s">
        <v>125</v>
      </c>
      <c r="I220" s="27" t="s">
        <v>588</v>
      </c>
      <c r="J220" s="27" t="s">
        <v>127</v>
      </c>
      <c r="K220" s="10">
        <v>80</v>
      </c>
      <c r="L220" s="36" t="s">
        <v>263</v>
      </c>
      <c r="M220" s="37" t="s">
        <v>274</v>
      </c>
      <c r="N220" s="37" t="s">
        <v>429</v>
      </c>
      <c r="O220" s="27"/>
      <c r="P220" s="27"/>
      <c r="Q220" s="27" t="s">
        <v>379</v>
      </c>
      <c r="R220" s="27"/>
      <c r="S220" s="1" t="s">
        <v>264</v>
      </c>
      <c r="T220" s="29" t="s">
        <v>265</v>
      </c>
      <c r="U220" s="30">
        <v>46042</v>
      </c>
      <c r="V220" s="27" t="s">
        <v>311</v>
      </c>
      <c r="W220" s="27"/>
    </row>
    <row r="221" spans="1:23" ht="24" customHeight="1">
      <c r="A221" s="27" t="str">
        <f t="shared" ca="1" si="3"/>
        <v>EVT-2026-0219</v>
      </c>
      <c r="B221" s="27">
        <v>2026</v>
      </c>
      <c r="C221" s="27" t="s">
        <v>91</v>
      </c>
      <c r="D221" s="30">
        <v>46071</v>
      </c>
      <c r="E221" s="27" t="s">
        <v>201</v>
      </c>
      <c r="F221" s="27" t="s">
        <v>126</v>
      </c>
      <c r="G221" s="27" t="s">
        <v>228</v>
      </c>
      <c r="H221" s="27" t="s">
        <v>125</v>
      </c>
      <c r="I221" s="27" t="s">
        <v>589</v>
      </c>
      <c r="J221" s="27" t="s">
        <v>127</v>
      </c>
      <c r="K221" s="10">
        <v>0</v>
      </c>
      <c r="L221" s="36" t="s">
        <v>263</v>
      </c>
      <c r="M221" s="37" t="s">
        <v>331</v>
      </c>
      <c r="N221" s="37" t="s">
        <v>309</v>
      </c>
      <c r="O221" s="27"/>
      <c r="P221" s="27"/>
      <c r="Q221" s="27" t="s">
        <v>590</v>
      </c>
      <c r="R221" s="27"/>
      <c r="S221" s="1" t="s">
        <v>264</v>
      </c>
      <c r="T221" s="29" t="s">
        <v>265</v>
      </c>
      <c r="U221" s="27"/>
      <c r="V221" s="27" t="s">
        <v>591</v>
      </c>
      <c r="W221" s="27"/>
    </row>
    <row r="222" spans="1:23" ht="24" customHeight="1">
      <c r="A222" s="27" t="str">
        <f t="shared" ca="1" si="3"/>
        <v>EVT-2026-0220</v>
      </c>
      <c r="B222" s="27">
        <v>2026</v>
      </c>
      <c r="C222" s="27" t="s">
        <v>91</v>
      </c>
      <c r="D222" s="30">
        <v>46072</v>
      </c>
      <c r="E222" s="27" t="s">
        <v>216</v>
      </c>
      <c r="F222" s="27" t="s">
        <v>126</v>
      </c>
      <c r="G222" s="27" t="s">
        <v>228</v>
      </c>
      <c r="H222" s="27" t="s">
        <v>125</v>
      </c>
      <c r="I222" s="27" t="s">
        <v>592</v>
      </c>
      <c r="J222" s="27" t="s">
        <v>127</v>
      </c>
      <c r="K222" s="10">
        <v>150</v>
      </c>
      <c r="L222" s="38" t="s">
        <v>294</v>
      </c>
      <c r="M222" s="37" t="s">
        <v>274</v>
      </c>
      <c r="N222" s="37" t="s">
        <v>429</v>
      </c>
      <c r="O222" s="27"/>
      <c r="P222" s="27" t="s">
        <v>593</v>
      </c>
      <c r="Q222" s="27" t="s">
        <v>594</v>
      </c>
      <c r="R222" s="27"/>
      <c r="S222" s="1" t="s">
        <v>264</v>
      </c>
      <c r="T222" s="29" t="s">
        <v>265</v>
      </c>
      <c r="U222" s="30">
        <v>46062</v>
      </c>
      <c r="V222" s="27" t="s">
        <v>298</v>
      </c>
      <c r="W222" s="27"/>
    </row>
    <row r="223" spans="1:23" ht="24" customHeight="1">
      <c r="A223" s="27" t="str">
        <f t="shared" ca="1" si="3"/>
        <v>EVT-2026-0221</v>
      </c>
      <c r="B223" s="27">
        <v>2026</v>
      </c>
      <c r="C223" s="27" t="s">
        <v>91</v>
      </c>
      <c r="D223" s="30">
        <v>46072</v>
      </c>
      <c r="E223" s="27" t="s">
        <v>216</v>
      </c>
      <c r="F223" s="27" t="s">
        <v>126</v>
      </c>
      <c r="G223" s="27" t="s">
        <v>228</v>
      </c>
      <c r="H223" s="27" t="s">
        <v>125</v>
      </c>
      <c r="I223" s="27" t="s">
        <v>595</v>
      </c>
      <c r="J223" s="27" t="s">
        <v>127</v>
      </c>
      <c r="K223" s="10">
        <v>180</v>
      </c>
      <c r="L223" s="38" t="s">
        <v>294</v>
      </c>
      <c r="M223" s="37" t="s">
        <v>331</v>
      </c>
      <c r="N223" s="37" t="s">
        <v>296</v>
      </c>
      <c r="O223" s="27"/>
      <c r="P223" s="27"/>
      <c r="Q223" s="27" t="s">
        <v>596</v>
      </c>
      <c r="R223" s="27"/>
      <c r="S223" s="1" t="s">
        <v>264</v>
      </c>
      <c r="T223" s="29" t="s">
        <v>265</v>
      </c>
      <c r="U223" s="30">
        <v>46028</v>
      </c>
      <c r="V223" s="27" t="s">
        <v>298</v>
      </c>
      <c r="W223" s="27"/>
    </row>
    <row r="224" spans="1:23" ht="24" customHeight="1">
      <c r="A224" s="27" t="str">
        <f t="shared" ca="1" si="3"/>
        <v>EVT-2026-0222</v>
      </c>
      <c r="B224" s="27">
        <v>2026</v>
      </c>
      <c r="C224" s="27" t="s">
        <v>91</v>
      </c>
      <c r="D224" s="30">
        <v>46072</v>
      </c>
      <c r="E224" s="27" t="s">
        <v>216</v>
      </c>
      <c r="F224" s="27" t="s">
        <v>126</v>
      </c>
      <c r="G224" s="27" t="s">
        <v>202</v>
      </c>
      <c r="H224" s="27" t="s">
        <v>389</v>
      </c>
      <c r="I224" s="27" t="s">
        <v>344</v>
      </c>
      <c r="J224" s="27" t="s">
        <v>134</v>
      </c>
      <c r="K224" s="10">
        <v>30</v>
      </c>
      <c r="L224" s="36" t="s">
        <v>263</v>
      </c>
      <c r="M224" s="37" t="s">
        <v>309</v>
      </c>
      <c r="N224" s="37" t="s">
        <v>295</v>
      </c>
      <c r="O224" s="27"/>
      <c r="P224" s="27"/>
      <c r="Q224" s="27" t="s">
        <v>526</v>
      </c>
      <c r="R224" s="27"/>
      <c r="S224" s="1" t="s">
        <v>264</v>
      </c>
      <c r="T224" s="29" t="s">
        <v>265</v>
      </c>
      <c r="U224" s="27"/>
      <c r="V224" s="27" t="s">
        <v>298</v>
      </c>
      <c r="W224" s="27"/>
    </row>
    <row r="225" spans="1:23" ht="24" customHeight="1">
      <c r="A225" s="27" t="str">
        <f t="shared" ca="1" si="3"/>
        <v>EVT-2026-0223</v>
      </c>
      <c r="B225" s="27">
        <v>2026</v>
      </c>
      <c r="C225" s="27" t="s">
        <v>91</v>
      </c>
      <c r="D225" s="30">
        <v>46072</v>
      </c>
      <c r="E225" s="27" t="s">
        <v>216</v>
      </c>
      <c r="F225" s="27" t="s">
        <v>126</v>
      </c>
      <c r="G225" s="27" t="s">
        <v>208</v>
      </c>
      <c r="H225" s="27" t="s">
        <v>348</v>
      </c>
      <c r="I225" s="27"/>
      <c r="J225" s="27" t="s">
        <v>177</v>
      </c>
      <c r="K225" s="10">
        <v>0</v>
      </c>
      <c r="L225" s="36" t="s">
        <v>263</v>
      </c>
      <c r="M225" s="37"/>
      <c r="N225" s="37"/>
      <c r="O225" s="27"/>
      <c r="P225" s="27"/>
      <c r="Q225" s="27"/>
      <c r="R225" s="27"/>
      <c r="S225" s="1" t="s">
        <v>264</v>
      </c>
      <c r="T225" s="29" t="s">
        <v>265</v>
      </c>
      <c r="U225" s="27"/>
      <c r="V225" s="27"/>
      <c r="W225" s="27"/>
    </row>
    <row r="226" spans="1:23" ht="24" customHeight="1">
      <c r="A226" s="27" t="str">
        <f t="shared" ca="1" si="3"/>
        <v>EVT-2026-0224</v>
      </c>
      <c r="B226" s="27">
        <v>2026</v>
      </c>
      <c r="C226" s="27" t="s">
        <v>91</v>
      </c>
      <c r="D226" s="30">
        <v>46072</v>
      </c>
      <c r="E226" s="27" t="s">
        <v>216</v>
      </c>
      <c r="F226" s="27" t="s">
        <v>126</v>
      </c>
      <c r="G226" s="27" t="s">
        <v>208</v>
      </c>
      <c r="H226" s="27" t="s">
        <v>348</v>
      </c>
      <c r="I226" s="27" t="s">
        <v>349</v>
      </c>
      <c r="J226" s="27" t="s">
        <v>145</v>
      </c>
      <c r="K226" s="10">
        <v>50</v>
      </c>
      <c r="L226" s="36" t="s">
        <v>263</v>
      </c>
      <c r="M226" s="37" t="s">
        <v>350</v>
      </c>
      <c r="N226" s="37" t="s">
        <v>296</v>
      </c>
      <c r="O226" s="27"/>
      <c r="P226" s="27"/>
      <c r="Q226" s="27" t="s">
        <v>351</v>
      </c>
      <c r="R226" s="27"/>
      <c r="S226" s="1" t="s">
        <v>264</v>
      </c>
      <c r="T226" s="29" t="s">
        <v>265</v>
      </c>
      <c r="U226" s="30">
        <v>46008</v>
      </c>
      <c r="V226" s="27" t="s">
        <v>303</v>
      </c>
      <c r="W226" s="27"/>
    </row>
    <row r="227" spans="1:23" ht="24" customHeight="1">
      <c r="A227" s="27" t="str">
        <f t="shared" ca="1" si="3"/>
        <v>EVT-2026-0225</v>
      </c>
      <c r="B227" s="27">
        <v>2026</v>
      </c>
      <c r="C227" s="27" t="s">
        <v>91</v>
      </c>
      <c r="D227" s="30">
        <v>46072</v>
      </c>
      <c r="E227" s="27" t="s">
        <v>216</v>
      </c>
      <c r="F227" s="27" t="s">
        <v>126</v>
      </c>
      <c r="G227" s="27" t="s">
        <v>202</v>
      </c>
      <c r="H227" s="27" t="s">
        <v>575</v>
      </c>
      <c r="I227" s="27" t="s">
        <v>597</v>
      </c>
      <c r="J227" s="27" t="s">
        <v>139</v>
      </c>
      <c r="K227" s="10">
        <v>60</v>
      </c>
      <c r="L227" s="36" t="s">
        <v>263</v>
      </c>
      <c r="M227" s="37" t="s">
        <v>330</v>
      </c>
      <c r="N227" s="37" t="s">
        <v>331</v>
      </c>
      <c r="O227" s="27"/>
      <c r="P227" s="27"/>
      <c r="Q227" s="27" t="s">
        <v>379</v>
      </c>
      <c r="R227" s="27"/>
      <c r="S227" s="1" t="s">
        <v>264</v>
      </c>
      <c r="T227" s="29" t="s">
        <v>265</v>
      </c>
      <c r="U227" s="30">
        <v>46071</v>
      </c>
      <c r="V227" s="27" t="s">
        <v>598</v>
      </c>
      <c r="W227" s="27"/>
    </row>
    <row r="228" spans="1:23" ht="24" customHeight="1">
      <c r="A228" s="27" t="str">
        <f t="shared" ca="1" si="3"/>
        <v>EVT-2026-0226</v>
      </c>
      <c r="B228" s="27">
        <v>2026</v>
      </c>
      <c r="C228" s="27" t="s">
        <v>91</v>
      </c>
      <c r="D228" s="30">
        <v>46073</v>
      </c>
      <c r="E228" s="27" t="s">
        <v>220</v>
      </c>
      <c r="F228" s="27" t="s">
        <v>126</v>
      </c>
      <c r="G228" s="27" t="s">
        <v>202</v>
      </c>
      <c r="H228" s="27" t="s">
        <v>239</v>
      </c>
      <c r="I228" s="27" t="s">
        <v>599</v>
      </c>
      <c r="J228" s="27" t="s">
        <v>177</v>
      </c>
      <c r="K228" s="10">
        <v>100</v>
      </c>
      <c r="L228" s="38" t="s">
        <v>294</v>
      </c>
      <c r="M228" s="37" t="s">
        <v>295</v>
      </c>
      <c r="N228" s="37" t="s">
        <v>270</v>
      </c>
      <c r="O228" s="27"/>
      <c r="P228" s="27"/>
      <c r="Q228" s="27" t="s">
        <v>600</v>
      </c>
      <c r="R228" s="27"/>
      <c r="S228" s="3" t="s">
        <v>312</v>
      </c>
      <c r="T228" s="29" t="s">
        <v>265</v>
      </c>
      <c r="U228" s="30">
        <v>46059</v>
      </c>
      <c r="V228" s="27" t="s">
        <v>298</v>
      </c>
      <c r="W228" s="27"/>
    </row>
    <row r="229" spans="1:23" ht="24" customHeight="1">
      <c r="A229" s="27" t="str">
        <f t="shared" ca="1" si="3"/>
        <v>EVT-2026-0227</v>
      </c>
      <c r="B229" s="27">
        <v>2026</v>
      </c>
      <c r="C229" s="27" t="s">
        <v>91</v>
      </c>
      <c r="D229" s="30">
        <v>46073</v>
      </c>
      <c r="E229" s="27" t="s">
        <v>220</v>
      </c>
      <c r="F229" s="27" t="s">
        <v>126</v>
      </c>
      <c r="G229" s="27" t="s">
        <v>228</v>
      </c>
      <c r="H229" s="27" t="s">
        <v>125</v>
      </c>
      <c r="I229" s="27" t="s">
        <v>601</v>
      </c>
      <c r="J229" s="27" t="s">
        <v>177</v>
      </c>
      <c r="K229" s="10">
        <v>110</v>
      </c>
      <c r="L229" s="38" t="s">
        <v>294</v>
      </c>
      <c r="M229" s="37" t="s">
        <v>274</v>
      </c>
      <c r="N229" s="37" t="s">
        <v>429</v>
      </c>
      <c r="O229" s="27"/>
      <c r="P229" s="27"/>
      <c r="Q229" s="27" t="s">
        <v>583</v>
      </c>
      <c r="R229" s="27"/>
      <c r="S229" s="3" t="s">
        <v>312</v>
      </c>
      <c r="T229" s="29" t="s">
        <v>265</v>
      </c>
      <c r="U229" s="30">
        <v>46064</v>
      </c>
      <c r="V229" s="27" t="s">
        <v>298</v>
      </c>
      <c r="W229" s="27"/>
    </row>
    <row r="230" spans="1:23" ht="24" customHeight="1">
      <c r="A230" s="27" t="str">
        <f t="shared" ca="1" si="3"/>
        <v>EVT-2026-0228</v>
      </c>
      <c r="B230" s="27">
        <v>2026</v>
      </c>
      <c r="C230" s="27" t="s">
        <v>91</v>
      </c>
      <c r="D230" s="30">
        <v>46073</v>
      </c>
      <c r="E230" s="27" t="s">
        <v>220</v>
      </c>
      <c r="F230" s="27" t="s">
        <v>126</v>
      </c>
      <c r="G230" s="27" t="s">
        <v>228</v>
      </c>
      <c r="H230" s="27" t="s">
        <v>125</v>
      </c>
      <c r="I230" s="27" t="s">
        <v>578</v>
      </c>
      <c r="J230" s="27" t="s">
        <v>134</v>
      </c>
      <c r="K230" s="10">
        <v>35</v>
      </c>
      <c r="L230" s="36" t="s">
        <v>263</v>
      </c>
      <c r="M230" s="37" t="s">
        <v>289</v>
      </c>
      <c r="N230" s="37" t="s">
        <v>296</v>
      </c>
      <c r="O230" s="27"/>
      <c r="P230" s="27"/>
      <c r="Q230" s="27" t="s">
        <v>351</v>
      </c>
      <c r="R230" s="27"/>
      <c r="S230" s="1" t="s">
        <v>264</v>
      </c>
      <c r="T230" s="29" t="s">
        <v>265</v>
      </c>
      <c r="U230" s="30">
        <v>46059</v>
      </c>
      <c r="V230" s="27" t="s">
        <v>298</v>
      </c>
      <c r="W230" s="27"/>
    </row>
    <row r="231" spans="1:23" ht="24" customHeight="1">
      <c r="A231" s="27" t="str">
        <f t="shared" ca="1" si="3"/>
        <v>EVT-2026-0229</v>
      </c>
      <c r="B231" s="27">
        <v>2026</v>
      </c>
      <c r="C231" s="27" t="s">
        <v>91</v>
      </c>
      <c r="D231" s="30">
        <v>46074</v>
      </c>
      <c r="E231" s="27" t="s">
        <v>266</v>
      </c>
      <c r="F231" s="27" t="s">
        <v>126</v>
      </c>
      <c r="G231" s="27" t="s">
        <v>202</v>
      </c>
      <c r="H231" s="27" t="s">
        <v>300</v>
      </c>
      <c r="I231" s="27"/>
      <c r="J231" s="27" t="s">
        <v>145</v>
      </c>
      <c r="K231" s="10">
        <v>0</v>
      </c>
      <c r="L231" s="36" t="s">
        <v>263</v>
      </c>
      <c r="M231" s="37"/>
      <c r="N231" s="37"/>
      <c r="O231" s="27"/>
      <c r="P231" s="27"/>
      <c r="Q231" s="27" t="s">
        <v>602</v>
      </c>
      <c r="R231" s="27"/>
      <c r="S231" s="1" t="s">
        <v>264</v>
      </c>
      <c r="T231" s="29" t="s">
        <v>265</v>
      </c>
      <c r="U231" s="27"/>
      <c r="V231" s="27" t="s">
        <v>467</v>
      </c>
      <c r="W231" s="27"/>
    </row>
    <row r="232" spans="1:23" ht="24" customHeight="1">
      <c r="A232" s="27" t="str">
        <f t="shared" ca="1" si="3"/>
        <v>EVT-2026-0230</v>
      </c>
      <c r="B232" s="27">
        <v>2026</v>
      </c>
      <c r="C232" s="27" t="s">
        <v>91</v>
      </c>
      <c r="D232" s="30">
        <v>46075</v>
      </c>
      <c r="E232" s="27" t="s">
        <v>267</v>
      </c>
      <c r="F232" s="27" t="s">
        <v>126</v>
      </c>
      <c r="G232" s="27"/>
      <c r="H232" s="27"/>
      <c r="I232" s="27"/>
      <c r="J232" s="27" t="s">
        <v>177</v>
      </c>
      <c r="K232" s="10">
        <v>0</v>
      </c>
      <c r="L232" s="36" t="s">
        <v>263</v>
      </c>
      <c r="M232" s="37"/>
      <c r="N232" s="37"/>
      <c r="O232" s="27"/>
      <c r="P232" s="27"/>
      <c r="Q232" s="27"/>
      <c r="R232" s="27"/>
      <c r="S232" s="1" t="s">
        <v>264</v>
      </c>
      <c r="T232" s="29" t="s">
        <v>265</v>
      </c>
      <c r="U232" s="27"/>
      <c r="V232" s="27"/>
      <c r="W232" s="27"/>
    </row>
    <row r="233" spans="1:23" ht="24" customHeight="1">
      <c r="A233" s="27" t="str">
        <f t="shared" ca="1" si="3"/>
        <v>EVT-2026-0231</v>
      </c>
      <c r="B233" s="27">
        <v>2026</v>
      </c>
      <c r="C233" s="27" t="s">
        <v>91</v>
      </c>
      <c r="D233" s="30">
        <v>46076</v>
      </c>
      <c r="E233" s="27" t="s">
        <v>224</v>
      </c>
      <c r="F233" s="27" t="s">
        <v>126</v>
      </c>
      <c r="G233" s="27" t="s">
        <v>228</v>
      </c>
      <c r="H233" s="27" t="s">
        <v>603</v>
      </c>
      <c r="I233" s="27" t="s">
        <v>440</v>
      </c>
      <c r="J233" s="27" t="s">
        <v>152</v>
      </c>
      <c r="K233" s="10">
        <v>1</v>
      </c>
      <c r="L233" s="36" t="s">
        <v>263</v>
      </c>
      <c r="M233" s="37" t="s">
        <v>604</v>
      </c>
      <c r="N233" s="37" t="s">
        <v>270</v>
      </c>
      <c r="O233" s="27"/>
      <c r="P233" s="27"/>
      <c r="Q233" s="27" t="s">
        <v>355</v>
      </c>
      <c r="R233" s="27"/>
      <c r="S233" s="1" t="s">
        <v>264</v>
      </c>
      <c r="T233" s="29" t="s">
        <v>265</v>
      </c>
      <c r="U233" s="30">
        <v>46062</v>
      </c>
      <c r="V233" s="27" t="s">
        <v>605</v>
      </c>
      <c r="W233" s="27"/>
    </row>
    <row r="234" spans="1:23" ht="24" customHeight="1">
      <c r="A234" s="27" t="str">
        <f t="shared" ca="1" si="3"/>
        <v>EVT-2026-0232</v>
      </c>
      <c r="B234" s="27">
        <v>2026</v>
      </c>
      <c r="C234" s="27" t="s">
        <v>91</v>
      </c>
      <c r="D234" s="30">
        <v>46076</v>
      </c>
      <c r="E234" s="27" t="s">
        <v>224</v>
      </c>
      <c r="F234" s="27" t="s">
        <v>126</v>
      </c>
      <c r="G234" s="27" t="s">
        <v>228</v>
      </c>
      <c r="H234" s="27" t="s">
        <v>125</v>
      </c>
      <c r="I234" s="27" t="s">
        <v>368</v>
      </c>
      <c r="J234" s="27" t="s">
        <v>139</v>
      </c>
      <c r="K234" s="10">
        <v>30</v>
      </c>
      <c r="L234" s="36" t="s">
        <v>263</v>
      </c>
      <c r="M234" s="37" t="s">
        <v>309</v>
      </c>
      <c r="N234" s="37" t="s">
        <v>270</v>
      </c>
      <c r="O234" s="27"/>
      <c r="P234" s="27" t="s">
        <v>369</v>
      </c>
      <c r="Q234" s="27" t="s">
        <v>370</v>
      </c>
      <c r="R234" s="27"/>
      <c r="S234" s="1" t="s">
        <v>264</v>
      </c>
      <c r="T234" s="29" t="s">
        <v>265</v>
      </c>
      <c r="U234" s="30">
        <v>46008</v>
      </c>
      <c r="V234" s="27" t="s">
        <v>298</v>
      </c>
      <c r="W234" s="27"/>
    </row>
    <row r="235" spans="1:23" ht="24" customHeight="1">
      <c r="A235" s="27" t="str">
        <f t="shared" ca="1" si="3"/>
        <v>EVT-2026-0233</v>
      </c>
      <c r="B235" s="27">
        <v>2026</v>
      </c>
      <c r="C235" s="27" t="s">
        <v>91</v>
      </c>
      <c r="D235" s="30">
        <v>46076</v>
      </c>
      <c r="E235" s="27" t="s">
        <v>224</v>
      </c>
      <c r="F235" s="27" t="s">
        <v>126</v>
      </c>
      <c r="G235" s="27" t="s">
        <v>202</v>
      </c>
      <c r="H235" s="27" t="s">
        <v>606</v>
      </c>
      <c r="I235" s="27" t="s">
        <v>607</v>
      </c>
      <c r="J235" s="27" t="s">
        <v>158</v>
      </c>
      <c r="K235" s="10">
        <v>35</v>
      </c>
      <c r="L235" s="36" t="s">
        <v>263</v>
      </c>
      <c r="M235" s="37" t="s">
        <v>331</v>
      </c>
      <c r="N235" s="37" t="s">
        <v>275</v>
      </c>
      <c r="O235" s="27"/>
      <c r="P235" s="27" t="s">
        <v>369</v>
      </c>
      <c r="Q235" s="27" t="s">
        <v>608</v>
      </c>
      <c r="R235" s="27"/>
      <c r="S235" s="1" t="s">
        <v>264</v>
      </c>
      <c r="T235" s="29" t="s">
        <v>265</v>
      </c>
      <c r="U235" s="30">
        <v>46073</v>
      </c>
      <c r="V235" s="27" t="s">
        <v>609</v>
      </c>
      <c r="W235" s="27"/>
    </row>
    <row r="236" spans="1:23" ht="24" customHeight="1">
      <c r="A236" s="27" t="str">
        <f t="shared" ca="1" si="3"/>
        <v>EVT-2026-0234</v>
      </c>
      <c r="B236" s="27">
        <v>2026</v>
      </c>
      <c r="C236" s="27" t="s">
        <v>91</v>
      </c>
      <c r="D236" s="30">
        <v>46076</v>
      </c>
      <c r="E236" s="27" t="s">
        <v>224</v>
      </c>
      <c r="F236" s="27" t="s">
        <v>126</v>
      </c>
      <c r="G236" s="27" t="s">
        <v>202</v>
      </c>
      <c r="H236" s="27" t="s">
        <v>348</v>
      </c>
      <c r="I236" s="27" t="s">
        <v>344</v>
      </c>
      <c r="J236" s="27" t="s">
        <v>134</v>
      </c>
      <c r="K236" s="10">
        <v>25</v>
      </c>
      <c r="L236" s="36" t="s">
        <v>263</v>
      </c>
      <c r="M236" s="37" t="s">
        <v>309</v>
      </c>
      <c r="N236" s="37" t="s">
        <v>295</v>
      </c>
      <c r="O236" s="27"/>
      <c r="P236" s="27" t="s">
        <v>610</v>
      </c>
      <c r="Q236" s="27" t="s">
        <v>526</v>
      </c>
      <c r="R236" s="27"/>
      <c r="S236" s="1" t="s">
        <v>264</v>
      </c>
      <c r="T236" s="29" t="s">
        <v>265</v>
      </c>
      <c r="U236" s="27"/>
      <c r="V236" s="27" t="s">
        <v>298</v>
      </c>
      <c r="W236" s="27"/>
    </row>
    <row r="237" spans="1:23" ht="24" customHeight="1">
      <c r="A237" s="27" t="str">
        <f t="shared" ca="1" si="3"/>
        <v>EVT-2026-0235</v>
      </c>
      <c r="B237" s="27">
        <v>2026</v>
      </c>
      <c r="C237" s="27" t="s">
        <v>91</v>
      </c>
      <c r="D237" s="30">
        <v>46076</v>
      </c>
      <c r="E237" s="27" t="s">
        <v>224</v>
      </c>
      <c r="F237" s="27" t="s">
        <v>126</v>
      </c>
      <c r="G237" s="27" t="s">
        <v>202</v>
      </c>
      <c r="H237" s="27" t="s">
        <v>611</v>
      </c>
      <c r="I237" s="27" t="s">
        <v>612</v>
      </c>
      <c r="J237" s="27" t="s">
        <v>177</v>
      </c>
      <c r="K237" s="10">
        <v>35</v>
      </c>
      <c r="L237" s="36" t="s">
        <v>263</v>
      </c>
      <c r="M237" s="37" t="s">
        <v>359</v>
      </c>
      <c r="N237" s="37" t="s">
        <v>290</v>
      </c>
      <c r="O237" s="27"/>
      <c r="P237" s="27"/>
      <c r="Q237" s="27" t="s">
        <v>608</v>
      </c>
      <c r="R237" s="27"/>
      <c r="S237" s="1" t="s">
        <v>264</v>
      </c>
      <c r="T237" s="29" t="s">
        <v>265</v>
      </c>
      <c r="U237" s="30">
        <v>46062</v>
      </c>
      <c r="V237" s="27" t="s">
        <v>613</v>
      </c>
      <c r="W237" s="27"/>
    </row>
    <row r="238" spans="1:23" ht="24" customHeight="1">
      <c r="A238" s="27" t="str">
        <f t="shared" ca="1" si="3"/>
        <v>EVT-2026-0236</v>
      </c>
      <c r="B238" s="27">
        <v>2026</v>
      </c>
      <c r="C238" s="27" t="s">
        <v>91</v>
      </c>
      <c r="D238" s="30">
        <v>46076</v>
      </c>
      <c r="E238" s="27" t="s">
        <v>224</v>
      </c>
      <c r="F238" s="27" t="s">
        <v>126</v>
      </c>
      <c r="G238" s="27" t="s">
        <v>202</v>
      </c>
      <c r="H238" s="27" t="s">
        <v>348</v>
      </c>
      <c r="I238" s="27" t="s">
        <v>614</v>
      </c>
      <c r="J238" s="27" t="s">
        <v>177</v>
      </c>
      <c r="K238" s="10">
        <v>65</v>
      </c>
      <c r="L238" s="36" t="s">
        <v>263</v>
      </c>
      <c r="M238" s="37" t="s">
        <v>331</v>
      </c>
      <c r="N238" s="37" t="s">
        <v>275</v>
      </c>
      <c r="O238" s="27"/>
      <c r="P238" s="27"/>
      <c r="Q238" s="27" t="s">
        <v>615</v>
      </c>
      <c r="R238" s="27"/>
      <c r="S238" s="1" t="s">
        <v>264</v>
      </c>
      <c r="T238" s="29" t="s">
        <v>265</v>
      </c>
      <c r="U238" s="30">
        <v>46073</v>
      </c>
      <c r="V238" s="27" t="s">
        <v>298</v>
      </c>
      <c r="W238" s="27"/>
    </row>
    <row r="239" spans="1:23" ht="24" customHeight="1">
      <c r="A239" s="27" t="str">
        <f t="shared" ca="1" si="3"/>
        <v>EVT-2026-0237</v>
      </c>
      <c r="B239" s="27">
        <v>2026</v>
      </c>
      <c r="C239" s="27" t="s">
        <v>91</v>
      </c>
      <c r="D239" s="30">
        <v>46076</v>
      </c>
      <c r="E239" s="27" t="s">
        <v>224</v>
      </c>
      <c r="F239" s="27" t="s">
        <v>126</v>
      </c>
      <c r="G239" s="27" t="s">
        <v>202</v>
      </c>
      <c r="H239" s="27" t="s">
        <v>616</v>
      </c>
      <c r="I239" s="27" t="s">
        <v>617</v>
      </c>
      <c r="J239" s="27" t="s">
        <v>165</v>
      </c>
      <c r="K239" s="10">
        <v>30</v>
      </c>
      <c r="L239" s="36" t="s">
        <v>263</v>
      </c>
      <c r="M239" s="37" t="s">
        <v>330</v>
      </c>
      <c r="N239" s="37" t="s">
        <v>331</v>
      </c>
      <c r="O239" s="27"/>
      <c r="P239" s="27"/>
      <c r="Q239" s="27" t="s">
        <v>618</v>
      </c>
      <c r="R239" s="27"/>
      <c r="S239" s="1" t="s">
        <v>264</v>
      </c>
      <c r="T239" s="29" t="s">
        <v>265</v>
      </c>
      <c r="U239" s="30">
        <v>46073</v>
      </c>
      <c r="V239" s="27" t="s">
        <v>298</v>
      </c>
      <c r="W239" s="27"/>
    </row>
    <row r="240" spans="1:23" ht="24" customHeight="1">
      <c r="A240" s="27" t="str">
        <f t="shared" ca="1" si="3"/>
        <v>EVT-2026-0238</v>
      </c>
      <c r="B240" s="27">
        <v>2026</v>
      </c>
      <c r="C240" s="27" t="s">
        <v>91</v>
      </c>
      <c r="D240" s="30">
        <v>46076</v>
      </c>
      <c r="E240" s="27" t="s">
        <v>224</v>
      </c>
      <c r="F240" s="27" t="s">
        <v>126</v>
      </c>
      <c r="G240" s="27" t="s">
        <v>202</v>
      </c>
      <c r="H240" s="27" t="s">
        <v>619</v>
      </c>
      <c r="I240" s="27" t="s">
        <v>620</v>
      </c>
      <c r="J240" s="27" t="s">
        <v>177</v>
      </c>
      <c r="K240" s="10">
        <v>100</v>
      </c>
      <c r="L240" s="38" t="s">
        <v>294</v>
      </c>
      <c r="M240" s="37" t="s">
        <v>289</v>
      </c>
      <c r="N240" s="37" t="s">
        <v>359</v>
      </c>
      <c r="O240" s="27"/>
      <c r="P240" s="27"/>
      <c r="Q240" s="27" t="s">
        <v>526</v>
      </c>
      <c r="R240" s="27"/>
      <c r="S240" s="1" t="s">
        <v>264</v>
      </c>
      <c r="T240" s="29" t="s">
        <v>265</v>
      </c>
      <c r="U240" s="30">
        <v>46071</v>
      </c>
      <c r="V240" s="27" t="s">
        <v>298</v>
      </c>
      <c r="W240" s="27"/>
    </row>
    <row r="241" spans="1:23" ht="24" customHeight="1">
      <c r="A241" s="27" t="str">
        <f t="shared" ca="1" si="3"/>
        <v>EVT-2026-0239</v>
      </c>
      <c r="B241" s="27">
        <v>2026</v>
      </c>
      <c r="C241" s="27" t="s">
        <v>91</v>
      </c>
      <c r="D241" s="30">
        <v>46076</v>
      </c>
      <c r="E241" s="27" t="s">
        <v>224</v>
      </c>
      <c r="F241" s="27" t="s">
        <v>126</v>
      </c>
      <c r="G241" s="27" t="s">
        <v>228</v>
      </c>
      <c r="H241" s="27" t="s">
        <v>496</v>
      </c>
      <c r="I241" s="27" t="s">
        <v>344</v>
      </c>
      <c r="J241" s="27" t="s">
        <v>134</v>
      </c>
      <c r="K241" s="10">
        <v>20</v>
      </c>
      <c r="L241" s="36" t="s">
        <v>263</v>
      </c>
      <c r="M241" s="37" t="s">
        <v>350</v>
      </c>
      <c r="N241" s="37" t="s">
        <v>270</v>
      </c>
      <c r="O241" s="27"/>
      <c r="P241" s="27"/>
      <c r="Q241" s="27" t="s">
        <v>621</v>
      </c>
      <c r="R241" s="27"/>
      <c r="S241" s="1" t="s">
        <v>264</v>
      </c>
      <c r="T241" s="29" t="s">
        <v>265</v>
      </c>
      <c r="U241" s="30">
        <v>46063</v>
      </c>
      <c r="V241" s="27" t="s">
        <v>622</v>
      </c>
      <c r="W241" s="27"/>
    </row>
    <row r="242" spans="1:23" ht="24" customHeight="1">
      <c r="A242" s="27" t="str">
        <f t="shared" ca="1" si="3"/>
        <v>EVT-2026-0240</v>
      </c>
      <c r="B242" s="27">
        <v>2026</v>
      </c>
      <c r="C242" s="27" t="s">
        <v>91</v>
      </c>
      <c r="D242" s="30">
        <v>46076</v>
      </c>
      <c r="E242" s="27" t="s">
        <v>224</v>
      </c>
      <c r="F242" s="27" t="s">
        <v>126</v>
      </c>
      <c r="G242" s="27" t="s">
        <v>228</v>
      </c>
      <c r="H242" s="27" t="s">
        <v>125</v>
      </c>
      <c r="I242" s="27" t="s">
        <v>623</v>
      </c>
      <c r="J242" s="27" t="s">
        <v>177</v>
      </c>
      <c r="K242" s="10">
        <v>60</v>
      </c>
      <c r="L242" s="36" t="s">
        <v>263</v>
      </c>
      <c r="M242" s="37" t="s">
        <v>315</v>
      </c>
      <c r="N242" s="37" t="s">
        <v>506</v>
      </c>
      <c r="O242" s="27"/>
      <c r="P242" s="27"/>
      <c r="Q242" s="27" t="s">
        <v>355</v>
      </c>
      <c r="R242" s="27"/>
      <c r="S242" s="1" t="s">
        <v>264</v>
      </c>
      <c r="T242" s="29" t="s">
        <v>265</v>
      </c>
      <c r="U242" s="27" t="s">
        <v>624</v>
      </c>
      <c r="V242" s="27" t="s">
        <v>625</v>
      </c>
      <c r="W242" s="27"/>
    </row>
    <row r="243" spans="1:23" ht="24" customHeight="1">
      <c r="A243" s="27" t="str">
        <f t="shared" ca="1" si="3"/>
        <v>EVT-2026-0241</v>
      </c>
      <c r="B243" s="27">
        <v>2026</v>
      </c>
      <c r="C243" s="27" t="s">
        <v>91</v>
      </c>
      <c r="D243" s="30">
        <v>46076</v>
      </c>
      <c r="E243" s="27" t="s">
        <v>224</v>
      </c>
      <c r="F243" s="27" t="s">
        <v>126</v>
      </c>
      <c r="G243" s="27" t="s">
        <v>228</v>
      </c>
      <c r="H243" s="27" t="s">
        <v>125</v>
      </c>
      <c r="I243" s="27" t="s">
        <v>626</v>
      </c>
      <c r="J243" s="27" t="s">
        <v>165</v>
      </c>
      <c r="K243" s="10">
        <v>0</v>
      </c>
      <c r="L243" s="36" t="s">
        <v>263</v>
      </c>
      <c r="M243" s="37" t="s">
        <v>506</v>
      </c>
      <c r="N243" s="37" t="s">
        <v>429</v>
      </c>
      <c r="O243" s="27"/>
      <c r="P243" s="27"/>
      <c r="Q243" s="27" t="s">
        <v>355</v>
      </c>
      <c r="R243" s="27"/>
      <c r="S243" s="3" t="s">
        <v>312</v>
      </c>
      <c r="T243" s="29" t="s">
        <v>265</v>
      </c>
      <c r="U243" s="27"/>
      <c r="V243" s="27" t="s">
        <v>627</v>
      </c>
      <c r="W243" s="27"/>
    </row>
    <row r="244" spans="1:23" ht="24" customHeight="1">
      <c r="A244" s="27" t="str">
        <f t="shared" ca="1" si="3"/>
        <v>EVT-2026-0242</v>
      </c>
      <c r="B244" s="27">
        <v>2026</v>
      </c>
      <c r="C244" s="27" t="s">
        <v>91</v>
      </c>
      <c r="D244" s="30">
        <v>46076</v>
      </c>
      <c r="E244" s="27" t="s">
        <v>224</v>
      </c>
      <c r="F244" s="27" t="s">
        <v>126</v>
      </c>
      <c r="G244" s="27" t="s">
        <v>208</v>
      </c>
      <c r="H244" s="27" t="s">
        <v>628</v>
      </c>
      <c r="I244" s="27" t="s">
        <v>440</v>
      </c>
      <c r="J244" s="27" t="s">
        <v>152</v>
      </c>
      <c r="K244" s="10">
        <v>1</v>
      </c>
      <c r="L244" s="36" t="s">
        <v>263</v>
      </c>
      <c r="M244" s="37" t="s">
        <v>269</v>
      </c>
      <c r="N244" s="37" t="s">
        <v>270</v>
      </c>
      <c r="O244" s="27"/>
      <c r="P244" s="27"/>
      <c r="Q244" s="27" t="s">
        <v>378</v>
      </c>
      <c r="R244" s="27"/>
      <c r="S244" s="1" t="s">
        <v>264</v>
      </c>
      <c r="T244" s="29" t="s">
        <v>265</v>
      </c>
      <c r="U244" s="30">
        <v>46063</v>
      </c>
      <c r="V244" s="27" t="s">
        <v>629</v>
      </c>
      <c r="W244" s="27"/>
    </row>
    <row r="245" spans="1:23" ht="24" customHeight="1">
      <c r="A245" s="27" t="str">
        <f t="shared" ca="1" si="3"/>
        <v>EVT-2026-0243</v>
      </c>
      <c r="B245" s="27">
        <v>2026</v>
      </c>
      <c r="C245" s="27" t="s">
        <v>91</v>
      </c>
      <c r="D245" s="30">
        <v>46076</v>
      </c>
      <c r="E245" s="27" t="s">
        <v>224</v>
      </c>
      <c r="F245" s="27" t="s">
        <v>126</v>
      </c>
      <c r="G245" s="27" t="s">
        <v>208</v>
      </c>
      <c r="H245" s="27" t="s">
        <v>630</v>
      </c>
      <c r="I245" s="27" t="s">
        <v>440</v>
      </c>
      <c r="J245" s="27" t="s">
        <v>152</v>
      </c>
      <c r="K245" s="10">
        <v>1</v>
      </c>
      <c r="L245" s="36" t="s">
        <v>263</v>
      </c>
      <c r="M245" s="37" t="s">
        <v>269</v>
      </c>
      <c r="N245" s="37" t="s">
        <v>270</v>
      </c>
      <c r="O245" s="27"/>
      <c r="P245" s="27"/>
      <c r="Q245" s="27" t="s">
        <v>378</v>
      </c>
      <c r="R245" s="27"/>
      <c r="S245" s="1" t="s">
        <v>264</v>
      </c>
      <c r="T245" s="29" t="s">
        <v>265</v>
      </c>
      <c r="U245" s="30">
        <v>46063</v>
      </c>
      <c r="V245" s="27" t="s">
        <v>629</v>
      </c>
      <c r="W245" s="27"/>
    </row>
    <row r="246" spans="1:23" ht="24" customHeight="1">
      <c r="A246" s="27" t="str">
        <f t="shared" ca="1" si="3"/>
        <v>EVT-2026-0244</v>
      </c>
      <c r="B246" s="27">
        <v>2026</v>
      </c>
      <c r="C246" s="27" t="s">
        <v>91</v>
      </c>
      <c r="D246" s="30">
        <v>46076</v>
      </c>
      <c r="E246" s="27" t="s">
        <v>224</v>
      </c>
      <c r="F246" s="27" t="s">
        <v>126</v>
      </c>
      <c r="G246" s="27" t="s">
        <v>228</v>
      </c>
      <c r="H246" s="27" t="s">
        <v>631</v>
      </c>
      <c r="I246" s="27" t="s">
        <v>440</v>
      </c>
      <c r="J246" s="27" t="s">
        <v>152</v>
      </c>
      <c r="K246" s="10">
        <v>1</v>
      </c>
      <c r="L246" s="36" t="s">
        <v>263</v>
      </c>
      <c r="M246" s="37" t="s">
        <v>604</v>
      </c>
      <c r="N246" s="37" t="s">
        <v>270</v>
      </c>
      <c r="O246" s="27"/>
      <c r="P246" s="27"/>
      <c r="Q246" s="27" t="s">
        <v>355</v>
      </c>
      <c r="R246" s="27"/>
      <c r="S246" s="3" t="s">
        <v>312</v>
      </c>
      <c r="T246" s="29" t="s">
        <v>265</v>
      </c>
      <c r="U246" s="30">
        <v>46062</v>
      </c>
      <c r="V246" s="27" t="s">
        <v>632</v>
      </c>
      <c r="W246" s="27"/>
    </row>
    <row r="247" spans="1:23" ht="24" customHeight="1">
      <c r="A247" s="27" t="str">
        <f t="shared" ca="1" si="3"/>
        <v>EVT-2026-0245</v>
      </c>
      <c r="B247" s="27">
        <v>2026</v>
      </c>
      <c r="C247" s="27" t="s">
        <v>91</v>
      </c>
      <c r="D247" s="30">
        <v>46077</v>
      </c>
      <c r="E247" s="27" t="s">
        <v>227</v>
      </c>
      <c r="F247" s="27" t="s">
        <v>126</v>
      </c>
      <c r="G247" s="27" t="s">
        <v>228</v>
      </c>
      <c r="H247" s="27" t="s">
        <v>631</v>
      </c>
      <c r="I247" s="27" t="s">
        <v>440</v>
      </c>
      <c r="J247" s="27" t="s">
        <v>152</v>
      </c>
      <c r="K247" s="10">
        <v>1</v>
      </c>
      <c r="L247" s="36" t="s">
        <v>263</v>
      </c>
      <c r="M247" s="37" t="s">
        <v>269</v>
      </c>
      <c r="N247" s="37" t="s">
        <v>270</v>
      </c>
      <c r="O247" s="27"/>
      <c r="P247" s="27"/>
      <c r="Q247" s="27" t="s">
        <v>355</v>
      </c>
      <c r="R247" s="27"/>
      <c r="S247" s="1" t="s">
        <v>264</v>
      </c>
      <c r="T247" s="29" t="s">
        <v>265</v>
      </c>
      <c r="U247" s="30">
        <v>46062</v>
      </c>
      <c r="V247" s="27" t="s">
        <v>633</v>
      </c>
      <c r="W247" s="27"/>
    </row>
    <row r="248" spans="1:23" ht="24" customHeight="1">
      <c r="A248" s="27" t="str">
        <f t="shared" ca="1" si="3"/>
        <v>EVT-2026-0246</v>
      </c>
      <c r="B248" s="27">
        <v>2026</v>
      </c>
      <c r="C248" s="27" t="s">
        <v>91</v>
      </c>
      <c r="D248" s="30">
        <v>46077</v>
      </c>
      <c r="E248" s="27" t="s">
        <v>227</v>
      </c>
      <c r="F248" s="27" t="s">
        <v>126</v>
      </c>
      <c r="G248" s="27" t="s">
        <v>202</v>
      </c>
      <c r="H248" s="27" t="s">
        <v>634</v>
      </c>
      <c r="I248" s="27" t="s">
        <v>440</v>
      </c>
      <c r="J248" s="27" t="s">
        <v>152</v>
      </c>
      <c r="K248" s="10">
        <v>1</v>
      </c>
      <c r="L248" s="36" t="s">
        <v>263</v>
      </c>
      <c r="M248" s="37" t="s">
        <v>269</v>
      </c>
      <c r="N248" s="37" t="s">
        <v>270</v>
      </c>
      <c r="O248" s="27"/>
      <c r="P248" s="27"/>
      <c r="Q248" s="27" t="s">
        <v>379</v>
      </c>
      <c r="R248" s="27"/>
      <c r="S248" s="1" t="s">
        <v>264</v>
      </c>
      <c r="T248" s="29" t="s">
        <v>265</v>
      </c>
      <c r="U248" s="30">
        <v>46063</v>
      </c>
      <c r="V248" s="27" t="s">
        <v>635</v>
      </c>
      <c r="W248" s="27"/>
    </row>
    <row r="249" spans="1:23" ht="24" customHeight="1">
      <c r="A249" s="27" t="str">
        <f t="shared" ca="1" si="3"/>
        <v>EVT-2026-0247</v>
      </c>
      <c r="B249" s="27">
        <v>2026</v>
      </c>
      <c r="C249" s="27" t="s">
        <v>91</v>
      </c>
      <c r="D249" s="30">
        <v>46077</v>
      </c>
      <c r="E249" s="27" t="s">
        <v>227</v>
      </c>
      <c r="F249" s="27" t="s">
        <v>126</v>
      </c>
      <c r="G249" s="27" t="s">
        <v>202</v>
      </c>
      <c r="H249" s="27" t="s">
        <v>389</v>
      </c>
      <c r="I249" s="27" t="s">
        <v>555</v>
      </c>
      <c r="J249" s="27" t="s">
        <v>134</v>
      </c>
      <c r="K249" s="10">
        <v>20</v>
      </c>
      <c r="L249" s="36" t="s">
        <v>263</v>
      </c>
      <c r="M249" s="37" t="s">
        <v>295</v>
      </c>
      <c r="N249" s="37" t="s">
        <v>296</v>
      </c>
      <c r="O249" s="27"/>
      <c r="P249" s="27"/>
      <c r="Q249" s="27" t="s">
        <v>556</v>
      </c>
      <c r="R249" s="27"/>
      <c r="S249" s="1" t="s">
        <v>264</v>
      </c>
      <c r="T249" s="29" t="s">
        <v>265</v>
      </c>
      <c r="U249" s="30">
        <v>46062</v>
      </c>
      <c r="V249" s="27" t="s">
        <v>636</v>
      </c>
      <c r="W249" s="27"/>
    </row>
    <row r="250" spans="1:23" ht="24" customHeight="1">
      <c r="A250" s="27" t="str">
        <f t="shared" ca="1" si="3"/>
        <v>EVT-2026-0248</v>
      </c>
      <c r="B250" s="27">
        <v>2026</v>
      </c>
      <c r="C250" s="27" t="s">
        <v>91</v>
      </c>
      <c r="D250" s="30">
        <v>46077</v>
      </c>
      <c r="E250" s="27" t="s">
        <v>227</v>
      </c>
      <c r="F250" s="27" t="s">
        <v>126</v>
      </c>
      <c r="G250" s="27" t="s">
        <v>202</v>
      </c>
      <c r="H250" s="27" t="s">
        <v>611</v>
      </c>
      <c r="I250" s="27" t="s">
        <v>612</v>
      </c>
      <c r="J250" s="27" t="s">
        <v>177</v>
      </c>
      <c r="K250" s="10">
        <v>35</v>
      </c>
      <c r="L250" s="36" t="s">
        <v>263</v>
      </c>
      <c r="M250" s="37" t="s">
        <v>359</v>
      </c>
      <c r="N250" s="37" t="s">
        <v>290</v>
      </c>
      <c r="O250" s="27"/>
      <c r="P250" s="27"/>
      <c r="Q250" s="27" t="s">
        <v>608</v>
      </c>
      <c r="R250" s="27"/>
      <c r="S250" s="1" t="s">
        <v>264</v>
      </c>
      <c r="T250" s="29" t="s">
        <v>265</v>
      </c>
      <c r="U250" s="30">
        <v>46062</v>
      </c>
      <c r="V250" s="27" t="s">
        <v>613</v>
      </c>
      <c r="W250" s="27"/>
    </row>
    <row r="251" spans="1:23" ht="24" customHeight="1">
      <c r="A251" s="27" t="str">
        <f t="shared" ca="1" si="3"/>
        <v>EVT-2026-0249</v>
      </c>
      <c r="B251" s="27">
        <v>2026</v>
      </c>
      <c r="C251" s="27" t="s">
        <v>91</v>
      </c>
      <c r="D251" s="30">
        <v>46077</v>
      </c>
      <c r="E251" s="27" t="s">
        <v>227</v>
      </c>
      <c r="F251" s="27" t="s">
        <v>126</v>
      </c>
      <c r="G251" s="27" t="s">
        <v>228</v>
      </c>
      <c r="H251" s="27" t="s">
        <v>603</v>
      </c>
      <c r="I251" s="27" t="s">
        <v>440</v>
      </c>
      <c r="J251" s="27" t="s">
        <v>152</v>
      </c>
      <c r="K251" s="10">
        <v>1</v>
      </c>
      <c r="L251" s="36" t="s">
        <v>263</v>
      </c>
      <c r="M251" s="37" t="s">
        <v>269</v>
      </c>
      <c r="N251" s="37" t="s">
        <v>270</v>
      </c>
      <c r="O251" s="27"/>
      <c r="P251" s="27"/>
      <c r="Q251" s="27" t="s">
        <v>355</v>
      </c>
      <c r="R251" s="27"/>
      <c r="S251" s="1" t="s">
        <v>264</v>
      </c>
      <c r="T251" s="29" t="s">
        <v>265</v>
      </c>
      <c r="U251" s="30">
        <v>46062</v>
      </c>
      <c r="V251" s="27" t="s">
        <v>637</v>
      </c>
      <c r="W251" s="27"/>
    </row>
    <row r="252" spans="1:23" ht="24" customHeight="1">
      <c r="A252" s="27" t="str">
        <f t="shared" ca="1" si="3"/>
        <v>EVT-2026-0250</v>
      </c>
      <c r="B252" s="27">
        <v>2026</v>
      </c>
      <c r="C252" s="27" t="s">
        <v>91</v>
      </c>
      <c r="D252" s="30">
        <v>46077</v>
      </c>
      <c r="E252" s="27" t="s">
        <v>227</v>
      </c>
      <c r="F252" s="27" t="s">
        <v>126</v>
      </c>
      <c r="G252" s="27" t="s">
        <v>228</v>
      </c>
      <c r="H252" s="27" t="s">
        <v>125</v>
      </c>
      <c r="I252" s="27" t="s">
        <v>638</v>
      </c>
      <c r="J252" s="27" t="s">
        <v>127</v>
      </c>
      <c r="K252" s="10">
        <v>150</v>
      </c>
      <c r="L252" s="38" t="s">
        <v>294</v>
      </c>
      <c r="M252" s="37" t="s">
        <v>429</v>
      </c>
      <c r="N252" s="37" t="s">
        <v>639</v>
      </c>
      <c r="O252" s="27"/>
      <c r="P252" s="27"/>
      <c r="Q252" s="27" t="s">
        <v>355</v>
      </c>
      <c r="R252" s="27"/>
      <c r="S252" s="1" t="s">
        <v>264</v>
      </c>
      <c r="T252" s="29" t="s">
        <v>265</v>
      </c>
      <c r="U252" s="30">
        <v>46062</v>
      </c>
      <c r="V252" s="27" t="s">
        <v>640</v>
      </c>
      <c r="W252" s="27"/>
    </row>
    <row r="253" spans="1:23" ht="24" customHeight="1">
      <c r="A253" s="27" t="str">
        <f t="shared" ca="1" si="3"/>
        <v>EVT-2026-0251</v>
      </c>
      <c r="B253" s="27">
        <v>2026</v>
      </c>
      <c r="C253" s="27" t="s">
        <v>91</v>
      </c>
      <c r="D253" s="30">
        <v>46077</v>
      </c>
      <c r="E253" s="27" t="s">
        <v>227</v>
      </c>
      <c r="F253" s="27" t="s">
        <v>126</v>
      </c>
      <c r="G253" s="27" t="s">
        <v>202</v>
      </c>
      <c r="H253" s="27" t="s">
        <v>611</v>
      </c>
      <c r="I253" s="27" t="s">
        <v>612</v>
      </c>
      <c r="J253" s="27" t="s">
        <v>177</v>
      </c>
      <c r="K253" s="10">
        <v>0</v>
      </c>
      <c r="L253" s="36" t="s">
        <v>263</v>
      </c>
      <c r="M253" s="37" t="s">
        <v>359</v>
      </c>
      <c r="N253" s="37" t="s">
        <v>290</v>
      </c>
      <c r="O253" s="27"/>
      <c r="P253" s="27"/>
      <c r="Q253" s="27" t="s">
        <v>608</v>
      </c>
      <c r="R253" s="27"/>
      <c r="S253" s="1" t="s">
        <v>264</v>
      </c>
      <c r="T253" s="29" t="s">
        <v>265</v>
      </c>
      <c r="U253" s="30">
        <v>46062</v>
      </c>
      <c r="V253" s="27" t="s">
        <v>613</v>
      </c>
      <c r="W253" s="27"/>
    </row>
    <row r="254" spans="1:23" ht="24" customHeight="1">
      <c r="A254" s="27" t="str">
        <f t="shared" ca="1" si="3"/>
        <v>EVT-2026-0252</v>
      </c>
      <c r="B254" s="27">
        <v>2026</v>
      </c>
      <c r="C254" s="27" t="s">
        <v>91</v>
      </c>
      <c r="D254" s="30">
        <v>46077</v>
      </c>
      <c r="E254" s="27" t="s">
        <v>227</v>
      </c>
      <c r="F254" s="27" t="s">
        <v>126</v>
      </c>
      <c r="G254" s="27" t="s">
        <v>228</v>
      </c>
      <c r="H254" s="27" t="s">
        <v>125</v>
      </c>
      <c r="I254" s="27" t="s">
        <v>578</v>
      </c>
      <c r="J254" s="27" t="s">
        <v>134</v>
      </c>
      <c r="K254" s="10">
        <v>35</v>
      </c>
      <c r="L254" s="36" t="s">
        <v>263</v>
      </c>
      <c r="M254" s="37" t="s">
        <v>289</v>
      </c>
      <c r="N254" s="37" t="s">
        <v>296</v>
      </c>
      <c r="O254" s="27"/>
      <c r="P254" s="27"/>
      <c r="Q254" s="27" t="s">
        <v>351</v>
      </c>
      <c r="R254" s="27"/>
      <c r="S254" s="1" t="s">
        <v>264</v>
      </c>
      <c r="T254" s="29" t="s">
        <v>265</v>
      </c>
      <c r="U254" s="30">
        <v>46059</v>
      </c>
      <c r="V254" s="27" t="s">
        <v>298</v>
      </c>
      <c r="W254" s="27"/>
    </row>
    <row r="255" spans="1:23" ht="24" customHeight="1">
      <c r="A255" s="27" t="str">
        <f t="shared" ca="1" si="3"/>
        <v>EVT-2026-0253</v>
      </c>
      <c r="B255" s="27">
        <v>2026</v>
      </c>
      <c r="C255" s="27" t="s">
        <v>91</v>
      </c>
      <c r="D255" s="30">
        <v>46077</v>
      </c>
      <c r="E255" s="27" t="s">
        <v>227</v>
      </c>
      <c r="F255" s="27" t="s">
        <v>126</v>
      </c>
      <c r="G255" s="27" t="s">
        <v>208</v>
      </c>
      <c r="H255" s="27" t="s">
        <v>348</v>
      </c>
      <c r="I255" s="27" t="s">
        <v>368</v>
      </c>
      <c r="J255" s="27" t="s">
        <v>139</v>
      </c>
      <c r="K255" s="10">
        <v>30</v>
      </c>
      <c r="L255" s="36" t="s">
        <v>263</v>
      </c>
      <c r="M255" s="37" t="s">
        <v>309</v>
      </c>
      <c r="N255" s="37" t="s">
        <v>270</v>
      </c>
      <c r="O255" s="27"/>
      <c r="P255" s="27" t="s">
        <v>369</v>
      </c>
      <c r="Q255" s="27" t="s">
        <v>370</v>
      </c>
      <c r="R255" s="27"/>
      <c r="S255" s="1" t="s">
        <v>264</v>
      </c>
      <c r="T255" s="29" t="s">
        <v>265</v>
      </c>
      <c r="U255" s="30">
        <v>46008</v>
      </c>
      <c r="V255" s="27" t="s">
        <v>298</v>
      </c>
      <c r="W255" s="27"/>
    </row>
    <row r="256" spans="1:23" ht="24" customHeight="1">
      <c r="A256" s="27" t="str">
        <f t="shared" ca="1" si="3"/>
        <v>EVT-2026-0254</v>
      </c>
      <c r="B256" s="27">
        <v>2026</v>
      </c>
      <c r="C256" s="27" t="s">
        <v>91</v>
      </c>
      <c r="D256" s="30">
        <v>46078</v>
      </c>
      <c r="E256" s="27" t="s">
        <v>201</v>
      </c>
      <c r="F256" s="27" t="s">
        <v>126</v>
      </c>
      <c r="G256" s="27" t="s">
        <v>202</v>
      </c>
      <c r="H256" s="27" t="s">
        <v>634</v>
      </c>
      <c r="I256" s="27" t="s">
        <v>440</v>
      </c>
      <c r="J256" s="27" t="s">
        <v>152</v>
      </c>
      <c r="K256" s="10">
        <v>1</v>
      </c>
      <c r="L256" s="36" t="s">
        <v>263</v>
      </c>
      <c r="M256" s="37" t="s">
        <v>269</v>
      </c>
      <c r="N256" s="37" t="s">
        <v>270</v>
      </c>
      <c r="O256" s="27"/>
      <c r="P256" s="27"/>
      <c r="Q256" s="27" t="s">
        <v>379</v>
      </c>
      <c r="R256" s="27"/>
      <c r="S256" s="1" t="s">
        <v>264</v>
      </c>
      <c r="T256" s="29" t="s">
        <v>265</v>
      </c>
      <c r="U256" s="30">
        <v>46063</v>
      </c>
      <c r="V256" s="27" t="s">
        <v>635</v>
      </c>
      <c r="W256" s="27"/>
    </row>
    <row r="257" spans="1:23" ht="24" customHeight="1">
      <c r="A257" s="27" t="str">
        <f t="shared" ca="1" si="3"/>
        <v>EVT-2026-0255</v>
      </c>
      <c r="B257" s="27">
        <v>2026</v>
      </c>
      <c r="C257" s="27" t="s">
        <v>91</v>
      </c>
      <c r="D257" s="30">
        <v>46078</v>
      </c>
      <c r="E257" s="27" t="s">
        <v>201</v>
      </c>
      <c r="F257" s="27" t="s">
        <v>126</v>
      </c>
      <c r="G257" s="27" t="s">
        <v>228</v>
      </c>
      <c r="H257" s="27" t="s">
        <v>125</v>
      </c>
      <c r="I257" s="27" t="s">
        <v>368</v>
      </c>
      <c r="J257" s="27" t="s">
        <v>139</v>
      </c>
      <c r="K257" s="10">
        <v>30</v>
      </c>
      <c r="L257" s="36" t="s">
        <v>263</v>
      </c>
      <c r="M257" s="37" t="s">
        <v>309</v>
      </c>
      <c r="N257" s="37" t="s">
        <v>270</v>
      </c>
      <c r="O257" s="27"/>
      <c r="P257" s="27" t="s">
        <v>369</v>
      </c>
      <c r="Q257" s="27" t="s">
        <v>370</v>
      </c>
      <c r="R257" s="27"/>
      <c r="S257" s="1" t="s">
        <v>264</v>
      </c>
      <c r="T257" s="29" t="s">
        <v>265</v>
      </c>
      <c r="U257" s="30">
        <v>46008</v>
      </c>
      <c r="V257" s="27" t="s">
        <v>298</v>
      </c>
      <c r="W257" s="27"/>
    </row>
    <row r="258" spans="1:23" ht="24" customHeight="1">
      <c r="A258" s="27" t="str">
        <f t="shared" ca="1" si="3"/>
        <v>EVT-2026-0256</v>
      </c>
      <c r="B258" s="27">
        <v>2026</v>
      </c>
      <c r="C258" s="27" t="s">
        <v>91</v>
      </c>
      <c r="D258" s="30">
        <v>46078</v>
      </c>
      <c r="E258" s="27" t="s">
        <v>201</v>
      </c>
      <c r="F258" s="27" t="s">
        <v>126</v>
      </c>
      <c r="G258" s="27" t="s">
        <v>208</v>
      </c>
      <c r="H258" s="27" t="s">
        <v>348</v>
      </c>
      <c r="I258" s="27" t="s">
        <v>641</v>
      </c>
      <c r="J258" s="27" t="s">
        <v>127</v>
      </c>
      <c r="K258" s="10">
        <v>40</v>
      </c>
      <c r="L258" s="36" t="s">
        <v>263</v>
      </c>
      <c r="M258" s="37" t="s">
        <v>274</v>
      </c>
      <c r="N258" s="37" t="s">
        <v>506</v>
      </c>
      <c r="O258" s="27"/>
      <c r="P258" s="27" t="s">
        <v>642</v>
      </c>
      <c r="Q258" s="27" t="s">
        <v>532</v>
      </c>
      <c r="R258" s="27"/>
      <c r="S258" s="3" t="s">
        <v>312</v>
      </c>
      <c r="T258" s="29" t="s">
        <v>265</v>
      </c>
      <c r="U258" s="27" t="s">
        <v>643</v>
      </c>
      <c r="V258" s="27" t="s">
        <v>298</v>
      </c>
      <c r="W258" s="27"/>
    </row>
    <row r="259" spans="1:23" ht="24" customHeight="1">
      <c r="A259" s="27" t="str">
        <f t="shared" ref="A259:A322" ca="1" si="4">IF(OR(D259&lt;&gt;"",H259&lt;&gt;"",I259&lt;&gt;"",Q259&lt;&gt;"",S259&lt;&gt;""), "EVT-" &amp; TEXT(B259, "0000") &amp; "-" &amp; TEXT(COUNTIF(OFFSET($A$1, 1, 0, ROW()-2, 1), "EVT*") + 1, "0000"), "")</f>
        <v>EVT-2026-0257</v>
      </c>
      <c r="B259" s="27">
        <v>2026</v>
      </c>
      <c r="C259" s="27" t="s">
        <v>91</v>
      </c>
      <c r="D259" s="30">
        <v>46078</v>
      </c>
      <c r="E259" s="27" t="s">
        <v>201</v>
      </c>
      <c r="F259" s="27" t="s">
        <v>126</v>
      </c>
      <c r="G259" s="27" t="s">
        <v>208</v>
      </c>
      <c r="H259" s="27" t="s">
        <v>348</v>
      </c>
      <c r="I259" s="27" t="s">
        <v>644</v>
      </c>
      <c r="J259" s="27" t="s">
        <v>158</v>
      </c>
      <c r="K259" s="10">
        <v>20</v>
      </c>
      <c r="L259" s="36" t="s">
        <v>263</v>
      </c>
      <c r="M259" s="37" t="s">
        <v>309</v>
      </c>
      <c r="N259" s="37" t="s">
        <v>295</v>
      </c>
      <c r="O259" s="27"/>
      <c r="P259" s="27"/>
      <c r="Q259" s="27" t="s">
        <v>532</v>
      </c>
      <c r="R259" s="27"/>
      <c r="S259" s="3" t="s">
        <v>312</v>
      </c>
      <c r="T259" s="29" t="s">
        <v>265</v>
      </c>
      <c r="U259" s="30">
        <v>46070</v>
      </c>
      <c r="V259" s="27" t="s">
        <v>298</v>
      </c>
      <c r="W259" s="27"/>
    </row>
    <row r="260" spans="1:23" ht="24" customHeight="1">
      <c r="A260" s="27" t="str">
        <f t="shared" ca="1" si="4"/>
        <v>EVT-2026-0258</v>
      </c>
      <c r="B260" s="27">
        <v>2026</v>
      </c>
      <c r="C260" s="27" t="s">
        <v>91</v>
      </c>
      <c r="D260" s="30">
        <v>46078</v>
      </c>
      <c r="E260" s="27" t="s">
        <v>201</v>
      </c>
      <c r="F260" s="27" t="s">
        <v>126</v>
      </c>
      <c r="G260" s="27" t="s">
        <v>202</v>
      </c>
      <c r="H260" s="27" t="s">
        <v>389</v>
      </c>
      <c r="I260" s="27" t="s">
        <v>645</v>
      </c>
      <c r="J260" s="27" t="s">
        <v>127</v>
      </c>
      <c r="K260" s="10">
        <v>50</v>
      </c>
      <c r="L260" s="36" t="s">
        <v>263</v>
      </c>
      <c r="M260" s="37" t="s">
        <v>315</v>
      </c>
      <c r="N260" s="37" t="s">
        <v>330</v>
      </c>
      <c r="O260" s="27"/>
      <c r="P260" s="27"/>
      <c r="Q260" s="27" t="s">
        <v>646</v>
      </c>
      <c r="R260" s="27"/>
      <c r="S260" s="1" t="s">
        <v>264</v>
      </c>
      <c r="T260" s="29" t="s">
        <v>265</v>
      </c>
      <c r="U260" s="30">
        <v>46009</v>
      </c>
      <c r="V260" s="27" t="s">
        <v>647</v>
      </c>
      <c r="W260" s="27"/>
    </row>
    <row r="261" spans="1:23" ht="24" customHeight="1">
      <c r="A261" s="27" t="str">
        <f t="shared" ca="1" si="4"/>
        <v>EVT-2026-0259</v>
      </c>
      <c r="B261" s="27">
        <v>2026</v>
      </c>
      <c r="C261" s="27" t="s">
        <v>91</v>
      </c>
      <c r="D261" s="30">
        <v>46078</v>
      </c>
      <c r="E261" s="27" t="s">
        <v>201</v>
      </c>
      <c r="F261" s="27" t="s">
        <v>126</v>
      </c>
      <c r="G261" s="27" t="s">
        <v>202</v>
      </c>
      <c r="H261" s="27" t="s">
        <v>389</v>
      </c>
      <c r="I261" s="27" t="s">
        <v>648</v>
      </c>
      <c r="J261" s="27" t="s">
        <v>165</v>
      </c>
      <c r="K261" s="10">
        <v>30</v>
      </c>
      <c r="L261" s="36" t="s">
        <v>263</v>
      </c>
      <c r="M261" s="37" t="s">
        <v>309</v>
      </c>
      <c r="N261" s="37" t="s">
        <v>295</v>
      </c>
      <c r="O261" s="27"/>
      <c r="P261" s="27"/>
      <c r="Q261" s="27" t="s">
        <v>618</v>
      </c>
      <c r="R261" s="27"/>
      <c r="S261" s="1" t="s">
        <v>264</v>
      </c>
      <c r="T261" s="29" t="s">
        <v>265</v>
      </c>
      <c r="U261" s="30">
        <v>46073</v>
      </c>
      <c r="V261" s="27" t="s">
        <v>649</v>
      </c>
      <c r="W261" s="27"/>
    </row>
    <row r="262" spans="1:23" ht="24" customHeight="1">
      <c r="A262" s="27" t="str">
        <f t="shared" ca="1" si="4"/>
        <v>EVT-2026-0260</v>
      </c>
      <c r="B262" s="27">
        <v>2026</v>
      </c>
      <c r="C262" s="27" t="s">
        <v>91</v>
      </c>
      <c r="D262" s="30">
        <v>46078</v>
      </c>
      <c r="E262" s="27" t="s">
        <v>201</v>
      </c>
      <c r="F262" s="27" t="s">
        <v>126</v>
      </c>
      <c r="G262" s="27" t="s">
        <v>202</v>
      </c>
      <c r="H262" s="27" t="s">
        <v>611</v>
      </c>
      <c r="I262" s="27" t="s">
        <v>612</v>
      </c>
      <c r="J262" s="27" t="s">
        <v>177</v>
      </c>
      <c r="K262" s="10">
        <v>0</v>
      </c>
      <c r="L262" s="36" t="s">
        <v>263</v>
      </c>
      <c r="M262" s="37" t="s">
        <v>359</v>
      </c>
      <c r="N262" s="37" t="s">
        <v>290</v>
      </c>
      <c r="O262" s="27"/>
      <c r="P262" s="27"/>
      <c r="Q262" s="27" t="s">
        <v>608</v>
      </c>
      <c r="R262" s="27"/>
      <c r="S262" s="1" t="s">
        <v>264</v>
      </c>
      <c r="T262" s="29" t="s">
        <v>265</v>
      </c>
      <c r="U262" s="30">
        <v>46062</v>
      </c>
      <c r="V262" s="27" t="s">
        <v>613</v>
      </c>
      <c r="W262" s="27"/>
    </row>
    <row r="263" spans="1:23" ht="24" customHeight="1">
      <c r="A263" s="27" t="str">
        <f t="shared" ca="1" si="4"/>
        <v>EVT-2026-0261</v>
      </c>
      <c r="B263" s="27">
        <v>2026</v>
      </c>
      <c r="C263" s="27" t="s">
        <v>91</v>
      </c>
      <c r="D263" s="30">
        <v>46078</v>
      </c>
      <c r="E263" s="27" t="s">
        <v>201</v>
      </c>
      <c r="F263" s="27" t="s">
        <v>126</v>
      </c>
      <c r="G263" s="27" t="s">
        <v>202</v>
      </c>
      <c r="H263" s="27" t="s">
        <v>389</v>
      </c>
      <c r="I263" s="27" t="s">
        <v>650</v>
      </c>
      <c r="J263" s="27" t="s">
        <v>165</v>
      </c>
      <c r="K263" s="10">
        <v>70</v>
      </c>
      <c r="L263" s="36" t="s">
        <v>263</v>
      </c>
      <c r="M263" s="37" t="s">
        <v>295</v>
      </c>
      <c r="N263" s="37" t="s">
        <v>270</v>
      </c>
      <c r="O263" s="27"/>
      <c r="P263" s="27"/>
      <c r="Q263" s="27" t="s">
        <v>651</v>
      </c>
      <c r="R263" s="27"/>
      <c r="S263" s="3" t="s">
        <v>312</v>
      </c>
      <c r="T263" s="29" t="s">
        <v>265</v>
      </c>
      <c r="U263" s="30">
        <v>46069</v>
      </c>
      <c r="V263" s="27" t="s">
        <v>298</v>
      </c>
      <c r="W263" s="27" t="s">
        <v>652</v>
      </c>
    </row>
    <row r="264" spans="1:23" ht="24" customHeight="1">
      <c r="A264" s="27" t="str">
        <f t="shared" ca="1" si="4"/>
        <v>EVT-2026-0262</v>
      </c>
      <c r="B264" s="27">
        <v>2026</v>
      </c>
      <c r="C264" s="27" t="s">
        <v>91</v>
      </c>
      <c r="D264" s="30">
        <v>46079</v>
      </c>
      <c r="E264" s="27" t="s">
        <v>216</v>
      </c>
      <c r="F264" s="27" t="s">
        <v>126</v>
      </c>
      <c r="G264" s="27" t="s">
        <v>653</v>
      </c>
      <c r="H264" s="27" t="s">
        <v>239</v>
      </c>
      <c r="I264" s="27" t="s">
        <v>599</v>
      </c>
      <c r="J264" s="27" t="s">
        <v>177</v>
      </c>
      <c r="K264" s="10">
        <v>100</v>
      </c>
      <c r="L264" s="38" t="s">
        <v>294</v>
      </c>
      <c r="M264" s="37" t="s">
        <v>295</v>
      </c>
      <c r="N264" s="37" t="s">
        <v>296</v>
      </c>
      <c r="O264" s="27"/>
      <c r="P264" s="27"/>
      <c r="Q264" s="27" t="s">
        <v>600</v>
      </c>
      <c r="R264" s="27"/>
      <c r="S264" s="1" t="s">
        <v>264</v>
      </c>
      <c r="T264" s="29" t="s">
        <v>265</v>
      </c>
      <c r="U264" s="30">
        <v>46072</v>
      </c>
      <c r="V264" s="27" t="s">
        <v>654</v>
      </c>
      <c r="W264" s="27"/>
    </row>
    <row r="265" spans="1:23" ht="24" customHeight="1">
      <c r="A265" s="27" t="str">
        <f t="shared" ca="1" si="4"/>
        <v>EVT-2026-0263</v>
      </c>
      <c r="B265" s="27">
        <v>2026</v>
      </c>
      <c r="C265" s="27" t="s">
        <v>91</v>
      </c>
      <c r="D265" s="30">
        <v>46079</v>
      </c>
      <c r="E265" s="27" t="s">
        <v>216</v>
      </c>
      <c r="F265" s="27" t="s">
        <v>126</v>
      </c>
      <c r="G265" s="27" t="s">
        <v>202</v>
      </c>
      <c r="H265" s="27" t="s">
        <v>611</v>
      </c>
      <c r="I265" s="27" t="s">
        <v>612</v>
      </c>
      <c r="J265" s="27" t="s">
        <v>177</v>
      </c>
      <c r="K265" s="10">
        <v>0</v>
      </c>
      <c r="L265" s="36" t="s">
        <v>263</v>
      </c>
      <c r="M265" s="37" t="s">
        <v>359</v>
      </c>
      <c r="N265" s="37" t="s">
        <v>290</v>
      </c>
      <c r="O265" s="27"/>
      <c r="P265" s="27"/>
      <c r="Q265" s="27" t="s">
        <v>608</v>
      </c>
      <c r="R265" s="27"/>
      <c r="S265" s="1" t="s">
        <v>264</v>
      </c>
      <c r="T265" s="29" t="s">
        <v>265</v>
      </c>
      <c r="U265" s="30">
        <v>46062</v>
      </c>
      <c r="V265" s="27" t="s">
        <v>613</v>
      </c>
      <c r="W265" s="27"/>
    </row>
    <row r="266" spans="1:23" ht="24" customHeight="1">
      <c r="A266" s="27" t="str">
        <f t="shared" ca="1" si="4"/>
        <v>EVT-2026-0264</v>
      </c>
      <c r="B266" s="27">
        <v>2026</v>
      </c>
      <c r="C266" s="27" t="s">
        <v>91</v>
      </c>
      <c r="D266" s="30">
        <v>46079</v>
      </c>
      <c r="E266" s="27" t="s">
        <v>216</v>
      </c>
      <c r="F266" s="27" t="s">
        <v>126</v>
      </c>
      <c r="G266" s="27" t="s">
        <v>202</v>
      </c>
      <c r="H266" s="27" t="s">
        <v>389</v>
      </c>
      <c r="I266" s="27" t="s">
        <v>344</v>
      </c>
      <c r="J266" s="27" t="s">
        <v>134</v>
      </c>
      <c r="K266" s="10">
        <v>25</v>
      </c>
      <c r="L266" s="36" t="s">
        <v>263</v>
      </c>
      <c r="M266" s="37" t="s">
        <v>309</v>
      </c>
      <c r="N266" s="37" t="s">
        <v>295</v>
      </c>
      <c r="O266" s="27"/>
      <c r="P266" s="27" t="s">
        <v>610</v>
      </c>
      <c r="Q266" s="27" t="s">
        <v>526</v>
      </c>
      <c r="R266" s="27"/>
      <c r="S266" s="1" t="s">
        <v>264</v>
      </c>
      <c r="T266" s="29" t="s">
        <v>265</v>
      </c>
      <c r="U266" s="27"/>
      <c r="V266" s="27"/>
      <c r="W266" s="27"/>
    </row>
    <row r="267" spans="1:23" ht="24" customHeight="1">
      <c r="A267" s="27" t="str">
        <f t="shared" ca="1" si="4"/>
        <v>EVT-2026-0265</v>
      </c>
      <c r="B267" s="27">
        <v>2026</v>
      </c>
      <c r="C267" s="27" t="s">
        <v>91</v>
      </c>
      <c r="D267" s="30">
        <v>46079</v>
      </c>
      <c r="E267" s="27" t="s">
        <v>216</v>
      </c>
      <c r="F267" s="27" t="s">
        <v>126</v>
      </c>
      <c r="G267" s="27" t="s">
        <v>202</v>
      </c>
      <c r="H267" s="27" t="s">
        <v>389</v>
      </c>
      <c r="I267" s="27" t="s">
        <v>655</v>
      </c>
      <c r="J267" s="27" t="s">
        <v>165</v>
      </c>
      <c r="K267" s="10">
        <v>40</v>
      </c>
      <c r="L267" s="36" t="s">
        <v>263</v>
      </c>
      <c r="M267" s="37" t="s">
        <v>359</v>
      </c>
      <c r="N267" s="37" t="s">
        <v>270</v>
      </c>
      <c r="O267" s="27"/>
      <c r="P267" s="27"/>
      <c r="Q267" s="27" t="s">
        <v>378</v>
      </c>
      <c r="R267" s="27"/>
      <c r="S267" s="1" t="s">
        <v>264</v>
      </c>
      <c r="T267" s="29" t="s">
        <v>265</v>
      </c>
      <c r="U267" s="27"/>
      <c r="V267" s="27" t="s">
        <v>406</v>
      </c>
      <c r="W267" s="27"/>
    </row>
    <row r="268" spans="1:23" ht="24" customHeight="1">
      <c r="A268" s="27" t="str">
        <f t="shared" ca="1" si="4"/>
        <v>EVT-2026-0266</v>
      </c>
      <c r="B268" s="27">
        <v>2026</v>
      </c>
      <c r="C268" s="27" t="s">
        <v>91</v>
      </c>
      <c r="D268" s="30">
        <v>46079</v>
      </c>
      <c r="E268" s="27" t="s">
        <v>216</v>
      </c>
      <c r="F268" s="27" t="s">
        <v>126</v>
      </c>
      <c r="G268" s="27" t="s">
        <v>208</v>
      </c>
      <c r="H268" s="27" t="s">
        <v>348</v>
      </c>
      <c r="I268" s="27" t="s">
        <v>349</v>
      </c>
      <c r="J268" s="27" t="s">
        <v>145</v>
      </c>
      <c r="K268" s="10">
        <v>50</v>
      </c>
      <c r="L268" s="36" t="s">
        <v>263</v>
      </c>
      <c r="M268" s="37" t="s">
        <v>350</v>
      </c>
      <c r="N268" s="37" t="s">
        <v>296</v>
      </c>
      <c r="O268" s="27"/>
      <c r="P268" s="27"/>
      <c r="Q268" s="27" t="s">
        <v>351</v>
      </c>
      <c r="R268" s="27"/>
      <c r="S268" s="1" t="s">
        <v>264</v>
      </c>
      <c r="T268" s="29" t="s">
        <v>265</v>
      </c>
      <c r="U268" s="30">
        <v>46008</v>
      </c>
      <c r="V268" s="27" t="s">
        <v>406</v>
      </c>
      <c r="W268" s="27"/>
    </row>
    <row r="269" spans="1:23" ht="24" customHeight="1">
      <c r="A269" s="27" t="str">
        <f t="shared" ca="1" si="4"/>
        <v>EVT-2026-0267</v>
      </c>
      <c r="B269" s="27">
        <v>2026</v>
      </c>
      <c r="C269" s="27" t="s">
        <v>91</v>
      </c>
      <c r="D269" s="30">
        <v>46079</v>
      </c>
      <c r="E269" s="27" t="s">
        <v>216</v>
      </c>
      <c r="F269" s="27" t="s">
        <v>126</v>
      </c>
      <c r="G269" s="27" t="s">
        <v>228</v>
      </c>
      <c r="H269" s="27" t="s">
        <v>125</v>
      </c>
      <c r="I269" s="27" t="s">
        <v>656</v>
      </c>
      <c r="J269" s="27" t="s">
        <v>158</v>
      </c>
      <c r="K269" s="10">
        <v>20</v>
      </c>
      <c r="L269" s="36" t="s">
        <v>263</v>
      </c>
      <c r="M269" s="37" t="s">
        <v>506</v>
      </c>
      <c r="N269" s="37" t="s">
        <v>275</v>
      </c>
      <c r="O269" s="27"/>
      <c r="P269" s="27"/>
      <c r="Q269" s="27" t="s">
        <v>657</v>
      </c>
      <c r="R269" s="27"/>
      <c r="S269" s="1" t="s">
        <v>264</v>
      </c>
      <c r="T269" s="29" t="s">
        <v>265</v>
      </c>
      <c r="U269" s="30">
        <v>46076</v>
      </c>
      <c r="V269" s="27"/>
      <c r="W269" s="27"/>
    </row>
    <row r="270" spans="1:23" ht="24" customHeight="1">
      <c r="A270" s="27" t="str">
        <f t="shared" ca="1" si="4"/>
        <v>EVT-2026-0268</v>
      </c>
      <c r="B270" s="27">
        <v>2026</v>
      </c>
      <c r="C270" s="27" t="s">
        <v>91</v>
      </c>
      <c r="D270" s="30">
        <v>46079</v>
      </c>
      <c r="E270" s="27" t="s">
        <v>216</v>
      </c>
      <c r="F270" s="27" t="s">
        <v>126</v>
      </c>
      <c r="G270" s="27" t="s">
        <v>228</v>
      </c>
      <c r="H270" s="27" t="s">
        <v>125</v>
      </c>
      <c r="I270" s="27" t="s">
        <v>578</v>
      </c>
      <c r="J270" s="27" t="s">
        <v>134</v>
      </c>
      <c r="K270" s="10">
        <v>40</v>
      </c>
      <c r="L270" s="36" t="s">
        <v>263</v>
      </c>
      <c r="M270" s="37" t="s">
        <v>309</v>
      </c>
      <c r="N270" s="37" t="s">
        <v>295</v>
      </c>
      <c r="O270" s="27"/>
      <c r="P270" s="27"/>
      <c r="Q270" s="27" t="s">
        <v>351</v>
      </c>
      <c r="R270" s="27"/>
      <c r="S270" s="1" t="s">
        <v>264</v>
      </c>
      <c r="T270" s="29" t="s">
        <v>265</v>
      </c>
      <c r="U270" s="30">
        <v>46059</v>
      </c>
      <c r="V270" s="27" t="s">
        <v>298</v>
      </c>
      <c r="W270" s="27"/>
    </row>
    <row r="271" spans="1:23" ht="24" customHeight="1">
      <c r="A271" s="27" t="str">
        <f t="shared" ca="1" si="4"/>
        <v>EVT-2026-0269</v>
      </c>
      <c r="B271" s="27">
        <v>2026</v>
      </c>
      <c r="C271" s="27" t="s">
        <v>91</v>
      </c>
      <c r="D271" s="30">
        <v>46079</v>
      </c>
      <c r="E271" s="27" t="s">
        <v>216</v>
      </c>
      <c r="F271" s="27" t="s">
        <v>126</v>
      </c>
      <c r="G271" s="27" t="s">
        <v>228</v>
      </c>
      <c r="H271" s="27" t="s">
        <v>125</v>
      </c>
      <c r="I271" s="27" t="s">
        <v>658</v>
      </c>
      <c r="J271" s="27" t="s">
        <v>152</v>
      </c>
      <c r="K271" s="10">
        <v>40</v>
      </c>
      <c r="L271" s="36" t="s">
        <v>263</v>
      </c>
      <c r="M271" s="37" t="s">
        <v>359</v>
      </c>
      <c r="N271" s="37" t="s">
        <v>290</v>
      </c>
      <c r="O271" s="27"/>
      <c r="P271" s="27" t="s">
        <v>659</v>
      </c>
      <c r="Q271" s="27" t="s">
        <v>660</v>
      </c>
      <c r="R271" s="27"/>
      <c r="S271" s="1" t="s">
        <v>264</v>
      </c>
      <c r="T271" s="29" t="s">
        <v>265</v>
      </c>
      <c r="U271" s="30">
        <v>46077</v>
      </c>
      <c r="V271" s="27" t="s">
        <v>298</v>
      </c>
      <c r="W271" s="27"/>
    </row>
    <row r="272" spans="1:23" ht="24" customHeight="1">
      <c r="A272" s="27" t="str">
        <f t="shared" ca="1" si="4"/>
        <v>EVT-2026-0270</v>
      </c>
      <c r="B272" s="27">
        <v>2026</v>
      </c>
      <c r="C272" s="27" t="s">
        <v>91</v>
      </c>
      <c r="D272" s="30">
        <v>46079</v>
      </c>
      <c r="E272" s="27" t="s">
        <v>216</v>
      </c>
      <c r="F272" s="27" t="s">
        <v>126</v>
      </c>
      <c r="G272" s="27" t="s">
        <v>202</v>
      </c>
      <c r="H272" s="27" t="s">
        <v>634</v>
      </c>
      <c r="I272" s="27" t="s">
        <v>440</v>
      </c>
      <c r="J272" s="27" t="s">
        <v>152</v>
      </c>
      <c r="K272" s="10">
        <v>1</v>
      </c>
      <c r="L272" s="36" t="s">
        <v>263</v>
      </c>
      <c r="M272" s="37" t="s">
        <v>269</v>
      </c>
      <c r="N272" s="37" t="s">
        <v>270</v>
      </c>
      <c r="O272" s="27"/>
      <c r="P272" s="27"/>
      <c r="Q272" s="27" t="s">
        <v>379</v>
      </c>
      <c r="R272" s="27"/>
      <c r="S272" s="1" t="s">
        <v>264</v>
      </c>
      <c r="T272" s="29" t="s">
        <v>265</v>
      </c>
      <c r="U272" s="30">
        <v>46063</v>
      </c>
      <c r="V272" s="27" t="s">
        <v>635</v>
      </c>
      <c r="W272" s="27"/>
    </row>
    <row r="273" spans="1:23" ht="24" customHeight="1">
      <c r="A273" s="27" t="str">
        <f t="shared" ca="1" si="4"/>
        <v>EVT-2026-0271</v>
      </c>
      <c r="B273" s="27">
        <v>2026</v>
      </c>
      <c r="C273" s="27" t="s">
        <v>91</v>
      </c>
      <c r="D273" s="30">
        <v>46080</v>
      </c>
      <c r="E273" s="27" t="s">
        <v>220</v>
      </c>
      <c r="F273" s="27" t="s">
        <v>126</v>
      </c>
      <c r="G273" s="27" t="s">
        <v>202</v>
      </c>
      <c r="H273" s="27" t="s">
        <v>634</v>
      </c>
      <c r="I273" s="27" t="s">
        <v>440</v>
      </c>
      <c r="J273" s="27" t="s">
        <v>152</v>
      </c>
      <c r="K273" s="10">
        <v>1</v>
      </c>
      <c r="L273" s="36" t="s">
        <v>263</v>
      </c>
      <c r="M273" s="37" t="s">
        <v>269</v>
      </c>
      <c r="N273" s="37" t="s">
        <v>270</v>
      </c>
      <c r="O273" s="27"/>
      <c r="P273" s="27"/>
      <c r="Q273" s="27" t="s">
        <v>379</v>
      </c>
      <c r="R273" s="27"/>
      <c r="S273" s="1" t="s">
        <v>264</v>
      </c>
      <c r="T273" s="29" t="s">
        <v>265</v>
      </c>
      <c r="U273" s="30">
        <v>46063</v>
      </c>
      <c r="V273" s="27" t="s">
        <v>635</v>
      </c>
      <c r="W273" s="27"/>
    </row>
    <row r="274" spans="1:23" ht="24" customHeight="1">
      <c r="A274" s="27" t="str">
        <f t="shared" ca="1" si="4"/>
        <v>EVT-2026-0272</v>
      </c>
      <c r="B274" s="27">
        <v>2026</v>
      </c>
      <c r="C274" s="27" t="s">
        <v>91</v>
      </c>
      <c r="D274" s="30">
        <v>46080</v>
      </c>
      <c r="E274" s="27" t="s">
        <v>220</v>
      </c>
      <c r="F274" s="27" t="s">
        <v>126</v>
      </c>
      <c r="G274" s="27" t="s">
        <v>208</v>
      </c>
      <c r="H274" s="27" t="s">
        <v>348</v>
      </c>
      <c r="I274" s="27" t="s">
        <v>368</v>
      </c>
      <c r="J274" s="27" t="s">
        <v>139</v>
      </c>
      <c r="K274" s="10">
        <v>30</v>
      </c>
      <c r="L274" s="36" t="s">
        <v>263</v>
      </c>
      <c r="M274" s="37" t="s">
        <v>309</v>
      </c>
      <c r="N274" s="37" t="s">
        <v>270</v>
      </c>
      <c r="O274" s="27"/>
      <c r="P274" s="27" t="s">
        <v>369</v>
      </c>
      <c r="Q274" s="27" t="s">
        <v>370</v>
      </c>
      <c r="R274" s="27"/>
      <c r="S274" s="1" t="s">
        <v>264</v>
      </c>
      <c r="T274" s="29" t="s">
        <v>265</v>
      </c>
      <c r="U274" s="30">
        <v>46008</v>
      </c>
      <c r="V274" s="27" t="s">
        <v>298</v>
      </c>
      <c r="W274" s="27"/>
    </row>
    <row r="275" spans="1:23" ht="24" customHeight="1">
      <c r="A275" s="27" t="str">
        <f t="shared" ca="1" si="4"/>
        <v>EVT-2026-0273</v>
      </c>
      <c r="B275" s="27">
        <v>2026</v>
      </c>
      <c r="C275" s="27" t="s">
        <v>91</v>
      </c>
      <c r="D275" s="30">
        <v>46080</v>
      </c>
      <c r="E275" s="27" t="s">
        <v>220</v>
      </c>
      <c r="F275" s="27" t="s">
        <v>126</v>
      </c>
      <c r="G275" s="27" t="s">
        <v>228</v>
      </c>
      <c r="H275" s="27" t="s">
        <v>496</v>
      </c>
      <c r="I275" s="27" t="s">
        <v>344</v>
      </c>
      <c r="J275" s="27" t="s">
        <v>134</v>
      </c>
      <c r="K275" s="10">
        <v>0</v>
      </c>
      <c r="L275" s="36" t="s">
        <v>263</v>
      </c>
      <c r="M275" s="37" t="s">
        <v>269</v>
      </c>
      <c r="N275" s="37" t="s">
        <v>270</v>
      </c>
      <c r="O275" s="27"/>
      <c r="P275" s="27"/>
      <c r="Q275" s="27" t="s">
        <v>621</v>
      </c>
      <c r="R275" s="27"/>
      <c r="S275" s="1" t="s">
        <v>264</v>
      </c>
      <c r="T275" s="29" t="s">
        <v>265</v>
      </c>
      <c r="U275" s="30">
        <v>46063</v>
      </c>
      <c r="V275" s="27" t="s">
        <v>661</v>
      </c>
      <c r="W275" s="27"/>
    </row>
    <row r="276" spans="1:23" ht="24" customHeight="1">
      <c r="A276" s="27" t="str">
        <f t="shared" ca="1" si="4"/>
        <v>EVT-2026-0274</v>
      </c>
      <c r="B276" s="27">
        <v>2026</v>
      </c>
      <c r="C276" s="27" t="s">
        <v>91</v>
      </c>
      <c r="D276" s="30">
        <v>46080</v>
      </c>
      <c r="E276" s="27" t="s">
        <v>220</v>
      </c>
      <c r="F276" s="27" t="s">
        <v>126</v>
      </c>
      <c r="G276" s="27"/>
      <c r="H276" s="27"/>
      <c r="I276" s="27"/>
      <c r="J276" s="27" t="s">
        <v>177</v>
      </c>
      <c r="K276" s="10">
        <v>0</v>
      </c>
      <c r="L276" s="36" t="s">
        <v>263</v>
      </c>
      <c r="M276" s="37"/>
      <c r="N276" s="37"/>
      <c r="O276" s="27"/>
      <c r="P276" s="27"/>
      <c r="Q276" s="27"/>
      <c r="R276" s="27"/>
      <c r="S276" s="1" t="s">
        <v>264</v>
      </c>
      <c r="T276" s="29" t="s">
        <v>265</v>
      </c>
      <c r="U276" s="27"/>
      <c r="V276" s="27"/>
      <c r="W276" s="27"/>
    </row>
    <row r="277" spans="1:23" ht="24" customHeight="1">
      <c r="A277" s="27" t="str">
        <f t="shared" ca="1" si="4"/>
        <v>EVT-2026-0275</v>
      </c>
      <c r="B277" s="27">
        <v>2026</v>
      </c>
      <c r="C277" s="27" t="s">
        <v>91</v>
      </c>
      <c r="D277" s="30">
        <v>46080</v>
      </c>
      <c r="E277" s="27" t="s">
        <v>220</v>
      </c>
      <c r="F277" s="27" t="s">
        <v>126</v>
      </c>
      <c r="G277" s="27" t="s">
        <v>202</v>
      </c>
      <c r="H277" s="27" t="s">
        <v>611</v>
      </c>
      <c r="I277" s="27" t="s">
        <v>612</v>
      </c>
      <c r="J277" s="27" t="s">
        <v>177</v>
      </c>
      <c r="K277" s="10">
        <v>0</v>
      </c>
      <c r="L277" s="36" t="s">
        <v>263</v>
      </c>
      <c r="M277" s="37" t="s">
        <v>359</v>
      </c>
      <c r="N277" s="37" t="s">
        <v>290</v>
      </c>
      <c r="O277" s="27"/>
      <c r="P277" s="27"/>
      <c r="Q277" s="27" t="s">
        <v>608</v>
      </c>
      <c r="R277" s="27"/>
      <c r="S277" s="1" t="s">
        <v>264</v>
      </c>
      <c r="T277" s="29" t="s">
        <v>265</v>
      </c>
      <c r="U277" s="30">
        <v>46062</v>
      </c>
      <c r="V277" s="27"/>
      <c r="W277" s="27"/>
    </row>
    <row r="278" spans="1:23" ht="24" customHeight="1">
      <c r="A278" s="27" t="str">
        <f t="shared" ca="1" si="4"/>
        <v>EVT-2026-0276</v>
      </c>
      <c r="B278" s="27">
        <v>2026</v>
      </c>
      <c r="C278" s="27" t="s">
        <v>91</v>
      </c>
      <c r="D278" s="30">
        <v>46081</v>
      </c>
      <c r="E278" s="27" t="s">
        <v>266</v>
      </c>
      <c r="F278" s="27" t="s">
        <v>126</v>
      </c>
      <c r="G278" s="27"/>
      <c r="H278" s="27" t="s">
        <v>300</v>
      </c>
      <c r="I278" s="27"/>
      <c r="J278" s="27" t="s">
        <v>145</v>
      </c>
      <c r="K278" s="10">
        <v>0</v>
      </c>
      <c r="L278" s="36" t="s">
        <v>263</v>
      </c>
      <c r="M278" s="37"/>
      <c r="N278" s="37"/>
      <c r="O278" s="27"/>
      <c r="P278" s="27"/>
      <c r="Q278" s="27" t="s">
        <v>494</v>
      </c>
      <c r="R278" s="27"/>
      <c r="S278" s="1" t="s">
        <v>264</v>
      </c>
      <c r="T278" s="29" t="s">
        <v>265</v>
      </c>
      <c r="U278" s="27"/>
      <c r="V278" s="27" t="s">
        <v>488</v>
      </c>
      <c r="W278" s="27"/>
    </row>
    <row r="279" spans="1:23" ht="24" customHeight="1">
      <c r="A279" s="27" t="str">
        <f t="shared" ca="1" si="4"/>
        <v>EVT-2026-0277</v>
      </c>
      <c r="B279" s="27">
        <v>2026</v>
      </c>
      <c r="C279" s="27" t="s">
        <v>92</v>
      </c>
      <c r="D279" s="30">
        <v>46082</v>
      </c>
      <c r="E279" s="27" t="s">
        <v>267</v>
      </c>
      <c r="F279" s="27" t="s">
        <v>164</v>
      </c>
      <c r="G279" s="27" t="s">
        <v>262</v>
      </c>
      <c r="H279" s="27"/>
      <c r="I279" s="27"/>
      <c r="J279" s="27" t="s">
        <v>177</v>
      </c>
      <c r="K279" s="10">
        <v>0</v>
      </c>
      <c r="L279" s="36" t="s">
        <v>263</v>
      </c>
      <c r="M279" s="37"/>
      <c r="N279" s="37"/>
      <c r="O279" s="27"/>
      <c r="P279" s="27"/>
      <c r="Q279" s="27"/>
      <c r="R279" s="27"/>
      <c r="S279" s="1" t="s">
        <v>264</v>
      </c>
      <c r="T279" s="29" t="s">
        <v>265</v>
      </c>
      <c r="U279" s="27"/>
      <c r="V279" s="27"/>
      <c r="W279" s="27"/>
    </row>
    <row r="280" spans="1:23" ht="24" customHeight="1">
      <c r="A280" s="27" t="str">
        <f t="shared" ca="1" si="4"/>
        <v>EVT-2026-0278</v>
      </c>
      <c r="B280" s="27">
        <v>2026</v>
      </c>
      <c r="C280" s="27" t="s">
        <v>92</v>
      </c>
      <c r="D280" s="30">
        <v>46083</v>
      </c>
      <c r="E280" s="27" t="s">
        <v>224</v>
      </c>
      <c r="F280" s="27" t="s">
        <v>164</v>
      </c>
      <c r="G280" s="27" t="s">
        <v>262</v>
      </c>
      <c r="H280" s="27"/>
      <c r="I280" s="27"/>
      <c r="J280" s="27" t="s">
        <v>177</v>
      </c>
      <c r="K280" s="10">
        <v>0</v>
      </c>
      <c r="L280" s="36" t="s">
        <v>263</v>
      </c>
      <c r="M280" s="37"/>
      <c r="N280" s="37"/>
      <c r="O280" s="27"/>
      <c r="P280" s="27"/>
      <c r="Q280" s="27"/>
      <c r="R280" s="27"/>
      <c r="S280" s="1" t="s">
        <v>264</v>
      </c>
      <c r="T280" s="29" t="s">
        <v>265</v>
      </c>
      <c r="U280" s="27"/>
      <c r="V280" s="27"/>
      <c r="W280" s="27"/>
    </row>
    <row r="281" spans="1:23" ht="24" customHeight="1">
      <c r="A281" s="27" t="str">
        <f t="shared" ca="1" si="4"/>
        <v>EVT-2026-0279</v>
      </c>
      <c r="B281" s="27">
        <v>2026</v>
      </c>
      <c r="C281" s="27" t="s">
        <v>92</v>
      </c>
      <c r="D281" s="30">
        <v>46083</v>
      </c>
      <c r="E281" s="27" t="s">
        <v>224</v>
      </c>
      <c r="F281" s="27" t="s">
        <v>164</v>
      </c>
      <c r="G281" s="27" t="s">
        <v>262</v>
      </c>
      <c r="H281" s="27"/>
      <c r="I281" s="27"/>
      <c r="J281" s="27" t="s">
        <v>177</v>
      </c>
      <c r="K281" s="10">
        <v>0</v>
      </c>
      <c r="L281" s="36" t="s">
        <v>263</v>
      </c>
      <c r="M281" s="37"/>
      <c r="N281" s="37"/>
      <c r="O281" s="27"/>
      <c r="P281" s="27"/>
      <c r="Q281" s="27"/>
      <c r="R281" s="27"/>
      <c r="S281" s="1" t="s">
        <v>264</v>
      </c>
      <c r="T281" s="29" t="s">
        <v>265</v>
      </c>
      <c r="U281" s="27"/>
      <c r="V281" s="27"/>
      <c r="W281" s="27"/>
    </row>
    <row r="282" spans="1:23" ht="24" customHeight="1">
      <c r="A282" s="27" t="str">
        <f t="shared" ca="1" si="4"/>
        <v>EVT-2026-0280</v>
      </c>
      <c r="B282" s="27">
        <v>2026</v>
      </c>
      <c r="C282" s="27" t="s">
        <v>92</v>
      </c>
      <c r="D282" s="30">
        <v>46085</v>
      </c>
      <c r="E282" s="27" t="s">
        <v>201</v>
      </c>
      <c r="F282" s="27" t="s">
        <v>164</v>
      </c>
      <c r="G282" s="27" t="s">
        <v>262</v>
      </c>
      <c r="H282" s="27"/>
      <c r="I282" s="27"/>
      <c r="J282" s="27" t="s">
        <v>177</v>
      </c>
      <c r="K282" s="10">
        <v>0</v>
      </c>
      <c r="L282" s="36" t="s">
        <v>263</v>
      </c>
      <c r="M282" s="37"/>
      <c r="N282" s="37"/>
      <c r="O282" s="27"/>
      <c r="P282" s="27"/>
      <c r="Q282" s="27"/>
      <c r="R282" s="27"/>
      <c r="S282" s="1" t="s">
        <v>264</v>
      </c>
      <c r="T282" s="29" t="s">
        <v>265</v>
      </c>
      <c r="U282" s="27"/>
      <c r="V282" s="27"/>
      <c r="W282" s="27"/>
    </row>
    <row r="283" spans="1:23" ht="24" customHeight="1">
      <c r="A283" s="27" t="str">
        <f t="shared" ca="1" si="4"/>
        <v>EVT-2026-0281</v>
      </c>
      <c r="B283" s="27">
        <v>2026</v>
      </c>
      <c r="C283" s="27" t="s">
        <v>92</v>
      </c>
      <c r="D283" s="30">
        <v>46086</v>
      </c>
      <c r="E283" s="27" t="s">
        <v>216</v>
      </c>
      <c r="F283" s="27" t="s">
        <v>164</v>
      </c>
      <c r="G283" s="27" t="s">
        <v>262</v>
      </c>
      <c r="H283" s="27" t="s">
        <v>662</v>
      </c>
      <c r="I283" s="27" t="s">
        <v>663</v>
      </c>
      <c r="J283" s="27" t="s">
        <v>177</v>
      </c>
      <c r="K283" s="10">
        <v>0</v>
      </c>
      <c r="L283" s="36" t="s">
        <v>263</v>
      </c>
      <c r="M283" s="37" t="s">
        <v>269</v>
      </c>
      <c r="N283" s="37" t="s">
        <v>270</v>
      </c>
      <c r="O283" s="27"/>
      <c r="P283" s="27"/>
      <c r="Q283" s="27" t="s">
        <v>479</v>
      </c>
      <c r="R283" s="27"/>
      <c r="S283" s="1" t="s">
        <v>264</v>
      </c>
      <c r="T283" s="29" t="s">
        <v>265</v>
      </c>
      <c r="U283" s="30">
        <v>46083</v>
      </c>
      <c r="V283" s="27" t="s">
        <v>664</v>
      </c>
      <c r="W283" s="27"/>
    </row>
    <row r="284" spans="1:23" ht="24" customHeight="1">
      <c r="A284" s="27" t="str">
        <f t="shared" ca="1" si="4"/>
        <v>EVT-2026-0282</v>
      </c>
      <c r="B284" s="27">
        <v>2026</v>
      </c>
      <c r="C284" s="27" t="s">
        <v>92</v>
      </c>
      <c r="D284" s="30">
        <v>46087</v>
      </c>
      <c r="E284" s="27" t="s">
        <v>220</v>
      </c>
      <c r="F284" s="27" t="s">
        <v>164</v>
      </c>
      <c r="G284" s="27" t="s">
        <v>262</v>
      </c>
      <c r="H284" s="27" t="s">
        <v>662</v>
      </c>
      <c r="I284" s="27" t="s">
        <v>663</v>
      </c>
      <c r="J284" s="27" t="s">
        <v>177</v>
      </c>
      <c r="K284" s="10">
        <v>0</v>
      </c>
      <c r="L284" s="36" t="s">
        <v>263</v>
      </c>
      <c r="M284" s="37" t="s">
        <v>269</v>
      </c>
      <c r="N284" s="37" t="s">
        <v>270</v>
      </c>
      <c r="O284" s="27"/>
      <c r="P284" s="27"/>
      <c r="Q284" s="27" t="s">
        <v>479</v>
      </c>
      <c r="R284" s="27"/>
      <c r="S284" s="1" t="s">
        <v>264</v>
      </c>
      <c r="T284" s="29" t="s">
        <v>265</v>
      </c>
      <c r="U284" s="30">
        <v>46083</v>
      </c>
      <c r="V284" s="27" t="s">
        <v>664</v>
      </c>
      <c r="W284" s="27"/>
    </row>
    <row r="285" spans="1:23" ht="24" customHeight="1">
      <c r="A285" s="27" t="str">
        <f t="shared" ca="1" si="4"/>
        <v>EVT-2026-0283</v>
      </c>
      <c r="B285" s="27">
        <v>2026</v>
      </c>
      <c r="C285" s="27" t="s">
        <v>92</v>
      </c>
      <c r="D285" s="30">
        <v>46088</v>
      </c>
      <c r="E285" s="27" t="s">
        <v>266</v>
      </c>
      <c r="F285" s="27" t="s">
        <v>164</v>
      </c>
      <c r="G285" s="27" t="s">
        <v>262</v>
      </c>
      <c r="H285" s="27" t="s">
        <v>300</v>
      </c>
      <c r="I285" s="27"/>
      <c r="J285" s="27" t="s">
        <v>145</v>
      </c>
      <c r="K285" s="10">
        <v>100</v>
      </c>
      <c r="L285" s="38" t="s">
        <v>294</v>
      </c>
      <c r="M285" s="37" t="s">
        <v>269</v>
      </c>
      <c r="N285" s="37" t="s">
        <v>270</v>
      </c>
      <c r="O285" s="27"/>
      <c r="P285" s="27"/>
      <c r="Q285" s="27" t="s">
        <v>570</v>
      </c>
      <c r="R285" s="27"/>
      <c r="S285" s="1" t="s">
        <v>264</v>
      </c>
      <c r="T285" s="29" t="s">
        <v>265</v>
      </c>
      <c r="U285" s="27"/>
      <c r="V285" s="27" t="s">
        <v>665</v>
      </c>
      <c r="W285" s="27"/>
    </row>
    <row r="286" spans="1:23" ht="24" customHeight="1">
      <c r="A286" s="27" t="str">
        <f t="shared" ca="1" si="4"/>
        <v>EVT-2026-0284</v>
      </c>
      <c r="B286" s="27">
        <v>2026</v>
      </c>
      <c r="C286" s="27" t="s">
        <v>92</v>
      </c>
      <c r="D286" s="30">
        <v>46089</v>
      </c>
      <c r="E286" s="27" t="s">
        <v>267</v>
      </c>
      <c r="F286" s="27" t="s">
        <v>164</v>
      </c>
      <c r="G286" s="27" t="s">
        <v>262</v>
      </c>
      <c r="H286" s="27"/>
      <c r="I286" s="27"/>
      <c r="J286" s="27" t="s">
        <v>177</v>
      </c>
      <c r="K286" s="10">
        <v>0</v>
      </c>
      <c r="L286" s="36" t="s">
        <v>263</v>
      </c>
      <c r="M286" s="37"/>
      <c r="N286" s="37"/>
      <c r="O286" s="27"/>
      <c r="P286" s="27"/>
      <c r="Q286" s="27"/>
      <c r="R286" s="27"/>
      <c r="S286" s="1" t="s">
        <v>264</v>
      </c>
      <c r="T286" s="29" t="s">
        <v>265</v>
      </c>
      <c r="U286" s="27"/>
      <c r="V286" s="27"/>
      <c r="W286" s="27"/>
    </row>
    <row r="287" spans="1:23" ht="24" customHeight="1">
      <c r="A287" s="27" t="str">
        <f t="shared" ca="1" si="4"/>
        <v>EVT-2026-0285</v>
      </c>
      <c r="B287" s="27">
        <v>2026</v>
      </c>
      <c r="C287" s="27" t="s">
        <v>92</v>
      </c>
      <c r="D287" s="30">
        <v>46090</v>
      </c>
      <c r="E287" s="27" t="s">
        <v>224</v>
      </c>
      <c r="F287" s="27" t="s">
        <v>164</v>
      </c>
      <c r="G287" s="27" t="s">
        <v>202</v>
      </c>
      <c r="H287" s="27" t="s">
        <v>326</v>
      </c>
      <c r="I287" s="27" t="s">
        <v>236</v>
      </c>
      <c r="J287" s="27" t="s">
        <v>139</v>
      </c>
      <c r="K287" s="10">
        <v>40</v>
      </c>
      <c r="L287" s="36" t="s">
        <v>263</v>
      </c>
      <c r="M287" s="37" t="s">
        <v>269</v>
      </c>
      <c r="N287" s="37" t="s">
        <v>270</v>
      </c>
      <c r="O287" s="27"/>
      <c r="P287" s="27"/>
      <c r="Q287" s="27" t="s">
        <v>237</v>
      </c>
      <c r="R287" s="27"/>
      <c r="S287" s="1" t="s">
        <v>264</v>
      </c>
      <c r="T287" s="29" t="s">
        <v>265</v>
      </c>
      <c r="U287" s="27"/>
      <c r="V287" s="27" t="s">
        <v>666</v>
      </c>
      <c r="W287" s="27"/>
    </row>
    <row r="288" spans="1:23" ht="24" customHeight="1">
      <c r="A288" s="27" t="str">
        <f t="shared" ca="1" si="4"/>
        <v>EVT-2026-0286</v>
      </c>
      <c r="B288" s="27">
        <v>2026</v>
      </c>
      <c r="C288" s="27" t="s">
        <v>92</v>
      </c>
      <c r="D288" s="30">
        <v>46090</v>
      </c>
      <c r="E288" s="27" t="s">
        <v>224</v>
      </c>
      <c r="F288" s="27" t="s">
        <v>164</v>
      </c>
      <c r="G288" s="27" t="s">
        <v>262</v>
      </c>
      <c r="H288" s="27" t="s">
        <v>171</v>
      </c>
      <c r="I288" s="27" t="s">
        <v>236</v>
      </c>
      <c r="J288" s="27" t="s">
        <v>139</v>
      </c>
      <c r="K288" s="10">
        <v>40</v>
      </c>
      <c r="L288" s="36" t="s">
        <v>263</v>
      </c>
      <c r="M288" s="37" t="s">
        <v>269</v>
      </c>
      <c r="N288" s="37" t="s">
        <v>270</v>
      </c>
      <c r="O288" s="27"/>
      <c r="P288" s="27"/>
      <c r="Q288" s="27" t="s">
        <v>237</v>
      </c>
      <c r="R288" s="27"/>
      <c r="S288" s="1" t="s">
        <v>264</v>
      </c>
      <c r="T288" s="29" t="s">
        <v>265</v>
      </c>
      <c r="U288" s="27"/>
      <c r="V288" s="27" t="s">
        <v>667</v>
      </c>
      <c r="W288" s="27"/>
    </row>
    <row r="289" spans="1:23" ht="24" customHeight="1">
      <c r="A289" s="27" t="str">
        <f t="shared" ca="1" si="4"/>
        <v>EVT-2026-0287</v>
      </c>
      <c r="B289" s="27">
        <v>2026</v>
      </c>
      <c r="C289" s="27" t="s">
        <v>92</v>
      </c>
      <c r="D289" s="30">
        <v>46091</v>
      </c>
      <c r="E289" s="27" t="s">
        <v>227</v>
      </c>
      <c r="F289" s="27" t="s">
        <v>164</v>
      </c>
      <c r="G289" s="27" t="s">
        <v>202</v>
      </c>
      <c r="H289" s="27" t="s">
        <v>326</v>
      </c>
      <c r="I289" s="27" t="s">
        <v>668</v>
      </c>
      <c r="J289" s="27" t="s">
        <v>165</v>
      </c>
      <c r="K289" s="10">
        <v>30</v>
      </c>
      <c r="L289" s="36" t="s">
        <v>263</v>
      </c>
      <c r="M289" s="37" t="s">
        <v>289</v>
      </c>
      <c r="N289" s="37" t="s">
        <v>270</v>
      </c>
      <c r="O289" s="27"/>
      <c r="P289" s="27"/>
      <c r="Q289" s="27" t="s">
        <v>237</v>
      </c>
      <c r="R289" s="27"/>
      <c r="S289" s="1" t="s">
        <v>264</v>
      </c>
      <c r="T289" s="29" t="s">
        <v>265</v>
      </c>
      <c r="U289" s="27"/>
      <c r="V289" s="27" t="s">
        <v>669</v>
      </c>
      <c r="W289" s="27"/>
    </row>
    <row r="290" spans="1:23" ht="24" customHeight="1">
      <c r="A290" s="27" t="str">
        <f t="shared" ca="1" si="4"/>
        <v>EVT-2026-0288</v>
      </c>
      <c r="B290" s="27">
        <v>2026</v>
      </c>
      <c r="C290" s="27" t="s">
        <v>92</v>
      </c>
      <c r="D290" s="30">
        <v>46091</v>
      </c>
      <c r="E290" s="27" t="s">
        <v>227</v>
      </c>
      <c r="F290" s="27" t="s">
        <v>164</v>
      </c>
      <c r="G290" s="27" t="s">
        <v>262</v>
      </c>
      <c r="H290" s="27" t="s">
        <v>171</v>
      </c>
      <c r="I290" s="27" t="s">
        <v>670</v>
      </c>
      <c r="J290" s="27" t="s">
        <v>127</v>
      </c>
      <c r="K290" s="10">
        <v>70</v>
      </c>
      <c r="L290" s="36" t="s">
        <v>263</v>
      </c>
      <c r="M290" s="37" t="s">
        <v>269</v>
      </c>
      <c r="N290" s="37" t="s">
        <v>274</v>
      </c>
      <c r="O290" s="27"/>
      <c r="P290" s="27"/>
      <c r="Q290" s="27" t="s">
        <v>671</v>
      </c>
      <c r="R290" s="27"/>
      <c r="S290" s="1" t="s">
        <v>264</v>
      </c>
      <c r="T290" s="29" t="s">
        <v>265</v>
      </c>
      <c r="U290" s="27"/>
      <c r="V290" s="27" t="s">
        <v>298</v>
      </c>
      <c r="W290" s="27"/>
    </row>
    <row r="291" spans="1:23" ht="24" customHeight="1">
      <c r="A291" s="27" t="str">
        <f t="shared" ca="1" si="4"/>
        <v>EVT-2026-0289</v>
      </c>
      <c r="B291" s="27">
        <v>2026</v>
      </c>
      <c r="C291" s="27" t="s">
        <v>92</v>
      </c>
      <c r="D291" s="30">
        <v>46091</v>
      </c>
      <c r="E291" s="27" t="s">
        <v>227</v>
      </c>
      <c r="F291" s="27" t="s">
        <v>164</v>
      </c>
      <c r="G291" s="27" t="s">
        <v>262</v>
      </c>
      <c r="H291" s="27" t="s">
        <v>171</v>
      </c>
      <c r="I291" s="27" t="s">
        <v>672</v>
      </c>
      <c r="J291" s="27" t="s">
        <v>177</v>
      </c>
      <c r="K291" s="10">
        <v>20</v>
      </c>
      <c r="L291" s="36" t="s">
        <v>263</v>
      </c>
      <c r="M291" s="37" t="s">
        <v>354</v>
      </c>
      <c r="N291" s="37" t="s">
        <v>350</v>
      </c>
      <c r="O291" s="27"/>
      <c r="P291" s="27"/>
      <c r="Q291" s="27" t="s">
        <v>673</v>
      </c>
      <c r="R291" s="27"/>
      <c r="S291" s="1" t="s">
        <v>264</v>
      </c>
      <c r="T291" s="29" t="s">
        <v>265</v>
      </c>
      <c r="U291" s="27"/>
      <c r="V291" s="27" t="s">
        <v>298</v>
      </c>
      <c r="W291" s="27"/>
    </row>
    <row r="292" spans="1:23" ht="24" customHeight="1">
      <c r="A292" s="27" t="str">
        <f t="shared" ca="1" si="4"/>
        <v>EVT-2026-0290</v>
      </c>
      <c r="B292" s="27">
        <v>2026</v>
      </c>
      <c r="C292" s="27" t="s">
        <v>92</v>
      </c>
      <c r="D292" s="30">
        <v>46091</v>
      </c>
      <c r="E292" s="27" t="s">
        <v>227</v>
      </c>
      <c r="F292" s="27" t="s">
        <v>164</v>
      </c>
      <c r="G292" s="27" t="s">
        <v>262</v>
      </c>
      <c r="H292" s="27" t="s">
        <v>486</v>
      </c>
      <c r="I292" s="27" t="s">
        <v>674</v>
      </c>
      <c r="J292" s="27" t="s">
        <v>127</v>
      </c>
      <c r="K292" s="10">
        <v>150</v>
      </c>
      <c r="L292" s="38" t="s">
        <v>294</v>
      </c>
      <c r="M292" s="37" t="s">
        <v>359</v>
      </c>
      <c r="N292" s="37" t="s">
        <v>270</v>
      </c>
      <c r="O292" s="27"/>
      <c r="P292" s="27"/>
      <c r="Q292" s="27" t="s">
        <v>675</v>
      </c>
      <c r="R292" s="27"/>
      <c r="S292" s="1" t="s">
        <v>264</v>
      </c>
      <c r="T292" s="29" t="s">
        <v>265</v>
      </c>
      <c r="U292" s="27"/>
      <c r="V292" s="27" t="s">
        <v>298</v>
      </c>
      <c r="W292" s="27"/>
    </row>
    <row r="293" spans="1:23" ht="24" customHeight="1">
      <c r="A293" s="27" t="str">
        <f t="shared" ca="1" si="4"/>
        <v>EVT-2026-0291</v>
      </c>
      <c r="B293" s="27">
        <v>2026</v>
      </c>
      <c r="C293" s="27" t="s">
        <v>92</v>
      </c>
      <c r="D293" s="30">
        <v>46092</v>
      </c>
      <c r="E293" s="27" t="s">
        <v>201</v>
      </c>
      <c r="F293" s="27" t="s">
        <v>164</v>
      </c>
      <c r="G293" s="27" t="s">
        <v>262</v>
      </c>
      <c r="H293" s="27" t="s">
        <v>171</v>
      </c>
      <c r="I293" s="27"/>
      <c r="J293" s="27" t="s">
        <v>177</v>
      </c>
      <c r="K293" s="10">
        <v>60</v>
      </c>
      <c r="L293" s="36" t="s">
        <v>263</v>
      </c>
      <c r="M293" s="37" t="s">
        <v>309</v>
      </c>
      <c r="N293" s="37" t="s">
        <v>295</v>
      </c>
      <c r="O293" s="27"/>
      <c r="P293" s="27"/>
      <c r="Q293" s="27" t="s">
        <v>461</v>
      </c>
      <c r="R293" s="27"/>
      <c r="S293" s="1" t="s">
        <v>264</v>
      </c>
      <c r="T293" s="29" t="s">
        <v>265</v>
      </c>
      <c r="U293" s="27"/>
      <c r="V293" s="27" t="s">
        <v>298</v>
      </c>
      <c r="W293" s="27"/>
    </row>
    <row r="294" spans="1:23" ht="24" customHeight="1">
      <c r="A294" s="27" t="str">
        <f t="shared" ca="1" si="4"/>
        <v>EVT-2026-0292</v>
      </c>
      <c r="B294" s="27">
        <v>2026</v>
      </c>
      <c r="C294" s="27" t="s">
        <v>92</v>
      </c>
      <c r="D294" s="30">
        <v>46092</v>
      </c>
      <c r="E294" s="27" t="s">
        <v>201</v>
      </c>
      <c r="F294" s="27" t="s">
        <v>164</v>
      </c>
      <c r="G294" s="27" t="s">
        <v>262</v>
      </c>
      <c r="H294" s="27" t="s">
        <v>171</v>
      </c>
      <c r="I294" s="27" t="s">
        <v>676</v>
      </c>
      <c r="J294" s="27" t="s">
        <v>177</v>
      </c>
      <c r="K294" s="10">
        <v>20</v>
      </c>
      <c r="L294" s="36" t="s">
        <v>263</v>
      </c>
      <c r="M294" s="37" t="s">
        <v>295</v>
      </c>
      <c r="N294" s="37" t="s">
        <v>359</v>
      </c>
      <c r="O294" s="27"/>
      <c r="P294" s="27"/>
      <c r="Q294" s="27" t="s">
        <v>677</v>
      </c>
      <c r="R294" s="27"/>
      <c r="S294" s="1" t="s">
        <v>264</v>
      </c>
      <c r="T294" s="29" t="s">
        <v>265</v>
      </c>
      <c r="U294" s="30">
        <v>46087</v>
      </c>
      <c r="V294" s="27" t="s">
        <v>298</v>
      </c>
      <c r="W294" s="27"/>
    </row>
    <row r="295" spans="1:23" ht="24" customHeight="1">
      <c r="A295" s="27" t="str">
        <f t="shared" ca="1" si="4"/>
        <v>EVT-2026-0293</v>
      </c>
      <c r="B295" s="27">
        <v>2026</v>
      </c>
      <c r="C295" s="27" t="s">
        <v>92</v>
      </c>
      <c r="D295" s="30">
        <v>46092</v>
      </c>
      <c r="E295" s="27" t="s">
        <v>201</v>
      </c>
      <c r="F295" s="27" t="s">
        <v>164</v>
      </c>
      <c r="G295" s="27" t="s">
        <v>262</v>
      </c>
      <c r="H295" s="27" t="s">
        <v>486</v>
      </c>
      <c r="I295" s="27" t="s">
        <v>678</v>
      </c>
      <c r="J295" s="27" t="s">
        <v>177</v>
      </c>
      <c r="K295" s="10">
        <v>150</v>
      </c>
      <c r="L295" s="38" t="s">
        <v>294</v>
      </c>
      <c r="M295" s="37" t="s">
        <v>295</v>
      </c>
      <c r="N295" s="37" t="s">
        <v>296</v>
      </c>
      <c r="O295" s="27"/>
      <c r="P295" s="27"/>
      <c r="Q295" s="27" t="s">
        <v>450</v>
      </c>
      <c r="R295" s="27"/>
      <c r="S295" s="3" t="s">
        <v>312</v>
      </c>
      <c r="T295" s="29" t="s">
        <v>265</v>
      </c>
      <c r="U295" s="27"/>
      <c r="V295" s="27" t="s">
        <v>298</v>
      </c>
      <c r="W295" s="27" t="s">
        <v>679</v>
      </c>
    </row>
    <row r="296" spans="1:23" ht="24" customHeight="1">
      <c r="A296" s="27" t="str">
        <f t="shared" ca="1" si="4"/>
        <v>EVT-2026-0294</v>
      </c>
      <c r="B296" s="27">
        <v>2026</v>
      </c>
      <c r="C296" s="27" t="s">
        <v>92</v>
      </c>
      <c r="D296" s="30">
        <v>46093</v>
      </c>
      <c r="E296" s="27" t="s">
        <v>216</v>
      </c>
      <c r="F296" s="27" t="s">
        <v>164</v>
      </c>
      <c r="G296" s="27" t="s">
        <v>262</v>
      </c>
      <c r="H296" s="27" t="s">
        <v>171</v>
      </c>
      <c r="I296" s="27" t="s">
        <v>680</v>
      </c>
      <c r="J296" s="27" t="s">
        <v>127</v>
      </c>
      <c r="K296" s="10">
        <v>0</v>
      </c>
      <c r="L296" s="36" t="s">
        <v>263</v>
      </c>
      <c r="M296" s="37" t="s">
        <v>281</v>
      </c>
      <c r="N296" s="37" t="s">
        <v>429</v>
      </c>
      <c r="O296" s="27"/>
      <c r="P296" s="27" t="s">
        <v>681</v>
      </c>
      <c r="Q296" s="27" t="s">
        <v>682</v>
      </c>
      <c r="R296" s="27"/>
      <c r="S296" s="1" t="s">
        <v>264</v>
      </c>
      <c r="T296" s="29" t="s">
        <v>265</v>
      </c>
      <c r="U296" s="27"/>
      <c r="V296" s="27" t="s">
        <v>298</v>
      </c>
      <c r="W296" s="27"/>
    </row>
    <row r="297" spans="1:23" ht="24" customHeight="1">
      <c r="A297" s="27" t="str">
        <f t="shared" ca="1" si="4"/>
        <v>EVT-2026-0295</v>
      </c>
      <c r="B297" s="27">
        <v>2026</v>
      </c>
      <c r="C297" s="27" t="s">
        <v>92</v>
      </c>
      <c r="D297" s="30">
        <v>46093</v>
      </c>
      <c r="E297" s="27" t="s">
        <v>216</v>
      </c>
      <c r="F297" s="27" t="s">
        <v>164</v>
      </c>
      <c r="G297" s="27" t="s">
        <v>262</v>
      </c>
      <c r="H297" s="27" t="s">
        <v>486</v>
      </c>
      <c r="I297" s="27" t="s">
        <v>487</v>
      </c>
      <c r="J297" s="27" t="s">
        <v>127</v>
      </c>
      <c r="K297" s="10">
        <v>120</v>
      </c>
      <c r="L297" s="38" t="s">
        <v>294</v>
      </c>
      <c r="M297" s="37" t="s">
        <v>483</v>
      </c>
      <c r="N297" s="37" t="s">
        <v>296</v>
      </c>
      <c r="O297" s="27"/>
      <c r="P297" s="27"/>
      <c r="Q297" s="27" t="s">
        <v>461</v>
      </c>
      <c r="R297" s="27"/>
      <c r="S297" s="1" t="s">
        <v>264</v>
      </c>
      <c r="T297" s="29" t="s">
        <v>265</v>
      </c>
      <c r="U297" s="27"/>
      <c r="V297" s="27" t="s">
        <v>298</v>
      </c>
      <c r="W297" s="27"/>
    </row>
    <row r="298" spans="1:23" ht="24" customHeight="1">
      <c r="A298" s="27" t="str">
        <f t="shared" ca="1" si="4"/>
        <v>EVT-2026-0296</v>
      </c>
      <c r="B298" s="27">
        <v>2026</v>
      </c>
      <c r="C298" s="27" t="s">
        <v>92</v>
      </c>
      <c r="D298" s="30">
        <v>46094</v>
      </c>
      <c r="E298" s="27" t="s">
        <v>220</v>
      </c>
      <c r="F298" s="27" t="s">
        <v>164</v>
      </c>
      <c r="G298" s="27" t="s">
        <v>262</v>
      </c>
      <c r="H298" s="27"/>
      <c r="I298" s="27"/>
      <c r="J298" s="27" t="s">
        <v>177</v>
      </c>
      <c r="K298" s="10">
        <v>0</v>
      </c>
      <c r="L298" s="36" t="s">
        <v>263</v>
      </c>
      <c r="M298" s="37"/>
      <c r="N298" s="37"/>
      <c r="O298" s="27"/>
      <c r="P298" s="27"/>
      <c r="Q298" s="27"/>
      <c r="R298" s="27"/>
      <c r="S298" s="1" t="s">
        <v>264</v>
      </c>
      <c r="T298" s="29" t="s">
        <v>265</v>
      </c>
      <c r="U298" s="27"/>
      <c r="V298" s="27"/>
      <c r="W298" s="27"/>
    </row>
    <row r="299" spans="1:23" ht="24" customHeight="1">
      <c r="A299" s="27" t="str">
        <f t="shared" ca="1" si="4"/>
        <v>EVT-2026-0297</v>
      </c>
      <c r="B299" s="27">
        <v>2026</v>
      </c>
      <c r="C299" s="27" t="s">
        <v>92</v>
      </c>
      <c r="D299" s="30">
        <v>46095</v>
      </c>
      <c r="E299" s="27" t="s">
        <v>266</v>
      </c>
      <c r="F299" s="27" t="s">
        <v>164</v>
      </c>
      <c r="G299" s="27" t="s">
        <v>262</v>
      </c>
      <c r="H299" s="27"/>
      <c r="I299" s="27"/>
      <c r="J299" s="27" t="s">
        <v>177</v>
      </c>
      <c r="K299" s="10">
        <v>0</v>
      </c>
      <c r="L299" s="36" t="s">
        <v>263</v>
      </c>
      <c r="M299" s="37"/>
      <c r="N299" s="37"/>
      <c r="O299" s="27"/>
      <c r="P299" s="27"/>
      <c r="Q299" s="27"/>
      <c r="R299" s="27"/>
      <c r="S299" s="1" t="s">
        <v>264</v>
      </c>
      <c r="T299" s="29" t="s">
        <v>265</v>
      </c>
      <c r="U299" s="27"/>
      <c r="V299" s="27"/>
      <c r="W299" s="27"/>
    </row>
    <row r="300" spans="1:23" ht="24" customHeight="1">
      <c r="A300" s="27" t="str">
        <f t="shared" ca="1" si="4"/>
        <v>EVT-2026-0298</v>
      </c>
      <c r="B300" s="27">
        <v>2026</v>
      </c>
      <c r="C300" s="27" t="s">
        <v>92</v>
      </c>
      <c r="D300" s="30">
        <v>46096</v>
      </c>
      <c r="E300" s="27" t="s">
        <v>267</v>
      </c>
      <c r="F300" s="27" t="s">
        <v>164</v>
      </c>
      <c r="G300" s="27" t="s">
        <v>262</v>
      </c>
      <c r="H300" s="27"/>
      <c r="I300" s="27"/>
      <c r="J300" s="27" t="s">
        <v>177</v>
      </c>
      <c r="K300" s="10">
        <v>0</v>
      </c>
      <c r="L300" s="36" t="s">
        <v>263</v>
      </c>
      <c r="M300" s="37"/>
      <c r="N300" s="37"/>
      <c r="O300" s="27"/>
      <c r="P300" s="27"/>
      <c r="Q300" s="27"/>
      <c r="R300" s="27"/>
      <c r="S300" s="1" t="s">
        <v>264</v>
      </c>
      <c r="T300" s="29" t="s">
        <v>265</v>
      </c>
      <c r="U300" s="27"/>
      <c r="V300" s="27"/>
      <c r="W300" s="27"/>
    </row>
    <row r="301" spans="1:23" ht="24" customHeight="1">
      <c r="A301" s="27" t="str">
        <f t="shared" ca="1" si="4"/>
        <v>EVT-2026-0299</v>
      </c>
      <c r="B301" s="27">
        <v>2026</v>
      </c>
      <c r="C301" s="27" t="s">
        <v>92</v>
      </c>
      <c r="D301" s="30">
        <v>46097</v>
      </c>
      <c r="E301" s="27" t="s">
        <v>224</v>
      </c>
      <c r="F301" s="27" t="s">
        <v>164</v>
      </c>
      <c r="G301" s="27" t="s">
        <v>202</v>
      </c>
      <c r="H301" s="27" t="s">
        <v>326</v>
      </c>
      <c r="I301" s="27" t="s">
        <v>236</v>
      </c>
      <c r="J301" s="27" t="s">
        <v>139</v>
      </c>
      <c r="K301" s="10">
        <v>0</v>
      </c>
      <c r="L301" s="36" t="s">
        <v>263</v>
      </c>
      <c r="M301" s="37" t="s">
        <v>269</v>
      </c>
      <c r="N301" s="37" t="s">
        <v>270</v>
      </c>
      <c r="O301" s="27"/>
      <c r="P301" s="27"/>
      <c r="Q301" s="27" t="s">
        <v>237</v>
      </c>
      <c r="R301" s="27"/>
      <c r="S301" s="1" t="s">
        <v>264</v>
      </c>
      <c r="T301" s="29" t="s">
        <v>265</v>
      </c>
      <c r="U301" s="27"/>
      <c r="V301" s="27" t="s">
        <v>667</v>
      </c>
      <c r="W301" s="27"/>
    </row>
    <row r="302" spans="1:23" ht="24" customHeight="1">
      <c r="A302" s="27" t="str">
        <f t="shared" ca="1" si="4"/>
        <v>EVT-2026-0300</v>
      </c>
      <c r="B302" s="27">
        <v>2026</v>
      </c>
      <c r="C302" s="27" t="s">
        <v>92</v>
      </c>
      <c r="D302" s="30">
        <v>46097</v>
      </c>
      <c r="E302" s="27" t="s">
        <v>224</v>
      </c>
      <c r="F302" s="27" t="s">
        <v>164</v>
      </c>
      <c r="G302" s="27" t="s">
        <v>262</v>
      </c>
      <c r="H302" s="27"/>
      <c r="I302" s="27"/>
      <c r="J302" s="27" t="s">
        <v>177</v>
      </c>
      <c r="K302" s="10">
        <v>0</v>
      </c>
      <c r="L302" s="36" t="s">
        <v>263</v>
      </c>
      <c r="M302" s="37"/>
      <c r="N302" s="37"/>
      <c r="O302" s="27"/>
      <c r="P302" s="27"/>
      <c r="Q302" s="27"/>
      <c r="R302" s="27"/>
      <c r="S302" s="1" t="s">
        <v>264</v>
      </c>
      <c r="T302" s="29" t="s">
        <v>265</v>
      </c>
      <c r="U302" s="27"/>
      <c r="V302" s="27"/>
      <c r="W302" s="27"/>
    </row>
    <row r="303" spans="1:23" ht="24" customHeight="1">
      <c r="A303" s="27" t="str">
        <f t="shared" ca="1" si="4"/>
        <v>EVT-2026-0301</v>
      </c>
      <c r="B303" s="27">
        <v>2026</v>
      </c>
      <c r="C303" s="27" t="s">
        <v>92</v>
      </c>
      <c r="D303" s="30">
        <v>46097</v>
      </c>
      <c r="E303" s="27" t="s">
        <v>224</v>
      </c>
      <c r="F303" s="27" t="s">
        <v>164</v>
      </c>
      <c r="G303" s="27" t="s">
        <v>262</v>
      </c>
      <c r="H303" s="27" t="s">
        <v>171</v>
      </c>
      <c r="I303" s="27" t="s">
        <v>683</v>
      </c>
      <c r="J303" s="27" t="s">
        <v>177</v>
      </c>
      <c r="K303" s="10">
        <v>30</v>
      </c>
      <c r="L303" s="36" t="s">
        <v>263</v>
      </c>
      <c r="M303" s="37" t="s">
        <v>295</v>
      </c>
      <c r="N303" s="37"/>
      <c r="O303" s="27"/>
      <c r="P303" s="27"/>
      <c r="Q303" s="27" t="s">
        <v>684</v>
      </c>
      <c r="R303" s="27"/>
      <c r="S303" s="1" t="s">
        <v>264</v>
      </c>
      <c r="T303" s="29" t="s">
        <v>265</v>
      </c>
      <c r="U303" s="27"/>
      <c r="V303" s="27" t="s">
        <v>685</v>
      </c>
      <c r="W303" s="27"/>
    </row>
    <row r="304" spans="1:23" ht="24" customHeight="1">
      <c r="A304" s="27" t="str">
        <f t="shared" ca="1" si="4"/>
        <v>EVT-2026-0302</v>
      </c>
      <c r="B304" s="27">
        <v>2026</v>
      </c>
      <c r="C304" s="27" t="s">
        <v>92</v>
      </c>
      <c r="D304" s="30">
        <v>46097</v>
      </c>
      <c r="E304" s="27" t="s">
        <v>224</v>
      </c>
      <c r="F304" s="27" t="s">
        <v>164</v>
      </c>
      <c r="G304" s="27" t="s">
        <v>262</v>
      </c>
      <c r="H304" s="27" t="s">
        <v>171</v>
      </c>
      <c r="I304" s="27" t="s">
        <v>236</v>
      </c>
      <c r="J304" s="27" t="s">
        <v>139</v>
      </c>
      <c r="K304" s="10">
        <v>40</v>
      </c>
      <c r="L304" s="36" t="s">
        <v>263</v>
      </c>
      <c r="M304" s="37" t="s">
        <v>269</v>
      </c>
      <c r="N304" s="37" t="s">
        <v>330</v>
      </c>
      <c r="O304" s="27"/>
      <c r="P304" s="27"/>
      <c r="Q304" s="27" t="s">
        <v>237</v>
      </c>
      <c r="R304" s="27"/>
      <c r="S304" s="1" t="s">
        <v>264</v>
      </c>
      <c r="T304" s="29" t="s">
        <v>265</v>
      </c>
      <c r="U304" s="27"/>
      <c r="V304" s="27" t="s">
        <v>667</v>
      </c>
      <c r="W304" s="27"/>
    </row>
    <row r="305" spans="1:23" ht="24" customHeight="1">
      <c r="A305" s="27" t="str">
        <f t="shared" ca="1" si="4"/>
        <v>EVT-2026-0303</v>
      </c>
      <c r="B305" s="27">
        <v>2026</v>
      </c>
      <c r="C305" s="27" t="s">
        <v>92</v>
      </c>
      <c r="D305" s="30">
        <v>46097</v>
      </c>
      <c r="E305" s="27" t="s">
        <v>224</v>
      </c>
      <c r="F305" s="27" t="s">
        <v>164</v>
      </c>
      <c r="G305" s="27" t="s">
        <v>202</v>
      </c>
      <c r="H305" s="27" t="s">
        <v>326</v>
      </c>
      <c r="I305" s="27"/>
      <c r="J305" s="27" t="s">
        <v>177</v>
      </c>
      <c r="K305" s="10">
        <v>40</v>
      </c>
      <c r="L305" s="36" t="s">
        <v>263</v>
      </c>
      <c r="M305" s="37"/>
      <c r="N305" s="37"/>
      <c r="O305" s="27"/>
      <c r="P305" s="27"/>
      <c r="Q305" s="27"/>
      <c r="R305" s="27"/>
      <c r="S305" s="1" t="s">
        <v>264</v>
      </c>
      <c r="T305" s="29" t="s">
        <v>265</v>
      </c>
      <c r="U305" s="27"/>
      <c r="V305" s="27"/>
      <c r="W305" s="27"/>
    </row>
    <row r="306" spans="1:23" ht="24" customHeight="1">
      <c r="A306" s="27" t="str">
        <f t="shared" ca="1" si="4"/>
        <v>EVT-2026-0304</v>
      </c>
      <c r="B306" s="27">
        <v>2026</v>
      </c>
      <c r="C306" s="27" t="s">
        <v>92</v>
      </c>
      <c r="D306" s="30">
        <v>46098</v>
      </c>
      <c r="E306" s="27" t="s">
        <v>227</v>
      </c>
      <c r="F306" s="27" t="s">
        <v>164</v>
      </c>
      <c r="G306" s="27" t="s">
        <v>262</v>
      </c>
      <c r="H306" s="27" t="s">
        <v>171</v>
      </c>
      <c r="I306" s="27" t="s">
        <v>686</v>
      </c>
      <c r="J306" s="27" t="s">
        <v>177</v>
      </c>
      <c r="K306" s="10">
        <v>60</v>
      </c>
      <c r="L306" s="36" t="s">
        <v>263</v>
      </c>
      <c r="M306" s="37" t="s">
        <v>275</v>
      </c>
      <c r="N306" s="37" t="s">
        <v>295</v>
      </c>
      <c r="O306" s="27"/>
      <c r="P306" s="27"/>
      <c r="Q306" s="27" t="s">
        <v>335</v>
      </c>
      <c r="R306" s="27"/>
      <c r="S306" s="1" t="s">
        <v>264</v>
      </c>
      <c r="T306" s="29" t="s">
        <v>265</v>
      </c>
      <c r="U306" s="27"/>
      <c r="V306" s="27" t="s">
        <v>687</v>
      </c>
      <c r="W306" s="27"/>
    </row>
    <row r="307" spans="1:23" ht="24" customHeight="1">
      <c r="A307" s="27" t="str">
        <f t="shared" ca="1" si="4"/>
        <v>EVT-2026-0305</v>
      </c>
      <c r="B307" s="27">
        <v>2026</v>
      </c>
      <c r="C307" s="27" t="s">
        <v>92</v>
      </c>
      <c r="D307" s="30">
        <v>46098</v>
      </c>
      <c r="E307" s="27" t="s">
        <v>227</v>
      </c>
      <c r="F307" s="27" t="s">
        <v>164</v>
      </c>
      <c r="G307" s="27" t="s">
        <v>262</v>
      </c>
      <c r="H307" s="27" t="s">
        <v>486</v>
      </c>
      <c r="I307" s="27" t="s">
        <v>353</v>
      </c>
      <c r="J307" s="27" t="s">
        <v>127</v>
      </c>
      <c r="K307" s="10">
        <v>200</v>
      </c>
      <c r="L307" s="38" t="s">
        <v>294</v>
      </c>
      <c r="M307" s="37" t="s">
        <v>295</v>
      </c>
      <c r="N307" s="37" t="s">
        <v>270</v>
      </c>
      <c r="O307" s="27"/>
      <c r="P307" s="27"/>
      <c r="Q307" s="27" t="s">
        <v>688</v>
      </c>
      <c r="R307" s="27"/>
      <c r="S307" s="1" t="s">
        <v>264</v>
      </c>
      <c r="T307" s="29" t="s">
        <v>265</v>
      </c>
      <c r="U307" s="27"/>
      <c r="V307" s="27" t="s">
        <v>689</v>
      </c>
      <c r="W307" s="27"/>
    </row>
    <row r="308" spans="1:23" ht="24" customHeight="1">
      <c r="A308" s="27" t="str">
        <f t="shared" ca="1" si="4"/>
        <v>EVT-2026-0306</v>
      </c>
      <c r="B308" s="27">
        <v>2026</v>
      </c>
      <c r="C308" s="27" t="s">
        <v>92</v>
      </c>
      <c r="D308" s="30">
        <v>46098</v>
      </c>
      <c r="E308" s="27" t="s">
        <v>227</v>
      </c>
      <c r="F308" s="27" t="s">
        <v>164</v>
      </c>
      <c r="G308" s="27" t="s">
        <v>202</v>
      </c>
      <c r="H308" s="27" t="s">
        <v>326</v>
      </c>
      <c r="I308" s="27" t="s">
        <v>327</v>
      </c>
      <c r="J308" s="27" t="s">
        <v>177</v>
      </c>
      <c r="K308" s="10">
        <v>30</v>
      </c>
      <c r="L308" s="36" t="s">
        <v>263</v>
      </c>
      <c r="M308" s="37" t="s">
        <v>281</v>
      </c>
      <c r="N308" s="37" t="s">
        <v>290</v>
      </c>
      <c r="O308" s="27"/>
      <c r="P308" s="27" t="s">
        <v>690</v>
      </c>
      <c r="Q308" s="27" t="s">
        <v>237</v>
      </c>
      <c r="R308" s="27"/>
      <c r="S308" s="1" t="s">
        <v>264</v>
      </c>
      <c r="T308" s="29" t="s">
        <v>265</v>
      </c>
      <c r="U308" s="27"/>
      <c r="V308" s="27" t="s">
        <v>691</v>
      </c>
      <c r="W308" s="27"/>
    </row>
    <row r="309" spans="1:23" ht="24" customHeight="1">
      <c r="A309" s="27" t="str">
        <f t="shared" ca="1" si="4"/>
        <v>EVT-2026-0307</v>
      </c>
      <c r="B309" s="27">
        <v>2026</v>
      </c>
      <c r="C309" s="27" t="s">
        <v>92</v>
      </c>
      <c r="D309" s="30">
        <v>46099</v>
      </c>
      <c r="E309" s="27" t="s">
        <v>201</v>
      </c>
      <c r="F309" s="27" t="s">
        <v>164</v>
      </c>
      <c r="G309" s="27" t="s">
        <v>202</v>
      </c>
      <c r="H309" s="27" t="s">
        <v>326</v>
      </c>
      <c r="I309" s="27"/>
      <c r="J309" s="27" t="s">
        <v>177</v>
      </c>
      <c r="K309" s="10">
        <v>0</v>
      </c>
      <c r="L309" s="36" t="s">
        <v>263</v>
      </c>
      <c r="M309" s="37"/>
      <c r="N309" s="37"/>
      <c r="O309" s="27"/>
      <c r="P309" s="27"/>
      <c r="Q309" s="27"/>
      <c r="R309" s="27"/>
      <c r="S309" s="1" t="s">
        <v>264</v>
      </c>
      <c r="T309" s="29" t="s">
        <v>265</v>
      </c>
      <c r="U309" s="27"/>
      <c r="V309" s="27"/>
      <c r="W309" s="27"/>
    </row>
    <row r="310" spans="1:23" ht="24" customHeight="1">
      <c r="A310" s="27" t="str">
        <f t="shared" ca="1" si="4"/>
        <v>EVT-2026-0308</v>
      </c>
      <c r="B310" s="27">
        <v>2026</v>
      </c>
      <c r="C310" s="27" t="s">
        <v>92</v>
      </c>
      <c r="D310" s="30">
        <v>46099</v>
      </c>
      <c r="E310" s="27" t="s">
        <v>201</v>
      </c>
      <c r="F310" s="27" t="s">
        <v>164</v>
      </c>
      <c r="G310" s="27" t="s">
        <v>262</v>
      </c>
      <c r="H310" s="27" t="s">
        <v>171</v>
      </c>
      <c r="I310" s="27" t="s">
        <v>692</v>
      </c>
      <c r="J310" s="27" t="s">
        <v>177</v>
      </c>
      <c r="K310" s="10">
        <v>0</v>
      </c>
      <c r="L310" s="36" t="s">
        <v>263</v>
      </c>
      <c r="M310" s="37" t="s">
        <v>295</v>
      </c>
      <c r="N310" s="37" t="s">
        <v>296</v>
      </c>
      <c r="O310" s="27"/>
      <c r="P310" s="27"/>
      <c r="Q310" s="27" t="s">
        <v>461</v>
      </c>
      <c r="R310" s="27"/>
      <c r="S310" s="1" t="s">
        <v>264</v>
      </c>
      <c r="T310" s="29" t="s">
        <v>265</v>
      </c>
      <c r="U310" s="27"/>
      <c r="V310" s="27" t="s">
        <v>311</v>
      </c>
      <c r="W310" s="27"/>
    </row>
    <row r="311" spans="1:23" ht="24" customHeight="1">
      <c r="A311" s="27" t="str">
        <f t="shared" ca="1" si="4"/>
        <v>EVT-2026-0309</v>
      </c>
      <c r="B311" s="27">
        <v>2026</v>
      </c>
      <c r="C311" s="27" t="s">
        <v>92</v>
      </c>
      <c r="D311" s="30">
        <v>46100</v>
      </c>
      <c r="E311" s="27" t="s">
        <v>216</v>
      </c>
      <c r="F311" s="27" t="s">
        <v>164</v>
      </c>
      <c r="G311" s="27" t="s">
        <v>262</v>
      </c>
      <c r="H311" s="27" t="s">
        <v>171</v>
      </c>
      <c r="I311" s="27" t="s">
        <v>693</v>
      </c>
      <c r="J311" s="27" t="s">
        <v>177</v>
      </c>
      <c r="K311" s="10">
        <v>30</v>
      </c>
      <c r="L311" s="36" t="s">
        <v>263</v>
      </c>
      <c r="M311" s="37" t="s">
        <v>338</v>
      </c>
      <c r="N311" s="37" t="s">
        <v>274</v>
      </c>
      <c r="O311" s="27"/>
      <c r="P311" s="27"/>
      <c r="Q311" s="27" t="s">
        <v>694</v>
      </c>
      <c r="R311" s="27"/>
      <c r="S311" s="1" t="s">
        <v>264</v>
      </c>
      <c r="T311" s="29" t="s">
        <v>265</v>
      </c>
      <c r="U311" s="27"/>
      <c r="V311" s="27" t="s">
        <v>311</v>
      </c>
      <c r="W311" s="27"/>
    </row>
    <row r="312" spans="1:23" ht="24" customHeight="1">
      <c r="A312" s="27" t="str">
        <f t="shared" ca="1" si="4"/>
        <v>EVT-2026-0310</v>
      </c>
      <c r="B312" s="27">
        <v>2026</v>
      </c>
      <c r="C312" s="27" t="s">
        <v>92</v>
      </c>
      <c r="D312" s="30">
        <v>46100</v>
      </c>
      <c r="E312" s="27" t="s">
        <v>216</v>
      </c>
      <c r="F312" s="27" t="s">
        <v>164</v>
      </c>
      <c r="G312" s="27" t="s">
        <v>262</v>
      </c>
      <c r="H312" s="27" t="s">
        <v>171</v>
      </c>
      <c r="I312" s="27" t="s">
        <v>695</v>
      </c>
      <c r="J312" s="27" t="s">
        <v>177</v>
      </c>
      <c r="K312" s="10">
        <v>30</v>
      </c>
      <c r="L312" s="36" t="s">
        <v>263</v>
      </c>
      <c r="M312" s="37" t="s">
        <v>506</v>
      </c>
      <c r="N312" s="37" t="s">
        <v>350</v>
      </c>
      <c r="O312" s="27"/>
      <c r="P312" s="27"/>
      <c r="Q312" s="27" t="s">
        <v>237</v>
      </c>
      <c r="R312" s="27"/>
      <c r="S312" s="1" t="s">
        <v>264</v>
      </c>
      <c r="T312" s="29" t="s">
        <v>265</v>
      </c>
      <c r="U312" s="30">
        <v>46078</v>
      </c>
      <c r="V312" s="27" t="s">
        <v>696</v>
      </c>
      <c r="W312" s="27"/>
    </row>
    <row r="313" spans="1:23" ht="24" customHeight="1">
      <c r="A313" s="27" t="str">
        <f t="shared" ca="1" si="4"/>
        <v>EVT-2026-0311</v>
      </c>
      <c r="B313" s="27">
        <v>2026</v>
      </c>
      <c r="C313" s="27" t="s">
        <v>92</v>
      </c>
      <c r="D313" s="30">
        <v>46100</v>
      </c>
      <c r="E313" s="27" t="s">
        <v>216</v>
      </c>
      <c r="F313" s="27" t="s">
        <v>164</v>
      </c>
      <c r="G313" s="27" t="s">
        <v>262</v>
      </c>
      <c r="H313" s="27" t="s">
        <v>171</v>
      </c>
      <c r="I313" s="27" t="s">
        <v>697</v>
      </c>
      <c r="J313" s="27" t="s">
        <v>158</v>
      </c>
      <c r="K313" s="10">
        <v>40</v>
      </c>
      <c r="L313" s="36" t="s">
        <v>263</v>
      </c>
      <c r="M313" s="37" t="s">
        <v>289</v>
      </c>
      <c r="N313" s="37" t="s">
        <v>698</v>
      </c>
      <c r="O313" s="27"/>
      <c r="P313" s="27"/>
      <c r="Q313" s="27" t="s">
        <v>699</v>
      </c>
      <c r="R313" s="27"/>
      <c r="S313" s="1" t="s">
        <v>264</v>
      </c>
      <c r="T313" s="29" t="s">
        <v>265</v>
      </c>
      <c r="U313" s="30">
        <v>46094</v>
      </c>
      <c r="V313" s="27" t="s">
        <v>700</v>
      </c>
      <c r="W313" s="27"/>
    </row>
    <row r="314" spans="1:23" ht="24" customHeight="1">
      <c r="A314" s="27" t="str">
        <f t="shared" ca="1" si="4"/>
        <v>EVT-2026-0312</v>
      </c>
      <c r="B314" s="27">
        <v>2026</v>
      </c>
      <c r="C314" s="27" t="s">
        <v>92</v>
      </c>
      <c r="D314" s="30">
        <v>46101</v>
      </c>
      <c r="E314" s="27" t="s">
        <v>220</v>
      </c>
      <c r="F314" s="27" t="s">
        <v>164</v>
      </c>
      <c r="G314" s="27" t="s">
        <v>262</v>
      </c>
      <c r="H314" s="27" t="s">
        <v>171</v>
      </c>
      <c r="I314" s="27" t="s">
        <v>701</v>
      </c>
      <c r="J314" s="27" t="s">
        <v>177</v>
      </c>
      <c r="K314" s="10">
        <v>50</v>
      </c>
      <c r="L314" s="36" t="s">
        <v>263</v>
      </c>
      <c r="M314" s="37" t="s">
        <v>429</v>
      </c>
      <c r="N314" s="37" t="s">
        <v>354</v>
      </c>
      <c r="O314" s="27"/>
      <c r="P314" s="27"/>
      <c r="Q314" s="27" t="s">
        <v>702</v>
      </c>
      <c r="R314" s="27"/>
      <c r="S314" s="1" t="s">
        <v>264</v>
      </c>
      <c r="T314" s="29" t="s">
        <v>265</v>
      </c>
      <c r="U314" s="30">
        <v>46090</v>
      </c>
      <c r="V314" s="27" t="s">
        <v>298</v>
      </c>
      <c r="W314" s="27"/>
    </row>
    <row r="315" spans="1:23" ht="24" customHeight="1">
      <c r="A315" s="27" t="str">
        <f t="shared" ca="1" si="4"/>
        <v>EVT-2026-0313</v>
      </c>
      <c r="B315" s="27">
        <v>2026</v>
      </c>
      <c r="C315" s="27" t="s">
        <v>92</v>
      </c>
      <c r="D315" s="30">
        <v>46102</v>
      </c>
      <c r="E315" s="27" t="s">
        <v>266</v>
      </c>
      <c r="F315" s="27" t="s">
        <v>164</v>
      </c>
      <c r="G315" s="27" t="s">
        <v>262</v>
      </c>
      <c r="H315" s="27" t="s">
        <v>300</v>
      </c>
      <c r="I315" s="27"/>
      <c r="J315" s="27" t="s">
        <v>145</v>
      </c>
      <c r="K315" s="10">
        <v>0</v>
      </c>
      <c r="L315" s="36" t="s">
        <v>263</v>
      </c>
      <c r="M315" s="37" t="s">
        <v>269</v>
      </c>
      <c r="N315" s="37" t="s">
        <v>270</v>
      </c>
      <c r="O315" s="27"/>
      <c r="P315" s="27"/>
      <c r="Q315" s="27" t="s">
        <v>703</v>
      </c>
      <c r="R315" s="27"/>
      <c r="S315" s="1" t="s">
        <v>264</v>
      </c>
      <c r="T315" s="29" t="s">
        <v>265</v>
      </c>
      <c r="U315" s="27"/>
      <c r="V315" s="27" t="s">
        <v>704</v>
      </c>
      <c r="W315" s="27"/>
    </row>
    <row r="316" spans="1:23" ht="24" customHeight="1">
      <c r="A316" s="27" t="str">
        <f t="shared" ca="1" si="4"/>
        <v>EVT-2026-0314</v>
      </c>
      <c r="B316" s="27">
        <v>2026</v>
      </c>
      <c r="C316" s="27" t="s">
        <v>92</v>
      </c>
      <c r="D316" s="30">
        <v>46103</v>
      </c>
      <c r="E316" s="27" t="s">
        <v>267</v>
      </c>
      <c r="F316" s="27" t="s">
        <v>164</v>
      </c>
      <c r="G316" s="27" t="s">
        <v>262</v>
      </c>
      <c r="H316" s="27"/>
      <c r="I316" s="27"/>
      <c r="J316" s="27" t="s">
        <v>177</v>
      </c>
      <c r="K316" s="10">
        <v>0</v>
      </c>
      <c r="L316" s="36" t="s">
        <v>263</v>
      </c>
      <c r="M316" s="37"/>
      <c r="N316" s="37"/>
      <c r="O316" s="27"/>
      <c r="P316" s="27"/>
      <c r="Q316" s="27"/>
      <c r="R316" s="27"/>
      <c r="S316" s="1" t="s">
        <v>264</v>
      </c>
      <c r="T316" s="29" t="s">
        <v>265</v>
      </c>
      <c r="U316" s="27"/>
      <c r="V316" s="27"/>
      <c r="W316" s="27"/>
    </row>
    <row r="317" spans="1:23" ht="24" customHeight="1">
      <c r="A317" s="27" t="str">
        <f t="shared" ca="1" si="4"/>
        <v>EVT-2026-0315</v>
      </c>
      <c r="B317" s="27">
        <v>2026</v>
      </c>
      <c r="C317" s="27" t="s">
        <v>92</v>
      </c>
      <c r="D317" s="30">
        <v>46104</v>
      </c>
      <c r="E317" s="27" t="s">
        <v>224</v>
      </c>
      <c r="F317" s="27" t="s">
        <v>164</v>
      </c>
      <c r="G317" s="27" t="s">
        <v>202</v>
      </c>
      <c r="H317" s="27" t="s">
        <v>326</v>
      </c>
      <c r="I317" s="27" t="s">
        <v>236</v>
      </c>
      <c r="J317" s="27" t="s">
        <v>139</v>
      </c>
      <c r="K317" s="10">
        <v>35</v>
      </c>
      <c r="L317" s="36" t="s">
        <v>263</v>
      </c>
      <c r="M317" s="37" t="s">
        <v>269</v>
      </c>
      <c r="N317" s="37" t="s">
        <v>270</v>
      </c>
      <c r="O317" s="27"/>
      <c r="P317" s="27"/>
      <c r="Q317" s="27" t="s">
        <v>237</v>
      </c>
      <c r="R317" s="27"/>
      <c r="S317" s="1" t="s">
        <v>264</v>
      </c>
      <c r="T317" s="29" t="s">
        <v>265</v>
      </c>
      <c r="U317" s="27"/>
      <c r="V317" s="27" t="s">
        <v>667</v>
      </c>
      <c r="W317" s="27"/>
    </row>
    <row r="318" spans="1:23" ht="24" customHeight="1">
      <c r="A318" s="27" t="str">
        <f t="shared" ca="1" si="4"/>
        <v>EVT-2026-0316</v>
      </c>
      <c r="B318" s="27">
        <v>2026</v>
      </c>
      <c r="C318" s="27" t="s">
        <v>92</v>
      </c>
      <c r="D318" s="30">
        <v>46104</v>
      </c>
      <c r="E318" s="27" t="s">
        <v>224</v>
      </c>
      <c r="F318" s="27" t="s">
        <v>164</v>
      </c>
      <c r="G318" s="27" t="s">
        <v>262</v>
      </c>
      <c r="H318" s="27" t="s">
        <v>171</v>
      </c>
      <c r="I318" s="27" t="s">
        <v>236</v>
      </c>
      <c r="J318" s="27" t="s">
        <v>139</v>
      </c>
      <c r="K318" s="10">
        <v>35</v>
      </c>
      <c r="L318" s="36" t="s">
        <v>263</v>
      </c>
      <c r="M318" s="37" t="s">
        <v>269</v>
      </c>
      <c r="N318" s="37" t="s">
        <v>270</v>
      </c>
      <c r="O318" s="27"/>
      <c r="P318" s="27"/>
      <c r="Q318" s="27" t="s">
        <v>237</v>
      </c>
      <c r="R318" s="27"/>
      <c r="S318" s="1" t="s">
        <v>264</v>
      </c>
      <c r="T318" s="29" t="s">
        <v>265</v>
      </c>
      <c r="U318" s="27"/>
      <c r="V318" s="27" t="s">
        <v>667</v>
      </c>
      <c r="W318" s="27"/>
    </row>
    <row r="319" spans="1:23" ht="24" customHeight="1">
      <c r="A319" s="27" t="str">
        <f t="shared" ca="1" si="4"/>
        <v>EVT-2026-0317</v>
      </c>
      <c r="B319" s="27">
        <v>2026</v>
      </c>
      <c r="C319" s="27" t="s">
        <v>92</v>
      </c>
      <c r="D319" s="30">
        <v>46105</v>
      </c>
      <c r="E319" s="27" t="s">
        <v>227</v>
      </c>
      <c r="F319" s="27" t="s">
        <v>164</v>
      </c>
      <c r="G319" s="27" t="s">
        <v>262</v>
      </c>
      <c r="H319" s="27" t="s">
        <v>171</v>
      </c>
      <c r="I319" s="27" t="s">
        <v>705</v>
      </c>
      <c r="J319" s="27" t="s">
        <v>158</v>
      </c>
      <c r="K319" s="10">
        <v>60</v>
      </c>
      <c r="L319" s="36" t="s">
        <v>263</v>
      </c>
      <c r="M319" s="37" t="s">
        <v>274</v>
      </c>
      <c r="N319" s="37" t="s">
        <v>330</v>
      </c>
      <c r="O319" s="27"/>
      <c r="P319" s="27"/>
      <c r="Q319" s="27" t="s">
        <v>706</v>
      </c>
      <c r="R319" s="27"/>
      <c r="S319" s="1" t="s">
        <v>264</v>
      </c>
      <c r="T319" s="29" t="s">
        <v>265</v>
      </c>
      <c r="U319" s="27"/>
      <c r="V319" s="27" t="s">
        <v>707</v>
      </c>
      <c r="W319" s="27"/>
    </row>
    <row r="320" spans="1:23" ht="24" customHeight="1">
      <c r="A320" s="27" t="str">
        <f t="shared" ca="1" si="4"/>
        <v>EVT-2026-0318</v>
      </c>
      <c r="B320" s="27">
        <v>2026</v>
      </c>
      <c r="C320" s="27" t="s">
        <v>92</v>
      </c>
      <c r="D320" s="30">
        <v>46105</v>
      </c>
      <c r="E320" s="27" t="s">
        <v>227</v>
      </c>
      <c r="F320" s="27" t="s">
        <v>164</v>
      </c>
      <c r="G320" s="27" t="s">
        <v>262</v>
      </c>
      <c r="H320" s="27" t="s">
        <v>171</v>
      </c>
      <c r="I320" s="27" t="s">
        <v>708</v>
      </c>
      <c r="J320" s="27" t="s">
        <v>177</v>
      </c>
      <c r="K320" s="10">
        <v>30</v>
      </c>
      <c r="L320" s="36" t="s">
        <v>263</v>
      </c>
      <c r="M320" s="37" t="s">
        <v>506</v>
      </c>
      <c r="N320" s="37" t="s">
        <v>350</v>
      </c>
      <c r="O320" s="27"/>
      <c r="P320" s="27"/>
      <c r="Q320" s="27" t="s">
        <v>237</v>
      </c>
      <c r="R320" s="27"/>
      <c r="S320" s="1" t="s">
        <v>264</v>
      </c>
      <c r="T320" s="29" t="s">
        <v>265</v>
      </c>
      <c r="U320" s="30">
        <v>46078</v>
      </c>
      <c r="V320" s="27" t="s">
        <v>707</v>
      </c>
      <c r="W320" s="27"/>
    </row>
    <row r="321" spans="1:23" ht="24" customHeight="1">
      <c r="A321" s="27" t="str">
        <f t="shared" ca="1" si="4"/>
        <v>EVT-2026-0319</v>
      </c>
      <c r="B321" s="27">
        <v>2026</v>
      </c>
      <c r="C321" s="27" t="s">
        <v>92</v>
      </c>
      <c r="D321" s="30">
        <v>46105</v>
      </c>
      <c r="E321" s="27" t="s">
        <v>227</v>
      </c>
      <c r="F321" s="27" t="s">
        <v>164</v>
      </c>
      <c r="G321" s="27" t="s">
        <v>262</v>
      </c>
      <c r="H321" s="27" t="s">
        <v>171</v>
      </c>
      <c r="I321" s="27" t="s">
        <v>709</v>
      </c>
      <c r="J321" s="27" t="s">
        <v>177</v>
      </c>
      <c r="K321" s="10">
        <v>50</v>
      </c>
      <c r="L321" s="36" t="s">
        <v>263</v>
      </c>
      <c r="M321" s="37" t="s">
        <v>309</v>
      </c>
      <c r="N321" s="37" t="s">
        <v>295</v>
      </c>
      <c r="O321" s="27"/>
      <c r="P321" s="27"/>
      <c r="Q321" s="27" t="s">
        <v>461</v>
      </c>
      <c r="R321" s="27"/>
      <c r="S321" s="1" t="s">
        <v>264</v>
      </c>
      <c r="T321" s="29" t="s">
        <v>265</v>
      </c>
      <c r="U321" s="27"/>
      <c r="V321" s="27" t="s">
        <v>298</v>
      </c>
      <c r="W321" s="27"/>
    </row>
    <row r="322" spans="1:23" ht="24" customHeight="1">
      <c r="A322" s="27" t="str">
        <f t="shared" ca="1" si="4"/>
        <v>EVT-2026-0320</v>
      </c>
      <c r="B322" s="27">
        <v>2026</v>
      </c>
      <c r="C322" s="27" t="s">
        <v>92</v>
      </c>
      <c r="D322" s="30">
        <v>46105</v>
      </c>
      <c r="E322" s="27" t="s">
        <v>227</v>
      </c>
      <c r="F322" s="27" t="s">
        <v>164</v>
      </c>
      <c r="G322" s="27" t="s">
        <v>262</v>
      </c>
      <c r="H322" s="27" t="s">
        <v>171</v>
      </c>
      <c r="I322" s="27" t="s">
        <v>710</v>
      </c>
      <c r="J322" s="27" t="s">
        <v>158</v>
      </c>
      <c r="K322" s="10">
        <v>25</v>
      </c>
      <c r="L322" s="36" t="s">
        <v>263</v>
      </c>
      <c r="M322" s="37" t="s">
        <v>295</v>
      </c>
      <c r="N322" s="37" t="s">
        <v>296</v>
      </c>
      <c r="O322" s="27"/>
      <c r="P322" s="27"/>
      <c r="Q322" s="27" t="s">
        <v>673</v>
      </c>
      <c r="R322" s="27"/>
      <c r="S322" s="1" t="s">
        <v>264</v>
      </c>
      <c r="T322" s="29" t="s">
        <v>265</v>
      </c>
      <c r="U322" s="27"/>
      <c r="V322" s="27" t="s">
        <v>298</v>
      </c>
      <c r="W322" s="27"/>
    </row>
    <row r="323" spans="1:23" ht="24" customHeight="1">
      <c r="A323" s="27" t="str">
        <f t="shared" ref="A323:A386" ca="1" si="5">IF(OR(D323&lt;&gt;"",H323&lt;&gt;"",I323&lt;&gt;"",Q323&lt;&gt;"",S323&lt;&gt;""), "EVT-" &amp; TEXT(B323, "0000") &amp; "-" &amp; TEXT(COUNTIF(OFFSET($A$1, 1, 0, ROW()-2, 1), "EVT*") + 1, "0000"), "")</f>
        <v>EVT-2026-0321</v>
      </c>
      <c r="B323" s="27">
        <v>2026</v>
      </c>
      <c r="C323" s="27" t="s">
        <v>92</v>
      </c>
      <c r="D323" s="30">
        <v>46105</v>
      </c>
      <c r="E323" s="27" t="s">
        <v>227</v>
      </c>
      <c r="F323" s="27" t="s">
        <v>164</v>
      </c>
      <c r="G323" s="27" t="s">
        <v>262</v>
      </c>
      <c r="H323" s="27" t="s">
        <v>171</v>
      </c>
      <c r="I323" s="27"/>
      <c r="J323" s="27" t="s">
        <v>177</v>
      </c>
      <c r="K323" s="10">
        <v>0</v>
      </c>
      <c r="L323" s="36" t="s">
        <v>263</v>
      </c>
      <c r="M323" s="37" t="s">
        <v>359</v>
      </c>
      <c r="N323" s="37" t="s">
        <v>290</v>
      </c>
      <c r="O323" s="27"/>
      <c r="P323" s="27"/>
      <c r="Q323" s="27" t="s">
        <v>711</v>
      </c>
      <c r="R323" s="27"/>
      <c r="S323" s="1" t="s">
        <v>264</v>
      </c>
      <c r="T323" s="29" t="s">
        <v>265</v>
      </c>
      <c r="U323" s="27"/>
      <c r="V323" s="27"/>
      <c r="W323" s="27"/>
    </row>
    <row r="324" spans="1:23" ht="24" customHeight="1">
      <c r="A324" s="27" t="str">
        <f t="shared" ca="1" si="5"/>
        <v>EVT-2026-0322</v>
      </c>
      <c r="B324" s="27">
        <v>2026</v>
      </c>
      <c r="C324" s="27" t="s">
        <v>92</v>
      </c>
      <c r="D324" s="30">
        <v>46106</v>
      </c>
      <c r="E324" s="27" t="s">
        <v>201</v>
      </c>
      <c r="F324" s="27" t="s">
        <v>164</v>
      </c>
      <c r="G324" s="27" t="s">
        <v>202</v>
      </c>
      <c r="H324" s="27" t="s">
        <v>326</v>
      </c>
      <c r="I324" s="27" t="s">
        <v>712</v>
      </c>
      <c r="J324" s="27" t="s">
        <v>177</v>
      </c>
      <c r="K324" s="10">
        <v>25</v>
      </c>
      <c r="L324" s="36" t="s">
        <v>263</v>
      </c>
      <c r="M324" s="37" t="s">
        <v>275</v>
      </c>
      <c r="N324" s="37" t="s">
        <v>270</v>
      </c>
      <c r="O324" s="27"/>
      <c r="P324" s="27"/>
      <c r="Q324" s="27" t="s">
        <v>237</v>
      </c>
      <c r="R324" s="27"/>
      <c r="S324" s="1" t="s">
        <v>264</v>
      </c>
      <c r="T324" s="29" t="s">
        <v>265</v>
      </c>
      <c r="U324" s="30">
        <v>46086</v>
      </c>
      <c r="V324" s="27" t="s">
        <v>307</v>
      </c>
      <c r="W324" s="27"/>
    </row>
    <row r="325" spans="1:23" ht="24" customHeight="1">
      <c r="A325" s="27" t="str">
        <f t="shared" ca="1" si="5"/>
        <v>EVT-2026-0323</v>
      </c>
      <c r="B325" s="27">
        <v>2026</v>
      </c>
      <c r="C325" s="27" t="s">
        <v>92</v>
      </c>
      <c r="D325" s="30">
        <v>46107</v>
      </c>
      <c r="E325" s="27" t="s">
        <v>216</v>
      </c>
      <c r="F325" s="27" t="s">
        <v>164</v>
      </c>
      <c r="G325" s="27" t="s">
        <v>262</v>
      </c>
      <c r="H325" s="27"/>
      <c r="I325" s="27"/>
      <c r="J325" s="27" t="s">
        <v>177</v>
      </c>
      <c r="K325" s="10">
        <v>0</v>
      </c>
      <c r="L325" s="36" t="s">
        <v>263</v>
      </c>
      <c r="M325" s="37"/>
      <c r="N325" s="37"/>
      <c r="O325" s="27"/>
      <c r="P325" s="27"/>
      <c r="Q325" s="27"/>
      <c r="R325" s="27"/>
      <c r="S325" s="1" t="s">
        <v>264</v>
      </c>
      <c r="T325" s="29" t="s">
        <v>265</v>
      </c>
      <c r="U325" s="27"/>
      <c r="V325" s="27"/>
      <c r="W325" s="27"/>
    </row>
    <row r="326" spans="1:23" ht="24" customHeight="1">
      <c r="A326" s="27" t="str">
        <f t="shared" ca="1" si="5"/>
        <v>EVT-2026-0324</v>
      </c>
      <c r="B326" s="27">
        <v>2026</v>
      </c>
      <c r="C326" s="27" t="s">
        <v>92</v>
      </c>
      <c r="D326" s="30">
        <v>46107</v>
      </c>
      <c r="E326" s="27" t="s">
        <v>216</v>
      </c>
      <c r="F326" s="27" t="s">
        <v>164</v>
      </c>
      <c r="G326" s="27" t="s">
        <v>262</v>
      </c>
      <c r="H326" s="27" t="s">
        <v>171</v>
      </c>
      <c r="I326" s="27" t="s">
        <v>670</v>
      </c>
      <c r="J326" s="27" t="s">
        <v>127</v>
      </c>
      <c r="K326" s="10">
        <v>50</v>
      </c>
      <c r="L326" s="36" t="s">
        <v>263</v>
      </c>
      <c r="M326" s="37" t="s">
        <v>338</v>
      </c>
      <c r="N326" s="37" t="s">
        <v>331</v>
      </c>
      <c r="O326" s="27"/>
      <c r="P326" s="27"/>
      <c r="Q326" s="27" t="s">
        <v>310</v>
      </c>
      <c r="R326" s="27"/>
      <c r="S326" s="1" t="s">
        <v>264</v>
      </c>
      <c r="T326" s="29" t="s">
        <v>265</v>
      </c>
      <c r="U326" s="27"/>
      <c r="V326" s="27" t="s">
        <v>298</v>
      </c>
      <c r="W326" s="27"/>
    </row>
    <row r="327" spans="1:23" ht="24" customHeight="1">
      <c r="A327" s="27" t="str">
        <f t="shared" ca="1" si="5"/>
        <v>EVT-2026-0325</v>
      </c>
      <c r="B327" s="27">
        <v>2026</v>
      </c>
      <c r="C327" s="27" t="s">
        <v>92</v>
      </c>
      <c r="D327" s="30">
        <v>46107</v>
      </c>
      <c r="E327" s="27" t="s">
        <v>216</v>
      </c>
      <c r="F327" s="27" t="s">
        <v>164</v>
      </c>
      <c r="G327" s="27" t="s">
        <v>262</v>
      </c>
      <c r="H327" s="27" t="s">
        <v>171</v>
      </c>
      <c r="I327" s="27" t="s">
        <v>713</v>
      </c>
      <c r="J327" s="27" t="s">
        <v>177</v>
      </c>
      <c r="K327" s="10">
        <v>50</v>
      </c>
      <c r="L327" s="36" t="s">
        <v>263</v>
      </c>
      <c r="M327" s="37" t="s">
        <v>309</v>
      </c>
      <c r="N327" s="37" t="s">
        <v>359</v>
      </c>
      <c r="O327" s="27"/>
      <c r="P327" s="27"/>
      <c r="Q327" s="27" t="s">
        <v>335</v>
      </c>
      <c r="R327" s="27"/>
      <c r="S327" s="1" t="s">
        <v>264</v>
      </c>
      <c r="T327" s="29" t="s">
        <v>265</v>
      </c>
      <c r="U327" s="27"/>
      <c r="V327" s="27" t="s">
        <v>714</v>
      </c>
      <c r="W327" s="27"/>
    </row>
    <row r="328" spans="1:23" ht="24" customHeight="1">
      <c r="A328" s="27" t="str">
        <f t="shared" ca="1" si="5"/>
        <v>EVT-2026-0326</v>
      </c>
      <c r="B328" s="27">
        <v>2026</v>
      </c>
      <c r="C328" s="27" t="s">
        <v>92</v>
      </c>
      <c r="D328" s="30">
        <v>46107</v>
      </c>
      <c r="E328" s="27" t="s">
        <v>216</v>
      </c>
      <c r="F328" s="27" t="s">
        <v>164</v>
      </c>
      <c r="G328" s="27" t="s">
        <v>262</v>
      </c>
      <c r="H328" s="27" t="s">
        <v>171</v>
      </c>
      <c r="I328" s="27" t="s">
        <v>715</v>
      </c>
      <c r="J328" s="27" t="s">
        <v>177</v>
      </c>
      <c r="K328" s="10">
        <v>25</v>
      </c>
      <c r="L328" s="36" t="s">
        <v>263</v>
      </c>
      <c r="M328" s="37" t="s">
        <v>296</v>
      </c>
      <c r="N328" s="37" t="s">
        <v>270</v>
      </c>
      <c r="O328" s="27"/>
      <c r="P328" s="27"/>
      <c r="Q328" s="27" t="s">
        <v>716</v>
      </c>
      <c r="R328" s="27"/>
      <c r="S328" s="1" t="s">
        <v>264</v>
      </c>
      <c r="T328" s="29" t="s">
        <v>265</v>
      </c>
      <c r="U328" s="27"/>
      <c r="V328" s="27"/>
      <c r="W328" s="27"/>
    </row>
    <row r="329" spans="1:23" ht="24" customHeight="1">
      <c r="A329" s="27" t="str">
        <f t="shared" ca="1" si="5"/>
        <v>EVT-2026-0327</v>
      </c>
      <c r="B329" s="27">
        <v>2026</v>
      </c>
      <c r="C329" s="27" t="s">
        <v>92</v>
      </c>
      <c r="D329" s="30">
        <v>46108</v>
      </c>
      <c r="E329" s="27" t="s">
        <v>220</v>
      </c>
      <c r="F329" s="27" t="s">
        <v>164</v>
      </c>
      <c r="G329" s="27" t="s">
        <v>262</v>
      </c>
      <c r="H329" s="27" t="s">
        <v>171</v>
      </c>
      <c r="I329" s="27" t="s">
        <v>717</v>
      </c>
      <c r="J329" s="27" t="s">
        <v>127</v>
      </c>
      <c r="K329" s="10">
        <v>70</v>
      </c>
      <c r="L329" s="36" t="s">
        <v>263</v>
      </c>
      <c r="M329" s="37" t="s">
        <v>338</v>
      </c>
      <c r="N329" s="37" t="s">
        <v>350</v>
      </c>
      <c r="O329" s="27"/>
      <c r="P329" s="27" t="s">
        <v>718</v>
      </c>
      <c r="Q329" s="27" t="s">
        <v>719</v>
      </c>
      <c r="R329" s="27"/>
      <c r="S329" s="1" t="s">
        <v>264</v>
      </c>
      <c r="T329" s="29" t="s">
        <v>265</v>
      </c>
      <c r="U329" s="27"/>
      <c r="V329" s="27" t="s">
        <v>700</v>
      </c>
      <c r="W329" s="27"/>
    </row>
    <row r="330" spans="1:23" ht="24" customHeight="1">
      <c r="A330" s="27" t="str">
        <f t="shared" ca="1" si="5"/>
        <v>EVT-2026-0328</v>
      </c>
      <c r="B330" s="27">
        <v>2026</v>
      </c>
      <c r="C330" s="27" t="s">
        <v>92</v>
      </c>
      <c r="D330" s="30">
        <v>46108</v>
      </c>
      <c r="E330" s="27" t="s">
        <v>220</v>
      </c>
      <c r="F330" s="27" t="s">
        <v>164</v>
      </c>
      <c r="G330" s="27" t="s">
        <v>262</v>
      </c>
      <c r="H330" s="27" t="s">
        <v>171</v>
      </c>
      <c r="I330" s="27" t="s">
        <v>720</v>
      </c>
      <c r="J330" s="27" t="s">
        <v>177</v>
      </c>
      <c r="K330" s="10">
        <v>40</v>
      </c>
      <c r="L330" s="36" t="s">
        <v>263</v>
      </c>
      <c r="M330" s="37" t="s">
        <v>309</v>
      </c>
      <c r="N330" s="37" t="s">
        <v>295</v>
      </c>
      <c r="O330" s="27"/>
      <c r="P330" s="27"/>
      <c r="Q330" s="27" t="s">
        <v>461</v>
      </c>
      <c r="R330" s="27"/>
      <c r="S330" s="1" t="s">
        <v>264</v>
      </c>
      <c r="T330" s="29" t="s">
        <v>265</v>
      </c>
      <c r="U330" s="27"/>
      <c r="V330" s="27" t="s">
        <v>341</v>
      </c>
      <c r="W330" s="27"/>
    </row>
    <row r="331" spans="1:23" ht="24" customHeight="1">
      <c r="A331" s="27" t="str">
        <f t="shared" ca="1" si="5"/>
        <v>EVT-2026-0329</v>
      </c>
      <c r="B331" s="27">
        <v>2026</v>
      </c>
      <c r="C331" s="27" t="s">
        <v>92</v>
      </c>
      <c r="D331" s="30">
        <v>46108</v>
      </c>
      <c r="E331" s="27" t="s">
        <v>220</v>
      </c>
      <c r="F331" s="27" t="s">
        <v>164</v>
      </c>
      <c r="G331" s="27" t="s">
        <v>262</v>
      </c>
      <c r="H331" s="27" t="s">
        <v>171</v>
      </c>
      <c r="I331" s="27" t="s">
        <v>658</v>
      </c>
      <c r="J331" s="27" t="s">
        <v>152</v>
      </c>
      <c r="K331" s="10">
        <v>40</v>
      </c>
      <c r="L331" s="36" t="s">
        <v>263</v>
      </c>
      <c r="M331" s="37" t="s">
        <v>295</v>
      </c>
      <c r="N331" s="37" t="s">
        <v>270</v>
      </c>
      <c r="O331" s="27"/>
      <c r="P331" s="27"/>
      <c r="Q331" s="27" t="s">
        <v>688</v>
      </c>
      <c r="R331" s="27"/>
      <c r="S331" s="1" t="s">
        <v>264</v>
      </c>
      <c r="T331" s="29" t="s">
        <v>265</v>
      </c>
      <c r="U331" s="27"/>
      <c r="V331" s="27" t="s">
        <v>721</v>
      </c>
      <c r="W331" s="27"/>
    </row>
    <row r="332" spans="1:23" ht="24" customHeight="1">
      <c r="A332" s="27" t="str">
        <f t="shared" ca="1" si="5"/>
        <v>EVT-2026-0330</v>
      </c>
      <c r="B332" s="27">
        <v>2026</v>
      </c>
      <c r="C332" s="27" t="s">
        <v>92</v>
      </c>
      <c r="D332" s="30">
        <v>46109</v>
      </c>
      <c r="E332" s="27" t="s">
        <v>266</v>
      </c>
      <c r="F332" s="27" t="s">
        <v>164</v>
      </c>
      <c r="G332" s="27" t="s">
        <v>262</v>
      </c>
      <c r="H332" s="27" t="s">
        <v>300</v>
      </c>
      <c r="I332" s="27"/>
      <c r="J332" s="27" t="s">
        <v>145</v>
      </c>
      <c r="K332" s="10">
        <v>0</v>
      </c>
      <c r="L332" s="36" t="s">
        <v>263</v>
      </c>
      <c r="M332" s="37"/>
      <c r="N332" s="37"/>
      <c r="O332" s="27"/>
      <c r="P332" s="27"/>
      <c r="Q332" s="27" t="s">
        <v>722</v>
      </c>
      <c r="R332" s="27"/>
      <c r="S332" s="1" t="s">
        <v>264</v>
      </c>
      <c r="T332" s="29" t="s">
        <v>265</v>
      </c>
      <c r="U332" s="27"/>
      <c r="V332" s="27" t="s">
        <v>691</v>
      </c>
      <c r="W332" s="27"/>
    </row>
    <row r="333" spans="1:23" ht="24" customHeight="1">
      <c r="A333" s="27" t="str">
        <f t="shared" ca="1" si="5"/>
        <v>EVT-2026-0331</v>
      </c>
      <c r="B333" s="27">
        <v>2026</v>
      </c>
      <c r="C333" s="27" t="s">
        <v>92</v>
      </c>
      <c r="D333" s="30">
        <v>46110</v>
      </c>
      <c r="E333" s="27" t="s">
        <v>267</v>
      </c>
      <c r="F333" s="27" t="s">
        <v>164</v>
      </c>
      <c r="G333" s="27" t="s">
        <v>262</v>
      </c>
      <c r="H333" s="27"/>
      <c r="I333" s="27"/>
      <c r="J333" s="27" t="s">
        <v>177</v>
      </c>
      <c r="K333" s="10">
        <v>0</v>
      </c>
      <c r="L333" s="36" t="s">
        <v>263</v>
      </c>
      <c r="M333" s="37"/>
      <c r="N333" s="37"/>
      <c r="O333" s="27"/>
      <c r="P333" s="27"/>
      <c r="Q333" s="27"/>
      <c r="R333" s="27"/>
      <c r="S333" s="1" t="s">
        <v>264</v>
      </c>
      <c r="T333" s="29" t="s">
        <v>265</v>
      </c>
      <c r="U333" s="27"/>
      <c r="V333" s="27"/>
      <c r="W333" s="27"/>
    </row>
    <row r="334" spans="1:23" ht="24" customHeight="1">
      <c r="A334" s="27" t="str">
        <f t="shared" ca="1" si="5"/>
        <v>EVT-2026-0332</v>
      </c>
      <c r="B334" s="27">
        <v>2026</v>
      </c>
      <c r="C334" s="27" t="s">
        <v>92</v>
      </c>
      <c r="D334" s="30">
        <v>46111</v>
      </c>
      <c r="E334" s="27" t="s">
        <v>224</v>
      </c>
      <c r="F334" s="27" t="s">
        <v>164</v>
      </c>
      <c r="G334" s="27" t="s">
        <v>202</v>
      </c>
      <c r="H334" s="27" t="s">
        <v>326</v>
      </c>
      <c r="I334" s="27" t="s">
        <v>236</v>
      </c>
      <c r="J334" s="27" t="s">
        <v>139</v>
      </c>
      <c r="K334" s="10">
        <v>45</v>
      </c>
      <c r="L334" s="36" t="s">
        <v>263</v>
      </c>
      <c r="M334" s="37" t="s">
        <v>269</v>
      </c>
      <c r="N334" s="37" t="s">
        <v>270</v>
      </c>
      <c r="O334" s="27"/>
      <c r="P334" s="27"/>
      <c r="Q334" s="27" t="s">
        <v>237</v>
      </c>
      <c r="R334" s="27"/>
      <c r="S334" s="1" t="s">
        <v>264</v>
      </c>
      <c r="T334" s="29" t="s">
        <v>265</v>
      </c>
      <c r="U334" s="27"/>
      <c r="V334" s="27" t="s">
        <v>476</v>
      </c>
      <c r="W334" s="27"/>
    </row>
    <row r="335" spans="1:23" ht="24" customHeight="1">
      <c r="A335" s="27" t="str">
        <f t="shared" ca="1" si="5"/>
        <v>EVT-2026-0333</v>
      </c>
      <c r="B335" s="27">
        <v>2026</v>
      </c>
      <c r="C335" s="27" t="s">
        <v>92</v>
      </c>
      <c r="D335" s="30">
        <v>46112</v>
      </c>
      <c r="E335" s="27" t="s">
        <v>227</v>
      </c>
      <c r="F335" s="27" t="s">
        <v>164</v>
      </c>
      <c r="G335" s="27" t="s">
        <v>262</v>
      </c>
      <c r="H335" s="27" t="s">
        <v>171</v>
      </c>
      <c r="I335" s="27" t="s">
        <v>723</v>
      </c>
      <c r="J335" s="27" t="s">
        <v>177</v>
      </c>
      <c r="K335" s="10">
        <v>0</v>
      </c>
      <c r="L335" s="36" t="s">
        <v>263</v>
      </c>
      <c r="M335" s="37" t="s">
        <v>330</v>
      </c>
      <c r="N335" s="37" t="s">
        <v>553</v>
      </c>
      <c r="O335" s="27"/>
      <c r="P335" s="27"/>
      <c r="Q335" s="27" t="s">
        <v>724</v>
      </c>
      <c r="R335" s="27"/>
      <c r="S335" s="1" t="s">
        <v>264</v>
      </c>
      <c r="T335" s="29" t="s">
        <v>265</v>
      </c>
      <c r="U335" s="27"/>
      <c r="V335" s="27" t="s">
        <v>298</v>
      </c>
      <c r="W335" s="27"/>
    </row>
    <row r="336" spans="1:23" ht="24" customHeight="1">
      <c r="A336" s="27" t="str">
        <f t="shared" ca="1" si="5"/>
        <v>EVT-2026-0334</v>
      </c>
      <c r="B336" s="27">
        <v>2026</v>
      </c>
      <c r="C336" s="27" t="s">
        <v>92</v>
      </c>
      <c r="D336" s="30">
        <v>46112</v>
      </c>
      <c r="E336" s="27" t="s">
        <v>227</v>
      </c>
      <c r="F336" s="27" t="s">
        <v>164</v>
      </c>
      <c r="G336" s="27" t="s">
        <v>262</v>
      </c>
      <c r="H336" s="27" t="s">
        <v>171</v>
      </c>
      <c r="I336" s="27" t="s">
        <v>725</v>
      </c>
      <c r="J336" s="27" t="s">
        <v>134</v>
      </c>
      <c r="K336" s="10">
        <v>40</v>
      </c>
      <c r="L336" s="36" t="s">
        <v>263</v>
      </c>
      <c r="M336" s="37" t="s">
        <v>309</v>
      </c>
      <c r="N336" s="37" t="s">
        <v>270</v>
      </c>
      <c r="O336" s="27"/>
      <c r="P336" s="27"/>
      <c r="Q336" s="27" t="s">
        <v>726</v>
      </c>
      <c r="R336" s="27"/>
      <c r="S336" s="1" t="s">
        <v>264</v>
      </c>
      <c r="T336" s="29" t="s">
        <v>265</v>
      </c>
      <c r="U336" s="27"/>
      <c r="V336" s="27" t="s">
        <v>298</v>
      </c>
      <c r="W336" s="27"/>
    </row>
    <row r="337" spans="1:23" ht="24" customHeight="1">
      <c r="A337" s="27" t="str">
        <f t="shared" ca="1" si="5"/>
        <v>EVT-2026-0335</v>
      </c>
      <c r="B337" s="27">
        <v>2026</v>
      </c>
      <c r="C337" s="27" t="s">
        <v>92</v>
      </c>
      <c r="D337" s="30">
        <v>46112</v>
      </c>
      <c r="E337" s="27" t="s">
        <v>227</v>
      </c>
      <c r="F337" s="27" t="s">
        <v>164</v>
      </c>
      <c r="G337" s="27" t="s">
        <v>202</v>
      </c>
      <c r="H337" s="27" t="s">
        <v>326</v>
      </c>
      <c r="I337" s="27" t="s">
        <v>727</v>
      </c>
      <c r="J337" s="27" t="s">
        <v>158</v>
      </c>
      <c r="K337" s="10">
        <v>40</v>
      </c>
      <c r="L337" s="36" t="s">
        <v>263</v>
      </c>
      <c r="M337" s="37" t="s">
        <v>309</v>
      </c>
      <c r="N337" s="37" t="s">
        <v>270</v>
      </c>
      <c r="O337" s="27"/>
      <c r="P337" s="27"/>
      <c r="Q337" s="27" t="s">
        <v>728</v>
      </c>
      <c r="R337" s="27"/>
      <c r="S337" s="1" t="s">
        <v>264</v>
      </c>
      <c r="T337" s="29" t="s">
        <v>265</v>
      </c>
      <c r="U337" s="27"/>
      <c r="V337" s="27" t="s">
        <v>298</v>
      </c>
      <c r="W337" s="27"/>
    </row>
    <row r="338" spans="1:23" ht="24" customHeight="1">
      <c r="A338" s="27" t="str">
        <f t="shared" ca="1" si="5"/>
        <v>EVT-2026-0336</v>
      </c>
      <c r="B338" s="27">
        <v>2026</v>
      </c>
      <c r="C338" s="27" t="s">
        <v>92</v>
      </c>
      <c r="D338" s="30">
        <v>46082</v>
      </c>
      <c r="E338" s="27" t="s">
        <v>267</v>
      </c>
      <c r="F338" s="27" t="s">
        <v>126</v>
      </c>
      <c r="G338" s="27"/>
      <c r="H338" s="27"/>
      <c r="I338" s="27"/>
      <c r="J338" s="27" t="s">
        <v>177</v>
      </c>
      <c r="K338" s="10">
        <v>0</v>
      </c>
      <c r="L338" s="36" t="s">
        <v>263</v>
      </c>
      <c r="M338" s="37"/>
      <c r="N338" s="37"/>
      <c r="O338" s="27"/>
      <c r="P338" s="27"/>
      <c r="Q338" s="27"/>
      <c r="R338" s="27"/>
      <c r="S338" s="1" t="s">
        <v>264</v>
      </c>
      <c r="T338" s="29" t="s">
        <v>265</v>
      </c>
      <c r="U338" s="27"/>
      <c r="V338" s="27"/>
      <c r="W338" s="27"/>
    </row>
    <row r="339" spans="1:23" ht="24" customHeight="1">
      <c r="A339" s="27" t="str">
        <f t="shared" ca="1" si="5"/>
        <v>EVT-2026-0337</v>
      </c>
      <c r="B339" s="27">
        <v>2026</v>
      </c>
      <c r="C339" s="27" t="s">
        <v>92</v>
      </c>
      <c r="D339" s="30">
        <v>46083</v>
      </c>
      <c r="E339" s="27" t="s">
        <v>224</v>
      </c>
      <c r="F339" s="27" t="s">
        <v>126</v>
      </c>
      <c r="G339" s="27" t="s">
        <v>228</v>
      </c>
      <c r="H339" s="27" t="s">
        <v>496</v>
      </c>
      <c r="I339" s="27" t="s">
        <v>344</v>
      </c>
      <c r="J339" s="27" t="s">
        <v>134</v>
      </c>
      <c r="K339" s="10">
        <v>25</v>
      </c>
      <c r="L339" s="36" t="s">
        <v>263</v>
      </c>
      <c r="M339" s="37" t="s">
        <v>350</v>
      </c>
      <c r="N339" s="37" t="s">
        <v>270</v>
      </c>
      <c r="O339" s="27"/>
      <c r="P339" s="27"/>
      <c r="Q339" s="27" t="s">
        <v>729</v>
      </c>
      <c r="R339" s="27"/>
      <c r="S339" s="1" t="s">
        <v>264</v>
      </c>
      <c r="T339" s="29" t="s">
        <v>265</v>
      </c>
      <c r="U339" s="27"/>
      <c r="V339" s="27" t="s">
        <v>303</v>
      </c>
      <c r="W339" s="27"/>
    </row>
    <row r="340" spans="1:23" ht="24" customHeight="1">
      <c r="A340" s="27" t="str">
        <f t="shared" ca="1" si="5"/>
        <v>EVT-2026-0338</v>
      </c>
      <c r="B340" s="27">
        <v>2026</v>
      </c>
      <c r="C340" s="27" t="s">
        <v>92</v>
      </c>
      <c r="D340" s="30">
        <v>46083</v>
      </c>
      <c r="E340" s="27" t="s">
        <v>224</v>
      </c>
      <c r="F340" s="27" t="s">
        <v>126</v>
      </c>
      <c r="G340" s="27" t="s">
        <v>202</v>
      </c>
      <c r="H340" s="27" t="s">
        <v>730</v>
      </c>
      <c r="I340" s="27" t="s">
        <v>731</v>
      </c>
      <c r="J340" s="27" t="s">
        <v>152</v>
      </c>
      <c r="K340" s="10">
        <v>0</v>
      </c>
      <c r="L340" s="36" t="s">
        <v>263</v>
      </c>
      <c r="M340" s="37" t="s">
        <v>732</v>
      </c>
      <c r="N340" s="37" t="s">
        <v>270</v>
      </c>
      <c r="O340" s="27"/>
      <c r="P340" s="27"/>
      <c r="Q340" s="27" t="s">
        <v>383</v>
      </c>
      <c r="R340" s="27"/>
      <c r="S340" s="1" t="s">
        <v>264</v>
      </c>
      <c r="T340" s="29" t="s">
        <v>265</v>
      </c>
      <c r="U340" s="27"/>
      <c r="V340" s="27" t="s">
        <v>733</v>
      </c>
      <c r="W340" s="27"/>
    </row>
    <row r="341" spans="1:23" ht="24" customHeight="1">
      <c r="A341" s="27" t="str">
        <f t="shared" ca="1" si="5"/>
        <v>EVT-2026-0339</v>
      </c>
      <c r="B341" s="27">
        <v>2026</v>
      </c>
      <c r="C341" s="27" t="s">
        <v>92</v>
      </c>
      <c r="D341" s="30">
        <v>46083</v>
      </c>
      <c r="E341" s="27" t="s">
        <v>224</v>
      </c>
      <c r="F341" s="27" t="s">
        <v>126</v>
      </c>
      <c r="G341" s="27" t="s">
        <v>202</v>
      </c>
      <c r="H341" s="27" t="s">
        <v>734</v>
      </c>
      <c r="I341" s="27" t="s">
        <v>735</v>
      </c>
      <c r="J341" s="27" t="s">
        <v>152</v>
      </c>
      <c r="K341" s="10">
        <v>0</v>
      </c>
      <c r="L341" s="36" t="s">
        <v>263</v>
      </c>
      <c r="M341" s="37" t="s">
        <v>732</v>
      </c>
      <c r="N341" s="37" t="s">
        <v>270</v>
      </c>
      <c r="O341" s="27"/>
      <c r="P341" s="27"/>
      <c r="Q341" s="27" t="s">
        <v>383</v>
      </c>
      <c r="R341" s="27"/>
      <c r="S341" s="1" t="s">
        <v>264</v>
      </c>
      <c r="T341" s="29" t="s">
        <v>265</v>
      </c>
      <c r="U341" s="27"/>
      <c r="V341" s="27" t="s">
        <v>733</v>
      </c>
      <c r="W341" s="27"/>
    </row>
    <row r="342" spans="1:23" ht="24" customHeight="1">
      <c r="A342" s="27" t="str">
        <f t="shared" ca="1" si="5"/>
        <v>EVT-2026-0340</v>
      </c>
      <c r="B342" s="27">
        <v>2026</v>
      </c>
      <c r="C342" s="27" t="s">
        <v>92</v>
      </c>
      <c r="D342" s="30">
        <v>46083</v>
      </c>
      <c r="E342" s="27" t="s">
        <v>224</v>
      </c>
      <c r="F342" s="27" t="s">
        <v>126</v>
      </c>
      <c r="G342" s="27" t="s">
        <v>202</v>
      </c>
      <c r="H342" s="27" t="s">
        <v>736</v>
      </c>
      <c r="I342" s="27"/>
      <c r="J342" s="27" t="s">
        <v>165</v>
      </c>
      <c r="K342" s="10">
        <v>35</v>
      </c>
      <c r="L342" s="36" t="s">
        <v>263</v>
      </c>
      <c r="M342" s="37" t="s">
        <v>295</v>
      </c>
      <c r="N342" s="37" t="s">
        <v>296</v>
      </c>
      <c r="O342" s="27"/>
      <c r="P342" s="27"/>
      <c r="Q342" s="27" t="s">
        <v>737</v>
      </c>
      <c r="R342" s="27"/>
      <c r="S342" s="1" t="s">
        <v>264</v>
      </c>
      <c r="T342" s="29" t="s">
        <v>265</v>
      </c>
      <c r="U342" s="27" t="s">
        <v>298</v>
      </c>
      <c r="V342" s="27"/>
      <c r="W342" s="27"/>
    </row>
    <row r="343" spans="1:23" ht="24" customHeight="1">
      <c r="A343" s="27" t="str">
        <f t="shared" ca="1" si="5"/>
        <v>EVT-2026-0341</v>
      </c>
      <c r="B343" s="27">
        <v>2026</v>
      </c>
      <c r="C343" s="27" t="s">
        <v>92</v>
      </c>
      <c r="D343" s="30">
        <v>46083</v>
      </c>
      <c r="E343" s="27" t="s">
        <v>224</v>
      </c>
      <c r="F343" s="27" t="s">
        <v>126</v>
      </c>
      <c r="G343" s="27" t="s">
        <v>202</v>
      </c>
      <c r="H343" s="27" t="s">
        <v>348</v>
      </c>
      <c r="I343" s="27" t="s">
        <v>738</v>
      </c>
      <c r="J343" s="27" t="s">
        <v>158</v>
      </c>
      <c r="K343" s="10">
        <v>10</v>
      </c>
      <c r="L343" s="36" t="s">
        <v>263</v>
      </c>
      <c r="M343" s="37" t="s">
        <v>331</v>
      </c>
      <c r="N343" s="37" t="s">
        <v>275</v>
      </c>
      <c r="O343" s="27"/>
      <c r="P343" s="27"/>
      <c r="Q343" s="27" t="s">
        <v>383</v>
      </c>
      <c r="R343" s="27"/>
      <c r="S343" s="1" t="s">
        <v>264</v>
      </c>
      <c r="T343" s="29" t="s">
        <v>265</v>
      </c>
      <c r="U343" s="30">
        <v>46072</v>
      </c>
      <c r="V343" s="27" t="s">
        <v>739</v>
      </c>
      <c r="W343" s="27"/>
    </row>
    <row r="344" spans="1:23" ht="24" customHeight="1">
      <c r="A344" s="27" t="str">
        <f t="shared" ca="1" si="5"/>
        <v>EVT-2026-0342</v>
      </c>
      <c r="B344" s="27">
        <v>2026</v>
      </c>
      <c r="C344" s="27" t="s">
        <v>92</v>
      </c>
      <c r="D344" s="30">
        <v>46083</v>
      </c>
      <c r="E344" s="27" t="s">
        <v>224</v>
      </c>
      <c r="F344" s="27" t="s">
        <v>126</v>
      </c>
      <c r="G344" s="27" t="s">
        <v>228</v>
      </c>
      <c r="H344" s="27" t="s">
        <v>125</v>
      </c>
      <c r="I344" s="27" t="s">
        <v>236</v>
      </c>
      <c r="J344" s="27" t="s">
        <v>139</v>
      </c>
      <c r="K344" s="10">
        <v>100</v>
      </c>
      <c r="L344" s="38" t="s">
        <v>294</v>
      </c>
      <c r="M344" s="37" t="s">
        <v>269</v>
      </c>
      <c r="N344" s="37" t="s">
        <v>270</v>
      </c>
      <c r="O344" s="27"/>
      <c r="P344" s="27"/>
      <c r="Q344" s="27" t="s">
        <v>237</v>
      </c>
      <c r="R344" s="27"/>
      <c r="S344" s="1" t="s">
        <v>264</v>
      </c>
      <c r="T344" s="29" t="s">
        <v>265</v>
      </c>
      <c r="U344" s="27"/>
      <c r="V344" s="27"/>
      <c r="W344" s="27"/>
    </row>
    <row r="345" spans="1:23" ht="24" customHeight="1">
      <c r="A345" s="27" t="str">
        <f t="shared" ca="1" si="5"/>
        <v>EVT-2026-0343</v>
      </c>
      <c r="B345" s="27">
        <v>2026</v>
      </c>
      <c r="C345" s="27" t="s">
        <v>92</v>
      </c>
      <c r="D345" s="30">
        <v>46083</v>
      </c>
      <c r="E345" s="27" t="s">
        <v>224</v>
      </c>
      <c r="F345" s="27" t="s">
        <v>126</v>
      </c>
      <c r="G345" s="27" t="s">
        <v>202</v>
      </c>
      <c r="H345" s="27" t="s">
        <v>740</v>
      </c>
      <c r="I345" s="27" t="s">
        <v>741</v>
      </c>
      <c r="J345" s="27" t="s">
        <v>127</v>
      </c>
      <c r="K345" s="10">
        <v>100</v>
      </c>
      <c r="L345" s="38" t="s">
        <v>294</v>
      </c>
      <c r="M345" s="37" t="s">
        <v>281</v>
      </c>
      <c r="N345" s="37" t="s">
        <v>429</v>
      </c>
      <c r="O345" s="27"/>
      <c r="P345" s="27"/>
      <c r="Q345" s="27" t="s">
        <v>378</v>
      </c>
      <c r="R345" s="27"/>
      <c r="S345" s="3" t="s">
        <v>312</v>
      </c>
      <c r="T345" s="29" t="s">
        <v>265</v>
      </c>
      <c r="U345" s="30">
        <v>46035</v>
      </c>
      <c r="V345" s="27" t="s">
        <v>298</v>
      </c>
      <c r="W345" s="27"/>
    </row>
    <row r="346" spans="1:23" ht="24" customHeight="1">
      <c r="A346" s="27" t="str">
        <f t="shared" ca="1" si="5"/>
        <v>EVT-2026-0344</v>
      </c>
      <c r="B346" s="27">
        <v>2026</v>
      </c>
      <c r="C346" s="27" t="s">
        <v>92</v>
      </c>
      <c r="D346" s="30">
        <v>46084</v>
      </c>
      <c r="E346" s="27" t="s">
        <v>227</v>
      </c>
      <c r="F346" s="27" t="s">
        <v>126</v>
      </c>
      <c r="G346" s="27" t="s">
        <v>208</v>
      </c>
      <c r="H346" s="27" t="s">
        <v>740</v>
      </c>
      <c r="I346" s="27" t="s">
        <v>742</v>
      </c>
      <c r="J346" s="27" t="s">
        <v>127</v>
      </c>
      <c r="K346" s="10">
        <v>40</v>
      </c>
      <c r="L346" s="36" t="s">
        <v>263</v>
      </c>
      <c r="M346" s="37" t="s">
        <v>315</v>
      </c>
      <c r="N346" s="37" t="s">
        <v>330</v>
      </c>
      <c r="O346" s="27"/>
      <c r="P346" s="27"/>
      <c r="Q346" s="27" t="s">
        <v>743</v>
      </c>
      <c r="R346" s="27"/>
      <c r="S346" s="1" t="s">
        <v>264</v>
      </c>
      <c r="T346" s="29" t="s">
        <v>265</v>
      </c>
      <c r="U346" s="30">
        <v>46077</v>
      </c>
      <c r="V346" s="27" t="s">
        <v>298</v>
      </c>
      <c r="W346" s="27"/>
    </row>
    <row r="347" spans="1:23" ht="24" customHeight="1">
      <c r="A347" s="27" t="str">
        <f t="shared" ca="1" si="5"/>
        <v>EVT-2026-0345</v>
      </c>
      <c r="B347" s="27">
        <v>2026</v>
      </c>
      <c r="C347" s="27" t="s">
        <v>92</v>
      </c>
      <c r="D347" s="30">
        <v>46084</v>
      </c>
      <c r="E347" s="27" t="s">
        <v>227</v>
      </c>
      <c r="F347" s="27" t="s">
        <v>126</v>
      </c>
      <c r="G347" s="27" t="s">
        <v>208</v>
      </c>
      <c r="H347" s="27" t="s">
        <v>740</v>
      </c>
      <c r="I347" s="27" t="s">
        <v>744</v>
      </c>
      <c r="J347" s="27" t="s">
        <v>139</v>
      </c>
      <c r="K347" s="10">
        <v>60</v>
      </c>
      <c r="L347" s="36" t="s">
        <v>263</v>
      </c>
      <c r="M347" s="37" t="s">
        <v>275</v>
      </c>
      <c r="N347" s="37" t="s">
        <v>295</v>
      </c>
      <c r="O347" s="27"/>
      <c r="P347" s="27"/>
      <c r="Q347" s="27" t="s">
        <v>745</v>
      </c>
      <c r="R347" s="27"/>
      <c r="S347" s="1" t="s">
        <v>264</v>
      </c>
      <c r="T347" s="29" t="s">
        <v>265</v>
      </c>
      <c r="U347" s="27"/>
      <c r="V347" s="27" t="s">
        <v>298</v>
      </c>
      <c r="W347" s="27"/>
    </row>
    <row r="348" spans="1:23" ht="24" customHeight="1">
      <c r="A348" s="27" t="str">
        <f t="shared" ca="1" si="5"/>
        <v>EVT-2026-0346</v>
      </c>
      <c r="B348" s="27">
        <v>2026</v>
      </c>
      <c r="C348" s="27" t="s">
        <v>92</v>
      </c>
      <c r="D348" s="30">
        <v>46084</v>
      </c>
      <c r="E348" s="27" t="s">
        <v>227</v>
      </c>
      <c r="F348" s="27" t="s">
        <v>126</v>
      </c>
      <c r="G348" s="27" t="s">
        <v>202</v>
      </c>
      <c r="H348" s="27" t="s">
        <v>736</v>
      </c>
      <c r="I348" s="27" t="s">
        <v>746</v>
      </c>
      <c r="J348" s="27" t="s">
        <v>139</v>
      </c>
      <c r="K348" s="10">
        <v>40</v>
      </c>
      <c r="L348" s="36" t="s">
        <v>263</v>
      </c>
      <c r="M348" s="37" t="s">
        <v>359</v>
      </c>
      <c r="N348" s="37" t="s">
        <v>270</v>
      </c>
      <c r="O348" s="27" t="s">
        <v>747</v>
      </c>
      <c r="P348" s="27"/>
      <c r="Q348" s="27" t="s">
        <v>743</v>
      </c>
      <c r="R348" s="27"/>
      <c r="S348" s="1" t="s">
        <v>264</v>
      </c>
      <c r="T348" s="29" t="s">
        <v>265</v>
      </c>
      <c r="U348" s="30">
        <v>46077</v>
      </c>
      <c r="V348" s="27" t="s">
        <v>748</v>
      </c>
      <c r="W348" s="27"/>
    </row>
    <row r="349" spans="1:23" ht="24" customHeight="1">
      <c r="A349" s="27" t="str">
        <f t="shared" ca="1" si="5"/>
        <v>EVT-2026-0347</v>
      </c>
      <c r="B349" s="27">
        <v>2026</v>
      </c>
      <c r="C349" s="27" t="s">
        <v>92</v>
      </c>
      <c r="D349" s="30">
        <v>46084</v>
      </c>
      <c r="E349" s="27" t="s">
        <v>227</v>
      </c>
      <c r="F349" s="27" t="s">
        <v>126</v>
      </c>
      <c r="G349" s="27" t="s">
        <v>208</v>
      </c>
      <c r="H349" s="27" t="s">
        <v>348</v>
      </c>
      <c r="I349" s="27" t="s">
        <v>349</v>
      </c>
      <c r="J349" s="27" t="s">
        <v>145</v>
      </c>
      <c r="K349" s="10">
        <v>50</v>
      </c>
      <c r="L349" s="36" t="s">
        <v>263</v>
      </c>
      <c r="M349" s="37" t="s">
        <v>350</v>
      </c>
      <c r="N349" s="37" t="s">
        <v>296</v>
      </c>
      <c r="O349" s="27"/>
      <c r="P349" s="27"/>
      <c r="Q349" s="27" t="s">
        <v>351</v>
      </c>
      <c r="R349" s="27"/>
      <c r="S349" s="1" t="s">
        <v>264</v>
      </c>
      <c r="T349" s="29" t="s">
        <v>265</v>
      </c>
      <c r="U349" s="30">
        <v>46008</v>
      </c>
      <c r="V349" s="27" t="s">
        <v>303</v>
      </c>
      <c r="W349" s="27"/>
    </row>
    <row r="350" spans="1:23" ht="24" customHeight="1">
      <c r="A350" s="27" t="str">
        <f t="shared" ca="1" si="5"/>
        <v>EVT-2026-0348</v>
      </c>
      <c r="B350" s="27">
        <v>2026</v>
      </c>
      <c r="C350" s="27" t="s">
        <v>92</v>
      </c>
      <c r="D350" s="30">
        <v>46084</v>
      </c>
      <c r="E350" s="27" t="s">
        <v>227</v>
      </c>
      <c r="F350" s="27" t="s">
        <v>126</v>
      </c>
      <c r="G350" s="27" t="s">
        <v>228</v>
      </c>
      <c r="H350" s="27" t="s">
        <v>125</v>
      </c>
      <c r="I350" s="27" t="s">
        <v>741</v>
      </c>
      <c r="J350" s="27" t="s">
        <v>127</v>
      </c>
      <c r="K350" s="10">
        <v>100</v>
      </c>
      <c r="L350" s="38" t="s">
        <v>294</v>
      </c>
      <c r="M350" s="37" t="s">
        <v>281</v>
      </c>
      <c r="N350" s="37" t="s">
        <v>429</v>
      </c>
      <c r="O350" s="27"/>
      <c r="P350" s="27"/>
      <c r="Q350" s="27" t="s">
        <v>378</v>
      </c>
      <c r="R350" s="27"/>
      <c r="S350" s="1" t="s">
        <v>264</v>
      </c>
      <c r="T350" s="29" t="s">
        <v>265</v>
      </c>
      <c r="U350" s="30">
        <v>46059</v>
      </c>
      <c r="V350" s="27" t="s">
        <v>298</v>
      </c>
      <c r="W350" s="27"/>
    </row>
    <row r="351" spans="1:23" ht="24" customHeight="1">
      <c r="A351" s="27" t="str">
        <f t="shared" ca="1" si="5"/>
        <v>EVT-2026-0349</v>
      </c>
      <c r="B351" s="27">
        <v>2026</v>
      </c>
      <c r="C351" s="27" t="s">
        <v>92</v>
      </c>
      <c r="D351" s="30">
        <v>46084</v>
      </c>
      <c r="E351" s="27" t="s">
        <v>227</v>
      </c>
      <c r="F351" s="27" t="s">
        <v>126</v>
      </c>
      <c r="G351" s="27" t="s">
        <v>228</v>
      </c>
      <c r="H351" s="27" t="s">
        <v>125</v>
      </c>
      <c r="I351" s="27" t="s">
        <v>578</v>
      </c>
      <c r="J351" s="27" t="s">
        <v>134</v>
      </c>
      <c r="K351" s="10">
        <v>35</v>
      </c>
      <c r="L351" s="36" t="s">
        <v>263</v>
      </c>
      <c r="M351" s="37" t="s">
        <v>289</v>
      </c>
      <c r="N351" s="37" t="s">
        <v>296</v>
      </c>
      <c r="O351" s="27"/>
      <c r="P351" s="27"/>
      <c r="Q351" s="27" t="s">
        <v>351</v>
      </c>
      <c r="R351" s="27"/>
      <c r="S351" s="1" t="s">
        <v>264</v>
      </c>
      <c r="T351" s="29" t="s">
        <v>265</v>
      </c>
      <c r="U351" s="30">
        <v>46059</v>
      </c>
      <c r="V351" s="27" t="s">
        <v>298</v>
      </c>
      <c r="W351" s="27"/>
    </row>
    <row r="352" spans="1:23" ht="24" customHeight="1">
      <c r="A352" s="27" t="str">
        <f t="shared" ca="1" si="5"/>
        <v>EVT-2026-0350</v>
      </c>
      <c r="B352" s="27">
        <v>2026</v>
      </c>
      <c r="C352" s="27" t="s">
        <v>92</v>
      </c>
      <c r="D352" s="30">
        <v>46085</v>
      </c>
      <c r="E352" s="27" t="s">
        <v>201</v>
      </c>
      <c r="F352" s="27" t="s">
        <v>126</v>
      </c>
      <c r="G352" s="27" t="s">
        <v>228</v>
      </c>
      <c r="H352" s="27" t="s">
        <v>125</v>
      </c>
      <c r="I352" s="27" t="s">
        <v>749</v>
      </c>
      <c r="J352" s="27" t="s">
        <v>152</v>
      </c>
      <c r="K352" s="10">
        <v>5</v>
      </c>
      <c r="L352" s="36" t="s">
        <v>263</v>
      </c>
      <c r="M352" s="37" t="s">
        <v>275</v>
      </c>
      <c r="N352" s="37" t="s">
        <v>309</v>
      </c>
      <c r="O352" s="27"/>
      <c r="P352" s="27"/>
      <c r="Q352" s="27" t="s">
        <v>383</v>
      </c>
      <c r="R352" s="27"/>
      <c r="S352" s="3" t="s">
        <v>312</v>
      </c>
      <c r="T352" s="29" t="s">
        <v>265</v>
      </c>
      <c r="U352" s="30">
        <v>46072</v>
      </c>
      <c r="V352" s="27" t="s">
        <v>750</v>
      </c>
      <c r="W352" s="27"/>
    </row>
    <row r="353" spans="1:23" ht="24" customHeight="1">
      <c r="A353" s="27" t="str">
        <f t="shared" ca="1" si="5"/>
        <v>EVT-2026-0351</v>
      </c>
      <c r="B353" s="27">
        <v>2026</v>
      </c>
      <c r="C353" s="27" t="s">
        <v>92</v>
      </c>
      <c r="D353" s="30">
        <v>46086</v>
      </c>
      <c r="E353" s="27" t="s">
        <v>216</v>
      </c>
      <c r="F353" s="27" t="s">
        <v>126</v>
      </c>
      <c r="G353" s="27" t="s">
        <v>208</v>
      </c>
      <c r="H353" s="27" t="s">
        <v>348</v>
      </c>
      <c r="I353" s="27" t="s">
        <v>349</v>
      </c>
      <c r="J353" s="27" t="s">
        <v>145</v>
      </c>
      <c r="K353" s="10">
        <v>50</v>
      </c>
      <c r="L353" s="36" t="s">
        <v>263</v>
      </c>
      <c r="M353" s="37" t="s">
        <v>350</v>
      </c>
      <c r="N353" s="37" t="s">
        <v>296</v>
      </c>
      <c r="O353" s="27"/>
      <c r="P353" s="27"/>
      <c r="Q353" s="27" t="s">
        <v>351</v>
      </c>
      <c r="R353" s="27"/>
      <c r="S353" s="1" t="s">
        <v>264</v>
      </c>
      <c r="T353" s="29" t="s">
        <v>265</v>
      </c>
      <c r="U353" s="30">
        <v>46008</v>
      </c>
      <c r="V353" s="27" t="s">
        <v>303</v>
      </c>
      <c r="W353" s="27"/>
    </row>
    <row r="354" spans="1:23" ht="24" customHeight="1">
      <c r="A354" s="27" t="str">
        <f t="shared" ca="1" si="5"/>
        <v>EVT-2026-0352</v>
      </c>
      <c r="B354" s="27">
        <v>2026</v>
      </c>
      <c r="C354" s="27" t="s">
        <v>92</v>
      </c>
      <c r="D354" s="30">
        <v>46086</v>
      </c>
      <c r="E354" s="27" t="s">
        <v>216</v>
      </c>
      <c r="F354" s="27" t="s">
        <v>126</v>
      </c>
      <c r="G354" s="27" t="s">
        <v>228</v>
      </c>
      <c r="H354" s="27" t="s">
        <v>125</v>
      </c>
      <c r="I354" s="27" t="s">
        <v>749</v>
      </c>
      <c r="J354" s="27" t="s">
        <v>152</v>
      </c>
      <c r="K354" s="10">
        <v>15</v>
      </c>
      <c r="L354" s="36" t="s">
        <v>263</v>
      </c>
      <c r="M354" s="37" t="s">
        <v>275</v>
      </c>
      <c r="N354" s="37" t="s">
        <v>309</v>
      </c>
      <c r="O354" s="27"/>
      <c r="P354" s="27"/>
      <c r="Q354" s="27"/>
      <c r="R354" s="27"/>
      <c r="S354" s="3" t="s">
        <v>312</v>
      </c>
      <c r="T354" s="29" t="s">
        <v>265</v>
      </c>
      <c r="U354" s="27"/>
      <c r="V354" s="27"/>
      <c r="W354" s="27"/>
    </row>
    <row r="355" spans="1:23" ht="24" customHeight="1">
      <c r="A355" s="27" t="str">
        <f t="shared" ca="1" si="5"/>
        <v>EVT-2026-0353</v>
      </c>
      <c r="B355" s="27">
        <v>2026</v>
      </c>
      <c r="C355" s="27" t="s">
        <v>92</v>
      </c>
      <c r="D355" s="30">
        <v>46086</v>
      </c>
      <c r="E355" s="27" t="s">
        <v>216</v>
      </c>
      <c r="F355" s="27" t="s">
        <v>126</v>
      </c>
      <c r="G355" s="27" t="s">
        <v>202</v>
      </c>
      <c r="H355" s="27" t="s">
        <v>736</v>
      </c>
      <c r="I355" s="27" t="s">
        <v>751</v>
      </c>
      <c r="J355" s="27" t="s">
        <v>134</v>
      </c>
      <c r="K355" s="10">
        <v>20</v>
      </c>
      <c r="L355" s="36" t="s">
        <v>263</v>
      </c>
      <c r="M355" s="37" t="s">
        <v>269</v>
      </c>
      <c r="N355" s="37" t="s">
        <v>270</v>
      </c>
      <c r="O355" s="27"/>
      <c r="P355" s="27"/>
      <c r="Q355" s="27" t="s">
        <v>752</v>
      </c>
      <c r="R355" s="27"/>
      <c r="S355" s="1" t="s">
        <v>264</v>
      </c>
      <c r="T355" s="29" t="s">
        <v>265</v>
      </c>
      <c r="U355" s="27"/>
      <c r="V355" s="27" t="s">
        <v>753</v>
      </c>
      <c r="W355" s="27"/>
    </row>
    <row r="356" spans="1:23" ht="24" customHeight="1">
      <c r="A356" s="27" t="str">
        <f t="shared" ca="1" si="5"/>
        <v>EVT-2026-0354</v>
      </c>
      <c r="B356" s="27">
        <v>2026</v>
      </c>
      <c r="C356" s="27" t="s">
        <v>92</v>
      </c>
      <c r="D356" s="30">
        <v>46086</v>
      </c>
      <c r="E356" s="27" t="s">
        <v>216</v>
      </c>
      <c r="F356" s="27" t="s">
        <v>126</v>
      </c>
      <c r="G356" s="27" t="s">
        <v>202</v>
      </c>
      <c r="H356" s="27" t="s">
        <v>348</v>
      </c>
      <c r="I356" s="27" t="s">
        <v>754</v>
      </c>
      <c r="J356" s="27" t="s">
        <v>152</v>
      </c>
      <c r="K356" s="10">
        <v>12</v>
      </c>
      <c r="L356" s="36" t="s">
        <v>263</v>
      </c>
      <c r="M356" s="37" t="s">
        <v>331</v>
      </c>
      <c r="N356" s="37" t="s">
        <v>275</v>
      </c>
      <c r="O356" s="27"/>
      <c r="P356" s="27"/>
      <c r="Q356" s="27" t="s">
        <v>383</v>
      </c>
      <c r="R356" s="27"/>
      <c r="S356" s="1" t="s">
        <v>264</v>
      </c>
      <c r="T356" s="29" t="s">
        <v>265</v>
      </c>
      <c r="U356" s="30">
        <v>46084</v>
      </c>
      <c r="V356" s="27" t="s">
        <v>755</v>
      </c>
      <c r="W356" s="27"/>
    </row>
    <row r="357" spans="1:23" ht="24" customHeight="1">
      <c r="A357" s="27" t="str">
        <f t="shared" ca="1" si="5"/>
        <v>EVT-2026-0355</v>
      </c>
      <c r="B357" s="27">
        <v>2026</v>
      </c>
      <c r="C357" s="27" t="s">
        <v>92</v>
      </c>
      <c r="D357" s="30">
        <v>46086</v>
      </c>
      <c r="E357" s="27" t="s">
        <v>216</v>
      </c>
      <c r="F357" s="27" t="s">
        <v>126</v>
      </c>
      <c r="G357" s="27" t="s">
        <v>228</v>
      </c>
      <c r="H357" s="27" t="s">
        <v>125</v>
      </c>
      <c r="I357" s="27" t="s">
        <v>578</v>
      </c>
      <c r="J357" s="27" t="s">
        <v>134</v>
      </c>
      <c r="K357" s="10">
        <v>35</v>
      </c>
      <c r="L357" s="36" t="s">
        <v>263</v>
      </c>
      <c r="M357" s="37" t="s">
        <v>289</v>
      </c>
      <c r="N357" s="37" t="s">
        <v>296</v>
      </c>
      <c r="O357" s="27"/>
      <c r="P357" s="27"/>
      <c r="Q357" s="27" t="s">
        <v>351</v>
      </c>
      <c r="R357" s="27"/>
      <c r="S357" s="1" t="s">
        <v>264</v>
      </c>
      <c r="T357" s="29" t="s">
        <v>265</v>
      </c>
      <c r="U357" s="30">
        <v>46059</v>
      </c>
      <c r="V357" s="27" t="s">
        <v>298</v>
      </c>
      <c r="W357" s="27"/>
    </row>
    <row r="358" spans="1:23" ht="24" customHeight="1">
      <c r="A358" s="27" t="str">
        <f t="shared" ca="1" si="5"/>
        <v>EVT-2026-0356</v>
      </c>
      <c r="B358" s="27">
        <v>2026</v>
      </c>
      <c r="C358" s="27" t="s">
        <v>92</v>
      </c>
      <c r="D358" s="30">
        <v>46086</v>
      </c>
      <c r="E358" s="27" t="s">
        <v>216</v>
      </c>
      <c r="F358" s="27" t="s">
        <v>126</v>
      </c>
      <c r="G358" s="27" t="s">
        <v>202</v>
      </c>
      <c r="H358" s="27" t="s">
        <v>239</v>
      </c>
      <c r="I358" s="27" t="s">
        <v>742</v>
      </c>
      <c r="J358" s="27" t="s">
        <v>127</v>
      </c>
      <c r="K358" s="10">
        <v>180</v>
      </c>
      <c r="L358" s="38" t="s">
        <v>294</v>
      </c>
      <c r="M358" s="37" t="s">
        <v>295</v>
      </c>
      <c r="N358" s="37" t="s">
        <v>296</v>
      </c>
      <c r="O358" s="27"/>
      <c r="P358" s="27"/>
      <c r="Q358" s="27" t="s">
        <v>383</v>
      </c>
      <c r="R358" s="27"/>
      <c r="S358" s="3" t="s">
        <v>312</v>
      </c>
      <c r="T358" s="29" t="s">
        <v>265</v>
      </c>
      <c r="U358" s="30">
        <v>46073</v>
      </c>
      <c r="V358" s="27" t="s">
        <v>756</v>
      </c>
      <c r="W358" s="27"/>
    </row>
    <row r="359" spans="1:23" ht="24" customHeight="1">
      <c r="A359" s="27" t="str">
        <f t="shared" ca="1" si="5"/>
        <v>EVT-2026-0357</v>
      </c>
      <c r="B359" s="27">
        <v>2026</v>
      </c>
      <c r="C359" s="27" t="s">
        <v>92</v>
      </c>
      <c r="D359" s="27"/>
      <c r="E359" s="27"/>
      <c r="F359" s="27" t="s">
        <v>126</v>
      </c>
      <c r="G359" s="27"/>
      <c r="H359" s="27"/>
      <c r="I359" s="27"/>
      <c r="J359" s="27" t="s">
        <v>177</v>
      </c>
      <c r="K359" s="10">
        <v>0</v>
      </c>
      <c r="L359" s="36" t="s">
        <v>263</v>
      </c>
      <c r="M359" s="37"/>
      <c r="N359" s="37"/>
      <c r="O359" s="27"/>
      <c r="P359" s="27"/>
      <c r="Q359" s="27"/>
      <c r="R359" s="27"/>
      <c r="S359" s="1" t="s">
        <v>264</v>
      </c>
      <c r="T359" s="29" t="s">
        <v>265</v>
      </c>
      <c r="U359" s="27"/>
      <c r="V359" s="27" t="s">
        <v>757</v>
      </c>
      <c r="W359" s="27"/>
    </row>
    <row r="360" spans="1:23" ht="24" customHeight="1">
      <c r="A360" s="27" t="str">
        <f t="shared" ca="1" si="5"/>
        <v>EVT-2026-0358</v>
      </c>
      <c r="B360" s="27">
        <v>2026</v>
      </c>
      <c r="C360" s="27" t="s">
        <v>92</v>
      </c>
      <c r="D360" s="30">
        <v>46087</v>
      </c>
      <c r="E360" s="27" t="s">
        <v>220</v>
      </c>
      <c r="F360" s="27" t="s">
        <v>126</v>
      </c>
      <c r="G360" s="27" t="s">
        <v>202</v>
      </c>
      <c r="H360" s="27" t="s">
        <v>125</v>
      </c>
      <c r="I360" s="27" t="s">
        <v>758</v>
      </c>
      <c r="J360" s="27" t="s">
        <v>152</v>
      </c>
      <c r="K360" s="10">
        <v>70</v>
      </c>
      <c r="L360" s="36" t="s">
        <v>263</v>
      </c>
      <c r="M360" s="37" t="s">
        <v>338</v>
      </c>
      <c r="N360" s="37" t="s">
        <v>331</v>
      </c>
      <c r="O360" s="27"/>
      <c r="P360" s="27"/>
      <c r="Q360" s="27" t="s">
        <v>759</v>
      </c>
      <c r="R360" s="27"/>
      <c r="S360" s="1" t="s">
        <v>264</v>
      </c>
      <c r="T360" s="29" t="s">
        <v>265</v>
      </c>
      <c r="U360" s="30">
        <v>46080</v>
      </c>
      <c r="V360" s="27" t="s">
        <v>298</v>
      </c>
      <c r="W360" s="27"/>
    </row>
    <row r="361" spans="1:23" ht="24" customHeight="1">
      <c r="A361" s="27" t="str">
        <f t="shared" ca="1" si="5"/>
        <v>EVT-2026-0359</v>
      </c>
      <c r="B361" s="27">
        <v>2026</v>
      </c>
      <c r="C361" s="27" t="s">
        <v>92</v>
      </c>
      <c r="D361" s="30">
        <v>46088</v>
      </c>
      <c r="E361" s="27" t="s">
        <v>266</v>
      </c>
      <c r="F361" s="27" t="s">
        <v>126</v>
      </c>
      <c r="G361" s="27" t="s">
        <v>202</v>
      </c>
      <c r="H361" s="27" t="s">
        <v>300</v>
      </c>
      <c r="I361" s="27"/>
      <c r="J361" s="27" t="s">
        <v>145</v>
      </c>
      <c r="K361" s="10">
        <v>0</v>
      </c>
      <c r="L361" s="36" t="s">
        <v>263</v>
      </c>
      <c r="M361" s="37" t="s">
        <v>269</v>
      </c>
      <c r="N361" s="37" t="s">
        <v>270</v>
      </c>
      <c r="O361" s="27"/>
      <c r="P361" s="27"/>
      <c r="Q361" s="27" t="s">
        <v>760</v>
      </c>
      <c r="R361" s="27"/>
      <c r="S361" s="1" t="s">
        <v>264</v>
      </c>
      <c r="T361" s="29" t="s">
        <v>265</v>
      </c>
      <c r="U361" s="30">
        <v>46073</v>
      </c>
      <c r="V361" s="27" t="s">
        <v>488</v>
      </c>
      <c r="W361" s="27"/>
    </row>
    <row r="362" spans="1:23" ht="24" customHeight="1">
      <c r="A362" s="27" t="str">
        <f t="shared" ca="1" si="5"/>
        <v>EVT-2026-0360</v>
      </c>
      <c r="B362" s="27">
        <v>2026</v>
      </c>
      <c r="C362" s="27" t="s">
        <v>92</v>
      </c>
      <c r="D362" s="30">
        <v>46089</v>
      </c>
      <c r="E362" s="27" t="s">
        <v>267</v>
      </c>
      <c r="F362" s="27" t="s">
        <v>126</v>
      </c>
      <c r="G362" s="27"/>
      <c r="H362" s="27"/>
      <c r="I362" s="27"/>
      <c r="J362" s="27" t="s">
        <v>177</v>
      </c>
      <c r="K362" s="10">
        <v>0</v>
      </c>
      <c r="L362" s="36" t="s">
        <v>263</v>
      </c>
      <c r="M362" s="37"/>
      <c r="N362" s="37"/>
      <c r="O362" s="27"/>
      <c r="P362" s="27"/>
      <c r="Q362" s="27"/>
      <c r="R362" s="27"/>
      <c r="S362" s="1" t="s">
        <v>264</v>
      </c>
      <c r="T362" s="29" t="s">
        <v>265</v>
      </c>
      <c r="U362" s="27"/>
      <c r="V362" s="27"/>
      <c r="W362" s="27"/>
    </row>
    <row r="363" spans="1:23" ht="24" customHeight="1">
      <c r="A363" s="27" t="str">
        <f t="shared" ca="1" si="5"/>
        <v>EVT-2026-0361</v>
      </c>
      <c r="B363" s="27">
        <v>2026</v>
      </c>
      <c r="C363" s="27" t="s">
        <v>92</v>
      </c>
      <c r="D363" s="30">
        <v>46090</v>
      </c>
      <c r="E363" s="27" t="s">
        <v>224</v>
      </c>
      <c r="F363" s="27" t="s">
        <v>126</v>
      </c>
      <c r="G363" s="27" t="s">
        <v>202</v>
      </c>
      <c r="H363" s="27" t="s">
        <v>761</v>
      </c>
      <c r="I363" s="27" t="s">
        <v>762</v>
      </c>
      <c r="J363" s="27" t="s">
        <v>134</v>
      </c>
      <c r="K363" s="10">
        <v>25</v>
      </c>
      <c r="L363" s="36" t="s">
        <v>263</v>
      </c>
      <c r="M363" s="37" t="s">
        <v>269</v>
      </c>
      <c r="N363" s="37" t="s">
        <v>270</v>
      </c>
      <c r="O363" s="27"/>
      <c r="P363" s="27"/>
      <c r="Q363" s="27" t="s">
        <v>763</v>
      </c>
      <c r="R363" s="27"/>
      <c r="S363" s="1" t="s">
        <v>264</v>
      </c>
      <c r="T363" s="29" t="s">
        <v>265</v>
      </c>
      <c r="U363" s="27"/>
      <c r="V363" s="27" t="s">
        <v>307</v>
      </c>
      <c r="W363" s="27"/>
    </row>
    <row r="364" spans="1:23" ht="24" customHeight="1">
      <c r="A364" s="27" t="str">
        <f t="shared" ca="1" si="5"/>
        <v>EVT-2026-0362</v>
      </c>
      <c r="B364" s="27">
        <v>2026</v>
      </c>
      <c r="C364" s="27" t="s">
        <v>92</v>
      </c>
      <c r="D364" s="30">
        <v>46090</v>
      </c>
      <c r="E364" s="27" t="s">
        <v>224</v>
      </c>
      <c r="F364" s="27" t="s">
        <v>126</v>
      </c>
      <c r="G364" s="27" t="s">
        <v>228</v>
      </c>
      <c r="H364" s="27" t="s">
        <v>764</v>
      </c>
      <c r="I364" s="27" t="s">
        <v>344</v>
      </c>
      <c r="J364" s="27" t="s">
        <v>134</v>
      </c>
      <c r="K364" s="10">
        <v>0</v>
      </c>
      <c r="L364" s="36" t="s">
        <v>263</v>
      </c>
      <c r="M364" s="37" t="s">
        <v>269</v>
      </c>
      <c r="N364" s="37" t="s">
        <v>270</v>
      </c>
      <c r="O364" s="27"/>
      <c r="P364" s="27"/>
      <c r="Q364" s="27" t="s">
        <v>743</v>
      </c>
      <c r="R364" s="27"/>
      <c r="S364" s="1" t="s">
        <v>264</v>
      </c>
      <c r="T364" s="29" t="s">
        <v>265</v>
      </c>
      <c r="U364" s="27"/>
      <c r="V364" s="27" t="s">
        <v>765</v>
      </c>
      <c r="W364" s="27"/>
    </row>
    <row r="365" spans="1:23" ht="24" customHeight="1">
      <c r="A365" s="27" t="str">
        <f t="shared" ca="1" si="5"/>
        <v>EVT-2026-0363</v>
      </c>
      <c r="B365" s="27">
        <v>2026</v>
      </c>
      <c r="C365" s="27" t="s">
        <v>92</v>
      </c>
      <c r="D365" s="30">
        <v>46090</v>
      </c>
      <c r="E365" s="27" t="s">
        <v>224</v>
      </c>
      <c r="F365" s="27" t="s">
        <v>126</v>
      </c>
      <c r="G365" s="27" t="s">
        <v>202</v>
      </c>
      <c r="H365" s="27" t="s">
        <v>348</v>
      </c>
      <c r="I365" s="27" t="s">
        <v>766</v>
      </c>
      <c r="J365" s="27" t="s">
        <v>158</v>
      </c>
      <c r="K365" s="10">
        <v>0</v>
      </c>
      <c r="L365" s="36" t="s">
        <v>263</v>
      </c>
      <c r="M365" s="37" t="s">
        <v>295</v>
      </c>
      <c r="N365" s="37" t="s">
        <v>296</v>
      </c>
      <c r="O365" s="27"/>
      <c r="P365" s="27"/>
      <c r="Q365" s="27" t="s">
        <v>526</v>
      </c>
      <c r="R365" s="27"/>
      <c r="S365" s="1" t="s">
        <v>264</v>
      </c>
      <c r="T365" s="29" t="s">
        <v>265</v>
      </c>
      <c r="U365" s="27"/>
      <c r="V365" s="27" t="s">
        <v>767</v>
      </c>
      <c r="W365" s="27"/>
    </row>
    <row r="366" spans="1:23" ht="24" customHeight="1">
      <c r="A366" s="27" t="str">
        <f t="shared" ca="1" si="5"/>
        <v>EVT-2026-0364</v>
      </c>
      <c r="B366" s="27">
        <v>2026</v>
      </c>
      <c r="C366" s="27" t="s">
        <v>92</v>
      </c>
      <c r="D366" s="30">
        <v>46091</v>
      </c>
      <c r="E366" s="27" t="s">
        <v>227</v>
      </c>
      <c r="F366" s="27" t="s">
        <v>126</v>
      </c>
      <c r="G366" s="27" t="s">
        <v>208</v>
      </c>
      <c r="H366" s="27" t="s">
        <v>348</v>
      </c>
      <c r="I366" s="27" t="s">
        <v>349</v>
      </c>
      <c r="J366" s="27" t="s">
        <v>145</v>
      </c>
      <c r="K366" s="10">
        <v>50</v>
      </c>
      <c r="L366" s="36" t="s">
        <v>263</v>
      </c>
      <c r="M366" s="37" t="s">
        <v>350</v>
      </c>
      <c r="N366" s="37" t="s">
        <v>296</v>
      </c>
      <c r="O366" s="27"/>
      <c r="P366" s="27"/>
      <c r="Q366" s="27" t="s">
        <v>351</v>
      </c>
      <c r="R366" s="27"/>
      <c r="S366" s="1" t="s">
        <v>264</v>
      </c>
      <c r="T366" s="29" t="s">
        <v>265</v>
      </c>
      <c r="U366" s="30">
        <v>46008</v>
      </c>
      <c r="V366" s="27" t="s">
        <v>303</v>
      </c>
      <c r="W366" s="27"/>
    </row>
    <row r="367" spans="1:23" ht="24" customHeight="1">
      <c r="A367" s="27" t="str">
        <f t="shared" ca="1" si="5"/>
        <v>EVT-2026-0365</v>
      </c>
      <c r="B367" s="27">
        <v>2026</v>
      </c>
      <c r="C367" s="27" t="s">
        <v>92</v>
      </c>
      <c r="D367" s="30">
        <v>46091</v>
      </c>
      <c r="E367" s="27" t="s">
        <v>227</v>
      </c>
      <c r="F367" s="27" t="s">
        <v>126</v>
      </c>
      <c r="G367" s="27" t="s">
        <v>228</v>
      </c>
      <c r="H367" s="27" t="s">
        <v>125</v>
      </c>
      <c r="I367" s="27" t="s">
        <v>768</v>
      </c>
      <c r="J367" s="27" t="s">
        <v>177</v>
      </c>
      <c r="K367" s="10">
        <v>100</v>
      </c>
      <c r="L367" s="38" t="s">
        <v>294</v>
      </c>
      <c r="M367" s="37" t="s">
        <v>269</v>
      </c>
      <c r="N367" s="37" t="s">
        <v>274</v>
      </c>
      <c r="O367" s="27"/>
      <c r="P367" s="27"/>
      <c r="Q367" s="27" t="s">
        <v>769</v>
      </c>
      <c r="R367" s="27"/>
      <c r="S367" s="1" t="s">
        <v>264</v>
      </c>
      <c r="T367" s="29" t="s">
        <v>265</v>
      </c>
      <c r="U367" s="27"/>
      <c r="V367" s="27" t="s">
        <v>770</v>
      </c>
      <c r="W367" s="27"/>
    </row>
    <row r="368" spans="1:23" ht="24" customHeight="1">
      <c r="A368" s="27" t="str">
        <f t="shared" ca="1" si="5"/>
        <v>EVT-2026-0366</v>
      </c>
      <c r="B368" s="27">
        <v>2026</v>
      </c>
      <c r="C368" s="27" t="s">
        <v>92</v>
      </c>
      <c r="D368" s="30">
        <v>46091</v>
      </c>
      <c r="E368" s="27" t="s">
        <v>227</v>
      </c>
      <c r="F368" s="27" t="s">
        <v>126</v>
      </c>
      <c r="G368" s="27" t="s">
        <v>228</v>
      </c>
      <c r="H368" s="27" t="s">
        <v>125</v>
      </c>
      <c r="I368" s="27" t="s">
        <v>578</v>
      </c>
      <c r="J368" s="27" t="s">
        <v>134</v>
      </c>
      <c r="K368" s="10">
        <v>35</v>
      </c>
      <c r="L368" s="36" t="s">
        <v>263</v>
      </c>
      <c r="M368" s="37" t="s">
        <v>289</v>
      </c>
      <c r="N368" s="37" t="s">
        <v>296</v>
      </c>
      <c r="O368" s="27"/>
      <c r="P368" s="27"/>
      <c r="Q368" s="27" t="s">
        <v>351</v>
      </c>
      <c r="R368" s="27"/>
      <c r="S368" s="1" t="s">
        <v>264</v>
      </c>
      <c r="T368" s="29" t="s">
        <v>265</v>
      </c>
      <c r="U368" s="30">
        <v>46059</v>
      </c>
      <c r="V368" s="27" t="s">
        <v>298</v>
      </c>
      <c r="W368" s="27"/>
    </row>
    <row r="369" spans="1:23" ht="24" customHeight="1">
      <c r="A369" s="27" t="str">
        <f t="shared" ca="1" si="5"/>
        <v>EVT-2026-0367</v>
      </c>
      <c r="B369" s="27">
        <v>2026</v>
      </c>
      <c r="C369" s="27" t="s">
        <v>92</v>
      </c>
      <c r="D369" s="30">
        <v>46092</v>
      </c>
      <c r="E369" s="27" t="s">
        <v>201</v>
      </c>
      <c r="F369" s="27" t="s">
        <v>126</v>
      </c>
      <c r="G369" s="27" t="s">
        <v>202</v>
      </c>
      <c r="H369" s="27" t="s">
        <v>348</v>
      </c>
      <c r="I369" s="27" t="s">
        <v>771</v>
      </c>
      <c r="J369" s="27" t="s">
        <v>158</v>
      </c>
      <c r="K369" s="10">
        <v>50</v>
      </c>
      <c r="L369" s="36" t="s">
        <v>263</v>
      </c>
      <c r="M369" s="37" t="s">
        <v>506</v>
      </c>
      <c r="N369" s="37" t="s">
        <v>354</v>
      </c>
      <c r="O369" s="27"/>
      <c r="P369" s="27"/>
      <c r="Q369" s="27" t="s">
        <v>772</v>
      </c>
      <c r="R369" s="27"/>
      <c r="S369" s="1" t="s">
        <v>264</v>
      </c>
      <c r="T369" s="29" t="s">
        <v>265</v>
      </c>
      <c r="U369" s="30">
        <v>46086</v>
      </c>
      <c r="V369" s="27" t="s">
        <v>298</v>
      </c>
      <c r="W369" s="27"/>
    </row>
    <row r="370" spans="1:23" ht="24" customHeight="1">
      <c r="A370" s="27" t="str">
        <f t="shared" ca="1" si="5"/>
        <v>EVT-2026-0368</v>
      </c>
      <c r="B370" s="27">
        <v>2026</v>
      </c>
      <c r="C370" s="27" t="s">
        <v>92</v>
      </c>
      <c r="D370" s="30">
        <v>46092</v>
      </c>
      <c r="E370" s="27" t="s">
        <v>201</v>
      </c>
      <c r="F370" s="27" t="s">
        <v>126</v>
      </c>
      <c r="G370" s="27" t="s">
        <v>208</v>
      </c>
      <c r="H370" s="27" t="s">
        <v>348</v>
      </c>
      <c r="I370" s="27" t="s">
        <v>349</v>
      </c>
      <c r="J370" s="27" t="s">
        <v>145</v>
      </c>
      <c r="K370" s="10">
        <v>50</v>
      </c>
      <c r="L370" s="36" t="s">
        <v>263</v>
      </c>
      <c r="M370" s="37" t="s">
        <v>350</v>
      </c>
      <c r="N370" s="37" t="s">
        <v>296</v>
      </c>
      <c r="O370" s="27"/>
      <c r="P370" s="27"/>
      <c r="Q370" s="27" t="s">
        <v>351</v>
      </c>
      <c r="R370" s="27"/>
      <c r="S370" s="1" t="s">
        <v>264</v>
      </c>
      <c r="T370" s="29" t="s">
        <v>265</v>
      </c>
      <c r="U370" s="30">
        <v>46008</v>
      </c>
      <c r="V370" s="27"/>
      <c r="W370" s="27"/>
    </row>
    <row r="371" spans="1:23" ht="24" customHeight="1">
      <c r="A371" s="27" t="str">
        <f t="shared" ca="1" si="5"/>
        <v>EVT-2026-0369</v>
      </c>
      <c r="B371" s="27">
        <v>2026</v>
      </c>
      <c r="C371" s="27" t="s">
        <v>92</v>
      </c>
      <c r="D371" s="30">
        <v>46092</v>
      </c>
      <c r="E371" s="27" t="s">
        <v>201</v>
      </c>
      <c r="F371" s="27" t="s">
        <v>126</v>
      </c>
      <c r="G371" s="27" t="s">
        <v>202</v>
      </c>
      <c r="H371" s="27" t="s">
        <v>736</v>
      </c>
      <c r="I371" s="27" t="s">
        <v>773</v>
      </c>
      <c r="J371" s="27" t="s">
        <v>127</v>
      </c>
      <c r="K371" s="10">
        <v>35</v>
      </c>
      <c r="L371" s="36" t="s">
        <v>263</v>
      </c>
      <c r="M371" s="37" t="s">
        <v>315</v>
      </c>
      <c r="N371" s="37" t="s">
        <v>506</v>
      </c>
      <c r="O371" s="27"/>
      <c r="P371" s="27"/>
      <c r="Q371" s="27" t="s">
        <v>774</v>
      </c>
      <c r="R371" s="27"/>
      <c r="S371" s="1" t="s">
        <v>264</v>
      </c>
      <c r="T371" s="29" t="s">
        <v>265</v>
      </c>
      <c r="U371" s="30">
        <v>46056</v>
      </c>
      <c r="V371" s="27"/>
      <c r="W371" s="27"/>
    </row>
    <row r="372" spans="1:23" ht="24" customHeight="1">
      <c r="A372" s="27" t="str">
        <f t="shared" ca="1" si="5"/>
        <v>EVT-2026-0370</v>
      </c>
      <c r="B372" s="27">
        <v>2026</v>
      </c>
      <c r="C372" s="27" t="s">
        <v>92</v>
      </c>
      <c r="D372" s="30">
        <v>46092</v>
      </c>
      <c r="E372" s="27" t="s">
        <v>201</v>
      </c>
      <c r="F372" s="27" t="s">
        <v>126</v>
      </c>
      <c r="G372" s="27" t="s">
        <v>202</v>
      </c>
      <c r="H372" s="27" t="s">
        <v>736</v>
      </c>
      <c r="I372" s="27" t="s">
        <v>775</v>
      </c>
      <c r="J372" s="27" t="s">
        <v>165</v>
      </c>
      <c r="K372" s="10">
        <v>0</v>
      </c>
      <c r="L372" s="36" t="s">
        <v>263</v>
      </c>
      <c r="M372" s="37" t="s">
        <v>506</v>
      </c>
      <c r="N372" s="37" t="s">
        <v>270</v>
      </c>
      <c r="O372" s="27"/>
      <c r="P372" s="27"/>
      <c r="Q372" s="27" t="s">
        <v>716</v>
      </c>
      <c r="R372" s="27"/>
      <c r="S372" s="1" t="s">
        <v>264</v>
      </c>
      <c r="T372" s="29" t="s">
        <v>265</v>
      </c>
      <c r="U372" s="27"/>
      <c r="V372" s="27" t="s">
        <v>776</v>
      </c>
      <c r="W372" s="27"/>
    </row>
    <row r="373" spans="1:23" ht="24" customHeight="1">
      <c r="A373" s="27" t="str">
        <f t="shared" ca="1" si="5"/>
        <v>EVT-2026-0371</v>
      </c>
      <c r="B373" s="27">
        <v>2026</v>
      </c>
      <c r="C373" s="27" t="s">
        <v>92</v>
      </c>
      <c r="D373" s="30">
        <v>46092</v>
      </c>
      <c r="E373" s="27" t="s">
        <v>201</v>
      </c>
      <c r="F373" s="27" t="s">
        <v>126</v>
      </c>
      <c r="G373" s="27" t="s">
        <v>228</v>
      </c>
      <c r="H373" s="27" t="s">
        <v>125</v>
      </c>
      <c r="I373" s="27" t="s">
        <v>777</v>
      </c>
      <c r="J373" s="27" t="s">
        <v>127</v>
      </c>
      <c r="K373" s="10">
        <v>50</v>
      </c>
      <c r="L373" s="36" t="s">
        <v>263</v>
      </c>
      <c r="M373" s="37" t="s">
        <v>506</v>
      </c>
      <c r="N373" s="37" t="s">
        <v>429</v>
      </c>
      <c r="O373" s="27"/>
      <c r="P373" s="27"/>
      <c r="Q373" s="27" t="s">
        <v>778</v>
      </c>
      <c r="R373" s="27"/>
      <c r="S373" s="1" t="s">
        <v>264</v>
      </c>
      <c r="T373" s="29" t="s">
        <v>265</v>
      </c>
      <c r="U373" s="30">
        <v>46059</v>
      </c>
      <c r="V373" s="27" t="s">
        <v>298</v>
      </c>
      <c r="W373" s="27"/>
    </row>
    <row r="374" spans="1:23" ht="24" customHeight="1">
      <c r="A374" s="27" t="str">
        <f t="shared" ca="1" si="5"/>
        <v>EVT-2026-0372</v>
      </c>
      <c r="B374" s="27">
        <v>2026</v>
      </c>
      <c r="C374" s="27" t="s">
        <v>92</v>
      </c>
      <c r="D374" s="30">
        <v>46092</v>
      </c>
      <c r="E374" s="27" t="s">
        <v>201</v>
      </c>
      <c r="F374" s="27" t="s">
        <v>126</v>
      </c>
      <c r="G374" s="27" t="s">
        <v>202</v>
      </c>
      <c r="H374" s="27" t="s">
        <v>239</v>
      </c>
      <c r="I374" s="27" t="s">
        <v>779</v>
      </c>
      <c r="J374" s="27" t="s">
        <v>158</v>
      </c>
      <c r="K374" s="10">
        <v>175</v>
      </c>
      <c r="L374" s="38" t="s">
        <v>294</v>
      </c>
      <c r="M374" s="37" t="s">
        <v>295</v>
      </c>
      <c r="N374" s="37" t="s">
        <v>296</v>
      </c>
      <c r="O374" s="27"/>
      <c r="P374" s="27"/>
      <c r="Q374" s="27" t="s">
        <v>780</v>
      </c>
      <c r="R374" s="27"/>
      <c r="S374" s="1" t="s">
        <v>264</v>
      </c>
      <c r="T374" s="29" t="s">
        <v>265</v>
      </c>
      <c r="U374" s="27"/>
      <c r="V374" s="27" t="s">
        <v>298</v>
      </c>
      <c r="W374" s="27"/>
    </row>
    <row r="375" spans="1:23" ht="24" customHeight="1">
      <c r="A375" s="27" t="str">
        <f t="shared" ca="1" si="5"/>
        <v>EVT-2026-0373</v>
      </c>
      <c r="B375" s="27">
        <v>2026</v>
      </c>
      <c r="C375" s="27" t="s">
        <v>92</v>
      </c>
      <c r="D375" s="30">
        <v>46092</v>
      </c>
      <c r="E375" s="27" t="s">
        <v>201</v>
      </c>
      <c r="F375" s="27" t="s">
        <v>126</v>
      </c>
      <c r="G375" s="27" t="s">
        <v>202</v>
      </c>
      <c r="H375" s="27" t="s">
        <v>781</v>
      </c>
      <c r="I375" s="27" t="s">
        <v>782</v>
      </c>
      <c r="J375" s="27" t="s">
        <v>177</v>
      </c>
      <c r="K375" s="10">
        <v>0</v>
      </c>
      <c r="L375" s="36" t="s">
        <v>263</v>
      </c>
      <c r="M375" s="37" t="s">
        <v>330</v>
      </c>
      <c r="N375" s="37" t="s">
        <v>296</v>
      </c>
      <c r="O375" s="27"/>
      <c r="P375" s="27"/>
      <c r="Q375" s="27" t="s">
        <v>783</v>
      </c>
      <c r="R375" s="27"/>
      <c r="S375" s="1" t="s">
        <v>264</v>
      </c>
      <c r="T375" s="29" t="s">
        <v>265</v>
      </c>
      <c r="U375" s="27"/>
      <c r="V375" s="27" t="s">
        <v>784</v>
      </c>
      <c r="W375" s="27"/>
    </row>
    <row r="376" spans="1:23" ht="24" customHeight="1">
      <c r="A376" s="27" t="str">
        <f t="shared" ca="1" si="5"/>
        <v>EVT-2026-0374</v>
      </c>
      <c r="B376" s="27">
        <v>2026</v>
      </c>
      <c r="C376" s="27" t="s">
        <v>92</v>
      </c>
      <c r="D376" s="30">
        <v>46092</v>
      </c>
      <c r="E376" s="27" t="s">
        <v>201</v>
      </c>
      <c r="F376" s="27" t="s">
        <v>126</v>
      </c>
      <c r="G376" s="27"/>
      <c r="H376" s="27"/>
      <c r="I376" s="27"/>
      <c r="J376" s="27" t="s">
        <v>177</v>
      </c>
      <c r="K376" s="10">
        <v>0</v>
      </c>
      <c r="L376" s="36" t="s">
        <v>263</v>
      </c>
      <c r="M376" s="37"/>
      <c r="N376" s="37"/>
      <c r="O376" s="27"/>
      <c r="P376" s="27"/>
      <c r="Q376" s="27"/>
      <c r="R376" s="27"/>
      <c r="S376" s="1" t="s">
        <v>264</v>
      </c>
      <c r="T376" s="29" t="s">
        <v>265</v>
      </c>
      <c r="U376" s="27"/>
      <c r="V376" s="27"/>
      <c r="W376" s="27"/>
    </row>
    <row r="377" spans="1:23" ht="24" customHeight="1">
      <c r="A377" s="27" t="str">
        <f t="shared" ca="1" si="5"/>
        <v>EVT-2026-0375</v>
      </c>
      <c r="B377" s="27">
        <v>2026</v>
      </c>
      <c r="C377" s="27" t="s">
        <v>92</v>
      </c>
      <c r="D377" s="30">
        <v>46093</v>
      </c>
      <c r="E377" s="27" t="s">
        <v>216</v>
      </c>
      <c r="F377" s="27" t="s">
        <v>126</v>
      </c>
      <c r="G377" s="27" t="s">
        <v>208</v>
      </c>
      <c r="H377" s="27" t="s">
        <v>348</v>
      </c>
      <c r="I377" s="27" t="s">
        <v>349</v>
      </c>
      <c r="J377" s="27" t="s">
        <v>145</v>
      </c>
      <c r="K377" s="10">
        <v>50</v>
      </c>
      <c r="L377" s="36" t="s">
        <v>263</v>
      </c>
      <c r="M377" s="37" t="s">
        <v>350</v>
      </c>
      <c r="N377" s="37" t="s">
        <v>296</v>
      </c>
      <c r="O377" s="27"/>
      <c r="P377" s="27"/>
      <c r="Q377" s="27" t="s">
        <v>351</v>
      </c>
      <c r="R377" s="27"/>
      <c r="S377" s="1" t="s">
        <v>264</v>
      </c>
      <c r="T377" s="29" t="s">
        <v>265</v>
      </c>
      <c r="U377" s="30">
        <v>46008</v>
      </c>
      <c r="V377" s="27" t="s">
        <v>303</v>
      </c>
      <c r="W377" s="27"/>
    </row>
    <row r="378" spans="1:23" ht="24" customHeight="1">
      <c r="A378" s="27" t="str">
        <f t="shared" ca="1" si="5"/>
        <v>EVT-2026-0376</v>
      </c>
      <c r="B378" s="27">
        <v>2026</v>
      </c>
      <c r="C378" s="27" t="s">
        <v>92</v>
      </c>
      <c r="D378" s="30">
        <v>46093</v>
      </c>
      <c r="E378" s="27" t="s">
        <v>216</v>
      </c>
      <c r="F378" s="27" t="s">
        <v>126</v>
      </c>
      <c r="G378" s="27" t="s">
        <v>202</v>
      </c>
      <c r="H378" s="27" t="s">
        <v>575</v>
      </c>
      <c r="I378" s="27"/>
      <c r="J378" s="27" t="s">
        <v>177</v>
      </c>
      <c r="K378" s="10">
        <v>0</v>
      </c>
      <c r="L378" s="36" t="s">
        <v>263</v>
      </c>
      <c r="M378" s="37" t="s">
        <v>309</v>
      </c>
      <c r="N378" s="37" t="s">
        <v>295</v>
      </c>
      <c r="O378" s="27"/>
      <c r="P378" s="27"/>
      <c r="Q378" s="27" t="s">
        <v>785</v>
      </c>
      <c r="R378" s="27"/>
      <c r="S378" s="1" t="s">
        <v>264</v>
      </c>
      <c r="T378" s="29" t="s">
        <v>265</v>
      </c>
      <c r="U378" s="27"/>
      <c r="V378" s="27"/>
      <c r="W378" s="27"/>
    </row>
    <row r="379" spans="1:23" ht="24" customHeight="1">
      <c r="A379" s="27" t="str">
        <f t="shared" ca="1" si="5"/>
        <v>EVT-2026-0377</v>
      </c>
      <c r="B379" s="27">
        <v>2026</v>
      </c>
      <c r="C379" s="27" t="s">
        <v>92</v>
      </c>
      <c r="D379" s="30">
        <v>46093</v>
      </c>
      <c r="E379" s="27" t="s">
        <v>216</v>
      </c>
      <c r="F379" s="27" t="s">
        <v>126</v>
      </c>
      <c r="G379" s="27" t="s">
        <v>228</v>
      </c>
      <c r="H379" s="27" t="s">
        <v>125</v>
      </c>
      <c r="I379" s="27" t="s">
        <v>578</v>
      </c>
      <c r="J379" s="27" t="s">
        <v>134</v>
      </c>
      <c r="K379" s="10">
        <v>15</v>
      </c>
      <c r="L379" s="36" t="s">
        <v>263</v>
      </c>
      <c r="M379" s="37" t="s">
        <v>281</v>
      </c>
      <c r="N379" s="37" t="s">
        <v>270</v>
      </c>
      <c r="O379" s="27"/>
      <c r="P379" s="27"/>
      <c r="Q379" s="27" t="s">
        <v>351</v>
      </c>
      <c r="R379" s="27"/>
      <c r="S379" s="1" t="s">
        <v>264</v>
      </c>
      <c r="T379" s="29" t="s">
        <v>265</v>
      </c>
      <c r="U379" s="30">
        <v>46059</v>
      </c>
      <c r="V379" s="27" t="s">
        <v>786</v>
      </c>
      <c r="W379" s="27"/>
    </row>
    <row r="380" spans="1:23" ht="24" customHeight="1">
      <c r="A380" s="27" t="str">
        <f t="shared" ca="1" si="5"/>
        <v>EVT-2026-0378</v>
      </c>
      <c r="B380" s="27">
        <v>2026</v>
      </c>
      <c r="C380" s="27" t="s">
        <v>92</v>
      </c>
      <c r="D380" s="30">
        <v>46094</v>
      </c>
      <c r="E380" s="27" t="s">
        <v>220</v>
      </c>
      <c r="F380" s="27" t="s">
        <v>126</v>
      </c>
      <c r="G380" s="27" t="s">
        <v>202</v>
      </c>
      <c r="H380" s="27" t="s">
        <v>736</v>
      </c>
      <c r="I380" s="27" t="s">
        <v>578</v>
      </c>
      <c r="J380" s="27" t="s">
        <v>134</v>
      </c>
      <c r="K380" s="10">
        <v>15</v>
      </c>
      <c r="L380" s="36" t="s">
        <v>263</v>
      </c>
      <c r="M380" s="37" t="s">
        <v>281</v>
      </c>
      <c r="N380" s="37" t="s">
        <v>270</v>
      </c>
      <c r="O380" s="27"/>
      <c r="P380" s="27"/>
      <c r="Q380" s="27" t="s">
        <v>351</v>
      </c>
      <c r="R380" s="27"/>
      <c r="S380" s="1" t="s">
        <v>264</v>
      </c>
      <c r="T380" s="29" t="s">
        <v>265</v>
      </c>
      <c r="U380" s="30">
        <v>46059</v>
      </c>
      <c r="V380" s="27" t="s">
        <v>786</v>
      </c>
      <c r="W380" s="27"/>
    </row>
    <row r="381" spans="1:23" ht="24" customHeight="1">
      <c r="A381" s="27" t="str">
        <f t="shared" ca="1" si="5"/>
        <v>EVT-2026-0379</v>
      </c>
      <c r="B381" s="27">
        <v>2026</v>
      </c>
      <c r="C381" s="27" t="s">
        <v>92</v>
      </c>
      <c r="D381" s="30">
        <v>46094</v>
      </c>
      <c r="E381" s="27" t="s">
        <v>220</v>
      </c>
      <c r="F381" s="27" t="s">
        <v>126</v>
      </c>
      <c r="G381" s="27" t="s">
        <v>202</v>
      </c>
      <c r="H381" s="27" t="s">
        <v>348</v>
      </c>
      <c r="I381" s="27" t="s">
        <v>787</v>
      </c>
      <c r="J381" s="27" t="s">
        <v>158</v>
      </c>
      <c r="K381" s="10">
        <v>60</v>
      </c>
      <c r="L381" s="36" t="s">
        <v>263</v>
      </c>
      <c r="M381" s="37" t="s">
        <v>295</v>
      </c>
      <c r="N381" s="37" t="s">
        <v>296</v>
      </c>
      <c r="O381" s="27"/>
      <c r="P381" s="27"/>
      <c r="Q381" s="27" t="s">
        <v>788</v>
      </c>
      <c r="R381" s="27"/>
      <c r="S381" s="1" t="s">
        <v>264</v>
      </c>
      <c r="T381" s="29" t="s">
        <v>265</v>
      </c>
      <c r="U381" s="27"/>
      <c r="V381" s="27" t="s">
        <v>789</v>
      </c>
      <c r="W381" s="27"/>
    </row>
    <row r="382" spans="1:23" ht="24" customHeight="1">
      <c r="A382" s="27" t="str">
        <f t="shared" ca="1" si="5"/>
        <v>EVT-2026-0380</v>
      </c>
      <c r="B382" s="27">
        <v>2026</v>
      </c>
      <c r="C382" s="27" t="s">
        <v>92</v>
      </c>
      <c r="D382" s="30">
        <v>46094</v>
      </c>
      <c r="E382" s="27" t="s">
        <v>220</v>
      </c>
      <c r="F382" s="27" t="s">
        <v>126</v>
      </c>
      <c r="G382" s="27" t="s">
        <v>208</v>
      </c>
      <c r="H382" s="27" t="s">
        <v>348</v>
      </c>
      <c r="I382" s="27" t="s">
        <v>771</v>
      </c>
      <c r="J382" s="27" t="s">
        <v>158</v>
      </c>
      <c r="K382" s="10">
        <v>100</v>
      </c>
      <c r="L382" s="38" t="s">
        <v>294</v>
      </c>
      <c r="M382" s="37" t="s">
        <v>309</v>
      </c>
      <c r="N382" s="37" t="s">
        <v>295</v>
      </c>
      <c r="O382" s="27"/>
      <c r="P382" s="27"/>
      <c r="Q382" s="27" t="s">
        <v>378</v>
      </c>
      <c r="R382" s="27"/>
      <c r="S382" s="1" t="s">
        <v>264</v>
      </c>
      <c r="T382" s="29" t="s">
        <v>265</v>
      </c>
      <c r="U382" s="27"/>
      <c r="V382" s="27" t="s">
        <v>298</v>
      </c>
      <c r="W382" s="27"/>
    </row>
    <row r="383" spans="1:23" ht="24" customHeight="1">
      <c r="A383" s="27" t="str">
        <f t="shared" ca="1" si="5"/>
        <v>EVT-2026-0381</v>
      </c>
      <c r="B383" s="27">
        <v>2026</v>
      </c>
      <c r="C383" s="27" t="s">
        <v>92</v>
      </c>
      <c r="D383" s="30">
        <v>46094</v>
      </c>
      <c r="E383" s="27" t="s">
        <v>220</v>
      </c>
      <c r="F383" s="27" t="s">
        <v>126</v>
      </c>
      <c r="G383" s="27" t="s">
        <v>228</v>
      </c>
      <c r="H383" s="27" t="s">
        <v>125</v>
      </c>
      <c r="I383" s="27" t="s">
        <v>790</v>
      </c>
      <c r="J383" s="27" t="s">
        <v>177</v>
      </c>
      <c r="K383" s="10">
        <v>80</v>
      </c>
      <c r="L383" s="36" t="s">
        <v>263</v>
      </c>
      <c r="M383" s="37" t="s">
        <v>269</v>
      </c>
      <c r="N383" s="37" t="s">
        <v>295</v>
      </c>
      <c r="O383" s="27"/>
      <c r="P383" s="27"/>
      <c r="Q383" s="27" t="s">
        <v>335</v>
      </c>
      <c r="R383" s="27"/>
      <c r="S383" s="1" t="s">
        <v>264</v>
      </c>
      <c r="T383" s="29" t="s">
        <v>265</v>
      </c>
      <c r="U383" s="30">
        <v>46050</v>
      </c>
      <c r="V383" s="27" t="s">
        <v>307</v>
      </c>
      <c r="W383" s="27"/>
    </row>
    <row r="384" spans="1:23" ht="24" customHeight="1">
      <c r="A384" s="27" t="str">
        <f t="shared" ca="1" si="5"/>
        <v>EVT-2026-0382</v>
      </c>
      <c r="B384" s="27">
        <v>2026</v>
      </c>
      <c r="C384" s="27" t="s">
        <v>92</v>
      </c>
      <c r="D384" s="30">
        <v>46095</v>
      </c>
      <c r="E384" s="27" t="s">
        <v>266</v>
      </c>
      <c r="F384" s="27" t="s">
        <v>126</v>
      </c>
      <c r="G384" s="27"/>
      <c r="H384" s="27" t="s">
        <v>300</v>
      </c>
      <c r="I384" s="27"/>
      <c r="J384" s="27" t="s">
        <v>145</v>
      </c>
      <c r="K384" s="10">
        <v>0</v>
      </c>
      <c r="L384" s="36" t="s">
        <v>263</v>
      </c>
      <c r="M384" s="37" t="s">
        <v>269</v>
      </c>
      <c r="N384" s="37" t="s">
        <v>270</v>
      </c>
      <c r="O384" s="27"/>
      <c r="P384" s="27"/>
      <c r="Q384" s="27" t="s">
        <v>791</v>
      </c>
      <c r="R384" s="27"/>
      <c r="S384" s="1" t="s">
        <v>264</v>
      </c>
      <c r="T384" s="29" t="s">
        <v>265</v>
      </c>
      <c r="U384" s="27"/>
      <c r="V384" s="27"/>
      <c r="W384" s="27"/>
    </row>
    <row r="385" spans="1:23" ht="24" customHeight="1">
      <c r="A385" s="27" t="str">
        <f t="shared" ca="1" si="5"/>
        <v>EVT-2026-0383</v>
      </c>
      <c r="B385" s="27">
        <v>2026</v>
      </c>
      <c r="C385" s="27" t="s">
        <v>92</v>
      </c>
      <c r="D385" s="30">
        <v>46095</v>
      </c>
      <c r="E385" s="27" t="s">
        <v>266</v>
      </c>
      <c r="F385" s="27" t="s">
        <v>126</v>
      </c>
      <c r="G385" s="27" t="s">
        <v>228</v>
      </c>
      <c r="H385" s="27" t="s">
        <v>125</v>
      </c>
      <c r="I385" s="27" t="s">
        <v>792</v>
      </c>
      <c r="J385" s="27" t="s">
        <v>177</v>
      </c>
      <c r="K385" s="10">
        <v>0</v>
      </c>
      <c r="L385" s="36" t="s">
        <v>263</v>
      </c>
      <c r="M385" s="37" t="s">
        <v>269</v>
      </c>
      <c r="N385" s="37" t="s">
        <v>270</v>
      </c>
      <c r="O385" s="27"/>
      <c r="P385" s="27"/>
      <c r="Q385" s="27" t="s">
        <v>793</v>
      </c>
      <c r="R385" s="27"/>
      <c r="S385" s="1" t="s">
        <v>264</v>
      </c>
      <c r="T385" s="29" t="s">
        <v>265</v>
      </c>
      <c r="U385" s="27"/>
      <c r="V385" s="27" t="s">
        <v>500</v>
      </c>
      <c r="W385" s="27"/>
    </row>
    <row r="386" spans="1:23" ht="24" customHeight="1">
      <c r="A386" s="27" t="str">
        <f t="shared" ca="1" si="5"/>
        <v>EVT-2026-0384</v>
      </c>
      <c r="B386" s="27">
        <v>2026</v>
      </c>
      <c r="C386" s="27" t="s">
        <v>92</v>
      </c>
      <c r="D386" s="30">
        <v>46096</v>
      </c>
      <c r="E386" s="27" t="s">
        <v>267</v>
      </c>
      <c r="F386" s="27" t="s">
        <v>126</v>
      </c>
      <c r="G386" s="27"/>
      <c r="H386" s="27"/>
      <c r="I386" s="27"/>
      <c r="J386" s="27" t="s">
        <v>177</v>
      </c>
      <c r="K386" s="10">
        <v>0</v>
      </c>
      <c r="L386" s="36" t="s">
        <v>263</v>
      </c>
      <c r="M386" s="37"/>
      <c r="N386" s="37"/>
      <c r="O386" s="27"/>
      <c r="P386" s="27"/>
      <c r="Q386" s="27"/>
      <c r="R386" s="27"/>
      <c r="S386" s="1" t="s">
        <v>264</v>
      </c>
      <c r="T386" s="29" t="s">
        <v>265</v>
      </c>
      <c r="U386" s="27"/>
      <c r="V386" s="27"/>
      <c r="W386" s="27"/>
    </row>
    <row r="387" spans="1:23" ht="24" customHeight="1">
      <c r="A387" s="27" t="str">
        <f t="shared" ref="A387:A450" ca="1" si="6">IF(OR(D387&lt;&gt;"",H387&lt;&gt;"",I387&lt;&gt;"",Q387&lt;&gt;"",S387&lt;&gt;""), "EVT-" &amp; TEXT(B387, "0000") &amp; "-" &amp; TEXT(COUNTIF(OFFSET($A$1, 1, 0, ROW()-2, 1), "EVT*") + 1, "0000"), "")</f>
        <v>EVT-2026-0385</v>
      </c>
      <c r="B387" s="27">
        <v>2026</v>
      </c>
      <c r="C387" s="27" t="s">
        <v>92</v>
      </c>
      <c r="D387" s="30">
        <v>46097</v>
      </c>
      <c r="E387" s="27" t="s">
        <v>224</v>
      </c>
      <c r="F387" s="27" t="s">
        <v>126</v>
      </c>
      <c r="G387" s="27" t="s">
        <v>202</v>
      </c>
      <c r="H387" s="27" t="s">
        <v>736</v>
      </c>
      <c r="I387" s="27" t="s">
        <v>794</v>
      </c>
      <c r="J387" s="27" t="s">
        <v>165</v>
      </c>
      <c r="K387" s="10">
        <v>30</v>
      </c>
      <c r="L387" s="36" t="s">
        <v>263</v>
      </c>
      <c r="M387" s="37" t="s">
        <v>269</v>
      </c>
      <c r="N387" s="37" t="s">
        <v>270</v>
      </c>
      <c r="O387" s="27"/>
      <c r="P387" s="27"/>
      <c r="Q387" s="27" t="s">
        <v>494</v>
      </c>
      <c r="R387" s="27"/>
      <c r="S387" s="1" t="s">
        <v>264</v>
      </c>
      <c r="T387" s="29" t="s">
        <v>265</v>
      </c>
      <c r="U387" s="27"/>
      <c r="V387" s="27" t="s">
        <v>795</v>
      </c>
      <c r="W387" s="27"/>
    </row>
    <row r="388" spans="1:23" ht="24" customHeight="1">
      <c r="A388" s="27" t="str">
        <f t="shared" ca="1" si="6"/>
        <v>EVT-2026-0386</v>
      </c>
      <c r="B388" s="27">
        <v>2026</v>
      </c>
      <c r="C388" s="27" t="s">
        <v>92</v>
      </c>
      <c r="D388" s="30">
        <v>46097</v>
      </c>
      <c r="E388" s="27" t="s">
        <v>224</v>
      </c>
      <c r="F388" s="27" t="s">
        <v>126</v>
      </c>
      <c r="G388" s="27" t="s">
        <v>208</v>
      </c>
      <c r="H388" s="27" t="s">
        <v>348</v>
      </c>
      <c r="I388" s="27" t="s">
        <v>796</v>
      </c>
      <c r="J388" s="27" t="s">
        <v>134</v>
      </c>
      <c r="K388" s="10">
        <v>20</v>
      </c>
      <c r="L388" s="36" t="s">
        <v>263</v>
      </c>
      <c r="M388" s="37" t="s">
        <v>269</v>
      </c>
      <c r="N388" s="37" t="s">
        <v>270</v>
      </c>
      <c r="O388" s="27"/>
      <c r="P388" s="27"/>
      <c r="Q388" s="27" t="s">
        <v>797</v>
      </c>
      <c r="R388" s="27"/>
      <c r="S388" s="3" t="s">
        <v>312</v>
      </c>
      <c r="T388" s="29" t="s">
        <v>265</v>
      </c>
      <c r="U388" s="27"/>
      <c r="V388" s="27" t="s">
        <v>786</v>
      </c>
      <c r="W388" s="27"/>
    </row>
    <row r="389" spans="1:23" ht="24" customHeight="1">
      <c r="A389" s="27" t="str">
        <f t="shared" ca="1" si="6"/>
        <v>EVT-2026-0387</v>
      </c>
      <c r="B389" s="27">
        <v>2026</v>
      </c>
      <c r="C389" s="27" t="s">
        <v>92</v>
      </c>
      <c r="D389" s="30">
        <v>46097</v>
      </c>
      <c r="E389" s="27" t="s">
        <v>224</v>
      </c>
      <c r="F389" s="27" t="s">
        <v>126</v>
      </c>
      <c r="G389" s="27" t="s">
        <v>228</v>
      </c>
      <c r="H389" s="27" t="s">
        <v>125</v>
      </c>
      <c r="I389" s="27" t="s">
        <v>798</v>
      </c>
      <c r="J389" s="27" t="s">
        <v>134</v>
      </c>
      <c r="K389" s="10">
        <v>15</v>
      </c>
      <c r="L389" s="36" t="s">
        <v>263</v>
      </c>
      <c r="M389" s="37" t="s">
        <v>269</v>
      </c>
      <c r="N389" s="37" t="s">
        <v>270</v>
      </c>
      <c r="O389" s="27"/>
      <c r="P389" s="27"/>
      <c r="Q389" s="27" t="s">
        <v>370</v>
      </c>
      <c r="R389" s="27"/>
      <c r="S389" s="1" t="s">
        <v>264</v>
      </c>
      <c r="T389" s="29" t="s">
        <v>265</v>
      </c>
      <c r="U389" s="27"/>
      <c r="V389" s="27" t="s">
        <v>799</v>
      </c>
      <c r="W389" s="27"/>
    </row>
    <row r="390" spans="1:23" ht="24" customHeight="1">
      <c r="A390" s="27" t="str">
        <f t="shared" ca="1" si="6"/>
        <v>EVT-2026-0388</v>
      </c>
      <c r="B390" s="27">
        <v>2026</v>
      </c>
      <c r="C390" s="27" t="s">
        <v>92</v>
      </c>
      <c r="D390" s="30">
        <v>46097</v>
      </c>
      <c r="E390" s="27" t="s">
        <v>224</v>
      </c>
      <c r="F390" s="27" t="s">
        <v>126</v>
      </c>
      <c r="G390" s="27" t="s">
        <v>202</v>
      </c>
      <c r="H390" s="27" t="s">
        <v>800</v>
      </c>
      <c r="I390" s="27" t="s">
        <v>801</v>
      </c>
      <c r="J390" s="27" t="s">
        <v>152</v>
      </c>
      <c r="K390" s="10">
        <v>1</v>
      </c>
      <c r="L390" s="36" t="s">
        <v>263</v>
      </c>
      <c r="M390" s="37"/>
      <c r="N390" s="37"/>
      <c r="O390" s="27"/>
      <c r="P390" s="27"/>
      <c r="Q390" s="27" t="s">
        <v>548</v>
      </c>
      <c r="R390" s="27"/>
      <c r="S390" s="1" t="s">
        <v>264</v>
      </c>
      <c r="T390" s="29" t="s">
        <v>265</v>
      </c>
      <c r="U390" s="27"/>
      <c r="V390" s="27" t="s">
        <v>802</v>
      </c>
      <c r="W390" s="27"/>
    </row>
    <row r="391" spans="1:23" ht="24" customHeight="1">
      <c r="A391" s="27" t="str">
        <f t="shared" ca="1" si="6"/>
        <v>EVT-2026-0389</v>
      </c>
      <c r="B391" s="27">
        <v>2026</v>
      </c>
      <c r="C391" s="27" t="s">
        <v>92</v>
      </c>
      <c r="D391" s="30">
        <v>46097</v>
      </c>
      <c r="E391" s="27" t="s">
        <v>224</v>
      </c>
      <c r="F391" s="27" t="s">
        <v>126</v>
      </c>
      <c r="G391" s="27"/>
      <c r="H391" s="27" t="s">
        <v>803</v>
      </c>
      <c r="I391" s="27" t="s">
        <v>801</v>
      </c>
      <c r="J391" s="27" t="s">
        <v>152</v>
      </c>
      <c r="K391" s="10">
        <v>1</v>
      </c>
      <c r="L391" s="36" t="s">
        <v>263</v>
      </c>
      <c r="M391" s="37"/>
      <c r="N391" s="37"/>
      <c r="O391" s="27"/>
      <c r="P391" s="27"/>
      <c r="Q391" s="27"/>
      <c r="R391" s="27"/>
      <c r="S391" s="1" t="s">
        <v>264</v>
      </c>
      <c r="T391" s="29" t="s">
        <v>265</v>
      </c>
      <c r="U391" s="27"/>
      <c r="V391" s="27" t="s">
        <v>804</v>
      </c>
      <c r="W391" s="27"/>
    </row>
    <row r="392" spans="1:23" ht="24" customHeight="1">
      <c r="A392" s="27" t="str">
        <f t="shared" ca="1" si="6"/>
        <v>EVT-2026-0390</v>
      </c>
      <c r="B392" s="27">
        <v>2026</v>
      </c>
      <c r="C392" s="27" t="s">
        <v>92</v>
      </c>
      <c r="D392" s="30">
        <v>46097</v>
      </c>
      <c r="E392" s="27" t="s">
        <v>224</v>
      </c>
      <c r="F392" s="27" t="s">
        <v>126</v>
      </c>
      <c r="G392" s="27"/>
      <c r="H392" s="27" t="s">
        <v>805</v>
      </c>
      <c r="I392" s="27" t="s">
        <v>801</v>
      </c>
      <c r="J392" s="27" t="s">
        <v>152</v>
      </c>
      <c r="K392" s="10">
        <v>1</v>
      </c>
      <c r="L392" s="36" t="s">
        <v>263</v>
      </c>
      <c r="M392" s="37"/>
      <c r="N392" s="37"/>
      <c r="O392" s="27"/>
      <c r="P392" s="27"/>
      <c r="Q392" s="27"/>
      <c r="R392" s="27"/>
      <c r="S392" s="1" t="s">
        <v>264</v>
      </c>
      <c r="T392" s="29" t="s">
        <v>265</v>
      </c>
      <c r="U392" s="27"/>
      <c r="V392" s="27" t="s">
        <v>804</v>
      </c>
      <c r="W392" s="27"/>
    </row>
    <row r="393" spans="1:23" ht="24" customHeight="1">
      <c r="A393" s="27" t="str">
        <f t="shared" ca="1" si="6"/>
        <v>EVT-2026-0391</v>
      </c>
      <c r="B393" s="27">
        <v>2026</v>
      </c>
      <c r="C393" s="27" t="s">
        <v>92</v>
      </c>
      <c r="D393" s="30">
        <v>46097</v>
      </c>
      <c r="E393" s="27" t="s">
        <v>224</v>
      </c>
      <c r="F393" s="27" t="s">
        <v>126</v>
      </c>
      <c r="G393" s="27"/>
      <c r="H393" s="27"/>
      <c r="I393" s="27"/>
      <c r="J393" s="27" t="s">
        <v>177</v>
      </c>
      <c r="K393" s="10">
        <v>0</v>
      </c>
      <c r="L393" s="36" t="s">
        <v>263</v>
      </c>
      <c r="M393" s="37"/>
      <c r="N393" s="37"/>
      <c r="O393" s="27"/>
      <c r="P393" s="27"/>
      <c r="Q393" s="27"/>
      <c r="R393" s="27"/>
      <c r="S393" s="1" t="s">
        <v>264</v>
      </c>
      <c r="T393" s="29" t="s">
        <v>265</v>
      </c>
      <c r="U393" s="27"/>
      <c r="V393" s="27"/>
      <c r="W393" s="27"/>
    </row>
    <row r="394" spans="1:23" ht="24" customHeight="1">
      <c r="A394" s="27" t="str">
        <f t="shared" ca="1" si="6"/>
        <v>EVT-2026-0392</v>
      </c>
      <c r="B394" s="27">
        <v>2026</v>
      </c>
      <c r="C394" s="27" t="s">
        <v>92</v>
      </c>
      <c r="D394" s="30">
        <v>46097</v>
      </c>
      <c r="E394" s="27" t="s">
        <v>224</v>
      </c>
      <c r="F394" s="27" t="s">
        <v>126</v>
      </c>
      <c r="G394" s="27" t="s">
        <v>202</v>
      </c>
      <c r="H394" s="27" t="s">
        <v>736</v>
      </c>
      <c r="I394" s="27" t="s">
        <v>806</v>
      </c>
      <c r="J394" s="27" t="s">
        <v>152</v>
      </c>
      <c r="K394" s="10">
        <v>0</v>
      </c>
      <c r="L394" s="36" t="s">
        <v>263</v>
      </c>
      <c r="M394" s="37" t="s">
        <v>269</v>
      </c>
      <c r="N394" s="37" t="s">
        <v>270</v>
      </c>
      <c r="O394" s="27" t="s">
        <v>807</v>
      </c>
      <c r="P394" s="27"/>
      <c r="Q394" s="27" t="s">
        <v>808</v>
      </c>
      <c r="R394" s="27"/>
      <c r="S394" s="1" t="s">
        <v>264</v>
      </c>
      <c r="T394" s="29" t="s">
        <v>265</v>
      </c>
      <c r="U394" s="27" t="s">
        <v>809</v>
      </c>
      <c r="V394" s="27"/>
      <c r="W394" s="27"/>
    </row>
    <row r="395" spans="1:23" ht="24" customHeight="1">
      <c r="A395" s="27" t="str">
        <f t="shared" ca="1" si="6"/>
        <v>EVT-2026-0393</v>
      </c>
      <c r="B395" s="27">
        <v>2026</v>
      </c>
      <c r="C395" s="27" t="s">
        <v>92</v>
      </c>
      <c r="D395" s="30">
        <v>46098</v>
      </c>
      <c r="E395" s="27" t="s">
        <v>227</v>
      </c>
      <c r="F395" s="27" t="s">
        <v>126</v>
      </c>
      <c r="G395" s="27"/>
      <c r="H395" s="27"/>
      <c r="I395" s="27"/>
      <c r="J395" s="27" t="s">
        <v>177</v>
      </c>
      <c r="K395" s="10">
        <v>0</v>
      </c>
      <c r="L395" s="36" t="s">
        <v>263</v>
      </c>
      <c r="M395" s="37"/>
      <c r="N395" s="37"/>
      <c r="O395" s="27"/>
      <c r="P395" s="27"/>
      <c r="Q395" s="27"/>
      <c r="R395" s="27"/>
      <c r="S395" s="1" t="s">
        <v>264</v>
      </c>
      <c r="T395" s="29" t="s">
        <v>265</v>
      </c>
      <c r="U395" s="27"/>
      <c r="V395" s="27"/>
      <c r="W395" s="27"/>
    </row>
    <row r="396" spans="1:23" ht="24" customHeight="1">
      <c r="A396" s="27" t="str">
        <f t="shared" ca="1" si="6"/>
        <v>EVT-2026-0394</v>
      </c>
      <c r="B396" s="27">
        <v>2026</v>
      </c>
      <c r="C396" s="27" t="s">
        <v>92</v>
      </c>
      <c r="D396" s="30">
        <v>46098</v>
      </c>
      <c r="E396" s="27" t="s">
        <v>227</v>
      </c>
      <c r="F396" s="27" t="s">
        <v>126</v>
      </c>
      <c r="G396" s="27"/>
      <c r="H396" s="27"/>
      <c r="I396" s="27"/>
      <c r="J396" s="27" t="s">
        <v>177</v>
      </c>
      <c r="K396" s="10">
        <v>0</v>
      </c>
      <c r="L396" s="36" t="s">
        <v>263</v>
      </c>
      <c r="M396" s="37"/>
      <c r="N396" s="37"/>
      <c r="O396" s="27"/>
      <c r="P396" s="27"/>
      <c r="Q396" s="27"/>
      <c r="R396" s="27"/>
      <c r="S396" s="1" t="s">
        <v>264</v>
      </c>
      <c r="T396" s="29" t="s">
        <v>265</v>
      </c>
      <c r="U396" s="27"/>
      <c r="V396" s="27"/>
      <c r="W396" s="27"/>
    </row>
    <row r="397" spans="1:23" ht="24" customHeight="1">
      <c r="A397" s="27" t="str">
        <f t="shared" ca="1" si="6"/>
        <v>EVT-2026-0395</v>
      </c>
      <c r="B397" s="27">
        <v>2026</v>
      </c>
      <c r="C397" s="27" t="s">
        <v>92</v>
      </c>
      <c r="D397" s="30">
        <v>46098</v>
      </c>
      <c r="E397" s="27" t="s">
        <v>227</v>
      </c>
      <c r="F397" s="27" t="s">
        <v>126</v>
      </c>
      <c r="G397" s="27" t="s">
        <v>202</v>
      </c>
      <c r="H397" s="27" t="s">
        <v>239</v>
      </c>
      <c r="I397" s="27" t="s">
        <v>810</v>
      </c>
      <c r="J397" s="27" t="s">
        <v>127</v>
      </c>
      <c r="K397" s="10">
        <v>250</v>
      </c>
      <c r="L397" s="38" t="s">
        <v>294</v>
      </c>
      <c r="M397" s="37" t="s">
        <v>309</v>
      </c>
      <c r="N397" s="37" t="s">
        <v>270</v>
      </c>
      <c r="O397" s="27"/>
      <c r="P397" s="27"/>
      <c r="Q397" s="27" t="s">
        <v>811</v>
      </c>
      <c r="R397" s="27"/>
      <c r="S397" s="1" t="s">
        <v>264</v>
      </c>
      <c r="T397" s="29" t="s">
        <v>265</v>
      </c>
      <c r="U397" s="27"/>
      <c r="V397" s="27" t="s">
        <v>341</v>
      </c>
      <c r="W397" s="27"/>
    </row>
    <row r="398" spans="1:23" ht="24" customHeight="1">
      <c r="A398" s="27" t="str">
        <f t="shared" ca="1" si="6"/>
        <v>EVT-2026-0396</v>
      </c>
      <c r="B398" s="27">
        <v>2026</v>
      </c>
      <c r="C398" s="27" t="s">
        <v>92</v>
      </c>
      <c r="D398" s="30">
        <v>46098</v>
      </c>
      <c r="E398" s="27" t="s">
        <v>227</v>
      </c>
      <c r="F398" s="27" t="s">
        <v>126</v>
      </c>
      <c r="G398" s="27" t="s">
        <v>208</v>
      </c>
      <c r="H398" s="27" t="s">
        <v>348</v>
      </c>
      <c r="I398" s="27" t="s">
        <v>812</v>
      </c>
      <c r="J398" s="27" t="s">
        <v>127</v>
      </c>
      <c r="K398" s="10">
        <v>75</v>
      </c>
      <c r="L398" s="36" t="s">
        <v>263</v>
      </c>
      <c r="M398" s="37" t="s">
        <v>338</v>
      </c>
      <c r="N398" s="37" t="s">
        <v>429</v>
      </c>
      <c r="O398" s="27"/>
      <c r="P398" s="27"/>
      <c r="Q398" s="27" t="s">
        <v>378</v>
      </c>
      <c r="R398" s="27"/>
      <c r="S398" s="1" t="s">
        <v>264</v>
      </c>
      <c r="T398" s="29" t="s">
        <v>265</v>
      </c>
      <c r="U398" s="30">
        <v>46049</v>
      </c>
      <c r="V398" s="27" t="s">
        <v>813</v>
      </c>
      <c r="W398" s="27"/>
    </row>
    <row r="399" spans="1:23" ht="24" customHeight="1">
      <c r="A399" s="27" t="str">
        <f t="shared" ca="1" si="6"/>
        <v>EVT-2026-0397</v>
      </c>
      <c r="B399" s="27">
        <v>2026</v>
      </c>
      <c r="C399" s="27" t="s">
        <v>92</v>
      </c>
      <c r="D399" s="30">
        <v>46098</v>
      </c>
      <c r="E399" s="27" t="s">
        <v>227</v>
      </c>
      <c r="F399" s="27" t="s">
        <v>126</v>
      </c>
      <c r="G399" s="27" t="s">
        <v>208</v>
      </c>
      <c r="H399" s="27" t="s">
        <v>348</v>
      </c>
      <c r="I399" s="27" t="s">
        <v>349</v>
      </c>
      <c r="J399" s="27" t="s">
        <v>145</v>
      </c>
      <c r="K399" s="10">
        <v>50</v>
      </c>
      <c r="L399" s="36" t="s">
        <v>263</v>
      </c>
      <c r="M399" s="37" t="s">
        <v>350</v>
      </c>
      <c r="N399" s="37" t="s">
        <v>296</v>
      </c>
      <c r="O399" s="27"/>
      <c r="P399" s="27"/>
      <c r="Q399" s="27" t="s">
        <v>351</v>
      </c>
      <c r="R399" s="27"/>
      <c r="S399" s="1" t="s">
        <v>264</v>
      </c>
      <c r="T399" s="29" t="s">
        <v>265</v>
      </c>
      <c r="U399" s="30">
        <v>46008</v>
      </c>
      <c r="V399" s="27" t="s">
        <v>799</v>
      </c>
      <c r="W399" s="27"/>
    </row>
    <row r="400" spans="1:23" ht="24" customHeight="1">
      <c r="A400" s="27" t="str">
        <f t="shared" ca="1" si="6"/>
        <v>EVT-2026-0398</v>
      </c>
      <c r="B400" s="27">
        <v>2026</v>
      </c>
      <c r="C400" s="27" t="s">
        <v>92</v>
      </c>
      <c r="D400" s="30">
        <v>46098</v>
      </c>
      <c r="E400" s="27" t="s">
        <v>227</v>
      </c>
      <c r="F400" s="27" t="s">
        <v>126</v>
      </c>
      <c r="G400" s="27" t="s">
        <v>228</v>
      </c>
      <c r="H400" s="27" t="s">
        <v>125</v>
      </c>
      <c r="I400" s="27" t="s">
        <v>798</v>
      </c>
      <c r="J400" s="27" t="s">
        <v>134</v>
      </c>
      <c r="K400" s="10">
        <v>15</v>
      </c>
      <c r="L400" s="36" t="s">
        <v>263</v>
      </c>
      <c r="M400" s="37" t="s">
        <v>269</v>
      </c>
      <c r="N400" s="37" t="s">
        <v>270</v>
      </c>
      <c r="O400" s="27"/>
      <c r="P400" s="27"/>
      <c r="Q400" s="27" t="s">
        <v>370</v>
      </c>
      <c r="R400" s="27"/>
      <c r="S400" s="1" t="s">
        <v>264</v>
      </c>
      <c r="T400" s="29" t="s">
        <v>265</v>
      </c>
      <c r="U400" s="27"/>
      <c r="V400" s="27" t="s">
        <v>786</v>
      </c>
      <c r="W400" s="27"/>
    </row>
    <row r="401" spans="1:23" ht="24" customHeight="1">
      <c r="A401" s="27" t="str">
        <f t="shared" ca="1" si="6"/>
        <v>EVT-2026-0399</v>
      </c>
      <c r="B401" s="27">
        <v>2026</v>
      </c>
      <c r="C401" s="27" t="s">
        <v>92</v>
      </c>
      <c r="D401" s="30">
        <v>46099</v>
      </c>
      <c r="E401" s="27" t="s">
        <v>201</v>
      </c>
      <c r="F401" s="27" t="s">
        <v>126</v>
      </c>
      <c r="G401" s="27" t="s">
        <v>202</v>
      </c>
      <c r="H401" s="27" t="s">
        <v>239</v>
      </c>
      <c r="I401" s="27" t="s">
        <v>814</v>
      </c>
      <c r="J401" s="27" t="s">
        <v>127</v>
      </c>
      <c r="K401" s="10">
        <v>150</v>
      </c>
      <c r="L401" s="38" t="s">
        <v>294</v>
      </c>
      <c r="M401" s="37" t="s">
        <v>338</v>
      </c>
      <c r="N401" s="37" t="s">
        <v>330</v>
      </c>
      <c r="O401" s="27"/>
      <c r="P401" s="27"/>
      <c r="Q401" s="27" t="s">
        <v>548</v>
      </c>
      <c r="R401" s="27"/>
      <c r="S401" s="1" t="s">
        <v>264</v>
      </c>
      <c r="T401" s="29" t="s">
        <v>265</v>
      </c>
      <c r="U401" s="30">
        <v>46056</v>
      </c>
      <c r="V401" s="27" t="s">
        <v>298</v>
      </c>
      <c r="W401" s="27"/>
    </row>
    <row r="402" spans="1:23" ht="24" customHeight="1">
      <c r="A402" s="27" t="str">
        <f t="shared" ca="1" si="6"/>
        <v>EVT-2026-0400</v>
      </c>
      <c r="B402" s="27">
        <v>2026</v>
      </c>
      <c r="C402" s="27" t="s">
        <v>92</v>
      </c>
      <c r="D402" s="30">
        <v>46099</v>
      </c>
      <c r="E402" s="27" t="s">
        <v>201</v>
      </c>
      <c r="F402" s="27" t="s">
        <v>126</v>
      </c>
      <c r="G402" s="27" t="s">
        <v>202</v>
      </c>
      <c r="H402" s="27" t="s">
        <v>815</v>
      </c>
      <c r="I402" s="27" t="s">
        <v>816</v>
      </c>
      <c r="J402" s="27" t="s">
        <v>177</v>
      </c>
      <c r="K402" s="10">
        <v>100</v>
      </c>
      <c r="L402" s="38" t="s">
        <v>294</v>
      </c>
      <c r="M402" s="37" t="s">
        <v>315</v>
      </c>
      <c r="N402" s="37" t="s">
        <v>817</v>
      </c>
      <c r="O402" s="27"/>
      <c r="P402" s="27"/>
      <c r="Q402" s="27" t="s">
        <v>818</v>
      </c>
      <c r="R402" s="27"/>
      <c r="S402" s="1" t="s">
        <v>264</v>
      </c>
      <c r="T402" s="29" t="s">
        <v>265</v>
      </c>
      <c r="U402" s="30">
        <v>46066</v>
      </c>
      <c r="V402" s="27" t="s">
        <v>500</v>
      </c>
      <c r="W402" s="27"/>
    </row>
    <row r="403" spans="1:23" ht="24" customHeight="1">
      <c r="A403" s="27" t="str">
        <f t="shared" ca="1" si="6"/>
        <v>EVT-2026-0401</v>
      </c>
      <c r="B403" s="27">
        <v>2026</v>
      </c>
      <c r="C403" s="27" t="s">
        <v>92</v>
      </c>
      <c r="D403" s="30">
        <v>46099</v>
      </c>
      <c r="E403" s="27" t="s">
        <v>201</v>
      </c>
      <c r="F403" s="27" t="s">
        <v>126</v>
      </c>
      <c r="G403" s="27" t="s">
        <v>228</v>
      </c>
      <c r="H403" s="27" t="s">
        <v>125</v>
      </c>
      <c r="I403" s="27" t="s">
        <v>798</v>
      </c>
      <c r="J403" s="27" t="s">
        <v>134</v>
      </c>
      <c r="K403" s="10">
        <v>15</v>
      </c>
      <c r="L403" s="36" t="s">
        <v>263</v>
      </c>
      <c r="M403" s="37" t="s">
        <v>275</v>
      </c>
      <c r="N403" s="37" t="s">
        <v>270</v>
      </c>
      <c r="O403" s="27"/>
      <c r="P403" s="27"/>
      <c r="Q403" s="27" t="s">
        <v>370</v>
      </c>
      <c r="R403" s="27"/>
      <c r="S403" s="1" t="s">
        <v>264</v>
      </c>
      <c r="T403" s="29" t="s">
        <v>265</v>
      </c>
      <c r="U403" s="27"/>
      <c r="V403" s="27" t="s">
        <v>786</v>
      </c>
      <c r="W403" s="27"/>
    </row>
    <row r="404" spans="1:23" ht="24" customHeight="1">
      <c r="A404" s="27" t="str">
        <f t="shared" ca="1" si="6"/>
        <v>EVT-2026-0402</v>
      </c>
      <c r="B404" s="27">
        <v>2026</v>
      </c>
      <c r="C404" s="27" t="s">
        <v>92</v>
      </c>
      <c r="D404" s="30">
        <v>46099</v>
      </c>
      <c r="E404" s="27" t="s">
        <v>201</v>
      </c>
      <c r="F404" s="27" t="s">
        <v>126</v>
      </c>
      <c r="G404" s="27" t="s">
        <v>202</v>
      </c>
      <c r="H404" s="27" t="s">
        <v>348</v>
      </c>
      <c r="I404" s="27" t="s">
        <v>819</v>
      </c>
      <c r="J404" s="27" t="s">
        <v>177</v>
      </c>
      <c r="K404" s="10">
        <v>30</v>
      </c>
      <c r="L404" s="36" t="s">
        <v>263</v>
      </c>
      <c r="M404" s="37" t="s">
        <v>331</v>
      </c>
      <c r="N404" s="37" t="s">
        <v>350</v>
      </c>
      <c r="O404" s="27"/>
      <c r="P404" s="27"/>
      <c r="Q404" s="27" t="s">
        <v>820</v>
      </c>
      <c r="R404" s="27"/>
      <c r="S404" s="1" t="s">
        <v>264</v>
      </c>
      <c r="T404" s="29" t="s">
        <v>265</v>
      </c>
      <c r="U404" s="30">
        <v>46088</v>
      </c>
      <c r="V404" s="27" t="s">
        <v>821</v>
      </c>
      <c r="W404" s="27"/>
    </row>
    <row r="405" spans="1:23" ht="24" customHeight="1">
      <c r="A405" s="27" t="str">
        <f t="shared" ca="1" si="6"/>
        <v>EVT-2026-0403</v>
      </c>
      <c r="B405" s="27">
        <v>2026</v>
      </c>
      <c r="C405" s="27" t="s">
        <v>92</v>
      </c>
      <c r="D405" s="30">
        <v>46099</v>
      </c>
      <c r="E405" s="27" t="s">
        <v>201</v>
      </c>
      <c r="F405" s="27" t="s">
        <v>126</v>
      </c>
      <c r="G405" s="27" t="s">
        <v>202</v>
      </c>
      <c r="H405" s="27" t="s">
        <v>348</v>
      </c>
      <c r="I405" s="27" t="s">
        <v>822</v>
      </c>
      <c r="J405" s="27" t="s">
        <v>177</v>
      </c>
      <c r="K405" s="10">
        <v>45</v>
      </c>
      <c r="L405" s="36" t="s">
        <v>263</v>
      </c>
      <c r="M405" s="37" t="s">
        <v>350</v>
      </c>
      <c r="N405" s="37" t="s">
        <v>270</v>
      </c>
      <c r="O405" s="27"/>
      <c r="P405" s="27"/>
      <c r="Q405" s="27" t="s">
        <v>823</v>
      </c>
      <c r="R405" s="27"/>
      <c r="S405" s="1" t="s">
        <v>264</v>
      </c>
      <c r="T405" s="29" t="s">
        <v>265</v>
      </c>
      <c r="U405" s="30">
        <v>46090</v>
      </c>
      <c r="V405" s="27" t="s">
        <v>298</v>
      </c>
      <c r="W405" s="27"/>
    </row>
    <row r="406" spans="1:23" ht="24" customHeight="1">
      <c r="A406" s="27" t="str">
        <f t="shared" ca="1" si="6"/>
        <v>EVT-2026-0404</v>
      </c>
      <c r="B406" s="27">
        <v>2026</v>
      </c>
      <c r="C406" s="27" t="s">
        <v>92</v>
      </c>
      <c r="D406" s="30">
        <v>46099</v>
      </c>
      <c r="E406" s="27" t="s">
        <v>201</v>
      </c>
      <c r="F406" s="27" t="s">
        <v>126</v>
      </c>
      <c r="G406" s="27" t="s">
        <v>208</v>
      </c>
      <c r="H406" s="27" t="s">
        <v>348</v>
      </c>
      <c r="I406" s="27" t="s">
        <v>824</v>
      </c>
      <c r="J406" s="27" t="s">
        <v>158</v>
      </c>
      <c r="K406" s="10">
        <v>20</v>
      </c>
      <c r="L406" s="36" t="s">
        <v>263</v>
      </c>
      <c r="M406" s="37" t="s">
        <v>350</v>
      </c>
      <c r="N406" s="37" t="s">
        <v>289</v>
      </c>
      <c r="O406" s="27"/>
      <c r="P406" s="27"/>
      <c r="Q406" s="27" t="s">
        <v>774</v>
      </c>
      <c r="R406" s="27"/>
      <c r="S406" s="1" t="s">
        <v>264</v>
      </c>
      <c r="T406" s="29" t="s">
        <v>265</v>
      </c>
      <c r="U406" s="30">
        <v>46088</v>
      </c>
      <c r="V406" s="27" t="s">
        <v>298</v>
      </c>
      <c r="W406" s="27"/>
    </row>
    <row r="407" spans="1:23" ht="24" customHeight="1">
      <c r="A407" s="27" t="str">
        <f t="shared" ca="1" si="6"/>
        <v>EVT-2026-0405</v>
      </c>
      <c r="B407" s="27">
        <v>2026</v>
      </c>
      <c r="C407" s="27" t="s">
        <v>92</v>
      </c>
      <c r="D407" s="30">
        <v>46099</v>
      </c>
      <c r="E407" s="27" t="s">
        <v>201</v>
      </c>
      <c r="F407" s="27" t="s">
        <v>126</v>
      </c>
      <c r="G407" s="27" t="s">
        <v>208</v>
      </c>
      <c r="H407" s="27" t="s">
        <v>348</v>
      </c>
      <c r="I407" s="27"/>
      <c r="J407" s="27" t="s">
        <v>177</v>
      </c>
      <c r="K407" s="10">
        <v>50</v>
      </c>
      <c r="L407" s="36" t="s">
        <v>263</v>
      </c>
      <c r="M407" s="37" t="s">
        <v>289</v>
      </c>
      <c r="N407" s="37" t="s">
        <v>270</v>
      </c>
      <c r="O407" s="27"/>
      <c r="P407" s="27"/>
      <c r="Q407" s="27" t="s">
        <v>378</v>
      </c>
      <c r="R407" s="27"/>
      <c r="S407" s="1" t="s">
        <v>264</v>
      </c>
      <c r="T407" s="29" t="s">
        <v>265</v>
      </c>
      <c r="U407" s="30">
        <v>46093</v>
      </c>
      <c r="V407" s="27" t="s">
        <v>298</v>
      </c>
      <c r="W407" s="27"/>
    </row>
    <row r="408" spans="1:23" ht="24" customHeight="1">
      <c r="A408" s="27" t="str">
        <f t="shared" ca="1" si="6"/>
        <v>EVT-2026-0406</v>
      </c>
      <c r="B408" s="27">
        <v>2026</v>
      </c>
      <c r="C408" s="27" t="s">
        <v>92</v>
      </c>
      <c r="D408" s="30">
        <v>46100</v>
      </c>
      <c r="E408" s="27" t="s">
        <v>216</v>
      </c>
      <c r="F408" s="27" t="s">
        <v>126</v>
      </c>
      <c r="G408" s="27" t="s">
        <v>228</v>
      </c>
      <c r="H408" s="27" t="s">
        <v>125</v>
      </c>
      <c r="I408" s="27" t="s">
        <v>798</v>
      </c>
      <c r="J408" s="27" t="s">
        <v>134</v>
      </c>
      <c r="K408" s="10">
        <v>15</v>
      </c>
      <c r="L408" s="36" t="s">
        <v>263</v>
      </c>
      <c r="M408" s="37" t="s">
        <v>269</v>
      </c>
      <c r="N408" s="37" t="s">
        <v>270</v>
      </c>
      <c r="O408" s="27"/>
      <c r="P408" s="27"/>
      <c r="Q408" s="27" t="s">
        <v>370</v>
      </c>
      <c r="R408" s="27"/>
      <c r="S408" s="1" t="s">
        <v>264</v>
      </c>
      <c r="T408" s="29" t="s">
        <v>265</v>
      </c>
      <c r="U408" s="27"/>
      <c r="V408" s="27" t="s">
        <v>786</v>
      </c>
      <c r="W408" s="27"/>
    </row>
    <row r="409" spans="1:23" ht="24" customHeight="1">
      <c r="A409" s="27" t="str">
        <f t="shared" ca="1" si="6"/>
        <v>EVT-2026-0407</v>
      </c>
      <c r="B409" s="27">
        <v>2026</v>
      </c>
      <c r="C409" s="27" t="s">
        <v>92</v>
      </c>
      <c r="D409" s="30">
        <v>46100</v>
      </c>
      <c r="E409" s="27" t="s">
        <v>216</v>
      </c>
      <c r="F409" s="27" t="s">
        <v>126</v>
      </c>
      <c r="G409" s="27" t="s">
        <v>202</v>
      </c>
      <c r="H409" s="27" t="s">
        <v>348</v>
      </c>
      <c r="I409" s="27" t="s">
        <v>819</v>
      </c>
      <c r="J409" s="27" t="s">
        <v>177</v>
      </c>
      <c r="K409" s="10">
        <v>25</v>
      </c>
      <c r="L409" s="36" t="s">
        <v>263</v>
      </c>
      <c r="M409" s="37" t="s">
        <v>354</v>
      </c>
      <c r="N409" s="37" t="s">
        <v>350</v>
      </c>
      <c r="O409" s="27"/>
      <c r="P409" s="27"/>
      <c r="Q409" s="27" t="s">
        <v>820</v>
      </c>
      <c r="R409" s="27"/>
      <c r="S409" s="1" t="s">
        <v>264</v>
      </c>
      <c r="T409" s="29" t="s">
        <v>265</v>
      </c>
      <c r="U409" s="30">
        <v>46088</v>
      </c>
      <c r="V409" s="27"/>
      <c r="W409" s="27"/>
    </row>
    <row r="410" spans="1:23" ht="24" customHeight="1">
      <c r="A410" s="27" t="str">
        <f t="shared" ca="1" si="6"/>
        <v>EVT-2026-0408</v>
      </c>
      <c r="B410" s="27">
        <v>2026</v>
      </c>
      <c r="C410" s="27" t="s">
        <v>92</v>
      </c>
      <c r="D410" s="30">
        <v>46100</v>
      </c>
      <c r="E410" s="27" t="s">
        <v>216</v>
      </c>
      <c r="F410" s="27" t="s">
        <v>126</v>
      </c>
      <c r="G410" s="27" t="s">
        <v>208</v>
      </c>
      <c r="H410" s="27" t="s">
        <v>348</v>
      </c>
      <c r="I410" s="27" t="s">
        <v>349</v>
      </c>
      <c r="J410" s="27" t="s">
        <v>145</v>
      </c>
      <c r="K410" s="10">
        <v>50</v>
      </c>
      <c r="L410" s="36" t="s">
        <v>263</v>
      </c>
      <c r="M410" s="37" t="s">
        <v>350</v>
      </c>
      <c r="N410" s="37" t="s">
        <v>296</v>
      </c>
      <c r="O410" s="27"/>
      <c r="P410" s="27"/>
      <c r="Q410" s="27" t="s">
        <v>351</v>
      </c>
      <c r="R410" s="27"/>
      <c r="S410" s="1" t="s">
        <v>264</v>
      </c>
      <c r="T410" s="29" t="s">
        <v>265</v>
      </c>
      <c r="U410" s="30">
        <v>46008</v>
      </c>
      <c r="V410" s="27" t="s">
        <v>303</v>
      </c>
      <c r="W410" s="27"/>
    </row>
    <row r="411" spans="1:23" ht="24" customHeight="1">
      <c r="A411" s="27" t="str">
        <f t="shared" ca="1" si="6"/>
        <v>EVT-2026-0409</v>
      </c>
      <c r="B411" s="27">
        <v>2026</v>
      </c>
      <c r="C411" s="27" t="s">
        <v>92</v>
      </c>
      <c r="D411" s="30">
        <v>46101</v>
      </c>
      <c r="E411" s="27" t="s">
        <v>220</v>
      </c>
      <c r="F411" s="27" t="s">
        <v>126</v>
      </c>
      <c r="G411" s="27" t="s">
        <v>228</v>
      </c>
      <c r="H411" s="27" t="s">
        <v>125</v>
      </c>
      <c r="I411" s="27" t="s">
        <v>825</v>
      </c>
      <c r="J411" s="27" t="s">
        <v>177</v>
      </c>
      <c r="K411" s="10">
        <v>26</v>
      </c>
      <c r="L411" s="36" t="s">
        <v>263</v>
      </c>
      <c r="M411" s="37" t="s">
        <v>269</v>
      </c>
      <c r="N411" s="37" t="s">
        <v>331</v>
      </c>
      <c r="O411" s="27"/>
      <c r="P411" s="27"/>
      <c r="Q411" s="27" t="s">
        <v>370</v>
      </c>
      <c r="R411" s="27"/>
      <c r="S411" s="1" t="s">
        <v>264</v>
      </c>
      <c r="T411" s="29" t="s">
        <v>265</v>
      </c>
      <c r="U411" s="27"/>
      <c r="V411" s="27" t="s">
        <v>826</v>
      </c>
      <c r="W411" s="27"/>
    </row>
    <row r="412" spans="1:23" ht="24" customHeight="1">
      <c r="A412" s="27" t="str">
        <f t="shared" ca="1" si="6"/>
        <v>EVT-2026-0410</v>
      </c>
      <c r="B412" s="27">
        <v>2026</v>
      </c>
      <c r="C412" s="27" t="s">
        <v>92</v>
      </c>
      <c r="D412" s="30">
        <v>46101</v>
      </c>
      <c r="E412" s="27" t="s">
        <v>220</v>
      </c>
      <c r="F412" s="27" t="s">
        <v>126</v>
      </c>
      <c r="G412" s="27" t="s">
        <v>228</v>
      </c>
      <c r="H412" s="27" t="s">
        <v>125</v>
      </c>
      <c r="I412" s="27" t="s">
        <v>798</v>
      </c>
      <c r="J412" s="27" t="s">
        <v>134</v>
      </c>
      <c r="K412" s="10">
        <v>20</v>
      </c>
      <c r="L412" s="36" t="s">
        <v>263</v>
      </c>
      <c r="M412" s="37" t="s">
        <v>269</v>
      </c>
      <c r="N412" s="37" t="s">
        <v>270</v>
      </c>
      <c r="O412" s="27"/>
      <c r="P412" s="27"/>
      <c r="Q412" s="27"/>
      <c r="R412" s="27"/>
      <c r="S412" s="1" t="s">
        <v>264</v>
      </c>
      <c r="T412" s="29" t="s">
        <v>265</v>
      </c>
      <c r="U412" s="27"/>
      <c r="V412" s="27"/>
      <c r="W412" s="27"/>
    </row>
    <row r="413" spans="1:23" ht="24" customHeight="1">
      <c r="A413" s="27" t="str">
        <f t="shared" ca="1" si="6"/>
        <v>EVT-2026-0411</v>
      </c>
      <c r="B413" s="27">
        <v>2026</v>
      </c>
      <c r="C413" s="27" t="s">
        <v>92</v>
      </c>
      <c r="D413" s="30">
        <v>46101</v>
      </c>
      <c r="E413" s="27" t="s">
        <v>220</v>
      </c>
      <c r="F413" s="27" t="s">
        <v>126</v>
      </c>
      <c r="G413" s="27" t="s">
        <v>202</v>
      </c>
      <c r="H413" s="27" t="s">
        <v>348</v>
      </c>
      <c r="I413" s="27" t="s">
        <v>827</v>
      </c>
      <c r="J413" s="27" t="s">
        <v>158</v>
      </c>
      <c r="K413" s="10">
        <v>60</v>
      </c>
      <c r="L413" s="36" t="s">
        <v>263</v>
      </c>
      <c r="M413" s="37" t="s">
        <v>295</v>
      </c>
      <c r="N413" s="37" t="s">
        <v>296</v>
      </c>
      <c r="O413" s="27"/>
      <c r="P413" s="27"/>
      <c r="Q413" s="27" t="s">
        <v>379</v>
      </c>
      <c r="R413" s="27"/>
      <c r="S413" s="1" t="s">
        <v>264</v>
      </c>
      <c r="T413" s="29" t="s">
        <v>265</v>
      </c>
      <c r="U413" s="30">
        <v>46086</v>
      </c>
      <c r="V413" s="27" t="s">
        <v>598</v>
      </c>
      <c r="W413" s="27"/>
    </row>
    <row r="414" spans="1:23" ht="24" customHeight="1">
      <c r="A414" s="27" t="str">
        <f t="shared" ca="1" si="6"/>
        <v>EVT-2026-0412</v>
      </c>
      <c r="B414" s="27">
        <v>2026</v>
      </c>
      <c r="C414" s="27" t="s">
        <v>92</v>
      </c>
      <c r="D414" s="30">
        <v>46101</v>
      </c>
      <c r="E414" s="27" t="s">
        <v>220</v>
      </c>
      <c r="F414" s="27" t="s">
        <v>126</v>
      </c>
      <c r="G414" s="27" t="s">
        <v>208</v>
      </c>
      <c r="H414" s="27" t="s">
        <v>348</v>
      </c>
      <c r="I414" s="27" t="s">
        <v>828</v>
      </c>
      <c r="J414" s="27" t="s">
        <v>127</v>
      </c>
      <c r="K414" s="10">
        <v>70</v>
      </c>
      <c r="L414" s="36" t="s">
        <v>263</v>
      </c>
      <c r="M414" s="37" t="s">
        <v>315</v>
      </c>
      <c r="N414" s="37" t="s">
        <v>506</v>
      </c>
      <c r="O414" s="27"/>
      <c r="P414" s="27"/>
      <c r="Q414" s="27" t="s">
        <v>583</v>
      </c>
      <c r="R414" s="27"/>
      <c r="S414" s="1" t="s">
        <v>264</v>
      </c>
      <c r="T414" s="29" t="s">
        <v>265</v>
      </c>
      <c r="U414" s="30">
        <v>46099</v>
      </c>
      <c r="V414" s="27" t="s">
        <v>321</v>
      </c>
      <c r="W414" s="27"/>
    </row>
    <row r="415" spans="1:23" ht="24" customHeight="1">
      <c r="A415" s="27" t="str">
        <f t="shared" ca="1" si="6"/>
        <v>EVT-2026-0413</v>
      </c>
      <c r="B415" s="27">
        <v>2026</v>
      </c>
      <c r="C415" s="27" t="s">
        <v>92</v>
      </c>
      <c r="D415" s="30">
        <v>46102</v>
      </c>
      <c r="E415" s="27" t="s">
        <v>266</v>
      </c>
      <c r="F415" s="27" t="s">
        <v>126</v>
      </c>
      <c r="G415" s="27"/>
      <c r="H415" s="27"/>
      <c r="I415" s="27"/>
      <c r="J415" s="27" t="s">
        <v>177</v>
      </c>
      <c r="K415" s="10">
        <v>0</v>
      </c>
      <c r="L415" s="36" t="s">
        <v>263</v>
      </c>
      <c r="M415" s="37"/>
      <c r="N415" s="37"/>
      <c r="O415" s="27"/>
      <c r="P415" s="27"/>
      <c r="Q415" s="27"/>
      <c r="R415" s="27"/>
      <c r="S415" s="1" t="s">
        <v>264</v>
      </c>
      <c r="T415" s="29" t="s">
        <v>265</v>
      </c>
      <c r="U415" s="27"/>
      <c r="V415" s="27"/>
      <c r="W415" s="27"/>
    </row>
    <row r="416" spans="1:23" ht="24" customHeight="1">
      <c r="A416" s="27" t="str">
        <f t="shared" ca="1" si="6"/>
        <v>EVT-2026-0414</v>
      </c>
      <c r="B416" s="27">
        <v>2026</v>
      </c>
      <c r="C416" s="27" t="s">
        <v>92</v>
      </c>
      <c r="D416" s="30">
        <v>46103</v>
      </c>
      <c r="E416" s="27" t="s">
        <v>267</v>
      </c>
      <c r="F416" s="27" t="s">
        <v>126</v>
      </c>
      <c r="G416" s="27"/>
      <c r="H416" s="27"/>
      <c r="I416" s="27"/>
      <c r="J416" s="27" t="s">
        <v>177</v>
      </c>
      <c r="K416" s="10">
        <v>0</v>
      </c>
      <c r="L416" s="36" t="s">
        <v>263</v>
      </c>
      <c r="M416" s="37"/>
      <c r="N416" s="37"/>
      <c r="O416" s="27"/>
      <c r="P416" s="27"/>
      <c r="Q416" s="27"/>
      <c r="R416" s="27"/>
      <c r="S416" s="1" t="s">
        <v>264</v>
      </c>
      <c r="T416" s="29" t="s">
        <v>265</v>
      </c>
      <c r="U416" s="27"/>
      <c r="V416" s="27"/>
      <c r="W416" s="27"/>
    </row>
    <row r="417" spans="1:23" ht="24" customHeight="1">
      <c r="A417" s="27" t="str">
        <f t="shared" ca="1" si="6"/>
        <v>EVT-2026-0415</v>
      </c>
      <c r="B417" s="27">
        <v>2026</v>
      </c>
      <c r="C417" s="27" t="s">
        <v>92</v>
      </c>
      <c r="D417" s="30">
        <v>46104</v>
      </c>
      <c r="E417" s="27" t="s">
        <v>224</v>
      </c>
      <c r="F417" s="27" t="s">
        <v>126</v>
      </c>
      <c r="G417" s="27" t="s">
        <v>208</v>
      </c>
      <c r="H417" s="27" t="s">
        <v>829</v>
      </c>
      <c r="I417" s="27" t="s">
        <v>801</v>
      </c>
      <c r="J417" s="27" t="s">
        <v>152</v>
      </c>
      <c r="K417" s="10">
        <v>1</v>
      </c>
      <c r="L417" s="36" t="s">
        <v>263</v>
      </c>
      <c r="M417" s="37" t="s">
        <v>269</v>
      </c>
      <c r="N417" s="37" t="s">
        <v>270</v>
      </c>
      <c r="O417" s="27"/>
      <c r="P417" s="27"/>
      <c r="Q417" s="27" t="s">
        <v>830</v>
      </c>
      <c r="R417" s="27"/>
      <c r="S417" s="1" t="s">
        <v>264</v>
      </c>
      <c r="T417" s="29" t="s">
        <v>265</v>
      </c>
      <c r="U417" s="30">
        <v>46100</v>
      </c>
      <c r="V417" s="27" t="s">
        <v>831</v>
      </c>
      <c r="W417" s="27"/>
    </row>
    <row r="418" spans="1:23" ht="24" customHeight="1">
      <c r="A418" s="27" t="str">
        <f t="shared" ca="1" si="6"/>
        <v>EVT-2026-0416</v>
      </c>
      <c r="B418" s="27">
        <v>2026</v>
      </c>
      <c r="C418" s="27" t="s">
        <v>92</v>
      </c>
      <c r="D418" s="27" t="s">
        <v>832</v>
      </c>
      <c r="E418" s="27" t="s">
        <v>833</v>
      </c>
      <c r="F418" s="27" t="s">
        <v>126</v>
      </c>
      <c r="G418" s="27" t="s">
        <v>202</v>
      </c>
      <c r="H418" s="27" t="s">
        <v>834</v>
      </c>
      <c r="I418" s="27" t="s">
        <v>835</v>
      </c>
      <c r="J418" s="27" t="s">
        <v>152</v>
      </c>
      <c r="K418" s="10">
        <v>1</v>
      </c>
      <c r="L418" s="36" t="s">
        <v>263</v>
      </c>
      <c r="M418" s="37" t="s">
        <v>269</v>
      </c>
      <c r="N418" s="37" t="s">
        <v>270</v>
      </c>
      <c r="O418" s="27"/>
      <c r="P418" s="27"/>
      <c r="Q418" s="27" t="s">
        <v>836</v>
      </c>
      <c r="R418" s="27"/>
      <c r="S418" s="1" t="s">
        <v>264</v>
      </c>
      <c r="T418" s="29" t="s">
        <v>265</v>
      </c>
      <c r="U418" s="30">
        <v>46099</v>
      </c>
      <c r="V418" s="27" t="s">
        <v>837</v>
      </c>
      <c r="W418" s="27"/>
    </row>
    <row r="419" spans="1:23" ht="24" customHeight="1">
      <c r="A419" s="27" t="str">
        <f t="shared" ca="1" si="6"/>
        <v>EVT-2026-0417</v>
      </c>
      <c r="B419" s="27">
        <v>2026</v>
      </c>
      <c r="C419" s="27" t="s">
        <v>92</v>
      </c>
      <c r="D419" s="27" t="s">
        <v>832</v>
      </c>
      <c r="E419" s="27" t="s">
        <v>833</v>
      </c>
      <c r="F419" s="27" t="s">
        <v>126</v>
      </c>
      <c r="G419" s="27" t="s">
        <v>202</v>
      </c>
      <c r="H419" s="27" t="s">
        <v>838</v>
      </c>
      <c r="I419" s="27" t="s">
        <v>839</v>
      </c>
      <c r="J419" s="27" t="s">
        <v>152</v>
      </c>
      <c r="K419" s="10">
        <v>1</v>
      </c>
      <c r="L419" s="36" t="s">
        <v>263</v>
      </c>
      <c r="M419" s="37" t="s">
        <v>269</v>
      </c>
      <c r="N419" s="37" t="s">
        <v>270</v>
      </c>
      <c r="O419" s="27"/>
      <c r="P419" s="27"/>
      <c r="Q419" s="27" t="s">
        <v>836</v>
      </c>
      <c r="R419" s="27"/>
      <c r="S419" s="1" t="s">
        <v>264</v>
      </c>
      <c r="T419" s="29" t="s">
        <v>265</v>
      </c>
      <c r="U419" s="30">
        <v>46099</v>
      </c>
      <c r="V419" s="27" t="s">
        <v>837</v>
      </c>
      <c r="W419" s="27"/>
    </row>
    <row r="420" spans="1:23" ht="24" customHeight="1">
      <c r="A420" s="27" t="str">
        <f t="shared" ca="1" si="6"/>
        <v>EVT-2026-0418</v>
      </c>
      <c r="B420" s="27">
        <v>2026</v>
      </c>
      <c r="C420" s="27" t="s">
        <v>92</v>
      </c>
      <c r="D420" s="27" t="s">
        <v>840</v>
      </c>
      <c r="E420" s="27" t="s">
        <v>841</v>
      </c>
      <c r="F420" s="27" t="s">
        <v>126</v>
      </c>
      <c r="G420" s="27" t="s">
        <v>202</v>
      </c>
      <c r="H420" s="27" t="s">
        <v>842</v>
      </c>
      <c r="I420" s="27" t="s">
        <v>839</v>
      </c>
      <c r="J420" s="27" t="s">
        <v>152</v>
      </c>
      <c r="K420" s="10">
        <v>1</v>
      </c>
      <c r="L420" s="36" t="s">
        <v>263</v>
      </c>
      <c r="M420" s="37" t="s">
        <v>269</v>
      </c>
      <c r="N420" s="37" t="s">
        <v>270</v>
      </c>
      <c r="O420" s="27"/>
      <c r="P420" s="27"/>
      <c r="Q420" s="27" t="s">
        <v>379</v>
      </c>
      <c r="R420" s="27"/>
      <c r="S420" s="1" t="s">
        <v>264</v>
      </c>
      <c r="T420" s="29" t="s">
        <v>265</v>
      </c>
      <c r="U420" s="27"/>
      <c r="V420" s="27"/>
      <c r="W420" s="27"/>
    </row>
    <row r="421" spans="1:23" ht="24" customHeight="1">
      <c r="A421" s="27" t="str">
        <f t="shared" ca="1" si="6"/>
        <v>EVT-2026-0419</v>
      </c>
      <c r="B421" s="27">
        <v>2026</v>
      </c>
      <c r="C421" s="27" t="s">
        <v>92</v>
      </c>
      <c r="D421" s="27" t="s">
        <v>840</v>
      </c>
      <c r="E421" s="27" t="s">
        <v>841</v>
      </c>
      <c r="F421" s="27" t="s">
        <v>126</v>
      </c>
      <c r="G421" s="27" t="s">
        <v>202</v>
      </c>
      <c r="H421" s="27" t="s">
        <v>843</v>
      </c>
      <c r="I421" s="27" t="s">
        <v>839</v>
      </c>
      <c r="J421" s="27" t="s">
        <v>152</v>
      </c>
      <c r="K421" s="10">
        <v>1</v>
      </c>
      <c r="L421" s="36" t="s">
        <v>263</v>
      </c>
      <c r="M421" s="37" t="s">
        <v>269</v>
      </c>
      <c r="N421" s="37" t="s">
        <v>270</v>
      </c>
      <c r="O421" s="27"/>
      <c r="P421" s="27"/>
      <c r="Q421" s="27" t="s">
        <v>379</v>
      </c>
      <c r="R421" s="27"/>
      <c r="S421" s="1" t="s">
        <v>264</v>
      </c>
      <c r="T421" s="29" t="s">
        <v>265</v>
      </c>
      <c r="U421" s="27"/>
      <c r="V421" s="27"/>
      <c r="W421" s="27"/>
    </row>
    <row r="422" spans="1:23" ht="24" customHeight="1">
      <c r="A422" s="27" t="str">
        <f t="shared" ca="1" si="6"/>
        <v>EVT-2026-0420</v>
      </c>
      <c r="B422" s="27">
        <v>2026</v>
      </c>
      <c r="C422" s="27" t="s">
        <v>92</v>
      </c>
      <c r="D422" s="27" t="s">
        <v>840</v>
      </c>
      <c r="E422" s="27" t="s">
        <v>224</v>
      </c>
      <c r="F422" s="27" t="s">
        <v>126</v>
      </c>
      <c r="G422" s="27" t="s">
        <v>202</v>
      </c>
      <c r="H422" s="27" t="s">
        <v>844</v>
      </c>
      <c r="I422" s="27" t="s">
        <v>839</v>
      </c>
      <c r="J422" s="27" t="s">
        <v>152</v>
      </c>
      <c r="K422" s="10">
        <v>1</v>
      </c>
      <c r="L422" s="36" t="s">
        <v>263</v>
      </c>
      <c r="M422" s="37" t="s">
        <v>269</v>
      </c>
      <c r="N422" s="37" t="s">
        <v>270</v>
      </c>
      <c r="O422" s="27"/>
      <c r="P422" s="27"/>
      <c r="Q422" s="27" t="s">
        <v>379</v>
      </c>
      <c r="R422" s="27"/>
      <c r="S422" s="1" t="s">
        <v>264</v>
      </c>
      <c r="T422" s="29" t="s">
        <v>265</v>
      </c>
      <c r="U422" s="27"/>
      <c r="V422" s="27"/>
      <c r="W422" s="27"/>
    </row>
    <row r="423" spans="1:23" ht="24" customHeight="1">
      <c r="A423" s="27" t="str">
        <f t="shared" ca="1" si="6"/>
        <v>EVT-2026-0421</v>
      </c>
      <c r="B423" s="27">
        <v>2026</v>
      </c>
      <c r="C423" s="27" t="s">
        <v>92</v>
      </c>
      <c r="D423" s="30">
        <v>46104</v>
      </c>
      <c r="E423" s="27" t="s">
        <v>224</v>
      </c>
      <c r="F423" s="27" t="s">
        <v>126</v>
      </c>
      <c r="G423" s="27" t="s">
        <v>228</v>
      </c>
      <c r="H423" s="27" t="s">
        <v>496</v>
      </c>
      <c r="I423" s="27" t="s">
        <v>344</v>
      </c>
      <c r="J423" s="27" t="s">
        <v>134</v>
      </c>
      <c r="K423" s="10">
        <v>30</v>
      </c>
      <c r="L423" s="36" t="s">
        <v>263</v>
      </c>
      <c r="M423" s="37" t="s">
        <v>309</v>
      </c>
      <c r="N423" s="37" t="s">
        <v>295</v>
      </c>
      <c r="O423" s="27"/>
      <c r="P423" s="27"/>
      <c r="Q423" s="27" t="s">
        <v>526</v>
      </c>
      <c r="R423" s="27"/>
      <c r="S423" s="1" t="s">
        <v>264</v>
      </c>
      <c r="T423" s="29" t="s">
        <v>265</v>
      </c>
      <c r="U423" s="30">
        <v>46099</v>
      </c>
      <c r="V423" s="27" t="s">
        <v>845</v>
      </c>
      <c r="W423" s="27"/>
    </row>
    <row r="424" spans="1:23" ht="24" customHeight="1">
      <c r="A424" s="27" t="str">
        <f t="shared" ca="1" si="6"/>
        <v>EVT-2026-0422</v>
      </c>
      <c r="B424" s="27">
        <v>2026</v>
      </c>
      <c r="C424" s="27" t="s">
        <v>92</v>
      </c>
      <c r="D424" s="30">
        <v>46104</v>
      </c>
      <c r="E424" s="27" t="s">
        <v>224</v>
      </c>
      <c r="F424" s="27" t="s">
        <v>126</v>
      </c>
      <c r="G424" s="27" t="s">
        <v>228</v>
      </c>
      <c r="H424" s="27" t="s">
        <v>125</v>
      </c>
      <c r="I424" s="27" t="s">
        <v>368</v>
      </c>
      <c r="J424" s="27" t="s">
        <v>139</v>
      </c>
      <c r="K424" s="10">
        <v>30</v>
      </c>
      <c r="L424" s="36" t="s">
        <v>263</v>
      </c>
      <c r="M424" s="37" t="s">
        <v>309</v>
      </c>
      <c r="N424" s="37" t="s">
        <v>270</v>
      </c>
      <c r="O424" s="27" t="s">
        <v>369</v>
      </c>
      <c r="P424" s="27"/>
      <c r="Q424" s="27" t="s">
        <v>370</v>
      </c>
      <c r="R424" s="27"/>
      <c r="S424" s="1" t="s">
        <v>264</v>
      </c>
      <c r="T424" s="29" t="s">
        <v>265</v>
      </c>
      <c r="U424" s="30">
        <v>46008</v>
      </c>
      <c r="V424" s="27" t="s">
        <v>298</v>
      </c>
      <c r="W424" s="27"/>
    </row>
    <row r="425" spans="1:23" ht="24" customHeight="1">
      <c r="A425" s="27" t="str">
        <f t="shared" ca="1" si="6"/>
        <v>EVT-2026-0423</v>
      </c>
      <c r="B425" s="27">
        <v>2026</v>
      </c>
      <c r="C425" s="27" t="s">
        <v>92</v>
      </c>
      <c r="D425" s="30">
        <v>46104</v>
      </c>
      <c r="E425" s="27" t="s">
        <v>224</v>
      </c>
      <c r="F425" s="27" t="s">
        <v>126</v>
      </c>
      <c r="G425" s="27" t="s">
        <v>202</v>
      </c>
      <c r="H425" s="27" t="s">
        <v>348</v>
      </c>
      <c r="I425" s="27" t="s">
        <v>846</v>
      </c>
      <c r="J425" s="27" t="s">
        <v>152</v>
      </c>
      <c r="K425" s="10">
        <v>40</v>
      </c>
      <c r="L425" s="36" t="s">
        <v>263</v>
      </c>
      <c r="M425" s="37" t="s">
        <v>331</v>
      </c>
      <c r="N425" s="37" t="s">
        <v>350</v>
      </c>
      <c r="O425" s="27"/>
      <c r="P425" s="27"/>
      <c r="Q425" s="27" t="s">
        <v>847</v>
      </c>
      <c r="R425" s="27"/>
      <c r="S425" s="1" t="s">
        <v>264</v>
      </c>
      <c r="T425" s="29" t="s">
        <v>265</v>
      </c>
      <c r="U425" s="30">
        <v>46104</v>
      </c>
      <c r="V425" s="27" t="s">
        <v>848</v>
      </c>
      <c r="W425" s="27"/>
    </row>
    <row r="426" spans="1:23" ht="24" customHeight="1">
      <c r="A426" s="27" t="str">
        <f t="shared" ca="1" si="6"/>
        <v>EVT-2026-0424</v>
      </c>
      <c r="B426" s="27">
        <v>2026</v>
      </c>
      <c r="C426" s="27" t="s">
        <v>92</v>
      </c>
      <c r="D426" s="30">
        <v>46104</v>
      </c>
      <c r="E426" s="27" t="s">
        <v>224</v>
      </c>
      <c r="F426" s="27" t="s">
        <v>126</v>
      </c>
      <c r="G426" s="27" t="s">
        <v>208</v>
      </c>
      <c r="H426" s="27" t="s">
        <v>348</v>
      </c>
      <c r="I426" s="27" t="s">
        <v>849</v>
      </c>
      <c r="J426" s="27" t="s">
        <v>158</v>
      </c>
      <c r="K426" s="10">
        <v>30</v>
      </c>
      <c r="L426" s="36" t="s">
        <v>263</v>
      </c>
      <c r="M426" s="37" t="s">
        <v>309</v>
      </c>
      <c r="N426" s="37" t="s">
        <v>359</v>
      </c>
      <c r="O426" s="27"/>
      <c r="P426" s="27"/>
      <c r="Q426" s="27" t="s">
        <v>526</v>
      </c>
      <c r="R426" s="27"/>
      <c r="S426" s="1" t="s">
        <v>264</v>
      </c>
      <c r="T426" s="29" t="s">
        <v>265</v>
      </c>
      <c r="U426" s="27"/>
      <c r="V426" s="27"/>
      <c r="W426" s="27"/>
    </row>
    <row r="427" spans="1:23" ht="24" customHeight="1">
      <c r="A427" s="27" t="str">
        <f t="shared" ca="1" si="6"/>
        <v>EVT-2026-0425</v>
      </c>
      <c r="B427" s="27">
        <v>2026</v>
      </c>
      <c r="C427" s="27" t="s">
        <v>92</v>
      </c>
      <c r="D427" s="30">
        <v>46105</v>
      </c>
      <c r="E427" s="27" t="s">
        <v>227</v>
      </c>
      <c r="F427" s="27" t="s">
        <v>126</v>
      </c>
      <c r="G427" s="27" t="s">
        <v>228</v>
      </c>
      <c r="H427" s="27" t="s">
        <v>125</v>
      </c>
      <c r="I427" s="27" t="s">
        <v>368</v>
      </c>
      <c r="J427" s="27" t="s">
        <v>139</v>
      </c>
      <c r="K427" s="10">
        <v>30</v>
      </c>
      <c r="L427" s="36" t="s">
        <v>263</v>
      </c>
      <c r="M427" s="37" t="s">
        <v>309</v>
      </c>
      <c r="N427" s="37" t="s">
        <v>270</v>
      </c>
      <c r="O427" s="27" t="s">
        <v>369</v>
      </c>
      <c r="P427" s="27"/>
      <c r="Q427" s="27" t="s">
        <v>370</v>
      </c>
      <c r="R427" s="27"/>
      <c r="S427" s="1" t="s">
        <v>264</v>
      </c>
      <c r="T427" s="29" t="s">
        <v>265</v>
      </c>
      <c r="U427" s="30">
        <v>46008</v>
      </c>
      <c r="V427" s="27" t="s">
        <v>298</v>
      </c>
      <c r="W427" s="27"/>
    </row>
    <row r="428" spans="1:23" ht="24" customHeight="1">
      <c r="A428" s="27" t="str">
        <f t="shared" ca="1" si="6"/>
        <v>EVT-2026-0426</v>
      </c>
      <c r="B428" s="27">
        <v>2026</v>
      </c>
      <c r="C428" s="27" t="s">
        <v>92</v>
      </c>
      <c r="D428" s="30">
        <v>46105</v>
      </c>
      <c r="E428" s="27" t="s">
        <v>227</v>
      </c>
      <c r="F428" s="27" t="s">
        <v>126</v>
      </c>
      <c r="G428" s="27" t="s">
        <v>202</v>
      </c>
      <c r="H428" s="27" t="s">
        <v>348</v>
      </c>
      <c r="I428" s="27"/>
      <c r="J428" s="27" t="s">
        <v>177</v>
      </c>
      <c r="K428" s="10">
        <v>0</v>
      </c>
      <c r="L428" s="36" t="s">
        <v>263</v>
      </c>
      <c r="M428" s="37" t="s">
        <v>309</v>
      </c>
      <c r="N428" s="37" t="s">
        <v>270</v>
      </c>
      <c r="O428" s="27"/>
      <c r="P428" s="27"/>
      <c r="Q428" s="27" t="s">
        <v>836</v>
      </c>
      <c r="R428" s="27"/>
      <c r="S428" s="1" t="s">
        <v>264</v>
      </c>
      <c r="T428" s="29" t="s">
        <v>265</v>
      </c>
      <c r="U428" s="30">
        <v>46104</v>
      </c>
      <c r="V428" s="27" t="s">
        <v>850</v>
      </c>
      <c r="W428" s="27"/>
    </row>
    <row r="429" spans="1:23" ht="24" customHeight="1">
      <c r="A429" s="27" t="str">
        <f t="shared" ca="1" si="6"/>
        <v>EVT-2026-0427</v>
      </c>
      <c r="B429" s="27">
        <v>2026</v>
      </c>
      <c r="C429" s="27" t="s">
        <v>92</v>
      </c>
      <c r="D429" s="30">
        <v>46105</v>
      </c>
      <c r="E429" s="27" t="s">
        <v>227</v>
      </c>
      <c r="F429" s="27" t="s">
        <v>126</v>
      </c>
      <c r="G429" s="27" t="s">
        <v>208</v>
      </c>
      <c r="H429" s="27" t="s">
        <v>348</v>
      </c>
      <c r="I429" s="27" t="s">
        <v>349</v>
      </c>
      <c r="J429" s="27" t="s">
        <v>145</v>
      </c>
      <c r="K429" s="10">
        <v>50</v>
      </c>
      <c r="L429" s="36" t="s">
        <v>263</v>
      </c>
      <c r="M429" s="37" t="s">
        <v>350</v>
      </c>
      <c r="N429" s="37" t="s">
        <v>296</v>
      </c>
      <c r="O429" s="27"/>
      <c r="P429" s="27"/>
      <c r="Q429" s="27" t="s">
        <v>351</v>
      </c>
      <c r="R429" s="27"/>
      <c r="S429" s="1" t="s">
        <v>264</v>
      </c>
      <c r="T429" s="29" t="s">
        <v>265</v>
      </c>
      <c r="U429" s="30">
        <v>46008</v>
      </c>
      <c r="V429" s="27" t="s">
        <v>303</v>
      </c>
      <c r="W429" s="27"/>
    </row>
    <row r="430" spans="1:23" ht="24" customHeight="1">
      <c r="A430" s="27" t="str">
        <f t="shared" ca="1" si="6"/>
        <v>EVT-2026-0428</v>
      </c>
      <c r="B430" s="27">
        <v>2026</v>
      </c>
      <c r="C430" s="27" t="s">
        <v>92</v>
      </c>
      <c r="D430" s="27" t="s">
        <v>851</v>
      </c>
      <c r="E430" s="27" t="s">
        <v>852</v>
      </c>
      <c r="F430" s="27" t="s">
        <v>126</v>
      </c>
      <c r="G430" s="27" t="s">
        <v>202</v>
      </c>
      <c r="H430" s="27" t="s">
        <v>853</v>
      </c>
      <c r="I430" s="27" t="s">
        <v>854</v>
      </c>
      <c r="J430" s="27" t="s">
        <v>152</v>
      </c>
      <c r="K430" s="10">
        <v>1</v>
      </c>
      <c r="L430" s="36" t="s">
        <v>263</v>
      </c>
      <c r="M430" s="37" t="s">
        <v>269</v>
      </c>
      <c r="N430" s="37" t="s">
        <v>270</v>
      </c>
      <c r="O430" s="27"/>
      <c r="P430" s="27"/>
      <c r="Q430" s="27" t="s">
        <v>836</v>
      </c>
      <c r="R430" s="27"/>
      <c r="S430" s="1" t="s">
        <v>264</v>
      </c>
      <c r="T430" s="29" t="s">
        <v>265</v>
      </c>
      <c r="U430" s="30">
        <v>46099</v>
      </c>
      <c r="V430" s="27" t="s">
        <v>855</v>
      </c>
      <c r="W430" s="27"/>
    </row>
    <row r="431" spans="1:23" ht="24" customHeight="1">
      <c r="A431" s="27" t="str">
        <f t="shared" ca="1" si="6"/>
        <v>EVT-2026-0429</v>
      </c>
      <c r="B431" s="27">
        <v>2026</v>
      </c>
      <c r="C431" s="27" t="s">
        <v>92</v>
      </c>
      <c r="D431" s="27" t="s">
        <v>851</v>
      </c>
      <c r="E431" s="27" t="s">
        <v>852</v>
      </c>
      <c r="F431" s="27" t="s">
        <v>126</v>
      </c>
      <c r="G431" s="27" t="s">
        <v>202</v>
      </c>
      <c r="H431" s="27" t="s">
        <v>856</v>
      </c>
      <c r="I431" s="27" t="s">
        <v>857</v>
      </c>
      <c r="J431" s="27" t="s">
        <v>152</v>
      </c>
      <c r="K431" s="10">
        <v>1</v>
      </c>
      <c r="L431" s="36" t="s">
        <v>263</v>
      </c>
      <c r="M431" s="37" t="s">
        <v>269</v>
      </c>
      <c r="N431" s="37" t="s">
        <v>270</v>
      </c>
      <c r="O431" s="27"/>
      <c r="P431" s="27"/>
      <c r="Q431" s="27" t="s">
        <v>836</v>
      </c>
      <c r="R431" s="27"/>
      <c r="S431" s="1" t="s">
        <v>264</v>
      </c>
      <c r="T431" s="29" t="s">
        <v>265</v>
      </c>
      <c r="U431" s="30">
        <v>46099</v>
      </c>
      <c r="V431" s="27" t="s">
        <v>837</v>
      </c>
      <c r="W431" s="27"/>
    </row>
    <row r="432" spans="1:23" ht="24" customHeight="1">
      <c r="A432" s="27" t="str">
        <f t="shared" ca="1" si="6"/>
        <v>EVT-2026-0430</v>
      </c>
      <c r="B432" s="27">
        <v>2026</v>
      </c>
      <c r="C432" s="27" t="s">
        <v>92</v>
      </c>
      <c r="D432" s="27" t="s">
        <v>858</v>
      </c>
      <c r="E432" s="27" t="s">
        <v>859</v>
      </c>
      <c r="F432" s="27" t="s">
        <v>126</v>
      </c>
      <c r="G432" s="27" t="s">
        <v>202</v>
      </c>
      <c r="H432" s="27" t="s">
        <v>860</v>
      </c>
      <c r="I432" s="27" t="s">
        <v>801</v>
      </c>
      <c r="J432" s="27" t="s">
        <v>152</v>
      </c>
      <c r="K432" s="10">
        <v>1</v>
      </c>
      <c r="L432" s="36" t="s">
        <v>263</v>
      </c>
      <c r="M432" s="37" t="s">
        <v>269</v>
      </c>
      <c r="N432" s="37" t="s">
        <v>270</v>
      </c>
      <c r="O432" s="27"/>
      <c r="P432" s="27"/>
      <c r="Q432" s="27" t="s">
        <v>861</v>
      </c>
      <c r="R432" s="27"/>
      <c r="S432" s="1" t="s">
        <v>264</v>
      </c>
      <c r="T432" s="29" t="s">
        <v>265</v>
      </c>
      <c r="U432" s="30">
        <v>46100</v>
      </c>
      <c r="V432" s="27" t="s">
        <v>862</v>
      </c>
      <c r="W432" s="27"/>
    </row>
    <row r="433" spans="1:23" ht="24" customHeight="1">
      <c r="A433" s="27" t="str">
        <f t="shared" ca="1" si="6"/>
        <v>EVT-2026-0431</v>
      </c>
      <c r="B433" s="27">
        <v>2026</v>
      </c>
      <c r="C433" s="27" t="s">
        <v>92</v>
      </c>
      <c r="D433" s="30">
        <v>46106</v>
      </c>
      <c r="E433" s="27" t="s">
        <v>201</v>
      </c>
      <c r="F433" s="27" t="s">
        <v>126</v>
      </c>
      <c r="G433" s="27" t="s">
        <v>228</v>
      </c>
      <c r="H433" s="27" t="s">
        <v>125</v>
      </c>
      <c r="I433" s="27" t="s">
        <v>863</v>
      </c>
      <c r="J433" s="27" t="s">
        <v>127</v>
      </c>
      <c r="K433" s="10">
        <v>40</v>
      </c>
      <c r="L433" s="36" t="s">
        <v>263</v>
      </c>
      <c r="M433" s="37" t="s">
        <v>274</v>
      </c>
      <c r="N433" s="37" t="s">
        <v>330</v>
      </c>
      <c r="O433" s="27"/>
      <c r="P433" s="27"/>
      <c r="Q433" s="27" t="s">
        <v>532</v>
      </c>
      <c r="R433" s="27"/>
      <c r="S433" s="1" t="s">
        <v>264</v>
      </c>
      <c r="T433" s="29" t="s">
        <v>265</v>
      </c>
      <c r="U433" s="30">
        <v>46077</v>
      </c>
      <c r="V433" s="27" t="s">
        <v>307</v>
      </c>
      <c r="W433" s="27"/>
    </row>
    <row r="434" spans="1:23" ht="24" customHeight="1">
      <c r="A434" s="27" t="str">
        <f t="shared" ca="1" si="6"/>
        <v>EVT-2026-0432</v>
      </c>
      <c r="B434" s="27">
        <v>2026</v>
      </c>
      <c r="C434" s="27" t="s">
        <v>92</v>
      </c>
      <c r="D434" s="30">
        <v>46106</v>
      </c>
      <c r="E434" s="27" t="s">
        <v>201</v>
      </c>
      <c r="F434" s="27" t="s">
        <v>126</v>
      </c>
      <c r="G434" s="27" t="s">
        <v>208</v>
      </c>
      <c r="H434" s="27" t="s">
        <v>348</v>
      </c>
      <c r="I434" s="27" t="s">
        <v>349</v>
      </c>
      <c r="J434" s="27" t="s">
        <v>145</v>
      </c>
      <c r="K434" s="10">
        <v>50</v>
      </c>
      <c r="L434" s="36" t="s">
        <v>263</v>
      </c>
      <c r="M434" s="37" t="s">
        <v>350</v>
      </c>
      <c r="N434" s="37" t="s">
        <v>296</v>
      </c>
      <c r="O434" s="27"/>
      <c r="P434" s="27"/>
      <c r="Q434" s="27" t="s">
        <v>351</v>
      </c>
      <c r="R434" s="27"/>
      <c r="S434" s="1" t="s">
        <v>264</v>
      </c>
      <c r="T434" s="29" t="s">
        <v>265</v>
      </c>
      <c r="U434" s="30">
        <v>46008</v>
      </c>
      <c r="V434" s="27"/>
      <c r="W434" s="27"/>
    </row>
    <row r="435" spans="1:23" ht="24" customHeight="1">
      <c r="A435" s="27" t="str">
        <f t="shared" ca="1" si="6"/>
        <v>EVT-2026-0433</v>
      </c>
      <c r="B435" s="27">
        <v>2026</v>
      </c>
      <c r="C435" s="27" t="s">
        <v>92</v>
      </c>
      <c r="D435" s="30">
        <v>46106</v>
      </c>
      <c r="E435" s="27" t="s">
        <v>201</v>
      </c>
      <c r="F435" s="27" t="s">
        <v>126</v>
      </c>
      <c r="G435" s="27" t="s">
        <v>228</v>
      </c>
      <c r="H435" s="27" t="s">
        <v>125</v>
      </c>
      <c r="I435" s="27" t="s">
        <v>368</v>
      </c>
      <c r="J435" s="27" t="s">
        <v>139</v>
      </c>
      <c r="K435" s="10">
        <v>30</v>
      </c>
      <c r="L435" s="36" t="s">
        <v>263</v>
      </c>
      <c r="M435" s="37" t="s">
        <v>309</v>
      </c>
      <c r="N435" s="37" t="s">
        <v>270</v>
      </c>
      <c r="O435" s="27" t="s">
        <v>369</v>
      </c>
      <c r="P435" s="27"/>
      <c r="Q435" s="27" t="s">
        <v>370</v>
      </c>
      <c r="R435" s="27"/>
      <c r="S435" s="1" t="s">
        <v>264</v>
      </c>
      <c r="T435" s="29" t="s">
        <v>265</v>
      </c>
      <c r="U435" s="30">
        <v>46008</v>
      </c>
      <c r="V435" s="27" t="s">
        <v>298</v>
      </c>
      <c r="W435" s="27"/>
    </row>
    <row r="436" spans="1:23" ht="24" customHeight="1">
      <c r="A436" s="27" t="str">
        <f t="shared" ca="1" si="6"/>
        <v>EVT-2026-0434</v>
      </c>
      <c r="B436" s="27">
        <v>2026</v>
      </c>
      <c r="C436" s="27" t="s">
        <v>92</v>
      </c>
      <c r="D436" s="30">
        <v>46107</v>
      </c>
      <c r="E436" s="27" t="s">
        <v>216</v>
      </c>
      <c r="F436" s="27" t="s">
        <v>126</v>
      </c>
      <c r="G436" s="27" t="s">
        <v>228</v>
      </c>
      <c r="H436" s="27" t="s">
        <v>125</v>
      </c>
      <c r="I436" s="27" t="s">
        <v>864</v>
      </c>
      <c r="J436" s="27" t="s">
        <v>177</v>
      </c>
      <c r="K436" s="10">
        <v>30</v>
      </c>
      <c r="L436" s="36" t="s">
        <v>263</v>
      </c>
      <c r="M436" s="37" t="s">
        <v>338</v>
      </c>
      <c r="N436" s="37" t="s">
        <v>309</v>
      </c>
      <c r="O436" s="27"/>
      <c r="P436" s="27"/>
      <c r="Q436" s="27" t="s">
        <v>865</v>
      </c>
      <c r="R436" s="27"/>
      <c r="S436" s="1" t="s">
        <v>264</v>
      </c>
      <c r="T436" s="29" t="s">
        <v>265</v>
      </c>
      <c r="U436" s="30">
        <v>46104</v>
      </c>
      <c r="V436" s="27" t="s">
        <v>866</v>
      </c>
      <c r="W436" s="27"/>
    </row>
    <row r="437" spans="1:23" ht="24" customHeight="1">
      <c r="A437" s="27" t="str">
        <f t="shared" ca="1" si="6"/>
        <v>EVT-2026-0435</v>
      </c>
      <c r="B437" s="27">
        <v>2026</v>
      </c>
      <c r="C437" s="27" t="s">
        <v>92</v>
      </c>
      <c r="D437" s="30">
        <v>46107</v>
      </c>
      <c r="E437" s="27" t="s">
        <v>216</v>
      </c>
      <c r="F437" s="27" t="s">
        <v>126</v>
      </c>
      <c r="G437" s="27" t="s">
        <v>228</v>
      </c>
      <c r="H437" s="27" t="s">
        <v>125</v>
      </c>
      <c r="I437" s="27" t="s">
        <v>715</v>
      </c>
      <c r="J437" s="27" t="s">
        <v>177</v>
      </c>
      <c r="K437" s="10">
        <v>25</v>
      </c>
      <c r="L437" s="36" t="s">
        <v>263</v>
      </c>
      <c r="M437" s="37" t="s">
        <v>295</v>
      </c>
      <c r="N437" s="37" t="s">
        <v>270</v>
      </c>
      <c r="O437" s="27"/>
      <c r="P437" s="27"/>
      <c r="Q437" s="27" t="s">
        <v>867</v>
      </c>
      <c r="R437" s="27"/>
      <c r="S437" s="1" t="s">
        <v>264</v>
      </c>
      <c r="T437" s="29" t="s">
        <v>265</v>
      </c>
      <c r="U437" s="27"/>
      <c r="V437" s="27" t="s">
        <v>298</v>
      </c>
      <c r="W437" s="27"/>
    </row>
    <row r="438" spans="1:23" ht="24" customHeight="1">
      <c r="A438" s="27" t="str">
        <f t="shared" ca="1" si="6"/>
        <v>EVT-2026-0436</v>
      </c>
      <c r="B438" s="27">
        <v>2026</v>
      </c>
      <c r="C438" s="27" t="s">
        <v>92</v>
      </c>
      <c r="D438" s="30">
        <v>46107</v>
      </c>
      <c r="E438" s="27" t="s">
        <v>216</v>
      </c>
      <c r="F438" s="27" t="s">
        <v>126</v>
      </c>
      <c r="G438" s="27" t="s">
        <v>208</v>
      </c>
      <c r="H438" s="27" t="s">
        <v>348</v>
      </c>
      <c r="I438" s="27" t="s">
        <v>868</v>
      </c>
      <c r="J438" s="27" t="s">
        <v>127</v>
      </c>
      <c r="K438" s="10">
        <v>0</v>
      </c>
      <c r="L438" s="36" t="s">
        <v>263</v>
      </c>
      <c r="M438" s="37" t="s">
        <v>506</v>
      </c>
      <c r="N438" s="37" t="s">
        <v>429</v>
      </c>
      <c r="O438" s="27"/>
      <c r="P438" s="27"/>
      <c r="Q438" s="27" t="s">
        <v>869</v>
      </c>
      <c r="R438" s="27"/>
      <c r="S438" s="1" t="s">
        <v>264</v>
      </c>
      <c r="T438" s="29" t="s">
        <v>265</v>
      </c>
      <c r="U438" s="27"/>
      <c r="V438" s="27" t="s">
        <v>870</v>
      </c>
      <c r="W438" s="27"/>
    </row>
    <row r="439" spans="1:23" ht="24" customHeight="1">
      <c r="A439" s="27" t="str">
        <f t="shared" ca="1" si="6"/>
        <v>EVT-2026-0437</v>
      </c>
      <c r="B439" s="27">
        <v>2026</v>
      </c>
      <c r="C439" s="27" t="s">
        <v>92</v>
      </c>
      <c r="D439" s="30">
        <v>46107</v>
      </c>
      <c r="E439" s="27" t="s">
        <v>216</v>
      </c>
      <c r="F439" s="27" t="s">
        <v>126</v>
      </c>
      <c r="G439" s="27" t="s">
        <v>202</v>
      </c>
      <c r="H439" s="27" t="s">
        <v>348</v>
      </c>
      <c r="I439" s="27" t="s">
        <v>871</v>
      </c>
      <c r="J439" s="27" t="s">
        <v>177</v>
      </c>
      <c r="K439" s="10">
        <v>100</v>
      </c>
      <c r="L439" s="38" t="s">
        <v>294</v>
      </c>
      <c r="M439" s="37" t="s">
        <v>295</v>
      </c>
      <c r="N439" s="37" t="s">
        <v>503</v>
      </c>
      <c r="O439" s="27"/>
      <c r="P439" s="27"/>
      <c r="Q439" s="27" t="s">
        <v>532</v>
      </c>
      <c r="R439" s="27"/>
      <c r="S439" s="1" t="s">
        <v>264</v>
      </c>
      <c r="T439" s="29" t="s">
        <v>265</v>
      </c>
      <c r="U439" s="30">
        <v>46104</v>
      </c>
      <c r="V439" s="27" t="s">
        <v>298</v>
      </c>
      <c r="W439" s="27"/>
    </row>
    <row r="440" spans="1:23" ht="24" customHeight="1">
      <c r="A440" s="27" t="str">
        <f t="shared" ca="1" si="6"/>
        <v>EVT-2026-0438</v>
      </c>
      <c r="B440" s="27">
        <v>2026</v>
      </c>
      <c r="C440" s="27" t="s">
        <v>92</v>
      </c>
      <c r="D440" s="30">
        <v>46107</v>
      </c>
      <c r="E440" s="27" t="s">
        <v>216</v>
      </c>
      <c r="F440" s="27" t="s">
        <v>126</v>
      </c>
      <c r="G440" s="27" t="s">
        <v>208</v>
      </c>
      <c r="H440" s="27" t="s">
        <v>348</v>
      </c>
      <c r="I440" s="27" t="s">
        <v>349</v>
      </c>
      <c r="J440" s="27" t="s">
        <v>145</v>
      </c>
      <c r="K440" s="10">
        <v>50</v>
      </c>
      <c r="L440" s="36" t="s">
        <v>263</v>
      </c>
      <c r="M440" s="37" t="s">
        <v>350</v>
      </c>
      <c r="N440" s="37" t="s">
        <v>296</v>
      </c>
      <c r="O440" s="27"/>
      <c r="P440" s="27"/>
      <c r="Q440" s="27" t="s">
        <v>351</v>
      </c>
      <c r="R440" s="27"/>
      <c r="S440" s="1" t="s">
        <v>264</v>
      </c>
      <c r="T440" s="29" t="s">
        <v>265</v>
      </c>
      <c r="U440" s="30">
        <v>46008</v>
      </c>
      <c r="V440" s="27" t="s">
        <v>303</v>
      </c>
      <c r="W440" s="27"/>
    </row>
    <row r="441" spans="1:23" ht="24" customHeight="1">
      <c r="A441" s="27" t="str">
        <f t="shared" ca="1" si="6"/>
        <v>EVT-2026-0439</v>
      </c>
      <c r="B441" s="27">
        <v>2026</v>
      </c>
      <c r="C441" s="27" t="s">
        <v>92</v>
      </c>
      <c r="D441" s="30">
        <v>46107</v>
      </c>
      <c r="E441" s="27" t="s">
        <v>216</v>
      </c>
      <c r="F441" s="27" t="s">
        <v>126</v>
      </c>
      <c r="G441" s="27" t="s">
        <v>228</v>
      </c>
      <c r="H441" s="27" t="s">
        <v>496</v>
      </c>
      <c r="I441" s="27" t="s">
        <v>872</v>
      </c>
      <c r="J441" s="27" t="s">
        <v>158</v>
      </c>
      <c r="K441" s="10">
        <v>30</v>
      </c>
      <c r="L441" s="36" t="s">
        <v>263</v>
      </c>
      <c r="M441" s="37" t="s">
        <v>309</v>
      </c>
      <c r="N441" s="37" t="s">
        <v>295</v>
      </c>
      <c r="O441" s="27"/>
      <c r="P441" s="27"/>
      <c r="Q441" s="27" t="s">
        <v>526</v>
      </c>
      <c r="R441" s="27"/>
      <c r="S441" s="1" t="s">
        <v>264</v>
      </c>
      <c r="T441" s="29" t="s">
        <v>265</v>
      </c>
      <c r="U441" s="27"/>
      <c r="V441" s="27" t="s">
        <v>298</v>
      </c>
      <c r="W441" s="27"/>
    </row>
    <row r="442" spans="1:23" ht="24" customHeight="1">
      <c r="A442" s="27" t="str">
        <f t="shared" ca="1" si="6"/>
        <v>EVT-2026-0440</v>
      </c>
      <c r="B442" s="27">
        <v>2026</v>
      </c>
      <c r="C442" s="27" t="s">
        <v>92</v>
      </c>
      <c r="D442" s="30">
        <v>46107</v>
      </c>
      <c r="E442" s="27" t="s">
        <v>216</v>
      </c>
      <c r="F442" s="27" t="s">
        <v>126</v>
      </c>
      <c r="G442" s="27" t="s">
        <v>202</v>
      </c>
      <c r="H442" s="27" t="s">
        <v>239</v>
      </c>
      <c r="I442" s="27" t="s">
        <v>873</v>
      </c>
      <c r="J442" s="27" t="s">
        <v>127</v>
      </c>
      <c r="K442" s="10">
        <v>30</v>
      </c>
      <c r="L442" s="36" t="s">
        <v>263</v>
      </c>
      <c r="M442" s="37" t="s">
        <v>506</v>
      </c>
      <c r="N442" s="37" t="s">
        <v>429</v>
      </c>
      <c r="O442" s="27" t="s">
        <v>369</v>
      </c>
      <c r="P442" s="27"/>
      <c r="Q442" s="27" t="s">
        <v>542</v>
      </c>
      <c r="R442" s="27"/>
      <c r="S442" s="1" t="s">
        <v>264</v>
      </c>
      <c r="T442" s="29" t="s">
        <v>265</v>
      </c>
      <c r="U442" s="30">
        <v>46045</v>
      </c>
      <c r="V442" s="27" t="s">
        <v>298</v>
      </c>
      <c r="W442" s="27"/>
    </row>
    <row r="443" spans="1:23" ht="24" customHeight="1">
      <c r="A443" s="27" t="str">
        <f t="shared" ca="1" si="6"/>
        <v>EVT-2026-0441</v>
      </c>
      <c r="B443" s="27">
        <v>2026</v>
      </c>
      <c r="C443" s="27" t="s">
        <v>92</v>
      </c>
      <c r="D443" s="30">
        <v>46108</v>
      </c>
      <c r="E443" s="27" t="s">
        <v>220</v>
      </c>
      <c r="F443" s="27" t="s">
        <v>126</v>
      </c>
      <c r="G443" s="27" t="s">
        <v>228</v>
      </c>
      <c r="H443" s="27" t="s">
        <v>125</v>
      </c>
      <c r="I443" s="27" t="s">
        <v>874</v>
      </c>
      <c r="J443" s="27" t="s">
        <v>139</v>
      </c>
      <c r="K443" s="10">
        <v>30</v>
      </c>
      <c r="L443" s="36" t="s">
        <v>263</v>
      </c>
      <c r="M443" s="37" t="s">
        <v>309</v>
      </c>
      <c r="N443" s="37" t="s">
        <v>270</v>
      </c>
      <c r="O443" s="27" t="s">
        <v>369</v>
      </c>
      <c r="P443" s="27"/>
      <c r="Q443" s="27" t="s">
        <v>370</v>
      </c>
      <c r="R443" s="27"/>
      <c r="S443" s="1" t="s">
        <v>264</v>
      </c>
      <c r="T443" s="29" t="s">
        <v>265</v>
      </c>
      <c r="U443" s="30">
        <v>46008</v>
      </c>
      <c r="V443" s="27" t="s">
        <v>298</v>
      </c>
      <c r="W443" s="27"/>
    </row>
    <row r="444" spans="1:23" ht="24" customHeight="1">
      <c r="A444" s="27" t="str">
        <f t="shared" ca="1" si="6"/>
        <v>EVT-2026-0442</v>
      </c>
      <c r="B444" s="27">
        <v>2026</v>
      </c>
      <c r="C444" s="27" t="s">
        <v>92</v>
      </c>
      <c r="D444" s="30">
        <v>46108</v>
      </c>
      <c r="E444" s="27" t="s">
        <v>220</v>
      </c>
      <c r="F444" s="27" t="s">
        <v>126</v>
      </c>
      <c r="G444" s="27" t="s">
        <v>202</v>
      </c>
      <c r="H444" s="27" t="s">
        <v>239</v>
      </c>
      <c r="I444" s="27"/>
      <c r="J444" s="27" t="s">
        <v>177</v>
      </c>
      <c r="K444" s="10">
        <v>0</v>
      </c>
      <c r="L444" s="36" t="s">
        <v>263</v>
      </c>
      <c r="M444" s="37"/>
      <c r="N444" s="37"/>
      <c r="O444" s="27"/>
      <c r="P444" s="27"/>
      <c r="Q444" s="27"/>
      <c r="R444" s="27"/>
      <c r="S444" s="1" t="s">
        <v>264</v>
      </c>
      <c r="T444" s="29" t="s">
        <v>265</v>
      </c>
      <c r="U444" s="27"/>
      <c r="V444" s="27"/>
      <c r="W444" s="27"/>
    </row>
    <row r="445" spans="1:23" ht="24" customHeight="1">
      <c r="A445" s="27" t="str">
        <f t="shared" ca="1" si="6"/>
        <v>EVT-2026-0443</v>
      </c>
      <c r="B445" s="27">
        <v>2026</v>
      </c>
      <c r="C445" s="27" t="s">
        <v>92</v>
      </c>
      <c r="D445" s="30">
        <v>46108</v>
      </c>
      <c r="E445" s="27" t="s">
        <v>220</v>
      </c>
      <c r="F445" s="27" t="s">
        <v>126</v>
      </c>
      <c r="G445" s="27" t="s">
        <v>653</v>
      </c>
      <c r="H445" s="27" t="s">
        <v>348</v>
      </c>
      <c r="I445" s="27" t="s">
        <v>875</v>
      </c>
      <c r="J445" s="27" t="s">
        <v>177</v>
      </c>
      <c r="K445" s="10">
        <v>60</v>
      </c>
      <c r="L445" s="36" t="s">
        <v>263</v>
      </c>
      <c r="M445" s="37" t="s">
        <v>309</v>
      </c>
      <c r="N445" s="37" t="s">
        <v>290</v>
      </c>
      <c r="O445" s="27"/>
      <c r="P445" s="27"/>
      <c r="Q445" s="27" t="s">
        <v>379</v>
      </c>
      <c r="R445" s="27"/>
      <c r="S445" s="3" t="s">
        <v>312</v>
      </c>
      <c r="T445" s="29" t="s">
        <v>265</v>
      </c>
      <c r="U445" s="27" t="s">
        <v>876</v>
      </c>
      <c r="V445" s="27" t="s">
        <v>598</v>
      </c>
      <c r="W445" s="27"/>
    </row>
    <row r="446" spans="1:23" ht="24" customHeight="1">
      <c r="A446" s="27" t="str">
        <f t="shared" ca="1" si="6"/>
        <v>EVT-2026-0444</v>
      </c>
      <c r="B446" s="27">
        <v>2026</v>
      </c>
      <c r="C446" s="27" t="s">
        <v>92</v>
      </c>
      <c r="D446" s="30">
        <v>46108</v>
      </c>
      <c r="E446" s="27" t="s">
        <v>220</v>
      </c>
      <c r="F446" s="27" t="s">
        <v>126</v>
      </c>
      <c r="G446" s="27" t="s">
        <v>208</v>
      </c>
      <c r="H446" s="27" t="s">
        <v>348</v>
      </c>
      <c r="I446" s="27" t="s">
        <v>877</v>
      </c>
      <c r="J446" s="27" t="s">
        <v>127</v>
      </c>
      <c r="K446" s="10">
        <v>40</v>
      </c>
      <c r="L446" s="36" t="s">
        <v>263</v>
      </c>
      <c r="M446" s="37" t="s">
        <v>295</v>
      </c>
      <c r="N446" s="37" t="s">
        <v>296</v>
      </c>
      <c r="O446" s="27" t="s">
        <v>369</v>
      </c>
      <c r="P446" s="27"/>
      <c r="Q446" s="27" t="s">
        <v>378</v>
      </c>
      <c r="R446" s="27"/>
      <c r="S446" s="1" t="s">
        <v>264</v>
      </c>
      <c r="T446" s="29" t="s">
        <v>265</v>
      </c>
      <c r="U446" s="30">
        <v>46370</v>
      </c>
      <c r="V446" s="27" t="s">
        <v>298</v>
      </c>
      <c r="W446" s="27"/>
    </row>
    <row r="447" spans="1:23" ht="24" customHeight="1">
      <c r="A447" s="27" t="str">
        <f t="shared" ca="1" si="6"/>
        <v>EVT-2026-0445</v>
      </c>
      <c r="B447" s="27">
        <v>2026</v>
      </c>
      <c r="C447" s="27" t="s">
        <v>92</v>
      </c>
      <c r="D447" s="30">
        <v>46109</v>
      </c>
      <c r="E447" s="27" t="s">
        <v>266</v>
      </c>
      <c r="F447" s="27" t="s">
        <v>126</v>
      </c>
      <c r="G447" s="27"/>
      <c r="H447" s="27" t="s">
        <v>300</v>
      </c>
      <c r="I447" s="27"/>
      <c r="J447" s="27" t="s">
        <v>145</v>
      </c>
      <c r="K447" s="10">
        <v>0</v>
      </c>
      <c r="L447" s="36" t="s">
        <v>263</v>
      </c>
      <c r="M447" s="37"/>
      <c r="N447" s="37"/>
      <c r="O447" s="27"/>
      <c r="P447" s="27"/>
      <c r="Q447" s="27" t="s">
        <v>878</v>
      </c>
      <c r="R447" s="27"/>
      <c r="S447" s="1" t="s">
        <v>264</v>
      </c>
      <c r="T447" s="29" t="s">
        <v>265</v>
      </c>
      <c r="U447" s="27"/>
      <c r="V447" s="27" t="s">
        <v>879</v>
      </c>
      <c r="W447" s="27"/>
    </row>
    <row r="448" spans="1:23" ht="24" customHeight="1">
      <c r="A448" s="27" t="str">
        <f t="shared" ca="1" si="6"/>
        <v>EVT-2026-0446</v>
      </c>
      <c r="B448" s="27">
        <v>2026</v>
      </c>
      <c r="C448" s="27" t="s">
        <v>92</v>
      </c>
      <c r="D448" s="30">
        <v>46110</v>
      </c>
      <c r="E448" s="27" t="s">
        <v>267</v>
      </c>
      <c r="F448" s="27" t="s">
        <v>126</v>
      </c>
      <c r="G448" s="27"/>
      <c r="H448" s="27"/>
      <c r="I448" s="27"/>
      <c r="J448" s="27" t="s">
        <v>177</v>
      </c>
      <c r="K448" s="10">
        <v>0</v>
      </c>
      <c r="L448" s="36" t="s">
        <v>263</v>
      </c>
      <c r="M448" s="37"/>
      <c r="N448" s="37"/>
      <c r="O448" s="27"/>
      <c r="P448" s="27"/>
      <c r="Q448" s="27"/>
      <c r="R448" s="27"/>
      <c r="S448" s="1" t="s">
        <v>264</v>
      </c>
      <c r="T448" s="29" t="s">
        <v>265</v>
      </c>
      <c r="U448" s="27"/>
      <c r="V448" s="27"/>
      <c r="W448" s="27"/>
    </row>
    <row r="449" spans="1:23" ht="24" customHeight="1">
      <c r="A449" s="27" t="str">
        <f t="shared" ca="1" si="6"/>
        <v>EVT-2026-0447</v>
      </c>
      <c r="B449" s="27">
        <v>2026</v>
      </c>
      <c r="C449" s="27" t="s">
        <v>92</v>
      </c>
      <c r="D449" s="30">
        <v>46111</v>
      </c>
      <c r="E449" s="27" t="s">
        <v>224</v>
      </c>
      <c r="F449" s="27" t="s">
        <v>126</v>
      </c>
      <c r="G449" s="27" t="s">
        <v>208</v>
      </c>
      <c r="H449" s="27" t="s">
        <v>348</v>
      </c>
      <c r="I449" s="27" t="s">
        <v>880</v>
      </c>
      <c r="J449" s="27" t="s">
        <v>158</v>
      </c>
      <c r="K449" s="10">
        <v>100</v>
      </c>
      <c r="L449" s="38" t="s">
        <v>294</v>
      </c>
      <c r="M449" s="37" t="s">
        <v>295</v>
      </c>
      <c r="N449" s="37" t="s">
        <v>296</v>
      </c>
      <c r="O449" s="27"/>
      <c r="P449" s="27"/>
      <c r="Q449" s="27" t="s">
        <v>526</v>
      </c>
      <c r="R449" s="27"/>
      <c r="S449" s="1" t="s">
        <v>264</v>
      </c>
      <c r="T449" s="29" t="s">
        <v>265</v>
      </c>
      <c r="U449" s="27"/>
      <c r="V449" s="27" t="s">
        <v>881</v>
      </c>
      <c r="W449" s="27"/>
    </row>
    <row r="450" spans="1:23" ht="24" customHeight="1">
      <c r="A450" s="27" t="str">
        <f t="shared" ca="1" si="6"/>
        <v>EVT-2026-0448</v>
      </c>
      <c r="B450" s="27">
        <v>2026</v>
      </c>
      <c r="C450" s="27" t="s">
        <v>92</v>
      </c>
      <c r="D450" s="30">
        <v>46111</v>
      </c>
      <c r="E450" s="27" t="s">
        <v>224</v>
      </c>
      <c r="F450" s="27" t="s">
        <v>126</v>
      </c>
      <c r="G450" s="27" t="s">
        <v>228</v>
      </c>
      <c r="H450" s="27" t="s">
        <v>761</v>
      </c>
      <c r="I450" s="27" t="s">
        <v>794</v>
      </c>
      <c r="J450" s="27" t="s">
        <v>177</v>
      </c>
      <c r="K450" s="10">
        <v>30</v>
      </c>
      <c r="L450" s="36" t="s">
        <v>263</v>
      </c>
      <c r="M450" s="37" t="s">
        <v>269</v>
      </c>
      <c r="N450" s="37" t="s">
        <v>270</v>
      </c>
      <c r="O450" s="27"/>
      <c r="P450" s="27"/>
      <c r="Q450" s="27" t="s">
        <v>494</v>
      </c>
      <c r="R450" s="27"/>
      <c r="S450" s="1" t="s">
        <v>264</v>
      </c>
      <c r="T450" s="29" t="s">
        <v>265</v>
      </c>
      <c r="U450" s="27"/>
      <c r="V450" s="27" t="s">
        <v>882</v>
      </c>
      <c r="W450" s="27"/>
    </row>
    <row r="451" spans="1:23" ht="24" customHeight="1">
      <c r="A451" s="27" t="str">
        <f t="shared" ref="A451:A514" ca="1" si="7">IF(OR(D451&lt;&gt;"",H451&lt;&gt;"",I451&lt;&gt;"",Q451&lt;&gt;"",S451&lt;&gt;""), "EVT-" &amp; TEXT(B451, "0000") &amp; "-" &amp; TEXT(COUNTIF(OFFSET($A$1, 1, 0, ROW()-2, 1), "EVT*") + 1, "0000"), "")</f>
        <v>EVT-2026-0449</v>
      </c>
      <c r="B451" s="27">
        <v>2026</v>
      </c>
      <c r="C451" s="27" t="s">
        <v>92</v>
      </c>
      <c r="D451" s="30">
        <v>46112</v>
      </c>
      <c r="E451" s="27" t="s">
        <v>227</v>
      </c>
      <c r="F451" s="27" t="s">
        <v>126</v>
      </c>
      <c r="G451" s="27" t="s">
        <v>208</v>
      </c>
      <c r="H451" s="27" t="s">
        <v>348</v>
      </c>
      <c r="I451" s="27" t="s">
        <v>349</v>
      </c>
      <c r="J451" s="27" t="s">
        <v>145</v>
      </c>
      <c r="K451" s="10">
        <v>50</v>
      </c>
      <c r="L451" s="36" t="s">
        <v>263</v>
      </c>
      <c r="M451" s="37" t="s">
        <v>350</v>
      </c>
      <c r="N451" s="37" t="s">
        <v>296</v>
      </c>
      <c r="O451" s="27"/>
      <c r="P451" s="27"/>
      <c r="Q451" s="27" t="s">
        <v>351</v>
      </c>
      <c r="R451" s="27"/>
      <c r="S451" s="1" t="s">
        <v>264</v>
      </c>
      <c r="T451" s="29" t="s">
        <v>265</v>
      </c>
      <c r="U451" s="30">
        <v>46050</v>
      </c>
      <c r="V451" s="27" t="s">
        <v>303</v>
      </c>
      <c r="W451" s="27"/>
    </row>
    <row r="452" spans="1:23" ht="24" customHeight="1">
      <c r="A452" s="27" t="str">
        <f t="shared" ca="1" si="7"/>
        <v>EVT-2026-0450</v>
      </c>
      <c r="B452" s="27">
        <v>2026</v>
      </c>
      <c r="C452" s="27" t="s">
        <v>92</v>
      </c>
      <c r="D452" s="30">
        <v>46112</v>
      </c>
      <c r="E452" s="27" t="s">
        <v>227</v>
      </c>
      <c r="F452" s="27" t="s">
        <v>126</v>
      </c>
      <c r="G452" s="27" t="s">
        <v>202</v>
      </c>
      <c r="H452" s="27" t="s">
        <v>883</v>
      </c>
      <c r="I452" s="27" t="s">
        <v>884</v>
      </c>
      <c r="J452" s="27" t="s">
        <v>127</v>
      </c>
      <c r="K452" s="10">
        <v>150</v>
      </c>
      <c r="L452" s="38" t="s">
        <v>294</v>
      </c>
      <c r="M452" s="37" t="s">
        <v>338</v>
      </c>
      <c r="N452" s="37" t="s">
        <v>506</v>
      </c>
      <c r="O452" s="27" t="s">
        <v>885</v>
      </c>
      <c r="P452" s="27"/>
      <c r="Q452" s="27" t="s">
        <v>378</v>
      </c>
      <c r="R452" s="27"/>
      <c r="S452" s="1" t="s">
        <v>264</v>
      </c>
      <c r="T452" s="29" t="s">
        <v>265</v>
      </c>
      <c r="U452" s="27"/>
      <c r="V452" s="27" t="s">
        <v>298</v>
      </c>
      <c r="W452" s="27"/>
    </row>
    <row r="453" spans="1:23" ht="24" customHeight="1">
      <c r="A453" s="27" t="str">
        <f t="shared" ca="1" si="7"/>
        <v>EVT-2026-0451</v>
      </c>
      <c r="B453" s="27">
        <v>2026</v>
      </c>
      <c r="C453" s="27" t="s">
        <v>92</v>
      </c>
      <c r="D453" s="30">
        <v>46112</v>
      </c>
      <c r="E453" s="27" t="s">
        <v>227</v>
      </c>
      <c r="F453" s="27" t="s">
        <v>126</v>
      </c>
      <c r="G453" s="27" t="s">
        <v>202</v>
      </c>
      <c r="H453" s="27" t="s">
        <v>736</v>
      </c>
      <c r="I453" s="27" t="s">
        <v>886</v>
      </c>
      <c r="J453" s="27" t="s">
        <v>134</v>
      </c>
      <c r="K453" s="10">
        <v>30</v>
      </c>
      <c r="L453" s="36" t="s">
        <v>263</v>
      </c>
      <c r="M453" s="37" t="s">
        <v>331</v>
      </c>
      <c r="N453" s="37" t="s">
        <v>270</v>
      </c>
      <c r="O453" s="27"/>
      <c r="P453" s="27"/>
      <c r="Q453" s="27" t="s">
        <v>494</v>
      </c>
      <c r="R453" s="27"/>
      <c r="S453" s="1" t="s">
        <v>264</v>
      </c>
      <c r="T453" s="29" t="s">
        <v>265</v>
      </c>
      <c r="U453" s="27"/>
      <c r="V453" s="27" t="s">
        <v>285</v>
      </c>
      <c r="W453" s="27"/>
    </row>
    <row r="454" spans="1:23" ht="24" customHeight="1">
      <c r="A454" s="27" t="str">
        <f t="shared" ca="1" si="7"/>
        <v>EVT-2026-0452</v>
      </c>
      <c r="B454" s="27">
        <v>2026</v>
      </c>
      <c r="C454" s="27" t="s">
        <v>92</v>
      </c>
      <c r="D454" s="30">
        <v>46112</v>
      </c>
      <c r="E454" s="27" t="s">
        <v>227</v>
      </c>
      <c r="F454" s="27" t="s">
        <v>126</v>
      </c>
      <c r="G454" s="27" t="s">
        <v>202</v>
      </c>
      <c r="H454" s="27" t="s">
        <v>239</v>
      </c>
      <c r="I454" s="27" t="s">
        <v>887</v>
      </c>
      <c r="J454" s="27" t="s">
        <v>177</v>
      </c>
      <c r="K454" s="10">
        <v>120</v>
      </c>
      <c r="L454" s="38" t="s">
        <v>294</v>
      </c>
      <c r="M454" s="37" t="s">
        <v>295</v>
      </c>
      <c r="N454" s="37" t="s">
        <v>296</v>
      </c>
      <c r="O454" s="27" t="s">
        <v>885</v>
      </c>
      <c r="P454" s="27"/>
      <c r="Q454" s="27" t="s">
        <v>888</v>
      </c>
      <c r="R454" s="27"/>
      <c r="S454" s="1" t="s">
        <v>264</v>
      </c>
      <c r="T454" s="29" t="s">
        <v>265</v>
      </c>
      <c r="U454" s="30">
        <v>374823</v>
      </c>
      <c r="V454" s="27" t="s">
        <v>298</v>
      </c>
      <c r="W454" s="27"/>
    </row>
    <row r="455" spans="1:23" ht="24" customHeight="1">
      <c r="A455" s="27" t="str">
        <f t="shared" ca="1" si="7"/>
        <v>EVT-2026-0453</v>
      </c>
      <c r="B455" s="27">
        <v>2026</v>
      </c>
      <c r="C455" s="27" t="s">
        <v>92</v>
      </c>
      <c r="D455" s="30">
        <v>46112</v>
      </c>
      <c r="E455" s="27" t="s">
        <v>227</v>
      </c>
      <c r="F455" s="27" t="s">
        <v>126</v>
      </c>
      <c r="G455" s="27" t="s">
        <v>202</v>
      </c>
      <c r="H455" s="27" t="s">
        <v>889</v>
      </c>
      <c r="I455" s="27" t="s">
        <v>890</v>
      </c>
      <c r="J455" s="27" t="s">
        <v>158</v>
      </c>
      <c r="K455" s="10">
        <v>60</v>
      </c>
      <c r="L455" s="36" t="s">
        <v>263</v>
      </c>
      <c r="M455" s="37" t="s">
        <v>331</v>
      </c>
      <c r="N455" s="37" t="s">
        <v>350</v>
      </c>
      <c r="O455" s="27"/>
      <c r="P455" s="27"/>
      <c r="Q455" s="27" t="s">
        <v>891</v>
      </c>
      <c r="R455" s="27"/>
      <c r="S455" s="1" t="s">
        <v>264</v>
      </c>
      <c r="T455" s="29" t="s">
        <v>265</v>
      </c>
      <c r="U455" s="27"/>
      <c r="V455" s="27" t="s">
        <v>892</v>
      </c>
      <c r="W455" s="27"/>
    </row>
    <row r="456" spans="1:23" ht="24" customHeight="1">
      <c r="A456" s="27" t="str">
        <f t="shared" ca="1" si="7"/>
        <v>EVT-2026-0454</v>
      </c>
      <c r="B456" s="27">
        <v>2026</v>
      </c>
      <c r="C456" s="27" t="s">
        <v>97</v>
      </c>
      <c r="D456" s="30">
        <v>46113</v>
      </c>
      <c r="E456" s="27" t="s">
        <v>201</v>
      </c>
      <c r="F456" s="27" t="s">
        <v>164</v>
      </c>
      <c r="G456" s="27" t="s">
        <v>262</v>
      </c>
      <c r="H456" s="27" t="s">
        <v>171</v>
      </c>
      <c r="I456" s="27" t="s">
        <v>893</v>
      </c>
      <c r="J456" s="27" t="s">
        <v>158</v>
      </c>
      <c r="K456" s="10">
        <v>60</v>
      </c>
      <c r="L456" s="36" t="s">
        <v>263</v>
      </c>
      <c r="M456" s="37" t="s">
        <v>330</v>
      </c>
      <c r="N456" s="37" t="s">
        <v>354</v>
      </c>
      <c r="O456" s="27"/>
      <c r="P456" s="27"/>
      <c r="Q456" s="27" t="s">
        <v>335</v>
      </c>
      <c r="R456" s="27"/>
      <c r="S456" s="1" t="s">
        <v>264</v>
      </c>
      <c r="T456" s="29" t="s">
        <v>265</v>
      </c>
      <c r="U456" s="30">
        <v>46108</v>
      </c>
      <c r="V456" s="27" t="s">
        <v>894</v>
      </c>
      <c r="W456" s="27"/>
    </row>
    <row r="457" spans="1:23" ht="24" customHeight="1">
      <c r="A457" s="27" t="str">
        <f t="shared" ca="1" si="7"/>
        <v>EVT-2026-0455</v>
      </c>
      <c r="B457" s="27">
        <v>2026</v>
      </c>
      <c r="C457" s="27" t="s">
        <v>97</v>
      </c>
      <c r="D457" s="30">
        <v>46114</v>
      </c>
      <c r="E457" s="27" t="s">
        <v>216</v>
      </c>
      <c r="F457" s="27" t="s">
        <v>164</v>
      </c>
      <c r="G457" s="27" t="s">
        <v>262</v>
      </c>
      <c r="H457" s="27"/>
      <c r="I457" s="27"/>
      <c r="J457" s="27" t="s">
        <v>177</v>
      </c>
      <c r="K457" s="10">
        <v>0</v>
      </c>
      <c r="L457" s="36" t="s">
        <v>263</v>
      </c>
      <c r="M457" s="37"/>
      <c r="N457" s="37"/>
      <c r="O457" s="27"/>
      <c r="P457" s="27"/>
      <c r="Q457" s="27"/>
      <c r="R457" s="27"/>
      <c r="S457" s="1" t="s">
        <v>264</v>
      </c>
      <c r="T457" s="29" t="s">
        <v>265</v>
      </c>
      <c r="U457" s="27"/>
      <c r="V457" s="27"/>
      <c r="W457" s="27"/>
    </row>
    <row r="458" spans="1:23" ht="24" customHeight="1">
      <c r="A458" s="27" t="str">
        <f t="shared" ca="1" si="7"/>
        <v>EVT-2026-0456</v>
      </c>
      <c r="B458" s="27">
        <v>2026</v>
      </c>
      <c r="C458" s="27" t="s">
        <v>97</v>
      </c>
      <c r="D458" s="30">
        <v>46115</v>
      </c>
      <c r="E458" s="27" t="s">
        <v>220</v>
      </c>
      <c r="F458" s="27" t="s">
        <v>164</v>
      </c>
      <c r="G458" s="27" t="s">
        <v>262</v>
      </c>
      <c r="H458" s="27"/>
      <c r="I458" s="27"/>
      <c r="J458" s="27" t="s">
        <v>177</v>
      </c>
      <c r="K458" s="10">
        <v>0</v>
      </c>
      <c r="L458" s="36" t="s">
        <v>263</v>
      </c>
      <c r="M458" s="37"/>
      <c r="N458" s="37"/>
      <c r="O458" s="27"/>
      <c r="P458" s="27"/>
      <c r="Q458" s="27"/>
      <c r="R458" s="27"/>
      <c r="S458" s="1" t="s">
        <v>264</v>
      </c>
      <c r="T458" s="29" t="s">
        <v>265</v>
      </c>
      <c r="U458" s="27"/>
      <c r="V458" s="27"/>
      <c r="W458" s="27"/>
    </row>
    <row r="459" spans="1:23" ht="24" customHeight="1">
      <c r="A459" s="27" t="str">
        <f t="shared" ca="1" si="7"/>
        <v>EVT-2026-0457</v>
      </c>
      <c r="B459" s="27">
        <v>2026</v>
      </c>
      <c r="C459" s="27" t="s">
        <v>97</v>
      </c>
      <c r="D459" s="30">
        <v>46116</v>
      </c>
      <c r="E459" s="27" t="s">
        <v>266</v>
      </c>
      <c r="F459" s="27" t="s">
        <v>164</v>
      </c>
      <c r="G459" s="27" t="s">
        <v>262</v>
      </c>
      <c r="H459" s="27"/>
      <c r="I459" s="27"/>
      <c r="J459" s="27" t="s">
        <v>177</v>
      </c>
      <c r="K459" s="10">
        <v>0</v>
      </c>
      <c r="L459" s="36" t="s">
        <v>263</v>
      </c>
      <c r="M459" s="37"/>
      <c r="N459" s="37"/>
      <c r="O459" s="27"/>
      <c r="P459" s="27"/>
      <c r="Q459" s="27"/>
      <c r="R459" s="27"/>
      <c r="S459" s="1" t="s">
        <v>264</v>
      </c>
      <c r="T459" s="29" t="s">
        <v>265</v>
      </c>
      <c r="U459" s="27"/>
      <c r="V459" s="27"/>
      <c r="W459" s="27"/>
    </row>
    <row r="460" spans="1:23" ht="24" customHeight="1">
      <c r="A460" s="27" t="str">
        <f t="shared" ca="1" si="7"/>
        <v>EVT-2026-0458</v>
      </c>
      <c r="B460" s="27">
        <v>2026</v>
      </c>
      <c r="C460" s="27" t="s">
        <v>97</v>
      </c>
      <c r="D460" s="30">
        <v>46117</v>
      </c>
      <c r="E460" s="27" t="s">
        <v>267</v>
      </c>
      <c r="F460" s="27" t="s">
        <v>164</v>
      </c>
      <c r="G460" s="27" t="s">
        <v>262</v>
      </c>
      <c r="H460" s="27"/>
      <c r="I460" s="27"/>
      <c r="J460" s="27" t="s">
        <v>177</v>
      </c>
      <c r="K460" s="10">
        <v>0</v>
      </c>
      <c r="L460" s="36" t="s">
        <v>263</v>
      </c>
      <c r="M460" s="37"/>
      <c r="N460" s="37"/>
      <c r="O460" s="27"/>
      <c r="P460" s="27"/>
      <c r="Q460" s="27"/>
      <c r="R460" s="27"/>
      <c r="S460" s="1" t="s">
        <v>264</v>
      </c>
      <c r="T460" s="29" t="s">
        <v>265</v>
      </c>
      <c r="U460" s="27"/>
      <c r="V460" s="27"/>
      <c r="W460" s="27"/>
    </row>
    <row r="461" spans="1:23" ht="24" customHeight="1">
      <c r="A461" s="27" t="str">
        <f t="shared" ca="1" si="7"/>
        <v>EVT-2026-0459</v>
      </c>
      <c r="B461" s="27">
        <v>2026</v>
      </c>
      <c r="C461" s="27" t="s">
        <v>97</v>
      </c>
      <c r="D461" s="30">
        <v>46118</v>
      </c>
      <c r="E461" s="27" t="s">
        <v>224</v>
      </c>
      <c r="F461" s="27" t="s">
        <v>164</v>
      </c>
      <c r="G461" s="27" t="s">
        <v>262</v>
      </c>
      <c r="H461" s="27"/>
      <c r="I461" s="27"/>
      <c r="J461" s="27" t="s">
        <v>177</v>
      </c>
      <c r="K461" s="10">
        <v>0</v>
      </c>
      <c r="L461" s="36" t="s">
        <v>263</v>
      </c>
      <c r="M461" s="37"/>
      <c r="N461" s="37"/>
      <c r="O461" s="27"/>
      <c r="P461" s="27"/>
      <c r="Q461" s="27"/>
      <c r="R461" s="27"/>
      <c r="S461" s="1" t="s">
        <v>264</v>
      </c>
      <c r="T461" s="29" t="s">
        <v>265</v>
      </c>
      <c r="U461" s="27"/>
      <c r="V461" s="27"/>
      <c r="W461" s="27"/>
    </row>
    <row r="462" spans="1:23" ht="24" customHeight="1">
      <c r="A462" s="27" t="str">
        <f t="shared" ca="1" si="7"/>
        <v>EVT-2026-0460</v>
      </c>
      <c r="B462" s="27">
        <v>2026</v>
      </c>
      <c r="C462" s="27" t="s">
        <v>97</v>
      </c>
      <c r="D462" s="30">
        <v>46119</v>
      </c>
      <c r="E462" s="27" t="s">
        <v>227</v>
      </c>
      <c r="F462" s="27" t="s">
        <v>164</v>
      </c>
      <c r="G462" s="27" t="s">
        <v>262</v>
      </c>
      <c r="H462" s="27" t="s">
        <v>171</v>
      </c>
      <c r="I462" s="27" t="s">
        <v>895</v>
      </c>
      <c r="J462" s="27" t="s">
        <v>158</v>
      </c>
      <c r="K462" s="10">
        <v>60</v>
      </c>
      <c r="L462" s="36" t="s">
        <v>263</v>
      </c>
      <c r="M462" s="37" t="s">
        <v>896</v>
      </c>
      <c r="N462" s="37" t="s">
        <v>359</v>
      </c>
      <c r="O462" s="27"/>
      <c r="P462" s="27"/>
      <c r="Q462" s="27" t="s">
        <v>785</v>
      </c>
      <c r="R462" s="27"/>
      <c r="S462" s="1" t="s">
        <v>264</v>
      </c>
      <c r="T462" s="29" t="s">
        <v>265</v>
      </c>
      <c r="U462" s="30">
        <v>46111</v>
      </c>
      <c r="V462" s="27" t="s">
        <v>321</v>
      </c>
      <c r="W462" s="27"/>
    </row>
    <row r="463" spans="1:23" ht="24" customHeight="1">
      <c r="A463" s="27" t="str">
        <f t="shared" ca="1" si="7"/>
        <v>EVT-2026-0461</v>
      </c>
      <c r="B463" s="27">
        <v>2026</v>
      </c>
      <c r="C463" s="27" t="s">
        <v>97</v>
      </c>
      <c r="D463" s="30">
        <v>46120</v>
      </c>
      <c r="E463" s="27" t="s">
        <v>201</v>
      </c>
      <c r="F463" s="27" t="s">
        <v>164</v>
      </c>
      <c r="G463" s="27" t="s">
        <v>262</v>
      </c>
      <c r="H463" s="27"/>
      <c r="I463" s="27"/>
      <c r="J463" s="27" t="s">
        <v>177</v>
      </c>
      <c r="K463" s="10">
        <v>0</v>
      </c>
      <c r="L463" s="36" t="s">
        <v>263</v>
      </c>
      <c r="M463" s="37"/>
      <c r="N463" s="37"/>
      <c r="O463" s="27"/>
      <c r="P463" s="27"/>
      <c r="Q463" s="27"/>
      <c r="R463" s="27"/>
      <c r="S463" s="1" t="s">
        <v>264</v>
      </c>
      <c r="T463" s="29" t="s">
        <v>265</v>
      </c>
      <c r="U463" s="27"/>
      <c r="V463" s="27"/>
      <c r="W463" s="27"/>
    </row>
    <row r="464" spans="1:23" ht="24" customHeight="1">
      <c r="A464" s="27" t="str">
        <f t="shared" ca="1" si="7"/>
        <v>EVT-2026-0462</v>
      </c>
      <c r="B464" s="27">
        <v>2026</v>
      </c>
      <c r="C464" s="27" t="s">
        <v>97</v>
      </c>
      <c r="D464" s="30">
        <v>46121</v>
      </c>
      <c r="E464" s="27" t="s">
        <v>216</v>
      </c>
      <c r="F464" s="27" t="s">
        <v>164</v>
      </c>
      <c r="G464" s="27" t="s">
        <v>262</v>
      </c>
      <c r="H464" s="27" t="s">
        <v>171</v>
      </c>
      <c r="I464" s="27" t="s">
        <v>897</v>
      </c>
      <c r="J464" s="27" t="s">
        <v>139</v>
      </c>
      <c r="K464" s="10">
        <v>60</v>
      </c>
      <c r="L464" s="36" t="s">
        <v>263</v>
      </c>
      <c r="M464" s="37" t="s">
        <v>274</v>
      </c>
      <c r="N464" s="37" t="s">
        <v>429</v>
      </c>
      <c r="O464" s="27"/>
      <c r="P464" s="27"/>
      <c r="Q464" s="27" t="s">
        <v>237</v>
      </c>
      <c r="R464" s="27"/>
      <c r="S464" s="1" t="s">
        <v>264</v>
      </c>
      <c r="T464" s="29" t="s">
        <v>265</v>
      </c>
      <c r="U464" s="27"/>
      <c r="V464" s="27" t="s">
        <v>898</v>
      </c>
      <c r="W464" s="27"/>
    </row>
    <row r="465" spans="1:23" ht="24" customHeight="1">
      <c r="A465" s="27" t="str">
        <f t="shared" ca="1" si="7"/>
        <v>EVT-2026-0463</v>
      </c>
      <c r="B465" s="27">
        <v>2026</v>
      </c>
      <c r="C465" s="27" t="s">
        <v>97</v>
      </c>
      <c r="D465" s="30">
        <v>46121</v>
      </c>
      <c r="E465" s="27" t="s">
        <v>216</v>
      </c>
      <c r="F465" s="27" t="s">
        <v>164</v>
      </c>
      <c r="G465" s="27" t="s">
        <v>262</v>
      </c>
      <c r="H465" s="27" t="s">
        <v>171</v>
      </c>
      <c r="I465" s="27" t="s">
        <v>899</v>
      </c>
      <c r="J465" s="27" t="s">
        <v>177</v>
      </c>
      <c r="K465" s="10">
        <v>28</v>
      </c>
      <c r="L465" s="36" t="s">
        <v>263</v>
      </c>
      <c r="M465" s="37" t="s">
        <v>309</v>
      </c>
      <c r="N465" s="37" t="s">
        <v>295</v>
      </c>
      <c r="O465" s="27"/>
      <c r="P465" s="27" t="s">
        <v>531</v>
      </c>
      <c r="Q465" s="27" t="s">
        <v>673</v>
      </c>
      <c r="R465" s="27"/>
      <c r="S465" s="1" t="s">
        <v>264</v>
      </c>
      <c r="T465" s="29" t="s">
        <v>265</v>
      </c>
      <c r="U465" s="30">
        <v>46113</v>
      </c>
      <c r="V465" s="27" t="s">
        <v>380</v>
      </c>
      <c r="W465" s="27"/>
    </row>
    <row r="466" spans="1:23" ht="24" customHeight="1">
      <c r="A466" s="27" t="str">
        <f t="shared" ca="1" si="7"/>
        <v>EVT-2026-0464</v>
      </c>
      <c r="B466" s="27">
        <v>2026</v>
      </c>
      <c r="C466" s="27" t="s">
        <v>97</v>
      </c>
      <c r="D466" s="30">
        <v>46122</v>
      </c>
      <c r="E466" s="27" t="s">
        <v>220</v>
      </c>
      <c r="F466" s="27" t="s">
        <v>164</v>
      </c>
      <c r="G466" s="27" t="s">
        <v>262</v>
      </c>
      <c r="H466" s="27" t="s">
        <v>171</v>
      </c>
      <c r="I466" s="27" t="s">
        <v>900</v>
      </c>
      <c r="J466" s="27" t="s">
        <v>177</v>
      </c>
      <c r="K466" s="10">
        <v>40</v>
      </c>
      <c r="L466" s="36" t="s">
        <v>263</v>
      </c>
      <c r="M466" s="37" t="s">
        <v>309</v>
      </c>
      <c r="N466" s="37" t="s">
        <v>290</v>
      </c>
      <c r="O466" s="27"/>
      <c r="P466" s="27"/>
      <c r="Q466" s="27" t="s">
        <v>677</v>
      </c>
      <c r="R466" s="27"/>
      <c r="S466" s="3" t="s">
        <v>312</v>
      </c>
      <c r="T466" s="29" t="s">
        <v>265</v>
      </c>
      <c r="U466" s="27"/>
      <c r="V466" s="27" t="s">
        <v>321</v>
      </c>
      <c r="W466" s="27" t="s">
        <v>901</v>
      </c>
    </row>
    <row r="467" spans="1:23" ht="24" customHeight="1">
      <c r="A467" s="27" t="str">
        <f t="shared" ca="1" si="7"/>
        <v>EVT-2026-0465</v>
      </c>
      <c r="B467" s="27">
        <v>2026</v>
      </c>
      <c r="C467" s="27" t="s">
        <v>97</v>
      </c>
      <c r="D467" s="30">
        <v>46122</v>
      </c>
      <c r="E467" s="27" t="s">
        <v>220</v>
      </c>
      <c r="F467" s="27" t="s">
        <v>164</v>
      </c>
      <c r="G467" s="27" t="s">
        <v>262</v>
      </c>
      <c r="H467" s="27" t="s">
        <v>348</v>
      </c>
      <c r="I467" s="27" t="s">
        <v>902</v>
      </c>
      <c r="J467" s="27" t="s">
        <v>177</v>
      </c>
      <c r="K467" s="10">
        <v>60</v>
      </c>
      <c r="L467" s="36" t="s">
        <v>263</v>
      </c>
      <c r="M467" s="37" t="s">
        <v>331</v>
      </c>
      <c r="N467" s="37" t="s">
        <v>289</v>
      </c>
      <c r="O467" s="27"/>
      <c r="P467" s="27"/>
      <c r="Q467" s="27" t="s">
        <v>903</v>
      </c>
      <c r="R467" s="27"/>
      <c r="S467" s="1" t="s">
        <v>264</v>
      </c>
      <c r="T467" s="29" t="s">
        <v>265</v>
      </c>
      <c r="U467" s="30">
        <v>46118</v>
      </c>
      <c r="V467" s="27" t="s">
        <v>298</v>
      </c>
      <c r="W467" s="27"/>
    </row>
    <row r="468" spans="1:23" ht="24" customHeight="1">
      <c r="A468" s="27" t="str">
        <f t="shared" ca="1" si="7"/>
        <v>EVT-2026-0466</v>
      </c>
      <c r="B468" s="27">
        <v>2026</v>
      </c>
      <c r="C468" s="27" t="s">
        <v>97</v>
      </c>
      <c r="D468" s="30">
        <v>46123</v>
      </c>
      <c r="E468" s="27" t="s">
        <v>266</v>
      </c>
      <c r="F468" s="27" t="s">
        <v>164</v>
      </c>
      <c r="G468" s="27" t="s">
        <v>262</v>
      </c>
      <c r="H468" s="27"/>
      <c r="I468" s="27"/>
      <c r="J468" s="27" t="s">
        <v>177</v>
      </c>
      <c r="K468" s="10">
        <v>0</v>
      </c>
      <c r="L468" s="36" t="s">
        <v>263</v>
      </c>
      <c r="M468" s="37"/>
      <c r="N468" s="37"/>
      <c r="O468" s="27"/>
      <c r="P468" s="27"/>
      <c r="Q468" s="27"/>
      <c r="R468" s="27"/>
      <c r="S468" s="1" t="s">
        <v>264</v>
      </c>
      <c r="T468" s="29" t="s">
        <v>265</v>
      </c>
      <c r="U468" s="27"/>
      <c r="V468" s="27"/>
      <c r="W468" s="27"/>
    </row>
    <row r="469" spans="1:23" ht="24" customHeight="1">
      <c r="A469" s="27" t="str">
        <f t="shared" ca="1" si="7"/>
        <v>EVT-2026-0467</v>
      </c>
      <c r="B469" s="27">
        <v>2026</v>
      </c>
      <c r="C469" s="27" t="s">
        <v>97</v>
      </c>
      <c r="D469" s="30">
        <v>46124</v>
      </c>
      <c r="E469" s="27" t="s">
        <v>267</v>
      </c>
      <c r="F469" s="27" t="s">
        <v>164</v>
      </c>
      <c r="G469" s="27" t="s">
        <v>262</v>
      </c>
      <c r="H469" s="27"/>
      <c r="I469" s="27"/>
      <c r="J469" s="27" t="s">
        <v>177</v>
      </c>
      <c r="K469" s="10">
        <v>0</v>
      </c>
      <c r="L469" s="36" t="s">
        <v>263</v>
      </c>
      <c r="M469" s="37"/>
      <c r="N469" s="37"/>
      <c r="O469" s="27"/>
      <c r="P469" s="27"/>
      <c r="Q469" s="27"/>
      <c r="R469" s="27"/>
      <c r="S469" s="1" t="s">
        <v>264</v>
      </c>
      <c r="T469" s="29" t="s">
        <v>265</v>
      </c>
      <c r="U469" s="27"/>
      <c r="V469" s="27"/>
      <c r="W469" s="27"/>
    </row>
    <row r="470" spans="1:23" ht="24" customHeight="1">
      <c r="A470" s="27" t="str">
        <f t="shared" ca="1" si="7"/>
        <v>EVT-2026-0468</v>
      </c>
      <c r="B470" s="27">
        <v>2026</v>
      </c>
      <c r="C470" s="27" t="s">
        <v>97</v>
      </c>
      <c r="D470" s="30">
        <v>46125</v>
      </c>
      <c r="E470" s="27" t="s">
        <v>224</v>
      </c>
      <c r="F470" s="27" t="s">
        <v>164</v>
      </c>
      <c r="G470" s="27" t="s">
        <v>202</v>
      </c>
      <c r="H470" s="27" t="s">
        <v>904</v>
      </c>
      <c r="I470" s="27" t="s">
        <v>236</v>
      </c>
      <c r="J470" s="27" t="s">
        <v>139</v>
      </c>
      <c r="K470" s="10">
        <v>105</v>
      </c>
      <c r="L470" s="38" t="s">
        <v>294</v>
      </c>
      <c r="M470" s="37" t="s">
        <v>269</v>
      </c>
      <c r="N470" s="37" t="s">
        <v>270</v>
      </c>
      <c r="O470" s="27"/>
      <c r="P470" s="27"/>
      <c r="Q470" s="27" t="s">
        <v>237</v>
      </c>
      <c r="R470" s="27"/>
      <c r="S470" s="1" t="s">
        <v>264</v>
      </c>
      <c r="T470" s="29" t="s">
        <v>265</v>
      </c>
      <c r="U470" s="27"/>
      <c r="V470" s="27" t="s">
        <v>905</v>
      </c>
      <c r="W470" s="27"/>
    </row>
    <row r="471" spans="1:23" ht="24" customHeight="1">
      <c r="A471" s="27" t="str">
        <f t="shared" ca="1" si="7"/>
        <v>EVT-2026-0469</v>
      </c>
      <c r="B471" s="27">
        <v>2026</v>
      </c>
      <c r="C471" s="27" t="s">
        <v>97</v>
      </c>
      <c r="D471" s="30">
        <v>46126</v>
      </c>
      <c r="E471" s="27" t="s">
        <v>227</v>
      </c>
      <c r="F471" s="27" t="s">
        <v>164</v>
      </c>
      <c r="G471" s="27" t="s">
        <v>262</v>
      </c>
      <c r="H471" s="27" t="s">
        <v>171</v>
      </c>
      <c r="I471" s="27" t="s">
        <v>906</v>
      </c>
      <c r="J471" s="27" t="s">
        <v>158</v>
      </c>
      <c r="K471" s="10">
        <v>60</v>
      </c>
      <c r="L471" s="36" t="s">
        <v>263</v>
      </c>
      <c r="M471" s="37" t="s">
        <v>896</v>
      </c>
      <c r="N471" s="37" t="s">
        <v>359</v>
      </c>
      <c r="O471" s="27"/>
      <c r="P471" s="27"/>
      <c r="Q471" s="27" t="s">
        <v>785</v>
      </c>
      <c r="R471" s="27"/>
      <c r="S471" s="1" t="s">
        <v>264</v>
      </c>
      <c r="T471" s="29" t="s">
        <v>265</v>
      </c>
      <c r="U471" s="30">
        <v>46111</v>
      </c>
      <c r="V471" s="27" t="s">
        <v>321</v>
      </c>
      <c r="W471" s="27"/>
    </row>
    <row r="472" spans="1:23" ht="24" customHeight="1">
      <c r="A472" s="27" t="str">
        <f t="shared" ca="1" si="7"/>
        <v>EVT-2026-0470</v>
      </c>
      <c r="B472" s="27">
        <v>2026</v>
      </c>
      <c r="C472" s="27" t="s">
        <v>97</v>
      </c>
      <c r="D472" s="30">
        <v>46127</v>
      </c>
      <c r="E472" s="27" t="s">
        <v>201</v>
      </c>
      <c r="F472" s="27" t="s">
        <v>164</v>
      </c>
      <c r="G472" s="27" t="s">
        <v>262</v>
      </c>
      <c r="H472" s="27" t="s">
        <v>171</v>
      </c>
      <c r="I472" s="27" t="s">
        <v>907</v>
      </c>
      <c r="J472" s="27" t="s">
        <v>158</v>
      </c>
      <c r="K472" s="10">
        <v>40</v>
      </c>
      <c r="L472" s="36" t="s">
        <v>263</v>
      </c>
      <c r="M472" s="37" t="s">
        <v>315</v>
      </c>
      <c r="N472" s="37" t="s">
        <v>506</v>
      </c>
      <c r="O472" s="27"/>
      <c r="P472" s="27"/>
      <c r="Q472" s="27" t="s">
        <v>335</v>
      </c>
      <c r="R472" s="27"/>
      <c r="S472" s="1" t="s">
        <v>264</v>
      </c>
      <c r="T472" s="29" t="s">
        <v>265</v>
      </c>
      <c r="U472" s="27"/>
      <c r="V472" s="27" t="s">
        <v>298</v>
      </c>
      <c r="W472" s="27"/>
    </row>
    <row r="473" spans="1:23" ht="24" customHeight="1">
      <c r="A473" s="27" t="str">
        <f t="shared" ca="1" si="7"/>
        <v>EVT-2026-0471</v>
      </c>
      <c r="B473" s="27">
        <v>2026</v>
      </c>
      <c r="C473" s="27" t="s">
        <v>97</v>
      </c>
      <c r="D473" s="30">
        <v>46127</v>
      </c>
      <c r="E473" s="27" t="s">
        <v>201</v>
      </c>
      <c r="F473" s="27" t="s">
        <v>164</v>
      </c>
      <c r="G473" s="27" t="s">
        <v>262</v>
      </c>
      <c r="H473" s="27" t="s">
        <v>171</v>
      </c>
      <c r="I473" s="27" t="s">
        <v>908</v>
      </c>
      <c r="J473" s="27" t="s">
        <v>165</v>
      </c>
      <c r="K473" s="10">
        <v>60</v>
      </c>
      <c r="L473" s="36" t="s">
        <v>263</v>
      </c>
      <c r="M473" s="37" t="s">
        <v>330</v>
      </c>
      <c r="N473" s="37" t="s">
        <v>309</v>
      </c>
      <c r="O473" s="27"/>
      <c r="P473" s="27"/>
      <c r="Q473" s="27" t="s">
        <v>909</v>
      </c>
      <c r="R473" s="27"/>
      <c r="S473" s="1" t="s">
        <v>264</v>
      </c>
      <c r="T473" s="29" t="s">
        <v>265</v>
      </c>
      <c r="U473" s="27"/>
      <c r="V473" s="27" t="s">
        <v>894</v>
      </c>
      <c r="W473" s="27"/>
    </row>
    <row r="474" spans="1:23" ht="24" customHeight="1">
      <c r="A474" s="27" t="str">
        <f t="shared" ca="1" si="7"/>
        <v>EVT-2026-0472</v>
      </c>
      <c r="B474" s="27">
        <v>2026</v>
      </c>
      <c r="C474" s="27" t="s">
        <v>97</v>
      </c>
      <c r="D474" s="30">
        <v>46127</v>
      </c>
      <c r="E474" s="27" t="s">
        <v>201</v>
      </c>
      <c r="F474" s="27" t="s">
        <v>164</v>
      </c>
      <c r="G474" s="27" t="s">
        <v>228</v>
      </c>
      <c r="H474" s="27" t="s">
        <v>910</v>
      </c>
      <c r="I474" s="27"/>
      <c r="J474" s="27" t="s">
        <v>177</v>
      </c>
      <c r="K474" s="10">
        <v>25</v>
      </c>
      <c r="L474" s="36" t="s">
        <v>263</v>
      </c>
      <c r="M474" s="37" t="s">
        <v>359</v>
      </c>
      <c r="N474" s="37" t="s">
        <v>290</v>
      </c>
      <c r="O474" s="27"/>
      <c r="P474" s="27"/>
      <c r="Q474" s="27" t="s">
        <v>909</v>
      </c>
      <c r="R474" s="27"/>
      <c r="S474" s="1" t="s">
        <v>264</v>
      </c>
      <c r="T474" s="29" t="s">
        <v>265</v>
      </c>
      <c r="U474" s="27"/>
      <c r="V474" s="27" t="s">
        <v>298</v>
      </c>
      <c r="W474" s="27"/>
    </row>
    <row r="475" spans="1:23" ht="24" customHeight="1">
      <c r="A475" s="27" t="str">
        <f t="shared" ca="1" si="7"/>
        <v>EVT-2026-0473</v>
      </c>
      <c r="B475" s="27">
        <v>2026</v>
      </c>
      <c r="C475" s="27" t="s">
        <v>97</v>
      </c>
      <c r="D475" s="30">
        <v>46127</v>
      </c>
      <c r="E475" s="27" t="s">
        <v>201</v>
      </c>
      <c r="F475" s="27" t="s">
        <v>164</v>
      </c>
      <c r="G475" s="27" t="s">
        <v>262</v>
      </c>
      <c r="H475" s="27" t="s">
        <v>239</v>
      </c>
      <c r="I475" s="27" t="s">
        <v>911</v>
      </c>
      <c r="J475" s="27" t="s">
        <v>177</v>
      </c>
      <c r="K475" s="10">
        <v>100</v>
      </c>
      <c r="L475" s="38" t="s">
        <v>294</v>
      </c>
      <c r="M475" s="37" t="s">
        <v>295</v>
      </c>
      <c r="N475" s="37" t="s">
        <v>290</v>
      </c>
      <c r="O475" s="27"/>
      <c r="P475" s="27"/>
      <c r="Q475" s="27" t="s">
        <v>912</v>
      </c>
      <c r="R475" s="27"/>
      <c r="S475" s="1" t="s">
        <v>264</v>
      </c>
      <c r="T475" s="29" t="s">
        <v>265</v>
      </c>
      <c r="U475" s="30">
        <v>46106</v>
      </c>
      <c r="V475" s="27" t="s">
        <v>913</v>
      </c>
      <c r="W475" s="27"/>
    </row>
    <row r="476" spans="1:23" ht="24" customHeight="1">
      <c r="A476" s="27" t="str">
        <f t="shared" ca="1" si="7"/>
        <v>EVT-2026-0474</v>
      </c>
      <c r="B476" s="27">
        <v>2026</v>
      </c>
      <c r="C476" s="27" t="s">
        <v>97</v>
      </c>
      <c r="D476" s="30">
        <v>46127</v>
      </c>
      <c r="E476" s="27" t="s">
        <v>201</v>
      </c>
      <c r="F476" s="27" t="s">
        <v>164</v>
      </c>
      <c r="G476" s="27" t="s">
        <v>202</v>
      </c>
      <c r="H476" s="27" t="s">
        <v>326</v>
      </c>
      <c r="I476" s="27" t="s">
        <v>914</v>
      </c>
      <c r="J476" s="27" t="s">
        <v>165</v>
      </c>
      <c r="K476" s="10">
        <v>30</v>
      </c>
      <c r="L476" s="36" t="s">
        <v>263</v>
      </c>
      <c r="M476" s="37" t="s">
        <v>330</v>
      </c>
      <c r="N476" s="37" t="s">
        <v>275</v>
      </c>
      <c r="O476" s="27"/>
      <c r="P476" s="27"/>
      <c r="Q476" s="27" t="s">
        <v>237</v>
      </c>
      <c r="R476" s="27"/>
      <c r="S476" s="1" t="s">
        <v>264</v>
      </c>
      <c r="T476" s="29" t="s">
        <v>265</v>
      </c>
      <c r="U476" s="30">
        <v>46112</v>
      </c>
      <c r="V476" s="27" t="s">
        <v>307</v>
      </c>
      <c r="W476" s="27"/>
    </row>
    <row r="477" spans="1:23" ht="24" customHeight="1">
      <c r="A477" s="27" t="str">
        <f t="shared" ca="1" si="7"/>
        <v>EVT-2026-0475</v>
      </c>
      <c r="B477" s="27">
        <v>2026</v>
      </c>
      <c r="C477" s="27" t="s">
        <v>97</v>
      </c>
      <c r="D477" s="30">
        <v>46128</v>
      </c>
      <c r="E477" s="27" t="s">
        <v>216</v>
      </c>
      <c r="F477" s="27" t="s">
        <v>164</v>
      </c>
      <c r="G477" s="27" t="s">
        <v>262</v>
      </c>
      <c r="H477" s="27" t="s">
        <v>171</v>
      </c>
      <c r="I477" s="27" t="s">
        <v>915</v>
      </c>
      <c r="J477" s="27" t="s">
        <v>177</v>
      </c>
      <c r="K477" s="10">
        <v>30</v>
      </c>
      <c r="L477" s="36" t="s">
        <v>263</v>
      </c>
      <c r="M477" s="37" t="s">
        <v>275</v>
      </c>
      <c r="N477" s="37" t="s">
        <v>296</v>
      </c>
      <c r="O477" s="27"/>
      <c r="P477" s="27"/>
      <c r="Q477" s="27" t="s">
        <v>916</v>
      </c>
      <c r="R477" s="27"/>
      <c r="S477" s="1" t="s">
        <v>264</v>
      </c>
      <c r="T477" s="29" t="s">
        <v>265</v>
      </c>
      <c r="U477" s="30">
        <v>46122</v>
      </c>
      <c r="V477" s="27" t="s">
        <v>917</v>
      </c>
      <c r="W477" s="27"/>
    </row>
    <row r="478" spans="1:23" ht="24" customHeight="1">
      <c r="A478" s="27" t="str">
        <f t="shared" ca="1" si="7"/>
        <v>EVT-2026-0476</v>
      </c>
      <c r="B478" s="27">
        <v>2026</v>
      </c>
      <c r="C478" s="27" t="s">
        <v>97</v>
      </c>
      <c r="D478" s="30">
        <v>46129</v>
      </c>
      <c r="E478" s="27" t="s">
        <v>220</v>
      </c>
      <c r="F478" s="27" t="s">
        <v>164</v>
      </c>
      <c r="G478" s="27" t="s">
        <v>262</v>
      </c>
      <c r="H478" s="27" t="s">
        <v>171</v>
      </c>
      <c r="I478" s="27" t="s">
        <v>918</v>
      </c>
      <c r="J478" s="27" t="s">
        <v>177</v>
      </c>
      <c r="K478" s="10">
        <v>0</v>
      </c>
      <c r="L478" s="36" t="s">
        <v>263</v>
      </c>
      <c r="M478" s="37" t="s">
        <v>483</v>
      </c>
      <c r="N478" s="37" t="s">
        <v>290</v>
      </c>
      <c r="O478" s="27"/>
      <c r="P478" s="27"/>
      <c r="Q478" s="27" t="s">
        <v>919</v>
      </c>
      <c r="R478" s="27"/>
      <c r="S478" s="1" t="s">
        <v>264</v>
      </c>
      <c r="T478" s="29" t="s">
        <v>265</v>
      </c>
      <c r="U478" s="27"/>
      <c r="V478" s="27" t="s">
        <v>321</v>
      </c>
      <c r="W478" s="27"/>
    </row>
    <row r="479" spans="1:23" ht="24" customHeight="1">
      <c r="A479" s="27" t="str">
        <f t="shared" ca="1" si="7"/>
        <v>EVT-2026-0477</v>
      </c>
      <c r="B479" s="27">
        <v>2026</v>
      </c>
      <c r="C479" s="27" t="s">
        <v>97</v>
      </c>
      <c r="D479" s="30">
        <v>46130</v>
      </c>
      <c r="E479" s="27" t="s">
        <v>266</v>
      </c>
      <c r="F479" s="27" t="s">
        <v>164</v>
      </c>
      <c r="G479" s="27" t="s">
        <v>262</v>
      </c>
      <c r="H479" s="27"/>
      <c r="I479" s="27"/>
      <c r="J479" s="27" t="s">
        <v>177</v>
      </c>
      <c r="K479" s="10">
        <v>0</v>
      </c>
      <c r="L479" s="36" t="s">
        <v>263</v>
      </c>
      <c r="M479" s="37"/>
      <c r="N479" s="37"/>
      <c r="O479" s="27"/>
      <c r="P479" s="27"/>
      <c r="Q479" s="27"/>
      <c r="R479" s="27"/>
      <c r="S479" s="1" t="s">
        <v>264</v>
      </c>
      <c r="T479" s="29" t="s">
        <v>265</v>
      </c>
      <c r="U479" s="27"/>
      <c r="V479" s="27"/>
      <c r="W479" s="27"/>
    </row>
    <row r="480" spans="1:23" ht="24" customHeight="1">
      <c r="A480" s="27" t="str">
        <f t="shared" ca="1" si="7"/>
        <v>EVT-2026-0478</v>
      </c>
      <c r="B480" s="27">
        <v>2026</v>
      </c>
      <c r="C480" s="27" t="s">
        <v>97</v>
      </c>
      <c r="D480" s="30">
        <v>46131</v>
      </c>
      <c r="E480" s="27" t="s">
        <v>267</v>
      </c>
      <c r="F480" s="27" t="s">
        <v>164</v>
      </c>
      <c r="G480" s="27" t="s">
        <v>262</v>
      </c>
      <c r="H480" s="27"/>
      <c r="I480" s="27"/>
      <c r="J480" s="27" t="s">
        <v>177</v>
      </c>
      <c r="K480" s="10">
        <v>0</v>
      </c>
      <c r="L480" s="36" t="s">
        <v>263</v>
      </c>
      <c r="M480" s="37"/>
      <c r="N480" s="37"/>
      <c r="O480" s="27"/>
      <c r="P480" s="27"/>
      <c r="Q480" s="27"/>
      <c r="R480" s="27"/>
      <c r="S480" s="1" t="s">
        <v>264</v>
      </c>
      <c r="T480" s="29" t="s">
        <v>265</v>
      </c>
      <c r="U480" s="27"/>
      <c r="V480" s="27"/>
      <c r="W480" s="27"/>
    </row>
    <row r="481" spans="1:23" ht="24" customHeight="1">
      <c r="A481" s="27" t="str">
        <f t="shared" ca="1" si="7"/>
        <v>EVT-2026-0479</v>
      </c>
      <c r="B481" s="27">
        <v>2026</v>
      </c>
      <c r="C481" s="27" t="s">
        <v>97</v>
      </c>
      <c r="D481" s="30">
        <v>46132</v>
      </c>
      <c r="E481" s="27" t="s">
        <v>224</v>
      </c>
      <c r="F481" s="27" t="s">
        <v>164</v>
      </c>
      <c r="G481" s="27" t="s">
        <v>202</v>
      </c>
      <c r="H481" s="27" t="s">
        <v>920</v>
      </c>
      <c r="I481" s="27" t="s">
        <v>236</v>
      </c>
      <c r="J481" s="27" t="s">
        <v>139</v>
      </c>
      <c r="K481" s="10">
        <v>45</v>
      </c>
      <c r="L481" s="36" t="s">
        <v>263</v>
      </c>
      <c r="M481" s="37" t="s">
        <v>269</v>
      </c>
      <c r="N481" s="37" t="s">
        <v>270</v>
      </c>
      <c r="O481" s="27"/>
      <c r="P481" s="27"/>
      <c r="Q481" s="27" t="s">
        <v>237</v>
      </c>
      <c r="R481" s="27"/>
      <c r="S481" s="1" t="s">
        <v>264</v>
      </c>
      <c r="T481" s="29" t="s">
        <v>265</v>
      </c>
      <c r="U481" s="27"/>
      <c r="V481" s="27" t="s">
        <v>921</v>
      </c>
      <c r="W481" s="27"/>
    </row>
    <row r="482" spans="1:23" ht="24" customHeight="1">
      <c r="A482" s="27" t="str">
        <f t="shared" ca="1" si="7"/>
        <v>EVT-2026-0480</v>
      </c>
      <c r="B482" s="27">
        <v>2026</v>
      </c>
      <c r="C482" s="27" t="s">
        <v>97</v>
      </c>
      <c r="D482" s="30">
        <v>46133</v>
      </c>
      <c r="E482" s="27" t="s">
        <v>227</v>
      </c>
      <c r="F482" s="27" t="s">
        <v>164</v>
      </c>
      <c r="G482" s="27" t="s">
        <v>262</v>
      </c>
      <c r="H482" s="27" t="s">
        <v>171</v>
      </c>
      <c r="I482" s="27" t="s">
        <v>895</v>
      </c>
      <c r="J482" s="27" t="s">
        <v>158</v>
      </c>
      <c r="K482" s="10">
        <v>60</v>
      </c>
      <c r="L482" s="36" t="s">
        <v>263</v>
      </c>
      <c r="M482" s="37" t="s">
        <v>896</v>
      </c>
      <c r="N482" s="37" t="s">
        <v>359</v>
      </c>
      <c r="O482" s="27"/>
      <c r="P482" s="27"/>
      <c r="Q482" s="27" t="s">
        <v>785</v>
      </c>
      <c r="R482" s="27"/>
      <c r="S482" s="1" t="s">
        <v>264</v>
      </c>
      <c r="T482" s="29" t="s">
        <v>265</v>
      </c>
      <c r="U482" s="30">
        <v>46111</v>
      </c>
      <c r="V482" s="27" t="s">
        <v>321</v>
      </c>
      <c r="W482" s="27"/>
    </row>
    <row r="483" spans="1:23" ht="24" customHeight="1">
      <c r="A483" s="27" t="str">
        <f t="shared" ca="1" si="7"/>
        <v>EVT-2026-0481</v>
      </c>
      <c r="B483" s="27">
        <v>2026</v>
      </c>
      <c r="C483" s="27" t="s">
        <v>97</v>
      </c>
      <c r="D483" s="30">
        <v>46133</v>
      </c>
      <c r="E483" s="27" t="s">
        <v>227</v>
      </c>
      <c r="F483" s="27" t="s">
        <v>164</v>
      </c>
      <c r="G483" s="27" t="s">
        <v>262</v>
      </c>
      <c r="H483" s="27" t="s">
        <v>171</v>
      </c>
      <c r="I483" s="27" t="s">
        <v>344</v>
      </c>
      <c r="J483" s="27" t="s">
        <v>134</v>
      </c>
      <c r="K483" s="10">
        <v>25</v>
      </c>
      <c r="L483" s="36" t="s">
        <v>263</v>
      </c>
      <c r="M483" s="37" t="s">
        <v>269</v>
      </c>
      <c r="N483" s="37" t="s">
        <v>544</v>
      </c>
      <c r="O483" s="27"/>
      <c r="P483" s="27"/>
      <c r="Q483" s="27" t="s">
        <v>743</v>
      </c>
      <c r="R483" s="27"/>
      <c r="S483" s="1" t="s">
        <v>264</v>
      </c>
      <c r="T483" s="29" t="s">
        <v>265</v>
      </c>
      <c r="U483" s="30">
        <v>46132</v>
      </c>
      <c r="V483" s="27" t="s">
        <v>922</v>
      </c>
      <c r="W483" s="27"/>
    </row>
    <row r="484" spans="1:23" ht="24" customHeight="1">
      <c r="A484" s="27" t="str">
        <f t="shared" ca="1" si="7"/>
        <v>EVT-2026-0482</v>
      </c>
      <c r="B484" s="27">
        <v>2026</v>
      </c>
      <c r="C484" s="27" t="s">
        <v>97</v>
      </c>
      <c r="D484" s="30">
        <v>46133</v>
      </c>
      <c r="E484" s="27" t="s">
        <v>227</v>
      </c>
      <c r="F484" s="27" t="s">
        <v>164</v>
      </c>
      <c r="G484" s="27" t="s">
        <v>228</v>
      </c>
      <c r="H484" s="27" t="s">
        <v>910</v>
      </c>
      <c r="I484" s="27" t="s">
        <v>923</v>
      </c>
      <c r="J484" s="27" t="s">
        <v>177</v>
      </c>
      <c r="K484" s="10">
        <v>30</v>
      </c>
      <c r="L484" s="36" t="s">
        <v>263</v>
      </c>
      <c r="M484" s="37" t="s">
        <v>330</v>
      </c>
      <c r="N484" s="37" t="s">
        <v>350</v>
      </c>
      <c r="O484" s="27"/>
      <c r="P484" s="27"/>
      <c r="Q484" s="27" t="s">
        <v>237</v>
      </c>
      <c r="R484" s="27"/>
      <c r="S484" s="1" t="s">
        <v>264</v>
      </c>
      <c r="T484" s="29" t="s">
        <v>265</v>
      </c>
      <c r="U484" s="30">
        <v>46112</v>
      </c>
      <c r="V484" s="27" t="s">
        <v>894</v>
      </c>
      <c r="W484" s="27"/>
    </row>
    <row r="485" spans="1:23" ht="24" customHeight="1">
      <c r="A485" s="27" t="str">
        <f t="shared" ca="1" si="7"/>
        <v>EVT-2026-0483</v>
      </c>
      <c r="B485" s="27">
        <v>2026</v>
      </c>
      <c r="C485" s="27" t="s">
        <v>97</v>
      </c>
      <c r="D485" s="30">
        <v>46133</v>
      </c>
      <c r="E485" s="27" t="s">
        <v>227</v>
      </c>
      <c r="F485" s="27" t="s">
        <v>164</v>
      </c>
      <c r="G485" s="27" t="s">
        <v>262</v>
      </c>
      <c r="H485" s="27" t="s">
        <v>171</v>
      </c>
      <c r="I485" s="27" t="s">
        <v>924</v>
      </c>
      <c r="J485" s="27" t="s">
        <v>177</v>
      </c>
      <c r="K485" s="10">
        <v>20</v>
      </c>
      <c r="L485" s="36" t="s">
        <v>263</v>
      </c>
      <c r="M485" s="37" t="s">
        <v>309</v>
      </c>
      <c r="N485" s="37" t="s">
        <v>295</v>
      </c>
      <c r="O485" s="27"/>
      <c r="P485" s="27"/>
      <c r="Q485" s="27" t="s">
        <v>925</v>
      </c>
      <c r="R485" s="27"/>
      <c r="S485" s="1" t="s">
        <v>264</v>
      </c>
      <c r="T485" s="29" t="s">
        <v>265</v>
      </c>
      <c r="U485" s="30">
        <v>46115</v>
      </c>
      <c r="V485" s="27" t="s">
        <v>298</v>
      </c>
      <c r="W485" s="27"/>
    </row>
    <row r="486" spans="1:23" ht="24" customHeight="1">
      <c r="A486" s="27" t="str">
        <f t="shared" ca="1" si="7"/>
        <v>EVT-2026-0484</v>
      </c>
      <c r="B486" s="27">
        <v>2026</v>
      </c>
      <c r="C486" s="27" t="s">
        <v>97</v>
      </c>
      <c r="D486" s="30">
        <v>46134</v>
      </c>
      <c r="E486" s="27" t="s">
        <v>201</v>
      </c>
      <c r="F486" s="27" t="s">
        <v>164</v>
      </c>
      <c r="G486" s="27" t="s">
        <v>262</v>
      </c>
      <c r="H486" s="27" t="s">
        <v>171</v>
      </c>
      <c r="I486" s="27" t="s">
        <v>926</v>
      </c>
      <c r="J486" s="27" t="s">
        <v>177</v>
      </c>
      <c r="K486" s="10">
        <v>60</v>
      </c>
      <c r="L486" s="36" t="s">
        <v>263</v>
      </c>
      <c r="M486" s="37" t="s">
        <v>506</v>
      </c>
      <c r="N486" s="37" t="s">
        <v>354</v>
      </c>
      <c r="O486" s="27"/>
      <c r="P486" s="27"/>
      <c r="Q486" s="27" t="s">
        <v>927</v>
      </c>
      <c r="R486" s="27"/>
      <c r="S486" s="1" t="s">
        <v>264</v>
      </c>
      <c r="T486" s="29" t="s">
        <v>265</v>
      </c>
      <c r="U486" s="30">
        <v>46128</v>
      </c>
      <c r="V486" s="27" t="s">
        <v>298</v>
      </c>
      <c r="W486" s="27"/>
    </row>
    <row r="487" spans="1:23" ht="24" customHeight="1">
      <c r="A487" s="27" t="str">
        <f t="shared" ca="1" si="7"/>
        <v>EVT-2026-0485</v>
      </c>
      <c r="B487" s="27">
        <v>2026</v>
      </c>
      <c r="C487" s="27" t="s">
        <v>97</v>
      </c>
      <c r="D487" s="30">
        <v>46134</v>
      </c>
      <c r="E487" s="27" t="s">
        <v>201</v>
      </c>
      <c r="F487" s="27" t="s">
        <v>164</v>
      </c>
      <c r="G487" s="27" t="s">
        <v>262</v>
      </c>
      <c r="H487" s="27" t="s">
        <v>171</v>
      </c>
      <c r="I487" s="27" t="s">
        <v>928</v>
      </c>
      <c r="J487" s="27" t="s">
        <v>127</v>
      </c>
      <c r="K487" s="10">
        <v>60</v>
      </c>
      <c r="L487" s="36" t="s">
        <v>263</v>
      </c>
      <c r="M487" s="37" t="s">
        <v>289</v>
      </c>
      <c r="N487" s="37" t="s">
        <v>296</v>
      </c>
      <c r="O487" s="27"/>
      <c r="P487" s="27" t="s">
        <v>929</v>
      </c>
      <c r="Q487" s="27" t="s">
        <v>930</v>
      </c>
      <c r="R487" s="27"/>
      <c r="S487" s="1" t="s">
        <v>264</v>
      </c>
      <c r="T487" s="29" t="s">
        <v>265</v>
      </c>
      <c r="U487" s="27"/>
      <c r="V487" s="27" t="s">
        <v>931</v>
      </c>
      <c r="W487" s="27"/>
    </row>
    <row r="488" spans="1:23" ht="24" customHeight="1">
      <c r="A488" s="27" t="str">
        <f t="shared" ca="1" si="7"/>
        <v>EVT-2026-0486</v>
      </c>
      <c r="B488" s="27">
        <v>2026</v>
      </c>
      <c r="C488" s="27" t="s">
        <v>97</v>
      </c>
      <c r="D488" s="30">
        <v>46135</v>
      </c>
      <c r="E488" s="27" t="s">
        <v>216</v>
      </c>
      <c r="F488" s="27" t="s">
        <v>164</v>
      </c>
      <c r="G488" s="27" t="s">
        <v>262</v>
      </c>
      <c r="H488" s="27" t="s">
        <v>171</v>
      </c>
      <c r="I488" s="27" t="s">
        <v>932</v>
      </c>
      <c r="J488" s="27" t="s">
        <v>177</v>
      </c>
      <c r="K488" s="10">
        <v>30</v>
      </c>
      <c r="L488" s="36" t="s">
        <v>263</v>
      </c>
      <c r="M488" s="37" t="s">
        <v>309</v>
      </c>
      <c r="N488" s="37" t="s">
        <v>295</v>
      </c>
      <c r="O488" s="27"/>
      <c r="P488" s="27"/>
      <c r="Q488" s="27" t="s">
        <v>933</v>
      </c>
      <c r="R488" s="27"/>
      <c r="S488" s="1" t="s">
        <v>264</v>
      </c>
      <c r="T488" s="29" t="s">
        <v>265</v>
      </c>
      <c r="U488" s="27"/>
      <c r="V488" s="27" t="s">
        <v>934</v>
      </c>
      <c r="W488" s="27"/>
    </row>
    <row r="489" spans="1:23" ht="24" customHeight="1">
      <c r="A489" s="27" t="str">
        <f t="shared" ca="1" si="7"/>
        <v>EVT-2026-0487</v>
      </c>
      <c r="B489" s="27">
        <v>2026</v>
      </c>
      <c r="C489" s="27" t="s">
        <v>97</v>
      </c>
      <c r="D489" s="30">
        <v>46135</v>
      </c>
      <c r="E489" s="27" t="s">
        <v>216</v>
      </c>
      <c r="F489" s="27" t="s">
        <v>164</v>
      </c>
      <c r="G489" s="27" t="s">
        <v>262</v>
      </c>
      <c r="H489" s="27" t="s">
        <v>171</v>
      </c>
      <c r="I489" s="27" t="s">
        <v>935</v>
      </c>
      <c r="J489" s="27" t="s">
        <v>127</v>
      </c>
      <c r="K489" s="10">
        <v>35</v>
      </c>
      <c r="L489" s="36" t="s">
        <v>263</v>
      </c>
      <c r="M489" s="37" t="s">
        <v>315</v>
      </c>
      <c r="N489" s="37" t="s">
        <v>330</v>
      </c>
      <c r="O489" s="27"/>
      <c r="P489" s="27"/>
      <c r="Q489" s="27" t="s">
        <v>594</v>
      </c>
      <c r="R489" s="27"/>
      <c r="S489" s="1" t="s">
        <v>264</v>
      </c>
      <c r="T489" s="29" t="s">
        <v>265</v>
      </c>
      <c r="U489" s="30">
        <v>46134</v>
      </c>
      <c r="V489" s="27" t="s">
        <v>321</v>
      </c>
      <c r="W489" s="27"/>
    </row>
    <row r="490" spans="1:23" ht="24" customHeight="1">
      <c r="A490" s="27" t="str">
        <f t="shared" ca="1" si="7"/>
        <v>EVT-2026-0488</v>
      </c>
      <c r="B490" s="27">
        <v>2026</v>
      </c>
      <c r="C490" s="27" t="s">
        <v>97</v>
      </c>
      <c r="D490" s="30">
        <v>46135</v>
      </c>
      <c r="E490" s="27" t="s">
        <v>216</v>
      </c>
      <c r="F490" s="27" t="s">
        <v>164</v>
      </c>
      <c r="G490" s="27" t="s">
        <v>202</v>
      </c>
      <c r="H490" s="27" t="s">
        <v>462</v>
      </c>
      <c r="I490" s="27" t="s">
        <v>327</v>
      </c>
      <c r="J490" s="27" t="s">
        <v>177</v>
      </c>
      <c r="K490" s="10">
        <v>30</v>
      </c>
      <c r="L490" s="36" t="s">
        <v>263</v>
      </c>
      <c r="M490" s="37" t="s">
        <v>269</v>
      </c>
      <c r="N490" s="37" t="s">
        <v>270</v>
      </c>
      <c r="O490" s="27"/>
      <c r="P490" s="27" t="s">
        <v>936</v>
      </c>
      <c r="Q490" s="27" t="s">
        <v>237</v>
      </c>
      <c r="R490" s="27"/>
      <c r="S490" s="1" t="s">
        <v>264</v>
      </c>
      <c r="T490" s="29" t="s">
        <v>265</v>
      </c>
      <c r="U490" s="30">
        <v>46112</v>
      </c>
      <c r="V490" s="27" t="s">
        <v>894</v>
      </c>
      <c r="W490" s="27"/>
    </row>
    <row r="491" spans="1:23" ht="24" customHeight="1">
      <c r="A491" s="27" t="str">
        <f t="shared" ca="1" si="7"/>
        <v>EVT-2026-0489</v>
      </c>
      <c r="B491" s="27">
        <v>2026</v>
      </c>
      <c r="C491" s="27" t="s">
        <v>97</v>
      </c>
      <c r="D491" s="30">
        <v>46136</v>
      </c>
      <c r="E491" s="27" t="s">
        <v>220</v>
      </c>
      <c r="F491" s="27" t="s">
        <v>164</v>
      </c>
      <c r="G491" s="27" t="s">
        <v>202</v>
      </c>
      <c r="H491" s="27" t="s">
        <v>462</v>
      </c>
      <c r="I491" s="27" t="s">
        <v>327</v>
      </c>
      <c r="J491" s="27" t="s">
        <v>177</v>
      </c>
      <c r="K491" s="10">
        <v>0</v>
      </c>
      <c r="L491" s="36" t="s">
        <v>263</v>
      </c>
      <c r="M491" s="37"/>
      <c r="N491" s="37"/>
      <c r="O491" s="27"/>
      <c r="P491" s="27"/>
      <c r="Q491" s="27"/>
      <c r="R491" s="27"/>
      <c r="S491" s="1" t="s">
        <v>264</v>
      </c>
      <c r="T491" s="29" t="s">
        <v>265</v>
      </c>
      <c r="U491" s="27"/>
      <c r="V491" s="27"/>
      <c r="W491" s="27"/>
    </row>
    <row r="492" spans="1:23" ht="24" customHeight="1">
      <c r="A492" s="27" t="str">
        <f t="shared" ca="1" si="7"/>
        <v>EVT-2026-0490</v>
      </c>
      <c r="B492" s="27">
        <v>2026</v>
      </c>
      <c r="C492" s="27" t="s">
        <v>97</v>
      </c>
      <c r="D492" s="30">
        <v>46136</v>
      </c>
      <c r="E492" s="27" t="s">
        <v>220</v>
      </c>
      <c r="F492" s="27" t="s">
        <v>164</v>
      </c>
      <c r="G492" s="27" t="s">
        <v>262</v>
      </c>
      <c r="H492" s="27" t="s">
        <v>937</v>
      </c>
      <c r="I492" s="27" t="s">
        <v>938</v>
      </c>
      <c r="J492" s="27" t="s">
        <v>134</v>
      </c>
      <c r="K492" s="10">
        <v>25</v>
      </c>
      <c r="L492" s="36" t="s">
        <v>263</v>
      </c>
      <c r="M492" s="37" t="s">
        <v>506</v>
      </c>
      <c r="N492" s="37" t="s">
        <v>331</v>
      </c>
      <c r="O492" s="27"/>
      <c r="P492" s="27"/>
      <c r="Q492" s="27" t="s">
        <v>925</v>
      </c>
      <c r="R492" s="27"/>
      <c r="S492" s="1" t="s">
        <v>264</v>
      </c>
      <c r="T492" s="29" t="s">
        <v>265</v>
      </c>
      <c r="U492" s="27"/>
      <c r="V492" s="27" t="s">
        <v>298</v>
      </c>
      <c r="W492" s="27"/>
    </row>
    <row r="493" spans="1:23" ht="24" customHeight="1">
      <c r="A493" s="27" t="str">
        <f t="shared" ca="1" si="7"/>
        <v>EVT-2026-0491</v>
      </c>
      <c r="B493" s="27">
        <v>2026</v>
      </c>
      <c r="C493" s="27" t="s">
        <v>97</v>
      </c>
      <c r="D493" s="30">
        <v>46136</v>
      </c>
      <c r="E493" s="27" t="s">
        <v>220</v>
      </c>
      <c r="F493" s="27" t="s">
        <v>164</v>
      </c>
      <c r="G493" s="27" t="s">
        <v>262</v>
      </c>
      <c r="H493" s="27" t="s">
        <v>937</v>
      </c>
      <c r="I493" s="27" t="s">
        <v>939</v>
      </c>
      <c r="J493" s="27" t="s">
        <v>177</v>
      </c>
      <c r="K493" s="10">
        <v>0</v>
      </c>
      <c r="L493" s="36" t="s">
        <v>263</v>
      </c>
      <c r="M493" s="37" t="s">
        <v>350</v>
      </c>
      <c r="N493" s="37" t="s">
        <v>296</v>
      </c>
      <c r="O493" s="27" t="s">
        <v>369</v>
      </c>
      <c r="P493" s="27" t="s">
        <v>531</v>
      </c>
      <c r="Q493" s="27" t="s">
        <v>237</v>
      </c>
      <c r="R493" s="27"/>
      <c r="S493" s="1" t="s">
        <v>264</v>
      </c>
      <c r="T493" s="29" t="s">
        <v>265</v>
      </c>
      <c r="U493" s="30">
        <v>46073</v>
      </c>
      <c r="V493" s="27" t="s">
        <v>307</v>
      </c>
      <c r="W493" s="27"/>
    </row>
    <row r="494" spans="1:23" ht="24" customHeight="1">
      <c r="A494" s="27" t="str">
        <f t="shared" ca="1" si="7"/>
        <v>EVT-2026-0492</v>
      </c>
      <c r="B494" s="27">
        <v>2026</v>
      </c>
      <c r="C494" s="27" t="s">
        <v>97</v>
      </c>
      <c r="D494" s="30">
        <v>46137</v>
      </c>
      <c r="E494" s="27" t="s">
        <v>266</v>
      </c>
      <c r="F494" s="27" t="s">
        <v>164</v>
      </c>
      <c r="G494" s="27" t="s">
        <v>262</v>
      </c>
      <c r="H494" s="27" t="s">
        <v>300</v>
      </c>
      <c r="I494" s="27"/>
      <c r="J494" s="27" t="s">
        <v>145</v>
      </c>
      <c r="K494" s="10">
        <v>150</v>
      </c>
      <c r="L494" s="38" t="s">
        <v>294</v>
      </c>
      <c r="M494" s="37" t="s">
        <v>269</v>
      </c>
      <c r="N494" s="37" t="s">
        <v>270</v>
      </c>
      <c r="O494" s="27"/>
      <c r="P494" s="27"/>
      <c r="Q494" s="27" t="s">
        <v>940</v>
      </c>
      <c r="R494" s="27"/>
      <c r="S494" s="1" t="s">
        <v>264</v>
      </c>
      <c r="T494" s="29" t="s">
        <v>265</v>
      </c>
      <c r="U494" s="27"/>
      <c r="V494" s="27" t="s">
        <v>941</v>
      </c>
      <c r="W494" s="27"/>
    </row>
    <row r="495" spans="1:23" ht="24" customHeight="1">
      <c r="A495" s="27" t="str">
        <f t="shared" ca="1" si="7"/>
        <v>EVT-2026-0493</v>
      </c>
      <c r="B495" s="27">
        <v>2026</v>
      </c>
      <c r="C495" s="27" t="s">
        <v>97</v>
      </c>
      <c r="D495" s="30">
        <v>46138</v>
      </c>
      <c r="E495" s="27" t="s">
        <v>267</v>
      </c>
      <c r="F495" s="27" t="s">
        <v>164</v>
      </c>
      <c r="G495" s="27" t="s">
        <v>262</v>
      </c>
      <c r="H495" s="27"/>
      <c r="I495" s="27"/>
      <c r="J495" s="27" t="s">
        <v>177</v>
      </c>
      <c r="K495" s="10">
        <v>0</v>
      </c>
      <c r="L495" s="36" t="s">
        <v>263</v>
      </c>
      <c r="M495" s="37"/>
      <c r="N495" s="37"/>
      <c r="O495" s="27"/>
      <c r="P495" s="27"/>
      <c r="Q495" s="27"/>
      <c r="R495" s="27"/>
      <c r="S495" s="1" t="s">
        <v>264</v>
      </c>
      <c r="T495" s="29" t="s">
        <v>265</v>
      </c>
      <c r="U495" s="27"/>
      <c r="V495" s="27"/>
      <c r="W495" s="27"/>
    </row>
    <row r="496" spans="1:23" ht="24" customHeight="1">
      <c r="A496" s="27" t="str">
        <f t="shared" ca="1" si="7"/>
        <v>EVT-2026-0494</v>
      </c>
      <c r="B496" s="27">
        <v>2026</v>
      </c>
      <c r="C496" s="27" t="s">
        <v>97</v>
      </c>
      <c r="D496" s="30">
        <v>46139</v>
      </c>
      <c r="E496" s="27" t="s">
        <v>224</v>
      </c>
      <c r="F496" s="27" t="s">
        <v>164</v>
      </c>
      <c r="G496" s="27" t="s">
        <v>262</v>
      </c>
      <c r="H496" s="27" t="s">
        <v>171</v>
      </c>
      <c r="I496" s="27" t="s">
        <v>942</v>
      </c>
      <c r="J496" s="27" t="s">
        <v>165</v>
      </c>
      <c r="K496" s="10">
        <v>60</v>
      </c>
      <c r="L496" s="36" t="s">
        <v>263</v>
      </c>
      <c r="M496" s="37" t="s">
        <v>330</v>
      </c>
      <c r="N496" s="37" t="s">
        <v>331</v>
      </c>
      <c r="O496" s="27"/>
      <c r="P496" s="27"/>
      <c r="Q496" s="27" t="s">
        <v>943</v>
      </c>
      <c r="R496" s="27"/>
      <c r="S496" s="3" t="s">
        <v>312</v>
      </c>
      <c r="T496" s="29" t="s">
        <v>265</v>
      </c>
      <c r="U496" s="30">
        <v>46121</v>
      </c>
      <c r="V496" s="27" t="s">
        <v>500</v>
      </c>
      <c r="W496" s="27"/>
    </row>
    <row r="497" spans="1:23" ht="24" customHeight="1">
      <c r="A497" s="27" t="str">
        <f t="shared" ca="1" si="7"/>
        <v>EVT-2026-0495</v>
      </c>
      <c r="B497" s="27">
        <v>2026</v>
      </c>
      <c r="C497" s="27" t="s">
        <v>97</v>
      </c>
      <c r="D497" s="30">
        <v>46139</v>
      </c>
      <c r="E497" s="27" t="s">
        <v>224</v>
      </c>
      <c r="F497" s="27" t="s">
        <v>164</v>
      </c>
      <c r="G497" s="27" t="s">
        <v>262</v>
      </c>
      <c r="H497" s="27" t="s">
        <v>171</v>
      </c>
      <c r="I497" s="27" t="s">
        <v>944</v>
      </c>
      <c r="J497" s="27" t="s">
        <v>158</v>
      </c>
      <c r="K497" s="10">
        <v>60</v>
      </c>
      <c r="L497" s="36" t="s">
        <v>263</v>
      </c>
      <c r="M497" s="37" t="s">
        <v>295</v>
      </c>
      <c r="N497" s="37" t="s">
        <v>296</v>
      </c>
      <c r="O497" s="27"/>
      <c r="P497" s="27"/>
      <c r="Q497" s="27" t="s">
        <v>945</v>
      </c>
      <c r="R497" s="27"/>
      <c r="S497" s="1" t="s">
        <v>264</v>
      </c>
      <c r="T497" s="29" t="s">
        <v>265</v>
      </c>
      <c r="U497" s="27"/>
      <c r="V497" s="27" t="s">
        <v>298</v>
      </c>
      <c r="W497" s="27"/>
    </row>
    <row r="498" spans="1:23" ht="24" customHeight="1">
      <c r="A498" s="27" t="str">
        <f t="shared" ca="1" si="7"/>
        <v>EVT-2026-0496</v>
      </c>
      <c r="B498" s="27">
        <v>2026</v>
      </c>
      <c r="C498" s="27" t="s">
        <v>97</v>
      </c>
      <c r="D498" s="30">
        <v>46139</v>
      </c>
      <c r="E498" s="27" t="s">
        <v>224</v>
      </c>
      <c r="F498" s="27" t="s">
        <v>164</v>
      </c>
      <c r="G498" s="27" t="s">
        <v>262</v>
      </c>
      <c r="H498" s="27" t="s">
        <v>171</v>
      </c>
      <c r="I498" s="27" t="s">
        <v>236</v>
      </c>
      <c r="J498" s="27" t="s">
        <v>139</v>
      </c>
      <c r="K498" s="10">
        <v>0</v>
      </c>
      <c r="L498" s="36" t="s">
        <v>263</v>
      </c>
      <c r="M498" s="37" t="s">
        <v>946</v>
      </c>
      <c r="N498" s="37" t="s">
        <v>270</v>
      </c>
      <c r="O498" s="27"/>
      <c r="P498" s="27"/>
      <c r="Q498" s="27" t="s">
        <v>237</v>
      </c>
      <c r="R498" s="27"/>
      <c r="S498" s="1" t="s">
        <v>264</v>
      </c>
      <c r="T498" s="29" t="s">
        <v>265</v>
      </c>
      <c r="U498" s="27"/>
      <c r="V498" s="27" t="s">
        <v>947</v>
      </c>
      <c r="W498" s="27"/>
    </row>
    <row r="499" spans="1:23" ht="24" customHeight="1">
      <c r="A499" s="27" t="str">
        <f t="shared" ca="1" si="7"/>
        <v>EVT-2026-0497</v>
      </c>
      <c r="B499" s="27">
        <v>2026</v>
      </c>
      <c r="C499" s="27" t="s">
        <v>97</v>
      </c>
      <c r="D499" s="30">
        <v>46140</v>
      </c>
      <c r="E499" s="27" t="s">
        <v>227</v>
      </c>
      <c r="F499" s="27" t="s">
        <v>164</v>
      </c>
      <c r="G499" s="27" t="s">
        <v>262</v>
      </c>
      <c r="H499" s="27" t="s">
        <v>171</v>
      </c>
      <c r="I499" s="27" t="s">
        <v>907</v>
      </c>
      <c r="J499" s="27" t="s">
        <v>158</v>
      </c>
      <c r="K499" s="10">
        <v>60</v>
      </c>
      <c r="L499" s="36" t="s">
        <v>263</v>
      </c>
      <c r="M499" s="37" t="s">
        <v>309</v>
      </c>
      <c r="N499" s="37" t="s">
        <v>295</v>
      </c>
      <c r="O499" s="27"/>
      <c r="P499" s="27"/>
      <c r="Q499" s="27" t="s">
        <v>335</v>
      </c>
      <c r="R499" s="27"/>
      <c r="S499" s="1" t="s">
        <v>264</v>
      </c>
      <c r="T499" s="29" t="s">
        <v>265</v>
      </c>
      <c r="U499" s="27"/>
      <c r="V499" s="27" t="s">
        <v>298</v>
      </c>
      <c r="W499" s="27"/>
    </row>
    <row r="500" spans="1:23" ht="24" customHeight="1">
      <c r="A500" s="27" t="str">
        <f t="shared" ca="1" si="7"/>
        <v>EVT-2026-0498</v>
      </c>
      <c r="B500" s="27">
        <v>2026</v>
      </c>
      <c r="C500" s="27" t="s">
        <v>97</v>
      </c>
      <c r="D500" s="30">
        <v>46140</v>
      </c>
      <c r="E500" s="27" t="s">
        <v>227</v>
      </c>
      <c r="F500" s="27" t="s">
        <v>164</v>
      </c>
      <c r="G500" s="27" t="s">
        <v>262</v>
      </c>
      <c r="H500" s="27" t="s">
        <v>171</v>
      </c>
      <c r="I500" s="27" t="s">
        <v>948</v>
      </c>
      <c r="J500" s="27" t="s">
        <v>177</v>
      </c>
      <c r="K500" s="10">
        <v>0</v>
      </c>
      <c r="L500" s="36" t="s">
        <v>263</v>
      </c>
      <c r="M500" s="37" t="s">
        <v>553</v>
      </c>
      <c r="N500" s="37" t="s">
        <v>350</v>
      </c>
      <c r="O500" s="27"/>
      <c r="P500" s="27"/>
      <c r="Q500" s="27" t="s">
        <v>949</v>
      </c>
      <c r="R500" s="27"/>
      <c r="S500" s="1" t="s">
        <v>264</v>
      </c>
      <c r="T500" s="29" t="s">
        <v>265</v>
      </c>
      <c r="U500" s="27"/>
      <c r="V500" s="27" t="s">
        <v>298</v>
      </c>
      <c r="W500" s="27"/>
    </row>
    <row r="501" spans="1:23" ht="24" customHeight="1">
      <c r="A501" s="27" t="str">
        <f t="shared" ca="1" si="7"/>
        <v>EVT-2026-0499</v>
      </c>
      <c r="B501" s="27">
        <v>2026</v>
      </c>
      <c r="C501" s="27" t="s">
        <v>97</v>
      </c>
      <c r="D501" s="30">
        <v>46140</v>
      </c>
      <c r="E501" s="27" t="s">
        <v>227</v>
      </c>
      <c r="F501" s="27" t="s">
        <v>164</v>
      </c>
      <c r="G501" s="27" t="s">
        <v>262</v>
      </c>
      <c r="H501" s="27" t="s">
        <v>171</v>
      </c>
      <c r="I501" s="27" t="s">
        <v>874</v>
      </c>
      <c r="J501" s="27" t="s">
        <v>139</v>
      </c>
      <c r="K501" s="10">
        <v>30</v>
      </c>
      <c r="L501" s="36" t="s">
        <v>263</v>
      </c>
      <c r="M501" s="37" t="s">
        <v>309</v>
      </c>
      <c r="N501" s="37" t="s">
        <v>270</v>
      </c>
      <c r="O501" s="27"/>
      <c r="P501" s="27"/>
      <c r="Q501" s="27" t="s">
        <v>370</v>
      </c>
      <c r="R501" s="27"/>
      <c r="S501" s="1" t="s">
        <v>264</v>
      </c>
      <c r="T501" s="29" t="s">
        <v>265</v>
      </c>
      <c r="U501" s="27"/>
      <c r="V501" s="27" t="s">
        <v>303</v>
      </c>
      <c r="W501" s="27"/>
    </row>
    <row r="502" spans="1:23" ht="24" customHeight="1">
      <c r="A502" s="27" t="str">
        <f t="shared" ca="1" si="7"/>
        <v>EVT-2026-0500</v>
      </c>
      <c r="B502" s="27">
        <v>2026</v>
      </c>
      <c r="C502" s="27" t="s">
        <v>97</v>
      </c>
      <c r="D502" s="30">
        <v>46140</v>
      </c>
      <c r="E502" s="27" t="s">
        <v>227</v>
      </c>
      <c r="F502" s="27" t="s">
        <v>164</v>
      </c>
      <c r="G502" s="27" t="s">
        <v>202</v>
      </c>
      <c r="H502" s="27" t="s">
        <v>326</v>
      </c>
      <c r="I502" s="27" t="s">
        <v>950</v>
      </c>
      <c r="J502" s="27" t="s">
        <v>177</v>
      </c>
      <c r="K502" s="10">
        <v>0</v>
      </c>
      <c r="L502" s="36" t="s">
        <v>263</v>
      </c>
      <c r="M502" s="37" t="s">
        <v>309</v>
      </c>
      <c r="N502" s="37" t="s">
        <v>270</v>
      </c>
      <c r="O502" s="27"/>
      <c r="P502" s="27"/>
      <c r="Q502" s="27"/>
      <c r="R502" s="27"/>
      <c r="S502" s="1" t="s">
        <v>264</v>
      </c>
      <c r="T502" s="29" t="s">
        <v>265</v>
      </c>
      <c r="U502" s="27"/>
      <c r="V502" s="27"/>
      <c r="W502" s="27"/>
    </row>
    <row r="503" spans="1:23" ht="24" customHeight="1">
      <c r="A503" s="27" t="str">
        <f t="shared" ca="1" si="7"/>
        <v>EVT-2026-0501</v>
      </c>
      <c r="B503" s="27">
        <v>2026</v>
      </c>
      <c r="C503" s="27" t="s">
        <v>97</v>
      </c>
      <c r="D503" s="30">
        <v>46141</v>
      </c>
      <c r="E503" s="27" t="s">
        <v>201</v>
      </c>
      <c r="F503" s="27" t="s">
        <v>164</v>
      </c>
      <c r="G503" s="27" t="s">
        <v>202</v>
      </c>
      <c r="H503" s="27" t="s">
        <v>326</v>
      </c>
      <c r="I503" s="27" t="s">
        <v>951</v>
      </c>
      <c r="J503" s="27" t="s">
        <v>134</v>
      </c>
      <c r="K503" s="10">
        <v>45</v>
      </c>
      <c r="L503" s="36" t="s">
        <v>263</v>
      </c>
      <c r="M503" s="37" t="s">
        <v>269</v>
      </c>
      <c r="N503" s="37" t="s">
        <v>270</v>
      </c>
      <c r="O503" s="27"/>
      <c r="P503" s="27"/>
      <c r="Q503" s="27" t="s">
        <v>952</v>
      </c>
      <c r="R503" s="27"/>
      <c r="S503" s="1" t="s">
        <v>264</v>
      </c>
      <c r="T503" s="29" t="s">
        <v>265</v>
      </c>
      <c r="U503" s="27"/>
      <c r="V503" s="27" t="s">
        <v>303</v>
      </c>
      <c r="W503" s="27"/>
    </row>
    <row r="504" spans="1:23" ht="24" customHeight="1">
      <c r="A504" s="27" t="str">
        <f t="shared" ca="1" si="7"/>
        <v>EVT-2026-0502</v>
      </c>
      <c r="B504" s="27">
        <v>2026</v>
      </c>
      <c r="C504" s="27" t="s">
        <v>97</v>
      </c>
      <c r="D504" s="30">
        <v>46141</v>
      </c>
      <c r="E504" s="27" t="s">
        <v>201</v>
      </c>
      <c r="F504" s="27" t="s">
        <v>164</v>
      </c>
      <c r="G504" s="27" t="s">
        <v>262</v>
      </c>
      <c r="H504" s="27" t="s">
        <v>937</v>
      </c>
      <c r="I504" s="27" t="s">
        <v>353</v>
      </c>
      <c r="J504" s="27" t="s">
        <v>127</v>
      </c>
      <c r="K504" s="10">
        <v>70</v>
      </c>
      <c r="L504" s="36" t="s">
        <v>263</v>
      </c>
      <c r="M504" s="37" t="s">
        <v>506</v>
      </c>
      <c r="N504" s="37" t="s">
        <v>429</v>
      </c>
      <c r="O504" s="27"/>
      <c r="P504" s="27"/>
      <c r="Q504" s="27" t="s">
        <v>811</v>
      </c>
      <c r="R504" s="27"/>
      <c r="S504" s="1" t="s">
        <v>264</v>
      </c>
      <c r="T504" s="29" t="s">
        <v>265</v>
      </c>
      <c r="U504" s="27"/>
      <c r="V504" s="27" t="s">
        <v>321</v>
      </c>
      <c r="W504" s="27"/>
    </row>
    <row r="505" spans="1:23" ht="24" customHeight="1">
      <c r="A505" s="27" t="str">
        <f t="shared" ca="1" si="7"/>
        <v>EVT-2026-0503</v>
      </c>
      <c r="B505" s="27">
        <v>2026</v>
      </c>
      <c r="C505" s="27" t="s">
        <v>97</v>
      </c>
      <c r="D505" s="30">
        <v>46141</v>
      </c>
      <c r="E505" s="27" t="s">
        <v>201</v>
      </c>
      <c r="F505" s="27" t="s">
        <v>164</v>
      </c>
      <c r="G505" s="27" t="s">
        <v>262</v>
      </c>
      <c r="H505" s="27" t="s">
        <v>937</v>
      </c>
      <c r="I505" s="27" t="s">
        <v>953</v>
      </c>
      <c r="J505" s="27" t="s">
        <v>177</v>
      </c>
      <c r="K505" s="10">
        <v>60</v>
      </c>
      <c r="L505" s="36" t="s">
        <v>263</v>
      </c>
      <c r="M505" s="37" t="s">
        <v>275</v>
      </c>
      <c r="N505" s="37" t="s">
        <v>270</v>
      </c>
      <c r="O505" s="27"/>
      <c r="P505" s="27"/>
      <c r="Q505" s="27" t="s">
        <v>237</v>
      </c>
      <c r="R505" s="27"/>
      <c r="S505" s="1" t="s">
        <v>264</v>
      </c>
      <c r="T505" s="29" t="s">
        <v>265</v>
      </c>
      <c r="U505" s="27"/>
      <c r="V505" s="27" t="s">
        <v>894</v>
      </c>
      <c r="W505" s="27"/>
    </row>
    <row r="506" spans="1:23" ht="24" customHeight="1">
      <c r="A506" s="27" t="str">
        <f t="shared" ca="1" si="7"/>
        <v>EVT-2026-0504</v>
      </c>
      <c r="B506" s="27">
        <v>2026</v>
      </c>
      <c r="C506" s="27" t="s">
        <v>97</v>
      </c>
      <c r="D506" s="30">
        <v>46142</v>
      </c>
      <c r="E506" s="27" t="s">
        <v>216</v>
      </c>
      <c r="F506" s="27" t="s">
        <v>164</v>
      </c>
      <c r="G506" s="27" t="s">
        <v>228</v>
      </c>
      <c r="H506" s="27" t="s">
        <v>954</v>
      </c>
      <c r="I506" s="27" t="s">
        <v>481</v>
      </c>
      <c r="J506" s="27" t="s">
        <v>177</v>
      </c>
      <c r="K506" s="10">
        <v>0</v>
      </c>
      <c r="L506" s="36" t="s">
        <v>263</v>
      </c>
      <c r="M506" s="37"/>
      <c r="N506" s="37"/>
      <c r="O506" s="27"/>
      <c r="P506" s="27"/>
      <c r="Q506" s="27"/>
      <c r="R506" s="27"/>
      <c r="S506" s="1" t="s">
        <v>264</v>
      </c>
      <c r="T506" s="29" t="s">
        <v>265</v>
      </c>
      <c r="U506" s="27"/>
      <c r="V506" s="27"/>
      <c r="W506" s="27"/>
    </row>
    <row r="507" spans="1:23" ht="24" customHeight="1">
      <c r="A507" s="27" t="str">
        <f t="shared" ca="1" si="7"/>
        <v>EVT-2026-0505</v>
      </c>
      <c r="B507" s="27">
        <v>2026</v>
      </c>
      <c r="C507" s="27" t="s">
        <v>97</v>
      </c>
      <c r="D507" s="30">
        <v>46142</v>
      </c>
      <c r="E507" s="27" t="s">
        <v>216</v>
      </c>
      <c r="F507" s="27" t="s">
        <v>164</v>
      </c>
      <c r="G507" s="27" t="s">
        <v>262</v>
      </c>
      <c r="H507" s="27"/>
      <c r="I507" s="27"/>
      <c r="J507" s="27" t="s">
        <v>177</v>
      </c>
      <c r="K507" s="10">
        <v>0</v>
      </c>
      <c r="L507" s="36" t="s">
        <v>263</v>
      </c>
      <c r="M507" s="37"/>
      <c r="N507" s="37"/>
      <c r="O507" s="27"/>
      <c r="P507" s="27"/>
      <c r="Q507" s="27"/>
      <c r="R507" s="27"/>
      <c r="S507" s="1" t="s">
        <v>264</v>
      </c>
      <c r="T507" s="29" t="s">
        <v>265</v>
      </c>
      <c r="U507" s="27"/>
      <c r="V507" s="27"/>
      <c r="W507" s="27"/>
    </row>
    <row r="508" spans="1:23" ht="24" customHeight="1">
      <c r="A508" s="27" t="str">
        <f t="shared" ca="1" si="7"/>
        <v>EVT-2026-0506</v>
      </c>
      <c r="B508" s="27">
        <v>2026</v>
      </c>
      <c r="C508" s="27" t="s">
        <v>97</v>
      </c>
      <c r="D508" s="27"/>
      <c r="E508" s="27"/>
      <c r="F508" s="27" t="s">
        <v>164</v>
      </c>
      <c r="G508" s="27" t="s">
        <v>262</v>
      </c>
      <c r="H508" s="27"/>
      <c r="I508" s="27"/>
      <c r="J508" s="27" t="s">
        <v>177</v>
      </c>
      <c r="K508" s="10">
        <v>2</v>
      </c>
      <c r="L508" s="36" t="s">
        <v>263</v>
      </c>
      <c r="M508" s="37"/>
      <c r="N508" s="37"/>
      <c r="O508" s="27"/>
      <c r="P508" s="27"/>
      <c r="Q508" s="27"/>
      <c r="R508" s="27"/>
      <c r="S508" s="1" t="s">
        <v>264</v>
      </c>
      <c r="T508" s="29" t="s">
        <v>265</v>
      </c>
      <c r="U508" s="27"/>
      <c r="V508" s="27"/>
      <c r="W508" s="27"/>
    </row>
    <row r="509" spans="1:23" ht="24" customHeight="1">
      <c r="A509" s="27" t="str">
        <f t="shared" ca="1" si="7"/>
        <v>EVT-2026-0507</v>
      </c>
      <c r="B509" s="27">
        <v>2026</v>
      </c>
      <c r="C509" s="27" t="s">
        <v>97</v>
      </c>
      <c r="D509" s="30">
        <v>46113</v>
      </c>
      <c r="E509" s="27" t="s">
        <v>201</v>
      </c>
      <c r="F509" s="27" t="s">
        <v>126</v>
      </c>
      <c r="G509" s="27" t="s">
        <v>202</v>
      </c>
      <c r="H509" s="27" t="s">
        <v>736</v>
      </c>
      <c r="I509" s="27" t="s">
        <v>955</v>
      </c>
      <c r="J509" s="27" t="s">
        <v>134</v>
      </c>
      <c r="K509" s="10">
        <v>20</v>
      </c>
      <c r="L509" s="36" t="s">
        <v>263</v>
      </c>
      <c r="M509" s="37" t="s">
        <v>269</v>
      </c>
      <c r="N509" s="37" t="s">
        <v>270</v>
      </c>
      <c r="O509" s="27"/>
      <c r="P509" s="27"/>
      <c r="Q509" s="27" t="s">
        <v>494</v>
      </c>
      <c r="R509" s="27"/>
      <c r="S509" s="1" t="s">
        <v>264</v>
      </c>
      <c r="T509" s="29" t="s">
        <v>265</v>
      </c>
      <c r="U509" s="27"/>
      <c r="V509" s="27" t="s">
        <v>303</v>
      </c>
      <c r="W509" s="27"/>
    </row>
    <row r="510" spans="1:23" ht="24" customHeight="1">
      <c r="A510" s="27" t="str">
        <f t="shared" ca="1" si="7"/>
        <v>EVT-2026-0508</v>
      </c>
      <c r="B510" s="27">
        <v>2026</v>
      </c>
      <c r="C510" s="27" t="s">
        <v>97</v>
      </c>
      <c r="D510" s="30">
        <v>46113</v>
      </c>
      <c r="E510" s="27" t="s">
        <v>201</v>
      </c>
      <c r="F510" s="27" t="s">
        <v>126</v>
      </c>
      <c r="G510" s="27" t="s">
        <v>228</v>
      </c>
      <c r="H510" s="27" t="s">
        <v>956</v>
      </c>
      <c r="I510" s="27" t="s">
        <v>955</v>
      </c>
      <c r="J510" s="27" t="s">
        <v>134</v>
      </c>
      <c r="K510" s="10">
        <v>20</v>
      </c>
      <c r="L510" s="36" t="s">
        <v>263</v>
      </c>
      <c r="M510" s="37" t="s">
        <v>269</v>
      </c>
      <c r="N510" s="37" t="s">
        <v>270</v>
      </c>
      <c r="O510" s="27"/>
      <c r="P510" s="27"/>
      <c r="Q510" s="27" t="s">
        <v>494</v>
      </c>
      <c r="R510" s="27"/>
      <c r="S510" s="1" t="s">
        <v>264</v>
      </c>
      <c r="T510" s="29" t="s">
        <v>265</v>
      </c>
      <c r="U510" s="27"/>
      <c r="V510" s="27" t="s">
        <v>303</v>
      </c>
      <c r="W510" s="27"/>
    </row>
    <row r="511" spans="1:23" ht="24" customHeight="1">
      <c r="A511" s="27" t="str">
        <f t="shared" ca="1" si="7"/>
        <v>EVT-2026-0509</v>
      </c>
      <c r="B511" s="27">
        <v>2026</v>
      </c>
      <c r="C511" s="27" t="s">
        <v>97</v>
      </c>
      <c r="D511" s="30">
        <v>46113</v>
      </c>
      <c r="E511" s="27" t="s">
        <v>201</v>
      </c>
      <c r="F511" s="27" t="s">
        <v>126</v>
      </c>
      <c r="G511" s="27" t="s">
        <v>208</v>
      </c>
      <c r="H511" s="27" t="s">
        <v>348</v>
      </c>
      <c r="I511" s="27" t="s">
        <v>957</v>
      </c>
      <c r="J511" s="27" t="s">
        <v>127</v>
      </c>
      <c r="K511" s="10">
        <v>100</v>
      </c>
      <c r="L511" s="38" t="s">
        <v>294</v>
      </c>
      <c r="M511" s="37" t="s">
        <v>315</v>
      </c>
      <c r="N511" s="37" t="s">
        <v>506</v>
      </c>
      <c r="O511" s="27"/>
      <c r="P511" s="27"/>
      <c r="Q511" s="27" t="s">
        <v>367</v>
      </c>
      <c r="R511" s="27"/>
      <c r="S511" s="1" t="s">
        <v>264</v>
      </c>
      <c r="T511" s="29" t="s">
        <v>265</v>
      </c>
      <c r="U511" s="27"/>
      <c r="V511" s="27" t="s">
        <v>298</v>
      </c>
      <c r="W511" s="27"/>
    </row>
    <row r="512" spans="1:23" ht="24" customHeight="1">
      <c r="A512" s="27" t="str">
        <f t="shared" ca="1" si="7"/>
        <v>EVT-2026-0510</v>
      </c>
      <c r="B512" s="27">
        <v>2026</v>
      </c>
      <c r="C512" s="27" t="s">
        <v>97</v>
      </c>
      <c r="D512" s="30">
        <v>46113</v>
      </c>
      <c r="E512" s="27" t="s">
        <v>201</v>
      </c>
      <c r="F512" s="27" t="s">
        <v>126</v>
      </c>
      <c r="G512" s="27" t="s">
        <v>208</v>
      </c>
      <c r="H512" s="27" t="s">
        <v>348</v>
      </c>
      <c r="I512" s="27" t="s">
        <v>958</v>
      </c>
      <c r="J512" s="27" t="s">
        <v>177</v>
      </c>
      <c r="K512" s="10">
        <v>40</v>
      </c>
      <c r="L512" s="36" t="s">
        <v>263</v>
      </c>
      <c r="M512" s="37" t="s">
        <v>330</v>
      </c>
      <c r="N512" s="37" t="s">
        <v>553</v>
      </c>
      <c r="O512" s="27"/>
      <c r="P512" s="27"/>
      <c r="Q512" s="27" t="s">
        <v>959</v>
      </c>
      <c r="R512" s="27"/>
      <c r="S512" s="1" t="s">
        <v>264</v>
      </c>
      <c r="T512" s="29" t="s">
        <v>265</v>
      </c>
      <c r="U512" s="27"/>
      <c r="V512" s="27" t="s">
        <v>298</v>
      </c>
      <c r="W512" s="27"/>
    </row>
    <row r="513" spans="1:23" ht="24" customHeight="1">
      <c r="A513" s="27" t="str">
        <f t="shared" ca="1" si="7"/>
        <v>EVT-2026-0511</v>
      </c>
      <c r="B513" s="27">
        <v>2026</v>
      </c>
      <c r="C513" s="27" t="s">
        <v>97</v>
      </c>
      <c r="D513" s="30">
        <v>46113</v>
      </c>
      <c r="E513" s="27" t="s">
        <v>201</v>
      </c>
      <c r="F513" s="27" t="s">
        <v>126</v>
      </c>
      <c r="G513" s="27" t="s">
        <v>208</v>
      </c>
      <c r="H513" s="27" t="s">
        <v>348</v>
      </c>
      <c r="I513" s="27" t="s">
        <v>349</v>
      </c>
      <c r="J513" s="27" t="s">
        <v>145</v>
      </c>
      <c r="K513" s="10">
        <v>50</v>
      </c>
      <c r="L513" s="36" t="s">
        <v>263</v>
      </c>
      <c r="M513" s="37" t="s">
        <v>350</v>
      </c>
      <c r="N513" s="37" t="s">
        <v>296</v>
      </c>
      <c r="O513" s="27"/>
      <c r="P513" s="27"/>
      <c r="Q513" s="27" t="s">
        <v>351</v>
      </c>
      <c r="R513" s="27"/>
      <c r="S513" s="1" t="s">
        <v>264</v>
      </c>
      <c r="T513" s="29" t="s">
        <v>265</v>
      </c>
      <c r="U513" s="30">
        <v>46008</v>
      </c>
      <c r="V513" s="27" t="s">
        <v>303</v>
      </c>
      <c r="W513" s="27"/>
    </row>
    <row r="514" spans="1:23" ht="24" customHeight="1">
      <c r="A514" s="27" t="str">
        <f t="shared" ca="1" si="7"/>
        <v>EVT-2026-0512</v>
      </c>
      <c r="B514" s="27">
        <v>2026</v>
      </c>
      <c r="C514" s="27" t="s">
        <v>97</v>
      </c>
      <c r="D514" s="30">
        <v>46114</v>
      </c>
      <c r="E514" s="27" t="s">
        <v>216</v>
      </c>
      <c r="F514" s="27" t="s">
        <v>126</v>
      </c>
      <c r="G514" s="27" t="s">
        <v>960</v>
      </c>
      <c r="H514" s="27" t="s">
        <v>348</v>
      </c>
      <c r="I514" s="27" t="s">
        <v>349</v>
      </c>
      <c r="J514" s="27" t="s">
        <v>145</v>
      </c>
      <c r="K514" s="10">
        <v>50</v>
      </c>
      <c r="L514" s="36" t="s">
        <v>263</v>
      </c>
      <c r="M514" s="37" t="s">
        <v>350</v>
      </c>
      <c r="N514" s="37" t="s">
        <v>296</v>
      </c>
      <c r="O514" s="27"/>
      <c r="P514" s="27"/>
      <c r="Q514" s="27" t="s">
        <v>351</v>
      </c>
      <c r="R514" s="27"/>
      <c r="S514" s="1" t="s">
        <v>264</v>
      </c>
      <c r="T514" s="29" t="s">
        <v>265</v>
      </c>
      <c r="U514" s="30">
        <v>46050</v>
      </c>
      <c r="V514" s="27" t="s">
        <v>303</v>
      </c>
      <c r="W514" s="27"/>
    </row>
    <row r="515" spans="1:23" ht="24" customHeight="1">
      <c r="A515" s="27" t="str">
        <f t="shared" ref="A515:A578" ca="1" si="8">IF(OR(D515&lt;&gt;"",H515&lt;&gt;"",I515&lt;&gt;"",Q515&lt;&gt;"",S515&lt;&gt;""), "EVT-" &amp; TEXT(B515, "0000") &amp; "-" &amp; TEXT(COUNTIF(OFFSET($A$1, 1, 0, ROW()-2, 1), "EVT*") + 1, "0000"), "")</f>
        <v>EVT-2026-0513</v>
      </c>
      <c r="B515" s="27">
        <v>2026</v>
      </c>
      <c r="C515" s="27" t="s">
        <v>97</v>
      </c>
      <c r="D515" s="30">
        <v>46115</v>
      </c>
      <c r="E515" s="27" t="s">
        <v>220</v>
      </c>
      <c r="F515" s="27" t="s">
        <v>126</v>
      </c>
      <c r="G515" s="27" t="s">
        <v>960</v>
      </c>
      <c r="H515" s="27" t="s">
        <v>348</v>
      </c>
      <c r="I515" s="27" t="s">
        <v>877</v>
      </c>
      <c r="J515" s="27" t="s">
        <v>127</v>
      </c>
      <c r="K515" s="10">
        <v>40</v>
      </c>
      <c r="L515" s="36" t="s">
        <v>263</v>
      </c>
      <c r="M515" s="37" t="s">
        <v>295</v>
      </c>
      <c r="N515" s="37" t="s">
        <v>296</v>
      </c>
      <c r="O515" s="27"/>
      <c r="P515" s="27"/>
      <c r="Q515" s="27" t="s">
        <v>961</v>
      </c>
      <c r="R515" s="27"/>
      <c r="S515" s="1" t="s">
        <v>264</v>
      </c>
      <c r="T515" s="29" t="s">
        <v>265</v>
      </c>
      <c r="U515" s="27"/>
      <c r="V515" s="27" t="s">
        <v>298</v>
      </c>
      <c r="W515" s="27"/>
    </row>
    <row r="516" spans="1:23" ht="24" customHeight="1">
      <c r="A516" s="27" t="str">
        <f t="shared" ca="1" si="8"/>
        <v>EVT-2026-0514</v>
      </c>
      <c r="B516" s="27">
        <v>2026</v>
      </c>
      <c r="C516" s="27" t="s">
        <v>97</v>
      </c>
      <c r="D516" s="30">
        <v>46116</v>
      </c>
      <c r="E516" s="27" t="s">
        <v>266</v>
      </c>
      <c r="F516" s="27" t="s">
        <v>126</v>
      </c>
      <c r="G516" s="27"/>
      <c r="H516" s="27"/>
      <c r="I516" s="27"/>
      <c r="J516" s="27" t="s">
        <v>177</v>
      </c>
      <c r="K516" s="10">
        <v>0</v>
      </c>
      <c r="L516" s="36" t="s">
        <v>263</v>
      </c>
      <c r="M516" s="37"/>
      <c r="N516" s="37"/>
      <c r="O516" s="27"/>
      <c r="P516" s="27"/>
      <c r="Q516" s="27"/>
      <c r="R516" s="27"/>
      <c r="S516" s="1" t="s">
        <v>264</v>
      </c>
      <c r="T516" s="29" t="s">
        <v>265</v>
      </c>
      <c r="U516" s="27"/>
      <c r="V516" s="27"/>
      <c r="W516" s="27"/>
    </row>
    <row r="517" spans="1:23" ht="24" customHeight="1">
      <c r="A517" s="27" t="str">
        <f t="shared" ca="1" si="8"/>
        <v>EVT-2026-0515</v>
      </c>
      <c r="B517" s="27">
        <v>2026</v>
      </c>
      <c r="C517" s="27" t="s">
        <v>97</v>
      </c>
      <c r="D517" s="30">
        <v>46117</v>
      </c>
      <c r="E517" s="27" t="s">
        <v>267</v>
      </c>
      <c r="F517" s="27" t="s">
        <v>126</v>
      </c>
      <c r="G517" s="27"/>
      <c r="H517" s="27"/>
      <c r="I517" s="27"/>
      <c r="J517" s="27" t="s">
        <v>177</v>
      </c>
      <c r="K517" s="10">
        <v>0</v>
      </c>
      <c r="L517" s="36" t="s">
        <v>263</v>
      </c>
      <c r="M517" s="37"/>
      <c r="N517" s="37"/>
      <c r="O517" s="27"/>
      <c r="P517" s="27"/>
      <c r="Q517" s="27"/>
      <c r="R517" s="27"/>
      <c r="S517" s="1" t="s">
        <v>264</v>
      </c>
      <c r="T517" s="29" t="s">
        <v>265</v>
      </c>
      <c r="U517" s="27"/>
      <c r="V517" s="27"/>
      <c r="W517" s="27"/>
    </row>
    <row r="518" spans="1:23" ht="24" customHeight="1">
      <c r="A518" s="27" t="str">
        <f t="shared" ca="1" si="8"/>
        <v>EVT-2026-0516</v>
      </c>
      <c r="B518" s="27">
        <v>2026</v>
      </c>
      <c r="C518" s="27" t="s">
        <v>97</v>
      </c>
      <c r="D518" s="30">
        <v>46118</v>
      </c>
      <c r="E518" s="27" t="s">
        <v>224</v>
      </c>
      <c r="F518" s="27" t="s">
        <v>126</v>
      </c>
      <c r="G518" s="27"/>
      <c r="H518" s="27"/>
      <c r="I518" s="27"/>
      <c r="J518" s="27" t="s">
        <v>177</v>
      </c>
      <c r="K518" s="10">
        <v>0</v>
      </c>
      <c r="L518" s="36" t="s">
        <v>263</v>
      </c>
      <c r="M518" s="37"/>
      <c r="N518" s="37"/>
      <c r="O518" s="27"/>
      <c r="P518" s="27"/>
      <c r="Q518" s="27"/>
      <c r="R518" s="27"/>
      <c r="S518" s="1" t="s">
        <v>264</v>
      </c>
      <c r="T518" s="29" t="s">
        <v>265</v>
      </c>
      <c r="U518" s="27"/>
      <c r="V518" s="27"/>
      <c r="W518" s="27"/>
    </row>
    <row r="519" spans="1:23" ht="24" customHeight="1">
      <c r="A519" s="27" t="str">
        <f t="shared" ca="1" si="8"/>
        <v>EVT-2026-0517</v>
      </c>
      <c r="B519" s="27">
        <v>2026</v>
      </c>
      <c r="C519" s="27" t="s">
        <v>97</v>
      </c>
      <c r="D519" s="30">
        <v>46119</v>
      </c>
      <c r="E519" s="27" t="s">
        <v>227</v>
      </c>
      <c r="F519" s="27" t="s">
        <v>126</v>
      </c>
      <c r="G519" s="27" t="s">
        <v>208</v>
      </c>
      <c r="H519" s="27" t="s">
        <v>348</v>
      </c>
      <c r="I519" s="27" t="s">
        <v>349</v>
      </c>
      <c r="J519" s="27" t="s">
        <v>145</v>
      </c>
      <c r="K519" s="10">
        <v>50</v>
      </c>
      <c r="L519" s="36" t="s">
        <v>263</v>
      </c>
      <c r="M519" s="37" t="s">
        <v>350</v>
      </c>
      <c r="N519" s="37" t="s">
        <v>296</v>
      </c>
      <c r="O519" s="27"/>
      <c r="P519" s="27"/>
      <c r="Q519" s="27" t="s">
        <v>351</v>
      </c>
      <c r="R519" s="27"/>
      <c r="S519" s="1" t="s">
        <v>264</v>
      </c>
      <c r="T519" s="29" t="s">
        <v>265</v>
      </c>
      <c r="U519" s="30">
        <v>46008</v>
      </c>
      <c r="V519" s="27" t="s">
        <v>303</v>
      </c>
      <c r="W519" s="27"/>
    </row>
    <row r="520" spans="1:23" ht="24" customHeight="1">
      <c r="A520" s="27" t="str">
        <f t="shared" ca="1" si="8"/>
        <v>EVT-2026-0518</v>
      </c>
      <c r="B520" s="27">
        <v>2026</v>
      </c>
      <c r="C520" s="27" t="s">
        <v>97</v>
      </c>
      <c r="D520" s="30">
        <v>46120</v>
      </c>
      <c r="E520" s="27" t="s">
        <v>201</v>
      </c>
      <c r="F520" s="27" t="s">
        <v>126</v>
      </c>
      <c r="G520" s="27" t="s">
        <v>208</v>
      </c>
      <c r="H520" s="27" t="s">
        <v>348</v>
      </c>
      <c r="I520" s="27" t="s">
        <v>349</v>
      </c>
      <c r="J520" s="27" t="s">
        <v>145</v>
      </c>
      <c r="K520" s="10">
        <v>50</v>
      </c>
      <c r="L520" s="36" t="s">
        <v>263</v>
      </c>
      <c r="M520" s="37" t="s">
        <v>350</v>
      </c>
      <c r="N520" s="37" t="s">
        <v>296</v>
      </c>
      <c r="O520" s="27"/>
      <c r="P520" s="27"/>
      <c r="Q520" s="27" t="s">
        <v>351</v>
      </c>
      <c r="R520" s="27"/>
      <c r="S520" s="1" t="s">
        <v>264</v>
      </c>
      <c r="T520" s="29" t="s">
        <v>265</v>
      </c>
      <c r="U520" s="30">
        <v>46008</v>
      </c>
      <c r="V520" s="27" t="s">
        <v>303</v>
      </c>
      <c r="W520" s="27"/>
    </row>
    <row r="521" spans="1:23" ht="24" customHeight="1">
      <c r="A521" s="27" t="str">
        <f t="shared" ca="1" si="8"/>
        <v>EVT-2026-0519</v>
      </c>
      <c r="B521" s="27">
        <v>2026</v>
      </c>
      <c r="C521" s="27" t="s">
        <v>97</v>
      </c>
      <c r="D521" s="30">
        <v>46121</v>
      </c>
      <c r="E521" s="27" t="s">
        <v>216</v>
      </c>
      <c r="F521" s="27" t="s">
        <v>126</v>
      </c>
      <c r="G521" s="27" t="s">
        <v>208</v>
      </c>
      <c r="H521" s="27" t="s">
        <v>348</v>
      </c>
      <c r="I521" s="27" t="s">
        <v>349</v>
      </c>
      <c r="J521" s="27" t="s">
        <v>145</v>
      </c>
      <c r="K521" s="10">
        <v>50</v>
      </c>
      <c r="L521" s="36" t="s">
        <v>263</v>
      </c>
      <c r="M521" s="37" t="s">
        <v>350</v>
      </c>
      <c r="N521" s="37" t="s">
        <v>296</v>
      </c>
      <c r="O521" s="27"/>
      <c r="P521" s="27"/>
      <c r="Q521" s="27" t="s">
        <v>351</v>
      </c>
      <c r="R521" s="27"/>
      <c r="S521" s="1" t="s">
        <v>264</v>
      </c>
      <c r="T521" s="29" t="s">
        <v>265</v>
      </c>
      <c r="U521" s="30">
        <v>46008</v>
      </c>
      <c r="V521" s="27" t="s">
        <v>303</v>
      </c>
      <c r="W521" s="27"/>
    </row>
    <row r="522" spans="1:23" ht="24" customHeight="1">
      <c r="A522" s="27" t="str">
        <f t="shared" ca="1" si="8"/>
        <v>EVT-2026-0520</v>
      </c>
      <c r="B522" s="27">
        <v>2026</v>
      </c>
      <c r="C522" s="27" t="s">
        <v>97</v>
      </c>
      <c r="D522" s="30">
        <v>46121</v>
      </c>
      <c r="E522" s="27" t="s">
        <v>216</v>
      </c>
      <c r="F522" s="27" t="s">
        <v>126</v>
      </c>
      <c r="G522" s="27" t="s">
        <v>202</v>
      </c>
      <c r="H522" s="27" t="s">
        <v>348</v>
      </c>
      <c r="I522" s="27"/>
      <c r="J522" s="27" t="s">
        <v>177</v>
      </c>
      <c r="K522" s="10">
        <v>18</v>
      </c>
      <c r="L522" s="36" t="s">
        <v>263</v>
      </c>
      <c r="M522" s="37" t="s">
        <v>331</v>
      </c>
      <c r="N522" s="37" t="s">
        <v>350</v>
      </c>
      <c r="O522" s="27"/>
      <c r="P522" s="27"/>
      <c r="Q522" s="27" t="s">
        <v>615</v>
      </c>
      <c r="R522" s="27"/>
      <c r="S522" s="1" t="s">
        <v>264</v>
      </c>
      <c r="T522" s="29" t="s">
        <v>265</v>
      </c>
      <c r="U522" s="27"/>
      <c r="V522" s="27" t="s">
        <v>380</v>
      </c>
      <c r="W522" s="27"/>
    </row>
    <row r="523" spans="1:23" ht="24" customHeight="1">
      <c r="A523" s="27" t="str">
        <f t="shared" ca="1" si="8"/>
        <v>EVT-2026-0521</v>
      </c>
      <c r="B523" s="27">
        <v>2026</v>
      </c>
      <c r="C523" s="27" t="s">
        <v>97</v>
      </c>
      <c r="D523" s="30">
        <v>46122</v>
      </c>
      <c r="E523" s="27" t="s">
        <v>220</v>
      </c>
      <c r="F523" s="27" t="s">
        <v>126</v>
      </c>
      <c r="G523" s="27" t="s">
        <v>202</v>
      </c>
      <c r="H523" s="27" t="s">
        <v>348</v>
      </c>
      <c r="I523" s="27" t="s">
        <v>962</v>
      </c>
      <c r="J523" s="27" t="s">
        <v>139</v>
      </c>
      <c r="K523" s="10">
        <v>60</v>
      </c>
      <c r="L523" s="36" t="s">
        <v>263</v>
      </c>
      <c r="M523" s="37" t="s">
        <v>309</v>
      </c>
      <c r="N523" s="37" t="s">
        <v>290</v>
      </c>
      <c r="O523" s="27"/>
      <c r="P523" s="27"/>
      <c r="Q523" s="27" t="s">
        <v>379</v>
      </c>
      <c r="R523" s="27"/>
      <c r="S523" s="1" t="s">
        <v>264</v>
      </c>
      <c r="T523" s="29" t="s">
        <v>265</v>
      </c>
      <c r="U523" s="27"/>
      <c r="V523" s="27" t="s">
        <v>598</v>
      </c>
      <c r="W523" s="27"/>
    </row>
    <row r="524" spans="1:23" ht="24" customHeight="1">
      <c r="A524" s="27" t="str">
        <f t="shared" ca="1" si="8"/>
        <v>EVT-2026-0522</v>
      </c>
      <c r="B524" s="27">
        <v>2026</v>
      </c>
      <c r="C524" s="27" t="s">
        <v>97</v>
      </c>
      <c r="D524" s="30">
        <v>46122</v>
      </c>
      <c r="E524" s="27" t="s">
        <v>220</v>
      </c>
      <c r="F524" s="27" t="s">
        <v>126</v>
      </c>
      <c r="G524" s="27" t="s">
        <v>202</v>
      </c>
      <c r="H524" s="27" t="s">
        <v>348</v>
      </c>
      <c r="I524" s="27" t="s">
        <v>895</v>
      </c>
      <c r="J524" s="27" t="s">
        <v>158</v>
      </c>
      <c r="K524" s="10">
        <v>60</v>
      </c>
      <c r="L524" s="36" t="s">
        <v>263</v>
      </c>
      <c r="M524" s="37" t="s">
        <v>295</v>
      </c>
      <c r="N524" s="37" t="s">
        <v>296</v>
      </c>
      <c r="O524" s="27"/>
      <c r="P524" s="27"/>
      <c r="Q524" s="27" t="s">
        <v>719</v>
      </c>
      <c r="R524" s="27"/>
      <c r="S524" s="1" t="s">
        <v>264</v>
      </c>
      <c r="T524" s="29" t="s">
        <v>265</v>
      </c>
      <c r="U524" s="30">
        <v>46112</v>
      </c>
      <c r="V524" s="27" t="s">
        <v>298</v>
      </c>
      <c r="W524" s="27"/>
    </row>
    <row r="525" spans="1:23" ht="24" customHeight="1">
      <c r="A525" s="27" t="str">
        <f t="shared" ca="1" si="8"/>
        <v>EVT-2026-0523</v>
      </c>
      <c r="B525" s="27">
        <v>2026</v>
      </c>
      <c r="C525" s="27" t="s">
        <v>97</v>
      </c>
      <c r="D525" s="30">
        <v>46122</v>
      </c>
      <c r="E525" s="27" t="s">
        <v>220</v>
      </c>
      <c r="F525" s="27" t="s">
        <v>126</v>
      </c>
      <c r="G525" s="27" t="s">
        <v>208</v>
      </c>
      <c r="H525" s="27" t="s">
        <v>348</v>
      </c>
      <c r="I525" s="27" t="s">
        <v>963</v>
      </c>
      <c r="J525" s="27" t="s">
        <v>158</v>
      </c>
      <c r="K525" s="10">
        <v>0</v>
      </c>
      <c r="L525" s="36" t="s">
        <v>263</v>
      </c>
      <c r="M525" s="37" t="s">
        <v>275</v>
      </c>
      <c r="N525" s="37" t="s">
        <v>289</v>
      </c>
      <c r="O525" s="27"/>
      <c r="P525" s="27"/>
      <c r="Q525" s="27" t="s">
        <v>367</v>
      </c>
      <c r="R525" s="27"/>
      <c r="S525" s="1" t="s">
        <v>264</v>
      </c>
      <c r="T525" s="29" t="s">
        <v>265</v>
      </c>
      <c r="U525" s="27"/>
      <c r="V525" s="27"/>
      <c r="W525" s="27"/>
    </row>
    <row r="526" spans="1:23" ht="24" customHeight="1">
      <c r="A526" s="27" t="str">
        <f t="shared" ca="1" si="8"/>
        <v>EVT-2026-0524</v>
      </c>
      <c r="B526" s="27">
        <v>2026</v>
      </c>
      <c r="C526" s="27" t="s">
        <v>97</v>
      </c>
      <c r="D526" s="30">
        <v>46123</v>
      </c>
      <c r="E526" s="27" t="s">
        <v>266</v>
      </c>
      <c r="F526" s="27" t="s">
        <v>126</v>
      </c>
      <c r="G526" s="27" t="s">
        <v>202</v>
      </c>
      <c r="H526" s="27" t="s">
        <v>300</v>
      </c>
      <c r="I526" s="27" t="s">
        <v>964</v>
      </c>
      <c r="J526" s="27" t="s">
        <v>145</v>
      </c>
      <c r="K526" s="10">
        <v>160</v>
      </c>
      <c r="L526" s="38" t="s">
        <v>294</v>
      </c>
      <c r="M526" s="37" t="s">
        <v>269</v>
      </c>
      <c r="N526" s="37" t="s">
        <v>270</v>
      </c>
      <c r="O526" s="27"/>
      <c r="P526" s="27"/>
      <c r="Q526" s="27" t="s">
        <v>965</v>
      </c>
      <c r="R526" s="27"/>
      <c r="S526" s="1" t="s">
        <v>264</v>
      </c>
      <c r="T526" s="29" t="s">
        <v>265</v>
      </c>
      <c r="U526" s="27"/>
      <c r="V526" s="27"/>
      <c r="W526" s="27"/>
    </row>
    <row r="527" spans="1:23" ht="24" customHeight="1">
      <c r="A527" s="27" t="str">
        <f t="shared" ca="1" si="8"/>
        <v>EVT-2026-0525</v>
      </c>
      <c r="B527" s="27">
        <v>2026</v>
      </c>
      <c r="C527" s="27" t="s">
        <v>97</v>
      </c>
      <c r="D527" s="30">
        <v>46124</v>
      </c>
      <c r="E527" s="27" t="s">
        <v>267</v>
      </c>
      <c r="F527" s="27" t="s">
        <v>126</v>
      </c>
      <c r="G527" s="27"/>
      <c r="H527" s="27"/>
      <c r="I527" s="27"/>
      <c r="J527" s="27" t="s">
        <v>177</v>
      </c>
      <c r="K527" s="10">
        <v>0</v>
      </c>
      <c r="L527" s="36" t="s">
        <v>263</v>
      </c>
      <c r="M527" s="37"/>
      <c r="N527" s="37"/>
      <c r="O527" s="27"/>
      <c r="P527" s="27"/>
      <c r="Q527" s="27"/>
      <c r="R527" s="27"/>
      <c r="S527" s="1" t="s">
        <v>264</v>
      </c>
      <c r="T527" s="29" t="s">
        <v>265</v>
      </c>
      <c r="U527" s="27"/>
      <c r="V527" s="27"/>
      <c r="W527" s="27"/>
    </row>
    <row r="528" spans="1:23" ht="24" customHeight="1">
      <c r="A528" s="27" t="str">
        <f t="shared" ca="1" si="8"/>
        <v>EVT-2026-0526</v>
      </c>
      <c r="B528" s="27">
        <v>2026</v>
      </c>
      <c r="C528" s="27" t="s">
        <v>97</v>
      </c>
      <c r="D528" s="30">
        <v>46124</v>
      </c>
      <c r="E528" s="27" t="s">
        <v>267</v>
      </c>
      <c r="F528" s="27" t="s">
        <v>126</v>
      </c>
      <c r="G528" s="27" t="s">
        <v>202</v>
      </c>
      <c r="H528" s="27" t="s">
        <v>348</v>
      </c>
      <c r="I528" s="27" t="s">
        <v>966</v>
      </c>
      <c r="J528" s="27" t="s">
        <v>134</v>
      </c>
      <c r="K528" s="10">
        <v>59</v>
      </c>
      <c r="L528" s="36" t="s">
        <v>263</v>
      </c>
      <c r="M528" s="37" t="s">
        <v>269</v>
      </c>
      <c r="N528" s="37" t="s">
        <v>270</v>
      </c>
      <c r="O528" s="27"/>
      <c r="P528" s="27"/>
      <c r="Q528" s="27" t="s">
        <v>494</v>
      </c>
      <c r="R528" s="27"/>
      <c r="S528" s="1" t="s">
        <v>264</v>
      </c>
      <c r="T528" s="29" t="s">
        <v>265</v>
      </c>
      <c r="U528" s="27"/>
      <c r="V528" s="27" t="s">
        <v>303</v>
      </c>
      <c r="W528" s="27"/>
    </row>
    <row r="529" spans="1:23" ht="24" customHeight="1">
      <c r="A529" s="27" t="str">
        <f t="shared" ca="1" si="8"/>
        <v>EVT-2026-0527</v>
      </c>
      <c r="B529" s="27">
        <v>2026</v>
      </c>
      <c r="C529" s="27" t="s">
        <v>97</v>
      </c>
      <c r="D529" s="30">
        <v>46125</v>
      </c>
      <c r="E529" s="27" t="s">
        <v>224</v>
      </c>
      <c r="F529" s="27" t="s">
        <v>126</v>
      </c>
      <c r="G529" s="27" t="s">
        <v>202</v>
      </c>
      <c r="H529" s="27" t="s">
        <v>967</v>
      </c>
      <c r="I529" s="27" t="s">
        <v>968</v>
      </c>
      <c r="J529" s="27" t="s">
        <v>152</v>
      </c>
      <c r="K529" s="10">
        <v>2</v>
      </c>
      <c r="L529" s="36" t="s">
        <v>263</v>
      </c>
      <c r="M529" s="37" t="s">
        <v>269</v>
      </c>
      <c r="N529" s="37" t="s">
        <v>270</v>
      </c>
      <c r="O529" s="27"/>
      <c r="P529" s="27"/>
      <c r="Q529" s="27" t="s">
        <v>379</v>
      </c>
      <c r="R529" s="27"/>
      <c r="S529" s="1" t="s">
        <v>264</v>
      </c>
      <c r="T529" s="29" t="s">
        <v>265</v>
      </c>
      <c r="U529" s="27"/>
      <c r="V529" s="27" t="s">
        <v>969</v>
      </c>
      <c r="W529" s="27"/>
    </row>
    <row r="530" spans="1:23" ht="24" customHeight="1">
      <c r="A530" s="27" t="str">
        <f t="shared" ca="1" si="8"/>
        <v>EVT-2026-0528</v>
      </c>
      <c r="B530" s="27">
        <v>2026</v>
      </c>
      <c r="C530" s="27" t="s">
        <v>97</v>
      </c>
      <c r="D530" s="30">
        <v>46125</v>
      </c>
      <c r="E530" s="27" t="s">
        <v>224</v>
      </c>
      <c r="F530" s="27" t="s">
        <v>126</v>
      </c>
      <c r="G530" s="27" t="s">
        <v>228</v>
      </c>
      <c r="H530" s="27" t="s">
        <v>496</v>
      </c>
      <c r="I530" s="27" t="s">
        <v>970</v>
      </c>
      <c r="J530" s="27" t="s">
        <v>177</v>
      </c>
      <c r="K530" s="10">
        <v>17</v>
      </c>
      <c r="L530" s="36" t="s">
        <v>263</v>
      </c>
      <c r="M530" s="37" t="s">
        <v>269</v>
      </c>
      <c r="N530" s="37" t="s">
        <v>270</v>
      </c>
      <c r="O530" s="27"/>
      <c r="P530" s="27"/>
      <c r="Q530" s="27" t="s">
        <v>494</v>
      </c>
      <c r="R530" s="27"/>
      <c r="S530" s="1" t="s">
        <v>264</v>
      </c>
      <c r="T530" s="29" t="s">
        <v>265</v>
      </c>
      <c r="U530" s="27"/>
      <c r="V530" s="27" t="s">
        <v>303</v>
      </c>
      <c r="W530" s="27"/>
    </row>
    <row r="531" spans="1:23" ht="24" customHeight="1">
      <c r="A531" s="27" t="str">
        <f t="shared" ca="1" si="8"/>
        <v>EVT-2026-0529</v>
      </c>
      <c r="B531" s="27">
        <v>2026</v>
      </c>
      <c r="C531" s="27" t="s">
        <v>97</v>
      </c>
      <c r="D531" s="30">
        <v>46126</v>
      </c>
      <c r="E531" s="27" t="s">
        <v>227</v>
      </c>
      <c r="F531" s="27" t="s">
        <v>126</v>
      </c>
      <c r="G531" s="27" t="s">
        <v>208</v>
      </c>
      <c r="H531" s="27" t="s">
        <v>348</v>
      </c>
      <c r="I531" s="27" t="s">
        <v>349</v>
      </c>
      <c r="J531" s="27" t="s">
        <v>145</v>
      </c>
      <c r="K531" s="10">
        <v>50</v>
      </c>
      <c r="L531" s="36" t="s">
        <v>263</v>
      </c>
      <c r="M531" s="37" t="s">
        <v>350</v>
      </c>
      <c r="N531" s="37" t="s">
        <v>296</v>
      </c>
      <c r="O531" s="27"/>
      <c r="P531" s="27"/>
      <c r="Q531" s="27" t="s">
        <v>351</v>
      </c>
      <c r="R531" s="27"/>
      <c r="S531" s="1" t="s">
        <v>264</v>
      </c>
      <c r="T531" s="29" t="s">
        <v>265</v>
      </c>
      <c r="U531" s="30">
        <v>46008</v>
      </c>
      <c r="V531" s="27" t="s">
        <v>303</v>
      </c>
      <c r="W531" s="27"/>
    </row>
    <row r="532" spans="1:23" ht="24" customHeight="1">
      <c r="A532" s="27" t="str">
        <f t="shared" ca="1" si="8"/>
        <v>EVT-2026-0530</v>
      </c>
      <c r="B532" s="27">
        <v>2026</v>
      </c>
      <c r="C532" s="27" t="s">
        <v>97</v>
      </c>
      <c r="D532" s="30">
        <v>46127</v>
      </c>
      <c r="E532" s="27" t="s">
        <v>201</v>
      </c>
      <c r="F532" s="27" t="s">
        <v>126</v>
      </c>
      <c r="G532" s="27" t="s">
        <v>202</v>
      </c>
      <c r="H532" s="27" t="s">
        <v>239</v>
      </c>
      <c r="I532" s="27" t="s">
        <v>971</v>
      </c>
      <c r="J532" s="27" t="s">
        <v>127</v>
      </c>
      <c r="K532" s="10">
        <v>0</v>
      </c>
      <c r="L532" s="36" t="s">
        <v>263</v>
      </c>
      <c r="M532" s="37" t="s">
        <v>315</v>
      </c>
      <c r="N532" s="37" t="s">
        <v>330</v>
      </c>
      <c r="O532" s="27"/>
      <c r="P532" s="27"/>
      <c r="Q532" s="27" t="s">
        <v>916</v>
      </c>
      <c r="R532" s="27"/>
      <c r="S532" s="3" t="s">
        <v>312</v>
      </c>
      <c r="T532" s="29" t="s">
        <v>265</v>
      </c>
      <c r="U532" s="30">
        <v>46098</v>
      </c>
      <c r="V532" s="27" t="s">
        <v>298</v>
      </c>
      <c r="W532" s="27" t="s">
        <v>679</v>
      </c>
    </row>
    <row r="533" spans="1:23" ht="24" customHeight="1">
      <c r="A533" s="27" t="str">
        <f t="shared" ca="1" si="8"/>
        <v>EVT-2026-0531</v>
      </c>
      <c r="B533" s="27">
        <v>2026</v>
      </c>
      <c r="C533" s="27" t="s">
        <v>97</v>
      </c>
      <c r="D533" s="30">
        <v>46127</v>
      </c>
      <c r="E533" s="27" t="s">
        <v>201</v>
      </c>
      <c r="F533" s="27" t="s">
        <v>126</v>
      </c>
      <c r="G533" s="27" t="s">
        <v>202</v>
      </c>
      <c r="H533" s="27" t="s">
        <v>239</v>
      </c>
      <c r="I533" s="27" t="s">
        <v>972</v>
      </c>
      <c r="J533" s="27" t="s">
        <v>127</v>
      </c>
      <c r="K533" s="10">
        <v>30</v>
      </c>
      <c r="L533" s="36" t="s">
        <v>263</v>
      </c>
      <c r="M533" s="37" t="s">
        <v>506</v>
      </c>
      <c r="N533" s="37" t="s">
        <v>429</v>
      </c>
      <c r="O533" s="27"/>
      <c r="P533" s="27"/>
      <c r="Q533" s="27" t="s">
        <v>618</v>
      </c>
      <c r="R533" s="27"/>
      <c r="S533" s="1" t="s">
        <v>264</v>
      </c>
      <c r="T533" s="29" t="s">
        <v>265</v>
      </c>
      <c r="U533" s="30">
        <v>46121</v>
      </c>
      <c r="V533" s="27" t="s">
        <v>298</v>
      </c>
      <c r="W533" s="27"/>
    </row>
    <row r="534" spans="1:23" ht="24" customHeight="1">
      <c r="A534" s="27" t="str">
        <f t="shared" ca="1" si="8"/>
        <v>EVT-2026-0532</v>
      </c>
      <c r="B534" s="27">
        <v>2026</v>
      </c>
      <c r="C534" s="27" t="s">
        <v>97</v>
      </c>
      <c r="D534" s="30">
        <v>46127</v>
      </c>
      <c r="E534" s="27" t="s">
        <v>201</v>
      </c>
      <c r="F534" s="27" t="s">
        <v>126</v>
      </c>
      <c r="G534" s="27" t="s">
        <v>208</v>
      </c>
      <c r="H534" s="27" t="s">
        <v>348</v>
      </c>
      <c r="I534" s="27" t="s">
        <v>973</v>
      </c>
      <c r="J534" s="27" t="s">
        <v>177</v>
      </c>
      <c r="K534" s="10">
        <v>60</v>
      </c>
      <c r="L534" s="36" t="s">
        <v>263</v>
      </c>
      <c r="M534" s="37" t="s">
        <v>429</v>
      </c>
      <c r="N534" s="37" t="s">
        <v>354</v>
      </c>
      <c r="O534" s="27"/>
      <c r="P534" s="27"/>
      <c r="Q534" s="27" t="s">
        <v>974</v>
      </c>
      <c r="R534" s="27"/>
      <c r="S534" s="1" t="s">
        <v>264</v>
      </c>
      <c r="T534" s="29" t="s">
        <v>265</v>
      </c>
      <c r="U534" s="27"/>
      <c r="V534" s="27" t="s">
        <v>298</v>
      </c>
      <c r="W534" s="27"/>
    </row>
    <row r="535" spans="1:23" ht="24" customHeight="1">
      <c r="A535" s="27" t="str">
        <f t="shared" ca="1" si="8"/>
        <v>EVT-2026-0533</v>
      </c>
      <c r="B535" s="27">
        <v>2026</v>
      </c>
      <c r="C535" s="27" t="s">
        <v>97</v>
      </c>
      <c r="D535" s="30">
        <v>46127</v>
      </c>
      <c r="E535" s="27" t="s">
        <v>201</v>
      </c>
      <c r="F535" s="27" t="s">
        <v>126</v>
      </c>
      <c r="G535" s="27" t="s">
        <v>208</v>
      </c>
      <c r="H535" s="27" t="s">
        <v>348</v>
      </c>
      <c r="I535" s="27" t="s">
        <v>975</v>
      </c>
      <c r="J535" s="27" t="s">
        <v>177</v>
      </c>
      <c r="K535" s="10">
        <v>60</v>
      </c>
      <c r="L535" s="36" t="s">
        <v>263</v>
      </c>
      <c r="M535" s="37" t="s">
        <v>315</v>
      </c>
      <c r="N535" s="37" t="s">
        <v>330</v>
      </c>
      <c r="O535" s="27" t="s">
        <v>976</v>
      </c>
      <c r="P535" s="27"/>
      <c r="Q535" s="27" t="s">
        <v>977</v>
      </c>
      <c r="R535" s="27"/>
      <c r="S535" s="1" t="s">
        <v>264</v>
      </c>
      <c r="T535" s="29" t="s">
        <v>265</v>
      </c>
      <c r="U535" s="30">
        <v>46112</v>
      </c>
      <c r="V535" s="27" t="s">
        <v>298</v>
      </c>
      <c r="W535" s="27"/>
    </row>
    <row r="536" spans="1:23" ht="24" customHeight="1">
      <c r="A536" s="27" t="str">
        <f t="shared" ca="1" si="8"/>
        <v>EVT-2026-0534</v>
      </c>
      <c r="B536" s="27">
        <v>2026</v>
      </c>
      <c r="C536" s="27" t="s">
        <v>97</v>
      </c>
      <c r="D536" s="30">
        <v>46127</v>
      </c>
      <c r="E536" s="27" t="s">
        <v>201</v>
      </c>
      <c r="F536" s="27" t="s">
        <v>126</v>
      </c>
      <c r="G536" s="27" t="s">
        <v>208</v>
      </c>
      <c r="H536" s="27" t="s">
        <v>348</v>
      </c>
      <c r="I536" s="27" t="s">
        <v>349</v>
      </c>
      <c r="J536" s="27" t="s">
        <v>145</v>
      </c>
      <c r="K536" s="10">
        <v>50</v>
      </c>
      <c r="L536" s="36" t="s">
        <v>263</v>
      </c>
      <c r="M536" s="37" t="s">
        <v>350</v>
      </c>
      <c r="N536" s="37" t="s">
        <v>296</v>
      </c>
      <c r="O536" s="27"/>
      <c r="P536" s="27"/>
      <c r="Q536" s="27" t="s">
        <v>351</v>
      </c>
      <c r="R536" s="27"/>
      <c r="S536" s="1" t="s">
        <v>264</v>
      </c>
      <c r="T536" s="29" t="s">
        <v>265</v>
      </c>
      <c r="U536" s="30">
        <v>46008</v>
      </c>
      <c r="V536" s="27" t="s">
        <v>303</v>
      </c>
      <c r="W536" s="27"/>
    </row>
    <row r="537" spans="1:23" ht="24" customHeight="1">
      <c r="A537" s="27" t="str">
        <f t="shared" ca="1" si="8"/>
        <v>EVT-2026-0535</v>
      </c>
      <c r="B537" s="27">
        <v>2026</v>
      </c>
      <c r="C537" s="27" t="s">
        <v>97</v>
      </c>
      <c r="D537" s="30">
        <v>46128</v>
      </c>
      <c r="E537" s="27" t="s">
        <v>216</v>
      </c>
      <c r="F537" s="27" t="s">
        <v>126</v>
      </c>
      <c r="G537" s="27" t="s">
        <v>208</v>
      </c>
      <c r="H537" s="27" t="s">
        <v>348</v>
      </c>
      <c r="I537" s="27" t="s">
        <v>978</v>
      </c>
      <c r="J537" s="27" t="s">
        <v>127</v>
      </c>
      <c r="K537" s="10">
        <v>50</v>
      </c>
      <c r="L537" s="36" t="s">
        <v>263</v>
      </c>
      <c r="M537" s="37" t="s">
        <v>338</v>
      </c>
      <c r="N537" s="37" t="s">
        <v>330</v>
      </c>
      <c r="O537" s="27"/>
      <c r="P537" s="27"/>
      <c r="Q537" s="27" t="s">
        <v>507</v>
      </c>
      <c r="R537" s="27"/>
      <c r="S537" s="1" t="s">
        <v>264</v>
      </c>
      <c r="T537" s="29" t="s">
        <v>265</v>
      </c>
      <c r="U537" s="27"/>
      <c r="V537" s="27" t="s">
        <v>298</v>
      </c>
      <c r="W537" s="27"/>
    </row>
    <row r="538" spans="1:23" ht="24" customHeight="1">
      <c r="A538" s="27" t="str">
        <f t="shared" ca="1" si="8"/>
        <v>EVT-2026-0536</v>
      </c>
      <c r="B538" s="27">
        <v>2026</v>
      </c>
      <c r="C538" s="27" t="s">
        <v>97</v>
      </c>
      <c r="D538" s="30">
        <v>46128</v>
      </c>
      <c r="E538" s="27" t="s">
        <v>216</v>
      </c>
      <c r="F538" s="27" t="s">
        <v>126</v>
      </c>
      <c r="G538" s="27" t="s">
        <v>202</v>
      </c>
      <c r="H538" s="27" t="s">
        <v>239</v>
      </c>
      <c r="I538" s="27" t="s">
        <v>979</v>
      </c>
      <c r="J538" s="27" t="s">
        <v>177</v>
      </c>
      <c r="K538" s="10">
        <v>100</v>
      </c>
      <c r="L538" s="38" t="s">
        <v>294</v>
      </c>
      <c r="M538" s="37" t="s">
        <v>295</v>
      </c>
      <c r="N538" s="37" t="s">
        <v>290</v>
      </c>
      <c r="O538" s="27"/>
      <c r="P538" s="27"/>
      <c r="Q538" s="27" t="s">
        <v>600</v>
      </c>
      <c r="R538" s="27"/>
      <c r="S538" s="1" t="s">
        <v>264</v>
      </c>
      <c r="T538" s="29" t="s">
        <v>265</v>
      </c>
      <c r="U538" s="30">
        <v>46121</v>
      </c>
      <c r="V538" s="27"/>
      <c r="W538" s="27"/>
    </row>
    <row r="539" spans="1:23" ht="24" customHeight="1">
      <c r="A539" s="27" t="str">
        <f t="shared" ca="1" si="8"/>
        <v>EVT-2026-0537</v>
      </c>
      <c r="B539" s="27">
        <v>2026</v>
      </c>
      <c r="C539" s="27" t="s">
        <v>97</v>
      </c>
      <c r="D539" s="30">
        <v>46128</v>
      </c>
      <c r="E539" s="27" t="s">
        <v>216</v>
      </c>
      <c r="F539" s="27" t="s">
        <v>126</v>
      </c>
      <c r="G539" s="27" t="s">
        <v>208</v>
      </c>
      <c r="H539" s="27" t="s">
        <v>348</v>
      </c>
      <c r="I539" s="27" t="s">
        <v>980</v>
      </c>
      <c r="J539" s="27" t="s">
        <v>177</v>
      </c>
      <c r="K539" s="10">
        <v>30</v>
      </c>
      <c r="L539" s="36" t="s">
        <v>263</v>
      </c>
      <c r="M539" s="37" t="s">
        <v>981</v>
      </c>
      <c r="N539" s="37" t="s">
        <v>290</v>
      </c>
      <c r="O539" s="27"/>
      <c r="P539" s="27"/>
      <c r="Q539" s="27" t="s">
        <v>583</v>
      </c>
      <c r="R539" s="27"/>
      <c r="S539" s="3" t="s">
        <v>312</v>
      </c>
      <c r="T539" s="29" t="s">
        <v>265</v>
      </c>
      <c r="U539" s="30">
        <v>46127</v>
      </c>
      <c r="V539" s="27" t="s">
        <v>298</v>
      </c>
      <c r="W539" s="27"/>
    </row>
    <row r="540" spans="1:23" ht="24" customHeight="1">
      <c r="A540" s="27" t="str">
        <f t="shared" ca="1" si="8"/>
        <v>EVT-2026-0538</v>
      </c>
      <c r="B540" s="27">
        <v>2026</v>
      </c>
      <c r="C540" s="27" t="s">
        <v>97</v>
      </c>
      <c r="D540" s="30">
        <v>46129</v>
      </c>
      <c r="E540" s="27" t="s">
        <v>220</v>
      </c>
      <c r="F540" s="27" t="s">
        <v>126</v>
      </c>
      <c r="G540" s="27" t="s">
        <v>208</v>
      </c>
      <c r="H540" s="27" t="s">
        <v>348</v>
      </c>
      <c r="I540" s="27" t="s">
        <v>982</v>
      </c>
      <c r="J540" s="27" t="s">
        <v>152</v>
      </c>
      <c r="K540" s="10">
        <v>40</v>
      </c>
      <c r="L540" s="36" t="s">
        <v>263</v>
      </c>
      <c r="M540" s="37" t="s">
        <v>331</v>
      </c>
      <c r="N540" s="37" t="s">
        <v>275</v>
      </c>
      <c r="O540" s="27"/>
      <c r="P540" s="27"/>
      <c r="Q540" s="27" t="s">
        <v>983</v>
      </c>
      <c r="R540" s="27"/>
      <c r="S540" s="1" t="s">
        <v>264</v>
      </c>
      <c r="T540" s="29" t="s">
        <v>265</v>
      </c>
      <c r="U540" s="30">
        <v>46122</v>
      </c>
      <c r="V540" s="27" t="s">
        <v>984</v>
      </c>
      <c r="W540" s="27"/>
    </row>
    <row r="541" spans="1:23" ht="24" customHeight="1">
      <c r="A541" s="27" t="str">
        <f t="shared" ca="1" si="8"/>
        <v>EVT-2026-0539</v>
      </c>
      <c r="B541" s="27">
        <v>2026</v>
      </c>
      <c r="C541" s="27" t="s">
        <v>97</v>
      </c>
      <c r="D541" s="30">
        <v>46129</v>
      </c>
      <c r="E541" s="27" t="s">
        <v>220</v>
      </c>
      <c r="F541" s="27" t="s">
        <v>126</v>
      </c>
      <c r="G541" s="27" t="s">
        <v>202</v>
      </c>
      <c r="H541" s="27" t="s">
        <v>239</v>
      </c>
      <c r="I541" s="27" t="s">
        <v>985</v>
      </c>
      <c r="J541" s="27" t="s">
        <v>177</v>
      </c>
      <c r="K541" s="10">
        <v>120</v>
      </c>
      <c r="L541" s="38" t="s">
        <v>294</v>
      </c>
      <c r="M541" s="37" t="s">
        <v>506</v>
      </c>
      <c r="N541" s="37" t="s">
        <v>429</v>
      </c>
      <c r="O541" s="27"/>
      <c r="P541" s="27"/>
      <c r="Q541" s="27" t="s">
        <v>317</v>
      </c>
      <c r="R541" s="27"/>
      <c r="S541" s="1" t="s">
        <v>264</v>
      </c>
      <c r="T541" s="29" t="s">
        <v>265</v>
      </c>
      <c r="U541" s="30">
        <v>46121</v>
      </c>
      <c r="V541" s="27" t="s">
        <v>298</v>
      </c>
      <c r="W541" s="27"/>
    </row>
    <row r="542" spans="1:23" ht="24" customHeight="1">
      <c r="A542" s="27" t="str">
        <f t="shared" ca="1" si="8"/>
        <v>EVT-2026-0540</v>
      </c>
      <c r="B542" s="27">
        <v>2026</v>
      </c>
      <c r="C542" s="27" t="s">
        <v>97</v>
      </c>
      <c r="D542" s="30">
        <v>46130</v>
      </c>
      <c r="E542" s="27" t="s">
        <v>266</v>
      </c>
      <c r="F542" s="27" t="s">
        <v>126</v>
      </c>
      <c r="G542" s="27" t="s">
        <v>986</v>
      </c>
      <c r="H542" s="27" t="s">
        <v>987</v>
      </c>
      <c r="I542" s="27"/>
      <c r="J542" s="27" t="s">
        <v>145</v>
      </c>
      <c r="K542" s="10">
        <v>0</v>
      </c>
      <c r="L542" s="36" t="s">
        <v>263</v>
      </c>
      <c r="M542" s="37" t="s">
        <v>269</v>
      </c>
      <c r="N542" s="37" t="s">
        <v>270</v>
      </c>
      <c r="O542" s="27"/>
      <c r="P542" s="27"/>
      <c r="Q542" s="27" t="s">
        <v>760</v>
      </c>
      <c r="R542" s="27"/>
      <c r="S542" s="3" t="s">
        <v>312</v>
      </c>
      <c r="T542" s="29" t="s">
        <v>265</v>
      </c>
      <c r="U542" s="27"/>
      <c r="V542" s="27"/>
      <c r="W542" s="27"/>
    </row>
    <row r="543" spans="1:23" ht="24" customHeight="1">
      <c r="A543" s="27" t="str">
        <f t="shared" ca="1" si="8"/>
        <v>EVT-2026-0541</v>
      </c>
      <c r="B543" s="27">
        <v>2026</v>
      </c>
      <c r="C543" s="27" t="s">
        <v>97</v>
      </c>
      <c r="D543" s="30">
        <v>46131</v>
      </c>
      <c r="E543" s="27" t="s">
        <v>267</v>
      </c>
      <c r="F543" s="27" t="s">
        <v>126</v>
      </c>
      <c r="G543" s="27"/>
      <c r="H543" s="27"/>
      <c r="I543" s="27"/>
      <c r="J543" s="27" t="s">
        <v>177</v>
      </c>
      <c r="K543" s="10">
        <v>0</v>
      </c>
      <c r="L543" s="36" t="s">
        <v>263</v>
      </c>
      <c r="M543" s="37"/>
      <c r="N543" s="37"/>
      <c r="O543" s="27"/>
      <c r="P543" s="27"/>
      <c r="Q543" s="27"/>
      <c r="R543" s="27"/>
      <c r="S543" s="1" t="s">
        <v>264</v>
      </c>
      <c r="T543" s="29" t="s">
        <v>265</v>
      </c>
      <c r="U543" s="27"/>
      <c r="V543" s="27"/>
      <c r="W543" s="27"/>
    </row>
    <row r="544" spans="1:23" ht="24" customHeight="1">
      <c r="A544" s="27" t="str">
        <f t="shared" ca="1" si="8"/>
        <v>EVT-2026-0542</v>
      </c>
      <c r="B544" s="27">
        <v>2026</v>
      </c>
      <c r="C544" s="27" t="s">
        <v>97</v>
      </c>
      <c r="D544" s="30">
        <v>46132</v>
      </c>
      <c r="E544" s="27" t="s">
        <v>224</v>
      </c>
      <c r="F544" s="27" t="s">
        <v>126</v>
      </c>
      <c r="G544" s="27" t="s">
        <v>208</v>
      </c>
      <c r="H544" s="27" t="s">
        <v>988</v>
      </c>
      <c r="I544" s="27" t="s">
        <v>989</v>
      </c>
      <c r="J544" s="27" t="s">
        <v>152</v>
      </c>
      <c r="K544" s="10">
        <v>1</v>
      </c>
      <c r="L544" s="36" t="s">
        <v>263</v>
      </c>
      <c r="M544" s="37" t="s">
        <v>269</v>
      </c>
      <c r="N544" s="37" t="s">
        <v>270</v>
      </c>
      <c r="O544" s="27"/>
      <c r="P544" s="27"/>
      <c r="Q544" s="27" t="s">
        <v>378</v>
      </c>
      <c r="R544" s="27"/>
      <c r="S544" s="1" t="s">
        <v>264</v>
      </c>
      <c r="T544" s="29" t="s">
        <v>265</v>
      </c>
      <c r="U544" s="30">
        <v>46120</v>
      </c>
      <c r="V544" s="27" t="s">
        <v>990</v>
      </c>
      <c r="W544" s="27"/>
    </row>
    <row r="545" spans="1:23" ht="24" customHeight="1">
      <c r="A545" s="27" t="str">
        <f t="shared" ca="1" si="8"/>
        <v>EVT-2026-0543</v>
      </c>
      <c r="B545" s="27">
        <v>2026</v>
      </c>
      <c r="C545" s="27" t="s">
        <v>97</v>
      </c>
      <c r="D545" s="30">
        <v>46132</v>
      </c>
      <c r="E545" s="27" t="s">
        <v>224</v>
      </c>
      <c r="F545" s="27" t="s">
        <v>126</v>
      </c>
      <c r="G545" s="27"/>
      <c r="H545" s="27"/>
      <c r="I545" s="27"/>
      <c r="J545" s="27" t="s">
        <v>177</v>
      </c>
      <c r="K545" s="10">
        <v>0</v>
      </c>
      <c r="L545" s="36" t="s">
        <v>263</v>
      </c>
      <c r="M545" s="37"/>
      <c r="N545" s="37"/>
      <c r="O545" s="27"/>
      <c r="P545" s="27"/>
      <c r="Q545" s="27"/>
      <c r="R545" s="27"/>
      <c r="S545" s="1" t="s">
        <v>264</v>
      </c>
      <c r="T545" s="29" t="s">
        <v>265</v>
      </c>
      <c r="U545" s="27"/>
      <c r="V545" s="27"/>
      <c r="W545" s="27"/>
    </row>
    <row r="546" spans="1:23" ht="24" customHeight="1">
      <c r="A546" s="27" t="str">
        <f t="shared" ca="1" si="8"/>
        <v>EVT-2026-0544</v>
      </c>
      <c r="B546" s="27">
        <v>2026</v>
      </c>
      <c r="C546" s="27" t="s">
        <v>97</v>
      </c>
      <c r="D546" s="30">
        <v>46132</v>
      </c>
      <c r="E546" s="27" t="s">
        <v>224</v>
      </c>
      <c r="F546" s="27" t="s">
        <v>126</v>
      </c>
      <c r="G546" s="27" t="s">
        <v>208</v>
      </c>
      <c r="H546" s="27" t="s">
        <v>348</v>
      </c>
      <c r="I546" s="27" t="s">
        <v>924</v>
      </c>
      <c r="J546" s="27" t="s">
        <v>177</v>
      </c>
      <c r="K546" s="10">
        <v>20</v>
      </c>
      <c r="L546" s="36" t="s">
        <v>263</v>
      </c>
      <c r="M546" s="37" t="s">
        <v>330</v>
      </c>
      <c r="N546" s="37" t="s">
        <v>331</v>
      </c>
      <c r="O546" s="27"/>
      <c r="P546" s="27"/>
      <c r="Q546" s="27" t="s">
        <v>991</v>
      </c>
      <c r="R546" s="27"/>
      <c r="S546" s="1" t="s">
        <v>264</v>
      </c>
      <c r="T546" s="29" t="s">
        <v>265</v>
      </c>
      <c r="U546" s="27"/>
      <c r="V546" s="27" t="s">
        <v>298</v>
      </c>
      <c r="W546" s="27"/>
    </row>
    <row r="547" spans="1:23" ht="24" customHeight="1">
      <c r="A547" s="27" t="str">
        <f t="shared" ca="1" si="8"/>
        <v>EVT-2026-0545</v>
      </c>
      <c r="B547" s="27">
        <v>2026</v>
      </c>
      <c r="C547" s="27" t="s">
        <v>97</v>
      </c>
      <c r="D547" s="30">
        <v>46132</v>
      </c>
      <c r="E547" s="27" t="s">
        <v>224</v>
      </c>
      <c r="F547" s="27" t="s">
        <v>126</v>
      </c>
      <c r="G547" s="27" t="s">
        <v>202</v>
      </c>
      <c r="H547" s="27" t="s">
        <v>239</v>
      </c>
      <c r="I547" s="27" t="s">
        <v>992</v>
      </c>
      <c r="J547" s="27" t="s">
        <v>127</v>
      </c>
      <c r="K547" s="10">
        <v>100</v>
      </c>
      <c r="L547" s="38" t="s">
        <v>294</v>
      </c>
      <c r="M547" s="37" t="s">
        <v>295</v>
      </c>
      <c r="N547" s="37" t="s">
        <v>270</v>
      </c>
      <c r="O547" s="27"/>
      <c r="P547" s="27"/>
      <c r="Q547" s="27" t="s">
        <v>993</v>
      </c>
      <c r="R547" s="27"/>
      <c r="S547" s="1" t="s">
        <v>264</v>
      </c>
      <c r="T547" s="29" t="s">
        <v>265</v>
      </c>
      <c r="U547" s="27"/>
      <c r="V547" s="27" t="s">
        <v>298</v>
      </c>
      <c r="W547" s="27"/>
    </row>
    <row r="548" spans="1:23" ht="24" customHeight="1">
      <c r="A548" s="27" t="str">
        <f t="shared" ca="1" si="8"/>
        <v>EVT-2026-0546</v>
      </c>
      <c r="B548" s="27">
        <v>2026</v>
      </c>
      <c r="C548" s="27" t="s">
        <v>97</v>
      </c>
      <c r="D548" s="30">
        <v>46132</v>
      </c>
      <c r="E548" s="27" t="s">
        <v>224</v>
      </c>
      <c r="F548" s="27" t="s">
        <v>126</v>
      </c>
      <c r="G548" s="27" t="s">
        <v>208</v>
      </c>
      <c r="H548" s="27" t="s">
        <v>348</v>
      </c>
      <c r="I548" s="27" t="s">
        <v>368</v>
      </c>
      <c r="J548" s="27" t="s">
        <v>139</v>
      </c>
      <c r="K548" s="10">
        <v>30</v>
      </c>
      <c r="L548" s="36" t="s">
        <v>263</v>
      </c>
      <c r="M548" s="37" t="s">
        <v>309</v>
      </c>
      <c r="N548" s="37" t="s">
        <v>270</v>
      </c>
      <c r="O548" s="27"/>
      <c r="P548" s="27"/>
      <c r="Q548" s="27" t="s">
        <v>370</v>
      </c>
      <c r="R548" s="27"/>
      <c r="S548" s="1" t="s">
        <v>264</v>
      </c>
      <c r="T548" s="29" t="s">
        <v>265</v>
      </c>
      <c r="U548" s="30">
        <v>46008</v>
      </c>
      <c r="V548" s="27" t="s">
        <v>298</v>
      </c>
      <c r="W548" s="27"/>
    </row>
    <row r="549" spans="1:23" ht="24" customHeight="1">
      <c r="A549" s="27" t="str">
        <f t="shared" ca="1" si="8"/>
        <v>EVT-2026-0547</v>
      </c>
      <c r="B549" s="27">
        <v>2026</v>
      </c>
      <c r="C549" s="27" t="s">
        <v>97</v>
      </c>
      <c r="D549" s="30">
        <v>46133</v>
      </c>
      <c r="E549" s="27" t="s">
        <v>227</v>
      </c>
      <c r="F549" s="27" t="s">
        <v>126</v>
      </c>
      <c r="G549" s="27" t="s">
        <v>208</v>
      </c>
      <c r="H549" s="27" t="s">
        <v>125</v>
      </c>
      <c r="I549" s="27" t="s">
        <v>994</v>
      </c>
      <c r="J549" s="27" t="s">
        <v>127</v>
      </c>
      <c r="K549" s="10">
        <v>120</v>
      </c>
      <c r="L549" s="38" t="s">
        <v>294</v>
      </c>
      <c r="M549" s="37" t="s">
        <v>338</v>
      </c>
      <c r="N549" s="37" t="s">
        <v>506</v>
      </c>
      <c r="O549" s="27"/>
      <c r="P549" s="27"/>
      <c r="Q549" s="27" t="s">
        <v>378</v>
      </c>
      <c r="R549" s="27"/>
      <c r="S549" s="1" t="s">
        <v>264</v>
      </c>
      <c r="T549" s="29" t="s">
        <v>265</v>
      </c>
      <c r="U549" s="30">
        <v>46128</v>
      </c>
      <c r="V549" s="27"/>
      <c r="W549" s="27"/>
    </row>
    <row r="550" spans="1:23" ht="24" customHeight="1">
      <c r="A550" s="27" t="str">
        <f t="shared" ca="1" si="8"/>
        <v>EVT-2026-0548</v>
      </c>
      <c r="B550" s="27">
        <v>2026</v>
      </c>
      <c r="C550" s="27" t="s">
        <v>97</v>
      </c>
      <c r="D550" s="30">
        <v>46133</v>
      </c>
      <c r="E550" s="27" t="s">
        <v>227</v>
      </c>
      <c r="F550" s="27" t="s">
        <v>126</v>
      </c>
      <c r="G550" s="27" t="s">
        <v>208</v>
      </c>
      <c r="H550" s="27" t="s">
        <v>348</v>
      </c>
      <c r="I550" s="27" t="s">
        <v>368</v>
      </c>
      <c r="J550" s="27" t="s">
        <v>139</v>
      </c>
      <c r="K550" s="10">
        <v>30</v>
      </c>
      <c r="L550" s="36" t="s">
        <v>263</v>
      </c>
      <c r="M550" s="37" t="s">
        <v>309</v>
      </c>
      <c r="N550" s="37" t="s">
        <v>270</v>
      </c>
      <c r="O550" s="27"/>
      <c r="P550" s="27"/>
      <c r="Q550" s="27" t="s">
        <v>370</v>
      </c>
      <c r="R550" s="27"/>
      <c r="S550" s="3" t="s">
        <v>312</v>
      </c>
      <c r="T550" s="29" t="s">
        <v>265</v>
      </c>
      <c r="U550" s="30">
        <v>46008</v>
      </c>
      <c r="V550" s="27" t="s">
        <v>298</v>
      </c>
      <c r="W550" s="27"/>
    </row>
    <row r="551" spans="1:23" ht="24" customHeight="1">
      <c r="A551" s="27" t="str">
        <f t="shared" ca="1" si="8"/>
        <v>EVT-2026-0549</v>
      </c>
      <c r="B551" s="27">
        <v>2026</v>
      </c>
      <c r="C551" s="27" t="s">
        <v>97</v>
      </c>
      <c r="D551" s="30">
        <v>46134</v>
      </c>
      <c r="E551" s="27" t="s">
        <v>201</v>
      </c>
      <c r="F551" s="27" t="s">
        <v>126</v>
      </c>
      <c r="G551" s="27" t="s">
        <v>208</v>
      </c>
      <c r="H551" s="27" t="s">
        <v>348</v>
      </c>
      <c r="I551" s="27" t="s">
        <v>895</v>
      </c>
      <c r="J551" s="27" t="s">
        <v>158</v>
      </c>
      <c r="K551" s="10">
        <v>40</v>
      </c>
      <c r="L551" s="36" t="s">
        <v>263</v>
      </c>
      <c r="M551" s="37" t="s">
        <v>275</v>
      </c>
      <c r="N551" s="37" t="s">
        <v>296</v>
      </c>
      <c r="O551" s="27"/>
      <c r="P551" s="27"/>
      <c r="Q551" s="27" t="s">
        <v>370</v>
      </c>
      <c r="R551" s="27"/>
      <c r="S551" s="1" t="s">
        <v>264</v>
      </c>
      <c r="T551" s="29" t="s">
        <v>265</v>
      </c>
      <c r="U551" s="30">
        <v>46008</v>
      </c>
      <c r="V551" s="27" t="s">
        <v>298</v>
      </c>
      <c r="W551" s="27"/>
    </row>
    <row r="552" spans="1:23" ht="24" customHeight="1">
      <c r="A552" s="27" t="str">
        <f t="shared" ca="1" si="8"/>
        <v>EVT-2026-0550</v>
      </c>
      <c r="B552" s="27">
        <v>2026</v>
      </c>
      <c r="C552" s="27" t="s">
        <v>97</v>
      </c>
      <c r="D552" s="30">
        <v>46134</v>
      </c>
      <c r="E552" s="27" t="s">
        <v>201</v>
      </c>
      <c r="F552" s="27" t="s">
        <v>126</v>
      </c>
      <c r="G552" s="27" t="s">
        <v>208</v>
      </c>
      <c r="H552" s="27" t="s">
        <v>239</v>
      </c>
      <c r="I552" s="27" t="s">
        <v>995</v>
      </c>
      <c r="J552" s="27" t="s">
        <v>177</v>
      </c>
      <c r="K552" s="10">
        <v>60</v>
      </c>
      <c r="L552" s="36" t="s">
        <v>263</v>
      </c>
      <c r="M552" s="37" t="s">
        <v>359</v>
      </c>
      <c r="N552" s="37" t="s">
        <v>290</v>
      </c>
      <c r="O552" s="27"/>
      <c r="P552" s="27"/>
      <c r="Q552" s="27" t="s">
        <v>583</v>
      </c>
      <c r="R552" s="27"/>
      <c r="S552" s="1" t="s">
        <v>264</v>
      </c>
      <c r="T552" s="29" t="s">
        <v>265</v>
      </c>
      <c r="U552" s="27"/>
      <c r="V552" s="27" t="s">
        <v>298</v>
      </c>
      <c r="W552" s="27"/>
    </row>
    <row r="553" spans="1:23" ht="24" customHeight="1">
      <c r="A553" s="27" t="str">
        <f t="shared" ca="1" si="8"/>
        <v>EVT-2026-0551</v>
      </c>
      <c r="B553" s="27">
        <v>2026</v>
      </c>
      <c r="C553" s="27" t="s">
        <v>97</v>
      </c>
      <c r="D553" s="30">
        <v>46135</v>
      </c>
      <c r="E553" s="27" t="s">
        <v>216</v>
      </c>
      <c r="F553" s="27" t="s">
        <v>126</v>
      </c>
      <c r="G553" s="27" t="s">
        <v>208</v>
      </c>
      <c r="H553" s="27" t="s">
        <v>348</v>
      </c>
      <c r="I553" s="27" t="s">
        <v>895</v>
      </c>
      <c r="J553" s="27" t="s">
        <v>158</v>
      </c>
      <c r="K553" s="10">
        <v>40</v>
      </c>
      <c r="L553" s="36" t="s">
        <v>263</v>
      </c>
      <c r="M553" s="37" t="s">
        <v>275</v>
      </c>
      <c r="N553" s="37" t="s">
        <v>296</v>
      </c>
      <c r="O553" s="27"/>
      <c r="P553" s="27"/>
      <c r="Q553" s="27" t="s">
        <v>351</v>
      </c>
      <c r="R553" s="27"/>
      <c r="S553" s="3" t="s">
        <v>312</v>
      </c>
      <c r="T553" s="29" t="s">
        <v>265</v>
      </c>
      <c r="U553" s="30">
        <v>46008</v>
      </c>
      <c r="V553" s="27" t="s">
        <v>303</v>
      </c>
      <c r="W553" s="27"/>
    </row>
    <row r="554" spans="1:23" ht="24" customHeight="1">
      <c r="A554" s="27" t="str">
        <f t="shared" ca="1" si="8"/>
        <v>EVT-2026-0552</v>
      </c>
      <c r="B554" s="27">
        <v>2026</v>
      </c>
      <c r="C554" s="27" t="s">
        <v>97</v>
      </c>
      <c r="D554" s="30">
        <v>46137</v>
      </c>
      <c r="E554" s="27" t="s">
        <v>266</v>
      </c>
      <c r="F554" s="27" t="s">
        <v>126</v>
      </c>
      <c r="G554" s="27" t="s">
        <v>202</v>
      </c>
      <c r="H554" s="27"/>
      <c r="I554" s="27"/>
      <c r="J554" s="27" t="s">
        <v>177</v>
      </c>
      <c r="K554" s="10">
        <v>0</v>
      </c>
      <c r="L554" s="36" t="s">
        <v>263</v>
      </c>
      <c r="M554" s="37"/>
      <c r="N554" s="37"/>
      <c r="O554" s="27"/>
      <c r="P554" s="27"/>
      <c r="Q554" s="27"/>
      <c r="R554" s="27"/>
      <c r="S554" s="1" t="s">
        <v>264</v>
      </c>
      <c r="T554" s="29" t="s">
        <v>265</v>
      </c>
      <c r="U554" s="27"/>
      <c r="V554" s="27"/>
      <c r="W554" s="27"/>
    </row>
    <row r="555" spans="1:23" ht="24" customHeight="1">
      <c r="A555" s="27" t="str">
        <f t="shared" ca="1" si="8"/>
        <v>EVT-2026-0553</v>
      </c>
      <c r="B555" s="27">
        <v>2026</v>
      </c>
      <c r="C555" s="27" t="s">
        <v>97</v>
      </c>
      <c r="D555" s="30">
        <v>46138</v>
      </c>
      <c r="E555" s="27" t="s">
        <v>267</v>
      </c>
      <c r="F555" s="27" t="s">
        <v>126</v>
      </c>
      <c r="G555" s="27"/>
      <c r="H555" s="27"/>
      <c r="I555" s="27"/>
      <c r="J555" s="27" t="s">
        <v>177</v>
      </c>
      <c r="K555" s="10">
        <v>0</v>
      </c>
      <c r="L555" s="36" t="s">
        <v>263</v>
      </c>
      <c r="M555" s="37"/>
      <c r="N555" s="37"/>
      <c r="O555" s="27"/>
      <c r="P555" s="27"/>
      <c r="Q555" s="27"/>
      <c r="R555" s="27"/>
      <c r="S555" s="1" t="s">
        <v>264</v>
      </c>
      <c r="T555" s="29" t="s">
        <v>265</v>
      </c>
      <c r="U555" s="27"/>
      <c r="V555" s="27"/>
      <c r="W555" s="27"/>
    </row>
    <row r="556" spans="1:23" ht="24" customHeight="1">
      <c r="A556" s="27" t="str">
        <f t="shared" ca="1" si="8"/>
        <v>EVT-2026-0554</v>
      </c>
      <c r="B556" s="27">
        <v>2026</v>
      </c>
      <c r="C556" s="27" t="s">
        <v>97</v>
      </c>
      <c r="D556" s="30">
        <v>46139</v>
      </c>
      <c r="E556" s="27" t="s">
        <v>224</v>
      </c>
      <c r="F556" s="27" t="s">
        <v>126</v>
      </c>
      <c r="G556" s="27" t="s">
        <v>208</v>
      </c>
      <c r="H556" s="27" t="s">
        <v>996</v>
      </c>
      <c r="I556" s="27" t="s">
        <v>989</v>
      </c>
      <c r="J556" s="27" t="s">
        <v>152</v>
      </c>
      <c r="K556" s="10">
        <v>1</v>
      </c>
      <c r="L556" s="36" t="s">
        <v>263</v>
      </c>
      <c r="M556" s="37" t="s">
        <v>269</v>
      </c>
      <c r="N556" s="37" t="s">
        <v>270</v>
      </c>
      <c r="O556" s="27"/>
      <c r="P556" s="27"/>
      <c r="Q556" s="27" t="s">
        <v>378</v>
      </c>
      <c r="R556" s="27"/>
      <c r="S556" s="1" t="s">
        <v>264</v>
      </c>
      <c r="T556" s="29" t="s">
        <v>265</v>
      </c>
      <c r="U556" s="27"/>
      <c r="V556" s="27" t="s">
        <v>990</v>
      </c>
      <c r="W556" s="27"/>
    </row>
    <row r="557" spans="1:23" ht="24" customHeight="1">
      <c r="A557" s="27" t="str">
        <f t="shared" ca="1" si="8"/>
        <v>EVT-2026-0555</v>
      </c>
      <c r="B557" s="27">
        <v>2026</v>
      </c>
      <c r="C557" s="27" t="s">
        <v>97</v>
      </c>
      <c r="D557" s="30">
        <v>46139</v>
      </c>
      <c r="E557" s="27" t="s">
        <v>224</v>
      </c>
      <c r="F557" s="27" t="s">
        <v>126</v>
      </c>
      <c r="G557" s="27" t="s">
        <v>202</v>
      </c>
      <c r="H557" s="27" t="s">
        <v>348</v>
      </c>
      <c r="I557" s="27" t="s">
        <v>997</v>
      </c>
      <c r="J557" s="27" t="s">
        <v>134</v>
      </c>
      <c r="K557" s="10">
        <v>45</v>
      </c>
      <c r="L557" s="36" t="s">
        <v>263</v>
      </c>
      <c r="M557" s="37" t="s">
        <v>269</v>
      </c>
      <c r="N557" s="37" t="s">
        <v>270</v>
      </c>
      <c r="O557" s="27"/>
      <c r="P557" s="27"/>
      <c r="Q557" s="27" t="s">
        <v>952</v>
      </c>
      <c r="R557" s="27"/>
      <c r="S557" s="1" t="s">
        <v>264</v>
      </c>
      <c r="T557" s="29" t="s">
        <v>265</v>
      </c>
      <c r="U557" s="27"/>
      <c r="V557" s="27" t="s">
        <v>998</v>
      </c>
      <c r="W557" s="27"/>
    </row>
    <row r="558" spans="1:23" ht="24" customHeight="1">
      <c r="A558" s="27" t="str">
        <f t="shared" ca="1" si="8"/>
        <v>EVT-2026-0556</v>
      </c>
      <c r="B558" s="27">
        <v>2026</v>
      </c>
      <c r="C558" s="27" t="s">
        <v>97</v>
      </c>
      <c r="D558" s="30">
        <v>46139</v>
      </c>
      <c r="E558" s="27" t="s">
        <v>224</v>
      </c>
      <c r="F558" s="27" t="s">
        <v>126</v>
      </c>
      <c r="G558" s="27" t="s">
        <v>208</v>
      </c>
      <c r="H558" s="27" t="s">
        <v>348</v>
      </c>
      <c r="I558" s="27" t="s">
        <v>999</v>
      </c>
      <c r="J558" s="27" t="s">
        <v>165</v>
      </c>
      <c r="K558" s="10">
        <v>100</v>
      </c>
      <c r="L558" s="38" t="s">
        <v>294</v>
      </c>
      <c r="M558" s="37" t="s">
        <v>330</v>
      </c>
      <c r="N558" s="37" t="s">
        <v>331</v>
      </c>
      <c r="O558" s="27"/>
      <c r="P558" s="27"/>
      <c r="Q558" s="27" t="s">
        <v>378</v>
      </c>
      <c r="R558" s="27"/>
      <c r="S558" s="3" t="s">
        <v>312</v>
      </c>
      <c r="T558" s="29" t="s">
        <v>265</v>
      </c>
      <c r="U558" s="27"/>
      <c r="V558" s="27" t="s">
        <v>298</v>
      </c>
      <c r="W558" s="27"/>
    </row>
    <row r="559" spans="1:23" ht="24" customHeight="1">
      <c r="A559" s="27" t="str">
        <f t="shared" ca="1" si="8"/>
        <v>EVT-2026-0557</v>
      </c>
      <c r="B559" s="27">
        <v>2026</v>
      </c>
      <c r="C559" s="27" t="s">
        <v>97</v>
      </c>
      <c r="D559" s="30">
        <v>46139</v>
      </c>
      <c r="E559" s="27" t="s">
        <v>224</v>
      </c>
      <c r="F559" s="27" t="s">
        <v>126</v>
      </c>
      <c r="G559" s="27" t="s">
        <v>208</v>
      </c>
      <c r="H559" s="27" t="s">
        <v>348</v>
      </c>
      <c r="I559" s="27"/>
      <c r="J559" s="27" t="s">
        <v>177</v>
      </c>
      <c r="K559" s="10">
        <v>0</v>
      </c>
      <c r="L559" s="36" t="s">
        <v>263</v>
      </c>
      <c r="M559" s="37" t="s">
        <v>309</v>
      </c>
      <c r="N559" s="37" t="s">
        <v>270</v>
      </c>
      <c r="O559" s="27"/>
      <c r="P559" s="27"/>
      <c r="Q559" s="27" t="s">
        <v>370</v>
      </c>
      <c r="R559" s="27"/>
      <c r="S559" s="1" t="s">
        <v>264</v>
      </c>
      <c r="T559" s="29" t="s">
        <v>265</v>
      </c>
      <c r="U559" s="27"/>
      <c r="V559" s="27" t="s">
        <v>303</v>
      </c>
      <c r="W559" s="27"/>
    </row>
    <row r="560" spans="1:23" ht="24" customHeight="1">
      <c r="A560" s="27" t="str">
        <f t="shared" ca="1" si="8"/>
        <v>EVT-2026-0558</v>
      </c>
      <c r="B560" s="27">
        <v>2026</v>
      </c>
      <c r="C560" s="27" t="s">
        <v>97</v>
      </c>
      <c r="D560" s="30">
        <v>46140</v>
      </c>
      <c r="E560" s="27" t="s">
        <v>227</v>
      </c>
      <c r="F560" s="27" t="s">
        <v>126</v>
      </c>
      <c r="G560" s="27" t="s">
        <v>208</v>
      </c>
      <c r="H560" s="27" t="s">
        <v>348</v>
      </c>
      <c r="I560" s="27" t="s">
        <v>1000</v>
      </c>
      <c r="J560" s="27" t="s">
        <v>127</v>
      </c>
      <c r="K560" s="10">
        <v>20</v>
      </c>
      <c r="L560" s="36" t="s">
        <v>263</v>
      </c>
      <c r="M560" s="37" t="s">
        <v>330</v>
      </c>
      <c r="N560" s="37" t="s">
        <v>331</v>
      </c>
      <c r="O560" s="27"/>
      <c r="P560" s="27"/>
      <c r="Q560" s="27" t="s">
        <v>1001</v>
      </c>
      <c r="R560" s="27"/>
      <c r="S560" s="1" t="s">
        <v>264</v>
      </c>
      <c r="T560" s="29" t="s">
        <v>265</v>
      </c>
      <c r="U560" s="27"/>
      <c r="V560" s="27" t="s">
        <v>298</v>
      </c>
      <c r="W560" s="27"/>
    </row>
    <row r="561" spans="1:23" ht="24" customHeight="1">
      <c r="A561" s="27" t="str">
        <f t="shared" ca="1" si="8"/>
        <v>EVT-2026-0559</v>
      </c>
      <c r="B561" s="27">
        <v>2026</v>
      </c>
      <c r="C561" s="27" t="s">
        <v>97</v>
      </c>
      <c r="D561" s="30">
        <v>46140</v>
      </c>
      <c r="E561" s="27" t="s">
        <v>227</v>
      </c>
      <c r="F561" s="27" t="s">
        <v>126</v>
      </c>
      <c r="G561" s="27" t="s">
        <v>202</v>
      </c>
      <c r="H561" s="27" t="s">
        <v>239</v>
      </c>
      <c r="I561" s="27" t="s">
        <v>1002</v>
      </c>
      <c r="J561" s="27" t="s">
        <v>127</v>
      </c>
      <c r="K561" s="10">
        <v>150</v>
      </c>
      <c r="L561" s="38" t="s">
        <v>294</v>
      </c>
      <c r="M561" s="37" t="s">
        <v>289</v>
      </c>
      <c r="N561" s="37" t="s">
        <v>359</v>
      </c>
      <c r="O561" s="27"/>
      <c r="P561" s="27"/>
      <c r="Q561" s="27" t="s">
        <v>379</v>
      </c>
      <c r="R561" s="27"/>
      <c r="S561" s="1" t="s">
        <v>264</v>
      </c>
      <c r="T561" s="29" t="s">
        <v>265</v>
      </c>
      <c r="U561" s="30">
        <v>46091</v>
      </c>
      <c r="V561" s="27" t="s">
        <v>298</v>
      </c>
      <c r="W561" s="27"/>
    </row>
    <row r="562" spans="1:23" ht="24" customHeight="1">
      <c r="A562" s="27" t="str">
        <f t="shared" ca="1" si="8"/>
        <v>EVT-2026-0560</v>
      </c>
      <c r="B562" s="27">
        <v>2026</v>
      </c>
      <c r="C562" s="27" t="s">
        <v>97</v>
      </c>
      <c r="D562" s="30">
        <v>46140</v>
      </c>
      <c r="E562" s="27" t="s">
        <v>227</v>
      </c>
      <c r="F562" s="27" t="s">
        <v>126</v>
      </c>
      <c r="G562" s="27" t="s">
        <v>208</v>
      </c>
      <c r="H562" s="27" t="s">
        <v>348</v>
      </c>
      <c r="I562" s="27" t="s">
        <v>349</v>
      </c>
      <c r="J562" s="27" t="s">
        <v>145</v>
      </c>
      <c r="K562" s="10">
        <v>50</v>
      </c>
      <c r="L562" s="36" t="s">
        <v>263</v>
      </c>
      <c r="M562" s="37" t="s">
        <v>350</v>
      </c>
      <c r="N562" s="37" t="s">
        <v>296</v>
      </c>
      <c r="O562" s="27"/>
      <c r="P562" s="27"/>
      <c r="Q562" s="27" t="s">
        <v>351</v>
      </c>
      <c r="R562" s="27"/>
      <c r="S562" s="1" t="s">
        <v>264</v>
      </c>
      <c r="T562" s="29" t="s">
        <v>265</v>
      </c>
      <c r="U562" s="30">
        <v>46008</v>
      </c>
      <c r="V562" s="27" t="s">
        <v>303</v>
      </c>
      <c r="W562" s="27"/>
    </row>
    <row r="563" spans="1:23" ht="24" customHeight="1">
      <c r="A563" s="27" t="str">
        <f t="shared" ca="1" si="8"/>
        <v>EVT-2026-0561</v>
      </c>
      <c r="B563" s="27">
        <v>2026</v>
      </c>
      <c r="C563" s="27" t="s">
        <v>97</v>
      </c>
      <c r="D563" s="30">
        <v>46140</v>
      </c>
      <c r="E563" s="27" t="s">
        <v>227</v>
      </c>
      <c r="F563" s="27" t="s">
        <v>126</v>
      </c>
      <c r="G563" s="27" t="s">
        <v>202</v>
      </c>
      <c r="H563" s="27" t="s">
        <v>389</v>
      </c>
      <c r="I563" s="27" t="s">
        <v>1002</v>
      </c>
      <c r="J563" s="27" t="s">
        <v>127</v>
      </c>
      <c r="K563" s="10">
        <v>60</v>
      </c>
      <c r="L563" s="36" t="s">
        <v>263</v>
      </c>
      <c r="M563" s="37" t="s">
        <v>295</v>
      </c>
      <c r="N563" s="37" t="s">
        <v>290</v>
      </c>
      <c r="O563" s="27"/>
      <c r="P563" s="27"/>
      <c r="Q563" s="27" t="s">
        <v>1003</v>
      </c>
      <c r="R563" s="27"/>
      <c r="S563" s="1" t="s">
        <v>264</v>
      </c>
      <c r="T563" s="29" t="s">
        <v>265</v>
      </c>
      <c r="U563" s="27"/>
      <c r="V563" s="27" t="s">
        <v>298</v>
      </c>
      <c r="W563" s="27"/>
    </row>
    <row r="564" spans="1:23" ht="24" customHeight="1">
      <c r="A564" s="27" t="str">
        <f t="shared" ca="1" si="8"/>
        <v>EVT-2026-0562</v>
      </c>
      <c r="B564" s="27">
        <v>2026</v>
      </c>
      <c r="C564" s="27" t="s">
        <v>97</v>
      </c>
      <c r="D564" s="30">
        <v>46141</v>
      </c>
      <c r="E564" s="27" t="s">
        <v>201</v>
      </c>
      <c r="F564" s="27" t="s">
        <v>126</v>
      </c>
      <c r="G564" s="27" t="s">
        <v>202</v>
      </c>
      <c r="H564" s="27" t="s">
        <v>239</v>
      </c>
      <c r="I564" s="27" t="s">
        <v>1004</v>
      </c>
      <c r="J564" s="27" t="s">
        <v>127</v>
      </c>
      <c r="K564" s="10">
        <v>60</v>
      </c>
      <c r="L564" s="36" t="s">
        <v>263</v>
      </c>
      <c r="M564" s="37" t="s">
        <v>506</v>
      </c>
      <c r="N564" s="37" t="s">
        <v>429</v>
      </c>
      <c r="O564" s="27"/>
      <c r="P564" s="27"/>
      <c r="Q564" s="27" t="s">
        <v>1005</v>
      </c>
      <c r="R564" s="27"/>
      <c r="S564" s="1" t="s">
        <v>264</v>
      </c>
      <c r="T564" s="29" t="s">
        <v>265</v>
      </c>
      <c r="U564" s="30">
        <v>46121</v>
      </c>
      <c r="V564" s="27" t="s">
        <v>298</v>
      </c>
      <c r="W564" s="27"/>
    </row>
    <row r="565" spans="1:23" ht="24" customHeight="1">
      <c r="A565" s="27" t="str">
        <f t="shared" ca="1" si="8"/>
        <v>EVT-2026-0563</v>
      </c>
      <c r="B565" s="27">
        <v>2026</v>
      </c>
      <c r="C565" s="27" t="s">
        <v>97</v>
      </c>
      <c r="D565" s="30">
        <v>46141</v>
      </c>
      <c r="E565" s="27" t="s">
        <v>201</v>
      </c>
      <c r="F565" s="27" t="s">
        <v>126</v>
      </c>
      <c r="G565" s="27" t="s">
        <v>202</v>
      </c>
      <c r="H565" s="27" t="s">
        <v>239</v>
      </c>
      <c r="I565" s="27" t="s">
        <v>1006</v>
      </c>
      <c r="J565" s="27" t="s">
        <v>127</v>
      </c>
      <c r="K565" s="10">
        <v>60</v>
      </c>
      <c r="L565" s="36" t="s">
        <v>263</v>
      </c>
      <c r="M565" s="37" t="s">
        <v>295</v>
      </c>
      <c r="N565" s="37" t="s">
        <v>290</v>
      </c>
      <c r="O565" s="27"/>
      <c r="P565" s="27"/>
      <c r="Q565" s="27" t="s">
        <v>1007</v>
      </c>
      <c r="R565" s="27"/>
      <c r="S565" s="1" t="s">
        <v>264</v>
      </c>
      <c r="T565" s="29" t="s">
        <v>265</v>
      </c>
      <c r="U565" s="30">
        <v>46123</v>
      </c>
      <c r="V565" s="27"/>
      <c r="W565" s="27"/>
    </row>
    <row r="566" spans="1:23" ht="24" customHeight="1">
      <c r="A566" s="27" t="str">
        <f t="shared" ca="1" si="8"/>
        <v>EVT-2026-0564</v>
      </c>
      <c r="B566" s="27">
        <v>2026</v>
      </c>
      <c r="C566" s="27" t="s">
        <v>97</v>
      </c>
      <c r="D566" s="30">
        <v>46141</v>
      </c>
      <c r="E566" s="27" t="s">
        <v>201</v>
      </c>
      <c r="F566" s="27" t="s">
        <v>126</v>
      </c>
      <c r="G566" s="27" t="s">
        <v>202</v>
      </c>
      <c r="H566" s="27" t="s">
        <v>348</v>
      </c>
      <c r="I566" s="27" t="s">
        <v>1008</v>
      </c>
      <c r="J566" s="27" t="s">
        <v>158</v>
      </c>
      <c r="K566" s="10">
        <v>50</v>
      </c>
      <c r="L566" s="36" t="s">
        <v>263</v>
      </c>
      <c r="M566" s="37" t="s">
        <v>309</v>
      </c>
      <c r="N566" s="37" t="s">
        <v>359</v>
      </c>
      <c r="O566" s="27"/>
      <c r="P566" s="27"/>
      <c r="Q566" s="27" t="s">
        <v>1009</v>
      </c>
      <c r="R566" s="27"/>
      <c r="S566" s="1" t="s">
        <v>264</v>
      </c>
      <c r="T566" s="29" t="s">
        <v>265</v>
      </c>
      <c r="U566" s="30">
        <v>46140</v>
      </c>
      <c r="V566" s="27" t="s">
        <v>298</v>
      </c>
      <c r="W566" s="27"/>
    </row>
    <row r="567" spans="1:23" ht="24" customHeight="1">
      <c r="A567" s="27" t="str">
        <f t="shared" ca="1" si="8"/>
        <v>EVT-2026-0565</v>
      </c>
      <c r="B567" s="27">
        <v>2026</v>
      </c>
      <c r="C567" s="27" t="s">
        <v>97</v>
      </c>
      <c r="D567" s="30">
        <v>46141</v>
      </c>
      <c r="E567" s="27" t="s">
        <v>201</v>
      </c>
      <c r="F567" s="27" t="s">
        <v>126</v>
      </c>
      <c r="G567" s="27" t="s">
        <v>208</v>
      </c>
      <c r="H567" s="27" t="s">
        <v>1010</v>
      </c>
      <c r="I567" s="27" t="s">
        <v>1011</v>
      </c>
      <c r="J567" s="27" t="s">
        <v>177</v>
      </c>
      <c r="K567" s="10">
        <v>80</v>
      </c>
      <c r="L567" s="36" t="s">
        <v>263</v>
      </c>
      <c r="M567" s="37" t="s">
        <v>331</v>
      </c>
      <c r="N567" s="37" t="s">
        <v>350</v>
      </c>
      <c r="O567" s="27"/>
      <c r="P567" s="27"/>
      <c r="Q567" s="27" t="s">
        <v>615</v>
      </c>
      <c r="R567" s="27"/>
      <c r="S567" s="1" t="s">
        <v>264</v>
      </c>
      <c r="T567" s="29" t="s">
        <v>265</v>
      </c>
      <c r="U567" s="27"/>
      <c r="V567" s="27" t="s">
        <v>1012</v>
      </c>
      <c r="W567" s="27"/>
    </row>
    <row r="568" spans="1:23" ht="24" customHeight="1">
      <c r="A568" s="27" t="str">
        <f t="shared" ca="1" si="8"/>
        <v>EVT-2026-0566</v>
      </c>
      <c r="B568" s="27">
        <v>2026</v>
      </c>
      <c r="C568" s="27" t="s">
        <v>97</v>
      </c>
      <c r="D568" s="30">
        <v>46141</v>
      </c>
      <c r="E568" s="27" t="s">
        <v>201</v>
      </c>
      <c r="F568" s="27" t="s">
        <v>126</v>
      </c>
      <c r="G568" s="27" t="s">
        <v>202</v>
      </c>
      <c r="H568" s="27" t="s">
        <v>1013</v>
      </c>
      <c r="I568" s="27" t="s">
        <v>1014</v>
      </c>
      <c r="J568" s="27" t="s">
        <v>158</v>
      </c>
      <c r="K568" s="10">
        <v>0</v>
      </c>
      <c r="L568" s="36" t="s">
        <v>263</v>
      </c>
      <c r="M568" s="37" t="s">
        <v>295</v>
      </c>
      <c r="N568" s="37" t="s">
        <v>296</v>
      </c>
      <c r="O568" s="27"/>
      <c r="P568" s="27"/>
      <c r="Q568" s="27" t="s">
        <v>1015</v>
      </c>
      <c r="R568" s="27"/>
      <c r="S568" s="1" t="s">
        <v>264</v>
      </c>
      <c r="T568" s="29" t="s">
        <v>265</v>
      </c>
      <c r="U568" s="30">
        <v>46129</v>
      </c>
      <c r="V568" s="27" t="s">
        <v>1016</v>
      </c>
      <c r="W568" s="27"/>
    </row>
    <row r="569" spans="1:23" ht="24" customHeight="1">
      <c r="A569" s="27" t="str">
        <f t="shared" ca="1" si="8"/>
        <v>EVT-2026-0567</v>
      </c>
      <c r="B569" s="27">
        <v>2026</v>
      </c>
      <c r="C569" s="27" t="s">
        <v>97</v>
      </c>
      <c r="D569" s="30">
        <v>46141</v>
      </c>
      <c r="E569" s="27" t="s">
        <v>201</v>
      </c>
      <c r="F569" s="27" t="s">
        <v>126</v>
      </c>
      <c r="G569" s="27" t="s">
        <v>202</v>
      </c>
      <c r="H569" s="27" t="s">
        <v>348</v>
      </c>
      <c r="I569" s="27" t="s">
        <v>1017</v>
      </c>
      <c r="J569" s="27" t="s">
        <v>134</v>
      </c>
      <c r="K569" s="10">
        <v>60</v>
      </c>
      <c r="L569" s="36" t="s">
        <v>263</v>
      </c>
      <c r="M569" s="37" t="s">
        <v>309</v>
      </c>
      <c r="N569" s="37" t="s">
        <v>359</v>
      </c>
      <c r="O569" s="27"/>
      <c r="P569" s="27"/>
      <c r="Q569" s="27" t="s">
        <v>1018</v>
      </c>
      <c r="R569" s="27"/>
      <c r="S569" s="1" t="s">
        <v>264</v>
      </c>
      <c r="T569" s="29" t="s">
        <v>265</v>
      </c>
      <c r="U569" s="27"/>
      <c r="V569" s="27" t="s">
        <v>298</v>
      </c>
      <c r="W569" s="27"/>
    </row>
    <row r="570" spans="1:23" ht="24" customHeight="1">
      <c r="A570" s="27" t="str">
        <f t="shared" ca="1" si="8"/>
        <v>EVT-2026-0568</v>
      </c>
      <c r="B570" s="27">
        <v>2026</v>
      </c>
      <c r="C570" s="27" t="s">
        <v>97</v>
      </c>
      <c r="D570" s="30">
        <v>46142</v>
      </c>
      <c r="E570" s="27" t="s">
        <v>216</v>
      </c>
      <c r="F570" s="27" t="s">
        <v>126</v>
      </c>
      <c r="G570" s="27" t="s">
        <v>202</v>
      </c>
      <c r="H570" s="27" t="s">
        <v>348</v>
      </c>
      <c r="I570" s="27" t="s">
        <v>1017</v>
      </c>
      <c r="J570" s="27" t="s">
        <v>134</v>
      </c>
      <c r="K570" s="10">
        <v>60</v>
      </c>
      <c r="L570" s="36" t="s">
        <v>263</v>
      </c>
      <c r="M570" s="37" t="s">
        <v>309</v>
      </c>
      <c r="N570" s="37" t="s">
        <v>359</v>
      </c>
      <c r="O570" s="27"/>
      <c r="P570" s="27"/>
      <c r="Q570" s="27" t="s">
        <v>1018</v>
      </c>
      <c r="R570" s="27"/>
      <c r="S570" s="1" t="s">
        <v>264</v>
      </c>
      <c r="T570" s="29" t="s">
        <v>265</v>
      </c>
      <c r="U570" s="27"/>
      <c r="V570" s="27" t="s">
        <v>298</v>
      </c>
      <c r="W570" s="27"/>
    </row>
    <row r="571" spans="1:23" ht="24" customHeight="1">
      <c r="A571" s="27" t="str">
        <f t="shared" ca="1" si="8"/>
        <v>EVT-2026-0569</v>
      </c>
      <c r="B571" s="27">
        <v>2026</v>
      </c>
      <c r="C571" s="27" t="s">
        <v>97</v>
      </c>
      <c r="D571" s="30">
        <v>46142</v>
      </c>
      <c r="E571" s="27" t="s">
        <v>216</v>
      </c>
      <c r="F571" s="27" t="s">
        <v>126</v>
      </c>
      <c r="G571" s="27" t="s">
        <v>208</v>
      </c>
      <c r="H571" s="27" t="s">
        <v>348</v>
      </c>
      <c r="I571" s="27" t="s">
        <v>349</v>
      </c>
      <c r="J571" s="27" t="s">
        <v>145</v>
      </c>
      <c r="K571" s="10">
        <v>50</v>
      </c>
      <c r="L571" s="36" t="s">
        <v>263</v>
      </c>
      <c r="M571" s="37" t="s">
        <v>350</v>
      </c>
      <c r="N571" s="37" t="s">
        <v>296</v>
      </c>
      <c r="O571" s="27"/>
      <c r="P571" s="27"/>
      <c r="Q571" s="27" t="s">
        <v>351</v>
      </c>
      <c r="R571" s="27"/>
      <c r="S571" s="1" t="s">
        <v>264</v>
      </c>
      <c r="T571" s="29" t="s">
        <v>265</v>
      </c>
      <c r="U571" s="30">
        <v>46008</v>
      </c>
      <c r="V571" s="27" t="s">
        <v>303</v>
      </c>
      <c r="W571" s="27"/>
    </row>
    <row r="572" spans="1:23" ht="24" customHeight="1">
      <c r="A572" s="27" t="str">
        <f t="shared" ca="1" si="8"/>
        <v>EVT-2026-0570</v>
      </c>
      <c r="B572" s="27">
        <v>2026</v>
      </c>
      <c r="C572" s="27" t="s">
        <v>97</v>
      </c>
      <c r="D572" s="30">
        <v>46142</v>
      </c>
      <c r="E572" s="27" t="s">
        <v>216</v>
      </c>
      <c r="F572" s="27" t="s">
        <v>126</v>
      </c>
      <c r="G572" s="27" t="s">
        <v>228</v>
      </c>
      <c r="H572" s="27" t="s">
        <v>1019</v>
      </c>
      <c r="I572" s="27" t="s">
        <v>1020</v>
      </c>
      <c r="J572" s="27" t="s">
        <v>177</v>
      </c>
      <c r="K572" s="10">
        <v>0</v>
      </c>
      <c r="L572" s="36" t="s">
        <v>263</v>
      </c>
      <c r="M572" s="37" t="s">
        <v>338</v>
      </c>
      <c r="N572" s="37" t="s">
        <v>330</v>
      </c>
      <c r="O572" s="27"/>
      <c r="P572" s="27"/>
      <c r="Q572" s="27" t="s">
        <v>551</v>
      </c>
      <c r="R572" s="27"/>
      <c r="S572" s="3" t="s">
        <v>312</v>
      </c>
      <c r="T572" s="29" t="s">
        <v>265</v>
      </c>
      <c r="U572" s="27"/>
      <c r="V572" s="27" t="s">
        <v>298</v>
      </c>
      <c r="W572" s="27"/>
    </row>
    <row r="573" spans="1:23" ht="24" customHeight="1">
      <c r="A573" s="27" t="str">
        <f t="shared" ca="1" si="8"/>
        <v>EVT-2026-0571</v>
      </c>
      <c r="B573" s="27">
        <v>2026</v>
      </c>
      <c r="C573" s="27" t="s">
        <v>97</v>
      </c>
      <c r="D573" s="30">
        <v>46142</v>
      </c>
      <c r="E573" s="27" t="s">
        <v>216</v>
      </c>
      <c r="F573" s="27" t="s">
        <v>126</v>
      </c>
      <c r="G573" s="27" t="s">
        <v>228</v>
      </c>
      <c r="H573" s="27" t="s">
        <v>1021</v>
      </c>
      <c r="I573" s="27" t="s">
        <v>353</v>
      </c>
      <c r="J573" s="27" t="s">
        <v>127</v>
      </c>
      <c r="K573" s="10">
        <v>140</v>
      </c>
      <c r="L573" s="38" t="s">
        <v>294</v>
      </c>
      <c r="M573" s="37" t="s">
        <v>817</v>
      </c>
      <c r="N573" s="37" t="s">
        <v>295</v>
      </c>
      <c r="O573" s="27"/>
      <c r="P573" s="27"/>
      <c r="Q573" s="27" t="s">
        <v>763</v>
      </c>
      <c r="R573" s="27"/>
      <c r="S573" s="1" t="s">
        <v>264</v>
      </c>
      <c r="T573" s="29" t="s">
        <v>265</v>
      </c>
      <c r="U573" s="30">
        <v>46120</v>
      </c>
      <c r="V573" s="27" t="s">
        <v>894</v>
      </c>
      <c r="W573" s="27"/>
    </row>
    <row r="574" spans="1:23" ht="24" customHeight="1">
      <c r="A574" s="27" t="str">
        <f t="shared" ca="1" si="8"/>
        <v>EVT-2026-0572</v>
      </c>
      <c r="B574" s="27">
        <v>2026</v>
      </c>
      <c r="C574" s="27" t="s">
        <v>97</v>
      </c>
      <c r="D574" s="30">
        <v>46142</v>
      </c>
      <c r="E574" s="27" t="s">
        <v>216</v>
      </c>
      <c r="F574" s="27" t="s">
        <v>126</v>
      </c>
      <c r="G574" s="27" t="s">
        <v>202</v>
      </c>
      <c r="H574" s="27" t="s">
        <v>1021</v>
      </c>
      <c r="I574" s="27" t="s">
        <v>1022</v>
      </c>
      <c r="J574" s="27" t="s">
        <v>158</v>
      </c>
      <c r="K574" s="10">
        <v>140</v>
      </c>
      <c r="L574" s="38" t="s">
        <v>294</v>
      </c>
      <c r="M574" s="37" t="s">
        <v>275</v>
      </c>
      <c r="N574" s="37" t="s">
        <v>295</v>
      </c>
      <c r="O574" s="27"/>
      <c r="P574" s="27"/>
      <c r="Q574" s="27" t="s">
        <v>1023</v>
      </c>
      <c r="R574" s="27"/>
      <c r="S574" s="1" t="s">
        <v>264</v>
      </c>
      <c r="T574" s="29" t="s">
        <v>265</v>
      </c>
      <c r="U574" s="27"/>
      <c r="V574" s="27"/>
      <c r="W574" s="27"/>
    </row>
    <row r="575" spans="1:23" ht="24" customHeight="1">
      <c r="A575" s="27" t="str">
        <f t="shared" ca="1" si="8"/>
        <v>EVT-2026-0573</v>
      </c>
      <c r="B575" s="27">
        <v>2026</v>
      </c>
      <c r="C575" s="27" t="s">
        <v>97</v>
      </c>
      <c r="D575" s="30">
        <v>46142</v>
      </c>
      <c r="E575" s="27" t="s">
        <v>216</v>
      </c>
      <c r="F575" s="27" t="s">
        <v>126</v>
      </c>
      <c r="G575" s="27" t="s">
        <v>228</v>
      </c>
      <c r="H575" s="27" t="s">
        <v>1021</v>
      </c>
      <c r="I575" s="27" t="s">
        <v>658</v>
      </c>
      <c r="J575" s="27" t="s">
        <v>152</v>
      </c>
      <c r="K575" s="10">
        <v>60</v>
      </c>
      <c r="L575" s="36" t="s">
        <v>263</v>
      </c>
      <c r="M575" s="37" t="s">
        <v>295</v>
      </c>
      <c r="N575" s="37" t="s">
        <v>296</v>
      </c>
      <c r="O575" s="27"/>
      <c r="P575" s="27"/>
      <c r="Q575" s="27" t="s">
        <v>1024</v>
      </c>
      <c r="R575" s="27"/>
      <c r="S575" s="1" t="s">
        <v>264</v>
      </c>
      <c r="T575" s="29" t="s">
        <v>265</v>
      </c>
      <c r="U575" s="27"/>
      <c r="V575" s="27" t="s">
        <v>467</v>
      </c>
      <c r="W575" s="27"/>
    </row>
    <row r="576" spans="1:23" ht="24" customHeight="1">
      <c r="A576" s="27" t="str">
        <f t="shared" ca="1" si="8"/>
        <v>EVT-2026-0574</v>
      </c>
      <c r="B576" s="27">
        <v>2026</v>
      </c>
      <c r="C576" s="27" t="s">
        <v>97</v>
      </c>
      <c r="D576" s="27"/>
      <c r="E576" s="27"/>
      <c r="F576" s="27" t="s">
        <v>126</v>
      </c>
      <c r="G576" s="27"/>
      <c r="H576" s="27"/>
      <c r="I576" s="27"/>
      <c r="J576" s="27" t="s">
        <v>177</v>
      </c>
      <c r="K576" s="10">
        <v>3</v>
      </c>
      <c r="L576" s="36" t="s">
        <v>263</v>
      </c>
      <c r="M576" s="37"/>
      <c r="N576" s="37"/>
      <c r="O576" s="27"/>
      <c r="P576" s="27"/>
      <c r="Q576" s="27"/>
      <c r="R576" s="27"/>
      <c r="S576" s="1" t="s">
        <v>264</v>
      </c>
      <c r="T576" s="29" t="s">
        <v>265</v>
      </c>
      <c r="U576" s="27"/>
      <c r="V576" s="27"/>
      <c r="W576" s="27"/>
    </row>
    <row r="577" spans="1:23" ht="24" customHeight="1">
      <c r="A577" s="27" t="str">
        <f t="shared" ca="1" si="8"/>
        <v>EVT-2026-0575</v>
      </c>
      <c r="B577" s="27">
        <v>2026</v>
      </c>
      <c r="C577" s="27" t="s">
        <v>98</v>
      </c>
      <c r="D577" s="30">
        <v>46143</v>
      </c>
      <c r="E577" s="27" t="s">
        <v>220</v>
      </c>
      <c r="F577" s="27" t="s">
        <v>164</v>
      </c>
      <c r="G577" s="27" t="s">
        <v>262</v>
      </c>
      <c r="H577" s="27"/>
      <c r="I577" s="27"/>
      <c r="J577" s="27" t="s">
        <v>177</v>
      </c>
      <c r="K577" s="10">
        <v>0</v>
      </c>
      <c r="L577" s="36" t="s">
        <v>263</v>
      </c>
      <c r="M577" s="37"/>
      <c r="N577" s="37"/>
      <c r="O577" s="27"/>
      <c r="P577" s="27"/>
      <c r="Q577" s="27"/>
      <c r="R577" s="27"/>
      <c r="S577" s="1" t="s">
        <v>264</v>
      </c>
      <c r="T577" s="29" t="s">
        <v>265</v>
      </c>
      <c r="U577" s="27"/>
      <c r="V577" s="27"/>
      <c r="W577" s="27"/>
    </row>
    <row r="578" spans="1:23" ht="24" customHeight="1">
      <c r="A578" s="27" t="str">
        <f t="shared" ca="1" si="8"/>
        <v>EVT-2026-0576</v>
      </c>
      <c r="B578" s="27">
        <v>2026</v>
      </c>
      <c r="C578" s="27" t="s">
        <v>98</v>
      </c>
      <c r="D578" s="30">
        <v>46144</v>
      </c>
      <c r="E578" s="27" t="s">
        <v>266</v>
      </c>
      <c r="F578" s="27" t="s">
        <v>164</v>
      </c>
      <c r="G578" s="27" t="s">
        <v>262</v>
      </c>
      <c r="H578" s="27" t="s">
        <v>239</v>
      </c>
      <c r="I578" s="27" t="s">
        <v>300</v>
      </c>
      <c r="J578" s="27" t="s">
        <v>145</v>
      </c>
      <c r="K578" s="10">
        <v>0</v>
      </c>
      <c r="L578" s="36" t="s">
        <v>263</v>
      </c>
      <c r="M578" s="37" t="s">
        <v>269</v>
      </c>
      <c r="N578" s="37" t="s">
        <v>270</v>
      </c>
      <c r="O578" s="27"/>
      <c r="P578" s="27"/>
      <c r="Q578" s="27" t="s">
        <v>1025</v>
      </c>
      <c r="R578" s="27"/>
      <c r="S578" s="1" t="s">
        <v>264</v>
      </c>
      <c r="T578" s="29" t="s">
        <v>265</v>
      </c>
      <c r="U578" s="27"/>
      <c r="V578" s="27" t="s">
        <v>1026</v>
      </c>
      <c r="W578" s="27"/>
    </row>
    <row r="579" spans="1:23" ht="24" customHeight="1">
      <c r="A579" s="27" t="str">
        <f t="shared" ref="A579:A642" ca="1" si="9">IF(OR(D579&lt;&gt;"",H579&lt;&gt;"",I579&lt;&gt;"",Q579&lt;&gt;"",S579&lt;&gt;""), "EVT-" &amp; TEXT(B579, "0000") &amp; "-" &amp; TEXT(COUNTIF(OFFSET($A$1, 1, 0, ROW()-2, 1), "EVT*") + 1, "0000"), "")</f>
        <v>EVT-2026-0577</v>
      </c>
      <c r="B579" s="27">
        <v>2026</v>
      </c>
      <c r="C579" s="27" t="s">
        <v>98</v>
      </c>
      <c r="D579" s="30">
        <v>46145</v>
      </c>
      <c r="E579" s="27" t="s">
        <v>267</v>
      </c>
      <c r="F579" s="27" t="s">
        <v>164</v>
      </c>
      <c r="G579" s="27" t="s">
        <v>262</v>
      </c>
      <c r="H579" s="27"/>
      <c r="I579" s="27"/>
      <c r="J579" s="27" t="s">
        <v>177</v>
      </c>
      <c r="K579" s="10">
        <v>0</v>
      </c>
      <c r="L579" s="36" t="s">
        <v>263</v>
      </c>
      <c r="M579" s="37"/>
      <c r="N579" s="37"/>
      <c r="O579" s="27"/>
      <c r="P579" s="27"/>
      <c r="Q579" s="27"/>
      <c r="R579" s="27"/>
      <c r="S579" s="1" t="s">
        <v>264</v>
      </c>
      <c r="T579" s="29" t="s">
        <v>265</v>
      </c>
      <c r="U579" s="27"/>
      <c r="V579" s="27"/>
      <c r="W579" s="27"/>
    </row>
    <row r="580" spans="1:23" ht="24" customHeight="1">
      <c r="A580" s="27" t="str">
        <f t="shared" ca="1" si="9"/>
        <v>EVT-2026-0578</v>
      </c>
      <c r="B580" s="27">
        <v>2026</v>
      </c>
      <c r="C580" s="27" t="s">
        <v>98</v>
      </c>
      <c r="D580" s="30">
        <v>46146</v>
      </c>
      <c r="E580" s="27" t="s">
        <v>224</v>
      </c>
      <c r="F580" s="27" t="s">
        <v>164</v>
      </c>
      <c r="G580" s="27" t="s">
        <v>202</v>
      </c>
      <c r="H580" s="27" t="s">
        <v>326</v>
      </c>
      <c r="I580" s="27" t="s">
        <v>236</v>
      </c>
      <c r="J580" s="27" t="s">
        <v>139</v>
      </c>
      <c r="K580" s="10">
        <v>45</v>
      </c>
      <c r="L580" s="36" t="s">
        <v>263</v>
      </c>
      <c r="M580" s="37" t="s">
        <v>269</v>
      </c>
      <c r="N580" s="37" t="s">
        <v>270</v>
      </c>
      <c r="O580" s="27"/>
      <c r="P580" s="27"/>
      <c r="Q580" s="27" t="s">
        <v>237</v>
      </c>
      <c r="R580" s="27"/>
      <c r="S580" s="1" t="s">
        <v>264</v>
      </c>
      <c r="T580" s="29" t="s">
        <v>265</v>
      </c>
      <c r="U580" s="27"/>
      <c r="V580" s="27"/>
      <c r="W580" s="27"/>
    </row>
    <row r="581" spans="1:23" ht="24" customHeight="1">
      <c r="A581" s="27" t="str">
        <f t="shared" ca="1" si="9"/>
        <v>EVT-2026-0579</v>
      </c>
      <c r="B581" s="27">
        <v>2026</v>
      </c>
      <c r="C581" s="27" t="s">
        <v>98</v>
      </c>
      <c r="D581" s="30">
        <v>46146</v>
      </c>
      <c r="E581" s="27" t="s">
        <v>224</v>
      </c>
      <c r="F581" s="27" t="s">
        <v>164</v>
      </c>
      <c r="G581" s="27" t="s">
        <v>262</v>
      </c>
      <c r="H581" s="27" t="s">
        <v>171</v>
      </c>
      <c r="I581" s="27" t="s">
        <v>1027</v>
      </c>
      <c r="J581" s="27" t="s">
        <v>127</v>
      </c>
      <c r="K581" s="10">
        <v>60</v>
      </c>
      <c r="L581" s="36" t="s">
        <v>263</v>
      </c>
      <c r="M581" s="37" t="s">
        <v>330</v>
      </c>
      <c r="N581" s="37" t="s">
        <v>354</v>
      </c>
      <c r="O581" s="27"/>
      <c r="P581" s="27"/>
      <c r="Q581" s="27" t="s">
        <v>1028</v>
      </c>
      <c r="R581" s="27"/>
      <c r="S581" s="1" t="s">
        <v>264</v>
      </c>
      <c r="T581" s="29" t="s">
        <v>265</v>
      </c>
      <c r="U581" s="30">
        <v>46142</v>
      </c>
      <c r="V581" s="27" t="s">
        <v>500</v>
      </c>
      <c r="W581" s="27"/>
    </row>
    <row r="582" spans="1:23" ht="24" customHeight="1">
      <c r="A582" s="27" t="str">
        <f t="shared" ca="1" si="9"/>
        <v>EVT-2026-0580</v>
      </c>
      <c r="B582" s="27">
        <v>2026</v>
      </c>
      <c r="C582" s="27" t="s">
        <v>98</v>
      </c>
      <c r="D582" s="30">
        <v>46147</v>
      </c>
      <c r="E582" s="27" t="s">
        <v>227</v>
      </c>
      <c r="F582" s="27" t="s">
        <v>164</v>
      </c>
      <c r="G582" s="27" t="s">
        <v>202</v>
      </c>
      <c r="H582" s="27" t="s">
        <v>326</v>
      </c>
      <c r="I582" s="27" t="s">
        <v>1029</v>
      </c>
      <c r="J582" s="27" t="s">
        <v>134</v>
      </c>
      <c r="K582" s="10">
        <v>45</v>
      </c>
      <c r="L582" s="36" t="s">
        <v>263</v>
      </c>
      <c r="M582" s="37" t="s">
        <v>269</v>
      </c>
      <c r="N582" s="37" t="s">
        <v>270</v>
      </c>
      <c r="O582" s="27"/>
      <c r="P582" s="27"/>
      <c r="Q582" s="27" t="s">
        <v>952</v>
      </c>
      <c r="R582" s="27"/>
      <c r="S582" s="1" t="s">
        <v>264</v>
      </c>
      <c r="T582" s="29" t="s">
        <v>265</v>
      </c>
      <c r="U582" s="30">
        <v>46134</v>
      </c>
      <c r="V582" s="27" t="s">
        <v>1030</v>
      </c>
      <c r="W582" s="27"/>
    </row>
    <row r="583" spans="1:23" ht="24" customHeight="1">
      <c r="A583" s="27" t="str">
        <f t="shared" ca="1" si="9"/>
        <v>EVT-2026-0581</v>
      </c>
      <c r="B583" s="27">
        <v>2026</v>
      </c>
      <c r="C583" s="27" t="s">
        <v>98</v>
      </c>
      <c r="D583" s="30">
        <v>46147</v>
      </c>
      <c r="E583" s="27" t="s">
        <v>227</v>
      </c>
      <c r="F583" s="27" t="s">
        <v>164</v>
      </c>
      <c r="G583" s="27" t="s">
        <v>262</v>
      </c>
      <c r="H583" s="27" t="s">
        <v>171</v>
      </c>
      <c r="I583" s="27" t="s">
        <v>1031</v>
      </c>
      <c r="J583" s="27" t="s">
        <v>177</v>
      </c>
      <c r="K583" s="10">
        <v>30</v>
      </c>
      <c r="L583" s="36" t="s">
        <v>263</v>
      </c>
      <c r="M583" s="37" t="s">
        <v>274</v>
      </c>
      <c r="N583" s="37" t="s">
        <v>429</v>
      </c>
      <c r="O583" s="27"/>
      <c r="P583" s="27"/>
      <c r="Q583" s="27" t="s">
        <v>1032</v>
      </c>
      <c r="R583" s="27"/>
      <c r="S583" s="1" t="s">
        <v>264</v>
      </c>
      <c r="T583" s="29" t="s">
        <v>265</v>
      </c>
      <c r="U583" s="27"/>
      <c r="V583" s="27" t="s">
        <v>321</v>
      </c>
      <c r="W583" s="27"/>
    </row>
    <row r="584" spans="1:23" ht="24" customHeight="1">
      <c r="A584" s="27" t="str">
        <f t="shared" ca="1" si="9"/>
        <v>EVT-2026-0582</v>
      </c>
      <c r="B584" s="27">
        <v>2026</v>
      </c>
      <c r="C584" s="27" t="s">
        <v>98</v>
      </c>
      <c r="D584" s="30">
        <v>46147</v>
      </c>
      <c r="E584" s="27" t="s">
        <v>227</v>
      </c>
      <c r="F584" s="27" t="s">
        <v>164</v>
      </c>
      <c r="G584" s="27" t="s">
        <v>262</v>
      </c>
      <c r="H584" s="27" t="s">
        <v>171</v>
      </c>
      <c r="I584" s="27" t="s">
        <v>1033</v>
      </c>
      <c r="J584" s="27" t="s">
        <v>158</v>
      </c>
      <c r="K584" s="10">
        <v>0</v>
      </c>
      <c r="L584" s="36" t="s">
        <v>263</v>
      </c>
      <c r="M584" s="37" t="s">
        <v>331</v>
      </c>
      <c r="N584" s="37" t="s">
        <v>275</v>
      </c>
      <c r="O584" s="27"/>
      <c r="P584" s="27"/>
      <c r="Q584" s="27" t="s">
        <v>1032</v>
      </c>
      <c r="R584" s="27"/>
      <c r="S584" s="1" t="s">
        <v>264</v>
      </c>
      <c r="T584" s="29" t="s">
        <v>265</v>
      </c>
      <c r="U584" s="27"/>
      <c r="V584" s="27" t="s">
        <v>1034</v>
      </c>
      <c r="W584" s="27"/>
    </row>
    <row r="585" spans="1:23" ht="24" customHeight="1">
      <c r="A585" s="27" t="str">
        <f t="shared" ca="1" si="9"/>
        <v>EVT-2026-0583</v>
      </c>
      <c r="B585" s="27">
        <v>2026</v>
      </c>
      <c r="C585" s="27" t="s">
        <v>98</v>
      </c>
      <c r="D585" s="30">
        <v>46147</v>
      </c>
      <c r="E585" s="27" t="s">
        <v>227</v>
      </c>
      <c r="F585" s="27" t="s">
        <v>164</v>
      </c>
      <c r="G585" s="27" t="s">
        <v>262</v>
      </c>
      <c r="H585" s="27" t="s">
        <v>171</v>
      </c>
      <c r="I585" s="27" t="s">
        <v>895</v>
      </c>
      <c r="J585" s="27" t="s">
        <v>158</v>
      </c>
      <c r="K585" s="10">
        <v>60</v>
      </c>
      <c r="L585" s="36" t="s">
        <v>263</v>
      </c>
      <c r="M585" s="37" t="s">
        <v>896</v>
      </c>
      <c r="N585" s="37" t="s">
        <v>359</v>
      </c>
      <c r="O585" s="27"/>
      <c r="P585" s="27"/>
      <c r="Q585" s="27" t="s">
        <v>785</v>
      </c>
      <c r="R585" s="27"/>
      <c r="S585" s="1" t="s">
        <v>264</v>
      </c>
      <c r="T585" s="29" t="s">
        <v>265</v>
      </c>
      <c r="U585" s="30">
        <v>46111</v>
      </c>
      <c r="V585" s="27" t="s">
        <v>321</v>
      </c>
      <c r="W585" s="27"/>
    </row>
    <row r="586" spans="1:23" ht="24" customHeight="1">
      <c r="A586" s="27" t="str">
        <f t="shared" ca="1" si="9"/>
        <v>EVT-2026-0584</v>
      </c>
      <c r="B586" s="27">
        <v>2026</v>
      </c>
      <c r="C586" s="27" t="s">
        <v>98</v>
      </c>
      <c r="D586" s="30">
        <v>46147</v>
      </c>
      <c r="E586" s="27" t="s">
        <v>227</v>
      </c>
      <c r="F586" s="27" t="s">
        <v>164</v>
      </c>
      <c r="G586" s="27" t="s">
        <v>262</v>
      </c>
      <c r="H586" s="27" t="s">
        <v>171</v>
      </c>
      <c r="I586" s="27" t="s">
        <v>1035</v>
      </c>
      <c r="J586" s="27" t="s">
        <v>165</v>
      </c>
      <c r="K586" s="10">
        <v>45</v>
      </c>
      <c r="L586" s="36" t="s">
        <v>263</v>
      </c>
      <c r="M586" s="37" t="s">
        <v>296</v>
      </c>
      <c r="N586" s="37" t="s">
        <v>270</v>
      </c>
      <c r="O586" s="27"/>
      <c r="P586" s="27"/>
      <c r="Q586" s="27" t="s">
        <v>1036</v>
      </c>
      <c r="R586" s="27"/>
      <c r="S586" s="1" t="s">
        <v>264</v>
      </c>
      <c r="T586" s="29" t="s">
        <v>265</v>
      </c>
      <c r="U586" s="27"/>
      <c r="V586" s="27" t="s">
        <v>298</v>
      </c>
      <c r="W586" s="27"/>
    </row>
    <row r="587" spans="1:23" ht="24" customHeight="1">
      <c r="A587" s="27" t="str">
        <f t="shared" ca="1" si="9"/>
        <v>EVT-2026-0585</v>
      </c>
      <c r="B587" s="27">
        <v>2026</v>
      </c>
      <c r="C587" s="27" t="s">
        <v>98</v>
      </c>
      <c r="D587" s="30">
        <v>46148</v>
      </c>
      <c r="E587" s="27" t="s">
        <v>201</v>
      </c>
      <c r="F587" s="27" t="s">
        <v>164</v>
      </c>
      <c r="G587" s="27" t="s">
        <v>262</v>
      </c>
      <c r="H587" s="27" t="s">
        <v>171</v>
      </c>
      <c r="I587" s="27" t="s">
        <v>1037</v>
      </c>
      <c r="J587" s="27" t="s">
        <v>177</v>
      </c>
      <c r="K587" s="10">
        <v>60</v>
      </c>
      <c r="L587" s="36" t="s">
        <v>263</v>
      </c>
      <c r="M587" s="37" t="s">
        <v>309</v>
      </c>
      <c r="N587" s="37" t="s">
        <v>296</v>
      </c>
      <c r="O587" s="27"/>
      <c r="P587" s="27"/>
      <c r="Q587" s="27" t="s">
        <v>1038</v>
      </c>
      <c r="R587" s="27"/>
      <c r="S587" s="1" t="s">
        <v>264</v>
      </c>
      <c r="T587" s="29" t="s">
        <v>265</v>
      </c>
      <c r="U587" s="27"/>
      <c r="V587" s="27" t="s">
        <v>298</v>
      </c>
      <c r="W587" s="27"/>
    </row>
    <row r="588" spans="1:23" ht="24" customHeight="1">
      <c r="A588" s="27" t="str">
        <f t="shared" ca="1" si="9"/>
        <v>EVT-2026-0586</v>
      </c>
      <c r="B588" s="27">
        <v>2026</v>
      </c>
      <c r="C588" s="27" t="s">
        <v>98</v>
      </c>
      <c r="D588" s="30">
        <v>46149</v>
      </c>
      <c r="E588" s="27" t="s">
        <v>216</v>
      </c>
      <c r="F588" s="27" t="s">
        <v>164</v>
      </c>
      <c r="G588" s="27" t="s">
        <v>262</v>
      </c>
      <c r="H588" s="27"/>
      <c r="I588" s="27"/>
      <c r="J588" s="27" t="s">
        <v>177</v>
      </c>
      <c r="K588" s="10">
        <v>0</v>
      </c>
      <c r="L588" s="36" t="s">
        <v>263</v>
      </c>
      <c r="M588" s="37"/>
      <c r="N588" s="37"/>
      <c r="O588" s="27"/>
      <c r="P588" s="27"/>
      <c r="Q588" s="27"/>
      <c r="R588" s="27"/>
      <c r="S588" s="1" t="s">
        <v>264</v>
      </c>
      <c r="T588" s="29" t="s">
        <v>265</v>
      </c>
      <c r="U588" s="27"/>
      <c r="V588" s="27"/>
      <c r="W588" s="27"/>
    </row>
    <row r="589" spans="1:23" ht="24" customHeight="1">
      <c r="A589" s="27" t="str">
        <f t="shared" ca="1" si="9"/>
        <v>EVT-2026-0587</v>
      </c>
      <c r="B589" s="27">
        <v>2026</v>
      </c>
      <c r="C589" s="27" t="s">
        <v>98</v>
      </c>
      <c r="D589" s="30">
        <v>46150</v>
      </c>
      <c r="E589" s="27" t="s">
        <v>220</v>
      </c>
      <c r="F589" s="27" t="s">
        <v>164</v>
      </c>
      <c r="G589" s="27" t="s">
        <v>262</v>
      </c>
      <c r="H589" s="27"/>
      <c r="I589" s="27"/>
      <c r="J589" s="27" t="s">
        <v>177</v>
      </c>
      <c r="K589" s="10">
        <v>0</v>
      </c>
      <c r="L589" s="36" t="s">
        <v>263</v>
      </c>
      <c r="M589" s="37"/>
      <c r="N589" s="37"/>
      <c r="O589" s="27"/>
      <c r="P589" s="27"/>
      <c r="Q589" s="27"/>
      <c r="R589" s="27"/>
      <c r="S589" s="1" t="s">
        <v>264</v>
      </c>
      <c r="T589" s="29" t="s">
        <v>265</v>
      </c>
      <c r="U589" s="27"/>
      <c r="V589" s="27"/>
      <c r="W589" s="27"/>
    </row>
    <row r="590" spans="1:23" ht="24" customHeight="1">
      <c r="A590" s="27" t="str">
        <f t="shared" ca="1" si="9"/>
        <v>EVT-2026-0588</v>
      </c>
      <c r="B590" s="27">
        <v>2026</v>
      </c>
      <c r="C590" s="27" t="s">
        <v>98</v>
      </c>
      <c r="D590" s="30">
        <v>46151</v>
      </c>
      <c r="E590" s="27" t="s">
        <v>266</v>
      </c>
      <c r="F590" s="27" t="s">
        <v>164</v>
      </c>
      <c r="G590" s="27" t="s">
        <v>262</v>
      </c>
      <c r="H590" s="27"/>
      <c r="I590" s="27"/>
      <c r="J590" s="27" t="s">
        <v>177</v>
      </c>
      <c r="K590" s="10">
        <v>0</v>
      </c>
      <c r="L590" s="36" t="s">
        <v>263</v>
      </c>
      <c r="M590" s="37"/>
      <c r="N590" s="37"/>
      <c r="O590" s="27"/>
      <c r="P590" s="27"/>
      <c r="Q590" s="27"/>
      <c r="R590" s="27"/>
      <c r="S590" s="1" t="s">
        <v>264</v>
      </c>
      <c r="T590" s="29" t="s">
        <v>265</v>
      </c>
      <c r="U590" s="27"/>
      <c r="V590" s="27"/>
      <c r="W590" s="27"/>
    </row>
    <row r="591" spans="1:23" ht="24" customHeight="1">
      <c r="A591" s="27" t="str">
        <f t="shared" ca="1" si="9"/>
        <v>EVT-2026-0589</v>
      </c>
      <c r="B591" s="27">
        <v>2026</v>
      </c>
      <c r="C591" s="27" t="s">
        <v>98</v>
      </c>
      <c r="D591" s="30">
        <v>46152</v>
      </c>
      <c r="E591" s="27" t="s">
        <v>267</v>
      </c>
      <c r="F591" s="27" t="s">
        <v>164</v>
      </c>
      <c r="G591" s="27" t="s">
        <v>262</v>
      </c>
      <c r="H591" s="27"/>
      <c r="I591" s="27"/>
      <c r="J591" s="27" t="s">
        <v>177</v>
      </c>
      <c r="K591" s="10">
        <v>0</v>
      </c>
      <c r="L591" s="36" t="s">
        <v>263</v>
      </c>
      <c r="M591" s="37"/>
      <c r="N591" s="37"/>
      <c r="O591" s="27"/>
      <c r="P591" s="27"/>
      <c r="Q591" s="27"/>
      <c r="R591" s="27"/>
      <c r="S591" s="1" t="s">
        <v>264</v>
      </c>
      <c r="T591" s="29" t="s">
        <v>265</v>
      </c>
      <c r="U591" s="27"/>
      <c r="V591" s="27"/>
      <c r="W591" s="27"/>
    </row>
    <row r="592" spans="1:23" ht="24" customHeight="1">
      <c r="A592" s="27" t="str">
        <f t="shared" ca="1" si="9"/>
        <v>EVT-2026-0590</v>
      </c>
      <c r="B592" s="27">
        <v>2026</v>
      </c>
      <c r="C592" s="27" t="s">
        <v>98</v>
      </c>
      <c r="D592" s="30">
        <v>46153</v>
      </c>
      <c r="E592" s="27" t="s">
        <v>224</v>
      </c>
      <c r="F592" s="27" t="s">
        <v>164</v>
      </c>
      <c r="G592" s="27" t="s">
        <v>202</v>
      </c>
      <c r="H592" s="27" t="s">
        <v>326</v>
      </c>
      <c r="I592" s="27" t="s">
        <v>236</v>
      </c>
      <c r="J592" s="27" t="s">
        <v>139</v>
      </c>
      <c r="K592" s="10">
        <v>0</v>
      </c>
      <c r="L592" s="36" t="s">
        <v>263</v>
      </c>
      <c r="M592" s="37" t="s">
        <v>269</v>
      </c>
      <c r="N592" s="37" t="s">
        <v>270</v>
      </c>
      <c r="O592" s="27"/>
      <c r="P592" s="27"/>
      <c r="Q592" s="27" t="s">
        <v>237</v>
      </c>
      <c r="R592" s="27"/>
      <c r="S592" s="1" t="s">
        <v>264</v>
      </c>
      <c r="T592" s="29" t="s">
        <v>265</v>
      </c>
      <c r="U592" s="27"/>
      <c r="V592" s="27" t="s">
        <v>303</v>
      </c>
      <c r="W592" s="27"/>
    </row>
    <row r="593" spans="1:23" ht="24" customHeight="1">
      <c r="A593" s="27" t="str">
        <f t="shared" ca="1" si="9"/>
        <v>EVT-2026-0591</v>
      </c>
      <c r="B593" s="27">
        <v>2026</v>
      </c>
      <c r="C593" s="27" t="s">
        <v>98</v>
      </c>
      <c r="D593" s="30">
        <v>46153</v>
      </c>
      <c r="E593" s="27" t="s">
        <v>224</v>
      </c>
      <c r="F593" s="27" t="s">
        <v>164</v>
      </c>
      <c r="G593" s="27" t="s">
        <v>262</v>
      </c>
      <c r="H593" s="27" t="s">
        <v>171</v>
      </c>
      <c r="I593" s="27" t="s">
        <v>236</v>
      </c>
      <c r="J593" s="27" t="s">
        <v>139</v>
      </c>
      <c r="K593" s="10">
        <v>25</v>
      </c>
      <c r="L593" s="36" t="s">
        <v>263</v>
      </c>
      <c r="M593" s="37" t="s">
        <v>269</v>
      </c>
      <c r="N593" s="37" t="s">
        <v>270</v>
      </c>
      <c r="O593" s="27"/>
      <c r="P593" s="27"/>
      <c r="Q593" s="27" t="s">
        <v>743</v>
      </c>
      <c r="R593" s="27"/>
      <c r="S593" s="1" t="s">
        <v>264</v>
      </c>
      <c r="T593" s="29" t="s">
        <v>265</v>
      </c>
      <c r="U593" s="27"/>
      <c r="V593" s="27" t="s">
        <v>303</v>
      </c>
      <c r="W593" s="27"/>
    </row>
    <row r="594" spans="1:23" ht="24" customHeight="1">
      <c r="A594" s="27" t="str">
        <f t="shared" ca="1" si="9"/>
        <v>EVT-2026-0592</v>
      </c>
      <c r="B594" s="27">
        <v>2026</v>
      </c>
      <c r="C594" s="27" t="s">
        <v>98</v>
      </c>
      <c r="D594" s="30">
        <v>46154</v>
      </c>
      <c r="E594" s="27" t="s">
        <v>227</v>
      </c>
      <c r="F594" s="27" t="s">
        <v>164</v>
      </c>
      <c r="G594" s="27" t="s">
        <v>262</v>
      </c>
      <c r="H594" s="27" t="s">
        <v>171</v>
      </c>
      <c r="I594" s="27" t="s">
        <v>1039</v>
      </c>
      <c r="J594" s="27" t="s">
        <v>177</v>
      </c>
      <c r="K594" s="10">
        <v>60</v>
      </c>
      <c r="L594" s="36" t="s">
        <v>263</v>
      </c>
      <c r="M594" s="37" t="s">
        <v>331</v>
      </c>
      <c r="N594" s="37" t="s">
        <v>296</v>
      </c>
      <c r="O594" s="27"/>
      <c r="P594" s="27"/>
      <c r="Q594" s="27" t="s">
        <v>651</v>
      </c>
      <c r="R594" s="27"/>
      <c r="S594" s="1" t="s">
        <v>264</v>
      </c>
      <c r="T594" s="29" t="s">
        <v>265</v>
      </c>
      <c r="U594" s="27"/>
      <c r="V594" s="27" t="s">
        <v>298</v>
      </c>
      <c r="W594" s="27"/>
    </row>
    <row r="595" spans="1:23" ht="24" customHeight="1">
      <c r="A595" s="27" t="str">
        <f t="shared" ca="1" si="9"/>
        <v>EVT-2026-0593</v>
      </c>
      <c r="B595" s="27">
        <v>2026</v>
      </c>
      <c r="C595" s="27" t="s">
        <v>98</v>
      </c>
      <c r="D595" s="30">
        <v>46155</v>
      </c>
      <c r="E595" s="27" t="s">
        <v>201</v>
      </c>
      <c r="F595" s="27" t="s">
        <v>164</v>
      </c>
      <c r="G595" s="27" t="s">
        <v>228</v>
      </c>
      <c r="H595" s="27" t="s">
        <v>954</v>
      </c>
      <c r="I595" s="27" t="s">
        <v>1040</v>
      </c>
      <c r="J595" s="27" t="s">
        <v>177</v>
      </c>
      <c r="K595" s="10">
        <v>25</v>
      </c>
      <c r="L595" s="36" t="s">
        <v>263</v>
      </c>
      <c r="M595" s="37" t="s">
        <v>289</v>
      </c>
      <c r="N595" s="37" t="s">
        <v>270</v>
      </c>
      <c r="O595" s="27"/>
      <c r="P595" s="27"/>
      <c r="Q595" s="27" t="s">
        <v>1041</v>
      </c>
      <c r="R595" s="27"/>
      <c r="S595" s="1" t="s">
        <v>264</v>
      </c>
      <c r="T595" s="29" t="s">
        <v>265</v>
      </c>
      <c r="U595" s="27"/>
      <c r="V595" s="27" t="s">
        <v>1042</v>
      </c>
      <c r="W595" s="27" t="s">
        <v>1043</v>
      </c>
    </row>
    <row r="596" spans="1:23" ht="24" customHeight="1">
      <c r="A596" s="27" t="str">
        <f t="shared" ca="1" si="9"/>
        <v>EVT-2026-0594</v>
      </c>
      <c r="B596" s="27">
        <v>2026</v>
      </c>
      <c r="C596" s="27" t="s">
        <v>98</v>
      </c>
      <c r="D596" s="30">
        <v>46155</v>
      </c>
      <c r="E596" s="27" t="s">
        <v>201</v>
      </c>
      <c r="F596" s="27" t="s">
        <v>164</v>
      </c>
      <c r="G596" s="27" t="s">
        <v>262</v>
      </c>
      <c r="H596" s="27" t="s">
        <v>171</v>
      </c>
      <c r="I596" s="27" t="s">
        <v>1039</v>
      </c>
      <c r="J596" s="27" t="s">
        <v>177</v>
      </c>
      <c r="K596" s="10">
        <v>60</v>
      </c>
      <c r="L596" s="36" t="s">
        <v>263</v>
      </c>
      <c r="M596" s="37" t="s">
        <v>331</v>
      </c>
      <c r="N596" s="37" t="s">
        <v>296</v>
      </c>
      <c r="O596" s="27"/>
      <c r="P596" s="27"/>
      <c r="Q596" s="27" t="s">
        <v>651</v>
      </c>
      <c r="R596" s="27"/>
      <c r="S596" s="1" t="s">
        <v>264</v>
      </c>
      <c r="T596" s="29" t="s">
        <v>265</v>
      </c>
      <c r="U596" s="27"/>
      <c r="V596" s="27" t="s">
        <v>298</v>
      </c>
      <c r="W596" s="27"/>
    </row>
    <row r="597" spans="1:23" ht="24" customHeight="1">
      <c r="A597" s="27" t="str">
        <f t="shared" ca="1" si="9"/>
        <v>EVT-2026-0595</v>
      </c>
      <c r="B597" s="27">
        <v>2026</v>
      </c>
      <c r="C597" s="27" t="s">
        <v>98</v>
      </c>
      <c r="D597" s="30">
        <v>46155</v>
      </c>
      <c r="E597" s="27" t="s">
        <v>201</v>
      </c>
      <c r="F597" s="27" t="s">
        <v>164</v>
      </c>
      <c r="G597" s="27" t="s">
        <v>262</v>
      </c>
      <c r="H597" s="27" t="s">
        <v>1044</v>
      </c>
      <c r="I597" s="27" t="s">
        <v>1045</v>
      </c>
      <c r="J597" s="27" t="s">
        <v>177</v>
      </c>
      <c r="K597" s="10">
        <v>0</v>
      </c>
      <c r="L597" s="36" t="s">
        <v>263</v>
      </c>
      <c r="M597" s="37" t="s">
        <v>295</v>
      </c>
      <c r="N597" s="37" t="s">
        <v>270</v>
      </c>
      <c r="O597" s="27"/>
      <c r="P597" s="27"/>
      <c r="Q597" s="27" t="s">
        <v>335</v>
      </c>
      <c r="R597" s="27"/>
      <c r="S597" s="1" t="s">
        <v>264</v>
      </c>
      <c r="T597" s="29" t="s">
        <v>265</v>
      </c>
      <c r="U597" s="27"/>
      <c r="V597" s="27" t="s">
        <v>298</v>
      </c>
      <c r="W597" s="27"/>
    </row>
    <row r="598" spans="1:23" ht="24" customHeight="1">
      <c r="A598" s="27" t="str">
        <f t="shared" ca="1" si="9"/>
        <v>EVT-2026-0596</v>
      </c>
      <c r="B598" s="27">
        <v>2026</v>
      </c>
      <c r="C598" s="27" t="s">
        <v>98</v>
      </c>
      <c r="D598" s="30">
        <v>46156</v>
      </c>
      <c r="E598" s="27" t="s">
        <v>216</v>
      </c>
      <c r="F598" s="27" t="s">
        <v>164</v>
      </c>
      <c r="G598" s="27" t="s">
        <v>262</v>
      </c>
      <c r="H598" s="27" t="s">
        <v>171</v>
      </c>
      <c r="I598" s="27" t="s">
        <v>1046</v>
      </c>
      <c r="J598" s="27" t="s">
        <v>177</v>
      </c>
      <c r="K598" s="10">
        <v>40</v>
      </c>
      <c r="L598" s="36" t="s">
        <v>263</v>
      </c>
      <c r="M598" s="37" t="s">
        <v>309</v>
      </c>
      <c r="N598" s="37" t="s">
        <v>295</v>
      </c>
      <c r="O598" s="27"/>
      <c r="P598" s="27"/>
      <c r="Q598" s="27" t="s">
        <v>1047</v>
      </c>
      <c r="R598" s="27"/>
      <c r="S598" s="1" t="s">
        <v>264</v>
      </c>
      <c r="T598" s="29" t="s">
        <v>265</v>
      </c>
      <c r="U598" s="27"/>
      <c r="V598" s="27" t="s">
        <v>298</v>
      </c>
      <c r="W598" s="27"/>
    </row>
    <row r="599" spans="1:23" ht="24" customHeight="1">
      <c r="A599" s="27" t="str">
        <f t="shared" ca="1" si="9"/>
        <v>EVT-2026-0597</v>
      </c>
      <c r="B599" s="27">
        <v>2026</v>
      </c>
      <c r="C599" s="27" t="s">
        <v>98</v>
      </c>
      <c r="D599" s="30">
        <v>46157</v>
      </c>
      <c r="E599" s="27" t="s">
        <v>220</v>
      </c>
      <c r="F599" s="27" t="s">
        <v>164</v>
      </c>
      <c r="G599" s="27" t="s">
        <v>262</v>
      </c>
      <c r="H599" s="27" t="s">
        <v>171</v>
      </c>
      <c r="I599" s="27"/>
      <c r="J599" s="27" t="s">
        <v>177</v>
      </c>
      <c r="K599" s="10">
        <v>0</v>
      </c>
      <c r="L599" s="36" t="s">
        <v>263</v>
      </c>
      <c r="M599" s="37"/>
      <c r="N599" s="37"/>
      <c r="O599" s="27"/>
      <c r="P599" s="27"/>
      <c r="Q599" s="27"/>
      <c r="R599" s="27"/>
      <c r="S599" s="1" t="s">
        <v>264</v>
      </c>
      <c r="T599" s="29" t="s">
        <v>265</v>
      </c>
      <c r="U599" s="27"/>
      <c r="V599" s="27"/>
      <c r="W599" s="27"/>
    </row>
    <row r="600" spans="1:23" ht="24" customHeight="1">
      <c r="A600" s="27" t="str">
        <f t="shared" ca="1" si="9"/>
        <v>EVT-2026-0598</v>
      </c>
      <c r="B600" s="27">
        <v>2026</v>
      </c>
      <c r="C600" s="27" t="s">
        <v>98</v>
      </c>
      <c r="D600" s="30">
        <v>46158</v>
      </c>
      <c r="E600" s="27" t="s">
        <v>266</v>
      </c>
      <c r="F600" s="27" t="s">
        <v>164</v>
      </c>
      <c r="G600" s="27" t="s">
        <v>262</v>
      </c>
      <c r="H600" s="27"/>
      <c r="I600" s="27"/>
      <c r="J600" s="27" t="s">
        <v>177</v>
      </c>
      <c r="K600" s="10">
        <v>0</v>
      </c>
      <c r="L600" s="36" t="s">
        <v>263</v>
      </c>
      <c r="M600" s="37"/>
      <c r="N600" s="37"/>
      <c r="O600" s="27"/>
      <c r="P600" s="27"/>
      <c r="Q600" s="27"/>
      <c r="R600" s="27"/>
      <c r="S600" s="1" t="s">
        <v>264</v>
      </c>
      <c r="T600" s="29" t="s">
        <v>265</v>
      </c>
      <c r="U600" s="27"/>
      <c r="V600" s="27"/>
      <c r="W600" s="27"/>
    </row>
    <row r="601" spans="1:23" ht="24" customHeight="1">
      <c r="A601" s="27" t="str">
        <f t="shared" ca="1" si="9"/>
        <v>EVT-2026-0599</v>
      </c>
      <c r="B601" s="27">
        <v>2026</v>
      </c>
      <c r="C601" s="27" t="s">
        <v>98</v>
      </c>
      <c r="D601" s="30">
        <v>46159</v>
      </c>
      <c r="E601" s="27" t="s">
        <v>267</v>
      </c>
      <c r="F601" s="27" t="s">
        <v>164</v>
      </c>
      <c r="G601" s="27" t="s">
        <v>262</v>
      </c>
      <c r="H601" s="27"/>
      <c r="I601" s="27"/>
      <c r="J601" s="27" t="s">
        <v>177</v>
      </c>
      <c r="K601" s="10">
        <v>0</v>
      </c>
      <c r="L601" s="36" t="s">
        <v>263</v>
      </c>
      <c r="M601" s="37"/>
      <c r="N601" s="37"/>
      <c r="O601" s="27"/>
      <c r="P601" s="27"/>
      <c r="Q601" s="27"/>
      <c r="R601" s="27"/>
      <c r="S601" s="1" t="s">
        <v>264</v>
      </c>
      <c r="T601" s="29" t="s">
        <v>265</v>
      </c>
      <c r="U601" s="27"/>
      <c r="V601" s="27"/>
      <c r="W601" s="27"/>
    </row>
    <row r="602" spans="1:23" ht="24" customHeight="1">
      <c r="A602" s="27" t="str">
        <f t="shared" ca="1" si="9"/>
        <v>EVT-2026-0600</v>
      </c>
      <c r="B602" s="27">
        <v>2026</v>
      </c>
      <c r="C602" s="27" t="s">
        <v>98</v>
      </c>
      <c r="D602" s="30">
        <v>46160</v>
      </c>
      <c r="E602" s="27" t="s">
        <v>224</v>
      </c>
      <c r="F602" s="27" t="s">
        <v>164</v>
      </c>
      <c r="G602" s="27" t="s">
        <v>262</v>
      </c>
      <c r="H602" s="27" t="s">
        <v>937</v>
      </c>
      <c r="I602" s="27" t="s">
        <v>236</v>
      </c>
      <c r="J602" s="27" t="s">
        <v>139</v>
      </c>
      <c r="K602" s="10">
        <v>40</v>
      </c>
      <c r="L602" s="36" t="s">
        <v>263</v>
      </c>
      <c r="M602" s="37" t="s">
        <v>269</v>
      </c>
      <c r="N602" s="37" t="s">
        <v>270</v>
      </c>
      <c r="O602" s="27"/>
      <c r="P602" s="27"/>
      <c r="Q602" s="27" t="s">
        <v>237</v>
      </c>
      <c r="R602" s="27"/>
      <c r="S602" s="1" t="s">
        <v>264</v>
      </c>
      <c r="T602" s="29" t="s">
        <v>265</v>
      </c>
      <c r="U602" s="27"/>
      <c r="V602" s="27" t="s">
        <v>303</v>
      </c>
      <c r="W602" s="27"/>
    </row>
    <row r="603" spans="1:23" ht="24" customHeight="1">
      <c r="A603" s="27" t="str">
        <f t="shared" ca="1" si="9"/>
        <v>EVT-2026-0601</v>
      </c>
      <c r="B603" s="27">
        <v>2026</v>
      </c>
      <c r="C603" s="27" t="s">
        <v>98</v>
      </c>
      <c r="D603" s="30">
        <v>46160</v>
      </c>
      <c r="E603" s="27" t="s">
        <v>224</v>
      </c>
      <c r="F603" s="27" t="s">
        <v>164</v>
      </c>
      <c r="G603" s="27" t="s">
        <v>202</v>
      </c>
      <c r="H603" s="27" t="s">
        <v>326</v>
      </c>
      <c r="I603" s="27"/>
      <c r="J603" s="27" t="s">
        <v>177</v>
      </c>
      <c r="K603" s="10">
        <v>40</v>
      </c>
      <c r="L603" s="36" t="s">
        <v>263</v>
      </c>
      <c r="M603" s="37"/>
      <c r="N603" s="37"/>
      <c r="O603" s="27"/>
      <c r="P603" s="27"/>
      <c r="Q603" s="27"/>
      <c r="R603" s="27"/>
      <c r="S603" s="1" t="s">
        <v>264</v>
      </c>
      <c r="T603" s="29" t="s">
        <v>265</v>
      </c>
      <c r="U603" s="27"/>
      <c r="V603" s="27"/>
      <c r="W603" s="27"/>
    </row>
    <row r="604" spans="1:23" ht="24" customHeight="1">
      <c r="A604" s="27" t="str">
        <f t="shared" ca="1" si="9"/>
        <v>EVT-2026-0602</v>
      </c>
      <c r="B604" s="27">
        <v>2026</v>
      </c>
      <c r="C604" s="27" t="s">
        <v>98</v>
      </c>
      <c r="D604" s="30">
        <v>46161</v>
      </c>
      <c r="E604" s="27" t="s">
        <v>227</v>
      </c>
      <c r="F604" s="27" t="s">
        <v>164</v>
      </c>
      <c r="G604" s="27" t="s">
        <v>262</v>
      </c>
      <c r="H604" s="27" t="s">
        <v>937</v>
      </c>
      <c r="I604" s="27" t="s">
        <v>1048</v>
      </c>
      <c r="J604" s="27" t="s">
        <v>127</v>
      </c>
      <c r="K604" s="10">
        <v>80</v>
      </c>
      <c r="L604" s="36" t="s">
        <v>263</v>
      </c>
      <c r="M604" s="37" t="s">
        <v>274</v>
      </c>
      <c r="N604" s="37" t="s">
        <v>331</v>
      </c>
      <c r="O604" s="27"/>
      <c r="P604" s="27"/>
      <c r="Q604" s="27" t="s">
        <v>378</v>
      </c>
      <c r="R604" s="27"/>
      <c r="S604" s="3" t="s">
        <v>312</v>
      </c>
      <c r="T604" s="29" t="s">
        <v>265</v>
      </c>
      <c r="U604" s="27"/>
      <c r="V604" s="27" t="s">
        <v>1049</v>
      </c>
      <c r="W604" s="27" t="s">
        <v>901</v>
      </c>
    </row>
    <row r="605" spans="1:23" ht="24" customHeight="1">
      <c r="A605" s="27" t="str">
        <f t="shared" ca="1" si="9"/>
        <v>EVT-2026-0603</v>
      </c>
      <c r="B605" s="27">
        <v>2026</v>
      </c>
      <c r="C605" s="27" t="s">
        <v>98</v>
      </c>
      <c r="D605" s="30">
        <v>46161</v>
      </c>
      <c r="E605" s="27" t="s">
        <v>227</v>
      </c>
      <c r="F605" s="27" t="s">
        <v>164</v>
      </c>
      <c r="G605" s="27" t="s">
        <v>262</v>
      </c>
      <c r="H605" s="27" t="s">
        <v>1050</v>
      </c>
      <c r="I605" s="27" t="s">
        <v>1051</v>
      </c>
      <c r="J605" s="27" t="s">
        <v>134</v>
      </c>
      <c r="K605" s="10">
        <v>30</v>
      </c>
      <c r="L605" s="36" t="s">
        <v>263</v>
      </c>
      <c r="M605" s="37" t="s">
        <v>269</v>
      </c>
      <c r="N605" s="37" t="s">
        <v>270</v>
      </c>
      <c r="O605" s="27"/>
      <c r="P605" s="27"/>
      <c r="Q605" s="27" t="s">
        <v>1052</v>
      </c>
      <c r="R605" s="27"/>
      <c r="S605" s="3" t="s">
        <v>312</v>
      </c>
      <c r="T605" s="29" t="s">
        <v>265</v>
      </c>
      <c r="U605" s="27"/>
      <c r="V605" s="27" t="s">
        <v>1053</v>
      </c>
      <c r="W605" s="27"/>
    </row>
    <row r="606" spans="1:23" ht="24" customHeight="1">
      <c r="A606" s="27" t="str">
        <f t="shared" ca="1" si="9"/>
        <v>EVT-2026-0604</v>
      </c>
      <c r="B606" s="27">
        <v>2026</v>
      </c>
      <c r="C606" s="27" t="s">
        <v>98</v>
      </c>
      <c r="D606" s="30">
        <v>46162</v>
      </c>
      <c r="E606" s="27" t="s">
        <v>201</v>
      </c>
      <c r="F606" s="27" t="s">
        <v>164</v>
      </c>
      <c r="G606" s="27" t="s">
        <v>262</v>
      </c>
      <c r="H606" s="27" t="s">
        <v>1054</v>
      </c>
      <c r="I606" s="27" t="s">
        <v>1051</v>
      </c>
      <c r="J606" s="27" t="s">
        <v>134</v>
      </c>
      <c r="K606" s="10">
        <v>30</v>
      </c>
      <c r="L606" s="36" t="s">
        <v>263</v>
      </c>
      <c r="M606" s="37" t="s">
        <v>269</v>
      </c>
      <c r="N606" s="37" t="s">
        <v>270</v>
      </c>
      <c r="O606" s="27"/>
      <c r="P606" s="27"/>
      <c r="Q606" s="27" t="s">
        <v>1052</v>
      </c>
      <c r="R606" s="27"/>
      <c r="S606" s="3" t="s">
        <v>312</v>
      </c>
      <c r="T606" s="29" t="s">
        <v>265</v>
      </c>
      <c r="U606" s="27"/>
      <c r="V606" s="27" t="s">
        <v>1053</v>
      </c>
      <c r="W606" s="27"/>
    </row>
    <row r="607" spans="1:23" ht="24" customHeight="1">
      <c r="A607" s="27" t="str">
        <f t="shared" ca="1" si="9"/>
        <v>EVT-2026-0605</v>
      </c>
      <c r="B607" s="27">
        <v>2026</v>
      </c>
      <c r="C607" s="27" t="s">
        <v>98</v>
      </c>
      <c r="D607" s="30">
        <v>46163</v>
      </c>
      <c r="E607" s="27" t="s">
        <v>216</v>
      </c>
      <c r="F607" s="27" t="s">
        <v>164</v>
      </c>
      <c r="G607" s="27" t="s">
        <v>228</v>
      </c>
      <c r="H607" s="27" t="s">
        <v>1055</v>
      </c>
      <c r="I607" s="27" t="s">
        <v>1056</v>
      </c>
      <c r="J607" s="27" t="s">
        <v>158</v>
      </c>
      <c r="K607" s="10">
        <v>45</v>
      </c>
      <c r="L607" s="36" t="s">
        <v>263</v>
      </c>
      <c r="M607" s="37" t="s">
        <v>1057</v>
      </c>
      <c r="N607" s="37" t="s">
        <v>330</v>
      </c>
      <c r="O607" s="27"/>
      <c r="P607" s="27"/>
      <c r="Q607" s="27" t="s">
        <v>335</v>
      </c>
      <c r="R607" s="27"/>
      <c r="S607" s="1" t="s">
        <v>264</v>
      </c>
      <c r="T607" s="29" t="s">
        <v>265</v>
      </c>
      <c r="U607" s="27"/>
      <c r="V607" s="27" t="s">
        <v>1058</v>
      </c>
      <c r="W607" s="27"/>
    </row>
    <row r="608" spans="1:23" ht="24" customHeight="1">
      <c r="A608" s="27" t="str">
        <f t="shared" ca="1" si="9"/>
        <v>EVT-2026-0606</v>
      </c>
      <c r="B608" s="27">
        <v>2026</v>
      </c>
      <c r="C608" s="27" t="s">
        <v>98</v>
      </c>
      <c r="D608" s="30">
        <v>46164</v>
      </c>
      <c r="E608" s="27" t="s">
        <v>220</v>
      </c>
      <c r="F608" s="27" t="s">
        <v>164</v>
      </c>
      <c r="G608" s="27" t="s">
        <v>262</v>
      </c>
      <c r="H608" s="27" t="s">
        <v>1044</v>
      </c>
      <c r="I608" s="27" t="s">
        <v>337</v>
      </c>
      <c r="J608" s="27" t="s">
        <v>127</v>
      </c>
      <c r="K608" s="10">
        <v>180</v>
      </c>
      <c r="L608" s="38" t="s">
        <v>294</v>
      </c>
      <c r="M608" s="37" t="s">
        <v>338</v>
      </c>
      <c r="N608" s="37" t="s">
        <v>429</v>
      </c>
      <c r="O608" s="27"/>
      <c r="P608" s="27" t="s">
        <v>811</v>
      </c>
      <c r="Q608" s="27"/>
      <c r="R608" s="27"/>
      <c r="S608" s="1" t="s">
        <v>264</v>
      </c>
      <c r="T608" s="29" t="s">
        <v>265</v>
      </c>
      <c r="U608" s="27"/>
      <c r="V608" s="27" t="s">
        <v>1059</v>
      </c>
      <c r="W608" s="27"/>
    </row>
    <row r="609" spans="1:23" ht="24" customHeight="1">
      <c r="A609" s="27" t="str">
        <f t="shared" ca="1" si="9"/>
        <v>EVT-2026-0607</v>
      </c>
      <c r="B609" s="27">
        <v>2026</v>
      </c>
      <c r="C609" s="27" t="s">
        <v>98</v>
      </c>
      <c r="D609" s="30">
        <v>46164</v>
      </c>
      <c r="E609" s="27" t="s">
        <v>220</v>
      </c>
      <c r="F609" s="27" t="s">
        <v>164</v>
      </c>
      <c r="G609" s="27" t="s">
        <v>262</v>
      </c>
      <c r="H609" s="27" t="s">
        <v>171</v>
      </c>
      <c r="I609" s="27" t="s">
        <v>344</v>
      </c>
      <c r="J609" s="27" t="s">
        <v>134</v>
      </c>
      <c r="K609" s="10">
        <v>0</v>
      </c>
      <c r="L609" s="36" t="s">
        <v>263</v>
      </c>
      <c r="M609" s="37" t="s">
        <v>275</v>
      </c>
      <c r="N609" s="37" t="s">
        <v>270</v>
      </c>
      <c r="O609" s="27"/>
      <c r="P609" s="27"/>
      <c r="Q609" s="27" t="s">
        <v>1060</v>
      </c>
      <c r="R609" s="27"/>
      <c r="S609" s="1" t="s">
        <v>264</v>
      </c>
      <c r="T609" s="29" t="s">
        <v>265</v>
      </c>
      <c r="U609" s="27"/>
      <c r="V609" s="27" t="s">
        <v>303</v>
      </c>
      <c r="W609" s="27"/>
    </row>
    <row r="610" spans="1:23" ht="24" customHeight="1">
      <c r="A610" s="27" t="str">
        <f t="shared" ca="1" si="9"/>
        <v>EVT-2026-0608</v>
      </c>
      <c r="B610" s="27">
        <v>2026</v>
      </c>
      <c r="C610" s="27" t="s">
        <v>98</v>
      </c>
      <c r="D610" s="30">
        <v>46165</v>
      </c>
      <c r="E610" s="27" t="s">
        <v>266</v>
      </c>
      <c r="F610" s="27" t="s">
        <v>164</v>
      </c>
      <c r="G610" s="27" t="s">
        <v>262</v>
      </c>
      <c r="H610" s="27"/>
      <c r="I610" s="27"/>
      <c r="J610" s="27" t="s">
        <v>177</v>
      </c>
      <c r="K610" s="10">
        <v>0</v>
      </c>
      <c r="L610" s="36" t="s">
        <v>263</v>
      </c>
      <c r="M610" s="37"/>
      <c r="N610" s="37"/>
      <c r="O610" s="27"/>
      <c r="P610" s="27"/>
      <c r="Q610" s="27"/>
      <c r="R610" s="27"/>
      <c r="S610" s="1" t="s">
        <v>264</v>
      </c>
      <c r="T610" s="29" t="s">
        <v>265</v>
      </c>
      <c r="U610" s="27"/>
      <c r="V610" s="27"/>
      <c r="W610" s="27"/>
    </row>
    <row r="611" spans="1:23" ht="24" customHeight="1">
      <c r="A611" s="27" t="str">
        <f t="shared" ca="1" si="9"/>
        <v>EVT-2026-0609</v>
      </c>
      <c r="B611" s="27">
        <v>2026</v>
      </c>
      <c r="C611" s="27" t="s">
        <v>98</v>
      </c>
      <c r="D611" s="30">
        <v>46166</v>
      </c>
      <c r="E611" s="27" t="s">
        <v>267</v>
      </c>
      <c r="F611" s="27" t="s">
        <v>164</v>
      </c>
      <c r="G611" s="27" t="s">
        <v>262</v>
      </c>
      <c r="H611" s="27"/>
      <c r="I611" s="27"/>
      <c r="J611" s="27" t="s">
        <v>177</v>
      </c>
      <c r="K611" s="10">
        <v>0</v>
      </c>
      <c r="L611" s="36" t="s">
        <v>263</v>
      </c>
      <c r="M611" s="37"/>
      <c r="N611" s="37"/>
      <c r="O611" s="27"/>
      <c r="P611" s="27"/>
      <c r="Q611" s="27"/>
      <c r="R611" s="27"/>
      <c r="S611" s="1" t="s">
        <v>264</v>
      </c>
      <c r="T611" s="29" t="s">
        <v>265</v>
      </c>
      <c r="U611" s="27"/>
      <c r="V611" s="27"/>
      <c r="W611" s="27"/>
    </row>
    <row r="612" spans="1:23" ht="24" customHeight="1">
      <c r="A612" s="27" t="str">
        <f t="shared" ca="1" si="9"/>
        <v>EVT-2026-0610</v>
      </c>
      <c r="B612" s="27">
        <v>2026</v>
      </c>
      <c r="C612" s="27" t="s">
        <v>98</v>
      </c>
      <c r="D612" s="30">
        <v>46166</v>
      </c>
      <c r="E612" s="27" t="s">
        <v>267</v>
      </c>
      <c r="F612" s="27" t="s">
        <v>164</v>
      </c>
      <c r="G612" s="27" t="s">
        <v>202</v>
      </c>
      <c r="H612" s="27" t="s">
        <v>1061</v>
      </c>
      <c r="I612" s="27" t="s">
        <v>236</v>
      </c>
      <c r="J612" s="27" t="s">
        <v>139</v>
      </c>
      <c r="K612" s="10">
        <v>30</v>
      </c>
      <c r="L612" s="36" t="s">
        <v>263</v>
      </c>
      <c r="M612" s="37" t="s">
        <v>269</v>
      </c>
      <c r="N612" s="37" t="s">
        <v>270</v>
      </c>
      <c r="O612" s="27"/>
      <c r="P612" s="27"/>
      <c r="Q612" s="27" t="s">
        <v>237</v>
      </c>
      <c r="R612" s="27"/>
      <c r="S612" s="1" t="s">
        <v>264</v>
      </c>
      <c r="T612" s="29" t="s">
        <v>265</v>
      </c>
      <c r="U612" s="27"/>
      <c r="V612" s="27" t="s">
        <v>303</v>
      </c>
      <c r="W612" s="27"/>
    </row>
    <row r="613" spans="1:23" ht="24" customHeight="1">
      <c r="A613" s="27" t="str">
        <f t="shared" ca="1" si="9"/>
        <v>EVT-2026-0611</v>
      </c>
      <c r="B613" s="27">
        <v>2026</v>
      </c>
      <c r="C613" s="27" t="s">
        <v>98</v>
      </c>
      <c r="D613" s="30">
        <v>46167</v>
      </c>
      <c r="E613" s="27" t="s">
        <v>224</v>
      </c>
      <c r="F613" s="27" t="s">
        <v>164</v>
      </c>
      <c r="G613" s="27" t="s">
        <v>262</v>
      </c>
      <c r="H613" s="27" t="s">
        <v>171</v>
      </c>
      <c r="I613" s="27" t="s">
        <v>1062</v>
      </c>
      <c r="J613" s="27" t="s">
        <v>177</v>
      </c>
      <c r="K613" s="10">
        <v>35</v>
      </c>
      <c r="L613" s="36" t="s">
        <v>263</v>
      </c>
      <c r="M613" s="37" t="s">
        <v>269</v>
      </c>
      <c r="N613" s="37" t="s">
        <v>270</v>
      </c>
      <c r="O613" s="27"/>
      <c r="P613" s="27"/>
      <c r="Q613" s="27" t="s">
        <v>237</v>
      </c>
      <c r="R613" s="27"/>
      <c r="S613" s="1" t="s">
        <v>264</v>
      </c>
      <c r="T613" s="29" t="s">
        <v>265</v>
      </c>
      <c r="U613" s="27"/>
      <c r="V613" s="27" t="s">
        <v>1063</v>
      </c>
      <c r="W613" s="27"/>
    </row>
    <row r="614" spans="1:23" ht="24" customHeight="1">
      <c r="A614" s="27" t="str">
        <f t="shared" ca="1" si="9"/>
        <v>EVT-2026-0612</v>
      </c>
      <c r="B614" s="27">
        <v>2026</v>
      </c>
      <c r="C614" s="27" t="s">
        <v>98</v>
      </c>
      <c r="D614" s="30">
        <v>46168</v>
      </c>
      <c r="E614" s="27" t="s">
        <v>227</v>
      </c>
      <c r="F614" s="27" t="s">
        <v>164</v>
      </c>
      <c r="G614" s="27" t="s">
        <v>262</v>
      </c>
      <c r="H614" s="27" t="s">
        <v>171</v>
      </c>
      <c r="I614" s="27"/>
      <c r="J614" s="27" t="s">
        <v>177</v>
      </c>
      <c r="K614" s="10">
        <v>60</v>
      </c>
      <c r="L614" s="36" t="s">
        <v>263</v>
      </c>
      <c r="M614" s="37" t="s">
        <v>896</v>
      </c>
      <c r="N614" s="37" t="s">
        <v>359</v>
      </c>
      <c r="O614" s="27"/>
      <c r="P614" s="27"/>
      <c r="Q614" s="27" t="s">
        <v>785</v>
      </c>
      <c r="R614" s="27"/>
      <c r="S614" s="1" t="s">
        <v>264</v>
      </c>
      <c r="T614" s="29" t="s">
        <v>265</v>
      </c>
      <c r="U614" s="27"/>
      <c r="V614" s="27"/>
      <c r="W614" s="27"/>
    </row>
    <row r="615" spans="1:23" ht="24" customHeight="1">
      <c r="A615" s="27" t="str">
        <f t="shared" ca="1" si="9"/>
        <v>EVT-2026-0613</v>
      </c>
      <c r="B615" s="27">
        <v>2026</v>
      </c>
      <c r="C615" s="27" t="s">
        <v>98</v>
      </c>
      <c r="D615" s="30">
        <v>46169</v>
      </c>
      <c r="E615" s="27" t="s">
        <v>201</v>
      </c>
      <c r="F615" s="27" t="s">
        <v>164</v>
      </c>
      <c r="G615" s="27" t="s">
        <v>262</v>
      </c>
      <c r="H615" s="27" t="s">
        <v>171</v>
      </c>
      <c r="I615" s="27" t="s">
        <v>1062</v>
      </c>
      <c r="J615" s="27" t="s">
        <v>177</v>
      </c>
      <c r="K615" s="10">
        <v>25</v>
      </c>
      <c r="L615" s="36" t="s">
        <v>263</v>
      </c>
      <c r="M615" s="37" t="s">
        <v>269</v>
      </c>
      <c r="N615" s="37" t="s">
        <v>270</v>
      </c>
      <c r="O615" s="27"/>
      <c r="P615" s="27"/>
      <c r="Q615" s="27" t="s">
        <v>743</v>
      </c>
      <c r="R615" s="27"/>
      <c r="S615" s="1" t="s">
        <v>264</v>
      </c>
      <c r="T615" s="29" t="s">
        <v>265</v>
      </c>
      <c r="U615" s="27"/>
      <c r="V615" s="27" t="s">
        <v>1064</v>
      </c>
      <c r="W615" s="27"/>
    </row>
    <row r="616" spans="1:23" ht="24" customHeight="1">
      <c r="A616" s="27" t="str">
        <f t="shared" ca="1" si="9"/>
        <v>EVT-2026-0614</v>
      </c>
      <c r="B616" s="27">
        <v>2026</v>
      </c>
      <c r="C616" s="27" t="s">
        <v>98</v>
      </c>
      <c r="D616" s="30">
        <v>46170</v>
      </c>
      <c r="E616" s="27" t="s">
        <v>216</v>
      </c>
      <c r="F616" s="27" t="s">
        <v>164</v>
      </c>
      <c r="G616" s="27" t="s">
        <v>262</v>
      </c>
      <c r="H616" s="27" t="s">
        <v>171</v>
      </c>
      <c r="I616" s="27" t="s">
        <v>1062</v>
      </c>
      <c r="J616" s="27" t="s">
        <v>177</v>
      </c>
      <c r="K616" s="10">
        <v>25</v>
      </c>
      <c r="L616" s="36" t="s">
        <v>263</v>
      </c>
      <c r="M616" s="37" t="s">
        <v>269</v>
      </c>
      <c r="N616" s="37" t="s">
        <v>270</v>
      </c>
      <c r="O616" s="27"/>
      <c r="P616" s="27"/>
      <c r="Q616" s="27" t="s">
        <v>743</v>
      </c>
      <c r="R616" s="27"/>
      <c r="S616" s="1" t="s">
        <v>264</v>
      </c>
      <c r="T616" s="29" t="s">
        <v>265</v>
      </c>
      <c r="U616" s="27"/>
      <c r="V616" s="27" t="s">
        <v>1064</v>
      </c>
      <c r="W616" s="27"/>
    </row>
    <row r="617" spans="1:23" ht="24" customHeight="1">
      <c r="A617" s="27" t="str">
        <f t="shared" ca="1" si="9"/>
        <v>EVT-2026-0615</v>
      </c>
      <c r="B617" s="27">
        <v>2026</v>
      </c>
      <c r="C617" s="27" t="s">
        <v>98</v>
      </c>
      <c r="D617" s="30">
        <v>46171</v>
      </c>
      <c r="E617" s="27" t="s">
        <v>220</v>
      </c>
      <c r="F617" s="27" t="s">
        <v>164</v>
      </c>
      <c r="G617" s="27" t="s">
        <v>262</v>
      </c>
      <c r="H617" s="27" t="s">
        <v>171</v>
      </c>
      <c r="I617" s="27" t="s">
        <v>1062</v>
      </c>
      <c r="J617" s="27" t="s">
        <v>177</v>
      </c>
      <c r="K617" s="10">
        <v>25</v>
      </c>
      <c r="L617" s="36" t="s">
        <v>263</v>
      </c>
      <c r="M617" s="37" t="s">
        <v>269</v>
      </c>
      <c r="N617" s="37" t="s">
        <v>270</v>
      </c>
      <c r="O617" s="27"/>
      <c r="P617" s="27"/>
      <c r="Q617" s="27" t="s">
        <v>743</v>
      </c>
      <c r="R617" s="27"/>
      <c r="S617" s="1" t="s">
        <v>264</v>
      </c>
      <c r="T617" s="29" t="s">
        <v>265</v>
      </c>
      <c r="U617" s="27"/>
      <c r="V617" s="27" t="s">
        <v>1064</v>
      </c>
      <c r="W617" s="27"/>
    </row>
    <row r="618" spans="1:23" ht="24" customHeight="1">
      <c r="A618" s="27" t="str">
        <f t="shared" ca="1" si="9"/>
        <v>EVT-2026-0616</v>
      </c>
      <c r="B618" s="27">
        <v>2026</v>
      </c>
      <c r="C618" s="27" t="s">
        <v>98</v>
      </c>
      <c r="D618" s="30">
        <v>46172</v>
      </c>
      <c r="E618" s="27" t="s">
        <v>266</v>
      </c>
      <c r="F618" s="27" t="s">
        <v>164</v>
      </c>
      <c r="G618" s="27" t="s">
        <v>262</v>
      </c>
      <c r="H618" s="27"/>
      <c r="I618" s="27"/>
      <c r="J618" s="27" t="s">
        <v>177</v>
      </c>
      <c r="K618" s="10">
        <v>0</v>
      </c>
      <c r="L618" s="36" t="s">
        <v>263</v>
      </c>
      <c r="M618" s="37"/>
      <c r="N618" s="37"/>
      <c r="O618" s="27"/>
      <c r="P618" s="27"/>
      <c r="Q618" s="27"/>
      <c r="R618" s="27"/>
      <c r="S618" s="1" t="s">
        <v>264</v>
      </c>
      <c r="T618" s="29" t="s">
        <v>265</v>
      </c>
      <c r="U618" s="27"/>
      <c r="V618" s="27"/>
      <c r="W618" s="27"/>
    </row>
    <row r="619" spans="1:23" ht="24" customHeight="1">
      <c r="A619" s="27" t="str">
        <f t="shared" ca="1" si="9"/>
        <v>EVT-2026-0617</v>
      </c>
      <c r="B619" s="27">
        <v>2026</v>
      </c>
      <c r="C619" s="27" t="s">
        <v>98</v>
      </c>
      <c r="D619" s="30">
        <v>46173</v>
      </c>
      <c r="E619" s="27" t="s">
        <v>267</v>
      </c>
      <c r="F619" s="27" t="s">
        <v>164</v>
      </c>
      <c r="G619" s="27" t="s">
        <v>262</v>
      </c>
      <c r="H619" s="27"/>
      <c r="I619" s="27"/>
      <c r="J619" s="27" t="s">
        <v>177</v>
      </c>
      <c r="K619" s="10">
        <v>0</v>
      </c>
      <c r="L619" s="36" t="s">
        <v>263</v>
      </c>
      <c r="M619" s="37"/>
      <c r="N619" s="37"/>
      <c r="O619" s="27"/>
      <c r="P619" s="27"/>
      <c r="Q619" s="27"/>
      <c r="R619" s="27"/>
      <c r="S619" s="1" t="s">
        <v>264</v>
      </c>
      <c r="T619" s="29" t="s">
        <v>265</v>
      </c>
      <c r="U619" s="27"/>
      <c r="V619" s="27"/>
      <c r="W619" s="27"/>
    </row>
    <row r="620" spans="1:23" ht="24" customHeight="1">
      <c r="A620" s="27" t="str">
        <f t="shared" ca="1" si="9"/>
        <v>EVT-2026-0618</v>
      </c>
      <c r="B620" s="27">
        <v>2026</v>
      </c>
      <c r="C620" s="27" t="s">
        <v>98</v>
      </c>
      <c r="D620" s="27"/>
      <c r="E620" s="27"/>
      <c r="F620" s="27" t="s">
        <v>164</v>
      </c>
      <c r="G620" s="27" t="s">
        <v>262</v>
      </c>
      <c r="H620" s="27"/>
      <c r="I620" s="27"/>
      <c r="J620" s="27" t="s">
        <v>177</v>
      </c>
      <c r="K620" s="10">
        <v>3</v>
      </c>
      <c r="L620" s="36" t="s">
        <v>263</v>
      </c>
      <c r="M620" s="37"/>
      <c r="N620" s="37"/>
      <c r="O620" s="27"/>
      <c r="P620" s="27"/>
      <c r="Q620" s="27"/>
      <c r="R620" s="27"/>
      <c r="S620" s="1" t="s">
        <v>264</v>
      </c>
      <c r="T620" s="29" t="s">
        <v>265</v>
      </c>
      <c r="U620" s="27"/>
      <c r="V620" s="27"/>
      <c r="W620" s="27"/>
    </row>
    <row r="621" spans="1:23" ht="24" customHeight="1">
      <c r="A621" s="27" t="str">
        <f t="shared" ca="1" si="9"/>
        <v>EVT-2026-0619</v>
      </c>
      <c r="B621" s="27">
        <v>2026</v>
      </c>
      <c r="C621" s="27" t="s">
        <v>98</v>
      </c>
      <c r="D621" s="27"/>
      <c r="E621" s="27"/>
      <c r="F621" s="27" t="s">
        <v>164</v>
      </c>
      <c r="G621" s="27" t="s">
        <v>262</v>
      </c>
      <c r="H621" s="27"/>
      <c r="I621" s="27"/>
      <c r="J621" s="27" t="s">
        <v>177</v>
      </c>
      <c r="K621" s="10">
        <v>0</v>
      </c>
      <c r="L621" s="36" t="s">
        <v>263</v>
      </c>
      <c r="M621" s="37"/>
      <c r="N621" s="37"/>
      <c r="O621" s="27"/>
      <c r="P621" s="27"/>
      <c r="Q621" s="27"/>
      <c r="R621" s="27"/>
      <c r="S621" s="1" t="s">
        <v>264</v>
      </c>
      <c r="T621" s="29" t="s">
        <v>265</v>
      </c>
      <c r="U621" s="27"/>
      <c r="V621" s="27"/>
      <c r="W621" s="27"/>
    </row>
    <row r="622" spans="1:23" ht="24" customHeight="1">
      <c r="A622" s="27" t="str">
        <f t="shared" ca="1" si="9"/>
        <v>EVT-2026-0620</v>
      </c>
      <c r="B622" s="27">
        <v>2026</v>
      </c>
      <c r="C622" s="27" t="s">
        <v>98</v>
      </c>
      <c r="D622" s="27"/>
      <c r="E622" s="27"/>
      <c r="F622" s="27" t="s">
        <v>164</v>
      </c>
      <c r="G622" s="27" t="s">
        <v>262</v>
      </c>
      <c r="H622" s="27"/>
      <c r="I622" s="27"/>
      <c r="J622" s="27" t="s">
        <v>177</v>
      </c>
      <c r="K622" s="10">
        <v>0</v>
      </c>
      <c r="L622" s="36" t="s">
        <v>263</v>
      </c>
      <c r="M622" s="37"/>
      <c r="N622" s="37"/>
      <c r="O622" s="27"/>
      <c r="P622" s="27"/>
      <c r="Q622" s="27"/>
      <c r="R622" s="27"/>
      <c r="S622" s="1" t="s">
        <v>264</v>
      </c>
      <c r="T622" s="29" t="s">
        <v>265</v>
      </c>
      <c r="U622" s="27"/>
      <c r="V622" s="27"/>
      <c r="W622" s="27"/>
    </row>
    <row r="623" spans="1:23" ht="24" customHeight="1">
      <c r="A623" s="27" t="str">
        <f t="shared" ca="1" si="9"/>
        <v>EVT-2026-0621</v>
      </c>
      <c r="B623" s="27">
        <v>2026</v>
      </c>
      <c r="C623" s="27" t="s">
        <v>98</v>
      </c>
      <c r="D623" s="27"/>
      <c r="E623" s="27"/>
      <c r="F623" s="27" t="s">
        <v>164</v>
      </c>
      <c r="G623" s="27" t="s">
        <v>262</v>
      </c>
      <c r="H623" s="27"/>
      <c r="I623" s="27"/>
      <c r="J623" s="27" t="s">
        <v>177</v>
      </c>
      <c r="K623" s="10">
        <v>0</v>
      </c>
      <c r="L623" s="36" t="s">
        <v>263</v>
      </c>
      <c r="M623" s="37"/>
      <c r="N623" s="37"/>
      <c r="O623" s="27"/>
      <c r="P623" s="27"/>
      <c r="Q623" s="27"/>
      <c r="R623" s="27"/>
      <c r="S623" s="1" t="s">
        <v>264</v>
      </c>
      <c r="T623" s="29" t="s">
        <v>265</v>
      </c>
      <c r="U623" s="27"/>
      <c r="V623" s="27"/>
      <c r="W623" s="27"/>
    </row>
    <row r="624" spans="1:23" ht="24" customHeight="1">
      <c r="A624" s="27" t="str">
        <f t="shared" ca="1" si="9"/>
        <v>EVT-2026-0622</v>
      </c>
      <c r="B624" s="27">
        <v>2026</v>
      </c>
      <c r="C624" s="27" t="s">
        <v>98</v>
      </c>
      <c r="D624" s="27"/>
      <c r="E624" s="27"/>
      <c r="F624" s="27" t="s">
        <v>164</v>
      </c>
      <c r="G624" s="27" t="s">
        <v>262</v>
      </c>
      <c r="H624" s="27"/>
      <c r="I624" s="27"/>
      <c r="J624" s="27" t="s">
        <v>177</v>
      </c>
      <c r="K624" s="10">
        <v>0</v>
      </c>
      <c r="L624" s="36" t="s">
        <v>263</v>
      </c>
      <c r="M624" s="37"/>
      <c r="N624" s="37"/>
      <c r="O624" s="27"/>
      <c r="P624" s="27"/>
      <c r="Q624" s="27"/>
      <c r="R624" s="27"/>
      <c r="S624" s="1" t="s">
        <v>264</v>
      </c>
      <c r="T624" s="29" t="s">
        <v>265</v>
      </c>
      <c r="U624" s="27"/>
      <c r="V624" s="27"/>
      <c r="W624" s="27"/>
    </row>
    <row r="625" spans="1:23" ht="24" customHeight="1">
      <c r="A625" s="27" t="str">
        <f t="shared" ca="1" si="9"/>
        <v>EVT-2026-0623</v>
      </c>
      <c r="B625" s="27">
        <v>2026</v>
      </c>
      <c r="C625" s="27" t="s">
        <v>98</v>
      </c>
      <c r="D625" s="30">
        <v>46143</v>
      </c>
      <c r="E625" s="27" t="s">
        <v>220</v>
      </c>
      <c r="F625" s="27" t="s">
        <v>126</v>
      </c>
      <c r="G625" s="27" t="s">
        <v>348</v>
      </c>
      <c r="H625" s="27" t="s">
        <v>202</v>
      </c>
      <c r="I625" s="27" t="s">
        <v>1065</v>
      </c>
      <c r="J625" s="27" t="s">
        <v>177</v>
      </c>
      <c r="K625" s="10">
        <v>20</v>
      </c>
      <c r="L625" s="36" t="s">
        <v>263</v>
      </c>
      <c r="M625" s="37" t="s">
        <v>309</v>
      </c>
      <c r="N625" s="37" t="s">
        <v>359</v>
      </c>
      <c r="O625" s="27"/>
      <c r="P625" s="27"/>
      <c r="Q625" s="27"/>
      <c r="R625" s="27"/>
      <c r="S625" s="1" t="s">
        <v>264</v>
      </c>
      <c r="T625" s="29" t="s">
        <v>265</v>
      </c>
      <c r="U625" s="27" t="s">
        <v>1066</v>
      </c>
      <c r="V625" s="27" t="s">
        <v>298</v>
      </c>
      <c r="W625" s="27"/>
    </row>
    <row r="626" spans="1:23" ht="24" customHeight="1">
      <c r="A626" s="27" t="str">
        <f t="shared" ca="1" si="9"/>
        <v>EVT-2026-0624</v>
      </c>
      <c r="B626" s="27">
        <v>2026</v>
      </c>
      <c r="C626" s="27" t="s">
        <v>98</v>
      </c>
      <c r="D626" s="30">
        <v>46143</v>
      </c>
      <c r="E626" s="27" t="s">
        <v>220</v>
      </c>
      <c r="F626" s="27" t="s">
        <v>126</v>
      </c>
      <c r="G626" s="27" t="s">
        <v>348</v>
      </c>
      <c r="H626" s="27" t="s">
        <v>208</v>
      </c>
      <c r="I626" s="27" t="s">
        <v>1067</v>
      </c>
      <c r="J626" s="27" t="s">
        <v>177</v>
      </c>
      <c r="K626" s="10">
        <v>75</v>
      </c>
      <c r="L626" s="36" t="s">
        <v>263</v>
      </c>
      <c r="M626" s="37" t="s">
        <v>289</v>
      </c>
      <c r="N626" s="37" t="s">
        <v>359</v>
      </c>
      <c r="O626" s="27"/>
      <c r="P626" s="27"/>
      <c r="Q626" s="27"/>
      <c r="R626" s="27"/>
      <c r="S626" s="1" t="s">
        <v>264</v>
      </c>
      <c r="T626" s="29" t="s">
        <v>265</v>
      </c>
      <c r="U626" s="27" t="s">
        <v>378</v>
      </c>
      <c r="V626" s="27" t="s">
        <v>1068</v>
      </c>
      <c r="W626" s="27"/>
    </row>
    <row r="627" spans="1:23" ht="24" customHeight="1">
      <c r="A627" s="27" t="str">
        <f t="shared" ca="1" si="9"/>
        <v>EVT-2026-0625</v>
      </c>
      <c r="B627" s="27">
        <v>2026</v>
      </c>
      <c r="C627" s="27" t="s">
        <v>98</v>
      </c>
      <c r="D627" s="30">
        <v>46113</v>
      </c>
      <c r="E627" s="27" t="s">
        <v>201</v>
      </c>
      <c r="F627" s="27" t="s">
        <v>126</v>
      </c>
      <c r="G627" s="27" t="s">
        <v>736</v>
      </c>
      <c r="H627" s="27" t="s">
        <v>202</v>
      </c>
      <c r="I627" s="27" t="s">
        <v>955</v>
      </c>
      <c r="J627" s="27" t="s">
        <v>134</v>
      </c>
      <c r="K627" s="10">
        <v>20</v>
      </c>
      <c r="L627" s="36" t="s">
        <v>263</v>
      </c>
      <c r="M627" s="37" t="s">
        <v>269</v>
      </c>
      <c r="N627" s="37" t="s">
        <v>270</v>
      </c>
      <c r="O627" s="27"/>
      <c r="P627" s="27"/>
      <c r="Q627" s="27"/>
      <c r="R627" s="27"/>
      <c r="S627" s="1" t="s">
        <v>264</v>
      </c>
      <c r="T627" s="29" t="s">
        <v>265</v>
      </c>
      <c r="U627" s="27" t="s">
        <v>494</v>
      </c>
      <c r="V627" s="27" t="s">
        <v>303</v>
      </c>
      <c r="W627" s="27"/>
    </row>
    <row r="628" spans="1:23" ht="24" customHeight="1">
      <c r="A628" s="27" t="str">
        <f t="shared" ca="1" si="9"/>
        <v>EVT-2026-0626</v>
      </c>
      <c r="B628" s="27">
        <v>2026</v>
      </c>
      <c r="C628" s="27" t="s">
        <v>98</v>
      </c>
      <c r="D628" s="30">
        <v>46144</v>
      </c>
      <c r="E628" s="27" t="s">
        <v>266</v>
      </c>
      <c r="F628" s="27" t="s">
        <v>126</v>
      </c>
      <c r="G628" s="27"/>
      <c r="H628" s="27"/>
      <c r="I628" s="27"/>
      <c r="J628" s="27" t="s">
        <v>177</v>
      </c>
      <c r="K628" s="10">
        <v>0</v>
      </c>
      <c r="L628" s="36" t="s">
        <v>263</v>
      </c>
      <c r="M628" s="37"/>
      <c r="N628" s="37"/>
      <c r="O628" s="27"/>
      <c r="P628" s="27"/>
      <c r="Q628" s="27"/>
      <c r="R628" s="27"/>
      <c r="S628" s="1" t="s">
        <v>264</v>
      </c>
      <c r="T628" s="29" t="s">
        <v>265</v>
      </c>
      <c r="U628" s="27"/>
      <c r="V628" s="27"/>
      <c r="W628" s="27"/>
    </row>
    <row r="629" spans="1:23" ht="24" customHeight="1">
      <c r="A629" s="27" t="str">
        <f t="shared" ca="1" si="9"/>
        <v>EVT-2026-0627</v>
      </c>
      <c r="B629" s="27">
        <v>2026</v>
      </c>
      <c r="C629" s="27" t="s">
        <v>98</v>
      </c>
      <c r="D629" s="30">
        <v>46145</v>
      </c>
      <c r="E629" s="27" t="s">
        <v>267</v>
      </c>
      <c r="F629" s="27" t="s">
        <v>126</v>
      </c>
      <c r="G629" s="27"/>
      <c r="H629" s="27"/>
      <c r="I629" s="27"/>
      <c r="J629" s="27" t="s">
        <v>177</v>
      </c>
      <c r="K629" s="10">
        <v>0</v>
      </c>
      <c r="L629" s="36" t="s">
        <v>263</v>
      </c>
      <c r="M629" s="37"/>
      <c r="N629" s="37"/>
      <c r="O629" s="27"/>
      <c r="P629" s="27"/>
      <c r="Q629" s="27"/>
      <c r="R629" s="27"/>
      <c r="S629" s="1" t="s">
        <v>264</v>
      </c>
      <c r="T629" s="29" t="s">
        <v>265</v>
      </c>
      <c r="U629" s="27"/>
      <c r="V629" s="27"/>
      <c r="W629" s="27"/>
    </row>
    <row r="630" spans="1:23" ht="24" customHeight="1">
      <c r="A630" s="27" t="str">
        <f t="shared" ca="1" si="9"/>
        <v>EVT-2026-0628</v>
      </c>
      <c r="B630" s="27">
        <v>2026</v>
      </c>
      <c r="C630" s="27" t="s">
        <v>98</v>
      </c>
      <c r="D630" s="30">
        <v>46146</v>
      </c>
      <c r="E630" s="27" t="s">
        <v>224</v>
      </c>
      <c r="F630" s="27" t="s">
        <v>126</v>
      </c>
      <c r="G630" s="27" t="s">
        <v>125</v>
      </c>
      <c r="H630" s="27" t="s">
        <v>208</v>
      </c>
      <c r="I630" s="27" t="s">
        <v>1069</v>
      </c>
      <c r="J630" s="27" t="s">
        <v>177</v>
      </c>
      <c r="K630" s="10">
        <v>110</v>
      </c>
      <c r="L630" s="38" t="s">
        <v>294</v>
      </c>
      <c r="M630" s="37" t="s">
        <v>506</v>
      </c>
      <c r="N630" s="37" t="s">
        <v>331</v>
      </c>
      <c r="O630" s="27" t="s">
        <v>1070</v>
      </c>
      <c r="P630" s="27"/>
      <c r="Q630" s="27"/>
      <c r="R630" s="27"/>
      <c r="S630" s="1" t="s">
        <v>264</v>
      </c>
      <c r="T630" s="29" t="s">
        <v>265</v>
      </c>
      <c r="U630" s="27" t="s">
        <v>811</v>
      </c>
      <c r="V630" s="27" t="s">
        <v>298</v>
      </c>
      <c r="W630" s="27"/>
    </row>
    <row r="631" spans="1:23" ht="24" customHeight="1">
      <c r="A631" s="27" t="str">
        <f t="shared" ca="1" si="9"/>
        <v>EVT-2026-0629</v>
      </c>
      <c r="B631" s="27">
        <v>2026</v>
      </c>
      <c r="C631" s="27" t="s">
        <v>98</v>
      </c>
      <c r="D631" s="30">
        <v>46146</v>
      </c>
      <c r="E631" s="27" t="s">
        <v>224</v>
      </c>
      <c r="F631" s="27" t="s">
        <v>126</v>
      </c>
      <c r="G631" s="27" t="s">
        <v>348</v>
      </c>
      <c r="H631" s="27" t="s">
        <v>208</v>
      </c>
      <c r="I631" s="27" t="s">
        <v>1071</v>
      </c>
      <c r="J631" s="27" t="s">
        <v>177</v>
      </c>
      <c r="K631" s="10">
        <v>60</v>
      </c>
      <c r="L631" s="36" t="s">
        <v>263</v>
      </c>
      <c r="M631" s="37" t="s">
        <v>330</v>
      </c>
      <c r="N631" s="37" t="s">
        <v>331</v>
      </c>
      <c r="O631" s="27"/>
      <c r="P631" s="27"/>
      <c r="Q631" s="27" t="s">
        <v>1072</v>
      </c>
      <c r="R631" s="27"/>
      <c r="S631" s="3" t="s">
        <v>312</v>
      </c>
      <c r="T631" s="29" t="s">
        <v>265</v>
      </c>
      <c r="U631" s="27"/>
      <c r="V631" s="27" t="s">
        <v>298</v>
      </c>
      <c r="W631" s="27"/>
    </row>
    <row r="632" spans="1:23" ht="24" customHeight="1">
      <c r="A632" s="27" t="str">
        <f t="shared" ca="1" si="9"/>
        <v>EVT-2026-0630</v>
      </c>
      <c r="B632" s="27">
        <v>2026</v>
      </c>
      <c r="C632" s="27" t="s">
        <v>98</v>
      </c>
      <c r="D632" s="30">
        <v>46147</v>
      </c>
      <c r="E632" s="27" t="s">
        <v>227</v>
      </c>
      <c r="F632" s="27" t="s">
        <v>126</v>
      </c>
      <c r="G632" s="27" t="s">
        <v>239</v>
      </c>
      <c r="H632" s="27" t="s">
        <v>202</v>
      </c>
      <c r="I632" s="27" t="s">
        <v>1073</v>
      </c>
      <c r="J632" s="27" t="s">
        <v>127</v>
      </c>
      <c r="K632" s="10">
        <v>150</v>
      </c>
      <c r="L632" s="38" t="s">
        <v>294</v>
      </c>
      <c r="M632" s="37" t="s">
        <v>274</v>
      </c>
      <c r="N632" s="37" t="s">
        <v>429</v>
      </c>
      <c r="O632" s="27"/>
      <c r="P632" s="27"/>
      <c r="Q632" s="27" t="s">
        <v>1074</v>
      </c>
      <c r="R632" s="27"/>
      <c r="S632" s="1" t="s">
        <v>264</v>
      </c>
      <c r="T632" s="29" t="s">
        <v>265</v>
      </c>
      <c r="U632" s="27"/>
      <c r="V632" s="27" t="s">
        <v>1075</v>
      </c>
      <c r="W632" s="27"/>
    </row>
    <row r="633" spans="1:23" ht="24" customHeight="1">
      <c r="A633" s="27" t="str">
        <f t="shared" ca="1" si="9"/>
        <v>EVT-2026-0631</v>
      </c>
      <c r="B633" s="27">
        <v>2026</v>
      </c>
      <c r="C633" s="27" t="s">
        <v>98</v>
      </c>
      <c r="D633" s="30">
        <v>46147</v>
      </c>
      <c r="E633" s="27" t="s">
        <v>227</v>
      </c>
      <c r="F633" s="27" t="s">
        <v>126</v>
      </c>
      <c r="G633" s="27" t="s">
        <v>348</v>
      </c>
      <c r="H633" s="27" t="s">
        <v>208</v>
      </c>
      <c r="I633" s="27" t="s">
        <v>1076</v>
      </c>
      <c r="J633" s="27" t="s">
        <v>127</v>
      </c>
      <c r="K633" s="10">
        <v>30</v>
      </c>
      <c r="L633" s="36" t="s">
        <v>263</v>
      </c>
      <c r="M633" s="37" t="s">
        <v>274</v>
      </c>
      <c r="N633" s="37" t="s">
        <v>429</v>
      </c>
      <c r="O633" s="27"/>
      <c r="P633" s="27"/>
      <c r="Q633" s="27" t="s">
        <v>719</v>
      </c>
      <c r="R633" s="27"/>
      <c r="S633" s="1" t="s">
        <v>264</v>
      </c>
      <c r="T633" s="29" t="s">
        <v>265</v>
      </c>
      <c r="U633" s="27"/>
      <c r="V633" s="27" t="s">
        <v>298</v>
      </c>
      <c r="W633" s="27"/>
    </row>
    <row r="634" spans="1:23" ht="24" customHeight="1">
      <c r="A634" s="27" t="str">
        <f t="shared" ca="1" si="9"/>
        <v>EVT-2026-0632</v>
      </c>
      <c r="B634" s="27">
        <v>2026</v>
      </c>
      <c r="C634" s="27" t="s">
        <v>98</v>
      </c>
      <c r="D634" s="30">
        <v>46147</v>
      </c>
      <c r="E634" s="27" t="s">
        <v>227</v>
      </c>
      <c r="F634" s="27" t="s">
        <v>126</v>
      </c>
      <c r="G634" s="27" t="s">
        <v>348</v>
      </c>
      <c r="H634" s="27" t="s">
        <v>208</v>
      </c>
      <c r="I634" s="27" t="s">
        <v>1077</v>
      </c>
      <c r="J634" s="27" t="s">
        <v>158</v>
      </c>
      <c r="K634" s="10">
        <v>30</v>
      </c>
      <c r="L634" s="36" t="s">
        <v>263</v>
      </c>
      <c r="M634" s="37" t="s">
        <v>331</v>
      </c>
      <c r="N634" s="37" t="s">
        <v>275</v>
      </c>
      <c r="O634" s="27" t="s">
        <v>1078</v>
      </c>
      <c r="P634" s="27"/>
      <c r="Q634" s="27" t="s">
        <v>719</v>
      </c>
      <c r="R634" s="27"/>
      <c r="S634" s="1" t="s">
        <v>264</v>
      </c>
      <c r="T634" s="29" t="s">
        <v>265</v>
      </c>
      <c r="U634" s="30">
        <v>46112</v>
      </c>
      <c r="V634" s="27" t="s">
        <v>1079</v>
      </c>
      <c r="W634" s="27"/>
    </row>
    <row r="635" spans="1:23" ht="24" customHeight="1">
      <c r="A635" s="27" t="str">
        <f t="shared" ca="1" si="9"/>
        <v>EVT-2026-0633</v>
      </c>
      <c r="B635" s="27">
        <v>2026</v>
      </c>
      <c r="C635" s="27" t="s">
        <v>98</v>
      </c>
      <c r="D635" s="30">
        <v>46147</v>
      </c>
      <c r="E635" s="27" t="s">
        <v>227</v>
      </c>
      <c r="F635" s="27" t="s">
        <v>126</v>
      </c>
      <c r="G635" s="27" t="s">
        <v>348</v>
      </c>
      <c r="H635" s="27" t="s">
        <v>208</v>
      </c>
      <c r="I635" s="27" t="s">
        <v>349</v>
      </c>
      <c r="J635" s="27" t="s">
        <v>145</v>
      </c>
      <c r="K635" s="10">
        <v>50</v>
      </c>
      <c r="L635" s="36" t="s">
        <v>263</v>
      </c>
      <c r="M635" s="37" t="s">
        <v>350</v>
      </c>
      <c r="N635" s="37" t="s">
        <v>296</v>
      </c>
      <c r="O635" s="27"/>
      <c r="P635" s="27"/>
      <c r="Q635" s="27" t="s">
        <v>1080</v>
      </c>
      <c r="R635" s="27"/>
      <c r="S635" s="1" t="s">
        <v>264</v>
      </c>
      <c r="T635" s="29" t="s">
        <v>265</v>
      </c>
      <c r="U635" s="30">
        <v>46008</v>
      </c>
      <c r="V635" s="27" t="s">
        <v>303</v>
      </c>
      <c r="W635" s="27"/>
    </row>
    <row r="636" spans="1:23" ht="24" customHeight="1">
      <c r="A636" s="27" t="str">
        <f t="shared" ca="1" si="9"/>
        <v>EVT-2026-0634</v>
      </c>
      <c r="B636" s="27">
        <v>2026</v>
      </c>
      <c r="C636" s="27" t="s">
        <v>98</v>
      </c>
      <c r="D636" s="30">
        <v>46148</v>
      </c>
      <c r="E636" s="27" t="s">
        <v>201</v>
      </c>
      <c r="F636" s="27" t="s">
        <v>126</v>
      </c>
      <c r="G636" s="27" t="s">
        <v>501</v>
      </c>
      <c r="H636" s="27" t="s">
        <v>202</v>
      </c>
      <c r="I636" s="27" t="s">
        <v>1081</v>
      </c>
      <c r="J636" s="27" t="s">
        <v>127</v>
      </c>
      <c r="K636" s="10">
        <v>120</v>
      </c>
      <c r="L636" s="38" t="s">
        <v>294</v>
      </c>
      <c r="M636" s="37" t="s">
        <v>295</v>
      </c>
      <c r="N636" s="37" t="s">
        <v>296</v>
      </c>
      <c r="O636" s="27"/>
      <c r="P636" s="27"/>
      <c r="Q636" s="27" t="s">
        <v>1082</v>
      </c>
      <c r="R636" s="27"/>
      <c r="S636" s="1" t="s">
        <v>264</v>
      </c>
      <c r="T636" s="29" t="s">
        <v>265</v>
      </c>
      <c r="U636" s="27"/>
      <c r="V636" s="27" t="s">
        <v>298</v>
      </c>
      <c r="W636" s="27"/>
    </row>
    <row r="637" spans="1:23" ht="24" customHeight="1">
      <c r="A637" s="27" t="str">
        <f t="shared" ca="1" si="9"/>
        <v>EVT-2026-0635</v>
      </c>
      <c r="B637" s="27">
        <v>2026</v>
      </c>
      <c r="C637" s="27" t="s">
        <v>98</v>
      </c>
      <c r="D637" s="30">
        <v>46148</v>
      </c>
      <c r="E637" s="27" t="s">
        <v>201</v>
      </c>
      <c r="F637" s="27" t="s">
        <v>126</v>
      </c>
      <c r="G637" s="27" t="s">
        <v>348</v>
      </c>
      <c r="H637" s="27" t="s">
        <v>208</v>
      </c>
      <c r="I637" s="27" t="s">
        <v>349</v>
      </c>
      <c r="J637" s="27" t="s">
        <v>145</v>
      </c>
      <c r="K637" s="10">
        <v>50</v>
      </c>
      <c r="L637" s="36" t="s">
        <v>263</v>
      </c>
      <c r="M637" s="37" t="s">
        <v>350</v>
      </c>
      <c r="N637" s="37" t="s">
        <v>296</v>
      </c>
      <c r="O637" s="27"/>
      <c r="P637" s="27"/>
      <c r="Q637" s="27" t="s">
        <v>1080</v>
      </c>
      <c r="R637" s="27"/>
      <c r="S637" s="1" t="s">
        <v>264</v>
      </c>
      <c r="T637" s="29" t="s">
        <v>265</v>
      </c>
      <c r="U637" s="30">
        <v>46008</v>
      </c>
      <c r="V637" s="27" t="s">
        <v>303</v>
      </c>
      <c r="W637" s="27"/>
    </row>
    <row r="638" spans="1:23" ht="24" customHeight="1">
      <c r="A638" s="27" t="str">
        <f t="shared" ca="1" si="9"/>
        <v>EVT-2026-0636</v>
      </c>
      <c r="B638" s="27">
        <v>2026</v>
      </c>
      <c r="C638" s="27" t="s">
        <v>98</v>
      </c>
      <c r="D638" s="30">
        <v>46148</v>
      </c>
      <c r="E638" s="27" t="s">
        <v>201</v>
      </c>
      <c r="F638" s="27" t="s">
        <v>126</v>
      </c>
      <c r="G638" s="27" t="s">
        <v>1013</v>
      </c>
      <c r="H638" s="27" t="s">
        <v>202</v>
      </c>
      <c r="I638" s="27" t="s">
        <v>1083</v>
      </c>
      <c r="J638" s="27" t="s">
        <v>158</v>
      </c>
      <c r="K638" s="10">
        <v>0</v>
      </c>
      <c r="L638" s="36" t="s">
        <v>263</v>
      </c>
      <c r="M638" s="37" t="s">
        <v>354</v>
      </c>
      <c r="N638" s="37" t="s">
        <v>350</v>
      </c>
      <c r="O638" s="27"/>
      <c r="P638" s="27"/>
      <c r="Q638" s="27" t="s">
        <v>1015</v>
      </c>
      <c r="R638" s="27"/>
      <c r="S638" s="1" t="s">
        <v>264</v>
      </c>
      <c r="T638" s="29" t="s">
        <v>265</v>
      </c>
      <c r="U638" s="27"/>
      <c r="V638" s="27" t="s">
        <v>1084</v>
      </c>
      <c r="W638" s="27"/>
    </row>
    <row r="639" spans="1:23" ht="24" customHeight="1">
      <c r="A639" s="27" t="str">
        <f t="shared" ca="1" si="9"/>
        <v>EVT-2026-0637</v>
      </c>
      <c r="B639" s="27">
        <v>2026</v>
      </c>
      <c r="C639" s="27" t="s">
        <v>98</v>
      </c>
      <c r="D639" s="30">
        <v>46148</v>
      </c>
      <c r="E639" s="27" t="s">
        <v>201</v>
      </c>
      <c r="F639" s="27" t="s">
        <v>126</v>
      </c>
      <c r="G639" s="27"/>
      <c r="H639" s="27"/>
      <c r="I639" s="27"/>
      <c r="J639" s="27" t="s">
        <v>177</v>
      </c>
      <c r="K639" s="10">
        <v>0</v>
      </c>
      <c r="L639" s="36" t="s">
        <v>263</v>
      </c>
      <c r="M639" s="37"/>
      <c r="N639" s="37"/>
      <c r="O639" s="27"/>
      <c r="P639" s="27"/>
      <c r="Q639" s="27"/>
      <c r="R639" s="27"/>
      <c r="S639" s="1" t="s">
        <v>264</v>
      </c>
      <c r="T639" s="29" t="s">
        <v>265</v>
      </c>
      <c r="U639" s="27"/>
      <c r="V639" s="27"/>
      <c r="W639" s="27"/>
    </row>
    <row r="640" spans="1:23" ht="24" customHeight="1">
      <c r="A640" s="27" t="str">
        <f t="shared" ca="1" si="9"/>
        <v>EVT-2026-0638</v>
      </c>
      <c r="B640" s="27">
        <v>2026</v>
      </c>
      <c r="C640" s="27" t="s">
        <v>98</v>
      </c>
      <c r="D640" s="30">
        <v>46149</v>
      </c>
      <c r="E640" s="27" t="s">
        <v>216</v>
      </c>
      <c r="F640" s="27" t="s">
        <v>126</v>
      </c>
      <c r="G640" s="27" t="s">
        <v>348</v>
      </c>
      <c r="H640" s="27" t="s">
        <v>208</v>
      </c>
      <c r="I640" s="27" t="s">
        <v>1085</v>
      </c>
      <c r="J640" s="27" t="s">
        <v>127</v>
      </c>
      <c r="K640" s="10">
        <v>55</v>
      </c>
      <c r="L640" s="36" t="s">
        <v>263</v>
      </c>
      <c r="M640" s="37" t="s">
        <v>506</v>
      </c>
      <c r="N640" s="37" t="s">
        <v>331</v>
      </c>
      <c r="O640" s="27"/>
      <c r="P640" s="27"/>
      <c r="Q640" s="27" t="s">
        <v>774</v>
      </c>
      <c r="R640" s="27"/>
      <c r="S640" s="1" t="s">
        <v>264</v>
      </c>
      <c r="T640" s="29" t="s">
        <v>265</v>
      </c>
      <c r="U640" s="27"/>
      <c r="V640" s="27" t="s">
        <v>298</v>
      </c>
      <c r="W640" s="27"/>
    </row>
    <row r="641" spans="1:23" ht="24" customHeight="1">
      <c r="A641" s="27" t="str">
        <f t="shared" ca="1" si="9"/>
        <v>EVT-2026-0639</v>
      </c>
      <c r="B641" s="27">
        <v>2026</v>
      </c>
      <c r="C641" s="27" t="s">
        <v>98</v>
      </c>
      <c r="D641" s="30">
        <v>46149</v>
      </c>
      <c r="E641" s="27" t="s">
        <v>216</v>
      </c>
      <c r="F641" s="27" t="s">
        <v>126</v>
      </c>
      <c r="G641" s="27"/>
      <c r="H641" s="27"/>
      <c r="I641" s="27"/>
      <c r="J641" s="27" t="s">
        <v>177</v>
      </c>
      <c r="K641" s="10">
        <v>0</v>
      </c>
      <c r="L641" s="36" t="s">
        <v>263</v>
      </c>
      <c r="M641" s="37"/>
      <c r="N641" s="37"/>
      <c r="O641" s="27"/>
      <c r="P641" s="27"/>
      <c r="Q641" s="27"/>
      <c r="R641" s="27"/>
      <c r="S641" s="1" t="s">
        <v>264</v>
      </c>
      <c r="T641" s="29" t="s">
        <v>265</v>
      </c>
      <c r="U641" s="27"/>
      <c r="V641" s="27" t="s">
        <v>298</v>
      </c>
      <c r="W641" s="27"/>
    </row>
    <row r="642" spans="1:23" ht="24" customHeight="1">
      <c r="A642" s="27" t="str">
        <f t="shared" ca="1" si="9"/>
        <v>EVT-2026-0640</v>
      </c>
      <c r="B642" s="27">
        <v>2026</v>
      </c>
      <c r="C642" s="27" t="s">
        <v>98</v>
      </c>
      <c r="D642" s="30">
        <v>46149</v>
      </c>
      <c r="E642" s="27" t="s">
        <v>216</v>
      </c>
      <c r="F642" s="27" t="s">
        <v>126</v>
      </c>
      <c r="G642" s="27" t="s">
        <v>348</v>
      </c>
      <c r="H642" s="27" t="s">
        <v>208</v>
      </c>
      <c r="I642" s="27" t="s">
        <v>349</v>
      </c>
      <c r="J642" s="27" t="s">
        <v>145</v>
      </c>
      <c r="K642" s="10">
        <v>50</v>
      </c>
      <c r="L642" s="36" t="s">
        <v>263</v>
      </c>
      <c r="M642" s="37" t="s">
        <v>350</v>
      </c>
      <c r="N642" s="37" t="s">
        <v>296</v>
      </c>
      <c r="O642" s="27"/>
      <c r="P642" s="27"/>
      <c r="Q642" s="27" t="s">
        <v>1080</v>
      </c>
      <c r="R642" s="27"/>
      <c r="S642" s="1" t="s">
        <v>264</v>
      </c>
      <c r="T642" s="29" t="s">
        <v>265</v>
      </c>
      <c r="U642" s="30">
        <v>46008</v>
      </c>
      <c r="V642" s="27" t="s">
        <v>303</v>
      </c>
      <c r="W642" s="27"/>
    </row>
    <row r="643" spans="1:23" ht="24" customHeight="1">
      <c r="A643" s="27" t="str">
        <f t="shared" ref="A643:A706" ca="1" si="10">IF(OR(D643&lt;&gt;"",H643&lt;&gt;"",I643&lt;&gt;"",Q643&lt;&gt;"",S643&lt;&gt;""), "EVT-" &amp; TEXT(B643, "0000") &amp; "-" &amp; TEXT(COUNTIF(OFFSET($A$1, 1, 0, ROW()-2, 1), "EVT*") + 1, "0000"), "")</f>
        <v>EVT-2026-0641</v>
      </c>
      <c r="B643" s="27">
        <v>2026</v>
      </c>
      <c r="C643" s="27" t="s">
        <v>98</v>
      </c>
      <c r="D643" s="30">
        <v>46150</v>
      </c>
      <c r="E643" s="27" t="s">
        <v>220</v>
      </c>
      <c r="F643" s="27" t="s">
        <v>126</v>
      </c>
      <c r="G643" s="27" t="s">
        <v>348</v>
      </c>
      <c r="H643" s="27" t="s">
        <v>208</v>
      </c>
      <c r="I643" s="27" t="s">
        <v>1086</v>
      </c>
      <c r="J643" s="27" t="s">
        <v>177</v>
      </c>
      <c r="K643" s="10">
        <v>45</v>
      </c>
      <c r="L643" s="36" t="s">
        <v>263</v>
      </c>
      <c r="M643" s="37" t="s">
        <v>506</v>
      </c>
      <c r="N643" s="37" t="s">
        <v>429</v>
      </c>
      <c r="O643" s="27"/>
      <c r="P643" s="27"/>
      <c r="Q643" s="27" t="s">
        <v>774</v>
      </c>
      <c r="R643" s="27"/>
      <c r="S643" s="1" t="s">
        <v>264</v>
      </c>
      <c r="T643" s="29" t="s">
        <v>265</v>
      </c>
      <c r="U643" s="30">
        <v>46143</v>
      </c>
      <c r="V643" s="27" t="s">
        <v>298</v>
      </c>
      <c r="W643" s="27"/>
    </row>
    <row r="644" spans="1:23" ht="24" customHeight="1">
      <c r="A644" s="27" t="str">
        <f t="shared" ca="1" si="10"/>
        <v>EVT-2026-0642</v>
      </c>
      <c r="B644" s="27">
        <v>2026</v>
      </c>
      <c r="C644" s="27" t="s">
        <v>98</v>
      </c>
      <c r="D644" s="30">
        <v>46150</v>
      </c>
      <c r="E644" s="27" t="s">
        <v>220</v>
      </c>
      <c r="F644" s="27" t="s">
        <v>126</v>
      </c>
      <c r="G644" s="27" t="s">
        <v>348</v>
      </c>
      <c r="H644" s="27" t="s">
        <v>208</v>
      </c>
      <c r="I644" s="27" t="s">
        <v>1087</v>
      </c>
      <c r="J644" s="27" t="s">
        <v>177</v>
      </c>
      <c r="K644" s="10">
        <v>18</v>
      </c>
      <c r="L644" s="36" t="s">
        <v>263</v>
      </c>
      <c r="M644" s="37"/>
      <c r="N644" s="37"/>
      <c r="O644" s="27"/>
      <c r="P644" s="27"/>
      <c r="Q644" s="27" t="s">
        <v>583</v>
      </c>
      <c r="R644" s="27"/>
      <c r="S644" s="1" t="s">
        <v>264</v>
      </c>
      <c r="T644" s="29" t="s">
        <v>265</v>
      </c>
      <c r="U644" s="27"/>
      <c r="V644" s="27" t="s">
        <v>1084</v>
      </c>
      <c r="W644" s="27"/>
    </row>
    <row r="645" spans="1:23" ht="24" customHeight="1">
      <c r="A645" s="27" t="str">
        <f t="shared" ca="1" si="10"/>
        <v>EVT-2026-0643</v>
      </c>
      <c r="B645" s="27">
        <v>2026</v>
      </c>
      <c r="C645" s="27" t="s">
        <v>98</v>
      </c>
      <c r="D645" s="30">
        <v>46150</v>
      </c>
      <c r="E645" s="27" t="s">
        <v>220</v>
      </c>
      <c r="F645" s="27" t="s">
        <v>126</v>
      </c>
      <c r="G645" s="27" t="s">
        <v>125</v>
      </c>
      <c r="H645" s="27" t="s">
        <v>1088</v>
      </c>
      <c r="I645" s="27"/>
      <c r="J645" s="27" t="s">
        <v>177</v>
      </c>
      <c r="K645" s="10">
        <v>30</v>
      </c>
      <c r="L645" s="36" t="s">
        <v>263</v>
      </c>
      <c r="M645" s="37" t="s">
        <v>269</v>
      </c>
      <c r="N645" s="37" t="s">
        <v>270</v>
      </c>
      <c r="O645" s="27"/>
      <c r="P645" s="27"/>
      <c r="Q645" s="27" t="s">
        <v>1089</v>
      </c>
      <c r="R645" s="27"/>
      <c r="S645" s="1" t="s">
        <v>264</v>
      </c>
      <c r="T645" s="29" t="s">
        <v>265</v>
      </c>
      <c r="U645" s="27"/>
      <c r="V645" s="27"/>
      <c r="W645" s="27"/>
    </row>
    <row r="646" spans="1:23" ht="24" customHeight="1">
      <c r="A646" s="27" t="str">
        <f t="shared" ca="1" si="10"/>
        <v>EVT-2026-0644</v>
      </c>
      <c r="B646" s="27">
        <v>2026</v>
      </c>
      <c r="C646" s="27" t="s">
        <v>98</v>
      </c>
      <c r="D646" s="30">
        <v>46150</v>
      </c>
      <c r="E646" s="27" t="s">
        <v>220</v>
      </c>
      <c r="F646" s="27" t="s">
        <v>126</v>
      </c>
      <c r="G646" s="27" t="s">
        <v>239</v>
      </c>
      <c r="H646" s="27" t="s">
        <v>202</v>
      </c>
      <c r="I646" s="27" t="s">
        <v>1090</v>
      </c>
      <c r="J646" s="27" t="s">
        <v>127</v>
      </c>
      <c r="K646" s="10">
        <v>175</v>
      </c>
      <c r="L646" s="38" t="s">
        <v>294</v>
      </c>
      <c r="M646" s="37" t="s">
        <v>289</v>
      </c>
      <c r="N646" s="37" t="s">
        <v>448</v>
      </c>
      <c r="O646" s="27" t="s">
        <v>1091</v>
      </c>
      <c r="P646" s="27"/>
      <c r="Q646" s="27" t="s">
        <v>504</v>
      </c>
      <c r="R646" s="27"/>
      <c r="S646" s="1" t="s">
        <v>264</v>
      </c>
      <c r="T646" s="29" t="s">
        <v>265</v>
      </c>
      <c r="U646" s="30">
        <v>46144</v>
      </c>
      <c r="V646" s="27" t="s">
        <v>298</v>
      </c>
      <c r="W646" s="27"/>
    </row>
    <row r="647" spans="1:23" ht="24" customHeight="1">
      <c r="A647" s="27" t="str">
        <f t="shared" ca="1" si="10"/>
        <v>EVT-2026-0645</v>
      </c>
      <c r="B647" s="27">
        <v>2026</v>
      </c>
      <c r="C647" s="27" t="s">
        <v>98</v>
      </c>
      <c r="D647" s="30">
        <v>46151</v>
      </c>
      <c r="E647" s="27" t="s">
        <v>266</v>
      </c>
      <c r="F647" s="27" t="s">
        <v>126</v>
      </c>
      <c r="G647" s="27"/>
      <c r="H647" s="27"/>
      <c r="I647" s="27"/>
      <c r="J647" s="27" t="s">
        <v>177</v>
      </c>
      <c r="K647" s="10">
        <v>0</v>
      </c>
      <c r="L647" s="36" t="s">
        <v>263</v>
      </c>
      <c r="M647" s="37"/>
      <c r="N647" s="37"/>
      <c r="O647" s="27"/>
      <c r="P647" s="27"/>
      <c r="Q647" s="27"/>
      <c r="R647" s="27"/>
      <c r="S647" s="1" t="s">
        <v>264</v>
      </c>
      <c r="T647" s="29" t="s">
        <v>265</v>
      </c>
      <c r="U647" s="27"/>
      <c r="V647" s="27"/>
      <c r="W647" s="27"/>
    </row>
    <row r="648" spans="1:23" ht="24" customHeight="1">
      <c r="A648" s="27" t="str">
        <f t="shared" ca="1" si="10"/>
        <v>EVT-2026-0646</v>
      </c>
      <c r="B648" s="27">
        <v>2026</v>
      </c>
      <c r="C648" s="27" t="s">
        <v>98</v>
      </c>
      <c r="D648" s="30">
        <v>46152</v>
      </c>
      <c r="E648" s="27" t="s">
        <v>267</v>
      </c>
      <c r="F648" s="27" t="s">
        <v>126</v>
      </c>
      <c r="G648" s="27"/>
      <c r="H648" s="27"/>
      <c r="I648" s="27"/>
      <c r="J648" s="27" t="s">
        <v>177</v>
      </c>
      <c r="K648" s="10">
        <v>0</v>
      </c>
      <c r="L648" s="36" t="s">
        <v>263</v>
      </c>
      <c r="M648" s="37"/>
      <c r="N648" s="37"/>
      <c r="O648" s="27"/>
      <c r="P648" s="27"/>
      <c r="Q648" s="27"/>
      <c r="R648" s="27"/>
      <c r="S648" s="1" t="s">
        <v>264</v>
      </c>
      <c r="T648" s="29" t="s">
        <v>265</v>
      </c>
      <c r="U648" s="27"/>
      <c r="V648" s="27"/>
      <c r="W648" s="27"/>
    </row>
    <row r="649" spans="1:23" ht="24" customHeight="1">
      <c r="A649" s="27" t="str">
        <f t="shared" ca="1" si="10"/>
        <v>EVT-2026-0647</v>
      </c>
      <c r="B649" s="27">
        <v>2026</v>
      </c>
      <c r="C649" s="27" t="s">
        <v>98</v>
      </c>
      <c r="D649" s="30">
        <v>46153</v>
      </c>
      <c r="E649" s="27" t="s">
        <v>224</v>
      </c>
      <c r="F649" s="27" t="s">
        <v>126</v>
      </c>
      <c r="G649" s="27" t="s">
        <v>1092</v>
      </c>
      <c r="H649" s="27" t="s">
        <v>208</v>
      </c>
      <c r="I649" s="27" t="s">
        <v>801</v>
      </c>
      <c r="J649" s="27" t="s">
        <v>152</v>
      </c>
      <c r="K649" s="10">
        <v>1</v>
      </c>
      <c r="L649" s="36" t="s">
        <v>263</v>
      </c>
      <c r="M649" s="37" t="s">
        <v>269</v>
      </c>
      <c r="N649" s="37" t="s">
        <v>270</v>
      </c>
      <c r="O649" s="27"/>
      <c r="P649" s="27"/>
      <c r="Q649" s="27" t="s">
        <v>367</v>
      </c>
      <c r="R649" s="27"/>
      <c r="S649" s="1" t="s">
        <v>264</v>
      </c>
      <c r="T649" s="29" t="s">
        <v>265</v>
      </c>
      <c r="U649" s="27"/>
      <c r="V649" s="27" t="s">
        <v>1093</v>
      </c>
      <c r="W649" s="27"/>
    </row>
    <row r="650" spans="1:23" ht="24" customHeight="1">
      <c r="A650" s="27" t="str">
        <f t="shared" ca="1" si="10"/>
        <v>EVT-2026-0648</v>
      </c>
      <c r="B650" s="27">
        <v>2026</v>
      </c>
      <c r="C650" s="27" t="s">
        <v>98</v>
      </c>
      <c r="D650" s="30">
        <v>46153</v>
      </c>
      <c r="E650" s="27" t="s">
        <v>224</v>
      </c>
      <c r="F650" s="27" t="s">
        <v>126</v>
      </c>
      <c r="G650" s="27" t="s">
        <v>1094</v>
      </c>
      <c r="H650" s="27" t="s">
        <v>208</v>
      </c>
      <c r="I650" s="27" t="s">
        <v>801</v>
      </c>
      <c r="J650" s="27" t="s">
        <v>152</v>
      </c>
      <c r="K650" s="10">
        <v>2</v>
      </c>
      <c r="L650" s="36" t="s">
        <v>263</v>
      </c>
      <c r="M650" s="37" t="s">
        <v>269</v>
      </c>
      <c r="N650" s="37" t="s">
        <v>270</v>
      </c>
      <c r="O650" s="27"/>
      <c r="P650" s="27"/>
      <c r="Q650" s="27" t="s">
        <v>367</v>
      </c>
      <c r="R650" s="27"/>
      <c r="S650" s="1" t="s">
        <v>264</v>
      </c>
      <c r="T650" s="29" t="s">
        <v>265</v>
      </c>
      <c r="U650" s="27"/>
      <c r="V650" s="27" t="s">
        <v>1095</v>
      </c>
      <c r="W650" s="27"/>
    </row>
    <row r="651" spans="1:23" ht="24" customHeight="1">
      <c r="A651" s="27" t="str">
        <f t="shared" ca="1" si="10"/>
        <v>EVT-2026-0649</v>
      </c>
      <c r="B651" s="27">
        <v>2026</v>
      </c>
      <c r="C651" s="27" t="s">
        <v>98</v>
      </c>
      <c r="D651" s="30">
        <v>46153</v>
      </c>
      <c r="E651" s="27" t="s">
        <v>224</v>
      </c>
      <c r="F651" s="27" t="s">
        <v>126</v>
      </c>
      <c r="G651" s="27" t="s">
        <v>348</v>
      </c>
      <c r="H651" s="27" t="s">
        <v>202</v>
      </c>
      <c r="I651" s="27" t="s">
        <v>571</v>
      </c>
      <c r="J651" s="27" t="s">
        <v>134</v>
      </c>
      <c r="K651" s="10">
        <v>30</v>
      </c>
      <c r="L651" s="36" t="s">
        <v>263</v>
      </c>
      <c r="M651" s="37" t="s">
        <v>269</v>
      </c>
      <c r="N651" s="37" t="s">
        <v>270</v>
      </c>
      <c r="O651" s="27"/>
      <c r="P651" s="27"/>
      <c r="Q651" s="27" t="s">
        <v>1052</v>
      </c>
      <c r="R651" s="27"/>
      <c r="S651" s="1" t="s">
        <v>264</v>
      </c>
      <c r="T651" s="29" t="s">
        <v>265</v>
      </c>
      <c r="U651" s="27"/>
      <c r="V651" s="27"/>
      <c r="W651" s="27"/>
    </row>
    <row r="652" spans="1:23" ht="24" customHeight="1">
      <c r="A652" s="27" t="str">
        <f t="shared" ca="1" si="10"/>
        <v>EVT-2026-0650</v>
      </c>
      <c r="B652" s="27">
        <v>2026</v>
      </c>
      <c r="C652" s="27" t="s">
        <v>98</v>
      </c>
      <c r="D652" s="30">
        <v>46153</v>
      </c>
      <c r="E652" s="27" t="s">
        <v>224</v>
      </c>
      <c r="F652" s="27" t="s">
        <v>126</v>
      </c>
      <c r="G652" s="27" t="s">
        <v>348</v>
      </c>
      <c r="H652" s="27" t="s">
        <v>208</v>
      </c>
      <c r="I652" s="27" t="s">
        <v>1096</v>
      </c>
      <c r="J652" s="27" t="s">
        <v>177</v>
      </c>
      <c r="K652" s="10">
        <v>50</v>
      </c>
      <c r="L652" s="36" t="s">
        <v>263</v>
      </c>
      <c r="M652" s="37" t="s">
        <v>506</v>
      </c>
      <c r="N652" s="37" t="s">
        <v>429</v>
      </c>
      <c r="O652" s="27"/>
      <c r="P652" s="27"/>
      <c r="Q652" s="27" t="s">
        <v>1097</v>
      </c>
      <c r="R652" s="27"/>
      <c r="S652" s="1" t="s">
        <v>264</v>
      </c>
      <c r="T652" s="29" t="s">
        <v>265</v>
      </c>
      <c r="U652" s="27"/>
      <c r="V652" s="27" t="s">
        <v>1098</v>
      </c>
      <c r="W652" s="27"/>
    </row>
    <row r="653" spans="1:23" ht="24" customHeight="1">
      <c r="A653" s="27" t="str">
        <f t="shared" ca="1" si="10"/>
        <v>EVT-2026-0651</v>
      </c>
      <c r="B653" s="27">
        <v>2026</v>
      </c>
      <c r="C653" s="27" t="s">
        <v>98</v>
      </c>
      <c r="D653" s="30">
        <v>46153</v>
      </c>
      <c r="E653" s="27" t="s">
        <v>224</v>
      </c>
      <c r="F653" s="27" t="s">
        <v>126</v>
      </c>
      <c r="G653" s="27" t="s">
        <v>348</v>
      </c>
      <c r="H653" s="27" t="s">
        <v>208</v>
      </c>
      <c r="I653" s="27" t="s">
        <v>1099</v>
      </c>
      <c r="J653" s="27" t="s">
        <v>127</v>
      </c>
      <c r="K653" s="10">
        <v>80</v>
      </c>
      <c r="L653" s="36" t="s">
        <v>263</v>
      </c>
      <c r="M653" s="37" t="s">
        <v>289</v>
      </c>
      <c r="N653" s="37" t="s">
        <v>296</v>
      </c>
      <c r="O653" s="27"/>
      <c r="P653" s="27"/>
      <c r="Q653" s="27" t="s">
        <v>1100</v>
      </c>
      <c r="R653" s="27"/>
      <c r="S653" s="1" t="s">
        <v>264</v>
      </c>
      <c r="T653" s="29" t="s">
        <v>265</v>
      </c>
      <c r="U653" s="30">
        <v>46141</v>
      </c>
      <c r="V653" s="27" t="s">
        <v>298</v>
      </c>
      <c r="W653" s="27"/>
    </row>
    <row r="654" spans="1:23" ht="24" customHeight="1">
      <c r="A654" s="27" t="str">
        <f t="shared" ca="1" si="10"/>
        <v>EVT-2026-0652</v>
      </c>
      <c r="B654" s="27">
        <v>2026</v>
      </c>
      <c r="C654" s="27" t="s">
        <v>98</v>
      </c>
      <c r="D654" s="30">
        <v>46154</v>
      </c>
      <c r="E654" s="27" t="s">
        <v>227</v>
      </c>
      <c r="F654" s="27" t="s">
        <v>126</v>
      </c>
      <c r="G654" s="27" t="s">
        <v>239</v>
      </c>
      <c r="H654" s="27" t="s">
        <v>202</v>
      </c>
      <c r="I654" s="27" t="s">
        <v>1101</v>
      </c>
      <c r="J654" s="27" t="s">
        <v>177</v>
      </c>
      <c r="K654" s="10">
        <v>200</v>
      </c>
      <c r="L654" s="38" t="s">
        <v>294</v>
      </c>
      <c r="M654" s="37" t="s">
        <v>274</v>
      </c>
      <c r="N654" s="37" t="s">
        <v>330</v>
      </c>
      <c r="O654" s="27"/>
      <c r="P654" s="27"/>
      <c r="Q654" s="27" t="s">
        <v>1102</v>
      </c>
      <c r="R654" s="27"/>
      <c r="S654" s="1" t="s">
        <v>264</v>
      </c>
      <c r="T654" s="29" t="s">
        <v>265</v>
      </c>
      <c r="U654" s="30">
        <v>46120</v>
      </c>
      <c r="V654" s="27" t="s">
        <v>1103</v>
      </c>
      <c r="W654" s="27"/>
    </row>
    <row r="655" spans="1:23" ht="24" customHeight="1">
      <c r="A655" s="27" t="str">
        <f t="shared" ca="1" si="10"/>
        <v>EVT-2026-0653</v>
      </c>
      <c r="B655" s="27">
        <v>2026</v>
      </c>
      <c r="C655" s="27" t="s">
        <v>98</v>
      </c>
      <c r="D655" s="30">
        <v>46154</v>
      </c>
      <c r="E655" s="27" t="s">
        <v>227</v>
      </c>
      <c r="F655" s="27" t="s">
        <v>126</v>
      </c>
      <c r="G655" s="27" t="s">
        <v>125</v>
      </c>
      <c r="H655" s="27" t="s">
        <v>228</v>
      </c>
      <c r="I655" s="27" t="s">
        <v>1104</v>
      </c>
      <c r="J655" s="27" t="s">
        <v>127</v>
      </c>
      <c r="K655" s="10">
        <v>80</v>
      </c>
      <c r="L655" s="36" t="s">
        <v>263</v>
      </c>
      <c r="M655" s="37" t="s">
        <v>330</v>
      </c>
      <c r="N655" s="37" t="s">
        <v>946</v>
      </c>
      <c r="O655" s="27" t="s">
        <v>1105</v>
      </c>
      <c r="P655" s="27"/>
      <c r="Q655" s="27" t="s">
        <v>379</v>
      </c>
      <c r="R655" s="27"/>
      <c r="S655" s="1" t="s">
        <v>264</v>
      </c>
      <c r="T655" s="29" t="s">
        <v>265</v>
      </c>
      <c r="U655" s="27"/>
      <c r="V655" s="27" t="s">
        <v>298</v>
      </c>
      <c r="W655" s="27"/>
    </row>
    <row r="656" spans="1:23" ht="24" customHeight="1">
      <c r="A656" s="27" t="str">
        <f t="shared" ca="1" si="10"/>
        <v>EVT-2026-0654</v>
      </c>
      <c r="B656" s="27">
        <v>2026</v>
      </c>
      <c r="C656" s="27" t="s">
        <v>98</v>
      </c>
      <c r="D656" s="30">
        <v>46154</v>
      </c>
      <c r="E656" s="27" t="s">
        <v>227</v>
      </c>
      <c r="F656" s="27" t="s">
        <v>126</v>
      </c>
      <c r="G656" s="27" t="s">
        <v>348</v>
      </c>
      <c r="H656" s="27" t="s">
        <v>208</v>
      </c>
      <c r="I656" s="27" t="s">
        <v>349</v>
      </c>
      <c r="J656" s="27" t="s">
        <v>145</v>
      </c>
      <c r="K656" s="10">
        <v>50</v>
      </c>
      <c r="L656" s="36" t="s">
        <v>263</v>
      </c>
      <c r="M656" s="37" t="s">
        <v>350</v>
      </c>
      <c r="N656" s="37" t="s">
        <v>296</v>
      </c>
      <c r="O656" s="27"/>
      <c r="P656" s="27"/>
      <c r="Q656" s="27" t="s">
        <v>1080</v>
      </c>
      <c r="R656" s="27"/>
      <c r="S656" s="1" t="s">
        <v>264</v>
      </c>
      <c r="T656" s="29" t="s">
        <v>265</v>
      </c>
      <c r="U656" s="30">
        <v>46008</v>
      </c>
      <c r="V656" s="27" t="s">
        <v>303</v>
      </c>
      <c r="W656" s="27"/>
    </row>
    <row r="657" spans="1:23" ht="24" customHeight="1">
      <c r="A657" s="27" t="str">
        <f t="shared" ca="1" si="10"/>
        <v>EVT-2026-0655</v>
      </c>
      <c r="B657" s="27">
        <v>2026</v>
      </c>
      <c r="C657" s="27" t="s">
        <v>98</v>
      </c>
      <c r="D657" s="30">
        <v>46155</v>
      </c>
      <c r="E657" s="27" t="s">
        <v>201</v>
      </c>
      <c r="F657" s="27" t="s">
        <v>126</v>
      </c>
      <c r="G657" s="27" t="s">
        <v>348</v>
      </c>
      <c r="H657" s="27" t="s">
        <v>208</v>
      </c>
      <c r="I657" s="27" t="s">
        <v>349</v>
      </c>
      <c r="J657" s="27" t="s">
        <v>145</v>
      </c>
      <c r="K657" s="10">
        <v>80</v>
      </c>
      <c r="L657" s="36" t="s">
        <v>263</v>
      </c>
      <c r="M657" s="37" t="s">
        <v>350</v>
      </c>
      <c r="N657" s="37" t="s">
        <v>296</v>
      </c>
      <c r="O657" s="27"/>
      <c r="P657" s="27"/>
      <c r="Q657" s="27" t="s">
        <v>1080</v>
      </c>
      <c r="R657" s="27"/>
      <c r="S657" s="1" t="s">
        <v>264</v>
      </c>
      <c r="T657" s="29" t="s">
        <v>265</v>
      </c>
      <c r="U657" s="30">
        <v>46008</v>
      </c>
      <c r="V657" s="27" t="s">
        <v>303</v>
      </c>
      <c r="W657" s="27"/>
    </row>
    <row r="658" spans="1:23" ht="24" customHeight="1">
      <c r="A658" s="27" t="str">
        <f t="shared" ca="1" si="10"/>
        <v>EVT-2026-0656</v>
      </c>
      <c r="B658" s="27">
        <v>2026</v>
      </c>
      <c r="C658" s="27" t="s">
        <v>98</v>
      </c>
      <c r="D658" s="30">
        <v>46155</v>
      </c>
      <c r="E658" s="27" t="s">
        <v>201</v>
      </c>
      <c r="F658" s="27" t="s">
        <v>126</v>
      </c>
      <c r="G658" s="27" t="s">
        <v>125</v>
      </c>
      <c r="H658" s="27" t="s">
        <v>228</v>
      </c>
      <c r="I658" s="27" t="s">
        <v>1106</v>
      </c>
      <c r="J658" s="27" t="s">
        <v>139</v>
      </c>
      <c r="K658" s="10">
        <v>60</v>
      </c>
      <c r="L658" s="36" t="s">
        <v>263</v>
      </c>
      <c r="M658" s="37" t="s">
        <v>350</v>
      </c>
      <c r="N658" s="37" t="s">
        <v>289</v>
      </c>
      <c r="O658" s="27"/>
      <c r="P658" s="27"/>
      <c r="Q658" s="27" t="s">
        <v>1107</v>
      </c>
      <c r="R658" s="27"/>
      <c r="S658" s="1" t="s">
        <v>264</v>
      </c>
      <c r="T658" s="29" t="s">
        <v>265</v>
      </c>
      <c r="U658" s="30">
        <v>46120</v>
      </c>
      <c r="V658" s="27" t="s">
        <v>298</v>
      </c>
      <c r="W658" s="27"/>
    </row>
    <row r="659" spans="1:23" ht="24" customHeight="1">
      <c r="A659" s="27" t="str">
        <f t="shared" ca="1" si="10"/>
        <v>EVT-2026-0657</v>
      </c>
      <c r="B659" s="27">
        <v>2026</v>
      </c>
      <c r="C659" s="27" t="s">
        <v>98</v>
      </c>
      <c r="D659" s="30">
        <v>46155</v>
      </c>
      <c r="E659" s="27" t="s">
        <v>201</v>
      </c>
      <c r="F659" s="27" t="s">
        <v>126</v>
      </c>
      <c r="G659" s="27" t="s">
        <v>125</v>
      </c>
      <c r="H659" s="27" t="s">
        <v>228</v>
      </c>
      <c r="I659" s="27" t="s">
        <v>1108</v>
      </c>
      <c r="J659" s="27" t="s">
        <v>177</v>
      </c>
      <c r="K659" s="10">
        <v>55</v>
      </c>
      <c r="L659" s="36" t="s">
        <v>263</v>
      </c>
      <c r="M659" s="37" t="s">
        <v>295</v>
      </c>
      <c r="N659" s="37" t="s">
        <v>290</v>
      </c>
      <c r="O659" s="27"/>
      <c r="P659" s="27"/>
      <c r="Q659" s="27" t="s">
        <v>1109</v>
      </c>
      <c r="R659" s="27"/>
      <c r="S659" s="1" t="s">
        <v>264</v>
      </c>
      <c r="T659" s="29" t="s">
        <v>265</v>
      </c>
      <c r="U659" s="27"/>
      <c r="V659" s="27"/>
      <c r="W659" s="27"/>
    </row>
    <row r="660" spans="1:23" ht="24" customHeight="1">
      <c r="A660" s="27" t="str">
        <f t="shared" ca="1" si="10"/>
        <v>EVT-2026-0658</v>
      </c>
      <c r="B660" s="27">
        <v>2026</v>
      </c>
      <c r="C660" s="27" t="s">
        <v>98</v>
      </c>
      <c r="D660" s="30">
        <v>46156</v>
      </c>
      <c r="E660" s="27" t="s">
        <v>216</v>
      </c>
      <c r="F660" s="27" t="s">
        <v>126</v>
      </c>
      <c r="G660" s="27" t="s">
        <v>239</v>
      </c>
      <c r="H660" s="27" t="s">
        <v>202</v>
      </c>
      <c r="I660" s="27" t="s">
        <v>1067</v>
      </c>
      <c r="J660" s="27" t="s">
        <v>177</v>
      </c>
      <c r="K660" s="10">
        <v>100</v>
      </c>
      <c r="L660" s="38" t="s">
        <v>294</v>
      </c>
      <c r="M660" s="37" t="s">
        <v>295</v>
      </c>
      <c r="N660" s="37" t="s">
        <v>296</v>
      </c>
      <c r="O660" s="27"/>
      <c r="P660" s="27"/>
      <c r="Q660" s="27" t="s">
        <v>378</v>
      </c>
      <c r="R660" s="27"/>
      <c r="S660" s="1" t="s">
        <v>264</v>
      </c>
      <c r="T660" s="29" t="s">
        <v>265</v>
      </c>
      <c r="U660" s="30">
        <v>46150</v>
      </c>
      <c r="V660" s="27" t="s">
        <v>1110</v>
      </c>
      <c r="W660" s="27"/>
    </row>
    <row r="661" spans="1:23" ht="24" customHeight="1">
      <c r="A661" s="27" t="str">
        <f t="shared" ca="1" si="10"/>
        <v>EVT-2026-0659</v>
      </c>
      <c r="B661" s="27">
        <v>2026</v>
      </c>
      <c r="C661" s="27" t="s">
        <v>98</v>
      </c>
      <c r="D661" s="30">
        <v>46156</v>
      </c>
      <c r="E661" s="27" t="s">
        <v>216</v>
      </c>
      <c r="F661" s="27" t="s">
        <v>126</v>
      </c>
      <c r="G661" s="27" t="s">
        <v>348</v>
      </c>
      <c r="H661" s="27" t="s">
        <v>208</v>
      </c>
      <c r="I661" s="27" t="s">
        <v>1111</v>
      </c>
      <c r="J661" s="27" t="s">
        <v>127</v>
      </c>
      <c r="K661" s="10">
        <v>50</v>
      </c>
      <c r="L661" s="36" t="s">
        <v>263</v>
      </c>
      <c r="M661" s="37" t="s">
        <v>330</v>
      </c>
      <c r="N661" s="37" t="s">
        <v>331</v>
      </c>
      <c r="O661" s="27"/>
      <c r="P661" s="27"/>
      <c r="Q661" s="27" t="s">
        <v>1097</v>
      </c>
      <c r="R661" s="27"/>
      <c r="S661" s="1" t="s">
        <v>264</v>
      </c>
      <c r="T661" s="29" t="s">
        <v>265</v>
      </c>
      <c r="U661" s="30">
        <v>46144</v>
      </c>
      <c r="V661" s="27" t="s">
        <v>298</v>
      </c>
      <c r="W661" s="27"/>
    </row>
    <row r="662" spans="1:23" ht="24" customHeight="1">
      <c r="A662" s="27" t="str">
        <f t="shared" ca="1" si="10"/>
        <v>EVT-2026-0660</v>
      </c>
      <c r="B662" s="27">
        <v>2026</v>
      </c>
      <c r="C662" s="27" t="s">
        <v>98</v>
      </c>
      <c r="D662" s="30">
        <v>46156</v>
      </c>
      <c r="E662" s="27" t="s">
        <v>216</v>
      </c>
      <c r="F662" s="27" t="s">
        <v>126</v>
      </c>
      <c r="G662" s="27" t="s">
        <v>348</v>
      </c>
      <c r="H662" s="27" t="s">
        <v>208</v>
      </c>
      <c r="I662" s="27" t="s">
        <v>349</v>
      </c>
      <c r="J662" s="27" t="s">
        <v>145</v>
      </c>
      <c r="K662" s="10">
        <v>50</v>
      </c>
      <c r="L662" s="36" t="s">
        <v>263</v>
      </c>
      <c r="M662" s="37" t="s">
        <v>350</v>
      </c>
      <c r="N662" s="37" t="s">
        <v>296</v>
      </c>
      <c r="O662" s="27"/>
      <c r="P662" s="27"/>
      <c r="Q662" s="27" t="s">
        <v>1080</v>
      </c>
      <c r="R662" s="27"/>
      <c r="S662" s="1" t="s">
        <v>264</v>
      </c>
      <c r="T662" s="29" t="s">
        <v>265</v>
      </c>
      <c r="U662" s="30">
        <v>46008</v>
      </c>
      <c r="V662" s="27" t="s">
        <v>303</v>
      </c>
      <c r="W662" s="27"/>
    </row>
    <row r="663" spans="1:23" ht="24" customHeight="1">
      <c r="A663" s="27" t="str">
        <f t="shared" ca="1" si="10"/>
        <v>EVT-2026-0661</v>
      </c>
      <c r="B663" s="27">
        <v>2026</v>
      </c>
      <c r="C663" s="27" t="s">
        <v>98</v>
      </c>
      <c r="D663" s="30">
        <v>46157</v>
      </c>
      <c r="E663" s="27" t="s">
        <v>220</v>
      </c>
      <c r="F663" s="27" t="s">
        <v>126</v>
      </c>
      <c r="G663" s="27"/>
      <c r="H663" s="27"/>
      <c r="I663" s="27"/>
      <c r="J663" s="27" t="s">
        <v>177</v>
      </c>
      <c r="K663" s="10">
        <v>0</v>
      </c>
      <c r="L663" s="36" t="s">
        <v>263</v>
      </c>
      <c r="M663" s="37"/>
      <c r="N663" s="37"/>
      <c r="O663" s="27"/>
      <c r="P663" s="27"/>
      <c r="Q663" s="27"/>
      <c r="R663" s="27"/>
      <c r="S663" s="1" t="s">
        <v>264</v>
      </c>
      <c r="T663" s="29" t="s">
        <v>265</v>
      </c>
      <c r="U663" s="27"/>
      <c r="V663" s="27"/>
      <c r="W663" s="27"/>
    </row>
    <row r="664" spans="1:23" ht="24" customHeight="1">
      <c r="A664" s="27" t="str">
        <f t="shared" ca="1" si="10"/>
        <v>EVT-2026-0662</v>
      </c>
      <c r="B664" s="27">
        <v>2026</v>
      </c>
      <c r="C664" s="27" t="s">
        <v>98</v>
      </c>
      <c r="D664" s="30">
        <v>46158</v>
      </c>
      <c r="E664" s="27" t="s">
        <v>266</v>
      </c>
      <c r="F664" s="27" t="s">
        <v>126</v>
      </c>
      <c r="G664" s="27"/>
      <c r="H664" s="27"/>
      <c r="I664" s="27"/>
      <c r="J664" s="27" t="s">
        <v>177</v>
      </c>
      <c r="K664" s="10">
        <v>0</v>
      </c>
      <c r="L664" s="36" t="s">
        <v>263</v>
      </c>
      <c r="M664" s="37"/>
      <c r="N664" s="37"/>
      <c r="O664" s="27"/>
      <c r="P664" s="27"/>
      <c r="Q664" s="27"/>
      <c r="R664" s="27"/>
      <c r="S664" s="1" t="s">
        <v>264</v>
      </c>
      <c r="T664" s="29" t="s">
        <v>265</v>
      </c>
      <c r="U664" s="27"/>
      <c r="V664" s="27"/>
      <c r="W664" s="27"/>
    </row>
    <row r="665" spans="1:23" ht="24" customHeight="1">
      <c r="A665" s="27" t="str">
        <f t="shared" ca="1" si="10"/>
        <v>EVT-2026-0663</v>
      </c>
      <c r="B665" s="27">
        <v>2026</v>
      </c>
      <c r="C665" s="27" t="s">
        <v>98</v>
      </c>
      <c r="D665" s="30">
        <v>46159</v>
      </c>
      <c r="E665" s="27" t="s">
        <v>267</v>
      </c>
      <c r="F665" s="27" t="s">
        <v>126</v>
      </c>
      <c r="G665" s="27"/>
      <c r="H665" s="27"/>
      <c r="I665" s="27"/>
      <c r="J665" s="27" t="s">
        <v>177</v>
      </c>
      <c r="K665" s="10">
        <v>0</v>
      </c>
      <c r="L665" s="36" t="s">
        <v>263</v>
      </c>
      <c r="M665" s="37"/>
      <c r="N665" s="37"/>
      <c r="O665" s="27"/>
      <c r="P665" s="27"/>
      <c r="Q665" s="27"/>
      <c r="R665" s="27"/>
      <c r="S665" s="1" t="s">
        <v>264</v>
      </c>
      <c r="T665" s="29" t="s">
        <v>265</v>
      </c>
      <c r="U665" s="27"/>
      <c r="V665" s="27"/>
      <c r="W665" s="27"/>
    </row>
    <row r="666" spans="1:23" ht="24" customHeight="1">
      <c r="A666" s="27" t="str">
        <f t="shared" ca="1" si="10"/>
        <v>EVT-2026-0664</v>
      </c>
      <c r="B666" s="27">
        <v>2026</v>
      </c>
      <c r="C666" s="27" t="s">
        <v>98</v>
      </c>
      <c r="D666" s="30">
        <v>46160</v>
      </c>
      <c r="E666" s="27" t="s">
        <v>224</v>
      </c>
      <c r="F666" s="27" t="s">
        <v>126</v>
      </c>
      <c r="G666" s="27" t="s">
        <v>1112</v>
      </c>
      <c r="H666" s="27" t="s">
        <v>208</v>
      </c>
      <c r="I666" s="27" t="s">
        <v>1113</v>
      </c>
      <c r="J666" s="27" t="s">
        <v>152</v>
      </c>
      <c r="K666" s="10">
        <v>18</v>
      </c>
      <c r="L666" s="36" t="s">
        <v>263</v>
      </c>
      <c r="M666" s="37" t="s">
        <v>269</v>
      </c>
      <c r="N666" s="37" t="s">
        <v>270</v>
      </c>
      <c r="O666" s="27"/>
      <c r="P666" s="27"/>
      <c r="Q666" s="27" t="s">
        <v>1114</v>
      </c>
      <c r="R666" s="27"/>
      <c r="S666" s="1" t="s">
        <v>264</v>
      </c>
      <c r="T666" s="29" t="s">
        <v>265</v>
      </c>
      <c r="U666" s="27"/>
      <c r="V666" s="27"/>
      <c r="W666" s="27"/>
    </row>
    <row r="667" spans="1:23" ht="24" customHeight="1">
      <c r="A667" s="27" t="str">
        <f t="shared" ca="1" si="10"/>
        <v>EVT-2026-0665</v>
      </c>
      <c r="B667" s="27">
        <v>2026</v>
      </c>
      <c r="C667" s="27" t="s">
        <v>98</v>
      </c>
      <c r="D667" s="30">
        <v>46160</v>
      </c>
      <c r="E667" s="27" t="s">
        <v>224</v>
      </c>
      <c r="F667" s="27" t="s">
        <v>126</v>
      </c>
      <c r="G667" s="27" t="s">
        <v>1112</v>
      </c>
      <c r="H667" s="27" t="s">
        <v>208</v>
      </c>
      <c r="I667" s="27" t="s">
        <v>1113</v>
      </c>
      <c r="J667" s="27" t="s">
        <v>152</v>
      </c>
      <c r="K667" s="10">
        <v>18</v>
      </c>
      <c r="L667" s="36" t="s">
        <v>263</v>
      </c>
      <c r="M667" s="37" t="s">
        <v>275</v>
      </c>
      <c r="N667" s="37"/>
      <c r="O667" s="27"/>
      <c r="P667" s="27"/>
      <c r="Q667" s="27" t="s">
        <v>1115</v>
      </c>
      <c r="R667" s="27"/>
      <c r="S667" s="1" t="s">
        <v>264</v>
      </c>
      <c r="T667" s="29" t="s">
        <v>265</v>
      </c>
      <c r="U667" s="27"/>
      <c r="V667" s="27"/>
      <c r="W667" s="27"/>
    </row>
    <row r="668" spans="1:23" ht="24" customHeight="1">
      <c r="A668" s="27" t="str">
        <f t="shared" ca="1" si="10"/>
        <v>EVT-2026-0666</v>
      </c>
      <c r="B668" s="27">
        <v>2026</v>
      </c>
      <c r="C668" s="27" t="s">
        <v>98</v>
      </c>
      <c r="D668" s="30">
        <v>46161</v>
      </c>
      <c r="E668" s="27" t="s">
        <v>227</v>
      </c>
      <c r="F668" s="27" t="s">
        <v>126</v>
      </c>
      <c r="G668" s="27" t="s">
        <v>348</v>
      </c>
      <c r="H668" s="27" t="s">
        <v>208</v>
      </c>
      <c r="I668" s="27" t="s">
        <v>349</v>
      </c>
      <c r="J668" s="27" t="s">
        <v>145</v>
      </c>
      <c r="K668" s="10">
        <v>50</v>
      </c>
      <c r="L668" s="36" t="s">
        <v>263</v>
      </c>
      <c r="M668" s="37" t="s">
        <v>350</v>
      </c>
      <c r="N668" s="37" t="s">
        <v>296</v>
      </c>
      <c r="O668" s="27"/>
      <c r="P668" s="27"/>
      <c r="Q668" s="27" t="s">
        <v>1080</v>
      </c>
      <c r="R668" s="27"/>
      <c r="S668" s="1" t="s">
        <v>264</v>
      </c>
      <c r="T668" s="29" t="s">
        <v>265</v>
      </c>
      <c r="U668" s="30">
        <v>46008</v>
      </c>
      <c r="V668" s="27" t="s">
        <v>303</v>
      </c>
      <c r="W668" s="27"/>
    </row>
    <row r="669" spans="1:23" ht="24" customHeight="1">
      <c r="A669" s="27" t="str">
        <f t="shared" ca="1" si="10"/>
        <v>EVT-2026-0667</v>
      </c>
      <c r="B669" s="27">
        <v>2026</v>
      </c>
      <c r="C669" s="27" t="s">
        <v>98</v>
      </c>
      <c r="D669" s="30">
        <v>46161</v>
      </c>
      <c r="E669" s="27" t="s">
        <v>227</v>
      </c>
      <c r="F669" s="27" t="s">
        <v>126</v>
      </c>
      <c r="G669" s="27" t="s">
        <v>736</v>
      </c>
      <c r="H669" s="27" t="s">
        <v>202</v>
      </c>
      <c r="I669" s="27" t="s">
        <v>1116</v>
      </c>
      <c r="J669" s="27" t="s">
        <v>134</v>
      </c>
      <c r="K669" s="10">
        <v>35</v>
      </c>
      <c r="L669" s="36" t="s">
        <v>263</v>
      </c>
      <c r="M669" s="37" t="s">
        <v>315</v>
      </c>
      <c r="N669" s="37" t="s">
        <v>270</v>
      </c>
      <c r="O669" s="27"/>
      <c r="P669" s="27"/>
      <c r="Q669" s="27" t="s">
        <v>367</v>
      </c>
      <c r="R669" s="27"/>
      <c r="S669" s="1" t="s">
        <v>264</v>
      </c>
      <c r="T669" s="29" t="s">
        <v>265</v>
      </c>
      <c r="U669" s="30">
        <v>46154</v>
      </c>
      <c r="V669" s="27" t="s">
        <v>1117</v>
      </c>
      <c r="W669" s="27"/>
    </row>
    <row r="670" spans="1:23" ht="24" customHeight="1">
      <c r="A670" s="27" t="str">
        <f t="shared" ca="1" si="10"/>
        <v>EVT-2026-0668</v>
      </c>
      <c r="B670" s="27">
        <v>2026</v>
      </c>
      <c r="C670" s="27" t="s">
        <v>98</v>
      </c>
      <c r="D670" s="30">
        <v>46161</v>
      </c>
      <c r="E670" s="27" t="s">
        <v>227</v>
      </c>
      <c r="F670" s="27" t="s">
        <v>126</v>
      </c>
      <c r="G670" s="27" t="s">
        <v>125</v>
      </c>
      <c r="H670" s="27" t="s">
        <v>228</v>
      </c>
      <c r="I670" s="27" t="s">
        <v>1118</v>
      </c>
      <c r="J670" s="27" t="s">
        <v>177</v>
      </c>
      <c r="K670" s="10">
        <v>25</v>
      </c>
      <c r="L670" s="36" t="s">
        <v>263</v>
      </c>
      <c r="M670" s="37" t="s">
        <v>350</v>
      </c>
      <c r="N670" s="37" t="s">
        <v>290</v>
      </c>
      <c r="O670" s="27"/>
      <c r="P670" s="27"/>
      <c r="Q670" s="27" t="s">
        <v>651</v>
      </c>
      <c r="R670" s="27"/>
      <c r="S670" s="1" t="s">
        <v>264</v>
      </c>
      <c r="T670" s="29" t="s">
        <v>265</v>
      </c>
      <c r="U670" s="30">
        <v>46160</v>
      </c>
      <c r="V670" s="27" t="s">
        <v>298</v>
      </c>
      <c r="W670" s="27"/>
    </row>
    <row r="671" spans="1:23" ht="24" customHeight="1">
      <c r="A671" s="27" t="str">
        <f t="shared" ca="1" si="10"/>
        <v>EVT-2026-0669</v>
      </c>
      <c r="B671" s="27">
        <v>2026</v>
      </c>
      <c r="C671" s="27" t="s">
        <v>98</v>
      </c>
      <c r="D671" s="30">
        <v>46161</v>
      </c>
      <c r="E671" s="27" t="s">
        <v>227</v>
      </c>
      <c r="F671" s="27" t="s">
        <v>126</v>
      </c>
      <c r="G671" s="27" t="s">
        <v>501</v>
      </c>
      <c r="H671" s="27" t="s">
        <v>202</v>
      </c>
      <c r="I671" s="27" t="s">
        <v>353</v>
      </c>
      <c r="J671" s="27" t="s">
        <v>127</v>
      </c>
      <c r="K671" s="10">
        <v>150</v>
      </c>
      <c r="L671" s="38" t="s">
        <v>294</v>
      </c>
      <c r="M671" s="37" t="s">
        <v>295</v>
      </c>
      <c r="N671" s="37" t="s">
        <v>270</v>
      </c>
      <c r="O671" s="27"/>
      <c r="P671" s="27"/>
      <c r="Q671" s="27" t="s">
        <v>811</v>
      </c>
      <c r="R671" s="27"/>
      <c r="S671" s="1" t="s">
        <v>264</v>
      </c>
      <c r="T671" s="29" t="s">
        <v>265</v>
      </c>
      <c r="U671" s="27"/>
      <c r="V671" s="27" t="s">
        <v>298</v>
      </c>
      <c r="W671" s="27"/>
    </row>
    <row r="672" spans="1:23" ht="24" customHeight="1">
      <c r="A672" s="27" t="str">
        <f t="shared" ca="1" si="10"/>
        <v>EVT-2026-0670</v>
      </c>
      <c r="B672" s="27">
        <v>2026</v>
      </c>
      <c r="C672" s="27" t="s">
        <v>98</v>
      </c>
      <c r="D672" s="30">
        <v>46162</v>
      </c>
      <c r="E672" s="27" t="s">
        <v>201</v>
      </c>
      <c r="F672" s="27" t="s">
        <v>126</v>
      </c>
      <c r="G672" s="27" t="s">
        <v>348</v>
      </c>
      <c r="H672" s="27" t="s">
        <v>208</v>
      </c>
      <c r="I672" s="27" t="s">
        <v>584</v>
      </c>
      <c r="J672" s="27" t="s">
        <v>127</v>
      </c>
      <c r="K672" s="10">
        <v>60</v>
      </c>
      <c r="L672" s="36" t="s">
        <v>263</v>
      </c>
      <c r="M672" s="37" t="s">
        <v>338</v>
      </c>
      <c r="N672" s="37" t="s">
        <v>506</v>
      </c>
      <c r="O672" s="27"/>
      <c r="P672" s="27"/>
      <c r="Q672" s="27" t="s">
        <v>507</v>
      </c>
      <c r="R672" s="27"/>
      <c r="S672" s="1" t="s">
        <v>264</v>
      </c>
      <c r="T672" s="29" t="s">
        <v>265</v>
      </c>
      <c r="U672" s="30">
        <v>46120</v>
      </c>
      <c r="V672" s="27" t="s">
        <v>298</v>
      </c>
      <c r="W672" s="27"/>
    </row>
    <row r="673" spans="1:23" ht="24" customHeight="1">
      <c r="A673" s="27" t="str">
        <f t="shared" ca="1" si="10"/>
        <v>EVT-2026-0671</v>
      </c>
      <c r="B673" s="27">
        <v>2026</v>
      </c>
      <c r="C673" s="27" t="s">
        <v>98</v>
      </c>
      <c r="D673" s="30">
        <v>46162</v>
      </c>
      <c r="E673" s="27" t="s">
        <v>201</v>
      </c>
      <c r="F673" s="27" t="s">
        <v>126</v>
      </c>
      <c r="G673" s="27" t="s">
        <v>348</v>
      </c>
      <c r="H673" s="27" t="s">
        <v>208</v>
      </c>
      <c r="I673" s="27" t="s">
        <v>1119</v>
      </c>
      <c r="J673" s="27" t="s">
        <v>127</v>
      </c>
      <c r="K673" s="10">
        <v>55</v>
      </c>
      <c r="L673" s="36" t="s">
        <v>263</v>
      </c>
      <c r="M673" s="37" t="s">
        <v>506</v>
      </c>
      <c r="N673" s="37" t="s">
        <v>350</v>
      </c>
      <c r="O673" s="27"/>
      <c r="P673" s="27"/>
      <c r="Q673" s="27" t="s">
        <v>548</v>
      </c>
      <c r="R673" s="27"/>
      <c r="S673" s="1" t="s">
        <v>264</v>
      </c>
      <c r="T673" s="29" t="s">
        <v>265</v>
      </c>
      <c r="U673" s="27"/>
      <c r="V673" s="27" t="s">
        <v>1120</v>
      </c>
      <c r="W673" s="27"/>
    </row>
    <row r="674" spans="1:23" ht="24" customHeight="1">
      <c r="A674" s="27" t="str">
        <f t="shared" ca="1" si="10"/>
        <v>EVT-2026-0672</v>
      </c>
      <c r="B674" s="27">
        <v>2026</v>
      </c>
      <c r="C674" s="27" t="s">
        <v>98</v>
      </c>
      <c r="D674" s="30">
        <v>46162</v>
      </c>
      <c r="E674" s="27" t="s">
        <v>201</v>
      </c>
      <c r="F674" s="27" t="s">
        <v>126</v>
      </c>
      <c r="G674" s="27" t="s">
        <v>125</v>
      </c>
      <c r="H674" s="27" t="s">
        <v>228</v>
      </c>
      <c r="I674" s="27" t="s">
        <v>1121</v>
      </c>
      <c r="J674" s="27" t="s">
        <v>127</v>
      </c>
      <c r="K674" s="10">
        <v>120</v>
      </c>
      <c r="L674" s="38" t="s">
        <v>294</v>
      </c>
      <c r="M674" s="37" t="s">
        <v>315</v>
      </c>
      <c r="N674" s="37" t="s">
        <v>506</v>
      </c>
      <c r="O674" s="27"/>
      <c r="P674" s="27"/>
      <c r="Q674" s="27" t="s">
        <v>518</v>
      </c>
      <c r="R674" s="27"/>
      <c r="S674" s="1" t="s">
        <v>264</v>
      </c>
      <c r="T674" s="29" t="s">
        <v>265</v>
      </c>
      <c r="U674" s="30">
        <v>46148</v>
      </c>
      <c r="V674" s="27" t="s">
        <v>298</v>
      </c>
      <c r="W674" s="27"/>
    </row>
    <row r="675" spans="1:23" ht="24" customHeight="1">
      <c r="A675" s="27" t="str">
        <f t="shared" ca="1" si="10"/>
        <v>EVT-2026-0673</v>
      </c>
      <c r="B675" s="27">
        <v>2026</v>
      </c>
      <c r="C675" s="27" t="s">
        <v>98</v>
      </c>
      <c r="D675" s="30">
        <v>46162</v>
      </c>
      <c r="E675" s="27" t="s">
        <v>201</v>
      </c>
      <c r="F675" s="27" t="s">
        <v>126</v>
      </c>
      <c r="G675" s="27" t="s">
        <v>125</v>
      </c>
      <c r="H675" s="27" t="s">
        <v>228</v>
      </c>
      <c r="I675" s="27" t="s">
        <v>1122</v>
      </c>
      <c r="J675" s="27" t="s">
        <v>139</v>
      </c>
      <c r="K675" s="10">
        <v>35</v>
      </c>
      <c r="L675" s="36" t="s">
        <v>263</v>
      </c>
      <c r="M675" s="37" t="s">
        <v>289</v>
      </c>
      <c r="N675" s="37" t="s">
        <v>296</v>
      </c>
      <c r="O675" s="27"/>
      <c r="P675" s="27"/>
      <c r="Q675" s="27" t="s">
        <v>1123</v>
      </c>
      <c r="R675" s="27"/>
      <c r="S675" s="1" t="s">
        <v>264</v>
      </c>
      <c r="T675" s="29" t="s">
        <v>265</v>
      </c>
      <c r="U675" s="27"/>
      <c r="V675" s="27" t="s">
        <v>298</v>
      </c>
      <c r="W675" s="27"/>
    </row>
    <row r="676" spans="1:23" ht="24" customHeight="1">
      <c r="A676" s="27" t="str">
        <f t="shared" ca="1" si="10"/>
        <v>EVT-2026-0674</v>
      </c>
      <c r="B676" s="27">
        <v>2026</v>
      </c>
      <c r="C676" s="27" t="s">
        <v>98</v>
      </c>
      <c r="D676" s="30">
        <v>46162</v>
      </c>
      <c r="E676" s="27" t="s">
        <v>201</v>
      </c>
      <c r="F676" s="27" t="s">
        <v>126</v>
      </c>
      <c r="G676" s="27" t="s">
        <v>736</v>
      </c>
      <c r="H676" s="27" t="s">
        <v>202</v>
      </c>
      <c r="I676" s="27" t="s">
        <v>1124</v>
      </c>
      <c r="J676" s="27" t="s">
        <v>177</v>
      </c>
      <c r="K676" s="10">
        <v>0</v>
      </c>
      <c r="L676" s="36" t="s">
        <v>263</v>
      </c>
      <c r="M676" s="37" t="s">
        <v>274</v>
      </c>
      <c r="N676" s="37" t="s">
        <v>698</v>
      </c>
      <c r="O676" s="27" t="s">
        <v>1125</v>
      </c>
      <c r="P676" s="27"/>
      <c r="Q676" s="27" t="s">
        <v>1126</v>
      </c>
      <c r="R676" s="27"/>
      <c r="S676" s="1" t="s">
        <v>264</v>
      </c>
      <c r="T676" s="29" t="s">
        <v>265</v>
      </c>
      <c r="U676" s="27"/>
      <c r="V676" s="27" t="s">
        <v>1127</v>
      </c>
      <c r="W676" s="27"/>
    </row>
    <row r="677" spans="1:23" ht="24" customHeight="1">
      <c r="A677" s="27" t="str">
        <f t="shared" ca="1" si="10"/>
        <v>EVT-2026-0675</v>
      </c>
      <c r="B677" s="27">
        <v>2026</v>
      </c>
      <c r="C677" s="27" t="s">
        <v>98</v>
      </c>
      <c r="D677" s="30">
        <v>46162</v>
      </c>
      <c r="E677" s="27" t="s">
        <v>201</v>
      </c>
      <c r="F677" s="27" t="s">
        <v>126</v>
      </c>
      <c r="G677" s="27" t="s">
        <v>348</v>
      </c>
      <c r="H677" s="27" t="s">
        <v>208</v>
      </c>
      <c r="I677" s="27" t="s">
        <v>349</v>
      </c>
      <c r="J677" s="27" t="s">
        <v>145</v>
      </c>
      <c r="K677" s="10">
        <v>50</v>
      </c>
      <c r="L677" s="36" t="s">
        <v>263</v>
      </c>
      <c r="M677" s="37" t="s">
        <v>350</v>
      </c>
      <c r="N677" s="37" t="s">
        <v>296</v>
      </c>
      <c r="O677" s="27"/>
      <c r="P677" s="27"/>
      <c r="Q677" s="27" t="s">
        <v>1080</v>
      </c>
      <c r="R677" s="27"/>
      <c r="S677" s="1" t="s">
        <v>264</v>
      </c>
      <c r="T677" s="29" t="s">
        <v>265</v>
      </c>
      <c r="U677" s="30">
        <v>46008</v>
      </c>
      <c r="V677" s="27" t="s">
        <v>303</v>
      </c>
      <c r="W677" s="27"/>
    </row>
    <row r="678" spans="1:23" ht="24" customHeight="1">
      <c r="A678" s="27" t="str">
        <f t="shared" ca="1" si="10"/>
        <v>EVT-2026-0676</v>
      </c>
      <c r="B678" s="27">
        <v>2026</v>
      </c>
      <c r="C678" s="27" t="s">
        <v>98</v>
      </c>
      <c r="D678" s="30">
        <v>46163</v>
      </c>
      <c r="E678" s="27" t="s">
        <v>216</v>
      </c>
      <c r="F678" s="27" t="s">
        <v>126</v>
      </c>
      <c r="G678" s="27" t="s">
        <v>348</v>
      </c>
      <c r="H678" s="27" t="s">
        <v>208</v>
      </c>
      <c r="I678" s="27" t="s">
        <v>1128</v>
      </c>
      <c r="J678" s="27" t="s">
        <v>165</v>
      </c>
      <c r="K678" s="10">
        <v>25</v>
      </c>
      <c r="L678" s="36" t="s">
        <v>263</v>
      </c>
      <c r="M678" s="37" t="s">
        <v>330</v>
      </c>
      <c r="N678" s="37" t="s">
        <v>275</v>
      </c>
      <c r="O678" s="27"/>
      <c r="P678" s="27"/>
      <c r="Q678" s="27" t="s">
        <v>651</v>
      </c>
      <c r="R678" s="27"/>
      <c r="S678" s="1" t="s">
        <v>264</v>
      </c>
      <c r="T678" s="29" t="s">
        <v>265</v>
      </c>
      <c r="U678" s="27"/>
      <c r="V678" s="27" t="s">
        <v>298</v>
      </c>
      <c r="W678" s="27"/>
    </row>
    <row r="679" spans="1:23" ht="24" customHeight="1">
      <c r="A679" s="27" t="str">
        <f t="shared" ca="1" si="10"/>
        <v>EVT-2026-0677</v>
      </c>
      <c r="B679" s="27">
        <v>2026</v>
      </c>
      <c r="C679" s="27" t="s">
        <v>98</v>
      </c>
      <c r="D679" s="30">
        <v>46163</v>
      </c>
      <c r="E679" s="27" t="s">
        <v>216</v>
      </c>
      <c r="F679" s="27" t="s">
        <v>126</v>
      </c>
      <c r="G679" s="27" t="s">
        <v>125</v>
      </c>
      <c r="H679" s="27" t="s">
        <v>228</v>
      </c>
      <c r="I679" s="27" t="s">
        <v>1129</v>
      </c>
      <c r="J679" s="27" t="s">
        <v>152</v>
      </c>
      <c r="K679" s="10">
        <v>35</v>
      </c>
      <c r="L679" s="36" t="s">
        <v>263</v>
      </c>
      <c r="M679" s="37" t="s">
        <v>732</v>
      </c>
      <c r="N679" s="37" t="s">
        <v>275</v>
      </c>
      <c r="O679" s="27"/>
      <c r="P679" s="27"/>
      <c r="Q679" s="27" t="s">
        <v>1130</v>
      </c>
      <c r="R679" s="27"/>
      <c r="S679" s="1" t="s">
        <v>264</v>
      </c>
      <c r="T679" s="29" t="s">
        <v>265</v>
      </c>
      <c r="U679" s="30">
        <v>46155</v>
      </c>
      <c r="V679" s="27" t="s">
        <v>1131</v>
      </c>
      <c r="W679" s="27"/>
    </row>
    <row r="680" spans="1:23" ht="24" customHeight="1">
      <c r="A680" s="27" t="str">
        <f t="shared" ca="1" si="10"/>
        <v>EVT-2026-0678</v>
      </c>
      <c r="B680" s="27">
        <v>2026</v>
      </c>
      <c r="C680" s="27" t="s">
        <v>98</v>
      </c>
      <c r="D680" s="30">
        <v>46163</v>
      </c>
      <c r="E680" s="27" t="s">
        <v>216</v>
      </c>
      <c r="F680" s="27" t="s">
        <v>126</v>
      </c>
      <c r="G680" s="27" t="s">
        <v>125</v>
      </c>
      <c r="H680" s="27" t="s">
        <v>228</v>
      </c>
      <c r="I680" s="27" t="s">
        <v>1132</v>
      </c>
      <c r="J680" s="27" t="s">
        <v>152</v>
      </c>
      <c r="K680" s="10">
        <v>35</v>
      </c>
      <c r="L680" s="36" t="s">
        <v>263</v>
      </c>
      <c r="M680" s="37" t="s">
        <v>359</v>
      </c>
      <c r="N680" s="37" t="s">
        <v>290</v>
      </c>
      <c r="O680" s="27"/>
      <c r="P680" s="27"/>
      <c r="Q680" s="27" t="s">
        <v>367</v>
      </c>
      <c r="R680" s="27"/>
      <c r="S680" s="1" t="s">
        <v>264</v>
      </c>
      <c r="T680" s="29" t="s">
        <v>265</v>
      </c>
      <c r="U680" s="27"/>
      <c r="V680" s="27" t="s">
        <v>298</v>
      </c>
      <c r="W680" s="27"/>
    </row>
    <row r="681" spans="1:23" ht="24" customHeight="1">
      <c r="A681" s="27" t="str">
        <f t="shared" ca="1" si="10"/>
        <v>EVT-2026-0679</v>
      </c>
      <c r="B681" s="27">
        <v>2026</v>
      </c>
      <c r="C681" s="27" t="s">
        <v>98</v>
      </c>
      <c r="D681" s="30">
        <v>46163</v>
      </c>
      <c r="E681" s="27" t="s">
        <v>216</v>
      </c>
      <c r="F681" s="27" t="s">
        <v>126</v>
      </c>
      <c r="G681" s="27" t="s">
        <v>239</v>
      </c>
      <c r="H681" s="27" t="s">
        <v>202</v>
      </c>
      <c r="I681" s="27" t="s">
        <v>1133</v>
      </c>
      <c r="J681" s="27" t="s">
        <v>165</v>
      </c>
      <c r="K681" s="10">
        <v>100</v>
      </c>
      <c r="L681" s="38" t="s">
        <v>294</v>
      </c>
      <c r="M681" s="37" t="s">
        <v>295</v>
      </c>
      <c r="N681" s="37" t="s">
        <v>296</v>
      </c>
      <c r="O681" s="27"/>
      <c r="P681" s="27"/>
      <c r="Q681" s="27" t="s">
        <v>378</v>
      </c>
      <c r="R681" s="27"/>
      <c r="S681" s="1" t="s">
        <v>264</v>
      </c>
      <c r="T681" s="29" t="s">
        <v>265</v>
      </c>
      <c r="U681" s="30">
        <v>46161</v>
      </c>
      <c r="V681" s="27" t="s">
        <v>298</v>
      </c>
      <c r="W681" s="27"/>
    </row>
    <row r="682" spans="1:23" ht="24" customHeight="1">
      <c r="A682" s="27" t="str">
        <f t="shared" ca="1" si="10"/>
        <v>EVT-2026-0680</v>
      </c>
      <c r="B682" s="27">
        <v>2026</v>
      </c>
      <c r="C682" s="27" t="s">
        <v>98</v>
      </c>
      <c r="D682" s="30">
        <v>46163</v>
      </c>
      <c r="E682" s="27" t="s">
        <v>216</v>
      </c>
      <c r="F682" s="27" t="s">
        <v>126</v>
      </c>
      <c r="G682" s="27" t="s">
        <v>348</v>
      </c>
      <c r="H682" s="27" t="s">
        <v>208</v>
      </c>
      <c r="I682" s="27" t="s">
        <v>349</v>
      </c>
      <c r="J682" s="27" t="s">
        <v>145</v>
      </c>
      <c r="K682" s="10">
        <v>50</v>
      </c>
      <c r="L682" s="36" t="s">
        <v>263</v>
      </c>
      <c r="M682" s="37" t="s">
        <v>350</v>
      </c>
      <c r="N682" s="37" t="s">
        <v>296</v>
      </c>
      <c r="O682" s="27"/>
      <c r="P682" s="27"/>
      <c r="Q682" s="27" t="s">
        <v>1080</v>
      </c>
      <c r="R682" s="27"/>
      <c r="S682" s="1" t="s">
        <v>264</v>
      </c>
      <c r="T682" s="29" t="s">
        <v>265</v>
      </c>
      <c r="U682" s="30">
        <v>46008</v>
      </c>
      <c r="V682" s="27" t="s">
        <v>303</v>
      </c>
      <c r="W682" s="27"/>
    </row>
    <row r="683" spans="1:23" ht="24" customHeight="1">
      <c r="A683" s="27" t="str">
        <f t="shared" ca="1" si="10"/>
        <v>EVT-2026-0681</v>
      </c>
      <c r="B683" s="27">
        <v>2026</v>
      </c>
      <c r="C683" s="27" t="s">
        <v>98</v>
      </c>
      <c r="D683" s="30">
        <v>46164</v>
      </c>
      <c r="E683" s="27" t="s">
        <v>220</v>
      </c>
      <c r="F683" s="27" t="s">
        <v>126</v>
      </c>
      <c r="G683" s="27" t="s">
        <v>1134</v>
      </c>
      <c r="H683" s="27" t="s">
        <v>202</v>
      </c>
      <c r="I683" s="27" t="s">
        <v>337</v>
      </c>
      <c r="J683" s="27" t="s">
        <v>127</v>
      </c>
      <c r="K683" s="10">
        <v>180</v>
      </c>
      <c r="L683" s="38" t="s">
        <v>294</v>
      </c>
      <c r="M683" s="37" t="s">
        <v>338</v>
      </c>
      <c r="N683" s="37" t="s">
        <v>506</v>
      </c>
      <c r="O683" s="27"/>
      <c r="P683" s="27"/>
      <c r="Q683" s="27" t="s">
        <v>1135</v>
      </c>
      <c r="R683" s="27"/>
      <c r="S683" s="1" t="s">
        <v>264</v>
      </c>
      <c r="T683" s="29" t="s">
        <v>265</v>
      </c>
      <c r="U683" s="27"/>
      <c r="V683" s="27" t="s">
        <v>1059</v>
      </c>
      <c r="W683" s="27"/>
    </row>
    <row r="684" spans="1:23" ht="24" customHeight="1">
      <c r="A684" s="27" t="str">
        <f t="shared" ca="1" si="10"/>
        <v>EVT-2026-0682</v>
      </c>
      <c r="B684" s="27">
        <v>2026</v>
      </c>
      <c r="C684" s="27" t="s">
        <v>98</v>
      </c>
      <c r="D684" s="30">
        <v>46164</v>
      </c>
      <c r="E684" s="27" t="s">
        <v>220</v>
      </c>
      <c r="F684" s="27" t="s">
        <v>126</v>
      </c>
      <c r="G684" s="27" t="s">
        <v>501</v>
      </c>
      <c r="H684" s="27" t="s">
        <v>202</v>
      </c>
      <c r="I684" s="27" t="s">
        <v>337</v>
      </c>
      <c r="J684" s="27" t="s">
        <v>127</v>
      </c>
      <c r="K684" s="10">
        <v>200</v>
      </c>
      <c r="L684" s="38" t="s">
        <v>294</v>
      </c>
      <c r="M684" s="37" t="s">
        <v>506</v>
      </c>
      <c r="N684" s="37" t="s">
        <v>429</v>
      </c>
      <c r="O684" s="27" t="s">
        <v>1136</v>
      </c>
      <c r="P684" s="27"/>
      <c r="Q684" s="27" t="s">
        <v>1137</v>
      </c>
      <c r="R684" s="27"/>
      <c r="S684" s="1" t="s">
        <v>264</v>
      </c>
      <c r="T684" s="29" t="s">
        <v>265</v>
      </c>
      <c r="U684" s="27"/>
      <c r="V684" s="27"/>
      <c r="W684" s="27"/>
    </row>
    <row r="685" spans="1:23" ht="24" customHeight="1">
      <c r="A685" s="27" t="str">
        <f t="shared" ca="1" si="10"/>
        <v>EVT-2026-0683</v>
      </c>
      <c r="B685" s="27">
        <v>2026</v>
      </c>
      <c r="C685" s="27" t="s">
        <v>98</v>
      </c>
      <c r="D685" s="30">
        <v>46164</v>
      </c>
      <c r="E685" s="27" t="s">
        <v>220</v>
      </c>
      <c r="F685" s="27" t="s">
        <v>126</v>
      </c>
      <c r="G685" s="27" t="s">
        <v>125</v>
      </c>
      <c r="H685" s="27" t="s">
        <v>228</v>
      </c>
      <c r="I685" s="27" t="s">
        <v>1138</v>
      </c>
      <c r="J685" s="27" t="s">
        <v>158</v>
      </c>
      <c r="K685" s="10">
        <v>35</v>
      </c>
      <c r="L685" s="36" t="s">
        <v>263</v>
      </c>
      <c r="M685" s="37" t="s">
        <v>330</v>
      </c>
      <c r="N685" s="37" t="s">
        <v>275</v>
      </c>
      <c r="O685" s="27"/>
      <c r="P685" s="27"/>
      <c r="Q685" s="27" t="s">
        <v>1139</v>
      </c>
      <c r="R685" s="27"/>
      <c r="S685" s="1" t="s">
        <v>264</v>
      </c>
      <c r="T685" s="29" t="s">
        <v>265</v>
      </c>
      <c r="U685" s="27"/>
      <c r="V685" s="27" t="s">
        <v>298</v>
      </c>
      <c r="W685" s="27"/>
    </row>
    <row r="686" spans="1:23" ht="24" customHeight="1">
      <c r="A686" s="27" t="str">
        <f t="shared" ca="1" si="10"/>
        <v>EVT-2026-0684</v>
      </c>
      <c r="B686" s="27">
        <v>2026</v>
      </c>
      <c r="C686" s="27" t="s">
        <v>98</v>
      </c>
      <c r="D686" s="30">
        <v>46164</v>
      </c>
      <c r="E686" s="27" t="s">
        <v>220</v>
      </c>
      <c r="F686" s="27" t="s">
        <v>126</v>
      </c>
      <c r="G686" s="27" t="s">
        <v>239</v>
      </c>
      <c r="H686" s="27" t="s">
        <v>202</v>
      </c>
      <c r="I686" s="27"/>
      <c r="J686" s="27" t="s">
        <v>177</v>
      </c>
      <c r="K686" s="10">
        <v>45</v>
      </c>
      <c r="L686" s="36" t="s">
        <v>263</v>
      </c>
      <c r="M686" s="37" t="s">
        <v>350</v>
      </c>
      <c r="N686" s="37" t="s">
        <v>359</v>
      </c>
      <c r="O686" s="27"/>
      <c r="P686" s="27"/>
      <c r="Q686" s="27" t="s">
        <v>393</v>
      </c>
      <c r="R686" s="27"/>
      <c r="S686" s="1" t="s">
        <v>264</v>
      </c>
      <c r="T686" s="29" t="s">
        <v>265</v>
      </c>
      <c r="U686" s="27"/>
      <c r="V686" s="27"/>
      <c r="W686" s="27"/>
    </row>
    <row r="687" spans="1:23" ht="24" customHeight="1">
      <c r="A687" s="27" t="str">
        <f t="shared" ca="1" si="10"/>
        <v>EVT-2026-0685</v>
      </c>
      <c r="B687" s="27">
        <v>2026</v>
      </c>
      <c r="C687" s="27" t="s">
        <v>98</v>
      </c>
      <c r="D687" s="30">
        <v>46164</v>
      </c>
      <c r="E687" s="27" t="s">
        <v>220</v>
      </c>
      <c r="F687" s="27" t="s">
        <v>126</v>
      </c>
      <c r="G687" s="27" t="s">
        <v>239</v>
      </c>
      <c r="H687" s="27" t="s">
        <v>202</v>
      </c>
      <c r="I687" s="27" t="s">
        <v>1140</v>
      </c>
      <c r="J687" s="27" t="s">
        <v>177</v>
      </c>
      <c r="K687" s="10">
        <v>80</v>
      </c>
      <c r="L687" s="36" t="s">
        <v>263</v>
      </c>
      <c r="M687" s="37" t="s">
        <v>359</v>
      </c>
      <c r="N687" s="37" t="s">
        <v>1141</v>
      </c>
      <c r="O687" s="27"/>
      <c r="P687" s="27"/>
      <c r="Q687" s="27"/>
      <c r="R687" s="27"/>
      <c r="S687" s="1" t="s">
        <v>264</v>
      </c>
      <c r="T687" s="29" t="s">
        <v>265</v>
      </c>
      <c r="U687" s="27"/>
      <c r="V687" s="27"/>
      <c r="W687" s="27"/>
    </row>
    <row r="688" spans="1:23" ht="24" customHeight="1">
      <c r="A688" s="27" t="str">
        <f t="shared" ca="1" si="10"/>
        <v>EVT-2026-0686</v>
      </c>
      <c r="B688" s="27">
        <v>2026</v>
      </c>
      <c r="C688" s="27" t="s">
        <v>98</v>
      </c>
      <c r="D688" s="30">
        <v>46164</v>
      </c>
      <c r="E688" s="27" t="s">
        <v>220</v>
      </c>
      <c r="F688" s="27" t="s">
        <v>126</v>
      </c>
      <c r="G688" s="27" t="s">
        <v>125</v>
      </c>
      <c r="H688" s="27" t="s">
        <v>228</v>
      </c>
      <c r="I688" s="27"/>
      <c r="J688" s="27" t="s">
        <v>177</v>
      </c>
      <c r="K688" s="10">
        <v>0</v>
      </c>
      <c r="L688" s="36" t="s">
        <v>263</v>
      </c>
      <c r="M688" s="37" t="s">
        <v>309</v>
      </c>
      <c r="N688" s="37" t="s">
        <v>359</v>
      </c>
      <c r="O688" s="27"/>
      <c r="P688" s="27"/>
      <c r="Q688" s="27" t="s">
        <v>355</v>
      </c>
      <c r="R688" s="27"/>
      <c r="S688" s="1" t="s">
        <v>264</v>
      </c>
      <c r="T688" s="29" t="s">
        <v>265</v>
      </c>
      <c r="U688" s="27"/>
      <c r="V688" s="27" t="s">
        <v>298</v>
      </c>
      <c r="W688" s="27"/>
    </row>
    <row r="689" spans="1:23" ht="24" customHeight="1">
      <c r="A689" s="27" t="str">
        <f t="shared" ca="1" si="10"/>
        <v>EVT-2026-0687</v>
      </c>
      <c r="B689" s="27">
        <v>2026</v>
      </c>
      <c r="C689" s="27" t="s">
        <v>98</v>
      </c>
      <c r="D689" s="30">
        <v>46164</v>
      </c>
      <c r="E689" s="27" t="s">
        <v>220</v>
      </c>
      <c r="F689" s="27" t="s">
        <v>126</v>
      </c>
      <c r="G689" s="27" t="s">
        <v>1142</v>
      </c>
      <c r="H689" s="27" t="s">
        <v>208</v>
      </c>
      <c r="I689" s="27" t="s">
        <v>895</v>
      </c>
      <c r="J689" s="27" t="s">
        <v>158</v>
      </c>
      <c r="K689" s="10">
        <v>40</v>
      </c>
      <c r="L689" s="36" t="s">
        <v>263</v>
      </c>
      <c r="M689" s="37" t="s">
        <v>553</v>
      </c>
      <c r="N689" s="37" t="s">
        <v>354</v>
      </c>
      <c r="O689" s="27"/>
      <c r="P689" s="27"/>
      <c r="Q689" s="27" t="s">
        <v>594</v>
      </c>
      <c r="R689" s="27"/>
      <c r="S689" s="1" t="s">
        <v>264</v>
      </c>
      <c r="T689" s="29" t="s">
        <v>265</v>
      </c>
      <c r="U689" s="30">
        <v>46160</v>
      </c>
      <c r="V689" s="27" t="s">
        <v>298</v>
      </c>
      <c r="W689" s="27"/>
    </row>
    <row r="690" spans="1:23" ht="24" customHeight="1">
      <c r="A690" s="27" t="str">
        <f t="shared" ca="1" si="10"/>
        <v>EVT-2026-0688</v>
      </c>
      <c r="B690" s="27">
        <v>2026</v>
      </c>
      <c r="C690" s="27" t="s">
        <v>98</v>
      </c>
      <c r="D690" s="30">
        <v>46165</v>
      </c>
      <c r="E690" s="27" t="s">
        <v>266</v>
      </c>
      <c r="F690" s="27" t="s">
        <v>126</v>
      </c>
      <c r="G690" s="27"/>
      <c r="H690" s="27"/>
      <c r="I690" s="27"/>
      <c r="J690" s="27" t="s">
        <v>177</v>
      </c>
      <c r="K690" s="10">
        <v>0</v>
      </c>
      <c r="L690" s="36" t="s">
        <v>263</v>
      </c>
      <c r="M690" s="37"/>
      <c r="N690" s="37"/>
      <c r="O690" s="27"/>
      <c r="P690" s="27"/>
      <c r="Q690" s="27"/>
      <c r="R690" s="27"/>
      <c r="S690" s="1" t="s">
        <v>264</v>
      </c>
      <c r="T690" s="29" t="s">
        <v>265</v>
      </c>
      <c r="U690" s="27"/>
      <c r="V690" s="27"/>
      <c r="W690" s="27"/>
    </row>
    <row r="691" spans="1:23" ht="24" customHeight="1">
      <c r="A691" s="27" t="str">
        <f t="shared" ca="1" si="10"/>
        <v>EVT-2026-0689</v>
      </c>
      <c r="B691" s="27">
        <v>2026</v>
      </c>
      <c r="C691" s="27" t="s">
        <v>98</v>
      </c>
      <c r="D691" s="30">
        <v>46166</v>
      </c>
      <c r="E691" s="27" t="s">
        <v>267</v>
      </c>
      <c r="F691" s="27" t="s">
        <v>126</v>
      </c>
      <c r="G691" s="27"/>
      <c r="H691" s="27"/>
      <c r="I691" s="27"/>
      <c r="J691" s="27" t="s">
        <v>177</v>
      </c>
      <c r="K691" s="10">
        <v>0</v>
      </c>
      <c r="L691" s="36" t="s">
        <v>263</v>
      </c>
      <c r="M691" s="37"/>
      <c r="N691" s="37"/>
      <c r="O691" s="27"/>
      <c r="P691" s="27"/>
      <c r="Q691" s="27"/>
      <c r="R691" s="27"/>
      <c r="S691" s="1" t="s">
        <v>264</v>
      </c>
      <c r="T691" s="29" t="s">
        <v>265</v>
      </c>
      <c r="U691" s="27"/>
      <c r="V691" s="27"/>
      <c r="W691" s="27"/>
    </row>
    <row r="692" spans="1:23" ht="24" customHeight="1">
      <c r="A692" s="27" t="str">
        <f t="shared" ca="1" si="10"/>
        <v>EVT-2026-0690</v>
      </c>
      <c r="B692" s="27">
        <v>2026</v>
      </c>
      <c r="C692" s="27" t="s">
        <v>98</v>
      </c>
      <c r="D692" s="30">
        <v>46167</v>
      </c>
      <c r="E692" s="27" t="s">
        <v>224</v>
      </c>
      <c r="F692" s="27" t="s">
        <v>126</v>
      </c>
      <c r="G692" s="27" t="s">
        <v>496</v>
      </c>
      <c r="H692" s="27" t="s">
        <v>228</v>
      </c>
      <c r="I692" s="27" t="s">
        <v>1108</v>
      </c>
      <c r="J692" s="27" t="s">
        <v>177</v>
      </c>
      <c r="K692" s="10">
        <v>24</v>
      </c>
      <c r="L692" s="36" t="s">
        <v>263</v>
      </c>
      <c r="M692" s="37" t="s">
        <v>269</v>
      </c>
      <c r="N692" s="37" t="s">
        <v>270</v>
      </c>
      <c r="O692" s="27"/>
      <c r="P692" s="27"/>
      <c r="Q692" s="27" t="s">
        <v>494</v>
      </c>
      <c r="R692" s="27"/>
      <c r="S692" s="1" t="s">
        <v>264</v>
      </c>
      <c r="T692" s="29" t="s">
        <v>265</v>
      </c>
      <c r="U692" s="27"/>
      <c r="V692" s="27" t="s">
        <v>1143</v>
      </c>
      <c r="W692" s="27"/>
    </row>
    <row r="693" spans="1:23" ht="24" customHeight="1">
      <c r="A693" s="27" t="str">
        <f t="shared" ca="1" si="10"/>
        <v>EVT-2026-0691</v>
      </c>
      <c r="B693" s="27">
        <v>2026</v>
      </c>
      <c r="C693" s="27" t="s">
        <v>98</v>
      </c>
      <c r="D693" s="30">
        <v>46167</v>
      </c>
      <c r="E693" s="27" t="s">
        <v>224</v>
      </c>
      <c r="F693" s="27" t="s">
        <v>126</v>
      </c>
      <c r="G693" s="27" t="s">
        <v>348</v>
      </c>
      <c r="H693" s="27" t="s">
        <v>208</v>
      </c>
      <c r="I693" s="27" t="s">
        <v>1144</v>
      </c>
      <c r="J693" s="27" t="s">
        <v>177</v>
      </c>
      <c r="K693" s="10">
        <v>0</v>
      </c>
      <c r="L693" s="36" t="s">
        <v>263</v>
      </c>
      <c r="M693" s="37" t="s">
        <v>330</v>
      </c>
      <c r="N693" s="37" t="s">
        <v>275</v>
      </c>
      <c r="O693" s="27"/>
      <c r="P693" s="27"/>
      <c r="Q693" s="27" t="s">
        <v>847</v>
      </c>
      <c r="R693" s="27"/>
      <c r="S693" s="1" t="s">
        <v>264</v>
      </c>
      <c r="T693" s="29" t="s">
        <v>265</v>
      </c>
      <c r="U693" s="27"/>
      <c r="V693" s="27" t="s">
        <v>341</v>
      </c>
      <c r="W693" s="27"/>
    </row>
    <row r="694" spans="1:23" ht="24" customHeight="1">
      <c r="A694" s="27" t="str">
        <f t="shared" ca="1" si="10"/>
        <v>EVT-2026-0692</v>
      </c>
      <c r="B694" s="27">
        <v>2026</v>
      </c>
      <c r="C694" s="27" t="s">
        <v>98</v>
      </c>
      <c r="D694" s="30">
        <v>46167</v>
      </c>
      <c r="E694" s="27" t="s">
        <v>224</v>
      </c>
      <c r="F694" s="27" t="s">
        <v>126</v>
      </c>
      <c r="G694" s="27" t="s">
        <v>348</v>
      </c>
      <c r="H694" s="27" t="s">
        <v>208</v>
      </c>
      <c r="I694" s="27" t="s">
        <v>1145</v>
      </c>
      <c r="J694" s="27" t="s">
        <v>177</v>
      </c>
      <c r="K694" s="10">
        <v>30</v>
      </c>
      <c r="L694" s="36" t="s">
        <v>263</v>
      </c>
      <c r="M694" s="37" t="s">
        <v>309</v>
      </c>
      <c r="N694" s="37" t="s">
        <v>359</v>
      </c>
      <c r="O694" s="27"/>
      <c r="P694" s="27"/>
      <c r="Q694" s="27" t="s">
        <v>583</v>
      </c>
      <c r="R694" s="27"/>
      <c r="S694" s="1" t="s">
        <v>264</v>
      </c>
      <c r="T694" s="29" t="s">
        <v>265</v>
      </c>
      <c r="U694" s="27"/>
      <c r="V694" s="27" t="s">
        <v>1146</v>
      </c>
      <c r="W694" s="27"/>
    </row>
    <row r="695" spans="1:23" ht="24" customHeight="1">
      <c r="A695" s="27" t="str">
        <f t="shared" ca="1" si="10"/>
        <v>EVT-2026-0693</v>
      </c>
      <c r="B695" s="27">
        <v>2026</v>
      </c>
      <c r="C695" s="27" t="s">
        <v>98</v>
      </c>
      <c r="D695" s="30">
        <v>46167</v>
      </c>
      <c r="E695" s="27" t="s">
        <v>224</v>
      </c>
      <c r="F695" s="27" t="s">
        <v>126</v>
      </c>
      <c r="G695" s="27" t="s">
        <v>125</v>
      </c>
      <c r="H695" s="27" t="s">
        <v>228</v>
      </c>
      <c r="I695" s="27" t="s">
        <v>1147</v>
      </c>
      <c r="J695" s="27" t="s">
        <v>134</v>
      </c>
      <c r="K695" s="10">
        <v>0</v>
      </c>
      <c r="L695" s="36" t="s">
        <v>263</v>
      </c>
      <c r="M695" s="37" t="s">
        <v>275</v>
      </c>
      <c r="N695" s="37" t="s">
        <v>270</v>
      </c>
      <c r="O695" s="27"/>
      <c r="P695" s="27"/>
      <c r="Q695" s="27" t="s">
        <v>367</v>
      </c>
      <c r="R695" s="27"/>
      <c r="S695" s="3" t="s">
        <v>312</v>
      </c>
      <c r="T695" s="29" t="s">
        <v>265</v>
      </c>
      <c r="U695" s="27"/>
      <c r="V695" s="27" t="s">
        <v>1148</v>
      </c>
      <c r="W695" s="27"/>
    </row>
    <row r="696" spans="1:23" ht="24" customHeight="1">
      <c r="A696" s="27" t="str">
        <f t="shared" ca="1" si="10"/>
        <v>EVT-2026-0694</v>
      </c>
      <c r="B696" s="27">
        <v>2026</v>
      </c>
      <c r="C696" s="27" t="s">
        <v>98</v>
      </c>
      <c r="D696" s="30">
        <v>46167</v>
      </c>
      <c r="E696" s="27" t="s">
        <v>224</v>
      </c>
      <c r="F696" s="27" t="s">
        <v>126</v>
      </c>
      <c r="G696" s="27" t="s">
        <v>1134</v>
      </c>
      <c r="H696" s="27" t="s">
        <v>202</v>
      </c>
      <c r="I696" s="27" t="s">
        <v>1149</v>
      </c>
      <c r="J696" s="27" t="s">
        <v>127</v>
      </c>
      <c r="K696" s="10">
        <v>100</v>
      </c>
      <c r="L696" s="38" t="s">
        <v>294</v>
      </c>
      <c r="M696" s="37" t="s">
        <v>274</v>
      </c>
      <c r="N696" s="37" t="s">
        <v>429</v>
      </c>
      <c r="O696" s="27"/>
      <c r="P696" s="27"/>
      <c r="Q696" s="27" t="s">
        <v>355</v>
      </c>
      <c r="R696" s="27"/>
      <c r="S696" s="1" t="s">
        <v>264</v>
      </c>
      <c r="T696" s="29" t="s">
        <v>265</v>
      </c>
      <c r="U696" s="30">
        <v>46114</v>
      </c>
      <c r="V696" s="27" t="s">
        <v>1150</v>
      </c>
      <c r="W696" s="27"/>
    </row>
    <row r="697" spans="1:23" ht="24" customHeight="1">
      <c r="A697" s="27" t="str">
        <f t="shared" ca="1" si="10"/>
        <v>EVT-2026-0695</v>
      </c>
      <c r="B697" s="27">
        <v>2026</v>
      </c>
      <c r="C697" s="27" t="s">
        <v>98</v>
      </c>
      <c r="D697" s="30">
        <v>46167</v>
      </c>
      <c r="E697" s="27" t="s">
        <v>224</v>
      </c>
      <c r="F697" s="27" t="s">
        <v>126</v>
      </c>
      <c r="G697" s="27" t="s">
        <v>1151</v>
      </c>
      <c r="H697" s="27" t="s">
        <v>228</v>
      </c>
      <c r="I697" s="27" t="s">
        <v>1152</v>
      </c>
      <c r="J697" s="27" t="s">
        <v>127</v>
      </c>
      <c r="K697" s="10">
        <v>100</v>
      </c>
      <c r="L697" s="38" t="s">
        <v>294</v>
      </c>
      <c r="M697" s="37" t="s">
        <v>429</v>
      </c>
      <c r="N697" s="37" t="s">
        <v>354</v>
      </c>
      <c r="O697" s="27" t="s">
        <v>1153</v>
      </c>
      <c r="P697" s="27"/>
      <c r="Q697" s="27" t="s">
        <v>355</v>
      </c>
      <c r="R697" s="27"/>
      <c r="S697" s="1" t="s">
        <v>264</v>
      </c>
      <c r="T697" s="29" t="s">
        <v>265</v>
      </c>
      <c r="U697" s="27"/>
      <c r="V697" s="27" t="s">
        <v>1154</v>
      </c>
      <c r="W697" s="27"/>
    </row>
    <row r="698" spans="1:23" ht="24" customHeight="1">
      <c r="A698" s="27" t="str">
        <f t="shared" ca="1" si="10"/>
        <v>EVT-2026-0696</v>
      </c>
      <c r="B698" s="27">
        <v>2026</v>
      </c>
      <c r="C698" s="27" t="s">
        <v>98</v>
      </c>
      <c r="D698" s="30">
        <v>46168</v>
      </c>
      <c r="E698" s="27" t="s">
        <v>227</v>
      </c>
      <c r="F698" s="27" t="s">
        <v>126</v>
      </c>
      <c r="G698" s="27" t="s">
        <v>239</v>
      </c>
      <c r="H698" s="27" t="s">
        <v>202</v>
      </c>
      <c r="I698" s="27" t="s">
        <v>1155</v>
      </c>
      <c r="J698" s="27" t="s">
        <v>127</v>
      </c>
      <c r="K698" s="10">
        <v>200</v>
      </c>
      <c r="L698" s="38" t="s">
        <v>294</v>
      </c>
      <c r="M698" s="37" t="s">
        <v>309</v>
      </c>
      <c r="N698" s="37" t="s">
        <v>296</v>
      </c>
      <c r="O698" s="27"/>
      <c r="P698" s="27"/>
      <c r="Q698" s="27" t="s">
        <v>811</v>
      </c>
      <c r="R698" s="27"/>
      <c r="S698" s="3" t="s">
        <v>312</v>
      </c>
      <c r="T698" s="29" t="s">
        <v>265</v>
      </c>
      <c r="U698" s="30">
        <v>46146</v>
      </c>
      <c r="V698" s="27" t="s">
        <v>298</v>
      </c>
      <c r="W698" s="27"/>
    </row>
    <row r="699" spans="1:23" ht="24" customHeight="1">
      <c r="A699" s="27" t="str">
        <f t="shared" ca="1" si="10"/>
        <v>EVT-2026-0697</v>
      </c>
      <c r="B699" s="27">
        <v>2026</v>
      </c>
      <c r="C699" s="27" t="s">
        <v>98</v>
      </c>
      <c r="D699" s="30">
        <v>46168</v>
      </c>
      <c r="E699" s="27" t="s">
        <v>227</v>
      </c>
      <c r="F699" s="27" t="s">
        <v>126</v>
      </c>
      <c r="G699" s="27" t="s">
        <v>125</v>
      </c>
      <c r="H699" s="27" t="s">
        <v>208</v>
      </c>
      <c r="I699" s="27" t="s">
        <v>1156</v>
      </c>
      <c r="J699" s="27" t="s">
        <v>158</v>
      </c>
      <c r="K699" s="10">
        <v>33</v>
      </c>
      <c r="L699" s="36" t="s">
        <v>263</v>
      </c>
      <c r="M699" s="37" t="s">
        <v>506</v>
      </c>
      <c r="N699" s="37" t="s">
        <v>354</v>
      </c>
      <c r="O699" s="27"/>
      <c r="P699" s="27"/>
      <c r="Q699" s="27" t="s">
        <v>1157</v>
      </c>
      <c r="R699" s="27"/>
      <c r="S699" s="1" t="s">
        <v>264</v>
      </c>
      <c r="T699" s="29" t="s">
        <v>265</v>
      </c>
      <c r="U699" s="27"/>
      <c r="V699" s="27" t="s">
        <v>298</v>
      </c>
      <c r="W699" s="27"/>
    </row>
    <row r="700" spans="1:23" ht="24" customHeight="1">
      <c r="A700" s="27" t="str">
        <f t="shared" ca="1" si="10"/>
        <v>EVT-2026-0698</v>
      </c>
      <c r="B700" s="27">
        <v>2026</v>
      </c>
      <c r="C700" s="27" t="s">
        <v>98</v>
      </c>
      <c r="D700" s="30">
        <v>46168</v>
      </c>
      <c r="E700" s="27" t="s">
        <v>227</v>
      </c>
      <c r="F700" s="27" t="s">
        <v>126</v>
      </c>
      <c r="G700" s="27" t="s">
        <v>348</v>
      </c>
      <c r="H700" s="27" t="s">
        <v>208</v>
      </c>
      <c r="I700" s="27" t="s">
        <v>349</v>
      </c>
      <c r="J700" s="27" t="s">
        <v>145</v>
      </c>
      <c r="K700" s="10">
        <v>50</v>
      </c>
      <c r="L700" s="36" t="s">
        <v>263</v>
      </c>
      <c r="M700" s="37" t="s">
        <v>350</v>
      </c>
      <c r="N700" s="37" t="s">
        <v>296</v>
      </c>
      <c r="O700" s="27"/>
      <c r="P700" s="27"/>
      <c r="Q700" s="27" t="s">
        <v>1080</v>
      </c>
      <c r="R700" s="27"/>
      <c r="S700" s="1" t="s">
        <v>264</v>
      </c>
      <c r="T700" s="29" t="s">
        <v>265</v>
      </c>
      <c r="U700" s="30">
        <v>46008</v>
      </c>
      <c r="V700" s="27" t="s">
        <v>303</v>
      </c>
      <c r="W700" s="27"/>
    </row>
    <row r="701" spans="1:23" ht="24" customHeight="1">
      <c r="A701" s="27" t="str">
        <f t="shared" ca="1" si="10"/>
        <v>EVT-2026-0699</v>
      </c>
      <c r="B701" s="27">
        <v>2026</v>
      </c>
      <c r="C701" s="27" t="s">
        <v>98</v>
      </c>
      <c r="D701" s="30">
        <v>46169</v>
      </c>
      <c r="E701" s="27" t="s">
        <v>201</v>
      </c>
      <c r="F701" s="27" t="s">
        <v>126</v>
      </c>
      <c r="G701" s="27" t="s">
        <v>348</v>
      </c>
      <c r="H701" s="27" t="s">
        <v>208</v>
      </c>
      <c r="I701" s="27" t="s">
        <v>1158</v>
      </c>
      <c r="J701" s="27" t="s">
        <v>134</v>
      </c>
      <c r="K701" s="10">
        <v>20</v>
      </c>
      <c r="L701" s="36" t="s">
        <v>263</v>
      </c>
      <c r="M701" s="37" t="s">
        <v>330</v>
      </c>
      <c r="N701" s="37" t="s">
        <v>331</v>
      </c>
      <c r="O701" s="27"/>
      <c r="P701" s="27"/>
      <c r="Q701" s="27" t="s">
        <v>1159</v>
      </c>
      <c r="R701" s="27"/>
      <c r="S701" s="1" t="s">
        <v>264</v>
      </c>
      <c r="T701" s="29" t="s">
        <v>265</v>
      </c>
      <c r="U701" s="27"/>
      <c r="V701" s="27"/>
      <c r="W701" s="27"/>
    </row>
    <row r="702" spans="1:23" ht="24" customHeight="1">
      <c r="A702" s="27" t="str">
        <f t="shared" ca="1" si="10"/>
        <v>EVT-2026-0700</v>
      </c>
      <c r="B702" s="27">
        <v>2026</v>
      </c>
      <c r="C702" s="27" t="s">
        <v>98</v>
      </c>
      <c r="D702" s="30">
        <v>46169</v>
      </c>
      <c r="E702" s="27" t="s">
        <v>201</v>
      </c>
      <c r="F702" s="27" t="s">
        <v>126</v>
      </c>
      <c r="G702" s="27" t="s">
        <v>348</v>
      </c>
      <c r="H702" s="27" t="s">
        <v>208</v>
      </c>
      <c r="I702" s="27" t="s">
        <v>349</v>
      </c>
      <c r="J702" s="27" t="s">
        <v>145</v>
      </c>
      <c r="K702" s="10">
        <v>50</v>
      </c>
      <c r="L702" s="36" t="s">
        <v>263</v>
      </c>
      <c r="M702" s="37" t="s">
        <v>350</v>
      </c>
      <c r="N702" s="37" t="s">
        <v>296</v>
      </c>
      <c r="O702" s="27"/>
      <c r="P702" s="27"/>
      <c r="Q702" s="27" t="s">
        <v>1080</v>
      </c>
      <c r="R702" s="27"/>
      <c r="S702" s="1" t="s">
        <v>264</v>
      </c>
      <c r="T702" s="29" t="s">
        <v>265</v>
      </c>
      <c r="U702" s="30">
        <v>46008</v>
      </c>
      <c r="V702" s="27" t="s">
        <v>303</v>
      </c>
      <c r="W702" s="27"/>
    </row>
    <row r="703" spans="1:23" ht="24" customHeight="1">
      <c r="A703" s="27" t="str">
        <f t="shared" ca="1" si="10"/>
        <v>EVT-2026-0701</v>
      </c>
      <c r="B703" s="27">
        <v>2026</v>
      </c>
      <c r="C703" s="27" t="s">
        <v>98</v>
      </c>
      <c r="D703" s="30">
        <v>46170</v>
      </c>
      <c r="E703" s="27" t="s">
        <v>216</v>
      </c>
      <c r="F703" s="27" t="s">
        <v>126</v>
      </c>
      <c r="G703" s="27" t="s">
        <v>125</v>
      </c>
      <c r="H703" s="27" t="s">
        <v>228</v>
      </c>
      <c r="I703" s="27" t="s">
        <v>1160</v>
      </c>
      <c r="J703" s="27" t="s">
        <v>127</v>
      </c>
      <c r="K703" s="10">
        <v>80</v>
      </c>
      <c r="L703" s="36" t="s">
        <v>263</v>
      </c>
      <c r="M703" s="37" t="s">
        <v>274</v>
      </c>
      <c r="N703" s="37" t="s">
        <v>354</v>
      </c>
      <c r="O703" s="27"/>
      <c r="P703" s="27"/>
      <c r="Q703" s="27" t="s">
        <v>379</v>
      </c>
      <c r="R703" s="27"/>
      <c r="S703" s="1" t="s">
        <v>264</v>
      </c>
      <c r="T703" s="29" t="s">
        <v>265</v>
      </c>
      <c r="U703" s="30">
        <v>46141</v>
      </c>
      <c r="V703" s="27" t="s">
        <v>298</v>
      </c>
      <c r="W703" s="27"/>
    </row>
    <row r="704" spans="1:23" ht="24" customHeight="1">
      <c r="A704" s="27" t="str">
        <f t="shared" ca="1" si="10"/>
        <v>EVT-2026-0702</v>
      </c>
      <c r="B704" s="27">
        <v>2026</v>
      </c>
      <c r="C704" s="27" t="s">
        <v>98</v>
      </c>
      <c r="D704" s="30">
        <v>46170</v>
      </c>
      <c r="E704" s="27" t="s">
        <v>216</v>
      </c>
      <c r="F704" s="27" t="s">
        <v>126</v>
      </c>
      <c r="G704" s="27" t="s">
        <v>239</v>
      </c>
      <c r="H704" s="27" t="s">
        <v>1161</v>
      </c>
      <c r="I704" s="27"/>
      <c r="J704" s="27" t="s">
        <v>177</v>
      </c>
      <c r="K704" s="10">
        <v>0</v>
      </c>
      <c r="L704" s="36" t="s">
        <v>263</v>
      </c>
      <c r="M704" s="37" t="s">
        <v>274</v>
      </c>
      <c r="N704" s="37" t="s">
        <v>330</v>
      </c>
      <c r="O704" s="27"/>
      <c r="P704" s="27"/>
      <c r="Q704" s="27" t="s">
        <v>916</v>
      </c>
      <c r="R704" s="27"/>
      <c r="S704" s="1" t="s">
        <v>264</v>
      </c>
      <c r="T704" s="29" t="s">
        <v>265</v>
      </c>
      <c r="U704" s="27"/>
      <c r="V704" s="27" t="s">
        <v>298</v>
      </c>
      <c r="W704" s="27"/>
    </row>
    <row r="705" spans="1:23" ht="24" customHeight="1">
      <c r="A705" s="27" t="str">
        <f t="shared" ca="1" si="10"/>
        <v>EVT-2026-0703</v>
      </c>
      <c r="B705" s="27">
        <v>2026</v>
      </c>
      <c r="C705" s="27" t="s">
        <v>98</v>
      </c>
      <c r="D705" s="30">
        <v>46170</v>
      </c>
      <c r="E705" s="27" t="s">
        <v>216</v>
      </c>
      <c r="F705" s="27" t="s">
        <v>126</v>
      </c>
      <c r="G705" s="27" t="s">
        <v>125</v>
      </c>
      <c r="H705" s="27" t="s">
        <v>228</v>
      </c>
      <c r="I705" s="27" t="s">
        <v>658</v>
      </c>
      <c r="J705" s="27" t="s">
        <v>152</v>
      </c>
      <c r="K705" s="10">
        <v>50</v>
      </c>
      <c r="L705" s="36" t="s">
        <v>263</v>
      </c>
      <c r="M705" s="37" t="s">
        <v>359</v>
      </c>
      <c r="N705" s="37" t="s">
        <v>290</v>
      </c>
      <c r="O705" s="27" t="s">
        <v>1162</v>
      </c>
      <c r="P705" s="27"/>
      <c r="Q705" s="27" t="s">
        <v>1163</v>
      </c>
      <c r="R705" s="27"/>
      <c r="S705" s="1" t="s">
        <v>264</v>
      </c>
      <c r="T705" s="29" t="s">
        <v>265</v>
      </c>
      <c r="U705" s="27"/>
      <c r="V705" s="27" t="s">
        <v>298</v>
      </c>
      <c r="W705" s="27"/>
    </row>
    <row r="706" spans="1:23" ht="24" customHeight="1">
      <c r="A706" s="27" t="str">
        <f t="shared" ca="1" si="10"/>
        <v>EVT-2026-0704</v>
      </c>
      <c r="B706" s="27">
        <v>2026</v>
      </c>
      <c r="C706" s="27" t="s">
        <v>98</v>
      </c>
      <c r="D706" s="30">
        <v>46170</v>
      </c>
      <c r="E706" s="27" t="s">
        <v>216</v>
      </c>
      <c r="F706" s="27" t="s">
        <v>126</v>
      </c>
      <c r="G706" s="27" t="s">
        <v>348</v>
      </c>
      <c r="H706" s="27" t="s">
        <v>208</v>
      </c>
      <c r="I706" s="27" t="s">
        <v>1164</v>
      </c>
      <c r="J706" s="27" t="s">
        <v>127</v>
      </c>
      <c r="K706" s="10">
        <v>60</v>
      </c>
      <c r="L706" s="36" t="s">
        <v>263</v>
      </c>
      <c r="M706" s="37" t="s">
        <v>338</v>
      </c>
      <c r="N706" s="37" t="s">
        <v>506</v>
      </c>
      <c r="O706" s="27"/>
      <c r="P706" s="27"/>
      <c r="Q706" s="27" t="s">
        <v>507</v>
      </c>
      <c r="R706" s="27"/>
      <c r="S706" s="1" t="s">
        <v>264</v>
      </c>
      <c r="T706" s="29" t="s">
        <v>265</v>
      </c>
      <c r="U706" s="30">
        <v>46128</v>
      </c>
      <c r="V706" s="27" t="s">
        <v>298</v>
      </c>
      <c r="W706" s="27"/>
    </row>
    <row r="707" spans="1:23" ht="24" customHeight="1">
      <c r="A707" s="27" t="str">
        <f t="shared" ref="A707:A770" ca="1" si="11">IF(OR(D707&lt;&gt;"",H707&lt;&gt;"",I707&lt;&gt;"",Q707&lt;&gt;"",S707&lt;&gt;""), "EVT-" &amp; TEXT(B707, "0000") &amp; "-" &amp; TEXT(COUNTIF(OFFSET($A$1, 1, 0, ROW()-2, 1), "EVT*") + 1, "0000"), "")</f>
        <v>EVT-2026-0705</v>
      </c>
      <c r="B707" s="27">
        <v>2026</v>
      </c>
      <c r="C707" s="27" t="s">
        <v>98</v>
      </c>
      <c r="D707" s="30">
        <v>46170</v>
      </c>
      <c r="E707" s="27" t="s">
        <v>216</v>
      </c>
      <c r="F707" s="27" t="s">
        <v>126</v>
      </c>
      <c r="G707" s="27" t="s">
        <v>348</v>
      </c>
      <c r="H707" s="27" t="s">
        <v>208</v>
      </c>
      <c r="I707" s="27" t="s">
        <v>1144</v>
      </c>
      <c r="J707" s="27" t="s">
        <v>177</v>
      </c>
      <c r="K707" s="10">
        <v>35</v>
      </c>
      <c r="L707" s="36" t="s">
        <v>263</v>
      </c>
      <c r="M707" s="37" t="s">
        <v>330</v>
      </c>
      <c r="N707" s="37" t="s">
        <v>275</v>
      </c>
      <c r="O707" s="27"/>
      <c r="P707" s="27"/>
      <c r="Q707" s="27" t="s">
        <v>865</v>
      </c>
      <c r="R707" s="27"/>
      <c r="S707" s="1" t="s">
        <v>264</v>
      </c>
      <c r="T707" s="29" t="s">
        <v>265</v>
      </c>
      <c r="U707" s="27"/>
      <c r="V707" s="27" t="s">
        <v>298</v>
      </c>
      <c r="W707" s="27"/>
    </row>
    <row r="708" spans="1:23" ht="24" customHeight="1">
      <c r="A708" s="27" t="str">
        <f t="shared" ca="1" si="11"/>
        <v>EVT-2026-0706</v>
      </c>
      <c r="B708" s="27">
        <v>2026</v>
      </c>
      <c r="C708" s="27" t="s">
        <v>98</v>
      </c>
      <c r="D708" s="30">
        <v>46170</v>
      </c>
      <c r="E708" s="27" t="s">
        <v>216</v>
      </c>
      <c r="F708" s="27" t="s">
        <v>126</v>
      </c>
      <c r="G708" s="27" t="s">
        <v>348</v>
      </c>
      <c r="H708" s="27" t="s">
        <v>208</v>
      </c>
      <c r="I708" s="27" t="s">
        <v>349</v>
      </c>
      <c r="J708" s="27" t="s">
        <v>145</v>
      </c>
      <c r="K708" s="10">
        <v>50</v>
      </c>
      <c r="L708" s="36" t="s">
        <v>263</v>
      </c>
      <c r="M708" s="37" t="s">
        <v>350</v>
      </c>
      <c r="N708" s="37" t="s">
        <v>296</v>
      </c>
      <c r="O708" s="27"/>
      <c r="P708" s="27"/>
      <c r="Q708" s="27" t="s">
        <v>1080</v>
      </c>
      <c r="R708" s="27"/>
      <c r="S708" s="1" t="s">
        <v>264</v>
      </c>
      <c r="T708" s="29" t="s">
        <v>265</v>
      </c>
      <c r="U708" s="30">
        <v>46008</v>
      </c>
      <c r="V708" s="27" t="s">
        <v>303</v>
      </c>
      <c r="W708" s="27"/>
    </row>
    <row r="709" spans="1:23" ht="24" customHeight="1">
      <c r="A709" s="27" t="str">
        <f t="shared" ca="1" si="11"/>
        <v>EVT-2026-0707</v>
      </c>
      <c r="B709" s="27">
        <v>2026</v>
      </c>
      <c r="C709" s="27" t="s">
        <v>98</v>
      </c>
      <c r="D709" s="30">
        <v>46171</v>
      </c>
      <c r="E709" s="27" t="s">
        <v>220</v>
      </c>
      <c r="F709" s="27" t="s">
        <v>126</v>
      </c>
      <c r="G709" s="27" t="s">
        <v>348</v>
      </c>
      <c r="H709" s="27" t="s">
        <v>208</v>
      </c>
      <c r="I709" s="27" t="s">
        <v>1165</v>
      </c>
      <c r="J709" s="27" t="s">
        <v>177</v>
      </c>
      <c r="K709" s="10">
        <v>100</v>
      </c>
      <c r="L709" s="38" t="s">
        <v>294</v>
      </c>
      <c r="M709" s="37" t="s">
        <v>275</v>
      </c>
      <c r="N709" s="37" t="s">
        <v>289</v>
      </c>
      <c r="O709" s="27"/>
      <c r="P709" s="27"/>
      <c r="Q709" s="27" t="s">
        <v>916</v>
      </c>
      <c r="R709" s="27"/>
      <c r="S709" s="1" t="s">
        <v>264</v>
      </c>
      <c r="T709" s="29" t="s">
        <v>265</v>
      </c>
      <c r="U709" s="27"/>
      <c r="V709" s="27" t="s">
        <v>1166</v>
      </c>
      <c r="W709" s="27"/>
    </row>
    <row r="710" spans="1:23" ht="24" customHeight="1">
      <c r="A710" s="27" t="str">
        <f t="shared" ca="1" si="11"/>
        <v>EVT-2026-0708</v>
      </c>
      <c r="B710" s="27">
        <v>2026</v>
      </c>
      <c r="C710" s="27" t="s">
        <v>98</v>
      </c>
      <c r="D710" s="30">
        <v>46171</v>
      </c>
      <c r="E710" s="27" t="s">
        <v>220</v>
      </c>
      <c r="F710" s="27" t="s">
        <v>126</v>
      </c>
      <c r="G710" s="27" t="s">
        <v>125</v>
      </c>
      <c r="H710" s="27" t="s">
        <v>228</v>
      </c>
      <c r="I710" s="27" t="s">
        <v>125</v>
      </c>
      <c r="J710" s="27" t="s">
        <v>177</v>
      </c>
      <c r="K710" s="10">
        <v>40</v>
      </c>
      <c r="L710" s="36" t="s">
        <v>263</v>
      </c>
      <c r="M710" s="37" t="s">
        <v>274</v>
      </c>
      <c r="N710" s="37" t="s">
        <v>330</v>
      </c>
      <c r="O710" s="27"/>
      <c r="P710" s="27"/>
      <c r="Q710" s="27" t="s">
        <v>379</v>
      </c>
      <c r="R710" s="27"/>
      <c r="S710" s="1" t="s">
        <v>264</v>
      </c>
      <c r="T710" s="29" t="s">
        <v>265</v>
      </c>
      <c r="U710" s="30">
        <v>46156</v>
      </c>
      <c r="V710" s="27" t="s">
        <v>298</v>
      </c>
      <c r="W710" s="27"/>
    </row>
    <row r="711" spans="1:23" ht="24" customHeight="1">
      <c r="A711" s="27" t="str">
        <f t="shared" ca="1" si="11"/>
        <v>EVT-2026-0709</v>
      </c>
      <c r="B711" s="27">
        <v>2026</v>
      </c>
      <c r="C711" s="27" t="s">
        <v>98</v>
      </c>
      <c r="D711" s="30">
        <v>46171</v>
      </c>
      <c r="E711" s="27" t="s">
        <v>220</v>
      </c>
      <c r="F711" s="27" t="s">
        <v>126</v>
      </c>
      <c r="G711" s="27" t="s">
        <v>125</v>
      </c>
      <c r="H711" s="27" t="s">
        <v>228</v>
      </c>
      <c r="I711" s="27" t="s">
        <v>1167</v>
      </c>
      <c r="J711" s="27" t="s">
        <v>177</v>
      </c>
      <c r="K711" s="10">
        <v>35</v>
      </c>
      <c r="L711" s="36" t="s">
        <v>263</v>
      </c>
      <c r="M711" s="37" t="s">
        <v>331</v>
      </c>
      <c r="N711" s="37" t="s">
        <v>1168</v>
      </c>
      <c r="O711" s="27" t="s">
        <v>1169</v>
      </c>
      <c r="P711" s="27"/>
      <c r="Q711" s="27" t="s">
        <v>1170</v>
      </c>
      <c r="R711" s="27"/>
      <c r="S711" s="1" t="s">
        <v>264</v>
      </c>
      <c r="T711" s="29" t="s">
        <v>265</v>
      </c>
      <c r="U711" s="27"/>
      <c r="V711" s="27" t="s">
        <v>307</v>
      </c>
      <c r="W711" s="27"/>
    </row>
    <row r="712" spans="1:23" ht="24" customHeight="1">
      <c r="A712" s="27" t="str">
        <f t="shared" ca="1" si="11"/>
        <v>EVT-2026-0710</v>
      </c>
      <c r="B712" s="27">
        <v>2026</v>
      </c>
      <c r="C712" s="27" t="s">
        <v>98</v>
      </c>
      <c r="D712" s="30">
        <v>46171</v>
      </c>
      <c r="E712" s="27" t="s">
        <v>220</v>
      </c>
      <c r="F712" s="27" t="s">
        <v>126</v>
      </c>
      <c r="G712" s="27" t="s">
        <v>239</v>
      </c>
      <c r="H712" s="27" t="s">
        <v>202</v>
      </c>
      <c r="I712" s="27"/>
      <c r="J712" s="27" t="s">
        <v>177</v>
      </c>
      <c r="K712" s="10">
        <v>0</v>
      </c>
      <c r="L712" s="36" t="s">
        <v>263</v>
      </c>
      <c r="M712" s="37"/>
      <c r="N712" s="37"/>
      <c r="O712" s="27"/>
      <c r="P712" s="27"/>
      <c r="Q712" s="27"/>
      <c r="R712" s="27"/>
      <c r="S712" s="1" t="s">
        <v>264</v>
      </c>
      <c r="T712" s="29" t="s">
        <v>265</v>
      </c>
      <c r="U712" s="27"/>
      <c r="V712" s="27"/>
      <c r="W712" s="27"/>
    </row>
    <row r="713" spans="1:23" ht="24" customHeight="1">
      <c r="A713" s="27" t="str">
        <f t="shared" ca="1" si="11"/>
        <v>EVT-2026-0711</v>
      </c>
      <c r="B713" s="27">
        <v>2026</v>
      </c>
      <c r="C713" s="27" t="s">
        <v>98</v>
      </c>
      <c r="D713" s="30">
        <v>46171</v>
      </c>
      <c r="E713" s="27" t="s">
        <v>220</v>
      </c>
      <c r="F713" s="27" t="s">
        <v>126</v>
      </c>
      <c r="G713" s="27" t="s">
        <v>348</v>
      </c>
      <c r="H713" s="27" t="s">
        <v>208</v>
      </c>
      <c r="I713" s="27" t="s">
        <v>1171</v>
      </c>
      <c r="J713" s="27" t="s">
        <v>177</v>
      </c>
      <c r="K713" s="10">
        <v>0</v>
      </c>
      <c r="L713" s="36" t="s">
        <v>263</v>
      </c>
      <c r="M713" s="37" t="s">
        <v>274</v>
      </c>
      <c r="N713" s="37" t="s">
        <v>331</v>
      </c>
      <c r="O713" s="27"/>
      <c r="P713" s="27"/>
      <c r="Q713" s="27" t="s">
        <v>1172</v>
      </c>
      <c r="R713" s="27"/>
      <c r="S713" s="1" t="s">
        <v>264</v>
      </c>
      <c r="T713" s="29" t="s">
        <v>265</v>
      </c>
      <c r="U713" s="27"/>
      <c r="V713" s="27" t="s">
        <v>1173</v>
      </c>
      <c r="W713" s="27"/>
    </row>
    <row r="714" spans="1:23" ht="24" customHeight="1">
      <c r="A714" s="27" t="str">
        <f t="shared" ca="1" si="11"/>
        <v>EVT-2026-0712</v>
      </c>
      <c r="B714" s="27">
        <v>2026</v>
      </c>
      <c r="C714" s="27" t="s">
        <v>98</v>
      </c>
      <c r="D714" s="30">
        <v>46172</v>
      </c>
      <c r="E714" s="27" t="s">
        <v>266</v>
      </c>
      <c r="F714" s="27" t="s">
        <v>126</v>
      </c>
      <c r="G714" s="27"/>
      <c r="H714" s="27"/>
      <c r="I714" s="27"/>
      <c r="J714" s="27" t="s">
        <v>177</v>
      </c>
      <c r="K714" s="10">
        <v>0</v>
      </c>
      <c r="L714" s="36" t="s">
        <v>263</v>
      </c>
      <c r="M714" s="37"/>
      <c r="N714" s="37"/>
      <c r="O714" s="27"/>
      <c r="P714" s="27"/>
      <c r="Q714" s="27"/>
      <c r="R714" s="27"/>
      <c r="S714" s="1" t="s">
        <v>264</v>
      </c>
      <c r="T714" s="29" t="s">
        <v>265</v>
      </c>
      <c r="U714" s="27"/>
      <c r="V714" s="27"/>
      <c r="W714" s="27"/>
    </row>
    <row r="715" spans="1:23" ht="24" customHeight="1">
      <c r="A715" s="27" t="str">
        <f t="shared" ca="1" si="11"/>
        <v>EVT-2026-0713</v>
      </c>
      <c r="B715" s="27">
        <v>2026</v>
      </c>
      <c r="C715" s="27" t="s">
        <v>98</v>
      </c>
      <c r="D715" s="30">
        <v>46173</v>
      </c>
      <c r="E715" s="27" t="s">
        <v>267</v>
      </c>
      <c r="F715" s="27" t="s">
        <v>126</v>
      </c>
      <c r="G715" s="27"/>
      <c r="H715" s="27"/>
      <c r="I715" s="27"/>
      <c r="J715" s="27" t="s">
        <v>177</v>
      </c>
      <c r="K715" s="10">
        <v>0</v>
      </c>
      <c r="L715" s="36" t="s">
        <v>263</v>
      </c>
      <c r="M715" s="37"/>
      <c r="N715" s="37"/>
      <c r="O715" s="27"/>
      <c r="P715" s="27"/>
      <c r="Q715" s="27"/>
      <c r="R715" s="27"/>
      <c r="S715" s="1" t="s">
        <v>264</v>
      </c>
      <c r="T715" s="29" t="s">
        <v>265</v>
      </c>
      <c r="U715" s="27"/>
      <c r="V715" s="27"/>
      <c r="W715" s="27"/>
    </row>
    <row r="716" spans="1:23" ht="24" customHeight="1">
      <c r="A716" s="27" t="str">
        <f t="shared" ca="1" si="11"/>
        <v>EVT-2026-0714</v>
      </c>
      <c r="B716" s="27">
        <v>2026</v>
      </c>
      <c r="C716" s="27" t="s">
        <v>98</v>
      </c>
      <c r="D716" s="30">
        <v>46173</v>
      </c>
      <c r="E716" s="27" t="s">
        <v>267</v>
      </c>
      <c r="F716" s="27" t="s">
        <v>126</v>
      </c>
      <c r="G716" s="27"/>
      <c r="H716" s="27"/>
      <c r="I716" s="27" t="s">
        <v>1174</v>
      </c>
      <c r="J716" s="27" t="s">
        <v>177</v>
      </c>
      <c r="K716" s="10">
        <v>3</v>
      </c>
      <c r="L716" s="36" t="s">
        <v>263</v>
      </c>
      <c r="M716" s="37"/>
      <c r="N716" s="37"/>
      <c r="O716" s="27"/>
      <c r="P716" s="27"/>
      <c r="Q716" s="27"/>
      <c r="R716" s="27"/>
      <c r="S716" s="1" t="s">
        <v>264</v>
      </c>
      <c r="T716" s="29" t="s">
        <v>265</v>
      </c>
      <c r="U716" s="27"/>
      <c r="V716" s="27"/>
      <c r="W716" s="27"/>
    </row>
    <row r="717" spans="1:23" ht="24" customHeight="1">
      <c r="A717" s="27" t="str">
        <f t="shared" ca="1" si="11"/>
        <v>EVT-2026-0715</v>
      </c>
      <c r="B717" s="27">
        <v>2026</v>
      </c>
      <c r="C717" s="27" t="s">
        <v>102</v>
      </c>
      <c r="D717" s="30">
        <v>46174</v>
      </c>
      <c r="E717" s="27" t="s">
        <v>224</v>
      </c>
      <c r="F717" s="27" t="s">
        <v>164</v>
      </c>
      <c r="G717" s="27" t="s">
        <v>202</v>
      </c>
      <c r="H717" s="27" t="s">
        <v>1175</v>
      </c>
      <c r="I717" s="27" t="s">
        <v>236</v>
      </c>
      <c r="J717" s="27" t="s">
        <v>139</v>
      </c>
      <c r="K717" s="10">
        <v>45</v>
      </c>
      <c r="L717" s="36" t="s">
        <v>263</v>
      </c>
      <c r="M717" s="37" t="s">
        <v>269</v>
      </c>
      <c r="N717" s="37" t="s">
        <v>270</v>
      </c>
      <c r="O717" s="27"/>
      <c r="P717" s="27"/>
      <c r="Q717" s="27" t="s">
        <v>237</v>
      </c>
      <c r="R717" s="27"/>
      <c r="S717" s="1" t="s">
        <v>264</v>
      </c>
      <c r="T717" s="29" t="s">
        <v>265</v>
      </c>
      <c r="U717" s="27"/>
      <c r="V717" s="27" t="s">
        <v>298</v>
      </c>
      <c r="W717" s="27"/>
    </row>
    <row r="718" spans="1:23" ht="24" customHeight="1">
      <c r="A718" s="27" t="str">
        <f t="shared" ca="1" si="11"/>
        <v>EVT-2026-0716</v>
      </c>
      <c r="B718" s="27">
        <v>2026</v>
      </c>
      <c r="C718" s="27" t="s">
        <v>102</v>
      </c>
      <c r="D718" s="30">
        <v>46175</v>
      </c>
      <c r="E718" s="27" t="s">
        <v>227</v>
      </c>
      <c r="F718" s="27" t="s">
        <v>164</v>
      </c>
      <c r="G718" s="27" t="s">
        <v>262</v>
      </c>
      <c r="H718" s="27" t="s">
        <v>937</v>
      </c>
      <c r="I718" s="27" t="s">
        <v>1167</v>
      </c>
      <c r="J718" s="27" t="s">
        <v>177</v>
      </c>
      <c r="K718" s="10">
        <v>30</v>
      </c>
      <c r="L718" s="36" t="s">
        <v>263</v>
      </c>
      <c r="M718" s="37" t="s">
        <v>295</v>
      </c>
      <c r="N718" s="37" t="s">
        <v>359</v>
      </c>
      <c r="O718" s="27" t="s">
        <v>531</v>
      </c>
      <c r="P718" s="27" t="s">
        <v>531</v>
      </c>
      <c r="Q718" s="27" t="s">
        <v>1176</v>
      </c>
      <c r="R718" s="27"/>
      <c r="S718" s="1" t="s">
        <v>264</v>
      </c>
      <c r="T718" s="29" t="s">
        <v>265</v>
      </c>
      <c r="U718" s="30">
        <v>46171</v>
      </c>
      <c r="V718" s="27" t="s">
        <v>1177</v>
      </c>
      <c r="W718" s="27"/>
    </row>
    <row r="719" spans="1:23" ht="24" customHeight="1">
      <c r="A719" s="27" t="str">
        <f t="shared" ca="1" si="11"/>
        <v>EVT-2026-0717</v>
      </c>
      <c r="B719" s="27">
        <v>2026</v>
      </c>
      <c r="C719" s="27" t="s">
        <v>102</v>
      </c>
      <c r="D719" s="30">
        <v>46175</v>
      </c>
      <c r="E719" s="27" t="s">
        <v>227</v>
      </c>
      <c r="F719" s="27" t="s">
        <v>164</v>
      </c>
      <c r="G719" s="27" t="s">
        <v>262</v>
      </c>
      <c r="H719" s="27" t="s">
        <v>1178</v>
      </c>
      <c r="I719" s="27"/>
      <c r="J719" s="27" t="s">
        <v>177</v>
      </c>
      <c r="K719" s="10">
        <v>0</v>
      </c>
      <c r="L719" s="36" t="s">
        <v>263</v>
      </c>
      <c r="M719" s="37"/>
      <c r="N719" s="37"/>
      <c r="O719" s="27"/>
      <c r="P719" s="27"/>
      <c r="Q719" s="27"/>
      <c r="R719" s="27"/>
      <c r="S719" s="1" t="s">
        <v>264</v>
      </c>
      <c r="T719" s="29" t="s">
        <v>265</v>
      </c>
      <c r="U719" s="27"/>
      <c r="V719" s="27"/>
      <c r="W719" s="27"/>
    </row>
    <row r="720" spans="1:23" ht="24" customHeight="1">
      <c r="A720" s="27" t="str">
        <f t="shared" ca="1" si="11"/>
        <v>EVT-2026-0718</v>
      </c>
      <c r="B720" s="27">
        <v>2026</v>
      </c>
      <c r="C720" s="27" t="s">
        <v>102</v>
      </c>
      <c r="D720" s="30">
        <v>46177</v>
      </c>
      <c r="E720" s="27" t="s">
        <v>216</v>
      </c>
      <c r="F720" s="27" t="s">
        <v>164</v>
      </c>
      <c r="G720" s="27" t="s">
        <v>262</v>
      </c>
      <c r="H720" s="27" t="s">
        <v>171</v>
      </c>
      <c r="I720" s="27" t="s">
        <v>1179</v>
      </c>
      <c r="J720" s="27" t="s">
        <v>165</v>
      </c>
      <c r="K720" s="10">
        <v>30</v>
      </c>
      <c r="L720" s="36" t="s">
        <v>263</v>
      </c>
      <c r="M720" s="37" t="s">
        <v>295</v>
      </c>
      <c r="N720" s="37" t="s">
        <v>270</v>
      </c>
      <c r="O720" s="27"/>
      <c r="P720" s="27"/>
      <c r="Q720" s="27" t="s">
        <v>237</v>
      </c>
      <c r="R720" s="27"/>
      <c r="S720" s="1" t="s">
        <v>264</v>
      </c>
      <c r="T720" s="29" t="s">
        <v>265</v>
      </c>
      <c r="U720" s="27"/>
      <c r="V720" s="27" t="s">
        <v>1180</v>
      </c>
      <c r="W720" s="27"/>
    </row>
    <row r="721" spans="1:23" ht="24" customHeight="1">
      <c r="A721" s="27" t="str">
        <f t="shared" ca="1" si="11"/>
        <v>EVT-2026-0719</v>
      </c>
      <c r="B721" s="27">
        <v>2026</v>
      </c>
      <c r="C721" s="27" t="s">
        <v>102</v>
      </c>
      <c r="D721" s="30">
        <v>46179</v>
      </c>
      <c r="E721" s="27" t="s">
        <v>266</v>
      </c>
      <c r="F721" s="27" t="s">
        <v>164</v>
      </c>
      <c r="G721" s="27" t="s">
        <v>262</v>
      </c>
      <c r="H721" s="27" t="s">
        <v>300</v>
      </c>
      <c r="I721" s="27" t="s">
        <v>300</v>
      </c>
      <c r="J721" s="27" t="s">
        <v>145</v>
      </c>
      <c r="K721" s="10">
        <v>70</v>
      </c>
      <c r="L721" s="36" t="s">
        <v>263</v>
      </c>
      <c r="M721" s="37" t="s">
        <v>269</v>
      </c>
      <c r="N721" s="37" t="s">
        <v>270</v>
      </c>
      <c r="O721" s="27"/>
      <c r="P721" s="27"/>
      <c r="Q721" s="27" t="s">
        <v>1025</v>
      </c>
      <c r="R721" s="27"/>
      <c r="S721" s="3" t="s">
        <v>312</v>
      </c>
      <c r="T721" s="29" t="s">
        <v>265</v>
      </c>
      <c r="U721" s="27"/>
      <c r="V721" s="27" t="s">
        <v>1181</v>
      </c>
      <c r="W721" s="27"/>
    </row>
    <row r="722" spans="1:23" ht="24" customHeight="1">
      <c r="A722" s="27" t="str">
        <f t="shared" ca="1" si="11"/>
        <v>EVT-2026-0720</v>
      </c>
      <c r="B722" s="27">
        <v>2026</v>
      </c>
      <c r="C722" s="27" t="s">
        <v>102</v>
      </c>
      <c r="D722" s="30">
        <v>46180</v>
      </c>
      <c r="E722" s="27" t="s">
        <v>267</v>
      </c>
      <c r="F722" s="27" t="s">
        <v>164</v>
      </c>
      <c r="G722" s="27" t="s">
        <v>262</v>
      </c>
      <c r="H722" s="27"/>
      <c r="I722" s="27"/>
      <c r="J722" s="27" t="s">
        <v>177</v>
      </c>
      <c r="K722" s="10">
        <v>0</v>
      </c>
      <c r="L722" s="36" t="s">
        <v>263</v>
      </c>
      <c r="M722" s="37"/>
      <c r="N722" s="37"/>
      <c r="O722" s="27"/>
      <c r="P722" s="27"/>
      <c r="Q722" s="27"/>
      <c r="R722" s="27"/>
      <c r="S722" s="1" t="s">
        <v>264</v>
      </c>
      <c r="T722" s="29" t="s">
        <v>265</v>
      </c>
      <c r="U722" s="27"/>
      <c r="V722" s="27"/>
      <c r="W722" s="27"/>
    </row>
    <row r="723" spans="1:23" ht="24" customHeight="1">
      <c r="A723" s="27" t="str">
        <f t="shared" ca="1" si="11"/>
        <v>EVT-2026-0721</v>
      </c>
      <c r="B723" s="27">
        <v>2026</v>
      </c>
      <c r="C723" s="27" t="s">
        <v>102</v>
      </c>
      <c r="D723" s="30">
        <v>46181</v>
      </c>
      <c r="E723" s="27" t="s">
        <v>224</v>
      </c>
      <c r="F723" s="27" t="s">
        <v>164</v>
      </c>
      <c r="G723" s="27" t="s">
        <v>228</v>
      </c>
      <c r="H723" s="27" t="s">
        <v>1182</v>
      </c>
      <c r="I723" s="27" t="s">
        <v>1183</v>
      </c>
      <c r="J723" s="27" t="s">
        <v>158</v>
      </c>
      <c r="K723" s="10">
        <v>25</v>
      </c>
      <c r="L723" s="36" t="s">
        <v>263</v>
      </c>
      <c r="M723" s="37" t="s">
        <v>354</v>
      </c>
      <c r="N723" s="37" t="s">
        <v>275</v>
      </c>
      <c r="O723" s="27" t="s">
        <v>531</v>
      </c>
      <c r="P723" s="27" t="s">
        <v>531</v>
      </c>
      <c r="Q723" s="27" t="s">
        <v>1184</v>
      </c>
      <c r="R723" s="27"/>
      <c r="S723" s="1" t="s">
        <v>264</v>
      </c>
      <c r="T723" s="29" t="s">
        <v>265</v>
      </c>
      <c r="U723" s="27"/>
      <c r="V723" s="27" t="s">
        <v>1185</v>
      </c>
      <c r="W723" s="27"/>
    </row>
    <row r="724" spans="1:23" ht="24" customHeight="1">
      <c r="A724" s="27" t="str">
        <f t="shared" ca="1" si="11"/>
        <v>EVT-2026-0722</v>
      </c>
      <c r="B724" s="27">
        <v>2026</v>
      </c>
      <c r="C724" s="27" t="s">
        <v>102</v>
      </c>
      <c r="D724" s="30">
        <v>46181</v>
      </c>
      <c r="E724" s="27" t="s">
        <v>224</v>
      </c>
      <c r="F724" s="27" t="s">
        <v>164</v>
      </c>
      <c r="G724" s="27" t="s">
        <v>202</v>
      </c>
      <c r="H724" s="27" t="s">
        <v>1186</v>
      </c>
      <c r="I724" s="27" t="s">
        <v>1187</v>
      </c>
      <c r="J724" s="27" t="s">
        <v>139</v>
      </c>
      <c r="K724" s="10">
        <v>31</v>
      </c>
      <c r="L724" s="36" t="s">
        <v>263</v>
      </c>
      <c r="M724" s="37" t="s">
        <v>269</v>
      </c>
      <c r="N724" s="37" t="s">
        <v>270</v>
      </c>
      <c r="O724" s="27" t="s">
        <v>531</v>
      </c>
      <c r="P724" s="27" t="s">
        <v>531</v>
      </c>
      <c r="Q724" s="27" t="s">
        <v>237</v>
      </c>
      <c r="R724" s="27"/>
      <c r="S724" s="1" t="s">
        <v>264</v>
      </c>
      <c r="T724" s="29" t="s">
        <v>265</v>
      </c>
      <c r="U724" s="27"/>
      <c r="V724" s="27" t="s">
        <v>1185</v>
      </c>
      <c r="W724" s="27"/>
    </row>
    <row r="725" spans="1:23" ht="24" customHeight="1">
      <c r="A725" s="27" t="str">
        <f t="shared" ca="1" si="11"/>
        <v>EVT-2026-0723</v>
      </c>
      <c r="B725" s="27">
        <v>2026</v>
      </c>
      <c r="C725" s="27" t="s">
        <v>102</v>
      </c>
      <c r="D725" s="30">
        <v>46182</v>
      </c>
      <c r="E725" s="27" t="s">
        <v>227</v>
      </c>
      <c r="F725" s="27" t="s">
        <v>164</v>
      </c>
      <c r="G725" s="27" t="s">
        <v>262</v>
      </c>
      <c r="H725" s="27" t="s">
        <v>171</v>
      </c>
      <c r="I725" s="27" t="s">
        <v>895</v>
      </c>
      <c r="J725" s="27" t="s">
        <v>158</v>
      </c>
      <c r="K725" s="10">
        <v>60</v>
      </c>
      <c r="L725" s="36" t="s">
        <v>263</v>
      </c>
      <c r="M725" s="37" t="s">
        <v>896</v>
      </c>
      <c r="N725" s="37" t="s">
        <v>981</v>
      </c>
      <c r="O725" s="27"/>
      <c r="P725" s="27"/>
      <c r="Q725" s="27" t="s">
        <v>785</v>
      </c>
      <c r="R725" s="27"/>
      <c r="S725" s="1" t="s">
        <v>264</v>
      </c>
      <c r="T725" s="29" t="s">
        <v>265</v>
      </c>
      <c r="U725" s="27"/>
      <c r="V725" s="27"/>
      <c r="W725" s="27"/>
    </row>
    <row r="726" spans="1:23" ht="24" customHeight="1">
      <c r="A726" s="27" t="str">
        <f t="shared" ca="1" si="11"/>
        <v>EVT-2026-0724</v>
      </c>
      <c r="B726" s="27">
        <v>2026</v>
      </c>
      <c r="C726" s="27" t="s">
        <v>102</v>
      </c>
      <c r="D726" s="30">
        <v>46183</v>
      </c>
      <c r="E726" s="27" t="s">
        <v>201</v>
      </c>
      <c r="F726" s="27" t="s">
        <v>164</v>
      </c>
      <c r="G726" s="27" t="s">
        <v>228</v>
      </c>
      <c r="H726" s="27" t="s">
        <v>1188</v>
      </c>
      <c r="I726" s="27" t="s">
        <v>1118</v>
      </c>
      <c r="J726" s="27" t="s">
        <v>177</v>
      </c>
      <c r="K726" s="10">
        <v>30</v>
      </c>
      <c r="L726" s="36" t="s">
        <v>263</v>
      </c>
      <c r="M726" s="37" t="s">
        <v>330</v>
      </c>
      <c r="N726" s="37" t="s">
        <v>275</v>
      </c>
      <c r="O726" s="27"/>
      <c r="P726" s="27" t="s">
        <v>1189</v>
      </c>
      <c r="Q726" s="27" t="s">
        <v>237</v>
      </c>
      <c r="R726" s="27"/>
      <c r="S726" s="1" t="s">
        <v>264</v>
      </c>
      <c r="T726" s="29" t="s">
        <v>265</v>
      </c>
      <c r="U726" s="27"/>
      <c r="V726" s="27" t="s">
        <v>1190</v>
      </c>
      <c r="W726" s="27"/>
    </row>
    <row r="727" spans="1:23" ht="24" customHeight="1">
      <c r="A727" s="27" t="str">
        <f t="shared" ca="1" si="11"/>
        <v>EVT-2026-0725</v>
      </c>
      <c r="B727" s="27">
        <v>2026</v>
      </c>
      <c r="C727" s="27" t="s">
        <v>102</v>
      </c>
      <c r="D727" s="30">
        <v>46183</v>
      </c>
      <c r="E727" s="27" t="s">
        <v>201</v>
      </c>
      <c r="F727" s="27" t="s">
        <v>164</v>
      </c>
      <c r="G727" s="27" t="s">
        <v>262</v>
      </c>
      <c r="H727" s="27" t="s">
        <v>171</v>
      </c>
      <c r="I727" s="27" t="s">
        <v>1191</v>
      </c>
      <c r="J727" s="27" t="s">
        <v>177</v>
      </c>
      <c r="K727" s="10">
        <v>40</v>
      </c>
      <c r="L727" s="36" t="s">
        <v>263</v>
      </c>
      <c r="M727" s="37" t="s">
        <v>330</v>
      </c>
      <c r="N727" s="37" t="s">
        <v>309</v>
      </c>
      <c r="O727" s="27"/>
      <c r="P727" s="27"/>
      <c r="Q727" s="27" t="s">
        <v>1192</v>
      </c>
      <c r="R727" s="27"/>
      <c r="S727" s="1" t="s">
        <v>264</v>
      </c>
      <c r="T727" s="29" t="s">
        <v>265</v>
      </c>
      <c r="U727" s="27"/>
      <c r="V727" s="27" t="s">
        <v>1177</v>
      </c>
      <c r="W727" s="27"/>
    </row>
    <row r="728" spans="1:23" ht="24" customHeight="1">
      <c r="A728" s="27" t="str">
        <f t="shared" ca="1" si="11"/>
        <v>EVT-2026-0726</v>
      </c>
      <c r="B728" s="27">
        <v>2026</v>
      </c>
      <c r="C728" s="27" t="s">
        <v>102</v>
      </c>
      <c r="D728" s="30">
        <v>46183</v>
      </c>
      <c r="E728" s="27" t="s">
        <v>201</v>
      </c>
      <c r="F728" s="27" t="s">
        <v>164</v>
      </c>
      <c r="G728" s="27" t="s">
        <v>262</v>
      </c>
      <c r="H728" s="27" t="s">
        <v>937</v>
      </c>
      <c r="I728" s="27" t="s">
        <v>1193</v>
      </c>
      <c r="J728" s="27" t="s">
        <v>177</v>
      </c>
      <c r="K728" s="10">
        <v>60</v>
      </c>
      <c r="L728" s="36" t="s">
        <v>263</v>
      </c>
      <c r="M728" s="37" t="s">
        <v>289</v>
      </c>
      <c r="N728" s="37" t="s">
        <v>296</v>
      </c>
      <c r="O728" s="27"/>
      <c r="P728" s="27"/>
      <c r="Q728" s="27" t="s">
        <v>1194</v>
      </c>
      <c r="R728" s="27"/>
      <c r="S728" s="1" t="s">
        <v>264</v>
      </c>
      <c r="T728" s="29" t="s">
        <v>265</v>
      </c>
      <c r="U728" s="27"/>
      <c r="V728" s="27" t="s">
        <v>298</v>
      </c>
      <c r="W728" s="27"/>
    </row>
    <row r="729" spans="1:23" ht="24" customHeight="1">
      <c r="A729" s="27" t="str">
        <f t="shared" ca="1" si="11"/>
        <v>EVT-2026-0727</v>
      </c>
      <c r="B729" s="27">
        <v>2026</v>
      </c>
      <c r="C729" s="27" t="s">
        <v>102</v>
      </c>
      <c r="D729" s="30">
        <v>46183</v>
      </c>
      <c r="E729" s="27" t="s">
        <v>201</v>
      </c>
      <c r="F729" s="27" t="s">
        <v>164</v>
      </c>
      <c r="G729" s="27" t="s">
        <v>202</v>
      </c>
      <c r="H729" s="27" t="s">
        <v>1186</v>
      </c>
      <c r="I729" s="27" t="s">
        <v>1195</v>
      </c>
      <c r="J729" s="27" t="s">
        <v>127</v>
      </c>
      <c r="K729" s="10">
        <v>40</v>
      </c>
      <c r="L729" s="36" t="s">
        <v>263</v>
      </c>
      <c r="M729" s="37" t="s">
        <v>295</v>
      </c>
      <c r="N729" s="37" t="s">
        <v>296</v>
      </c>
      <c r="O729" s="27"/>
      <c r="P729" s="27"/>
      <c r="Q729" s="27" t="s">
        <v>1196</v>
      </c>
      <c r="R729" s="27"/>
      <c r="S729" s="1" t="s">
        <v>264</v>
      </c>
      <c r="T729" s="29" t="s">
        <v>265</v>
      </c>
      <c r="U729" s="27"/>
      <c r="V729" s="27" t="s">
        <v>1197</v>
      </c>
      <c r="W729" s="27"/>
    </row>
    <row r="730" spans="1:23" ht="24" customHeight="1">
      <c r="A730" s="27" t="str">
        <f t="shared" ca="1" si="11"/>
        <v>EVT-2026-0728</v>
      </c>
      <c r="B730" s="27">
        <v>2026</v>
      </c>
      <c r="C730" s="27" t="s">
        <v>102</v>
      </c>
      <c r="D730" s="30">
        <v>46184</v>
      </c>
      <c r="E730" s="27" t="s">
        <v>216</v>
      </c>
      <c r="F730" s="27" t="s">
        <v>164</v>
      </c>
      <c r="G730" s="27" t="s">
        <v>262</v>
      </c>
      <c r="H730" s="27" t="s">
        <v>171</v>
      </c>
      <c r="I730" s="27" t="s">
        <v>344</v>
      </c>
      <c r="J730" s="27" t="s">
        <v>134</v>
      </c>
      <c r="K730" s="10">
        <v>25</v>
      </c>
      <c r="L730" s="36" t="s">
        <v>263</v>
      </c>
      <c r="M730" s="37" t="s">
        <v>269</v>
      </c>
      <c r="N730" s="37" t="s">
        <v>270</v>
      </c>
      <c r="O730" s="27"/>
      <c r="P730" s="27"/>
      <c r="Q730" s="27" t="s">
        <v>1198</v>
      </c>
      <c r="R730" s="27"/>
      <c r="S730" s="1" t="s">
        <v>264</v>
      </c>
      <c r="T730" s="29" t="s">
        <v>265</v>
      </c>
      <c r="U730" s="27"/>
      <c r="V730" s="27" t="s">
        <v>1199</v>
      </c>
      <c r="W730" s="27"/>
    </row>
    <row r="731" spans="1:23" ht="24" customHeight="1">
      <c r="A731" s="27" t="str">
        <f t="shared" ca="1" si="11"/>
        <v>EVT-2026-0729</v>
      </c>
      <c r="B731" s="27">
        <v>2026</v>
      </c>
      <c r="C731" s="27" t="s">
        <v>102</v>
      </c>
      <c r="D731" s="30">
        <v>46185</v>
      </c>
      <c r="E731" s="27" t="s">
        <v>220</v>
      </c>
      <c r="F731" s="27" t="s">
        <v>164</v>
      </c>
      <c r="G731" s="27" t="s">
        <v>262</v>
      </c>
      <c r="H731" s="27" t="s">
        <v>171</v>
      </c>
      <c r="I731" s="27" t="s">
        <v>344</v>
      </c>
      <c r="J731" s="27" t="s">
        <v>134</v>
      </c>
      <c r="K731" s="10">
        <v>25</v>
      </c>
      <c r="L731" s="36" t="s">
        <v>263</v>
      </c>
      <c r="M731" s="37" t="s">
        <v>269</v>
      </c>
      <c r="N731" s="37" t="s">
        <v>270</v>
      </c>
      <c r="O731" s="27"/>
      <c r="P731" s="27"/>
      <c r="Q731" s="27" t="s">
        <v>1198</v>
      </c>
      <c r="R731" s="27"/>
      <c r="S731" s="1" t="s">
        <v>264</v>
      </c>
      <c r="T731" s="29" t="s">
        <v>265</v>
      </c>
      <c r="U731" s="27"/>
      <c r="V731" s="27" t="s">
        <v>1199</v>
      </c>
      <c r="W731" s="27"/>
    </row>
    <row r="732" spans="1:23" ht="24" customHeight="1">
      <c r="A732" s="27" t="str">
        <f t="shared" ca="1" si="11"/>
        <v>EVT-2026-0730</v>
      </c>
      <c r="B732" s="27">
        <v>2026</v>
      </c>
      <c r="C732" s="27" t="s">
        <v>102</v>
      </c>
      <c r="D732" s="30">
        <v>46186</v>
      </c>
      <c r="E732" s="27" t="s">
        <v>266</v>
      </c>
      <c r="F732" s="27" t="s">
        <v>164</v>
      </c>
      <c r="G732" s="27" t="s">
        <v>262</v>
      </c>
      <c r="H732" s="27"/>
      <c r="I732" s="27"/>
      <c r="J732" s="27" t="s">
        <v>177</v>
      </c>
      <c r="K732" s="10">
        <v>0</v>
      </c>
      <c r="L732" s="36" t="s">
        <v>263</v>
      </c>
      <c r="M732" s="37"/>
      <c r="N732" s="37"/>
      <c r="O732" s="27"/>
      <c r="P732" s="27"/>
      <c r="Q732" s="27"/>
      <c r="R732" s="27"/>
      <c r="S732" s="1" t="s">
        <v>264</v>
      </c>
      <c r="T732" s="29" t="s">
        <v>265</v>
      </c>
      <c r="U732" s="27"/>
      <c r="V732" s="27"/>
      <c r="W732" s="27"/>
    </row>
    <row r="733" spans="1:23" ht="24" customHeight="1">
      <c r="A733" s="27" t="str">
        <f t="shared" ca="1" si="11"/>
        <v>EVT-2026-0731</v>
      </c>
      <c r="B733" s="27">
        <v>2026</v>
      </c>
      <c r="C733" s="27" t="s">
        <v>102</v>
      </c>
      <c r="D733" s="30">
        <v>46187</v>
      </c>
      <c r="E733" s="27" t="s">
        <v>267</v>
      </c>
      <c r="F733" s="27" t="s">
        <v>164</v>
      </c>
      <c r="G733" s="27" t="s">
        <v>262</v>
      </c>
      <c r="H733" s="27"/>
      <c r="I733" s="27"/>
      <c r="J733" s="27" t="s">
        <v>177</v>
      </c>
      <c r="K733" s="10">
        <v>0</v>
      </c>
      <c r="L733" s="36" t="s">
        <v>263</v>
      </c>
      <c r="M733" s="37"/>
      <c r="N733" s="37"/>
      <c r="O733" s="27"/>
      <c r="P733" s="27"/>
      <c r="Q733" s="27"/>
      <c r="R733" s="27"/>
      <c r="S733" s="1" t="s">
        <v>264</v>
      </c>
      <c r="T733" s="29" t="s">
        <v>265</v>
      </c>
      <c r="U733" s="27"/>
      <c r="V733" s="27"/>
      <c r="W733" s="27"/>
    </row>
    <row r="734" spans="1:23" ht="24" customHeight="1">
      <c r="A734" s="27" t="str">
        <f t="shared" ca="1" si="11"/>
        <v>EVT-2026-0732</v>
      </c>
      <c r="B734" s="27">
        <v>2026</v>
      </c>
      <c r="C734" s="27" t="s">
        <v>102</v>
      </c>
      <c r="D734" s="30">
        <v>46188</v>
      </c>
      <c r="E734" s="27" t="s">
        <v>224</v>
      </c>
      <c r="F734" s="27" t="s">
        <v>164</v>
      </c>
      <c r="G734" s="27" t="s">
        <v>202</v>
      </c>
      <c r="H734" s="27" t="s">
        <v>1186</v>
      </c>
      <c r="I734" s="27" t="s">
        <v>236</v>
      </c>
      <c r="J734" s="27" t="s">
        <v>139</v>
      </c>
      <c r="K734" s="10">
        <v>40</v>
      </c>
      <c r="L734" s="36" t="s">
        <v>263</v>
      </c>
      <c r="M734" s="37" t="s">
        <v>269</v>
      </c>
      <c r="N734" s="37" t="s">
        <v>270</v>
      </c>
      <c r="O734" s="27"/>
      <c r="P734" s="27"/>
      <c r="Q734" s="27" t="s">
        <v>237</v>
      </c>
      <c r="R734" s="27"/>
      <c r="S734" s="1" t="s">
        <v>264</v>
      </c>
      <c r="T734" s="29" t="s">
        <v>265</v>
      </c>
      <c r="U734" s="27"/>
      <c r="V734" s="27" t="s">
        <v>1200</v>
      </c>
      <c r="W734" s="27"/>
    </row>
    <row r="735" spans="1:23" ht="24" customHeight="1">
      <c r="A735" s="27" t="str">
        <f t="shared" ca="1" si="11"/>
        <v>EVT-2026-0733</v>
      </c>
      <c r="B735" s="27">
        <v>2026</v>
      </c>
      <c r="C735" s="27" t="s">
        <v>102</v>
      </c>
      <c r="D735" s="30">
        <v>46188</v>
      </c>
      <c r="E735" s="27" t="s">
        <v>224</v>
      </c>
      <c r="F735" s="27" t="s">
        <v>164</v>
      </c>
      <c r="G735" s="27" t="s">
        <v>262</v>
      </c>
      <c r="H735" s="27" t="s">
        <v>937</v>
      </c>
      <c r="I735" s="27" t="s">
        <v>1187</v>
      </c>
      <c r="J735" s="27" t="s">
        <v>139</v>
      </c>
      <c r="K735" s="10">
        <v>24</v>
      </c>
      <c r="L735" s="36" t="s">
        <v>263</v>
      </c>
      <c r="M735" s="37" t="s">
        <v>269</v>
      </c>
      <c r="N735" s="37" t="s">
        <v>270</v>
      </c>
      <c r="O735" s="27" t="s">
        <v>531</v>
      </c>
      <c r="P735" s="27" t="s">
        <v>531</v>
      </c>
      <c r="Q735" s="27" t="s">
        <v>1201</v>
      </c>
      <c r="R735" s="27"/>
      <c r="S735" s="1" t="s">
        <v>264</v>
      </c>
      <c r="T735" s="29" t="s">
        <v>265</v>
      </c>
      <c r="U735" s="27"/>
      <c r="V735" s="27" t="s">
        <v>1200</v>
      </c>
      <c r="W735" s="27"/>
    </row>
    <row r="736" spans="1:23" ht="24" customHeight="1">
      <c r="A736" s="27" t="str">
        <f t="shared" ca="1" si="11"/>
        <v>EVT-2026-0734</v>
      </c>
      <c r="B736" s="27">
        <v>2026</v>
      </c>
      <c r="C736" s="27" t="s">
        <v>102</v>
      </c>
      <c r="D736" s="30">
        <v>46189</v>
      </c>
      <c r="E736" s="27" t="s">
        <v>227</v>
      </c>
      <c r="F736" s="27" t="s">
        <v>164</v>
      </c>
      <c r="G736" s="27" t="s">
        <v>262</v>
      </c>
      <c r="H736" s="27" t="s">
        <v>171</v>
      </c>
      <c r="I736" s="27" t="s">
        <v>1202</v>
      </c>
      <c r="J736" s="27" t="s">
        <v>152</v>
      </c>
      <c r="K736" s="10">
        <v>25</v>
      </c>
      <c r="L736" s="36" t="s">
        <v>263</v>
      </c>
      <c r="M736" s="37" t="s">
        <v>315</v>
      </c>
      <c r="N736" s="37" t="s">
        <v>354</v>
      </c>
      <c r="O736" s="27"/>
      <c r="P736" s="27"/>
      <c r="Q736" s="27" t="s">
        <v>1203</v>
      </c>
      <c r="R736" s="27"/>
      <c r="S736" s="1" t="s">
        <v>264</v>
      </c>
      <c r="T736" s="29" t="s">
        <v>265</v>
      </c>
      <c r="U736" s="27"/>
      <c r="V736" s="27" t="s">
        <v>1204</v>
      </c>
      <c r="W736" s="27"/>
    </row>
    <row r="737" spans="1:23" ht="24" customHeight="1">
      <c r="A737" s="27" t="str">
        <f t="shared" ca="1" si="11"/>
        <v>EVT-2026-0735</v>
      </c>
      <c r="B737" s="27">
        <v>2026</v>
      </c>
      <c r="C737" s="27" t="s">
        <v>102</v>
      </c>
      <c r="D737" s="30">
        <v>46189</v>
      </c>
      <c r="E737" s="27" t="s">
        <v>227</v>
      </c>
      <c r="F737" s="27" t="s">
        <v>164</v>
      </c>
      <c r="G737" s="27" t="s">
        <v>202</v>
      </c>
      <c r="H737" s="27" t="s">
        <v>1061</v>
      </c>
      <c r="I737" s="27" t="s">
        <v>1205</v>
      </c>
      <c r="J737" s="27" t="s">
        <v>177</v>
      </c>
      <c r="K737" s="10">
        <v>30</v>
      </c>
      <c r="L737" s="36" t="s">
        <v>263</v>
      </c>
      <c r="M737" s="37" t="s">
        <v>330</v>
      </c>
      <c r="N737" s="37" t="s">
        <v>275</v>
      </c>
      <c r="O737" s="27"/>
      <c r="P737" s="27"/>
      <c r="Q737" s="27" t="s">
        <v>237</v>
      </c>
      <c r="R737" s="27"/>
      <c r="S737" s="1" t="s">
        <v>264</v>
      </c>
      <c r="T737" s="29" t="s">
        <v>265</v>
      </c>
      <c r="U737" s="27"/>
      <c r="V737" s="27" t="s">
        <v>1180</v>
      </c>
      <c r="W737" s="27"/>
    </row>
    <row r="738" spans="1:23" ht="24" customHeight="1">
      <c r="A738" s="27" t="str">
        <f t="shared" ca="1" si="11"/>
        <v>EVT-2026-0736</v>
      </c>
      <c r="B738" s="27">
        <v>2026</v>
      </c>
      <c r="C738" s="27" t="s">
        <v>102</v>
      </c>
      <c r="D738" s="30">
        <v>46189</v>
      </c>
      <c r="E738" s="27" t="s">
        <v>227</v>
      </c>
      <c r="F738" s="27" t="s">
        <v>164</v>
      </c>
      <c r="G738" s="27" t="s">
        <v>262</v>
      </c>
      <c r="H738" s="27" t="s">
        <v>1206</v>
      </c>
      <c r="I738" s="27" t="s">
        <v>1207</v>
      </c>
      <c r="J738" s="27" t="s">
        <v>177</v>
      </c>
      <c r="K738" s="10">
        <v>2</v>
      </c>
      <c r="L738" s="36" t="s">
        <v>263</v>
      </c>
      <c r="M738" s="37" t="s">
        <v>506</v>
      </c>
      <c r="N738" s="37" t="s">
        <v>290</v>
      </c>
      <c r="O738" s="27"/>
      <c r="P738" s="27"/>
      <c r="Q738" s="27" t="s">
        <v>1208</v>
      </c>
      <c r="R738" s="27"/>
      <c r="S738" s="1" t="s">
        <v>264</v>
      </c>
      <c r="T738" s="29" t="s">
        <v>265</v>
      </c>
      <c r="U738" s="27"/>
      <c r="V738" s="27" t="s">
        <v>1209</v>
      </c>
      <c r="W738" s="27"/>
    </row>
    <row r="739" spans="1:23" ht="24" customHeight="1">
      <c r="A739" s="27" t="str">
        <f t="shared" ca="1" si="11"/>
        <v>EVT-2026-0737</v>
      </c>
      <c r="B739" s="27">
        <v>2026</v>
      </c>
      <c r="C739" s="27" t="s">
        <v>102</v>
      </c>
      <c r="D739" s="30">
        <v>46190</v>
      </c>
      <c r="E739" s="27" t="s">
        <v>201</v>
      </c>
      <c r="F739" s="27" t="s">
        <v>164</v>
      </c>
      <c r="G739" s="27" t="s">
        <v>202</v>
      </c>
      <c r="H739" s="27" t="s">
        <v>1210</v>
      </c>
      <c r="I739" s="27" t="s">
        <v>1211</v>
      </c>
      <c r="J739" s="27" t="s">
        <v>134</v>
      </c>
      <c r="K739" s="10">
        <v>30</v>
      </c>
      <c r="L739" s="36" t="s">
        <v>263</v>
      </c>
      <c r="M739" s="37" t="s">
        <v>817</v>
      </c>
      <c r="N739" s="37" t="s">
        <v>354</v>
      </c>
      <c r="O739" s="27"/>
      <c r="P739" s="27"/>
      <c r="Q739" s="27" t="s">
        <v>1212</v>
      </c>
      <c r="R739" s="27"/>
      <c r="S739" s="1" t="s">
        <v>264</v>
      </c>
      <c r="T739" s="29" t="s">
        <v>265</v>
      </c>
      <c r="U739" s="27"/>
      <c r="V739" s="27" t="s">
        <v>1213</v>
      </c>
      <c r="W739" s="27"/>
    </row>
    <row r="740" spans="1:23" ht="24" customHeight="1">
      <c r="A740" s="27" t="str">
        <f t="shared" ca="1" si="11"/>
        <v>EVT-2026-0738</v>
      </c>
      <c r="B740" s="27">
        <v>2026</v>
      </c>
      <c r="C740" s="27" t="s">
        <v>102</v>
      </c>
      <c r="D740" s="30">
        <v>46190</v>
      </c>
      <c r="E740" s="27" t="s">
        <v>201</v>
      </c>
      <c r="F740" s="27" t="s">
        <v>164</v>
      </c>
      <c r="G740" s="27" t="s">
        <v>202</v>
      </c>
      <c r="H740" s="27" t="s">
        <v>1061</v>
      </c>
      <c r="I740" s="27" t="s">
        <v>1214</v>
      </c>
      <c r="J740" s="27" t="s">
        <v>177</v>
      </c>
      <c r="K740" s="10">
        <v>30</v>
      </c>
      <c r="L740" s="36" t="s">
        <v>263</v>
      </c>
      <c r="M740" s="37" t="s">
        <v>275</v>
      </c>
      <c r="N740" s="37" t="s">
        <v>270</v>
      </c>
      <c r="O740" s="27"/>
      <c r="P740" s="27"/>
      <c r="Q740" s="27" t="s">
        <v>237</v>
      </c>
      <c r="R740" s="27"/>
      <c r="S740" s="1" t="s">
        <v>264</v>
      </c>
      <c r="T740" s="29" t="s">
        <v>265</v>
      </c>
      <c r="U740" s="27"/>
      <c r="V740" s="27" t="s">
        <v>298</v>
      </c>
      <c r="W740" s="27"/>
    </row>
    <row r="741" spans="1:23" ht="24" customHeight="1">
      <c r="A741" s="27" t="str">
        <f t="shared" ca="1" si="11"/>
        <v>EVT-2026-0739</v>
      </c>
      <c r="B741" s="27">
        <v>2026</v>
      </c>
      <c r="C741" s="27" t="s">
        <v>102</v>
      </c>
      <c r="D741" s="30">
        <v>46191</v>
      </c>
      <c r="E741" s="27" t="s">
        <v>216</v>
      </c>
      <c r="F741" s="27" t="s">
        <v>164</v>
      </c>
      <c r="G741" s="27" t="s">
        <v>262</v>
      </c>
      <c r="H741" s="27" t="s">
        <v>171</v>
      </c>
      <c r="I741" s="27" t="s">
        <v>1215</v>
      </c>
      <c r="J741" s="27" t="s">
        <v>134</v>
      </c>
      <c r="K741" s="10">
        <v>22</v>
      </c>
      <c r="L741" s="36" t="s">
        <v>263</v>
      </c>
      <c r="M741" s="37" t="s">
        <v>269</v>
      </c>
      <c r="N741" s="37" t="s">
        <v>270</v>
      </c>
      <c r="O741" s="27"/>
      <c r="P741" s="27"/>
      <c r="Q741" s="27" t="s">
        <v>545</v>
      </c>
      <c r="R741" s="27"/>
      <c r="S741" s="1" t="s">
        <v>264</v>
      </c>
      <c r="T741" s="29" t="s">
        <v>265</v>
      </c>
      <c r="U741" s="27"/>
      <c r="V741" s="27" t="s">
        <v>1216</v>
      </c>
      <c r="W741" s="27"/>
    </row>
    <row r="742" spans="1:23" ht="24" customHeight="1">
      <c r="A742" s="27" t="str">
        <f t="shared" ca="1" si="11"/>
        <v>EVT-2026-0740</v>
      </c>
      <c r="B742" s="27">
        <v>2026</v>
      </c>
      <c r="C742" s="27" t="s">
        <v>102</v>
      </c>
      <c r="D742" s="30">
        <v>46192</v>
      </c>
      <c r="E742" s="27" t="s">
        <v>220</v>
      </c>
      <c r="F742" s="27" t="s">
        <v>164</v>
      </c>
      <c r="G742" s="27" t="s">
        <v>262</v>
      </c>
      <c r="H742" s="27" t="s">
        <v>171</v>
      </c>
      <c r="I742" s="27" t="s">
        <v>1217</v>
      </c>
      <c r="J742" s="27" t="s">
        <v>134</v>
      </c>
      <c r="K742" s="10">
        <v>24</v>
      </c>
      <c r="L742" s="36" t="s">
        <v>263</v>
      </c>
      <c r="M742" s="37" t="s">
        <v>269</v>
      </c>
      <c r="N742" s="37" t="s">
        <v>270</v>
      </c>
      <c r="O742" s="27"/>
      <c r="P742" s="27"/>
      <c r="Q742" s="27" t="s">
        <v>545</v>
      </c>
      <c r="R742" s="27"/>
      <c r="S742" s="3" t="s">
        <v>312</v>
      </c>
      <c r="T742" s="29" t="s">
        <v>265</v>
      </c>
      <c r="U742" s="27"/>
      <c r="V742" s="27" t="s">
        <v>1218</v>
      </c>
      <c r="W742" s="27"/>
    </row>
    <row r="743" spans="1:23" ht="24" customHeight="1">
      <c r="A743" s="27" t="str">
        <f t="shared" ca="1" si="11"/>
        <v>EVT-2026-0741</v>
      </c>
      <c r="B743" s="27">
        <v>2026</v>
      </c>
      <c r="C743" s="27" t="s">
        <v>102</v>
      </c>
      <c r="D743" s="30">
        <v>46192</v>
      </c>
      <c r="E743" s="27" t="s">
        <v>220</v>
      </c>
      <c r="F743" s="27" t="s">
        <v>164</v>
      </c>
      <c r="G743" s="27" t="s">
        <v>262</v>
      </c>
      <c r="H743" s="27" t="s">
        <v>239</v>
      </c>
      <c r="I743" s="27" t="s">
        <v>1219</v>
      </c>
      <c r="J743" s="27" t="s">
        <v>127</v>
      </c>
      <c r="K743" s="10">
        <v>150</v>
      </c>
      <c r="L743" s="38" t="s">
        <v>294</v>
      </c>
      <c r="M743" s="37" t="s">
        <v>295</v>
      </c>
      <c r="N743" s="37" t="s">
        <v>296</v>
      </c>
      <c r="O743" s="27" t="s">
        <v>531</v>
      </c>
      <c r="P743" s="27"/>
      <c r="Q743" s="27" t="s">
        <v>1220</v>
      </c>
      <c r="R743" s="27"/>
      <c r="S743" s="1" t="s">
        <v>264</v>
      </c>
      <c r="T743" s="29" t="s">
        <v>265</v>
      </c>
      <c r="U743" s="27"/>
      <c r="V743" s="27" t="s">
        <v>298</v>
      </c>
      <c r="W743" s="27"/>
    </row>
    <row r="744" spans="1:23" ht="24" customHeight="1">
      <c r="A744" s="27" t="str">
        <f t="shared" ca="1" si="11"/>
        <v>EVT-2026-0742</v>
      </c>
      <c r="B744" s="27">
        <v>2026</v>
      </c>
      <c r="C744" s="27" t="s">
        <v>102</v>
      </c>
      <c r="D744" s="30">
        <v>46193</v>
      </c>
      <c r="E744" s="27" t="s">
        <v>266</v>
      </c>
      <c r="F744" s="27" t="s">
        <v>164</v>
      </c>
      <c r="G744" s="27" t="s">
        <v>262</v>
      </c>
      <c r="H744" s="27" t="s">
        <v>1221</v>
      </c>
      <c r="I744" s="27" t="s">
        <v>300</v>
      </c>
      <c r="J744" s="27" t="s">
        <v>145</v>
      </c>
      <c r="K744" s="10">
        <v>0</v>
      </c>
      <c r="L744" s="36" t="s">
        <v>263</v>
      </c>
      <c r="M744" s="37" t="s">
        <v>269</v>
      </c>
      <c r="N744" s="37" t="s">
        <v>270</v>
      </c>
      <c r="O744" s="27"/>
      <c r="P744" s="27"/>
      <c r="Q744" s="27" t="s">
        <v>760</v>
      </c>
      <c r="R744" s="27"/>
      <c r="S744" s="1" t="s">
        <v>264</v>
      </c>
      <c r="T744" s="29" t="s">
        <v>265</v>
      </c>
      <c r="U744" s="27"/>
      <c r="V744" s="27"/>
      <c r="W744" s="27"/>
    </row>
    <row r="745" spans="1:23" ht="24" customHeight="1">
      <c r="A745" s="27" t="str">
        <f t="shared" ca="1" si="11"/>
        <v>EVT-2026-0743</v>
      </c>
      <c r="B745" s="27">
        <v>2026</v>
      </c>
      <c r="C745" s="27" t="s">
        <v>102</v>
      </c>
      <c r="D745" s="30">
        <v>46194</v>
      </c>
      <c r="E745" s="27" t="s">
        <v>267</v>
      </c>
      <c r="F745" s="27" t="s">
        <v>164</v>
      </c>
      <c r="G745" s="27" t="s">
        <v>262</v>
      </c>
      <c r="H745" s="27"/>
      <c r="I745" s="27"/>
      <c r="J745" s="27" t="s">
        <v>177</v>
      </c>
      <c r="K745" s="10">
        <v>0</v>
      </c>
      <c r="L745" s="36" t="s">
        <v>263</v>
      </c>
      <c r="M745" s="37"/>
      <c r="N745" s="37"/>
      <c r="O745" s="27"/>
      <c r="P745" s="27"/>
      <c r="Q745" s="27"/>
      <c r="R745" s="27"/>
      <c r="S745" s="1" t="s">
        <v>264</v>
      </c>
      <c r="T745" s="29" t="s">
        <v>265</v>
      </c>
      <c r="U745" s="27"/>
      <c r="V745" s="27"/>
      <c r="W745" s="27"/>
    </row>
    <row r="746" spans="1:23" ht="24" customHeight="1">
      <c r="A746" s="27" t="str">
        <f t="shared" ca="1" si="11"/>
        <v>EVT-2026-0744</v>
      </c>
      <c r="B746" s="27">
        <v>2026</v>
      </c>
      <c r="C746" s="27" t="s">
        <v>102</v>
      </c>
      <c r="D746" s="30">
        <v>46195</v>
      </c>
      <c r="E746" s="27" t="s">
        <v>224</v>
      </c>
      <c r="F746" s="27" t="s">
        <v>164</v>
      </c>
      <c r="G746" s="27" t="s">
        <v>262</v>
      </c>
      <c r="H746" s="27" t="s">
        <v>171</v>
      </c>
      <c r="I746" s="27" t="s">
        <v>1187</v>
      </c>
      <c r="J746" s="27" t="s">
        <v>139</v>
      </c>
      <c r="K746" s="10">
        <v>25</v>
      </c>
      <c r="L746" s="36" t="s">
        <v>263</v>
      </c>
      <c r="M746" s="37" t="s">
        <v>269</v>
      </c>
      <c r="N746" s="37" t="s">
        <v>270</v>
      </c>
      <c r="O746" s="27"/>
      <c r="P746" s="27"/>
      <c r="Q746" s="27" t="s">
        <v>237</v>
      </c>
      <c r="R746" s="27"/>
      <c r="S746" s="1" t="s">
        <v>264</v>
      </c>
      <c r="T746" s="29" t="s">
        <v>265</v>
      </c>
      <c r="U746" s="27"/>
      <c r="V746" s="27" t="s">
        <v>1222</v>
      </c>
      <c r="W746" s="27"/>
    </row>
    <row r="747" spans="1:23" ht="24" customHeight="1">
      <c r="A747" s="27" t="str">
        <f t="shared" ca="1" si="11"/>
        <v>EVT-2026-0745</v>
      </c>
      <c r="B747" s="27">
        <v>2026</v>
      </c>
      <c r="C747" s="27" t="s">
        <v>102</v>
      </c>
      <c r="D747" s="30">
        <v>46195</v>
      </c>
      <c r="E747" s="27" t="s">
        <v>224</v>
      </c>
      <c r="F747" s="27" t="s">
        <v>164</v>
      </c>
      <c r="G747" s="27" t="s">
        <v>202</v>
      </c>
      <c r="H747" s="27" t="s">
        <v>1186</v>
      </c>
      <c r="I747" s="27" t="s">
        <v>1187</v>
      </c>
      <c r="J747" s="27" t="s">
        <v>139</v>
      </c>
      <c r="K747" s="10">
        <v>33</v>
      </c>
      <c r="L747" s="36" t="s">
        <v>263</v>
      </c>
      <c r="M747" s="37" t="s">
        <v>269</v>
      </c>
      <c r="N747" s="37" t="s">
        <v>270</v>
      </c>
      <c r="O747" s="27"/>
      <c r="P747" s="27"/>
      <c r="Q747" s="27" t="s">
        <v>237</v>
      </c>
      <c r="R747" s="27"/>
      <c r="S747" s="1" t="s">
        <v>264</v>
      </c>
      <c r="T747" s="29" t="s">
        <v>265</v>
      </c>
      <c r="U747" s="27"/>
      <c r="V747" s="27" t="s">
        <v>1223</v>
      </c>
      <c r="W747" s="27"/>
    </row>
    <row r="748" spans="1:23" ht="24" customHeight="1">
      <c r="A748" s="27" t="str">
        <f t="shared" ca="1" si="11"/>
        <v>EVT-2026-0746</v>
      </c>
      <c r="B748" s="27">
        <v>2026</v>
      </c>
      <c r="C748" s="27" t="s">
        <v>102</v>
      </c>
      <c r="D748" s="30">
        <v>46196</v>
      </c>
      <c r="E748" s="27" t="s">
        <v>227</v>
      </c>
      <c r="F748" s="27" t="s">
        <v>164</v>
      </c>
      <c r="G748" s="27" t="s">
        <v>262</v>
      </c>
      <c r="H748" s="27" t="s">
        <v>171</v>
      </c>
      <c r="I748" s="27" t="s">
        <v>1224</v>
      </c>
      <c r="J748" s="27" t="s">
        <v>177</v>
      </c>
      <c r="K748" s="10">
        <v>25</v>
      </c>
      <c r="L748" s="36" t="s">
        <v>263</v>
      </c>
      <c r="M748" s="37" t="s">
        <v>281</v>
      </c>
      <c r="N748" s="37" t="s">
        <v>1225</v>
      </c>
      <c r="O748" s="27"/>
      <c r="P748" s="27"/>
      <c r="Q748" s="27" t="s">
        <v>1226</v>
      </c>
      <c r="R748" s="27"/>
      <c r="S748" s="1" t="s">
        <v>264</v>
      </c>
      <c r="T748" s="29" t="s">
        <v>265</v>
      </c>
      <c r="U748" s="27"/>
      <c r="V748" s="27" t="s">
        <v>1227</v>
      </c>
      <c r="W748" s="27"/>
    </row>
    <row r="749" spans="1:23" ht="24" customHeight="1">
      <c r="A749" s="27" t="str">
        <f t="shared" ca="1" si="11"/>
        <v>EVT-2026-0747</v>
      </c>
      <c r="B749" s="27">
        <v>2026</v>
      </c>
      <c r="C749" s="27" t="s">
        <v>102</v>
      </c>
      <c r="D749" s="30">
        <v>46196</v>
      </c>
      <c r="E749" s="27" t="s">
        <v>227</v>
      </c>
      <c r="F749" s="27" t="s">
        <v>164</v>
      </c>
      <c r="G749" s="27" t="s">
        <v>262</v>
      </c>
      <c r="H749" s="27" t="s">
        <v>171</v>
      </c>
      <c r="I749" s="27" t="s">
        <v>1228</v>
      </c>
      <c r="J749" s="27" t="s">
        <v>177</v>
      </c>
      <c r="K749" s="10">
        <v>60</v>
      </c>
      <c r="L749" s="36" t="s">
        <v>263</v>
      </c>
      <c r="M749" s="37" t="s">
        <v>275</v>
      </c>
      <c r="N749" s="37" t="s">
        <v>359</v>
      </c>
      <c r="O749" s="27"/>
      <c r="P749" s="27"/>
      <c r="Q749" s="27" t="s">
        <v>1229</v>
      </c>
      <c r="R749" s="27"/>
      <c r="S749" s="3" t="s">
        <v>312</v>
      </c>
      <c r="T749" s="29" t="s">
        <v>265</v>
      </c>
      <c r="U749" s="27"/>
      <c r="V749" s="27" t="s">
        <v>1177</v>
      </c>
      <c r="W749" s="27"/>
    </row>
    <row r="750" spans="1:23" ht="24" customHeight="1">
      <c r="A750" s="27" t="str">
        <f t="shared" ca="1" si="11"/>
        <v>EVT-2026-0748</v>
      </c>
      <c r="B750" s="27">
        <v>2026</v>
      </c>
      <c r="C750" s="27" t="s">
        <v>102</v>
      </c>
      <c r="D750" s="30">
        <v>46197</v>
      </c>
      <c r="E750" s="27" t="s">
        <v>201</v>
      </c>
      <c r="F750" s="27" t="s">
        <v>164</v>
      </c>
      <c r="G750" s="27" t="s">
        <v>262</v>
      </c>
      <c r="H750" s="27"/>
      <c r="I750" s="27"/>
      <c r="J750" s="27" t="s">
        <v>177</v>
      </c>
      <c r="K750" s="10">
        <v>0</v>
      </c>
      <c r="L750" s="36" t="s">
        <v>263</v>
      </c>
      <c r="M750" s="37"/>
      <c r="N750" s="37"/>
      <c r="O750" s="27"/>
      <c r="P750" s="27"/>
      <c r="Q750" s="27"/>
      <c r="R750" s="27"/>
      <c r="S750" s="1" t="s">
        <v>264</v>
      </c>
      <c r="T750" s="29" t="s">
        <v>265</v>
      </c>
      <c r="U750" s="27"/>
      <c r="V750" s="27"/>
      <c r="W750" s="27"/>
    </row>
    <row r="751" spans="1:23" ht="24" customHeight="1">
      <c r="A751" s="27" t="str">
        <f t="shared" ca="1" si="11"/>
        <v>EVT-2026-0749</v>
      </c>
      <c r="B751" s="27">
        <v>2026</v>
      </c>
      <c r="C751" s="27" t="s">
        <v>102</v>
      </c>
      <c r="D751" s="30">
        <v>46197</v>
      </c>
      <c r="E751" s="27" t="s">
        <v>201</v>
      </c>
      <c r="F751" s="27" t="s">
        <v>164</v>
      </c>
      <c r="G751" s="27" t="s">
        <v>262</v>
      </c>
      <c r="H751" s="27" t="s">
        <v>171</v>
      </c>
      <c r="I751" s="27" t="s">
        <v>1230</v>
      </c>
      <c r="J751" s="27" t="s">
        <v>134</v>
      </c>
      <c r="K751" s="10">
        <v>30</v>
      </c>
      <c r="L751" s="36" t="s">
        <v>263</v>
      </c>
      <c r="M751" s="37" t="s">
        <v>295</v>
      </c>
      <c r="N751" s="37" t="s">
        <v>359</v>
      </c>
      <c r="O751" s="27"/>
      <c r="P751" s="27"/>
      <c r="Q751" s="27" t="s">
        <v>1231</v>
      </c>
      <c r="R751" s="27"/>
      <c r="S751" s="1" t="s">
        <v>264</v>
      </c>
      <c r="T751" s="29" t="s">
        <v>265</v>
      </c>
      <c r="U751" s="27"/>
      <c r="V751" s="27" t="s">
        <v>1177</v>
      </c>
      <c r="W751" s="27"/>
    </row>
    <row r="752" spans="1:23" ht="24" customHeight="1">
      <c r="A752" s="27" t="str">
        <f t="shared" ca="1" si="11"/>
        <v>EVT-2026-0750</v>
      </c>
      <c r="B752" s="27">
        <v>2026</v>
      </c>
      <c r="C752" s="27" t="s">
        <v>102</v>
      </c>
      <c r="D752" s="30">
        <v>46198</v>
      </c>
      <c r="E752" s="27" t="s">
        <v>216</v>
      </c>
      <c r="F752" s="27" t="s">
        <v>164</v>
      </c>
      <c r="G752" s="27" t="s">
        <v>262</v>
      </c>
      <c r="H752" s="27"/>
      <c r="I752" s="27"/>
      <c r="J752" s="27" t="s">
        <v>177</v>
      </c>
      <c r="K752" s="10">
        <v>0</v>
      </c>
      <c r="L752" s="36" t="s">
        <v>263</v>
      </c>
      <c r="M752" s="37"/>
      <c r="N752" s="37"/>
      <c r="O752" s="27"/>
      <c r="P752" s="27"/>
      <c r="Q752" s="27"/>
      <c r="R752" s="27"/>
      <c r="S752" s="1" t="s">
        <v>264</v>
      </c>
      <c r="T752" s="29" t="s">
        <v>265</v>
      </c>
      <c r="U752" s="27"/>
      <c r="V752" s="27"/>
      <c r="W752" s="27"/>
    </row>
    <row r="753" spans="1:23" ht="24" customHeight="1">
      <c r="A753" s="27" t="str">
        <f t="shared" ca="1" si="11"/>
        <v>EVT-2026-0751</v>
      </c>
      <c r="B753" s="27">
        <v>2026</v>
      </c>
      <c r="C753" s="27" t="s">
        <v>102</v>
      </c>
      <c r="D753" s="30">
        <v>46198</v>
      </c>
      <c r="E753" s="27" t="s">
        <v>216</v>
      </c>
      <c r="F753" s="27" t="s">
        <v>164</v>
      </c>
      <c r="G753" s="27" t="s">
        <v>228</v>
      </c>
      <c r="H753" s="27" t="s">
        <v>1188</v>
      </c>
      <c r="I753" s="27" t="s">
        <v>708</v>
      </c>
      <c r="J753" s="27" t="s">
        <v>177</v>
      </c>
      <c r="K753" s="10">
        <v>30</v>
      </c>
      <c r="L753" s="36" t="s">
        <v>263</v>
      </c>
      <c r="M753" s="37" t="s">
        <v>295</v>
      </c>
      <c r="N753" s="37" t="s">
        <v>270</v>
      </c>
      <c r="O753" s="27"/>
      <c r="P753" s="27"/>
      <c r="Q753" s="27" t="s">
        <v>237</v>
      </c>
      <c r="R753" s="27"/>
      <c r="S753" s="1" t="s">
        <v>264</v>
      </c>
      <c r="T753" s="29" t="s">
        <v>265</v>
      </c>
      <c r="U753" s="27"/>
      <c r="V753" s="27" t="s">
        <v>1180</v>
      </c>
      <c r="W753" s="27"/>
    </row>
    <row r="754" spans="1:23" ht="24" customHeight="1">
      <c r="A754" s="27" t="str">
        <f t="shared" ca="1" si="11"/>
        <v>EVT-2026-0752</v>
      </c>
      <c r="B754" s="27">
        <v>2026</v>
      </c>
      <c r="C754" s="27" t="s">
        <v>102</v>
      </c>
      <c r="D754" s="30">
        <v>46199</v>
      </c>
      <c r="E754" s="27" t="s">
        <v>220</v>
      </c>
      <c r="F754" s="27" t="s">
        <v>164</v>
      </c>
      <c r="G754" s="27" t="s">
        <v>262</v>
      </c>
      <c r="H754" s="27" t="s">
        <v>171</v>
      </c>
      <c r="I754" s="27" t="s">
        <v>1232</v>
      </c>
      <c r="J754" s="27" t="s">
        <v>177</v>
      </c>
      <c r="K754" s="10">
        <v>0</v>
      </c>
      <c r="L754" s="36" t="s">
        <v>263</v>
      </c>
      <c r="M754" s="37" t="s">
        <v>315</v>
      </c>
      <c r="N754" s="37" t="s">
        <v>429</v>
      </c>
      <c r="O754" s="27"/>
      <c r="P754" s="27" t="s">
        <v>1233</v>
      </c>
      <c r="Q754" s="27"/>
      <c r="R754" s="27"/>
      <c r="S754" s="1" t="s">
        <v>264</v>
      </c>
      <c r="T754" s="29" t="s">
        <v>265</v>
      </c>
      <c r="U754" s="27"/>
      <c r="V754" s="27" t="s">
        <v>1234</v>
      </c>
      <c r="W754" s="27"/>
    </row>
    <row r="755" spans="1:23" ht="24" customHeight="1">
      <c r="A755" s="27" t="str">
        <f t="shared" ca="1" si="11"/>
        <v>EVT-2026-0753</v>
      </c>
      <c r="B755" s="27">
        <v>2026</v>
      </c>
      <c r="C755" s="27" t="s">
        <v>102</v>
      </c>
      <c r="D755" s="30">
        <v>46199</v>
      </c>
      <c r="E755" s="27" t="s">
        <v>220</v>
      </c>
      <c r="F755" s="27" t="s">
        <v>164</v>
      </c>
      <c r="G755" s="27" t="s">
        <v>262</v>
      </c>
      <c r="H755" s="27" t="s">
        <v>171</v>
      </c>
      <c r="I755" s="27" t="s">
        <v>1232</v>
      </c>
      <c r="J755" s="27" t="s">
        <v>177</v>
      </c>
      <c r="K755" s="10">
        <v>0</v>
      </c>
      <c r="L755" s="36" t="s">
        <v>263</v>
      </c>
      <c r="M755" s="37" t="s">
        <v>289</v>
      </c>
      <c r="N755" s="37" t="s">
        <v>270</v>
      </c>
      <c r="O755" s="27"/>
      <c r="P755" s="27" t="s">
        <v>1233</v>
      </c>
      <c r="Q755" s="27"/>
      <c r="R755" s="27"/>
      <c r="S755" s="1" t="s">
        <v>264</v>
      </c>
      <c r="T755" s="29" t="s">
        <v>265</v>
      </c>
      <c r="U755" s="27"/>
      <c r="V755" s="27" t="s">
        <v>1234</v>
      </c>
      <c r="W755" s="27"/>
    </row>
    <row r="756" spans="1:23" ht="24" customHeight="1">
      <c r="A756" s="27" t="str">
        <f t="shared" ca="1" si="11"/>
        <v>EVT-2026-0754</v>
      </c>
      <c r="B756" s="27">
        <v>2026</v>
      </c>
      <c r="C756" s="27" t="s">
        <v>102</v>
      </c>
      <c r="D756" s="30">
        <v>46200</v>
      </c>
      <c r="E756" s="27" t="s">
        <v>266</v>
      </c>
      <c r="F756" s="27" t="s">
        <v>164</v>
      </c>
      <c r="G756" s="27" t="s">
        <v>228</v>
      </c>
      <c r="H756" s="27" t="s">
        <v>1235</v>
      </c>
      <c r="I756" s="27" t="s">
        <v>300</v>
      </c>
      <c r="J756" s="27" t="s">
        <v>145</v>
      </c>
      <c r="K756" s="10">
        <v>0</v>
      </c>
      <c r="L756" s="36" t="s">
        <v>263</v>
      </c>
      <c r="M756" s="37" t="s">
        <v>269</v>
      </c>
      <c r="N756" s="37" t="s">
        <v>270</v>
      </c>
      <c r="O756" s="27"/>
      <c r="P756" s="27"/>
      <c r="Q756" s="27"/>
      <c r="R756" s="27"/>
      <c r="S756" s="1" t="s">
        <v>264</v>
      </c>
      <c r="T756" s="29" t="s">
        <v>265</v>
      </c>
      <c r="U756" s="27"/>
      <c r="V756" s="27" t="s">
        <v>1236</v>
      </c>
      <c r="W756" s="27"/>
    </row>
    <row r="757" spans="1:23" ht="24" customHeight="1">
      <c r="A757" s="27" t="str">
        <f t="shared" ca="1" si="11"/>
        <v>EVT-2026-0755</v>
      </c>
      <c r="B757" s="27">
        <v>2026</v>
      </c>
      <c r="C757" s="27" t="s">
        <v>102</v>
      </c>
      <c r="D757" s="30">
        <v>46201</v>
      </c>
      <c r="E757" s="27" t="s">
        <v>267</v>
      </c>
      <c r="F757" s="27" t="s">
        <v>164</v>
      </c>
      <c r="G757" s="27" t="s">
        <v>262</v>
      </c>
      <c r="H757" s="27"/>
      <c r="I757" s="27"/>
      <c r="J757" s="27" t="s">
        <v>177</v>
      </c>
      <c r="K757" s="10">
        <v>0</v>
      </c>
      <c r="L757" s="36" t="s">
        <v>263</v>
      </c>
      <c r="M757" s="37"/>
      <c r="N757" s="37"/>
      <c r="O757" s="27"/>
      <c r="P757" s="27"/>
      <c r="Q757" s="27"/>
      <c r="R757" s="27"/>
      <c r="S757" s="1" t="s">
        <v>264</v>
      </c>
      <c r="T757" s="29" t="s">
        <v>265</v>
      </c>
      <c r="U757" s="27"/>
      <c r="V757" s="27"/>
      <c r="W757" s="27"/>
    </row>
    <row r="758" spans="1:23" ht="24" customHeight="1">
      <c r="A758" s="27" t="str">
        <f t="shared" ca="1" si="11"/>
        <v>EVT-2026-0756</v>
      </c>
      <c r="B758" s="27">
        <v>2026</v>
      </c>
      <c r="C758" s="27" t="s">
        <v>102</v>
      </c>
      <c r="D758" s="30">
        <v>46202</v>
      </c>
      <c r="E758" s="27" t="s">
        <v>224</v>
      </c>
      <c r="F758" s="27" t="s">
        <v>164</v>
      </c>
      <c r="G758" s="27" t="s">
        <v>262</v>
      </c>
      <c r="H758" s="27" t="s">
        <v>937</v>
      </c>
      <c r="I758" s="27" t="s">
        <v>1187</v>
      </c>
      <c r="J758" s="27" t="s">
        <v>139</v>
      </c>
      <c r="K758" s="10">
        <v>0</v>
      </c>
      <c r="L758" s="36" t="s">
        <v>263</v>
      </c>
      <c r="M758" s="37" t="s">
        <v>269</v>
      </c>
      <c r="N758" s="37" t="s">
        <v>270</v>
      </c>
      <c r="O758" s="27" t="s">
        <v>531</v>
      </c>
      <c r="P758" s="27" t="s">
        <v>531</v>
      </c>
      <c r="Q758" s="27" t="s">
        <v>237</v>
      </c>
      <c r="R758" s="27"/>
      <c r="S758" s="1" t="s">
        <v>264</v>
      </c>
      <c r="T758" s="29" t="s">
        <v>265</v>
      </c>
      <c r="U758" s="27"/>
      <c r="V758" s="27" t="s">
        <v>1237</v>
      </c>
      <c r="W758" s="27"/>
    </row>
    <row r="759" spans="1:23" ht="24" customHeight="1">
      <c r="A759" s="27" t="str">
        <f t="shared" ca="1" si="11"/>
        <v>EVT-2026-0757</v>
      </c>
      <c r="B759" s="27">
        <v>2026</v>
      </c>
      <c r="C759" s="27" t="s">
        <v>102</v>
      </c>
      <c r="D759" s="30">
        <v>46203</v>
      </c>
      <c r="E759" s="27" t="s">
        <v>227</v>
      </c>
      <c r="F759" s="27" t="s">
        <v>164</v>
      </c>
      <c r="G759" s="27" t="s">
        <v>262</v>
      </c>
      <c r="H759" s="27" t="s">
        <v>1238</v>
      </c>
      <c r="I759" s="27" t="s">
        <v>1239</v>
      </c>
      <c r="J759" s="27" t="s">
        <v>127</v>
      </c>
      <c r="K759" s="10">
        <v>100</v>
      </c>
      <c r="L759" s="38" t="s">
        <v>294</v>
      </c>
      <c r="M759" s="37" t="s">
        <v>315</v>
      </c>
      <c r="N759" s="37" t="s">
        <v>429</v>
      </c>
      <c r="O759" s="27" t="s">
        <v>531</v>
      </c>
      <c r="P759" s="27" t="s">
        <v>531</v>
      </c>
      <c r="Q759" s="27" t="s">
        <v>491</v>
      </c>
      <c r="R759" s="27"/>
      <c r="S759" s="1" t="s">
        <v>264</v>
      </c>
      <c r="T759" s="29" t="s">
        <v>265</v>
      </c>
      <c r="U759" s="27"/>
      <c r="V759" s="27" t="s">
        <v>1237</v>
      </c>
      <c r="W759" s="27"/>
    </row>
    <row r="760" spans="1:23" ht="24" customHeight="1">
      <c r="A760" s="27" t="str">
        <f t="shared" ca="1" si="11"/>
        <v>EVT-2026-0758</v>
      </c>
      <c r="B760" s="27">
        <v>2026</v>
      </c>
      <c r="C760" s="27" t="s">
        <v>102</v>
      </c>
      <c r="D760" s="30">
        <v>46203</v>
      </c>
      <c r="E760" s="27" t="s">
        <v>227</v>
      </c>
      <c r="F760" s="27" t="s">
        <v>164</v>
      </c>
      <c r="G760" s="27" t="s">
        <v>228</v>
      </c>
      <c r="H760" s="27" t="s">
        <v>1240</v>
      </c>
      <c r="I760" s="27" t="s">
        <v>1241</v>
      </c>
      <c r="J760" s="27" t="s">
        <v>177</v>
      </c>
      <c r="K760" s="10">
        <v>26</v>
      </c>
      <c r="L760" s="36" t="s">
        <v>263</v>
      </c>
      <c r="M760" s="37" t="s">
        <v>309</v>
      </c>
      <c r="N760" s="37" t="s">
        <v>270</v>
      </c>
      <c r="O760" s="27"/>
      <c r="P760" s="27" t="s">
        <v>531</v>
      </c>
      <c r="Q760" s="27" t="s">
        <v>1242</v>
      </c>
      <c r="R760" s="27"/>
      <c r="S760" s="1" t="s">
        <v>264</v>
      </c>
      <c r="T760" s="29" t="s">
        <v>265</v>
      </c>
      <c r="U760" s="27"/>
      <c r="V760" s="27" t="s">
        <v>1243</v>
      </c>
      <c r="W760" s="27"/>
    </row>
    <row r="761" spans="1:23" ht="24" customHeight="1">
      <c r="A761" s="27" t="str">
        <f t="shared" ca="1" si="11"/>
        <v>EVT-2026-0759</v>
      </c>
      <c r="B761" s="27">
        <v>2026</v>
      </c>
      <c r="C761" s="27" t="s">
        <v>102</v>
      </c>
      <c r="D761" s="30">
        <v>46203</v>
      </c>
      <c r="E761" s="27" t="s">
        <v>227</v>
      </c>
      <c r="F761" s="27" t="s">
        <v>164</v>
      </c>
      <c r="G761" s="27" t="s">
        <v>262</v>
      </c>
      <c r="H761" s="27"/>
      <c r="I761" s="27" t="s">
        <v>1174</v>
      </c>
      <c r="J761" s="27" t="s">
        <v>177</v>
      </c>
      <c r="K761" s="10">
        <v>2</v>
      </c>
      <c r="L761" s="36" t="s">
        <v>263</v>
      </c>
      <c r="M761" s="37"/>
      <c r="N761" s="37"/>
      <c r="O761" s="27"/>
      <c r="P761" s="27"/>
      <c r="Q761" s="27"/>
      <c r="R761" s="27"/>
      <c r="S761" s="1" t="s">
        <v>264</v>
      </c>
      <c r="T761" s="29" t="s">
        <v>265</v>
      </c>
      <c r="U761" s="27"/>
      <c r="V761" s="27"/>
      <c r="W761" s="27"/>
    </row>
    <row r="762" spans="1:23" ht="24" customHeight="1">
      <c r="A762" s="27" t="str">
        <f t="shared" ca="1" si="11"/>
        <v>EVT-2026-0760</v>
      </c>
      <c r="B762" s="27">
        <v>2026</v>
      </c>
      <c r="C762" s="27" t="s">
        <v>102</v>
      </c>
      <c r="D762" s="27"/>
      <c r="E762" s="27"/>
      <c r="F762" s="27" t="s">
        <v>164</v>
      </c>
      <c r="G762" s="27" t="s">
        <v>262</v>
      </c>
      <c r="H762" s="27"/>
      <c r="I762" s="27"/>
      <c r="J762" s="27" t="s">
        <v>177</v>
      </c>
      <c r="K762" s="10">
        <v>0</v>
      </c>
      <c r="L762" s="36" t="s">
        <v>263</v>
      </c>
      <c r="M762" s="37"/>
      <c r="N762" s="37"/>
      <c r="O762" s="27"/>
      <c r="P762" s="27"/>
      <c r="Q762" s="27"/>
      <c r="R762" s="27"/>
      <c r="S762" s="1" t="s">
        <v>264</v>
      </c>
      <c r="T762" s="29" t="s">
        <v>265</v>
      </c>
      <c r="U762" s="27"/>
      <c r="V762" s="27"/>
      <c r="W762" s="27"/>
    </row>
    <row r="763" spans="1:23" ht="24" customHeight="1">
      <c r="A763" s="27" t="str">
        <f t="shared" ca="1" si="11"/>
        <v>EVT-2026-0761</v>
      </c>
      <c r="B763" s="27">
        <v>2026</v>
      </c>
      <c r="C763" s="27" t="s">
        <v>102</v>
      </c>
      <c r="D763" s="27"/>
      <c r="E763" s="27"/>
      <c r="F763" s="27" t="s">
        <v>164</v>
      </c>
      <c r="G763" s="27" t="s">
        <v>262</v>
      </c>
      <c r="H763" s="27"/>
      <c r="I763" s="27"/>
      <c r="J763" s="27" t="s">
        <v>177</v>
      </c>
      <c r="K763" s="10">
        <v>0</v>
      </c>
      <c r="L763" s="36" t="s">
        <v>263</v>
      </c>
      <c r="M763" s="37"/>
      <c r="N763" s="37"/>
      <c r="O763" s="27"/>
      <c r="P763" s="27"/>
      <c r="Q763" s="27"/>
      <c r="R763" s="27"/>
      <c r="S763" s="1" t="s">
        <v>264</v>
      </c>
      <c r="T763" s="29" t="s">
        <v>265</v>
      </c>
      <c r="U763" s="27"/>
      <c r="V763" s="27"/>
      <c r="W763" s="27"/>
    </row>
    <row r="764" spans="1:23" ht="24" customHeight="1">
      <c r="A764" s="27" t="str">
        <f t="shared" ca="1" si="11"/>
        <v>EVT-2026-0762</v>
      </c>
      <c r="B764" s="27">
        <v>2026</v>
      </c>
      <c r="C764" s="27" t="s">
        <v>102</v>
      </c>
      <c r="D764" s="27"/>
      <c r="E764" s="27"/>
      <c r="F764" s="27" t="s">
        <v>164</v>
      </c>
      <c r="G764" s="27" t="s">
        <v>262</v>
      </c>
      <c r="H764" s="27"/>
      <c r="I764" s="27"/>
      <c r="J764" s="27" t="s">
        <v>177</v>
      </c>
      <c r="K764" s="10">
        <v>0</v>
      </c>
      <c r="L764" s="36" t="s">
        <v>263</v>
      </c>
      <c r="M764" s="37"/>
      <c r="N764" s="37"/>
      <c r="O764" s="27"/>
      <c r="P764" s="27"/>
      <c r="Q764" s="27"/>
      <c r="R764" s="27"/>
      <c r="S764" s="1" t="s">
        <v>264</v>
      </c>
      <c r="T764" s="29" t="s">
        <v>265</v>
      </c>
      <c r="U764" s="27"/>
      <c r="V764" s="27"/>
      <c r="W764" s="27"/>
    </row>
    <row r="765" spans="1:23" ht="24" customHeight="1">
      <c r="A765" s="27" t="str">
        <f t="shared" ca="1" si="11"/>
        <v>EVT-2026-0763</v>
      </c>
      <c r="B765" s="27">
        <v>2026</v>
      </c>
      <c r="C765" s="27" t="s">
        <v>102</v>
      </c>
      <c r="D765" s="27" t="s">
        <v>1244</v>
      </c>
      <c r="E765" s="27" t="s">
        <v>224</v>
      </c>
      <c r="F765" s="27" t="s">
        <v>126</v>
      </c>
      <c r="G765" s="27" t="s">
        <v>208</v>
      </c>
      <c r="H765" s="27" t="s">
        <v>1245</v>
      </c>
      <c r="I765" s="27" t="s">
        <v>1246</v>
      </c>
      <c r="J765" s="27" t="s">
        <v>152</v>
      </c>
      <c r="K765" s="10">
        <v>1</v>
      </c>
      <c r="L765" s="36" t="s">
        <v>263</v>
      </c>
      <c r="M765" s="37" t="s">
        <v>269</v>
      </c>
      <c r="N765" s="37" t="s">
        <v>270</v>
      </c>
      <c r="O765" s="27"/>
      <c r="P765" s="27"/>
      <c r="Q765" s="27" t="s">
        <v>774</v>
      </c>
      <c r="R765" s="27"/>
      <c r="S765" s="1" t="s">
        <v>264</v>
      </c>
      <c r="T765" s="29" t="s">
        <v>265</v>
      </c>
      <c r="U765" s="30">
        <v>46170</v>
      </c>
      <c r="V765" s="27" t="s">
        <v>1247</v>
      </c>
      <c r="W765" s="27"/>
    </row>
    <row r="766" spans="1:23" ht="24" customHeight="1">
      <c r="A766" s="27" t="str">
        <f t="shared" ca="1" si="11"/>
        <v>EVT-2026-0764</v>
      </c>
      <c r="B766" s="27">
        <v>2026</v>
      </c>
      <c r="C766" s="27" t="s">
        <v>102</v>
      </c>
      <c r="D766" s="30">
        <v>46174</v>
      </c>
      <c r="E766" s="27" t="s">
        <v>224</v>
      </c>
      <c r="F766" s="27" t="s">
        <v>126</v>
      </c>
      <c r="G766" s="27" t="s">
        <v>208</v>
      </c>
      <c r="H766" s="27" t="s">
        <v>1248</v>
      </c>
      <c r="I766" s="27" t="s">
        <v>1246</v>
      </c>
      <c r="J766" s="27" t="s">
        <v>152</v>
      </c>
      <c r="K766" s="10">
        <v>1</v>
      </c>
      <c r="L766" s="36" t="s">
        <v>263</v>
      </c>
      <c r="M766" s="37" t="s">
        <v>269</v>
      </c>
      <c r="N766" s="37" t="s">
        <v>270</v>
      </c>
      <c r="O766" s="27"/>
      <c r="P766" s="27"/>
      <c r="Q766" s="27" t="s">
        <v>1249</v>
      </c>
      <c r="R766" s="27"/>
      <c r="S766" s="1" t="s">
        <v>264</v>
      </c>
      <c r="T766" s="29" t="s">
        <v>265</v>
      </c>
      <c r="U766" s="27"/>
      <c r="V766" s="27" t="s">
        <v>1250</v>
      </c>
      <c r="W766" s="27"/>
    </row>
    <row r="767" spans="1:23" ht="24" customHeight="1">
      <c r="A767" s="27" t="str">
        <f t="shared" ca="1" si="11"/>
        <v>EVT-2026-0765</v>
      </c>
      <c r="B767" s="27">
        <v>2026</v>
      </c>
      <c r="C767" s="27" t="s">
        <v>102</v>
      </c>
      <c r="D767" s="30">
        <v>46174</v>
      </c>
      <c r="E767" s="27" t="s">
        <v>224</v>
      </c>
      <c r="F767" s="27" t="s">
        <v>126</v>
      </c>
      <c r="G767" s="27" t="s">
        <v>208</v>
      </c>
      <c r="H767" s="27" t="s">
        <v>348</v>
      </c>
      <c r="I767" s="27" t="s">
        <v>1251</v>
      </c>
      <c r="J767" s="27" t="s">
        <v>158</v>
      </c>
      <c r="K767" s="10">
        <v>30</v>
      </c>
      <c r="L767" s="36" t="s">
        <v>263</v>
      </c>
      <c r="M767" s="37" t="s">
        <v>359</v>
      </c>
      <c r="N767" s="37" t="s">
        <v>290</v>
      </c>
      <c r="O767" s="27" t="s">
        <v>1252</v>
      </c>
      <c r="P767" s="27"/>
      <c r="Q767" s="27" t="s">
        <v>675</v>
      </c>
      <c r="R767" s="27"/>
      <c r="S767" s="1" t="s">
        <v>264</v>
      </c>
      <c r="T767" s="29" t="s">
        <v>265</v>
      </c>
      <c r="U767" s="30">
        <v>46168</v>
      </c>
      <c r="V767" s="27" t="s">
        <v>298</v>
      </c>
      <c r="W767" s="27"/>
    </row>
    <row r="768" spans="1:23" ht="24" customHeight="1">
      <c r="A768" s="27" t="str">
        <f t="shared" ca="1" si="11"/>
        <v>EVT-2026-0766</v>
      </c>
      <c r="B768" s="27">
        <v>2026</v>
      </c>
      <c r="C768" s="27" t="s">
        <v>102</v>
      </c>
      <c r="D768" s="30">
        <v>46175</v>
      </c>
      <c r="E768" s="27" t="s">
        <v>227</v>
      </c>
      <c r="F768" s="27" t="s">
        <v>126</v>
      </c>
      <c r="G768" s="27" t="s">
        <v>208</v>
      </c>
      <c r="H768" s="27" t="s">
        <v>1248</v>
      </c>
      <c r="I768" s="27" t="s">
        <v>1246</v>
      </c>
      <c r="J768" s="27" t="s">
        <v>152</v>
      </c>
      <c r="K768" s="10">
        <v>1</v>
      </c>
      <c r="L768" s="36" t="s">
        <v>263</v>
      </c>
      <c r="M768" s="37" t="s">
        <v>269</v>
      </c>
      <c r="N768" s="37" t="s">
        <v>270</v>
      </c>
      <c r="O768" s="27"/>
      <c r="P768" s="27"/>
      <c r="Q768" s="27" t="s">
        <v>1249</v>
      </c>
      <c r="R768" s="27"/>
      <c r="S768" s="1" t="s">
        <v>264</v>
      </c>
      <c r="T768" s="29" t="s">
        <v>265</v>
      </c>
      <c r="U768" s="27"/>
      <c r="V768" s="27"/>
      <c r="W768" s="27"/>
    </row>
    <row r="769" spans="1:23" ht="24" customHeight="1">
      <c r="A769" s="27" t="str">
        <f t="shared" ca="1" si="11"/>
        <v>EVT-2026-0767</v>
      </c>
      <c r="B769" s="27">
        <v>2026</v>
      </c>
      <c r="C769" s="27" t="s">
        <v>102</v>
      </c>
      <c r="D769" s="30">
        <v>46175</v>
      </c>
      <c r="E769" s="27" t="s">
        <v>227</v>
      </c>
      <c r="F769" s="27" t="s">
        <v>126</v>
      </c>
      <c r="G769" s="27" t="s">
        <v>208</v>
      </c>
      <c r="H769" s="27" t="s">
        <v>348</v>
      </c>
      <c r="I769" s="27" t="s">
        <v>1253</v>
      </c>
      <c r="J769" s="27" t="s">
        <v>134</v>
      </c>
      <c r="K769" s="10">
        <v>50</v>
      </c>
      <c r="L769" s="36" t="s">
        <v>263</v>
      </c>
      <c r="M769" s="37" t="s">
        <v>354</v>
      </c>
      <c r="N769" s="37" t="s">
        <v>350</v>
      </c>
      <c r="O769" s="27" t="s">
        <v>1254</v>
      </c>
      <c r="P769" s="27"/>
      <c r="Q769" s="27" t="s">
        <v>675</v>
      </c>
      <c r="R769" s="27"/>
      <c r="S769" s="3" t="s">
        <v>312</v>
      </c>
      <c r="T769" s="29" t="s">
        <v>265</v>
      </c>
      <c r="U769" s="30">
        <v>46168</v>
      </c>
      <c r="V769" s="27" t="s">
        <v>1255</v>
      </c>
      <c r="W769" s="27"/>
    </row>
    <row r="770" spans="1:23" ht="24" customHeight="1">
      <c r="A770" s="27" t="str">
        <f t="shared" ca="1" si="11"/>
        <v>EVT-2026-0768</v>
      </c>
      <c r="B770" s="27">
        <v>2026</v>
      </c>
      <c r="C770" s="27" t="s">
        <v>102</v>
      </c>
      <c r="D770" s="30">
        <v>46175</v>
      </c>
      <c r="E770" s="27" t="s">
        <v>227</v>
      </c>
      <c r="F770" s="27" t="s">
        <v>126</v>
      </c>
      <c r="G770" s="27" t="s">
        <v>208</v>
      </c>
      <c r="H770" s="27" t="s">
        <v>348</v>
      </c>
      <c r="I770" s="27" t="s">
        <v>1256</v>
      </c>
      <c r="J770" s="27" t="s">
        <v>158</v>
      </c>
      <c r="K770" s="10">
        <v>30</v>
      </c>
      <c r="L770" s="36" t="s">
        <v>263</v>
      </c>
      <c r="M770" s="37" t="s">
        <v>359</v>
      </c>
      <c r="N770" s="37" t="s">
        <v>290</v>
      </c>
      <c r="O770" s="27"/>
      <c r="P770" s="27"/>
      <c r="Q770" s="27" t="s">
        <v>675</v>
      </c>
      <c r="R770" s="27"/>
      <c r="S770" s="1" t="s">
        <v>264</v>
      </c>
      <c r="T770" s="29" t="s">
        <v>265</v>
      </c>
      <c r="U770" s="30">
        <v>46168</v>
      </c>
      <c r="V770" s="27" t="s">
        <v>298</v>
      </c>
      <c r="W770" s="27"/>
    </row>
    <row r="771" spans="1:23" ht="24" customHeight="1">
      <c r="A771" s="27" t="str">
        <f t="shared" ref="A771:A834" ca="1" si="12">IF(OR(D771&lt;&gt;"",H771&lt;&gt;"",I771&lt;&gt;"",Q771&lt;&gt;"",S771&lt;&gt;""), "EVT-" &amp; TEXT(B771, "0000") &amp; "-" &amp; TEXT(COUNTIF(OFFSET($A$1, 1, 0, ROW()-2, 1), "EVT*") + 1, "0000"), "")</f>
        <v>EVT-2026-0769</v>
      </c>
      <c r="B771" s="27">
        <v>2026</v>
      </c>
      <c r="C771" s="27" t="s">
        <v>102</v>
      </c>
      <c r="D771" s="30">
        <v>46175</v>
      </c>
      <c r="E771" s="27" t="s">
        <v>227</v>
      </c>
      <c r="F771" s="27" t="s">
        <v>126</v>
      </c>
      <c r="G771" s="27" t="s">
        <v>202</v>
      </c>
      <c r="H771" s="27" t="s">
        <v>239</v>
      </c>
      <c r="I771" s="27" t="s">
        <v>1257</v>
      </c>
      <c r="J771" s="27" t="s">
        <v>127</v>
      </c>
      <c r="K771" s="10">
        <v>150</v>
      </c>
      <c r="L771" s="38" t="s">
        <v>294</v>
      </c>
      <c r="M771" s="37" t="s">
        <v>274</v>
      </c>
      <c r="N771" s="37" t="s">
        <v>330</v>
      </c>
      <c r="O771" s="27"/>
      <c r="P771" s="27"/>
      <c r="Q771" s="27" t="s">
        <v>993</v>
      </c>
      <c r="R771" s="27"/>
      <c r="S771" s="1" t="s">
        <v>264</v>
      </c>
      <c r="T771" s="29" t="s">
        <v>265</v>
      </c>
      <c r="U771" s="30">
        <v>46114</v>
      </c>
      <c r="V771" s="27" t="s">
        <v>298</v>
      </c>
      <c r="W771" s="27"/>
    </row>
    <row r="772" spans="1:23" ht="24" customHeight="1">
      <c r="A772" s="27" t="str">
        <f t="shared" ca="1" si="12"/>
        <v>EVT-2026-0770</v>
      </c>
      <c r="B772" s="27">
        <v>2026</v>
      </c>
      <c r="C772" s="27" t="s">
        <v>102</v>
      </c>
      <c r="D772" s="30">
        <v>46175</v>
      </c>
      <c r="E772" s="27" t="s">
        <v>227</v>
      </c>
      <c r="F772" s="27" t="s">
        <v>126</v>
      </c>
      <c r="G772" s="27" t="s">
        <v>208</v>
      </c>
      <c r="H772" s="27" t="s">
        <v>1258</v>
      </c>
      <c r="I772" s="27" t="s">
        <v>1246</v>
      </c>
      <c r="J772" s="27" t="s">
        <v>152</v>
      </c>
      <c r="K772" s="10">
        <v>1</v>
      </c>
      <c r="L772" s="36" t="s">
        <v>263</v>
      </c>
      <c r="M772" s="37" t="s">
        <v>269</v>
      </c>
      <c r="N772" s="37" t="s">
        <v>270</v>
      </c>
      <c r="O772" s="27"/>
      <c r="P772" s="27"/>
      <c r="Q772" s="27" t="s">
        <v>774</v>
      </c>
      <c r="R772" s="27"/>
      <c r="S772" s="1" t="s">
        <v>264</v>
      </c>
      <c r="T772" s="29" t="s">
        <v>265</v>
      </c>
      <c r="U772" s="27"/>
      <c r="V772" s="27" t="s">
        <v>1250</v>
      </c>
      <c r="W772" s="27"/>
    </row>
    <row r="773" spans="1:23" ht="24" customHeight="1">
      <c r="A773" s="27" t="str">
        <f t="shared" ca="1" si="12"/>
        <v>EVT-2026-0771</v>
      </c>
      <c r="B773" s="27">
        <v>2026</v>
      </c>
      <c r="C773" s="27" t="s">
        <v>102</v>
      </c>
      <c r="D773" s="30">
        <v>46175</v>
      </c>
      <c r="E773" s="27" t="s">
        <v>227</v>
      </c>
      <c r="F773" s="27" t="s">
        <v>126</v>
      </c>
      <c r="G773" s="27" t="s">
        <v>228</v>
      </c>
      <c r="H773" s="27" t="s">
        <v>125</v>
      </c>
      <c r="I773" s="27" t="s">
        <v>1259</v>
      </c>
      <c r="J773" s="27" t="s">
        <v>165</v>
      </c>
      <c r="K773" s="10">
        <v>30</v>
      </c>
      <c r="L773" s="36" t="s">
        <v>263</v>
      </c>
      <c r="M773" s="37" t="s">
        <v>309</v>
      </c>
      <c r="N773" s="37" t="s">
        <v>295</v>
      </c>
      <c r="O773" s="27"/>
      <c r="P773" s="27"/>
      <c r="Q773" s="27" t="s">
        <v>367</v>
      </c>
      <c r="R773" s="27"/>
      <c r="S773" s="3" t="s">
        <v>312</v>
      </c>
      <c r="T773" s="29" t="s">
        <v>265</v>
      </c>
      <c r="U773" s="30">
        <v>46154</v>
      </c>
      <c r="V773" s="27" t="s">
        <v>298</v>
      </c>
      <c r="W773" s="27"/>
    </row>
    <row r="774" spans="1:23" ht="24" customHeight="1">
      <c r="A774" s="27" t="str">
        <f t="shared" ca="1" si="12"/>
        <v>EVT-2026-0772</v>
      </c>
      <c r="B774" s="27">
        <v>2026</v>
      </c>
      <c r="C774" s="27" t="s">
        <v>102</v>
      </c>
      <c r="D774" s="30">
        <v>46175</v>
      </c>
      <c r="E774" s="27" t="s">
        <v>227</v>
      </c>
      <c r="F774" s="27" t="s">
        <v>126</v>
      </c>
      <c r="G774" s="27" t="s">
        <v>1260</v>
      </c>
      <c r="H774" s="27" t="s">
        <v>1167</v>
      </c>
      <c r="I774" s="27" t="s">
        <v>1261</v>
      </c>
      <c r="J774" s="27" t="s">
        <v>177</v>
      </c>
      <c r="K774" s="10">
        <v>15</v>
      </c>
      <c r="L774" s="36" t="s">
        <v>263</v>
      </c>
      <c r="M774" s="37" t="s">
        <v>359</v>
      </c>
      <c r="N774" s="37" t="s">
        <v>270</v>
      </c>
      <c r="O774" s="27"/>
      <c r="P774" s="27"/>
      <c r="Q774" s="27" t="s">
        <v>1262</v>
      </c>
      <c r="R774" s="27"/>
      <c r="S774" s="1" t="s">
        <v>264</v>
      </c>
      <c r="T774" s="29" t="s">
        <v>265</v>
      </c>
      <c r="U774" s="30">
        <v>46174</v>
      </c>
      <c r="V774" s="27" t="s">
        <v>298</v>
      </c>
      <c r="W774" s="27"/>
    </row>
    <row r="775" spans="1:23" ht="24" customHeight="1">
      <c r="A775" s="27" t="str">
        <f t="shared" ca="1" si="12"/>
        <v>EVT-2026-0773</v>
      </c>
      <c r="B775" s="27">
        <v>2026</v>
      </c>
      <c r="C775" s="27" t="s">
        <v>102</v>
      </c>
      <c r="D775" s="30">
        <v>46176</v>
      </c>
      <c r="E775" s="27" t="s">
        <v>201</v>
      </c>
      <c r="F775" s="27" t="s">
        <v>126</v>
      </c>
      <c r="G775" s="27" t="s">
        <v>1260</v>
      </c>
      <c r="H775" s="27" t="s">
        <v>1167</v>
      </c>
      <c r="I775" s="27" t="s">
        <v>1261</v>
      </c>
      <c r="J775" s="27" t="s">
        <v>177</v>
      </c>
      <c r="K775" s="10">
        <v>15</v>
      </c>
      <c r="L775" s="36" t="s">
        <v>263</v>
      </c>
      <c r="M775" s="37" t="s">
        <v>309</v>
      </c>
      <c r="N775" s="37" t="s">
        <v>448</v>
      </c>
      <c r="O775" s="27"/>
      <c r="P775" s="27"/>
      <c r="Q775" s="27" t="s">
        <v>1262</v>
      </c>
      <c r="R775" s="27"/>
      <c r="S775" s="1" t="s">
        <v>264</v>
      </c>
      <c r="T775" s="29" t="s">
        <v>265</v>
      </c>
      <c r="U775" s="30">
        <v>46174</v>
      </c>
      <c r="V775" s="27" t="s">
        <v>298</v>
      </c>
      <c r="W775" s="27"/>
    </row>
    <row r="776" spans="1:23" ht="24" customHeight="1">
      <c r="A776" s="27" t="str">
        <f t="shared" ca="1" si="12"/>
        <v>EVT-2026-0774</v>
      </c>
      <c r="B776" s="27">
        <v>2026</v>
      </c>
      <c r="C776" s="27" t="s">
        <v>102</v>
      </c>
      <c r="D776" s="30">
        <v>46176</v>
      </c>
      <c r="E776" s="27" t="s">
        <v>201</v>
      </c>
      <c r="F776" s="27" t="s">
        <v>126</v>
      </c>
      <c r="G776" s="27" t="s">
        <v>228</v>
      </c>
      <c r="H776" s="27" t="s">
        <v>125</v>
      </c>
      <c r="I776" s="27" t="s">
        <v>1259</v>
      </c>
      <c r="J776" s="27" t="s">
        <v>165</v>
      </c>
      <c r="K776" s="10">
        <v>30</v>
      </c>
      <c r="L776" s="36" t="s">
        <v>263</v>
      </c>
      <c r="M776" s="37" t="s">
        <v>330</v>
      </c>
      <c r="N776" s="37" t="s">
        <v>354</v>
      </c>
      <c r="O776" s="27"/>
      <c r="P776" s="27"/>
      <c r="Q776" s="27" t="s">
        <v>367</v>
      </c>
      <c r="R776" s="27"/>
      <c r="S776" s="1" t="s">
        <v>264</v>
      </c>
      <c r="T776" s="29" t="s">
        <v>265</v>
      </c>
      <c r="U776" s="30">
        <v>46175</v>
      </c>
      <c r="V776" s="27" t="s">
        <v>298</v>
      </c>
      <c r="W776" s="27"/>
    </row>
    <row r="777" spans="1:23" ht="24" customHeight="1">
      <c r="A777" s="27" t="str">
        <f t="shared" ca="1" si="12"/>
        <v>EVT-2026-0775</v>
      </c>
      <c r="B777" s="27">
        <v>2026</v>
      </c>
      <c r="C777" s="27" t="s">
        <v>102</v>
      </c>
      <c r="D777" s="30">
        <v>46176</v>
      </c>
      <c r="E777" s="27" t="s">
        <v>201</v>
      </c>
      <c r="F777" s="27" t="s">
        <v>126</v>
      </c>
      <c r="G777" s="27" t="s">
        <v>228</v>
      </c>
      <c r="H777" s="27" t="s">
        <v>125</v>
      </c>
      <c r="I777" s="27" t="s">
        <v>874</v>
      </c>
      <c r="J777" s="27" t="s">
        <v>139</v>
      </c>
      <c r="K777" s="10">
        <v>50</v>
      </c>
      <c r="L777" s="36" t="s">
        <v>263</v>
      </c>
      <c r="M777" s="37" t="s">
        <v>639</v>
      </c>
      <c r="N777" s="37" t="s">
        <v>289</v>
      </c>
      <c r="O777" s="27"/>
      <c r="P777" s="27"/>
      <c r="Q777" s="27" t="s">
        <v>370</v>
      </c>
      <c r="R777" s="27"/>
      <c r="S777" s="1" t="s">
        <v>264</v>
      </c>
      <c r="T777" s="29" t="s">
        <v>265</v>
      </c>
      <c r="U777" s="30">
        <v>46162</v>
      </c>
      <c r="V777" s="27" t="s">
        <v>298</v>
      </c>
      <c r="W777" s="27"/>
    </row>
    <row r="778" spans="1:23" ht="24" customHeight="1">
      <c r="A778" s="27" t="str">
        <f t="shared" ca="1" si="12"/>
        <v>EVT-2026-0776</v>
      </c>
      <c r="B778" s="27">
        <v>2026</v>
      </c>
      <c r="C778" s="27" t="s">
        <v>102</v>
      </c>
      <c r="D778" s="30">
        <v>46176</v>
      </c>
      <c r="E778" s="27" t="s">
        <v>201</v>
      </c>
      <c r="F778" s="27" t="s">
        <v>126</v>
      </c>
      <c r="G778" s="27" t="s">
        <v>228</v>
      </c>
      <c r="H778" s="27" t="s">
        <v>125</v>
      </c>
      <c r="I778" s="27" t="s">
        <v>1263</v>
      </c>
      <c r="J778" s="27" t="s">
        <v>127</v>
      </c>
      <c r="K778" s="10">
        <v>150</v>
      </c>
      <c r="L778" s="38" t="s">
        <v>294</v>
      </c>
      <c r="M778" s="37" t="s">
        <v>359</v>
      </c>
      <c r="N778" s="37" t="s">
        <v>270</v>
      </c>
      <c r="O778" s="27"/>
      <c r="P778" s="27"/>
      <c r="Q778" s="27" t="s">
        <v>774</v>
      </c>
      <c r="R778" s="27"/>
      <c r="S778" s="1" t="s">
        <v>264</v>
      </c>
      <c r="T778" s="29" t="s">
        <v>265</v>
      </c>
      <c r="U778" s="27"/>
      <c r="V778" s="27" t="s">
        <v>298</v>
      </c>
      <c r="W778" s="27"/>
    </row>
    <row r="779" spans="1:23" ht="24" customHeight="1">
      <c r="A779" s="27" t="str">
        <f t="shared" ca="1" si="12"/>
        <v>EVT-2026-0777</v>
      </c>
      <c r="B779" s="27">
        <v>2026</v>
      </c>
      <c r="C779" s="27" t="s">
        <v>102</v>
      </c>
      <c r="D779" s="30">
        <v>46176</v>
      </c>
      <c r="E779" s="27" t="s">
        <v>201</v>
      </c>
      <c r="F779" s="27" t="s">
        <v>126</v>
      </c>
      <c r="G779" s="27" t="s">
        <v>208</v>
      </c>
      <c r="H779" s="27" t="s">
        <v>348</v>
      </c>
      <c r="I779" s="27" t="s">
        <v>1264</v>
      </c>
      <c r="J779" s="27" t="s">
        <v>158</v>
      </c>
      <c r="K779" s="10">
        <v>20</v>
      </c>
      <c r="L779" s="36" t="s">
        <v>263</v>
      </c>
      <c r="M779" s="37" t="s">
        <v>275</v>
      </c>
      <c r="N779" s="37" t="s">
        <v>309</v>
      </c>
      <c r="O779" s="27"/>
      <c r="P779" s="27"/>
      <c r="Q779" s="27" t="s">
        <v>675</v>
      </c>
      <c r="R779" s="27"/>
      <c r="S779" s="1" t="s">
        <v>264</v>
      </c>
      <c r="T779" s="29" t="s">
        <v>265</v>
      </c>
      <c r="U779" s="27"/>
      <c r="V779" s="27" t="s">
        <v>298</v>
      </c>
      <c r="W779" s="27"/>
    </row>
    <row r="780" spans="1:23" ht="24" customHeight="1">
      <c r="A780" s="27" t="str">
        <f t="shared" ca="1" si="12"/>
        <v>EVT-2026-0778</v>
      </c>
      <c r="B780" s="27">
        <v>2026</v>
      </c>
      <c r="C780" s="27" t="s">
        <v>102</v>
      </c>
      <c r="D780" s="30">
        <v>46176</v>
      </c>
      <c r="E780" s="27" t="s">
        <v>201</v>
      </c>
      <c r="F780" s="27" t="s">
        <v>126</v>
      </c>
      <c r="G780" s="27" t="s">
        <v>1260</v>
      </c>
      <c r="H780" s="27" t="s">
        <v>348</v>
      </c>
      <c r="I780" s="27" t="s">
        <v>1265</v>
      </c>
      <c r="J780" s="27" t="s">
        <v>158</v>
      </c>
      <c r="K780" s="10">
        <v>25</v>
      </c>
      <c r="L780" s="36" t="s">
        <v>263</v>
      </c>
      <c r="M780" s="37" t="s">
        <v>429</v>
      </c>
      <c r="N780" s="37" t="s">
        <v>354</v>
      </c>
      <c r="O780" s="27"/>
      <c r="P780" s="27"/>
      <c r="Q780" s="27" t="s">
        <v>1249</v>
      </c>
      <c r="R780" s="27"/>
      <c r="S780" s="1" t="s">
        <v>264</v>
      </c>
      <c r="T780" s="29" t="s">
        <v>265</v>
      </c>
      <c r="U780" s="30">
        <v>46170</v>
      </c>
      <c r="V780" s="27" t="s">
        <v>298</v>
      </c>
      <c r="W780" s="27"/>
    </row>
    <row r="781" spans="1:23" ht="24" customHeight="1">
      <c r="A781" s="27" t="str">
        <f t="shared" ca="1" si="12"/>
        <v>EVT-2026-0779</v>
      </c>
      <c r="B781" s="27">
        <v>2026</v>
      </c>
      <c r="C781" s="27" t="s">
        <v>102</v>
      </c>
      <c r="D781" s="30">
        <v>46176</v>
      </c>
      <c r="E781" s="27" t="s">
        <v>201</v>
      </c>
      <c r="F781" s="27" t="s">
        <v>126</v>
      </c>
      <c r="G781" s="27" t="s">
        <v>208</v>
      </c>
      <c r="H781" s="27" t="s">
        <v>348</v>
      </c>
      <c r="I781" s="27" t="s">
        <v>349</v>
      </c>
      <c r="J781" s="27" t="s">
        <v>145</v>
      </c>
      <c r="K781" s="10">
        <v>50</v>
      </c>
      <c r="L781" s="36" t="s">
        <v>263</v>
      </c>
      <c r="M781" s="37" t="s">
        <v>1266</v>
      </c>
      <c r="N781" s="37" t="s">
        <v>270</v>
      </c>
      <c r="O781" s="27"/>
      <c r="P781" s="27"/>
      <c r="Q781" s="27" t="s">
        <v>351</v>
      </c>
      <c r="R781" s="27"/>
      <c r="S781" s="1" t="s">
        <v>264</v>
      </c>
      <c r="T781" s="29" t="s">
        <v>265</v>
      </c>
      <c r="U781" s="27"/>
      <c r="V781" s="27" t="s">
        <v>1185</v>
      </c>
      <c r="W781" s="27"/>
    </row>
    <row r="782" spans="1:23" ht="24" customHeight="1">
      <c r="A782" s="27" t="str">
        <f t="shared" ca="1" si="12"/>
        <v>EVT-2026-0780</v>
      </c>
      <c r="B782" s="27">
        <v>2026</v>
      </c>
      <c r="C782" s="27" t="s">
        <v>102</v>
      </c>
      <c r="D782" s="30">
        <v>46176</v>
      </c>
      <c r="E782" s="27" t="s">
        <v>201</v>
      </c>
      <c r="F782" s="27" t="s">
        <v>126</v>
      </c>
      <c r="G782" s="27" t="s">
        <v>202</v>
      </c>
      <c r="H782" s="27" t="s">
        <v>1267</v>
      </c>
      <c r="I782" s="27" t="s">
        <v>1268</v>
      </c>
      <c r="J782" s="27" t="s">
        <v>177</v>
      </c>
      <c r="K782" s="10">
        <v>80</v>
      </c>
      <c r="L782" s="36" t="s">
        <v>263</v>
      </c>
      <c r="M782" s="37" t="s">
        <v>331</v>
      </c>
      <c r="N782" s="37" t="s">
        <v>350</v>
      </c>
      <c r="O782" s="27"/>
      <c r="P782" s="27"/>
      <c r="Q782" s="27" t="s">
        <v>615</v>
      </c>
      <c r="R782" s="27"/>
      <c r="S782" s="1" t="s">
        <v>264</v>
      </c>
      <c r="T782" s="29" t="s">
        <v>265</v>
      </c>
      <c r="U782" s="30">
        <v>46175</v>
      </c>
      <c r="V782" s="27" t="s">
        <v>1269</v>
      </c>
      <c r="W782" s="27"/>
    </row>
    <row r="783" spans="1:23" ht="24" customHeight="1">
      <c r="A783" s="27" t="str">
        <f t="shared" ca="1" si="12"/>
        <v>EVT-2026-0781</v>
      </c>
      <c r="B783" s="27">
        <v>2026</v>
      </c>
      <c r="C783" s="27" t="s">
        <v>102</v>
      </c>
      <c r="D783" s="30">
        <v>46176</v>
      </c>
      <c r="E783" s="27" t="s">
        <v>201</v>
      </c>
      <c r="F783" s="27" t="s">
        <v>126</v>
      </c>
      <c r="G783" s="27" t="s">
        <v>202</v>
      </c>
      <c r="H783" s="27" t="s">
        <v>736</v>
      </c>
      <c r="I783" s="27" t="s">
        <v>1270</v>
      </c>
      <c r="J783" s="27" t="s">
        <v>134</v>
      </c>
      <c r="K783" s="10">
        <v>35</v>
      </c>
      <c r="L783" s="36" t="s">
        <v>263</v>
      </c>
      <c r="M783" s="37" t="s">
        <v>315</v>
      </c>
      <c r="N783" s="37" t="s">
        <v>270</v>
      </c>
      <c r="O783" s="27"/>
      <c r="P783" s="27"/>
      <c r="Q783" s="27" t="s">
        <v>367</v>
      </c>
      <c r="R783" s="27"/>
      <c r="S783" s="3" t="s">
        <v>312</v>
      </c>
      <c r="T783" s="29" t="s">
        <v>265</v>
      </c>
      <c r="U783" s="27"/>
      <c r="V783" s="27" t="s">
        <v>1271</v>
      </c>
      <c r="W783" s="27"/>
    </row>
    <row r="784" spans="1:23" ht="24" customHeight="1">
      <c r="A784" s="27" t="str">
        <f t="shared" ca="1" si="12"/>
        <v>EVT-2026-0782</v>
      </c>
      <c r="B784" s="27">
        <v>2026</v>
      </c>
      <c r="C784" s="27" t="s">
        <v>102</v>
      </c>
      <c r="D784" s="30">
        <v>46177</v>
      </c>
      <c r="E784" s="27" t="s">
        <v>216</v>
      </c>
      <c r="F784" s="27" t="s">
        <v>126</v>
      </c>
      <c r="G784" s="27" t="s">
        <v>208</v>
      </c>
      <c r="H784" s="27" t="s">
        <v>348</v>
      </c>
      <c r="I784" s="27" t="s">
        <v>1272</v>
      </c>
      <c r="J784" s="27" t="s">
        <v>165</v>
      </c>
      <c r="K784" s="10">
        <v>100</v>
      </c>
      <c r="L784" s="38" t="s">
        <v>294</v>
      </c>
      <c r="M784" s="37" t="s">
        <v>331</v>
      </c>
      <c r="N784" s="37" t="s">
        <v>639</v>
      </c>
      <c r="O784" s="27"/>
      <c r="P784" s="27"/>
      <c r="Q784" s="27" t="s">
        <v>1273</v>
      </c>
      <c r="R784" s="27"/>
      <c r="S784" s="1" t="s">
        <v>264</v>
      </c>
      <c r="T784" s="29" t="s">
        <v>265</v>
      </c>
      <c r="U784" s="27" t="s">
        <v>1274</v>
      </c>
      <c r="V784" s="27" t="s">
        <v>298</v>
      </c>
      <c r="W784" s="27"/>
    </row>
    <row r="785" spans="1:23" ht="24" customHeight="1">
      <c r="A785" s="27" t="str">
        <f t="shared" ca="1" si="12"/>
        <v>EVT-2026-0783</v>
      </c>
      <c r="B785" s="27">
        <v>2026</v>
      </c>
      <c r="C785" s="27" t="s">
        <v>102</v>
      </c>
      <c r="D785" s="30">
        <v>46177</v>
      </c>
      <c r="E785" s="27" t="s">
        <v>216</v>
      </c>
      <c r="F785" s="27" t="s">
        <v>126</v>
      </c>
      <c r="G785" s="27" t="s">
        <v>228</v>
      </c>
      <c r="H785" s="27" t="s">
        <v>125</v>
      </c>
      <c r="I785" s="27" t="s">
        <v>874</v>
      </c>
      <c r="J785" s="27" t="s">
        <v>139</v>
      </c>
      <c r="K785" s="10">
        <v>50</v>
      </c>
      <c r="L785" s="36" t="s">
        <v>263</v>
      </c>
      <c r="M785" s="37" t="s">
        <v>309</v>
      </c>
      <c r="N785" s="37" t="s">
        <v>270</v>
      </c>
      <c r="O785" s="27"/>
      <c r="P785" s="27"/>
      <c r="Q785" s="27" t="s">
        <v>370</v>
      </c>
      <c r="R785" s="27"/>
      <c r="S785" s="1" t="s">
        <v>264</v>
      </c>
      <c r="T785" s="29" t="s">
        <v>265</v>
      </c>
      <c r="U785" s="30">
        <v>46162</v>
      </c>
      <c r="V785" s="27" t="s">
        <v>298</v>
      </c>
      <c r="W785" s="27"/>
    </row>
    <row r="786" spans="1:23" ht="24" customHeight="1">
      <c r="A786" s="27" t="str">
        <f t="shared" ca="1" si="12"/>
        <v>EVT-2026-0784</v>
      </c>
      <c r="B786" s="27">
        <v>2026</v>
      </c>
      <c r="C786" s="27" t="s">
        <v>102</v>
      </c>
      <c r="D786" s="30">
        <v>46177</v>
      </c>
      <c r="E786" s="27" t="s">
        <v>216</v>
      </c>
      <c r="F786" s="27" t="s">
        <v>126</v>
      </c>
      <c r="G786" s="27" t="s">
        <v>1260</v>
      </c>
      <c r="H786" s="27" t="s">
        <v>348</v>
      </c>
      <c r="I786" s="27" t="s">
        <v>710</v>
      </c>
      <c r="J786" s="27" t="s">
        <v>158</v>
      </c>
      <c r="K786" s="10">
        <v>30</v>
      </c>
      <c r="L786" s="36" t="s">
        <v>263</v>
      </c>
      <c r="M786" s="37" t="s">
        <v>309</v>
      </c>
      <c r="N786" s="37" t="s">
        <v>295</v>
      </c>
      <c r="O786" s="27"/>
      <c r="P786" s="27"/>
      <c r="Q786" s="27" t="s">
        <v>673</v>
      </c>
      <c r="R786" s="27"/>
      <c r="S786" s="1" t="s">
        <v>264</v>
      </c>
      <c r="T786" s="29" t="s">
        <v>265</v>
      </c>
      <c r="U786" s="27"/>
      <c r="V786" s="27" t="s">
        <v>298</v>
      </c>
      <c r="W786" s="27"/>
    </row>
    <row r="787" spans="1:23" ht="24" customHeight="1">
      <c r="A787" s="27" t="str">
        <f t="shared" ca="1" si="12"/>
        <v>EVT-2026-0785</v>
      </c>
      <c r="B787" s="27">
        <v>2026</v>
      </c>
      <c r="C787" s="27" t="s">
        <v>102</v>
      </c>
      <c r="D787" s="30">
        <v>46177</v>
      </c>
      <c r="E787" s="27" t="s">
        <v>216</v>
      </c>
      <c r="F787" s="27" t="s">
        <v>126</v>
      </c>
      <c r="G787" s="27" t="s">
        <v>208</v>
      </c>
      <c r="H787" s="27" t="s">
        <v>348</v>
      </c>
      <c r="I787" s="27" t="s">
        <v>217</v>
      </c>
      <c r="J787" s="27" t="s">
        <v>145</v>
      </c>
      <c r="K787" s="10">
        <v>50</v>
      </c>
      <c r="L787" s="36" t="s">
        <v>263</v>
      </c>
      <c r="M787" s="37" t="s">
        <v>309</v>
      </c>
      <c r="N787" s="37" t="s">
        <v>270</v>
      </c>
      <c r="O787" s="27"/>
      <c r="P787" s="27"/>
      <c r="Q787" s="27" t="s">
        <v>351</v>
      </c>
      <c r="R787" s="27"/>
      <c r="S787" s="1" t="s">
        <v>264</v>
      </c>
      <c r="T787" s="29" t="s">
        <v>265</v>
      </c>
      <c r="U787" s="27"/>
      <c r="V787" s="27" t="s">
        <v>1275</v>
      </c>
      <c r="W787" s="27"/>
    </row>
    <row r="788" spans="1:23" ht="24" customHeight="1">
      <c r="A788" s="27" t="str">
        <f t="shared" ca="1" si="12"/>
        <v>EVT-2026-0786</v>
      </c>
      <c r="B788" s="27">
        <v>2026</v>
      </c>
      <c r="C788" s="27" t="s">
        <v>102</v>
      </c>
      <c r="D788" s="30">
        <v>46177</v>
      </c>
      <c r="E788" s="27" t="s">
        <v>216</v>
      </c>
      <c r="F788" s="27" t="s">
        <v>126</v>
      </c>
      <c r="G788" s="27" t="s">
        <v>202</v>
      </c>
      <c r="H788" s="27" t="s">
        <v>239</v>
      </c>
      <c r="I788" s="27" t="s">
        <v>1276</v>
      </c>
      <c r="J788" s="27" t="s">
        <v>152</v>
      </c>
      <c r="K788" s="10">
        <v>100</v>
      </c>
      <c r="L788" s="38" t="s">
        <v>294</v>
      </c>
      <c r="M788" s="37" t="s">
        <v>295</v>
      </c>
      <c r="N788" s="37" t="s">
        <v>296</v>
      </c>
      <c r="O788" s="27"/>
      <c r="P788" s="27"/>
      <c r="Q788" s="27" t="s">
        <v>518</v>
      </c>
      <c r="R788" s="27"/>
      <c r="S788" s="1" t="s">
        <v>264</v>
      </c>
      <c r="T788" s="29" t="s">
        <v>265</v>
      </c>
      <c r="U788" s="30">
        <v>46155</v>
      </c>
      <c r="V788" s="27" t="s">
        <v>1150</v>
      </c>
      <c r="W788" s="27"/>
    </row>
    <row r="789" spans="1:23" ht="24" customHeight="1">
      <c r="A789" s="27" t="str">
        <f t="shared" ca="1" si="12"/>
        <v>EVT-2026-0787</v>
      </c>
      <c r="B789" s="27">
        <v>2026</v>
      </c>
      <c r="C789" s="27" t="s">
        <v>102</v>
      </c>
      <c r="D789" s="30">
        <v>46178</v>
      </c>
      <c r="E789" s="27" t="s">
        <v>220</v>
      </c>
      <c r="F789" s="27" t="s">
        <v>126</v>
      </c>
      <c r="G789" s="27" t="s">
        <v>228</v>
      </c>
      <c r="H789" s="27" t="s">
        <v>736</v>
      </c>
      <c r="I789" s="27" t="s">
        <v>874</v>
      </c>
      <c r="J789" s="27" t="s">
        <v>139</v>
      </c>
      <c r="K789" s="10">
        <v>50</v>
      </c>
      <c r="L789" s="36" t="s">
        <v>263</v>
      </c>
      <c r="M789" s="37" t="s">
        <v>309</v>
      </c>
      <c r="N789" s="37" t="s">
        <v>270</v>
      </c>
      <c r="O789" s="27"/>
      <c r="P789" s="27"/>
      <c r="Q789" s="27" t="s">
        <v>370</v>
      </c>
      <c r="R789" s="27"/>
      <c r="S789" s="1" t="s">
        <v>264</v>
      </c>
      <c r="T789" s="29" t="s">
        <v>265</v>
      </c>
      <c r="U789" s="30">
        <v>46162</v>
      </c>
      <c r="V789" s="27" t="s">
        <v>1275</v>
      </c>
      <c r="W789" s="27"/>
    </row>
    <row r="790" spans="1:23" ht="24" customHeight="1">
      <c r="A790" s="27" t="str">
        <f t="shared" ca="1" si="12"/>
        <v>EVT-2026-0788</v>
      </c>
      <c r="B790" s="27">
        <v>2026</v>
      </c>
      <c r="C790" s="27" t="s">
        <v>102</v>
      </c>
      <c r="D790" s="30">
        <v>46178</v>
      </c>
      <c r="E790" s="27" t="s">
        <v>220</v>
      </c>
      <c r="F790" s="27" t="s">
        <v>126</v>
      </c>
      <c r="G790" s="27" t="s">
        <v>228</v>
      </c>
      <c r="H790" s="27" t="s">
        <v>125</v>
      </c>
      <c r="I790" s="27" t="s">
        <v>1277</v>
      </c>
      <c r="J790" s="27" t="s">
        <v>177</v>
      </c>
      <c r="K790" s="10">
        <v>25</v>
      </c>
      <c r="L790" s="36" t="s">
        <v>263</v>
      </c>
      <c r="M790" s="37" t="s">
        <v>338</v>
      </c>
      <c r="N790" s="37" t="s">
        <v>270</v>
      </c>
      <c r="O790" s="27"/>
      <c r="P790" s="27"/>
      <c r="Q790" s="27" t="s">
        <v>1278</v>
      </c>
      <c r="R790" s="27"/>
      <c r="S790" s="1" t="s">
        <v>264</v>
      </c>
      <c r="T790" s="29" t="s">
        <v>265</v>
      </c>
      <c r="U790" s="30">
        <v>46177</v>
      </c>
      <c r="V790" s="27" t="s">
        <v>1279</v>
      </c>
      <c r="W790" s="27"/>
    </row>
    <row r="791" spans="1:23" ht="24" customHeight="1">
      <c r="A791" s="27" t="str">
        <f t="shared" ca="1" si="12"/>
        <v>EVT-2026-0789</v>
      </c>
      <c r="B791" s="27">
        <v>2026</v>
      </c>
      <c r="C791" s="27" t="s">
        <v>102</v>
      </c>
      <c r="D791" s="30">
        <v>46179</v>
      </c>
      <c r="E791" s="27" t="s">
        <v>266</v>
      </c>
      <c r="F791" s="27" t="s">
        <v>126</v>
      </c>
      <c r="G791" s="27"/>
      <c r="H791" s="27"/>
      <c r="I791" s="27"/>
      <c r="J791" s="27" t="s">
        <v>177</v>
      </c>
      <c r="K791" s="10">
        <v>0</v>
      </c>
      <c r="L791" s="36" t="s">
        <v>263</v>
      </c>
      <c r="M791" s="37"/>
      <c r="N791" s="37"/>
      <c r="O791" s="27"/>
      <c r="P791" s="27"/>
      <c r="Q791" s="27"/>
      <c r="R791" s="27"/>
      <c r="S791" s="1" t="s">
        <v>264</v>
      </c>
      <c r="T791" s="29" t="s">
        <v>265</v>
      </c>
      <c r="U791" s="27"/>
      <c r="V791" s="27"/>
      <c r="W791" s="27"/>
    </row>
    <row r="792" spans="1:23" ht="24" customHeight="1">
      <c r="A792" s="27" t="str">
        <f t="shared" ca="1" si="12"/>
        <v>EVT-2026-0790</v>
      </c>
      <c r="B792" s="27">
        <v>2026</v>
      </c>
      <c r="C792" s="27" t="s">
        <v>102</v>
      </c>
      <c r="D792" s="30">
        <v>46180</v>
      </c>
      <c r="E792" s="27" t="s">
        <v>267</v>
      </c>
      <c r="F792" s="27" t="s">
        <v>126</v>
      </c>
      <c r="G792" s="27"/>
      <c r="H792" s="27"/>
      <c r="I792" s="27"/>
      <c r="J792" s="27" t="s">
        <v>177</v>
      </c>
      <c r="K792" s="10">
        <v>0</v>
      </c>
      <c r="L792" s="36" t="s">
        <v>263</v>
      </c>
      <c r="M792" s="37"/>
      <c r="N792" s="37"/>
      <c r="O792" s="27"/>
      <c r="P792" s="27"/>
      <c r="Q792" s="27"/>
      <c r="R792" s="27"/>
      <c r="S792" s="1" t="s">
        <v>264</v>
      </c>
      <c r="T792" s="29" t="s">
        <v>265</v>
      </c>
      <c r="U792" s="27"/>
      <c r="V792" s="27"/>
      <c r="W792" s="27"/>
    </row>
    <row r="793" spans="1:23" ht="24" customHeight="1">
      <c r="A793" s="27" t="str">
        <f t="shared" ca="1" si="12"/>
        <v>EVT-2026-0791</v>
      </c>
      <c r="B793" s="27">
        <v>2026</v>
      </c>
      <c r="C793" s="27" t="s">
        <v>102</v>
      </c>
      <c r="D793" s="30">
        <v>46181</v>
      </c>
      <c r="E793" s="27" t="s">
        <v>224</v>
      </c>
      <c r="F793" s="27" t="s">
        <v>126</v>
      </c>
      <c r="G793" s="27" t="s">
        <v>228</v>
      </c>
      <c r="H793" s="27" t="s">
        <v>125</v>
      </c>
      <c r="I793" s="27" t="s">
        <v>1280</v>
      </c>
      <c r="J793" s="27" t="s">
        <v>177</v>
      </c>
      <c r="K793" s="10">
        <v>25</v>
      </c>
      <c r="L793" s="36" t="s">
        <v>263</v>
      </c>
      <c r="M793" s="37" t="s">
        <v>354</v>
      </c>
      <c r="N793" s="37" t="s">
        <v>275</v>
      </c>
      <c r="O793" s="27"/>
      <c r="P793" s="27"/>
      <c r="Q793" s="27" t="s">
        <v>1281</v>
      </c>
      <c r="R793" s="27"/>
      <c r="S793" s="1" t="s">
        <v>264</v>
      </c>
      <c r="T793" s="29" t="s">
        <v>265</v>
      </c>
      <c r="U793" s="27"/>
      <c r="V793" s="27" t="s">
        <v>1177</v>
      </c>
      <c r="W793" s="27"/>
    </row>
    <row r="794" spans="1:23" ht="24" customHeight="1">
      <c r="A794" s="27" t="str">
        <f t="shared" ca="1" si="12"/>
        <v>EVT-2026-0792</v>
      </c>
      <c r="B794" s="27">
        <v>2026</v>
      </c>
      <c r="C794" s="27" t="s">
        <v>102</v>
      </c>
      <c r="D794" s="30">
        <v>46181</v>
      </c>
      <c r="E794" s="27" t="s">
        <v>224</v>
      </c>
      <c r="F794" s="27" t="s">
        <v>126</v>
      </c>
      <c r="G794" s="27" t="s">
        <v>228</v>
      </c>
      <c r="H794" s="27" t="s">
        <v>125</v>
      </c>
      <c r="I794" s="27" t="s">
        <v>1282</v>
      </c>
      <c r="J794" s="27" t="s">
        <v>134</v>
      </c>
      <c r="K794" s="10">
        <v>30</v>
      </c>
      <c r="L794" s="36" t="s">
        <v>263</v>
      </c>
      <c r="M794" s="37" t="s">
        <v>309</v>
      </c>
      <c r="N794" s="37" t="s">
        <v>270</v>
      </c>
      <c r="O794" s="27"/>
      <c r="P794" s="27"/>
      <c r="Q794" s="27" t="s">
        <v>367</v>
      </c>
      <c r="R794" s="27"/>
      <c r="S794" s="1" t="s">
        <v>264</v>
      </c>
      <c r="T794" s="29" t="s">
        <v>265</v>
      </c>
      <c r="U794" s="27"/>
      <c r="V794" s="27" t="s">
        <v>696</v>
      </c>
      <c r="W794" s="27"/>
    </row>
    <row r="795" spans="1:23" ht="24" customHeight="1">
      <c r="A795" s="27" t="str">
        <f t="shared" ca="1" si="12"/>
        <v>EVT-2026-0793</v>
      </c>
      <c r="B795" s="27">
        <v>2026</v>
      </c>
      <c r="C795" s="27" t="s">
        <v>102</v>
      </c>
      <c r="D795" s="30">
        <v>46182</v>
      </c>
      <c r="E795" s="27" t="s">
        <v>227</v>
      </c>
      <c r="F795" s="27" t="s">
        <v>126</v>
      </c>
      <c r="G795" s="27" t="s">
        <v>202</v>
      </c>
      <c r="H795" s="27" t="s">
        <v>1283</v>
      </c>
      <c r="I795" s="27" t="s">
        <v>1284</v>
      </c>
      <c r="J795" s="27" t="s">
        <v>177</v>
      </c>
      <c r="K795" s="10">
        <v>200</v>
      </c>
      <c r="L795" s="38" t="s">
        <v>294</v>
      </c>
      <c r="M795" s="37" t="s">
        <v>295</v>
      </c>
      <c r="N795" s="37" t="s">
        <v>290</v>
      </c>
      <c r="O795" s="27" t="s">
        <v>1285</v>
      </c>
      <c r="P795" s="27"/>
      <c r="Q795" s="27" t="s">
        <v>585</v>
      </c>
      <c r="R795" s="27"/>
      <c r="S795" s="1" t="s">
        <v>264</v>
      </c>
      <c r="T795" s="29" t="s">
        <v>265</v>
      </c>
      <c r="U795" s="27"/>
      <c r="V795" s="27" t="s">
        <v>1286</v>
      </c>
      <c r="W795" s="27"/>
    </row>
    <row r="796" spans="1:23" ht="24" customHeight="1">
      <c r="A796" s="27" t="str">
        <f t="shared" ca="1" si="12"/>
        <v>EVT-2026-0794</v>
      </c>
      <c r="B796" s="27">
        <v>2026</v>
      </c>
      <c r="C796" s="27" t="s">
        <v>102</v>
      </c>
      <c r="D796" s="30">
        <v>46182</v>
      </c>
      <c r="E796" s="27" t="s">
        <v>227</v>
      </c>
      <c r="F796" s="27" t="s">
        <v>126</v>
      </c>
      <c r="G796" s="27" t="s">
        <v>202</v>
      </c>
      <c r="H796" s="27" t="s">
        <v>1287</v>
      </c>
      <c r="I796" s="27" t="s">
        <v>1288</v>
      </c>
      <c r="J796" s="27" t="s">
        <v>152</v>
      </c>
      <c r="K796" s="10">
        <v>0</v>
      </c>
      <c r="L796" s="36" t="s">
        <v>263</v>
      </c>
      <c r="M796" s="37" t="s">
        <v>269</v>
      </c>
      <c r="N796" s="37" t="s">
        <v>270</v>
      </c>
      <c r="O796" s="27"/>
      <c r="P796" s="27"/>
      <c r="Q796" s="27" t="s">
        <v>379</v>
      </c>
      <c r="R796" s="27"/>
      <c r="S796" s="1" t="s">
        <v>264</v>
      </c>
      <c r="T796" s="29" t="s">
        <v>265</v>
      </c>
      <c r="U796" s="27"/>
      <c r="V796" s="27" t="s">
        <v>1289</v>
      </c>
      <c r="W796" s="27"/>
    </row>
    <row r="797" spans="1:23" ht="24" customHeight="1">
      <c r="A797" s="27" t="str">
        <f t="shared" ca="1" si="12"/>
        <v>EVT-2026-0795</v>
      </c>
      <c r="B797" s="27">
        <v>2026</v>
      </c>
      <c r="C797" s="27" t="s">
        <v>102</v>
      </c>
      <c r="D797" s="30">
        <v>46182</v>
      </c>
      <c r="E797" s="27" t="s">
        <v>227</v>
      </c>
      <c r="F797" s="27" t="s">
        <v>126</v>
      </c>
      <c r="G797" s="27" t="s">
        <v>208</v>
      </c>
      <c r="H797" s="27" t="s">
        <v>1290</v>
      </c>
      <c r="I797" s="27" t="s">
        <v>217</v>
      </c>
      <c r="J797" s="27" t="s">
        <v>145</v>
      </c>
      <c r="K797" s="10">
        <v>50</v>
      </c>
      <c r="L797" s="36" t="s">
        <v>263</v>
      </c>
      <c r="M797" s="37" t="s">
        <v>309</v>
      </c>
      <c r="N797" s="37" t="s">
        <v>296</v>
      </c>
      <c r="O797" s="27"/>
      <c r="P797" s="27"/>
      <c r="Q797" s="27" t="s">
        <v>1291</v>
      </c>
      <c r="R797" s="27"/>
      <c r="S797" s="1" t="s">
        <v>264</v>
      </c>
      <c r="T797" s="29" t="s">
        <v>265</v>
      </c>
      <c r="U797" s="27"/>
      <c r="V797" s="27"/>
      <c r="W797" s="27"/>
    </row>
    <row r="798" spans="1:23" ht="24" customHeight="1">
      <c r="A798" s="27" t="str">
        <f t="shared" ca="1" si="12"/>
        <v>EVT-2026-0796</v>
      </c>
      <c r="B798" s="27">
        <v>2026</v>
      </c>
      <c r="C798" s="27" t="s">
        <v>102</v>
      </c>
      <c r="D798" s="30">
        <v>46182</v>
      </c>
      <c r="E798" s="27" t="s">
        <v>227</v>
      </c>
      <c r="F798" s="27" t="s">
        <v>126</v>
      </c>
      <c r="G798" s="27" t="s">
        <v>228</v>
      </c>
      <c r="H798" s="27" t="s">
        <v>1292</v>
      </c>
      <c r="I798" s="27" t="s">
        <v>217</v>
      </c>
      <c r="J798" s="27" t="s">
        <v>145</v>
      </c>
      <c r="K798" s="10">
        <v>50</v>
      </c>
      <c r="L798" s="36" t="s">
        <v>263</v>
      </c>
      <c r="M798" s="37" t="s">
        <v>309</v>
      </c>
      <c r="N798" s="37" t="s">
        <v>270</v>
      </c>
      <c r="O798" s="27"/>
      <c r="P798" s="27"/>
      <c r="Q798" s="27" t="s">
        <v>370</v>
      </c>
      <c r="R798" s="27"/>
      <c r="S798" s="1" t="s">
        <v>264</v>
      </c>
      <c r="T798" s="29" t="s">
        <v>265</v>
      </c>
      <c r="U798" s="27"/>
      <c r="V798" s="27" t="s">
        <v>298</v>
      </c>
      <c r="W798" s="27"/>
    </row>
    <row r="799" spans="1:23" ht="24" customHeight="1">
      <c r="A799" s="27" t="str">
        <f t="shared" ca="1" si="12"/>
        <v>EVT-2026-0797</v>
      </c>
      <c r="B799" s="27">
        <v>2026</v>
      </c>
      <c r="C799" s="27" t="s">
        <v>102</v>
      </c>
      <c r="D799" s="30">
        <v>46183</v>
      </c>
      <c r="E799" s="27" t="s">
        <v>201</v>
      </c>
      <c r="F799" s="27" t="s">
        <v>126</v>
      </c>
      <c r="G799" s="27" t="s">
        <v>202</v>
      </c>
      <c r="H799" s="27" t="s">
        <v>348</v>
      </c>
      <c r="I799" s="27" t="s">
        <v>1293</v>
      </c>
      <c r="J799" s="27" t="s">
        <v>158</v>
      </c>
      <c r="K799" s="10">
        <v>100</v>
      </c>
      <c r="L799" s="38" t="s">
        <v>294</v>
      </c>
      <c r="M799" s="37" t="s">
        <v>359</v>
      </c>
      <c r="N799" s="37" t="s">
        <v>290</v>
      </c>
      <c r="O799" s="27"/>
      <c r="P799" s="27"/>
      <c r="Q799" s="27" t="s">
        <v>1294</v>
      </c>
      <c r="R799" s="27"/>
      <c r="S799" s="1" t="s">
        <v>264</v>
      </c>
      <c r="T799" s="29" t="s">
        <v>265</v>
      </c>
      <c r="U799" s="27" t="s">
        <v>1295</v>
      </c>
      <c r="V799" s="27" t="s">
        <v>1296</v>
      </c>
      <c r="W799" s="27"/>
    </row>
    <row r="800" spans="1:23" ht="24" customHeight="1">
      <c r="A800" s="27" t="str">
        <f t="shared" ca="1" si="12"/>
        <v>EVT-2026-0798</v>
      </c>
      <c r="B800" s="27">
        <v>2026</v>
      </c>
      <c r="C800" s="27" t="s">
        <v>102</v>
      </c>
      <c r="D800" s="30">
        <v>46183</v>
      </c>
      <c r="E800" s="27" t="s">
        <v>201</v>
      </c>
      <c r="F800" s="27" t="s">
        <v>126</v>
      </c>
      <c r="G800" s="27" t="s">
        <v>208</v>
      </c>
      <c r="H800" s="27" t="s">
        <v>348</v>
      </c>
      <c r="I800" s="27" t="s">
        <v>1297</v>
      </c>
      <c r="J800" s="27" t="s">
        <v>127</v>
      </c>
      <c r="K800" s="10">
        <v>80</v>
      </c>
      <c r="L800" s="36" t="s">
        <v>263</v>
      </c>
      <c r="M800" s="37" t="s">
        <v>338</v>
      </c>
      <c r="N800" s="37" t="s">
        <v>354</v>
      </c>
      <c r="O800" s="27"/>
      <c r="P800" s="27"/>
      <c r="Q800" s="27" t="s">
        <v>1298</v>
      </c>
      <c r="R800" s="27"/>
      <c r="S800" s="1" t="s">
        <v>264</v>
      </c>
      <c r="T800" s="29" t="s">
        <v>265</v>
      </c>
      <c r="U800" s="27"/>
      <c r="V800" s="27" t="s">
        <v>298</v>
      </c>
      <c r="W800" s="27"/>
    </row>
    <row r="801" spans="1:23" ht="24" customHeight="1">
      <c r="A801" s="27" t="str">
        <f t="shared" ca="1" si="12"/>
        <v>EVT-2026-0799</v>
      </c>
      <c r="B801" s="27">
        <v>2026</v>
      </c>
      <c r="C801" s="27" t="s">
        <v>102</v>
      </c>
      <c r="D801" s="30">
        <v>46183</v>
      </c>
      <c r="E801" s="27" t="s">
        <v>201</v>
      </c>
      <c r="F801" s="27" t="s">
        <v>126</v>
      </c>
      <c r="G801" s="27" t="s">
        <v>228</v>
      </c>
      <c r="H801" s="27" t="s">
        <v>125</v>
      </c>
      <c r="I801" s="27" t="s">
        <v>1299</v>
      </c>
      <c r="J801" s="27" t="s">
        <v>158</v>
      </c>
      <c r="K801" s="10">
        <v>50</v>
      </c>
      <c r="L801" s="36" t="s">
        <v>263</v>
      </c>
      <c r="M801" s="37" t="s">
        <v>506</v>
      </c>
      <c r="N801" s="37" t="s">
        <v>429</v>
      </c>
      <c r="O801" s="27"/>
      <c r="P801" s="27"/>
      <c r="Q801" s="27" t="s">
        <v>1300</v>
      </c>
      <c r="R801" s="27"/>
      <c r="S801" s="3" t="s">
        <v>312</v>
      </c>
      <c r="T801" s="29" t="s">
        <v>265</v>
      </c>
      <c r="U801" s="27"/>
      <c r="V801" s="27"/>
      <c r="W801" s="27"/>
    </row>
    <row r="802" spans="1:23" ht="24" customHeight="1">
      <c r="A802" s="27" t="str">
        <f t="shared" ca="1" si="12"/>
        <v>EVT-2026-0800</v>
      </c>
      <c r="B802" s="27">
        <v>2026</v>
      </c>
      <c r="C802" s="27" t="s">
        <v>102</v>
      </c>
      <c r="D802" s="30">
        <v>46183</v>
      </c>
      <c r="E802" s="27" t="s">
        <v>201</v>
      </c>
      <c r="F802" s="27" t="s">
        <v>126</v>
      </c>
      <c r="G802" s="27" t="s">
        <v>228</v>
      </c>
      <c r="H802" s="27" t="s">
        <v>125</v>
      </c>
      <c r="I802" s="27" t="s">
        <v>1301</v>
      </c>
      <c r="J802" s="27" t="s">
        <v>177</v>
      </c>
      <c r="K802" s="10">
        <v>120</v>
      </c>
      <c r="L802" s="38" t="s">
        <v>294</v>
      </c>
      <c r="M802" s="37" t="s">
        <v>309</v>
      </c>
      <c r="N802" s="37" t="s">
        <v>295</v>
      </c>
      <c r="O802" s="27"/>
      <c r="P802" s="27"/>
      <c r="Q802" s="27" t="s">
        <v>1302</v>
      </c>
      <c r="R802" s="27"/>
      <c r="S802" s="1" t="s">
        <v>264</v>
      </c>
      <c r="T802" s="29" t="s">
        <v>265</v>
      </c>
      <c r="U802" s="27"/>
      <c r="V802" s="27" t="s">
        <v>298</v>
      </c>
      <c r="W802" s="27"/>
    </row>
    <row r="803" spans="1:23" ht="24" customHeight="1">
      <c r="A803" s="27" t="str">
        <f t="shared" ca="1" si="12"/>
        <v>EVT-2026-0801</v>
      </c>
      <c r="B803" s="27">
        <v>2026</v>
      </c>
      <c r="C803" s="27" t="s">
        <v>102</v>
      </c>
      <c r="D803" s="30">
        <v>46183</v>
      </c>
      <c r="E803" s="27" t="s">
        <v>201</v>
      </c>
      <c r="F803" s="27" t="s">
        <v>126</v>
      </c>
      <c r="G803" s="27" t="s">
        <v>208</v>
      </c>
      <c r="H803" s="27" t="s">
        <v>348</v>
      </c>
      <c r="I803" s="27" t="s">
        <v>1303</v>
      </c>
      <c r="J803" s="27" t="s">
        <v>145</v>
      </c>
      <c r="K803" s="10">
        <v>50</v>
      </c>
      <c r="L803" s="36" t="s">
        <v>263</v>
      </c>
      <c r="M803" s="37" t="s">
        <v>309</v>
      </c>
      <c r="N803" s="37" t="s">
        <v>296</v>
      </c>
      <c r="O803" s="27"/>
      <c r="P803" s="27"/>
      <c r="Q803" s="27" t="s">
        <v>1304</v>
      </c>
      <c r="R803" s="27"/>
      <c r="S803" s="3" t="s">
        <v>312</v>
      </c>
      <c r="T803" s="29" t="s">
        <v>265</v>
      </c>
      <c r="U803" s="27"/>
      <c r="V803" s="27"/>
      <c r="W803" s="27"/>
    </row>
    <row r="804" spans="1:23" ht="24" customHeight="1">
      <c r="A804" s="27" t="str">
        <f t="shared" ca="1" si="12"/>
        <v>EVT-2026-0802</v>
      </c>
      <c r="B804" s="27">
        <v>2026</v>
      </c>
      <c r="C804" s="27" t="s">
        <v>102</v>
      </c>
      <c r="D804" s="30">
        <v>46184</v>
      </c>
      <c r="E804" s="27" t="s">
        <v>216</v>
      </c>
      <c r="F804" s="27" t="s">
        <v>126</v>
      </c>
      <c r="G804" s="27" t="s">
        <v>208</v>
      </c>
      <c r="H804" s="27" t="s">
        <v>348</v>
      </c>
      <c r="I804" s="27" t="s">
        <v>1305</v>
      </c>
      <c r="J804" s="27" t="s">
        <v>127</v>
      </c>
      <c r="K804" s="10">
        <v>65</v>
      </c>
      <c r="L804" s="36" t="s">
        <v>263</v>
      </c>
      <c r="M804" s="37" t="s">
        <v>330</v>
      </c>
      <c r="N804" s="37" t="s">
        <v>354</v>
      </c>
      <c r="O804" s="27"/>
      <c r="P804" s="27"/>
      <c r="Q804" s="27" t="s">
        <v>532</v>
      </c>
      <c r="R804" s="27"/>
      <c r="S804" s="1" t="s">
        <v>264</v>
      </c>
      <c r="T804" s="29" t="s">
        <v>265</v>
      </c>
      <c r="U804" s="27"/>
      <c r="V804" s="27" t="s">
        <v>298</v>
      </c>
      <c r="W804" s="27"/>
    </row>
    <row r="805" spans="1:23" ht="24" customHeight="1">
      <c r="A805" s="27" t="str">
        <f t="shared" ca="1" si="12"/>
        <v>EVT-2026-0803</v>
      </c>
      <c r="B805" s="27">
        <v>2026</v>
      </c>
      <c r="C805" s="27" t="s">
        <v>102</v>
      </c>
      <c r="D805" s="30">
        <v>46184</v>
      </c>
      <c r="E805" s="27" t="s">
        <v>216</v>
      </c>
      <c r="F805" s="27" t="s">
        <v>126</v>
      </c>
      <c r="G805" s="27" t="s">
        <v>228</v>
      </c>
      <c r="H805" s="27" t="s">
        <v>125</v>
      </c>
      <c r="I805" s="27" t="s">
        <v>1306</v>
      </c>
      <c r="J805" s="27" t="s">
        <v>158</v>
      </c>
      <c r="K805" s="10">
        <v>15</v>
      </c>
      <c r="L805" s="36" t="s">
        <v>263</v>
      </c>
      <c r="M805" s="37" t="s">
        <v>331</v>
      </c>
      <c r="N805" s="37" t="s">
        <v>270</v>
      </c>
      <c r="O805" s="27" t="s">
        <v>1307</v>
      </c>
      <c r="P805" s="27"/>
      <c r="Q805" s="27" t="s">
        <v>916</v>
      </c>
      <c r="R805" s="27"/>
      <c r="S805" s="1" t="s">
        <v>264</v>
      </c>
      <c r="T805" s="29" t="s">
        <v>265</v>
      </c>
      <c r="U805" s="27"/>
      <c r="V805" s="27" t="s">
        <v>1308</v>
      </c>
      <c r="W805" s="27"/>
    </row>
    <row r="806" spans="1:23" ht="24" customHeight="1">
      <c r="A806" s="27" t="str">
        <f t="shared" ca="1" si="12"/>
        <v>EVT-2026-0804</v>
      </c>
      <c r="B806" s="27">
        <v>2026</v>
      </c>
      <c r="C806" s="27" t="s">
        <v>102</v>
      </c>
      <c r="D806" s="30">
        <v>46184</v>
      </c>
      <c r="E806" s="27" t="s">
        <v>216</v>
      </c>
      <c r="F806" s="27" t="s">
        <v>126</v>
      </c>
      <c r="G806" s="27" t="s">
        <v>202</v>
      </c>
      <c r="H806" s="27" t="s">
        <v>1309</v>
      </c>
      <c r="I806" s="27" t="s">
        <v>895</v>
      </c>
      <c r="J806" s="27" t="s">
        <v>158</v>
      </c>
      <c r="K806" s="10">
        <v>0</v>
      </c>
      <c r="L806" s="36" t="s">
        <v>263</v>
      </c>
      <c r="M806" s="37"/>
      <c r="N806" s="37"/>
      <c r="O806" s="27"/>
      <c r="P806" s="27"/>
      <c r="Q806" s="27" t="s">
        <v>1310</v>
      </c>
      <c r="R806" s="27"/>
      <c r="S806" s="1" t="s">
        <v>264</v>
      </c>
      <c r="T806" s="29" t="s">
        <v>265</v>
      </c>
      <c r="U806" s="27"/>
      <c r="V806" s="27"/>
      <c r="W806" s="27"/>
    </row>
    <row r="807" spans="1:23" ht="24" customHeight="1">
      <c r="A807" s="27" t="str">
        <f t="shared" ca="1" si="12"/>
        <v>EVT-2026-0805</v>
      </c>
      <c r="B807" s="27">
        <v>2026</v>
      </c>
      <c r="C807" s="27" t="s">
        <v>102</v>
      </c>
      <c r="D807" s="30">
        <v>46184</v>
      </c>
      <c r="E807" s="27" t="s">
        <v>216</v>
      </c>
      <c r="F807" s="27" t="s">
        <v>126</v>
      </c>
      <c r="G807" s="27" t="s">
        <v>208</v>
      </c>
      <c r="H807" s="27" t="s">
        <v>348</v>
      </c>
      <c r="I807" s="27" t="s">
        <v>1303</v>
      </c>
      <c r="J807" s="27" t="s">
        <v>145</v>
      </c>
      <c r="K807" s="10">
        <v>50</v>
      </c>
      <c r="L807" s="36" t="s">
        <v>263</v>
      </c>
      <c r="M807" s="37" t="s">
        <v>309</v>
      </c>
      <c r="N807" s="37" t="s">
        <v>296</v>
      </c>
      <c r="O807" s="27"/>
      <c r="P807" s="27"/>
      <c r="Q807" s="27" t="s">
        <v>1304</v>
      </c>
      <c r="R807" s="27"/>
      <c r="S807" s="1" t="s">
        <v>264</v>
      </c>
      <c r="T807" s="29" t="s">
        <v>265</v>
      </c>
      <c r="U807" s="27"/>
      <c r="V807" s="27" t="s">
        <v>1311</v>
      </c>
      <c r="W807" s="27"/>
    </row>
    <row r="808" spans="1:23" ht="24" customHeight="1">
      <c r="A808" s="27" t="str">
        <f t="shared" ca="1" si="12"/>
        <v>EVT-2026-0806</v>
      </c>
      <c r="B808" s="27">
        <v>2026</v>
      </c>
      <c r="C808" s="27" t="s">
        <v>102</v>
      </c>
      <c r="D808" s="30">
        <v>46185</v>
      </c>
      <c r="E808" s="27" t="s">
        <v>220</v>
      </c>
      <c r="F808" s="27" t="s">
        <v>126</v>
      </c>
      <c r="G808" s="27" t="s">
        <v>228</v>
      </c>
      <c r="H808" s="27" t="s">
        <v>125</v>
      </c>
      <c r="I808" s="27" t="s">
        <v>1299</v>
      </c>
      <c r="J808" s="27" t="s">
        <v>158</v>
      </c>
      <c r="K808" s="10">
        <v>50</v>
      </c>
      <c r="L808" s="36" t="s">
        <v>263</v>
      </c>
      <c r="M808" s="37" t="s">
        <v>274</v>
      </c>
      <c r="N808" s="37" t="s">
        <v>330</v>
      </c>
      <c r="O808" s="27"/>
      <c r="P808" s="27"/>
      <c r="Q808" s="27" t="s">
        <v>1300</v>
      </c>
      <c r="R808" s="27"/>
      <c r="S808" s="1" t="s">
        <v>264</v>
      </c>
      <c r="T808" s="29" t="s">
        <v>265</v>
      </c>
      <c r="U808" s="27"/>
      <c r="V808" s="27"/>
      <c r="W808" s="27"/>
    </row>
    <row r="809" spans="1:23" ht="24" customHeight="1">
      <c r="A809" s="27" t="str">
        <f t="shared" ca="1" si="12"/>
        <v>EVT-2026-0807</v>
      </c>
      <c r="B809" s="27">
        <v>2026</v>
      </c>
      <c r="C809" s="27" t="s">
        <v>102</v>
      </c>
      <c r="D809" s="30">
        <v>46185</v>
      </c>
      <c r="E809" s="27" t="s">
        <v>220</v>
      </c>
      <c r="F809" s="27" t="s">
        <v>126</v>
      </c>
      <c r="G809" s="27" t="s">
        <v>202</v>
      </c>
      <c r="H809" s="27" t="s">
        <v>1312</v>
      </c>
      <c r="I809" s="27" t="s">
        <v>895</v>
      </c>
      <c r="J809" s="27" t="s">
        <v>158</v>
      </c>
      <c r="K809" s="10">
        <v>17</v>
      </c>
      <c r="L809" s="36" t="s">
        <v>263</v>
      </c>
      <c r="M809" s="37" t="s">
        <v>331</v>
      </c>
      <c r="N809" s="37" t="s">
        <v>275</v>
      </c>
      <c r="O809" s="27"/>
      <c r="P809" s="27"/>
      <c r="Q809" s="27" t="s">
        <v>993</v>
      </c>
      <c r="R809" s="27"/>
      <c r="S809" s="1" t="s">
        <v>264</v>
      </c>
      <c r="T809" s="29" t="s">
        <v>265</v>
      </c>
      <c r="U809" s="27"/>
      <c r="V809" s="27" t="s">
        <v>1313</v>
      </c>
      <c r="W809" s="27"/>
    </row>
    <row r="810" spans="1:23" ht="24" customHeight="1">
      <c r="A810" s="27" t="str">
        <f t="shared" ca="1" si="12"/>
        <v>EVT-2026-0808</v>
      </c>
      <c r="B810" s="27">
        <v>2026</v>
      </c>
      <c r="C810" s="27" t="s">
        <v>102</v>
      </c>
      <c r="D810" s="30">
        <v>46185</v>
      </c>
      <c r="E810" s="27" t="s">
        <v>220</v>
      </c>
      <c r="F810" s="27" t="s">
        <v>126</v>
      </c>
      <c r="G810" s="27" t="s">
        <v>228</v>
      </c>
      <c r="H810" s="27" t="s">
        <v>125</v>
      </c>
      <c r="I810" s="27" t="s">
        <v>1314</v>
      </c>
      <c r="J810" s="27" t="s">
        <v>134</v>
      </c>
      <c r="K810" s="10">
        <v>24</v>
      </c>
      <c r="L810" s="36" t="s">
        <v>263</v>
      </c>
      <c r="M810" s="37" t="s">
        <v>275</v>
      </c>
      <c r="N810" s="37" t="s">
        <v>270</v>
      </c>
      <c r="O810" s="27" t="s">
        <v>1315</v>
      </c>
      <c r="P810" s="27"/>
      <c r="Q810" s="27" t="s">
        <v>1316</v>
      </c>
      <c r="R810" s="27"/>
      <c r="S810" s="1" t="s">
        <v>264</v>
      </c>
      <c r="T810" s="29" t="s">
        <v>265</v>
      </c>
      <c r="U810" s="27"/>
      <c r="V810" s="27" t="s">
        <v>1317</v>
      </c>
      <c r="W810" s="27"/>
    </row>
    <row r="811" spans="1:23" ht="24" customHeight="1">
      <c r="A811" s="27" t="str">
        <f t="shared" ca="1" si="12"/>
        <v>EVT-2026-0809</v>
      </c>
      <c r="B811" s="27">
        <v>2026</v>
      </c>
      <c r="C811" s="27" t="s">
        <v>102</v>
      </c>
      <c r="D811" s="30">
        <v>46186</v>
      </c>
      <c r="E811" s="27" t="s">
        <v>266</v>
      </c>
      <c r="F811" s="27" t="s">
        <v>126</v>
      </c>
      <c r="G811" s="27"/>
      <c r="H811" s="27"/>
      <c r="I811" s="27"/>
      <c r="J811" s="27" t="s">
        <v>177</v>
      </c>
      <c r="K811" s="10">
        <v>0</v>
      </c>
      <c r="L811" s="36" t="s">
        <v>263</v>
      </c>
      <c r="M811" s="37"/>
      <c r="N811" s="37"/>
      <c r="O811" s="27"/>
      <c r="P811" s="27"/>
      <c r="Q811" s="27"/>
      <c r="R811" s="27"/>
      <c r="S811" s="1" t="s">
        <v>264</v>
      </c>
      <c r="T811" s="29" t="s">
        <v>265</v>
      </c>
      <c r="U811" s="27"/>
      <c r="V811" s="27"/>
      <c r="W811" s="27"/>
    </row>
    <row r="812" spans="1:23" ht="24" customHeight="1">
      <c r="A812" s="27" t="str">
        <f t="shared" ca="1" si="12"/>
        <v>EVT-2026-0810</v>
      </c>
      <c r="B812" s="27">
        <v>2026</v>
      </c>
      <c r="C812" s="27" t="s">
        <v>102</v>
      </c>
      <c r="D812" s="30">
        <v>46187</v>
      </c>
      <c r="E812" s="27" t="s">
        <v>267</v>
      </c>
      <c r="F812" s="27" t="s">
        <v>126</v>
      </c>
      <c r="G812" s="27"/>
      <c r="H812" s="27"/>
      <c r="I812" s="27"/>
      <c r="J812" s="27" t="s">
        <v>177</v>
      </c>
      <c r="K812" s="10">
        <v>0</v>
      </c>
      <c r="L812" s="36" t="s">
        <v>263</v>
      </c>
      <c r="M812" s="37"/>
      <c r="N812" s="37"/>
      <c r="O812" s="27"/>
      <c r="P812" s="27"/>
      <c r="Q812" s="27"/>
      <c r="R812" s="27"/>
      <c r="S812" s="1" t="s">
        <v>264</v>
      </c>
      <c r="T812" s="29" t="s">
        <v>265</v>
      </c>
      <c r="U812" s="27"/>
      <c r="V812" s="27"/>
      <c r="W812" s="27"/>
    </row>
    <row r="813" spans="1:23" ht="24" customHeight="1">
      <c r="A813" s="27" t="str">
        <f t="shared" ca="1" si="12"/>
        <v>EVT-2026-0811</v>
      </c>
      <c r="B813" s="27">
        <v>2026</v>
      </c>
      <c r="C813" s="27" t="s">
        <v>102</v>
      </c>
      <c r="D813" s="30">
        <v>46188</v>
      </c>
      <c r="E813" s="27" t="s">
        <v>224</v>
      </c>
      <c r="F813" s="27" t="s">
        <v>126</v>
      </c>
      <c r="G813" s="27" t="s">
        <v>1260</v>
      </c>
      <c r="H813" s="27" t="s">
        <v>1318</v>
      </c>
      <c r="I813" s="27" t="s">
        <v>1319</v>
      </c>
      <c r="J813" s="27" t="s">
        <v>152</v>
      </c>
      <c r="K813" s="10">
        <v>8</v>
      </c>
      <c r="L813" s="36" t="s">
        <v>263</v>
      </c>
      <c r="M813" s="37" t="s">
        <v>269</v>
      </c>
      <c r="N813" s="37" t="s">
        <v>1320</v>
      </c>
      <c r="O813" s="27"/>
      <c r="P813" s="27"/>
      <c r="Q813" s="27" t="s">
        <v>1321</v>
      </c>
      <c r="R813" s="27"/>
      <c r="S813" s="1" t="s">
        <v>264</v>
      </c>
      <c r="T813" s="29" t="s">
        <v>265</v>
      </c>
      <c r="U813" s="30">
        <v>46181</v>
      </c>
      <c r="V813" s="27" t="s">
        <v>1322</v>
      </c>
      <c r="W813" s="27"/>
    </row>
    <row r="814" spans="1:23" ht="24" customHeight="1">
      <c r="A814" s="27" t="str">
        <f t="shared" ca="1" si="12"/>
        <v>EVT-2026-0812</v>
      </c>
      <c r="B814" s="27">
        <v>2026</v>
      </c>
      <c r="C814" s="27" t="s">
        <v>102</v>
      </c>
      <c r="D814" s="30">
        <v>46189</v>
      </c>
      <c r="E814" s="27" t="s">
        <v>227</v>
      </c>
      <c r="F814" s="27" t="s">
        <v>126</v>
      </c>
      <c r="G814" s="27" t="s">
        <v>202</v>
      </c>
      <c r="H814" s="27" t="s">
        <v>239</v>
      </c>
      <c r="I814" s="27" t="s">
        <v>353</v>
      </c>
      <c r="J814" s="27" t="s">
        <v>127</v>
      </c>
      <c r="K814" s="10">
        <v>180</v>
      </c>
      <c r="L814" s="38" t="s">
        <v>294</v>
      </c>
      <c r="M814" s="37" t="s">
        <v>295</v>
      </c>
      <c r="N814" s="37" t="s">
        <v>296</v>
      </c>
      <c r="O814" s="27"/>
      <c r="P814" s="27"/>
      <c r="Q814" s="27" t="s">
        <v>811</v>
      </c>
      <c r="R814" s="27"/>
      <c r="S814" s="1" t="s">
        <v>264</v>
      </c>
      <c r="T814" s="29" t="s">
        <v>265</v>
      </c>
      <c r="U814" s="30">
        <v>46167</v>
      </c>
      <c r="V814" s="27" t="s">
        <v>1323</v>
      </c>
      <c r="W814" s="27"/>
    </row>
    <row r="815" spans="1:23" ht="24" customHeight="1">
      <c r="A815" s="27" t="str">
        <f t="shared" ca="1" si="12"/>
        <v>EVT-2026-0813</v>
      </c>
      <c r="B815" s="27">
        <v>2026</v>
      </c>
      <c r="C815" s="27" t="s">
        <v>102</v>
      </c>
      <c r="D815" s="30">
        <v>46189</v>
      </c>
      <c r="E815" s="27" t="s">
        <v>227</v>
      </c>
      <c r="F815" s="27" t="s">
        <v>126</v>
      </c>
      <c r="G815" s="27" t="s">
        <v>202</v>
      </c>
      <c r="H815" s="27" t="s">
        <v>736</v>
      </c>
      <c r="I815" s="27" t="s">
        <v>1324</v>
      </c>
      <c r="J815" s="27" t="s">
        <v>127</v>
      </c>
      <c r="K815" s="10">
        <v>25</v>
      </c>
      <c r="L815" s="36" t="s">
        <v>263</v>
      </c>
      <c r="M815" s="37" t="s">
        <v>506</v>
      </c>
      <c r="N815" s="37" t="s">
        <v>331</v>
      </c>
      <c r="O815" s="27"/>
      <c r="P815" s="27"/>
      <c r="Q815" s="27" t="s">
        <v>774</v>
      </c>
      <c r="R815" s="27"/>
      <c r="S815" s="1" t="s">
        <v>264</v>
      </c>
      <c r="T815" s="29" t="s">
        <v>265</v>
      </c>
      <c r="U815" s="27"/>
      <c r="V815" s="27" t="s">
        <v>1177</v>
      </c>
      <c r="W815" s="27"/>
    </row>
    <row r="816" spans="1:23" ht="24" customHeight="1">
      <c r="A816" s="27" t="str">
        <f t="shared" ca="1" si="12"/>
        <v>EVT-2026-0814</v>
      </c>
      <c r="B816" s="27">
        <v>2026</v>
      </c>
      <c r="C816" s="27" t="s">
        <v>102</v>
      </c>
      <c r="D816" s="30">
        <v>46189</v>
      </c>
      <c r="E816" s="27" t="s">
        <v>227</v>
      </c>
      <c r="F816" s="27" t="s">
        <v>126</v>
      </c>
      <c r="G816" s="27" t="s">
        <v>208</v>
      </c>
      <c r="H816" s="27" t="s">
        <v>348</v>
      </c>
      <c r="I816" s="27" t="s">
        <v>1303</v>
      </c>
      <c r="J816" s="27" t="s">
        <v>145</v>
      </c>
      <c r="K816" s="10">
        <v>50</v>
      </c>
      <c r="L816" s="36" t="s">
        <v>263</v>
      </c>
      <c r="M816" s="37" t="s">
        <v>309</v>
      </c>
      <c r="N816" s="37" t="s">
        <v>296</v>
      </c>
      <c r="O816" s="27"/>
      <c r="P816" s="27"/>
      <c r="Q816" s="27" t="s">
        <v>1304</v>
      </c>
      <c r="R816" s="27"/>
      <c r="S816" s="1" t="s">
        <v>264</v>
      </c>
      <c r="T816" s="29" t="s">
        <v>265</v>
      </c>
      <c r="U816" s="27"/>
      <c r="V816" s="27"/>
      <c r="W816" s="27"/>
    </row>
    <row r="817" spans="1:23" ht="24" customHeight="1">
      <c r="A817" s="27" t="str">
        <f t="shared" ca="1" si="12"/>
        <v>EVT-2026-0815</v>
      </c>
      <c r="B817" s="27">
        <v>2026</v>
      </c>
      <c r="C817" s="27" t="s">
        <v>102</v>
      </c>
      <c r="D817" s="30">
        <v>46189</v>
      </c>
      <c r="E817" s="27" t="s">
        <v>227</v>
      </c>
      <c r="F817" s="27" t="s">
        <v>126</v>
      </c>
      <c r="G817" s="27" t="s">
        <v>1260</v>
      </c>
      <c r="H817" s="27" t="s">
        <v>1318</v>
      </c>
      <c r="I817" s="27" t="s">
        <v>1319</v>
      </c>
      <c r="J817" s="27" t="s">
        <v>152</v>
      </c>
      <c r="K817" s="10">
        <v>8</v>
      </c>
      <c r="L817" s="36" t="s">
        <v>263</v>
      </c>
      <c r="M817" s="37" t="s">
        <v>269</v>
      </c>
      <c r="N817" s="37" t="s">
        <v>1320</v>
      </c>
      <c r="O817" s="27"/>
      <c r="P817" s="27"/>
      <c r="Q817" s="27" t="s">
        <v>1321</v>
      </c>
      <c r="R817" s="27"/>
      <c r="S817" s="1" t="s">
        <v>264</v>
      </c>
      <c r="T817" s="29" t="s">
        <v>265</v>
      </c>
      <c r="U817" s="30">
        <v>46181</v>
      </c>
      <c r="V817" s="27" t="s">
        <v>1322</v>
      </c>
      <c r="W817" s="27"/>
    </row>
    <row r="818" spans="1:23" ht="24" customHeight="1">
      <c r="A818" s="27" t="str">
        <f t="shared" ca="1" si="12"/>
        <v>EVT-2026-0816</v>
      </c>
      <c r="B818" s="27">
        <v>2026</v>
      </c>
      <c r="C818" s="27" t="s">
        <v>102</v>
      </c>
      <c r="D818" s="30">
        <v>46189</v>
      </c>
      <c r="E818" s="27" t="s">
        <v>227</v>
      </c>
      <c r="F818" s="27" t="s">
        <v>126</v>
      </c>
      <c r="G818" s="27" t="s">
        <v>208</v>
      </c>
      <c r="H818" s="27" t="s">
        <v>348</v>
      </c>
      <c r="I818" s="27" t="s">
        <v>812</v>
      </c>
      <c r="J818" s="27" t="s">
        <v>127</v>
      </c>
      <c r="K818" s="10">
        <v>75</v>
      </c>
      <c r="L818" s="36" t="s">
        <v>263</v>
      </c>
      <c r="M818" s="37" t="s">
        <v>274</v>
      </c>
      <c r="N818" s="37" t="s">
        <v>354</v>
      </c>
      <c r="O818" s="27"/>
      <c r="P818" s="27"/>
      <c r="Q818" s="27" t="s">
        <v>1325</v>
      </c>
      <c r="R818" s="27"/>
      <c r="S818" s="1" t="s">
        <v>264</v>
      </c>
      <c r="T818" s="29" t="s">
        <v>265</v>
      </c>
      <c r="U818" s="30">
        <v>46049</v>
      </c>
      <c r="V818" s="27" t="s">
        <v>298</v>
      </c>
      <c r="W818" s="27"/>
    </row>
    <row r="819" spans="1:23" ht="24" customHeight="1">
      <c r="A819" s="27" t="str">
        <f t="shared" ca="1" si="12"/>
        <v>EVT-2026-0817</v>
      </c>
      <c r="B819" s="27">
        <v>2026</v>
      </c>
      <c r="C819" s="27" t="s">
        <v>102</v>
      </c>
      <c r="D819" s="30">
        <v>46189</v>
      </c>
      <c r="E819" s="27" t="s">
        <v>227</v>
      </c>
      <c r="F819" s="27" t="s">
        <v>126</v>
      </c>
      <c r="G819" s="27" t="s">
        <v>228</v>
      </c>
      <c r="H819" s="27" t="s">
        <v>125</v>
      </c>
      <c r="I819" s="27" t="s">
        <v>1326</v>
      </c>
      <c r="J819" s="27" t="s">
        <v>165</v>
      </c>
      <c r="K819" s="10">
        <v>85</v>
      </c>
      <c r="L819" s="36" t="s">
        <v>263</v>
      </c>
      <c r="M819" s="37" t="s">
        <v>350</v>
      </c>
      <c r="N819" s="37" t="s">
        <v>289</v>
      </c>
      <c r="O819" s="27"/>
      <c r="P819" s="27"/>
      <c r="Q819" s="27" t="s">
        <v>378</v>
      </c>
      <c r="R819" s="27"/>
      <c r="S819" s="1" t="s">
        <v>264</v>
      </c>
      <c r="T819" s="29" t="s">
        <v>265</v>
      </c>
      <c r="U819" s="30">
        <v>46185</v>
      </c>
      <c r="V819" s="27" t="s">
        <v>298</v>
      </c>
      <c r="W819" s="27"/>
    </row>
    <row r="820" spans="1:23" ht="24" customHeight="1">
      <c r="A820" s="27" t="str">
        <f t="shared" ca="1" si="12"/>
        <v>EVT-2026-0818</v>
      </c>
      <c r="B820" s="27">
        <v>2026</v>
      </c>
      <c r="C820" s="27" t="s">
        <v>102</v>
      </c>
      <c r="D820" s="30">
        <v>46189</v>
      </c>
      <c r="E820" s="27" t="s">
        <v>227</v>
      </c>
      <c r="F820" s="27" t="s">
        <v>126</v>
      </c>
      <c r="G820" s="27" t="s">
        <v>228</v>
      </c>
      <c r="H820" s="27" t="s">
        <v>125</v>
      </c>
      <c r="I820" s="27" t="s">
        <v>1167</v>
      </c>
      <c r="J820" s="27" t="s">
        <v>177</v>
      </c>
      <c r="K820" s="10">
        <v>15</v>
      </c>
      <c r="L820" s="36" t="s">
        <v>263</v>
      </c>
      <c r="M820" s="37" t="s">
        <v>1327</v>
      </c>
      <c r="N820" s="37" t="s">
        <v>275</v>
      </c>
      <c r="O820" s="27" t="s">
        <v>1328</v>
      </c>
      <c r="P820" s="27"/>
      <c r="Q820" s="27" t="s">
        <v>1329</v>
      </c>
      <c r="R820" s="27"/>
      <c r="S820" s="1" t="s">
        <v>264</v>
      </c>
      <c r="T820" s="29" t="s">
        <v>265</v>
      </c>
      <c r="U820" s="27"/>
      <c r="V820" s="27"/>
      <c r="W820" s="27"/>
    </row>
    <row r="821" spans="1:23" ht="24" customHeight="1">
      <c r="A821" s="27" t="str">
        <f t="shared" ca="1" si="12"/>
        <v>EVT-2026-0819</v>
      </c>
      <c r="B821" s="27">
        <v>2026</v>
      </c>
      <c r="C821" s="27" t="s">
        <v>102</v>
      </c>
      <c r="D821" s="30">
        <v>46189</v>
      </c>
      <c r="E821" s="27" t="s">
        <v>227</v>
      </c>
      <c r="F821" s="27" t="s">
        <v>126</v>
      </c>
      <c r="G821" s="27" t="s">
        <v>228</v>
      </c>
      <c r="H821" s="27" t="s">
        <v>125</v>
      </c>
      <c r="I821" s="27" t="s">
        <v>1330</v>
      </c>
      <c r="J821" s="27" t="s">
        <v>177</v>
      </c>
      <c r="K821" s="10">
        <v>100</v>
      </c>
      <c r="L821" s="38" t="s">
        <v>294</v>
      </c>
      <c r="M821" s="37" t="s">
        <v>274</v>
      </c>
      <c r="N821" s="37" t="s">
        <v>429</v>
      </c>
      <c r="O821" s="27"/>
      <c r="P821" s="27"/>
      <c r="Q821" s="27" t="s">
        <v>585</v>
      </c>
      <c r="R821" s="27"/>
      <c r="S821" s="1" t="s">
        <v>264</v>
      </c>
      <c r="T821" s="29" t="s">
        <v>265</v>
      </c>
      <c r="U821" s="27"/>
      <c r="V821" s="27" t="s">
        <v>298</v>
      </c>
      <c r="W821" s="27"/>
    </row>
    <row r="822" spans="1:23" ht="24" customHeight="1">
      <c r="A822" s="27" t="str">
        <f t="shared" ca="1" si="12"/>
        <v>EVT-2026-0820</v>
      </c>
      <c r="B822" s="27">
        <v>2026</v>
      </c>
      <c r="C822" s="27" t="s">
        <v>102</v>
      </c>
      <c r="D822" s="30">
        <v>46190</v>
      </c>
      <c r="E822" s="27" t="s">
        <v>201</v>
      </c>
      <c r="F822" s="27" t="s">
        <v>126</v>
      </c>
      <c r="G822" s="27" t="s">
        <v>208</v>
      </c>
      <c r="H822" s="27" t="s">
        <v>348</v>
      </c>
      <c r="I822" s="27" t="s">
        <v>1297</v>
      </c>
      <c r="J822" s="27" t="s">
        <v>127</v>
      </c>
      <c r="K822" s="10">
        <v>100</v>
      </c>
      <c r="L822" s="38" t="s">
        <v>294</v>
      </c>
      <c r="M822" s="37" t="s">
        <v>269</v>
      </c>
      <c r="N822" s="37" t="s">
        <v>429</v>
      </c>
      <c r="O822" s="27" t="s">
        <v>1331</v>
      </c>
      <c r="P822" s="27"/>
      <c r="Q822" s="27" t="s">
        <v>1332</v>
      </c>
      <c r="R822" s="27"/>
      <c r="S822" s="1" t="s">
        <v>264</v>
      </c>
      <c r="T822" s="29" t="s">
        <v>265</v>
      </c>
      <c r="U822" s="30">
        <v>46154</v>
      </c>
      <c r="V822" s="27" t="s">
        <v>298</v>
      </c>
      <c r="W822" s="27"/>
    </row>
    <row r="823" spans="1:23" ht="24" customHeight="1">
      <c r="A823" s="27" t="str">
        <f t="shared" ca="1" si="12"/>
        <v>EVT-2026-0821</v>
      </c>
      <c r="B823" s="27">
        <v>2026</v>
      </c>
      <c r="C823" s="27" t="s">
        <v>102</v>
      </c>
      <c r="D823" s="30">
        <v>46190</v>
      </c>
      <c r="E823" s="27" t="s">
        <v>201</v>
      </c>
      <c r="F823" s="27" t="s">
        <v>126</v>
      </c>
      <c r="G823" s="27" t="s">
        <v>228</v>
      </c>
      <c r="H823" s="27" t="s">
        <v>125</v>
      </c>
      <c r="I823" s="27" t="s">
        <v>1333</v>
      </c>
      <c r="J823" s="27" t="s">
        <v>177</v>
      </c>
      <c r="K823" s="10">
        <v>60</v>
      </c>
      <c r="L823" s="36" t="s">
        <v>263</v>
      </c>
      <c r="M823" s="37" t="s">
        <v>275</v>
      </c>
      <c r="N823" s="37" t="s">
        <v>309</v>
      </c>
      <c r="O823" s="27"/>
      <c r="P823" s="27"/>
      <c r="Q823" s="27" t="s">
        <v>1334</v>
      </c>
      <c r="R823" s="27"/>
      <c r="S823" s="1" t="s">
        <v>264</v>
      </c>
      <c r="T823" s="29" t="s">
        <v>265</v>
      </c>
      <c r="U823" s="27"/>
      <c r="V823" s="27" t="s">
        <v>1335</v>
      </c>
      <c r="W823" s="27"/>
    </row>
    <row r="824" spans="1:23" ht="24" customHeight="1">
      <c r="A824" s="27" t="str">
        <f t="shared" ca="1" si="12"/>
        <v>EVT-2026-0822</v>
      </c>
      <c r="B824" s="27">
        <v>2026</v>
      </c>
      <c r="C824" s="27" t="s">
        <v>102</v>
      </c>
      <c r="D824" s="30">
        <v>46190</v>
      </c>
      <c r="E824" s="27" t="s">
        <v>201</v>
      </c>
      <c r="F824" s="27" t="s">
        <v>126</v>
      </c>
      <c r="G824" s="27" t="s">
        <v>228</v>
      </c>
      <c r="H824" s="27" t="s">
        <v>125</v>
      </c>
      <c r="I824" s="27" t="s">
        <v>872</v>
      </c>
      <c r="J824" s="27" t="s">
        <v>158</v>
      </c>
      <c r="K824" s="10">
        <v>50</v>
      </c>
      <c r="L824" s="36" t="s">
        <v>263</v>
      </c>
      <c r="M824" s="37" t="s">
        <v>274</v>
      </c>
      <c r="N824" s="37" t="s">
        <v>330</v>
      </c>
      <c r="O824" s="27"/>
      <c r="P824" s="27"/>
      <c r="Q824" s="27" t="s">
        <v>1336</v>
      </c>
      <c r="R824" s="27"/>
      <c r="S824" s="1" t="s">
        <v>264</v>
      </c>
      <c r="T824" s="29" t="s">
        <v>265</v>
      </c>
      <c r="U824" s="27"/>
      <c r="V824" s="27" t="s">
        <v>1337</v>
      </c>
      <c r="W824" s="27"/>
    </row>
    <row r="825" spans="1:23" ht="24" customHeight="1">
      <c r="A825" s="27" t="str">
        <f t="shared" ca="1" si="12"/>
        <v>EVT-2026-0823</v>
      </c>
      <c r="B825" s="27">
        <v>2026</v>
      </c>
      <c r="C825" s="27" t="s">
        <v>102</v>
      </c>
      <c r="D825" s="30">
        <v>46190</v>
      </c>
      <c r="E825" s="27" t="s">
        <v>201</v>
      </c>
      <c r="F825" s="27" t="s">
        <v>126</v>
      </c>
      <c r="G825" s="27" t="s">
        <v>208</v>
      </c>
      <c r="H825" s="27" t="s">
        <v>348</v>
      </c>
      <c r="I825" s="27" t="s">
        <v>1303</v>
      </c>
      <c r="J825" s="27" t="s">
        <v>145</v>
      </c>
      <c r="K825" s="10">
        <v>50</v>
      </c>
      <c r="L825" s="36" t="s">
        <v>263</v>
      </c>
      <c r="M825" s="37" t="s">
        <v>309</v>
      </c>
      <c r="N825" s="37" t="s">
        <v>296</v>
      </c>
      <c r="O825" s="27"/>
      <c r="P825" s="27"/>
      <c r="Q825" s="27" t="s">
        <v>1304</v>
      </c>
      <c r="R825" s="27"/>
      <c r="S825" s="1" t="s">
        <v>264</v>
      </c>
      <c r="T825" s="29" t="s">
        <v>265</v>
      </c>
      <c r="U825" s="27"/>
      <c r="V825" s="27"/>
      <c r="W825" s="27"/>
    </row>
    <row r="826" spans="1:23" ht="24" customHeight="1">
      <c r="A826" s="27" t="str">
        <f t="shared" ca="1" si="12"/>
        <v>EVT-2026-0824</v>
      </c>
      <c r="B826" s="27">
        <v>2026</v>
      </c>
      <c r="C826" s="27" t="s">
        <v>102</v>
      </c>
      <c r="D826" s="30">
        <v>46190</v>
      </c>
      <c r="E826" s="27" t="s">
        <v>201</v>
      </c>
      <c r="F826" s="27" t="s">
        <v>126</v>
      </c>
      <c r="G826" s="27" t="s">
        <v>1260</v>
      </c>
      <c r="H826" s="27" t="s">
        <v>1318</v>
      </c>
      <c r="I826" s="27" t="s">
        <v>1319</v>
      </c>
      <c r="J826" s="27" t="s">
        <v>152</v>
      </c>
      <c r="K826" s="10">
        <v>8</v>
      </c>
      <c r="L826" s="36" t="s">
        <v>263</v>
      </c>
      <c r="M826" s="37" t="s">
        <v>269</v>
      </c>
      <c r="N826" s="37" t="s">
        <v>1320</v>
      </c>
      <c r="O826" s="27"/>
      <c r="P826" s="27"/>
      <c r="Q826" s="27" t="s">
        <v>1321</v>
      </c>
      <c r="R826" s="27"/>
      <c r="S826" s="1" t="s">
        <v>264</v>
      </c>
      <c r="T826" s="29" t="s">
        <v>265</v>
      </c>
      <c r="U826" s="30">
        <v>46181</v>
      </c>
      <c r="V826" s="27" t="s">
        <v>1322</v>
      </c>
      <c r="W826" s="27"/>
    </row>
    <row r="827" spans="1:23" ht="24" customHeight="1">
      <c r="A827" s="27" t="str">
        <f t="shared" ca="1" si="12"/>
        <v>EVT-2026-0825</v>
      </c>
      <c r="B827" s="27">
        <v>2026</v>
      </c>
      <c r="C827" s="27" t="s">
        <v>102</v>
      </c>
      <c r="D827" s="30">
        <v>46190</v>
      </c>
      <c r="E827" s="27" t="s">
        <v>201</v>
      </c>
      <c r="F827" s="27" t="s">
        <v>126</v>
      </c>
      <c r="G827" s="27" t="s">
        <v>228</v>
      </c>
      <c r="H827" s="27" t="s">
        <v>125</v>
      </c>
      <c r="I827" s="27" t="s">
        <v>1338</v>
      </c>
      <c r="J827" s="27" t="s">
        <v>158</v>
      </c>
      <c r="K827" s="10">
        <v>30</v>
      </c>
      <c r="L827" s="36" t="s">
        <v>263</v>
      </c>
      <c r="M827" s="37" t="s">
        <v>359</v>
      </c>
      <c r="N827" s="37" t="s">
        <v>270</v>
      </c>
      <c r="O827" s="27"/>
      <c r="P827" s="27"/>
      <c r="Q827" s="27" t="s">
        <v>745</v>
      </c>
      <c r="R827" s="27"/>
      <c r="S827" s="1" t="s">
        <v>264</v>
      </c>
      <c r="T827" s="29" t="s">
        <v>265</v>
      </c>
      <c r="U827" s="30">
        <v>46183</v>
      </c>
      <c r="V827" s="27"/>
      <c r="W827" s="27"/>
    </row>
    <row r="828" spans="1:23" ht="24" customHeight="1">
      <c r="A828" s="27" t="str">
        <f t="shared" ca="1" si="12"/>
        <v>EVT-2026-0826</v>
      </c>
      <c r="B828" s="27">
        <v>2026</v>
      </c>
      <c r="C828" s="27" t="s">
        <v>102</v>
      </c>
      <c r="D828" s="30">
        <v>46190</v>
      </c>
      <c r="E828" s="27" t="s">
        <v>201</v>
      </c>
      <c r="F828" s="27" t="s">
        <v>126</v>
      </c>
      <c r="G828" s="27" t="s">
        <v>202</v>
      </c>
      <c r="H828" s="27" t="s">
        <v>736</v>
      </c>
      <c r="I828" s="27" t="s">
        <v>1339</v>
      </c>
      <c r="J828" s="27" t="s">
        <v>165</v>
      </c>
      <c r="K828" s="10">
        <v>40</v>
      </c>
      <c r="L828" s="36" t="s">
        <v>263</v>
      </c>
      <c r="M828" s="37" t="s">
        <v>274</v>
      </c>
      <c r="N828" s="37" t="s">
        <v>429</v>
      </c>
      <c r="O828" s="27"/>
      <c r="P828" s="27"/>
      <c r="Q828" s="27" t="s">
        <v>1340</v>
      </c>
      <c r="R828" s="27"/>
      <c r="S828" s="1" t="s">
        <v>264</v>
      </c>
      <c r="T828" s="29" t="s">
        <v>265</v>
      </c>
      <c r="U828" s="30">
        <v>46189</v>
      </c>
      <c r="V828" s="27" t="s">
        <v>1177</v>
      </c>
      <c r="W828" s="27"/>
    </row>
    <row r="829" spans="1:23" ht="24" customHeight="1">
      <c r="A829" s="27" t="str">
        <f t="shared" ca="1" si="12"/>
        <v>EVT-2026-0827</v>
      </c>
      <c r="B829" s="27">
        <v>2026</v>
      </c>
      <c r="C829" s="27" t="s">
        <v>102</v>
      </c>
      <c r="D829" s="30">
        <v>46190</v>
      </c>
      <c r="E829" s="27" t="s">
        <v>201</v>
      </c>
      <c r="F829" s="27" t="s">
        <v>126</v>
      </c>
      <c r="G829" s="27" t="s">
        <v>202</v>
      </c>
      <c r="H829" s="27" t="s">
        <v>736</v>
      </c>
      <c r="I829" s="27" t="s">
        <v>1341</v>
      </c>
      <c r="J829" s="27" t="s">
        <v>165</v>
      </c>
      <c r="K829" s="10">
        <v>80</v>
      </c>
      <c r="L829" s="36" t="s">
        <v>263</v>
      </c>
      <c r="M829" s="37" t="s">
        <v>1342</v>
      </c>
      <c r="N829" s="37" t="s">
        <v>350</v>
      </c>
      <c r="O829" s="27"/>
      <c r="P829" s="27"/>
      <c r="Q829" s="27" t="s">
        <v>1343</v>
      </c>
      <c r="R829" s="27"/>
      <c r="S829" s="1" t="s">
        <v>264</v>
      </c>
      <c r="T829" s="29" t="s">
        <v>265</v>
      </c>
      <c r="U829" s="30">
        <v>46189</v>
      </c>
      <c r="V829" s="27" t="s">
        <v>1344</v>
      </c>
      <c r="W829" s="27"/>
    </row>
    <row r="830" spans="1:23" ht="24" customHeight="1">
      <c r="A830" s="27" t="str">
        <f t="shared" ca="1" si="12"/>
        <v>EVT-2026-0828</v>
      </c>
      <c r="B830" s="27">
        <v>2026</v>
      </c>
      <c r="C830" s="27" t="s">
        <v>102</v>
      </c>
      <c r="D830" s="30">
        <v>46191</v>
      </c>
      <c r="E830" s="27" t="s">
        <v>216</v>
      </c>
      <c r="F830" s="27" t="s">
        <v>126</v>
      </c>
      <c r="G830" s="27" t="s">
        <v>202</v>
      </c>
      <c r="H830" s="27" t="s">
        <v>348</v>
      </c>
      <c r="I830" s="27" t="s">
        <v>1345</v>
      </c>
      <c r="J830" s="27" t="s">
        <v>152</v>
      </c>
      <c r="K830" s="10">
        <v>25</v>
      </c>
      <c r="L830" s="36" t="s">
        <v>263</v>
      </c>
      <c r="M830" s="37" t="s">
        <v>331</v>
      </c>
      <c r="N830" s="37" t="s">
        <v>309</v>
      </c>
      <c r="O830" s="27"/>
      <c r="P830" s="27"/>
      <c r="Q830" s="27" t="s">
        <v>379</v>
      </c>
      <c r="R830" s="27"/>
      <c r="S830" s="1" t="s">
        <v>264</v>
      </c>
      <c r="T830" s="29" t="s">
        <v>265</v>
      </c>
      <c r="U830" s="27"/>
      <c r="V830" s="27" t="s">
        <v>1346</v>
      </c>
      <c r="W830" s="27"/>
    </row>
    <row r="831" spans="1:23" ht="24" customHeight="1">
      <c r="A831" s="27" t="str">
        <f t="shared" ca="1" si="12"/>
        <v>EVT-2026-0829</v>
      </c>
      <c r="B831" s="27">
        <v>2026</v>
      </c>
      <c r="C831" s="27" t="s">
        <v>102</v>
      </c>
      <c r="D831" s="30">
        <v>46191</v>
      </c>
      <c r="E831" s="27" t="s">
        <v>216</v>
      </c>
      <c r="F831" s="27" t="s">
        <v>126</v>
      </c>
      <c r="G831" s="27" t="s">
        <v>228</v>
      </c>
      <c r="H831" s="27" t="s">
        <v>125</v>
      </c>
      <c r="I831" s="27" t="s">
        <v>1347</v>
      </c>
      <c r="J831" s="27" t="s">
        <v>177</v>
      </c>
      <c r="K831" s="10">
        <v>25</v>
      </c>
      <c r="L831" s="36" t="s">
        <v>263</v>
      </c>
      <c r="M831" s="37" t="s">
        <v>429</v>
      </c>
      <c r="N831" s="37" t="s">
        <v>354</v>
      </c>
      <c r="O831" s="27"/>
      <c r="P831" s="27"/>
      <c r="Q831" s="27" t="s">
        <v>1348</v>
      </c>
      <c r="R831" s="27"/>
      <c r="S831" s="1" t="s">
        <v>264</v>
      </c>
      <c r="T831" s="29" t="s">
        <v>265</v>
      </c>
      <c r="U831" s="30">
        <v>46167</v>
      </c>
      <c r="V831" s="27" t="s">
        <v>1349</v>
      </c>
      <c r="W831" s="27"/>
    </row>
    <row r="832" spans="1:23" ht="24" customHeight="1">
      <c r="A832" s="27" t="str">
        <f t="shared" ca="1" si="12"/>
        <v>EVT-2026-0830</v>
      </c>
      <c r="B832" s="27">
        <v>2026</v>
      </c>
      <c r="C832" s="27" t="s">
        <v>102</v>
      </c>
      <c r="D832" s="30">
        <v>46191</v>
      </c>
      <c r="E832" s="27" t="s">
        <v>216</v>
      </c>
      <c r="F832" s="27" t="s">
        <v>126</v>
      </c>
      <c r="G832" s="27" t="s">
        <v>228</v>
      </c>
      <c r="H832" s="27" t="s">
        <v>125</v>
      </c>
      <c r="I832" s="27" t="s">
        <v>1132</v>
      </c>
      <c r="J832" s="27" t="s">
        <v>152</v>
      </c>
      <c r="K832" s="10">
        <v>50</v>
      </c>
      <c r="L832" s="36" t="s">
        <v>263</v>
      </c>
      <c r="M832" s="37" t="s">
        <v>359</v>
      </c>
      <c r="N832" s="37" t="s">
        <v>290</v>
      </c>
      <c r="O832" s="27"/>
      <c r="P832" s="27"/>
      <c r="Q832" s="27" t="s">
        <v>367</v>
      </c>
      <c r="R832" s="27"/>
      <c r="S832" s="1" t="s">
        <v>264</v>
      </c>
      <c r="T832" s="29" t="s">
        <v>265</v>
      </c>
      <c r="U832" s="30">
        <v>46160</v>
      </c>
      <c r="V832" s="27" t="s">
        <v>298</v>
      </c>
      <c r="W832" s="27"/>
    </row>
    <row r="833" spans="1:23" ht="24" customHeight="1">
      <c r="A833" s="27" t="str">
        <f t="shared" ca="1" si="12"/>
        <v>EVT-2026-0831</v>
      </c>
      <c r="B833" s="27">
        <v>2026</v>
      </c>
      <c r="C833" s="27" t="s">
        <v>102</v>
      </c>
      <c r="D833" s="30">
        <v>46191</v>
      </c>
      <c r="E833" s="27" t="s">
        <v>216</v>
      </c>
      <c r="F833" s="27" t="s">
        <v>126</v>
      </c>
      <c r="G833" s="27" t="s">
        <v>202</v>
      </c>
      <c r="H833" s="27" t="s">
        <v>736</v>
      </c>
      <c r="I833" s="27" t="s">
        <v>1350</v>
      </c>
      <c r="J833" s="27" t="s">
        <v>165</v>
      </c>
      <c r="K833" s="10">
        <v>0</v>
      </c>
      <c r="L833" s="36" t="s">
        <v>263</v>
      </c>
      <c r="M833" s="37" t="s">
        <v>604</v>
      </c>
      <c r="N833" s="37" t="s">
        <v>275</v>
      </c>
      <c r="O833" s="27"/>
      <c r="P833" s="27"/>
      <c r="Q833" s="27" t="s">
        <v>379</v>
      </c>
      <c r="R833" s="27"/>
      <c r="S833" s="1" t="s">
        <v>264</v>
      </c>
      <c r="T833" s="29" t="s">
        <v>265</v>
      </c>
      <c r="U833" s="30">
        <v>46189</v>
      </c>
      <c r="V833" s="27" t="s">
        <v>1351</v>
      </c>
      <c r="W833" s="27"/>
    </row>
    <row r="834" spans="1:23" ht="24" customHeight="1">
      <c r="A834" s="27" t="str">
        <f t="shared" ca="1" si="12"/>
        <v>EVT-2026-0832</v>
      </c>
      <c r="B834" s="27">
        <v>2026</v>
      </c>
      <c r="C834" s="27" t="s">
        <v>102</v>
      </c>
      <c r="D834" s="30">
        <v>46191</v>
      </c>
      <c r="E834" s="27" t="s">
        <v>216</v>
      </c>
      <c r="F834" s="27" t="s">
        <v>126</v>
      </c>
      <c r="G834" s="27" t="s">
        <v>202</v>
      </c>
      <c r="H834" s="27" t="s">
        <v>736</v>
      </c>
      <c r="I834" s="27" t="s">
        <v>1167</v>
      </c>
      <c r="J834" s="27" t="s">
        <v>165</v>
      </c>
      <c r="K834" s="10">
        <v>30</v>
      </c>
      <c r="L834" s="36" t="s">
        <v>263</v>
      </c>
      <c r="M834" s="37" t="s">
        <v>309</v>
      </c>
      <c r="N834" s="37" t="s">
        <v>295</v>
      </c>
      <c r="O834" s="27"/>
      <c r="P834" s="27"/>
      <c r="Q834" s="27" t="s">
        <v>1352</v>
      </c>
      <c r="R834" s="27"/>
      <c r="S834" s="1" t="s">
        <v>264</v>
      </c>
      <c r="T834" s="29" t="s">
        <v>265</v>
      </c>
      <c r="U834" s="30">
        <v>46148</v>
      </c>
      <c r="V834" s="27"/>
      <c r="W834" s="27"/>
    </row>
    <row r="835" spans="1:23" ht="24" customHeight="1">
      <c r="A835" s="27" t="str">
        <f t="shared" ref="A835:A898" ca="1" si="13">IF(OR(D835&lt;&gt;"",H835&lt;&gt;"",I835&lt;&gt;"",Q835&lt;&gt;"",S835&lt;&gt;""), "EVT-" &amp; TEXT(B835, "0000") &amp; "-" &amp; TEXT(COUNTIF(OFFSET($A$1, 1, 0, ROW()-2, 1), "EVT*") + 1, "0000"), "")</f>
        <v>EVT-2026-0833</v>
      </c>
      <c r="B835" s="27">
        <v>2026</v>
      </c>
      <c r="C835" s="27" t="s">
        <v>102</v>
      </c>
      <c r="D835" s="30">
        <v>46191</v>
      </c>
      <c r="E835" s="27" t="s">
        <v>216</v>
      </c>
      <c r="F835" s="27" t="s">
        <v>126</v>
      </c>
      <c r="G835" s="27" t="s">
        <v>208</v>
      </c>
      <c r="H835" s="27" t="s">
        <v>348</v>
      </c>
      <c r="I835" s="27" t="s">
        <v>1303</v>
      </c>
      <c r="J835" s="27" t="s">
        <v>145</v>
      </c>
      <c r="K835" s="10">
        <v>50</v>
      </c>
      <c r="L835" s="36" t="s">
        <v>263</v>
      </c>
      <c r="M835" s="37" t="s">
        <v>309</v>
      </c>
      <c r="N835" s="37" t="s">
        <v>296</v>
      </c>
      <c r="O835" s="27"/>
      <c r="P835" s="27"/>
      <c r="Q835" s="27" t="s">
        <v>1304</v>
      </c>
      <c r="R835" s="27"/>
      <c r="S835" s="1" t="s">
        <v>264</v>
      </c>
      <c r="T835" s="29" t="s">
        <v>265</v>
      </c>
      <c r="U835" s="27"/>
      <c r="V835" s="27"/>
      <c r="W835" s="27"/>
    </row>
    <row r="836" spans="1:23" ht="24" customHeight="1">
      <c r="A836" s="27" t="str">
        <f t="shared" ca="1" si="13"/>
        <v>EVT-2026-0834</v>
      </c>
      <c r="B836" s="27">
        <v>2026</v>
      </c>
      <c r="C836" s="27" t="s">
        <v>102</v>
      </c>
      <c r="D836" s="30">
        <v>46191</v>
      </c>
      <c r="E836" s="27" t="s">
        <v>216</v>
      </c>
      <c r="F836" s="27" t="s">
        <v>126</v>
      </c>
      <c r="G836" s="27" t="s">
        <v>1260</v>
      </c>
      <c r="H836" s="27" t="s">
        <v>1318</v>
      </c>
      <c r="I836" s="27" t="s">
        <v>1319</v>
      </c>
      <c r="J836" s="27" t="s">
        <v>152</v>
      </c>
      <c r="K836" s="10">
        <v>8</v>
      </c>
      <c r="L836" s="36" t="s">
        <v>263</v>
      </c>
      <c r="M836" s="37" t="s">
        <v>269</v>
      </c>
      <c r="N836" s="37" t="s">
        <v>1320</v>
      </c>
      <c r="O836" s="27"/>
      <c r="P836" s="27"/>
      <c r="Q836" s="27" t="s">
        <v>1321</v>
      </c>
      <c r="R836" s="27"/>
      <c r="S836" s="1" t="s">
        <v>264</v>
      </c>
      <c r="T836" s="29" t="s">
        <v>265</v>
      </c>
      <c r="U836" s="30">
        <v>46181</v>
      </c>
      <c r="V836" s="27" t="s">
        <v>1322</v>
      </c>
      <c r="W836" s="27"/>
    </row>
    <row r="837" spans="1:23" ht="24" customHeight="1">
      <c r="A837" s="27" t="str">
        <f t="shared" ca="1" si="13"/>
        <v>EVT-2026-0835</v>
      </c>
      <c r="B837" s="27">
        <v>2026</v>
      </c>
      <c r="C837" s="27" t="s">
        <v>102</v>
      </c>
      <c r="D837" s="30">
        <v>46191</v>
      </c>
      <c r="E837" s="27" t="s">
        <v>216</v>
      </c>
      <c r="F837" s="27" t="s">
        <v>126</v>
      </c>
      <c r="G837" s="27" t="s">
        <v>202</v>
      </c>
      <c r="H837" s="27" t="s">
        <v>239</v>
      </c>
      <c r="I837" s="27" t="s">
        <v>1353</v>
      </c>
      <c r="J837" s="27" t="s">
        <v>177</v>
      </c>
      <c r="K837" s="10">
        <v>200</v>
      </c>
      <c r="L837" s="38" t="s">
        <v>294</v>
      </c>
      <c r="M837" s="37" t="s">
        <v>309</v>
      </c>
      <c r="N837" s="37" t="s">
        <v>270</v>
      </c>
      <c r="O837" s="27" t="s">
        <v>1354</v>
      </c>
      <c r="P837" s="27"/>
      <c r="Q837" s="27" t="s">
        <v>379</v>
      </c>
      <c r="R837" s="27"/>
      <c r="S837" s="1" t="s">
        <v>264</v>
      </c>
      <c r="T837" s="29" t="s">
        <v>265</v>
      </c>
      <c r="U837" s="30">
        <v>46153</v>
      </c>
      <c r="V837" s="27" t="s">
        <v>1355</v>
      </c>
      <c r="W837" s="27"/>
    </row>
    <row r="838" spans="1:23" ht="24" customHeight="1">
      <c r="A838" s="27" t="str">
        <f t="shared" ca="1" si="13"/>
        <v>EVT-2026-0836</v>
      </c>
      <c r="B838" s="27">
        <v>2026</v>
      </c>
      <c r="C838" s="27" t="s">
        <v>102</v>
      </c>
      <c r="D838" s="30">
        <v>46191</v>
      </c>
      <c r="E838" s="27" t="s">
        <v>216</v>
      </c>
      <c r="F838" s="27" t="s">
        <v>126</v>
      </c>
      <c r="G838" s="27" t="s">
        <v>1356</v>
      </c>
      <c r="H838" s="27" t="s">
        <v>1357</v>
      </c>
      <c r="I838" s="27" t="s">
        <v>1358</v>
      </c>
      <c r="J838" s="27" t="s">
        <v>158</v>
      </c>
      <c r="K838" s="10">
        <v>35</v>
      </c>
      <c r="L838" s="36" t="s">
        <v>263</v>
      </c>
      <c r="M838" s="37" t="s">
        <v>1359</v>
      </c>
      <c r="N838" s="37" t="s">
        <v>1360</v>
      </c>
      <c r="O838" s="27"/>
      <c r="P838" s="27"/>
      <c r="Q838" s="27" t="s">
        <v>1361</v>
      </c>
      <c r="R838" s="27"/>
      <c r="S838" s="1" t="s">
        <v>264</v>
      </c>
      <c r="T838" s="29" t="s">
        <v>265</v>
      </c>
      <c r="U838" s="27"/>
      <c r="V838" s="27" t="s">
        <v>1362</v>
      </c>
      <c r="W838" s="27"/>
    </row>
    <row r="839" spans="1:23" ht="24" customHeight="1">
      <c r="A839" s="27" t="str">
        <f t="shared" ca="1" si="13"/>
        <v>EVT-2026-0837</v>
      </c>
      <c r="B839" s="27">
        <v>2026</v>
      </c>
      <c r="C839" s="27" t="s">
        <v>102</v>
      </c>
      <c r="D839" s="30">
        <v>46192</v>
      </c>
      <c r="E839" s="27" t="s">
        <v>220</v>
      </c>
      <c r="F839" s="27" t="s">
        <v>126</v>
      </c>
      <c r="G839" s="27" t="s">
        <v>202</v>
      </c>
      <c r="H839" s="27" t="s">
        <v>348</v>
      </c>
      <c r="I839" s="27" t="s">
        <v>1345</v>
      </c>
      <c r="J839" s="27" t="s">
        <v>152</v>
      </c>
      <c r="K839" s="10">
        <v>27</v>
      </c>
      <c r="L839" s="36" t="s">
        <v>263</v>
      </c>
      <c r="M839" s="37" t="s">
        <v>331</v>
      </c>
      <c r="N839" s="37" t="s">
        <v>309</v>
      </c>
      <c r="O839" s="27"/>
      <c r="P839" s="27"/>
      <c r="Q839" s="27" t="s">
        <v>379</v>
      </c>
      <c r="R839" s="27"/>
      <c r="S839" s="1" t="s">
        <v>264</v>
      </c>
      <c r="T839" s="29" t="s">
        <v>265</v>
      </c>
      <c r="U839" s="27"/>
      <c r="V839" s="27" t="s">
        <v>1346</v>
      </c>
      <c r="W839" s="27"/>
    </row>
    <row r="840" spans="1:23" ht="24" customHeight="1">
      <c r="A840" s="27" t="str">
        <f t="shared" ca="1" si="13"/>
        <v>EVT-2026-0838</v>
      </c>
      <c r="B840" s="27">
        <v>2026</v>
      </c>
      <c r="C840" s="27" t="s">
        <v>102</v>
      </c>
      <c r="D840" s="30">
        <v>46192</v>
      </c>
      <c r="E840" s="27" t="s">
        <v>220</v>
      </c>
      <c r="F840" s="27" t="s">
        <v>126</v>
      </c>
      <c r="G840" s="27" t="s">
        <v>1260</v>
      </c>
      <c r="H840" s="27" t="s">
        <v>1318</v>
      </c>
      <c r="I840" s="27" t="s">
        <v>1319</v>
      </c>
      <c r="J840" s="27" t="s">
        <v>152</v>
      </c>
      <c r="K840" s="10">
        <v>8</v>
      </c>
      <c r="L840" s="36" t="s">
        <v>263</v>
      </c>
      <c r="M840" s="37" t="s">
        <v>269</v>
      </c>
      <c r="N840" s="37" t="s">
        <v>1320</v>
      </c>
      <c r="O840" s="27"/>
      <c r="P840" s="27"/>
      <c r="Q840" s="27" t="s">
        <v>1321</v>
      </c>
      <c r="R840" s="27"/>
      <c r="S840" s="1" t="s">
        <v>264</v>
      </c>
      <c r="T840" s="29" t="s">
        <v>265</v>
      </c>
      <c r="U840" s="30">
        <v>46181</v>
      </c>
      <c r="V840" s="27" t="s">
        <v>1322</v>
      </c>
      <c r="W840" s="27"/>
    </row>
    <row r="841" spans="1:23" ht="24" customHeight="1">
      <c r="A841" s="27" t="str">
        <f t="shared" ca="1" si="13"/>
        <v>EVT-2026-0839</v>
      </c>
      <c r="B841" s="27">
        <v>2026</v>
      </c>
      <c r="C841" s="27" t="s">
        <v>102</v>
      </c>
      <c r="D841" s="30">
        <v>46192</v>
      </c>
      <c r="E841" s="27" t="s">
        <v>220</v>
      </c>
      <c r="F841" s="27" t="s">
        <v>126</v>
      </c>
      <c r="G841" s="27" t="s">
        <v>202</v>
      </c>
      <c r="H841" s="27" t="s">
        <v>239</v>
      </c>
      <c r="I841" s="27" t="s">
        <v>1363</v>
      </c>
      <c r="J841" s="27" t="s">
        <v>127</v>
      </c>
      <c r="K841" s="10">
        <v>0</v>
      </c>
      <c r="L841" s="36" t="s">
        <v>263</v>
      </c>
      <c r="M841" s="37" t="s">
        <v>295</v>
      </c>
      <c r="N841" s="37" t="s">
        <v>296</v>
      </c>
      <c r="O841" s="27" t="s">
        <v>1364</v>
      </c>
      <c r="P841" s="27"/>
      <c r="Q841" s="27" t="s">
        <v>425</v>
      </c>
      <c r="R841" s="27"/>
      <c r="S841" s="3" t="s">
        <v>312</v>
      </c>
      <c r="T841" s="29" t="s">
        <v>265</v>
      </c>
      <c r="U841" s="30">
        <v>46206</v>
      </c>
      <c r="V841" s="27" t="s">
        <v>1365</v>
      </c>
      <c r="W841" s="27"/>
    </row>
    <row r="842" spans="1:23" ht="24" customHeight="1">
      <c r="A842" s="27" t="str">
        <f t="shared" ca="1" si="13"/>
        <v>EVT-2026-0840</v>
      </c>
      <c r="B842" s="27">
        <v>2026</v>
      </c>
      <c r="C842" s="27" t="s">
        <v>102</v>
      </c>
      <c r="D842" s="30">
        <v>46192</v>
      </c>
      <c r="E842" s="27" t="s">
        <v>220</v>
      </c>
      <c r="F842" s="27" t="s">
        <v>126</v>
      </c>
      <c r="G842" s="27" t="s">
        <v>1260</v>
      </c>
      <c r="H842" s="27" t="s">
        <v>1366</v>
      </c>
      <c r="I842" s="27" t="s">
        <v>895</v>
      </c>
      <c r="J842" s="27" t="s">
        <v>158</v>
      </c>
      <c r="K842" s="10">
        <v>35</v>
      </c>
      <c r="L842" s="36" t="s">
        <v>263</v>
      </c>
      <c r="M842" s="37" t="s">
        <v>330</v>
      </c>
      <c r="N842" s="37" t="s">
        <v>354</v>
      </c>
      <c r="O842" s="27"/>
      <c r="P842" s="27"/>
      <c r="Q842" s="27" t="s">
        <v>1367</v>
      </c>
      <c r="R842" s="27"/>
      <c r="S842" s="1" t="s">
        <v>264</v>
      </c>
      <c r="T842" s="29" t="s">
        <v>265</v>
      </c>
      <c r="U842" s="27"/>
      <c r="V842" s="27" t="s">
        <v>1177</v>
      </c>
      <c r="W842" s="27"/>
    </row>
    <row r="843" spans="1:23" ht="24" customHeight="1">
      <c r="A843" s="27" t="str">
        <f t="shared" ca="1" si="13"/>
        <v>EVT-2026-0841</v>
      </c>
      <c r="B843" s="27">
        <v>2026</v>
      </c>
      <c r="C843" s="27" t="s">
        <v>102</v>
      </c>
      <c r="D843" s="30">
        <v>46192</v>
      </c>
      <c r="E843" s="27" t="s">
        <v>220</v>
      </c>
      <c r="F843" s="27" t="s">
        <v>126</v>
      </c>
      <c r="G843" s="27" t="s">
        <v>228</v>
      </c>
      <c r="H843" s="27" t="s">
        <v>125</v>
      </c>
      <c r="I843" s="27" t="s">
        <v>1368</v>
      </c>
      <c r="J843" s="27" t="s">
        <v>177</v>
      </c>
      <c r="K843" s="10">
        <v>50</v>
      </c>
      <c r="L843" s="36" t="s">
        <v>263</v>
      </c>
      <c r="M843" s="37" t="s">
        <v>274</v>
      </c>
      <c r="N843" s="37" t="s">
        <v>330</v>
      </c>
      <c r="O843" s="27"/>
      <c r="P843" s="27"/>
      <c r="Q843" s="27" t="s">
        <v>785</v>
      </c>
      <c r="R843" s="27"/>
      <c r="S843" s="1" t="s">
        <v>264</v>
      </c>
      <c r="T843" s="29" t="s">
        <v>265</v>
      </c>
      <c r="U843" s="27"/>
      <c r="V843" s="27" t="s">
        <v>1311</v>
      </c>
      <c r="W843" s="27"/>
    </row>
    <row r="844" spans="1:23" ht="24" customHeight="1">
      <c r="A844" s="27" t="str">
        <f t="shared" ca="1" si="13"/>
        <v>EVT-2026-0842</v>
      </c>
      <c r="B844" s="27">
        <v>2026</v>
      </c>
      <c r="C844" s="27" t="s">
        <v>102</v>
      </c>
      <c r="D844" s="30">
        <v>46192</v>
      </c>
      <c r="E844" s="27" t="s">
        <v>220</v>
      </c>
      <c r="F844" s="27" t="s">
        <v>126</v>
      </c>
      <c r="G844" s="27" t="s">
        <v>202</v>
      </c>
      <c r="H844" s="27" t="s">
        <v>736</v>
      </c>
      <c r="I844" s="27" t="s">
        <v>1167</v>
      </c>
      <c r="J844" s="27" t="s">
        <v>165</v>
      </c>
      <c r="K844" s="10">
        <v>25</v>
      </c>
      <c r="L844" s="36" t="s">
        <v>263</v>
      </c>
      <c r="M844" s="37" t="s">
        <v>281</v>
      </c>
      <c r="N844" s="37" t="s">
        <v>429</v>
      </c>
      <c r="O844" s="27"/>
      <c r="P844" s="27"/>
      <c r="Q844" s="27" t="s">
        <v>1369</v>
      </c>
      <c r="R844" s="27"/>
      <c r="S844" s="1" t="s">
        <v>264</v>
      </c>
      <c r="T844" s="29" t="s">
        <v>265</v>
      </c>
      <c r="U844" s="30">
        <v>46191</v>
      </c>
      <c r="V844" s="27" t="s">
        <v>1177</v>
      </c>
      <c r="W844" s="27"/>
    </row>
    <row r="845" spans="1:23" ht="24" customHeight="1">
      <c r="A845" s="27" t="str">
        <f t="shared" ca="1" si="13"/>
        <v>EVT-2026-0843</v>
      </c>
      <c r="B845" s="27">
        <v>2026</v>
      </c>
      <c r="C845" s="27" t="s">
        <v>102</v>
      </c>
      <c r="D845" s="30">
        <v>46192</v>
      </c>
      <c r="E845" s="27" t="s">
        <v>220</v>
      </c>
      <c r="F845" s="27" t="s">
        <v>126</v>
      </c>
      <c r="G845" s="27" t="s">
        <v>202</v>
      </c>
      <c r="H845" s="27" t="s">
        <v>736</v>
      </c>
      <c r="I845" s="27" t="s">
        <v>1370</v>
      </c>
      <c r="J845" s="27" t="s">
        <v>134</v>
      </c>
      <c r="K845" s="10">
        <v>15</v>
      </c>
      <c r="L845" s="36" t="s">
        <v>263</v>
      </c>
      <c r="M845" s="37" t="s">
        <v>350</v>
      </c>
      <c r="N845" s="37" t="s">
        <v>270</v>
      </c>
      <c r="O845" s="27"/>
      <c r="P845" s="27"/>
      <c r="Q845" s="27" t="s">
        <v>1192</v>
      </c>
      <c r="R845" s="27"/>
      <c r="S845" s="1" t="s">
        <v>264</v>
      </c>
      <c r="T845" s="29" t="s">
        <v>265</v>
      </c>
      <c r="U845" s="30">
        <v>46332</v>
      </c>
      <c r="V845" s="27" t="s">
        <v>303</v>
      </c>
      <c r="W845" s="27"/>
    </row>
    <row r="846" spans="1:23" ht="24" customHeight="1">
      <c r="A846" s="27" t="str">
        <f t="shared" ca="1" si="13"/>
        <v>EVT-2026-0844</v>
      </c>
      <c r="B846" s="27">
        <v>2026</v>
      </c>
      <c r="C846" s="27" t="s">
        <v>102</v>
      </c>
      <c r="D846" s="30">
        <v>46192</v>
      </c>
      <c r="E846" s="27" t="s">
        <v>220</v>
      </c>
      <c r="F846" s="27" t="s">
        <v>126</v>
      </c>
      <c r="G846" s="27" t="s">
        <v>228</v>
      </c>
      <c r="H846" s="27" t="s">
        <v>125</v>
      </c>
      <c r="I846" s="27" t="s">
        <v>1371</v>
      </c>
      <c r="J846" s="27" t="s">
        <v>177</v>
      </c>
      <c r="K846" s="10">
        <v>35</v>
      </c>
      <c r="L846" s="36" t="s">
        <v>263</v>
      </c>
      <c r="M846" s="37" t="s">
        <v>429</v>
      </c>
      <c r="N846" s="37" t="s">
        <v>354</v>
      </c>
      <c r="O846" s="27"/>
      <c r="P846" s="27"/>
      <c r="Q846" s="27" t="s">
        <v>484</v>
      </c>
      <c r="R846" s="27"/>
      <c r="S846" s="1" t="s">
        <v>264</v>
      </c>
      <c r="T846" s="29" t="s">
        <v>265</v>
      </c>
      <c r="U846" s="30">
        <v>46189</v>
      </c>
      <c r="V846" s="27" t="s">
        <v>1177</v>
      </c>
      <c r="W846" s="27"/>
    </row>
    <row r="847" spans="1:23" ht="24" customHeight="1">
      <c r="A847" s="27" t="str">
        <f t="shared" ca="1" si="13"/>
        <v>EVT-2026-0845</v>
      </c>
      <c r="B847" s="27">
        <v>2026</v>
      </c>
      <c r="C847" s="27" t="s">
        <v>102</v>
      </c>
      <c r="D847" s="30">
        <v>46193</v>
      </c>
      <c r="E847" s="27" t="s">
        <v>266</v>
      </c>
      <c r="F847" s="27" t="s">
        <v>126</v>
      </c>
      <c r="G847" s="27"/>
      <c r="H847" s="27"/>
      <c r="I847" s="27"/>
      <c r="J847" s="27" t="s">
        <v>177</v>
      </c>
      <c r="K847" s="10">
        <v>0</v>
      </c>
      <c r="L847" s="36" t="s">
        <v>263</v>
      </c>
      <c r="M847" s="37"/>
      <c r="N847" s="37"/>
      <c r="O847" s="27"/>
      <c r="P847" s="27"/>
      <c r="Q847" s="27"/>
      <c r="R847" s="27"/>
      <c r="S847" s="1" t="s">
        <v>264</v>
      </c>
      <c r="T847" s="29" t="s">
        <v>265</v>
      </c>
      <c r="U847" s="27"/>
      <c r="V847" s="27"/>
      <c r="W847" s="27"/>
    </row>
    <row r="848" spans="1:23" ht="24" customHeight="1">
      <c r="A848" s="27" t="str">
        <f t="shared" ca="1" si="13"/>
        <v>EVT-2026-0846</v>
      </c>
      <c r="B848" s="27">
        <v>2026</v>
      </c>
      <c r="C848" s="27" t="s">
        <v>102</v>
      </c>
      <c r="D848" s="30">
        <v>46194</v>
      </c>
      <c r="E848" s="27" t="s">
        <v>267</v>
      </c>
      <c r="F848" s="27" t="s">
        <v>126</v>
      </c>
      <c r="G848" s="27"/>
      <c r="H848" s="27"/>
      <c r="I848" s="27"/>
      <c r="J848" s="27" t="s">
        <v>177</v>
      </c>
      <c r="K848" s="10">
        <v>0</v>
      </c>
      <c r="L848" s="36" t="s">
        <v>263</v>
      </c>
      <c r="M848" s="37"/>
      <c r="N848" s="37"/>
      <c r="O848" s="27"/>
      <c r="P848" s="27"/>
      <c r="Q848" s="27"/>
      <c r="R848" s="27"/>
      <c r="S848" s="1" t="s">
        <v>264</v>
      </c>
      <c r="T848" s="29" t="s">
        <v>265</v>
      </c>
      <c r="U848" s="27"/>
      <c r="V848" s="27"/>
      <c r="W848" s="27"/>
    </row>
    <row r="849" spans="1:23" ht="24" customHeight="1">
      <c r="A849" s="27" t="str">
        <f t="shared" ca="1" si="13"/>
        <v>EVT-2026-0847</v>
      </c>
      <c r="B849" s="27">
        <v>2026</v>
      </c>
      <c r="C849" s="27" t="s">
        <v>102</v>
      </c>
      <c r="D849" s="30">
        <v>46195</v>
      </c>
      <c r="E849" s="27" t="s">
        <v>224</v>
      </c>
      <c r="F849" s="27" t="s">
        <v>126</v>
      </c>
      <c r="G849" s="27" t="s">
        <v>1260</v>
      </c>
      <c r="H849" s="27" t="s">
        <v>1318</v>
      </c>
      <c r="I849" s="27" t="s">
        <v>1319</v>
      </c>
      <c r="J849" s="27" t="s">
        <v>152</v>
      </c>
      <c r="K849" s="10">
        <v>0</v>
      </c>
      <c r="L849" s="36" t="s">
        <v>263</v>
      </c>
      <c r="M849" s="37" t="s">
        <v>269</v>
      </c>
      <c r="N849" s="37" t="s">
        <v>1320</v>
      </c>
      <c r="O849" s="27"/>
      <c r="P849" s="27"/>
      <c r="Q849" s="27" t="s">
        <v>1321</v>
      </c>
      <c r="R849" s="27"/>
      <c r="S849" s="1" t="s">
        <v>264</v>
      </c>
      <c r="T849" s="29" t="s">
        <v>265</v>
      </c>
      <c r="U849" s="30">
        <v>46181</v>
      </c>
      <c r="V849" s="27" t="s">
        <v>1322</v>
      </c>
      <c r="W849" s="27"/>
    </row>
    <row r="850" spans="1:23" ht="24" customHeight="1">
      <c r="A850" s="27" t="str">
        <f t="shared" ca="1" si="13"/>
        <v>EVT-2026-0848</v>
      </c>
      <c r="B850" s="27">
        <v>2026</v>
      </c>
      <c r="C850" s="27" t="s">
        <v>102</v>
      </c>
      <c r="D850" s="30">
        <v>46195</v>
      </c>
      <c r="E850" s="27" t="s">
        <v>224</v>
      </c>
      <c r="F850" s="27" t="s">
        <v>126</v>
      </c>
      <c r="G850" s="27" t="s">
        <v>228</v>
      </c>
      <c r="H850" s="27" t="s">
        <v>125</v>
      </c>
      <c r="I850" s="27" t="s">
        <v>1372</v>
      </c>
      <c r="J850" s="27" t="s">
        <v>165</v>
      </c>
      <c r="K850" s="10">
        <v>55</v>
      </c>
      <c r="L850" s="36" t="s">
        <v>263</v>
      </c>
      <c r="M850" s="37" t="s">
        <v>274</v>
      </c>
      <c r="N850" s="37" t="s">
        <v>429</v>
      </c>
      <c r="O850" s="27"/>
      <c r="P850" s="27"/>
      <c r="Q850" s="27" t="s">
        <v>1373</v>
      </c>
      <c r="R850" s="27"/>
      <c r="S850" s="1" t="s">
        <v>264</v>
      </c>
      <c r="T850" s="29" t="s">
        <v>265</v>
      </c>
      <c r="U850" s="30">
        <v>46189</v>
      </c>
      <c r="V850" s="27" t="s">
        <v>1177</v>
      </c>
      <c r="W850" s="27"/>
    </row>
    <row r="851" spans="1:23" ht="24" customHeight="1">
      <c r="A851" s="27" t="str">
        <f t="shared" ca="1" si="13"/>
        <v>EVT-2026-0849</v>
      </c>
      <c r="B851" s="27">
        <v>2026</v>
      </c>
      <c r="C851" s="27" t="s">
        <v>102</v>
      </c>
      <c r="D851" s="30">
        <v>46196</v>
      </c>
      <c r="E851" s="27" t="s">
        <v>227</v>
      </c>
      <c r="F851" s="27" t="s">
        <v>126</v>
      </c>
      <c r="G851" s="27" t="s">
        <v>228</v>
      </c>
      <c r="H851" s="27" t="s">
        <v>125</v>
      </c>
      <c r="I851" s="27" t="s">
        <v>874</v>
      </c>
      <c r="J851" s="27" t="s">
        <v>139</v>
      </c>
      <c r="K851" s="10">
        <v>50</v>
      </c>
      <c r="L851" s="36" t="s">
        <v>263</v>
      </c>
      <c r="M851" s="37" t="s">
        <v>309</v>
      </c>
      <c r="N851" s="37" t="s">
        <v>270</v>
      </c>
      <c r="O851" s="27"/>
      <c r="P851" s="27"/>
      <c r="Q851" s="27" t="s">
        <v>370</v>
      </c>
      <c r="R851" s="27"/>
      <c r="S851" s="3" t="s">
        <v>312</v>
      </c>
      <c r="T851" s="29" t="s">
        <v>265</v>
      </c>
      <c r="U851" s="27"/>
      <c r="V851" s="27" t="s">
        <v>298</v>
      </c>
      <c r="W851" s="27"/>
    </row>
    <row r="852" spans="1:23" ht="24" customHeight="1">
      <c r="A852" s="27" t="str">
        <f t="shared" ca="1" si="13"/>
        <v>EVT-2026-0850</v>
      </c>
      <c r="B852" s="27">
        <v>2026</v>
      </c>
      <c r="C852" s="27" t="s">
        <v>102</v>
      </c>
      <c r="D852" s="30">
        <v>46196</v>
      </c>
      <c r="E852" s="27" t="s">
        <v>227</v>
      </c>
      <c r="F852" s="27" t="s">
        <v>126</v>
      </c>
      <c r="G852" s="27" t="s">
        <v>208</v>
      </c>
      <c r="H852" s="27" t="s">
        <v>348</v>
      </c>
      <c r="I852" s="27" t="s">
        <v>1303</v>
      </c>
      <c r="J852" s="27" t="s">
        <v>145</v>
      </c>
      <c r="K852" s="10">
        <v>50</v>
      </c>
      <c r="L852" s="36" t="s">
        <v>263</v>
      </c>
      <c r="M852" s="37" t="s">
        <v>309</v>
      </c>
      <c r="N852" s="37" t="s">
        <v>296</v>
      </c>
      <c r="O852" s="27"/>
      <c r="P852" s="27"/>
      <c r="Q852" s="27" t="s">
        <v>1304</v>
      </c>
      <c r="R852" s="27"/>
      <c r="S852" s="1" t="s">
        <v>264</v>
      </c>
      <c r="T852" s="29" t="s">
        <v>265</v>
      </c>
      <c r="U852" s="27"/>
      <c r="V852" s="27"/>
      <c r="W852" s="27"/>
    </row>
    <row r="853" spans="1:23" ht="24" customHeight="1">
      <c r="A853" s="27" t="str">
        <f t="shared" ca="1" si="13"/>
        <v>EVT-2026-0851</v>
      </c>
      <c r="B853" s="27">
        <v>2026</v>
      </c>
      <c r="C853" s="27" t="s">
        <v>102</v>
      </c>
      <c r="D853" s="30">
        <v>46196</v>
      </c>
      <c r="E853" s="27" t="s">
        <v>227</v>
      </c>
      <c r="F853" s="27" t="s">
        <v>126</v>
      </c>
      <c r="G853" s="27" t="s">
        <v>228</v>
      </c>
      <c r="H853" s="27" t="s">
        <v>125</v>
      </c>
      <c r="I853" s="27" t="s">
        <v>1374</v>
      </c>
      <c r="J853" s="27" t="s">
        <v>165</v>
      </c>
      <c r="K853" s="10">
        <v>80</v>
      </c>
      <c r="L853" s="36" t="s">
        <v>263</v>
      </c>
      <c r="M853" s="37" t="s">
        <v>350</v>
      </c>
      <c r="N853" s="37" t="s">
        <v>295</v>
      </c>
      <c r="O853" s="27"/>
      <c r="P853" s="27"/>
      <c r="Q853" s="27" t="s">
        <v>1373</v>
      </c>
      <c r="R853" s="27"/>
      <c r="S853" s="1" t="s">
        <v>264</v>
      </c>
      <c r="T853" s="29" t="s">
        <v>265</v>
      </c>
      <c r="U853" s="30">
        <v>46189</v>
      </c>
      <c r="V853" s="27" t="s">
        <v>1375</v>
      </c>
      <c r="W853" s="27"/>
    </row>
    <row r="854" spans="1:23" ht="24" customHeight="1">
      <c r="A854" s="27" t="str">
        <f t="shared" ca="1" si="13"/>
        <v>EVT-2026-0852</v>
      </c>
      <c r="B854" s="27">
        <v>2026</v>
      </c>
      <c r="C854" s="27" t="s">
        <v>102</v>
      </c>
      <c r="D854" s="30">
        <v>46196</v>
      </c>
      <c r="E854" s="27" t="s">
        <v>227</v>
      </c>
      <c r="F854" s="27" t="s">
        <v>126</v>
      </c>
      <c r="G854" s="27" t="s">
        <v>1260</v>
      </c>
      <c r="H854" s="27" t="s">
        <v>1318</v>
      </c>
      <c r="I854" s="27" t="s">
        <v>1319</v>
      </c>
      <c r="J854" s="27" t="s">
        <v>152</v>
      </c>
      <c r="K854" s="10">
        <v>8</v>
      </c>
      <c r="L854" s="36" t="s">
        <v>263</v>
      </c>
      <c r="M854" s="37" t="s">
        <v>269</v>
      </c>
      <c r="N854" s="37" t="s">
        <v>1320</v>
      </c>
      <c r="O854" s="27"/>
      <c r="P854" s="27"/>
      <c r="Q854" s="27" t="s">
        <v>1321</v>
      </c>
      <c r="R854" s="27"/>
      <c r="S854" s="1" t="s">
        <v>264</v>
      </c>
      <c r="T854" s="29" t="s">
        <v>265</v>
      </c>
      <c r="U854" s="30">
        <v>46181</v>
      </c>
      <c r="V854" s="27" t="s">
        <v>1376</v>
      </c>
      <c r="W854" s="27"/>
    </row>
    <row r="855" spans="1:23" ht="24" customHeight="1">
      <c r="A855" s="27" t="str">
        <f t="shared" ca="1" si="13"/>
        <v>EVT-2026-0853</v>
      </c>
      <c r="B855" s="27">
        <v>2026</v>
      </c>
      <c r="C855" s="27" t="s">
        <v>102</v>
      </c>
      <c r="D855" s="30">
        <v>46196</v>
      </c>
      <c r="E855" s="27" t="s">
        <v>227</v>
      </c>
      <c r="F855" s="27" t="s">
        <v>126</v>
      </c>
      <c r="G855" s="27" t="s">
        <v>208</v>
      </c>
      <c r="H855" s="27" t="s">
        <v>348</v>
      </c>
      <c r="I855" s="27" t="s">
        <v>1377</v>
      </c>
      <c r="J855" s="27" t="s">
        <v>127</v>
      </c>
      <c r="K855" s="10">
        <v>60</v>
      </c>
      <c r="L855" s="36" t="s">
        <v>263</v>
      </c>
      <c r="M855" s="37" t="s">
        <v>315</v>
      </c>
      <c r="N855" s="37" t="s">
        <v>429</v>
      </c>
      <c r="O855" s="27"/>
      <c r="P855" s="27"/>
      <c r="Q855" s="27" t="s">
        <v>367</v>
      </c>
      <c r="R855" s="27"/>
      <c r="S855" s="1" t="s">
        <v>264</v>
      </c>
      <c r="T855" s="29" t="s">
        <v>265</v>
      </c>
      <c r="U855" s="27"/>
      <c r="V855" s="27" t="s">
        <v>298</v>
      </c>
      <c r="W855" s="27"/>
    </row>
    <row r="856" spans="1:23" ht="24" customHeight="1">
      <c r="A856" s="27" t="str">
        <f t="shared" ca="1" si="13"/>
        <v>EVT-2026-0854</v>
      </c>
      <c r="B856" s="27">
        <v>2026</v>
      </c>
      <c r="C856" s="27" t="s">
        <v>102</v>
      </c>
      <c r="D856" s="30">
        <v>46197</v>
      </c>
      <c r="E856" s="27" t="s">
        <v>201</v>
      </c>
      <c r="F856" s="27" t="s">
        <v>126</v>
      </c>
      <c r="G856" s="27" t="s">
        <v>202</v>
      </c>
      <c r="H856" s="27" t="s">
        <v>1366</v>
      </c>
      <c r="I856" s="27" t="s">
        <v>1378</v>
      </c>
      <c r="J856" s="27" t="s">
        <v>158</v>
      </c>
      <c r="K856" s="10">
        <v>35</v>
      </c>
      <c r="L856" s="36" t="s">
        <v>263</v>
      </c>
      <c r="M856" s="37" t="s">
        <v>309</v>
      </c>
      <c r="N856" s="37" t="s">
        <v>296</v>
      </c>
      <c r="O856" s="27"/>
      <c r="P856" s="27"/>
      <c r="Q856" s="27" t="s">
        <v>1379</v>
      </c>
      <c r="R856" s="27"/>
      <c r="S856" s="1" t="s">
        <v>264</v>
      </c>
      <c r="T856" s="29" t="s">
        <v>265</v>
      </c>
      <c r="U856" s="27"/>
      <c r="V856" s="27" t="s">
        <v>1380</v>
      </c>
      <c r="W856" s="27"/>
    </row>
    <row r="857" spans="1:23" ht="24" customHeight="1">
      <c r="A857" s="27" t="str">
        <f t="shared" ca="1" si="13"/>
        <v>EVT-2026-0855</v>
      </c>
      <c r="B857" s="27">
        <v>2026</v>
      </c>
      <c r="C857" s="27" t="s">
        <v>102</v>
      </c>
      <c r="D857" s="30">
        <v>46197</v>
      </c>
      <c r="E857" s="27" t="s">
        <v>201</v>
      </c>
      <c r="F857" s="27" t="s">
        <v>126</v>
      </c>
      <c r="G857" s="27" t="s">
        <v>228</v>
      </c>
      <c r="H857" s="27" t="s">
        <v>125</v>
      </c>
      <c r="I857" s="27" t="s">
        <v>1381</v>
      </c>
      <c r="J857" s="27" t="s">
        <v>127</v>
      </c>
      <c r="K857" s="10">
        <v>45</v>
      </c>
      <c r="L857" s="36" t="s">
        <v>263</v>
      </c>
      <c r="M857" s="37" t="s">
        <v>274</v>
      </c>
      <c r="N857" s="37" t="s">
        <v>331</v>
      </c>
      <c r="O857" s="27"/>
      <c r="P857" s="27"/>
      <c r="Q857" s="27" t="s">
        <v>646</v>
      </c>
      <c r="R857" s="27"/>
      <c r="S857" s="1" t="s">
        <v>264</v>
      </c>
      <c r="T857" s="29" t="s">
        <v>265</v>
      </c>
      <c r="U857" s="27"/>
      <c r="V857" s="27" t="s">
        <v>307</v>
      </c>
      <c r="W857" s="27"/>
    </row>
    <row r="858" spans="1:23" ht="24" customHeight="1">
      <c r="A858" s="27" t="str">
        <f t="shared" ca="1" si="13"/>
        <v>EVT-2026-0856</v>
      </c>
      <c r="B858" s="27">
        <v>2026</v>
      </c>
      <c r="C858" s="27" t="s">
        <v>102</v>
      </c>
      <c r="D858" s="30">
        <v>46197</v>
      </c>
      <c r="E858" s="27" t="s">
        <v>201</v>
      </c>
      <c r="F858" s="27" t="s">
        <v>126</v>
      </c>
      <c r="G858" s="27" t="s">
        <v>202</v>
      </c>
      <c r="H858" s="27" t="s">
        <v>736</v>
      </c>
      <c r="I858" s="27" t="s">
        <v>1382</v>
      </c>
      <c r="J858" s="27" t="s">
        <v>165</v>
      </c>
      <c r="K858" s="10">
        <v>50</v>
      </c>
      <c r="L858" s="36" t="s">
        <v>263</v>
      </c>
      <c r="M858" s="37" t="s">
        <v>295</v>
      </c>
      <c r="N858" s="37" t="s">
        <v>296</v>
      </c>
      <c r="O858" s="27"/>
      <c r="P858" s="27"/>
      <c r="Q858" s="27" t="s">
        <v>583</v>
      </c>
      <c r="R858" s="27"/>
      <c r="S858" s="1" t="s">
        <v>264</v>
      </c>
      <c r="T858" s="29" t="s">
        <v>265</v>
      </c>
      <c r="U858" s="30">
        <v>46197</v>
      </c>
      <c r="V858" s="27" t="s">
        <v>1177</v>
      </c>
      <c r="W858" s="27"/>
    </row>
    <row r="859" spans="1:23" ht="24" customHeight="1">
      <c r="A859" s="27" t="str">
        <f t="shared" ca="1" si="13"/>
        <v>EVT-2026-0857</v>
      </c>
      <c r="B859" s="27">
        <v>2026</v>
      </c>
      <c r="C859" s="27" t="s">
        <v>102</v>
      </c>
      <c r="D859" s="30">
        <v>46197</v>
      </c>
      <c r="E859" s="27" t="s">
        <v>201</v>
      </c>
      <c r="F859" s="27" t="s">
        <v>126</v>
      </c>
      <c r="G859" s="27" t="s">
        <v>228</v>
      </c>
      <c r="H859" s="27" t="s">
        <v>125</v>
      </c>
      <c r="I859" s="27" t="s">
        <v>1383</v>
      </c>
      <c r="J859" s="27" t="s">
        <v>127</v>
      </c>
      <c r="K859" s="10">
        <v>50</v>
      </c>
      <c r="L859" s="36" t="s">
        <v>263</v>
      </c>
      <c r="M859" s="37" t="s">
        <v>309</v>
      </c>
      <c r="N859" s="37" t="s">
        <v>359</v>
      </c>
      <c r="O859" s="27"/>
      <c r="P859" s="27"/>
      <c r="Q859" s="27" t="s">
        <v>367</v>
      </c>
      <c r="R859" s="27"/>
      <c r="S859" s="3" t="s">
        <v>312</v>
      </c>
      <c r="T859" s="29" t="s">
        <v>265</v>
      </c>
      <c r="U859" s="27"/>
      <c r="V859" s="27" t="s">
        <v>298</v>
      </c>
      <c r="W859" s="27"/>
    </row>
    <row r="860" spans="1:23" ht="24" customHeight="1">
      <c r="A860" s="27" t="str">
        <f t="shared" ca="1" si="13"/>
        <v>EVT-2026-0858</v>
      </c>
      <c r="B860" s="27">
        <v>2026</v>
      </c>
      <c r="C860" s="27" t="s">
        <v>102</v>
      </c>
      <c r="D860" s="30">
        <v>46197</v>
      </c>
      <c r="E860" s="27" t="s">
        <v>201</v>
      </c>
      <c r="F860" s="27" t="s">
        <v>126</v>
      </c>
      <c r="G860" s="27" t="s">
        <v>208</v>
      </c>
      <c r="H860" s="27" t="s">
        <v>348</v>
      </c>
      <c r="I860" s="27" t="s">
        <v>1303</v>
      </c>
      <c r="J860" s="27" t="s">
        <v>145</v>
      </c>
      <c r="K860" s="10">
        <v>50</v>
      </c>
      <c r="L860" s="36" t="s">
        <v>263</v>
      </c>
      <c r="M860" s="37" t="s">
        <v>309</v>
      </c>
      <c r="N860" s="37" t="s">
        <v>296</v>
      </c>
      <c r="O860" s="27"/>
      <c r="P860" s="27"/>
      <c r="Q860" s="27" t="s">
        <v>1304</v>
      </c>
      <c r="R860" s="27"/>
      <c r="S860" s="1" t="s">
        <v>264</v>
      </c>
      <c r="T860" s="29" t="s">
        <v>265</v>
      </c>
      <c r="U860" s="27"/>
      <c r="V860" s="27"/>
      <c r="W860" s="27"/>
    </row>
    <row r="861" spans="1:23" ht="24" customHeight="1">
      <c r="A861" s="27" t="str">
        <f t="shared" ca="1" si="13"/>
        <v>EVT-2026-0859</v>
      </c>
      <c r="B861" s="27">
        <v>2026</v>
      </c>
      <c r="C861" s="27" t="s">
        <v>102</v>
      </c>
      <c r="D861" s="30">
        <v>46197</v>
      </c>
      <c r="E861" s="27" t="s">
        <v>201</v>
      </c>
      <c r="F861" s="27" t="s">
        <v>126</v>
      </c>
      <c r="G861" s="27" t="s">
        <v>1260</v>
      </c>
      <c r="H861" s="27" t="s">
        <v>1318</v>
      </c>
      <c r="I861" s="27" t="s">
        <v>1319</v>
      </c>
      <c r="J861" s="27" t="s">
        <v>152</v>
      </c>
      <c r="K861" s="10">
        <v>8</v>
      </c>
      <c r="L861" s="36" t="s">
        <v>263</v>
      </c>
      <c r="M861" s="37" t="s">
        <v>269</v>
      </c>
      <c r="N861" s="37" t="s">
        <v>1320</v>
      </c>
      <c r="O861" s="27"/>
      <c r="P861" s="27"/>
      <c r="Q861" s="27" t="s">
        <v>1321</v>
      </c>
      <c r="R861" s="27"/>
      <c r="S861" s="1" t="s">
        <v>264</v>
      </c>
      <c r="T861" s="29" t="s">
        <v>265</v>
      </c>
      <c r="U861" s="30">
        <v>46181</v>
      </c>
      <c r="V861" s="27" t="s">
        <v>1322</v>
      </c>
      <c r="W861" s="27"/>
    </row>
    <row r="862" spans="1:23" ht="24" customHeight="1">
      <c r="A862" s="27" t="str">
        <f t="shared" ca="1" si="13"/>
        <v>EVT-2026-0860</v>
      </c>
      <c r="B862" s="27">
        <v>2026</v>
      </c>
      <c r="C862" s="27" t="s">
        <v>102</v>
      </c>
      <c r="D862" s="30">
        <v>46198</v>
      </c>
      <c r="E862" s="27" t="s">
        <v>216</v>
      </c>
      <c r="F862" s="27" t="s">
        <v>126</v>
      </c>
      <c r="G862" s="27" t="s">
        <v>202</v>
      </c>
      <c r="H862" s="27" t="s">
        <v>736</v>
      </c>
      <c r="I862" s="27" t="s">
        <v>1167</v>
      </c>
      <c r="J862" s="27" t="s">
        <v>165</v>
      </c>
      <c r="K862" s="10">
        <v>30</v>
      </c>
      <c r="L862" s="36" t="s">
        <v>263</v>
      </c>
      <c r="M862" s="37" t="s">
        <v>309</v>
      </c>
      <c r="N862" s="37" t="s">
        <v>295</v>
      </c>
      <c r="O862" s="27"/>
      <c r="P862" s="27"/>
      <c r="Q862" s="27" t="s">
        <v>1352</v>
      </c>
      <c r="R862" s="27"/>
      <c r="S862" s="1" t="s">
        <v>264</v>
      </c>
      <c r="T862" s="29" t="s">
        <v>265</v>
      </c>
      <c r="U862" s="27"/>
      <c r="V862" s="27"/>
      <c r="W862" s="27"/>
    </row>
    <row r="863" spans="1:23" ht="24" customHeight="1">
      <c r="A863" s="27" t="str">
        <f t="shared" ca="1" si="13"/>
        <v>EVT-2026-0861</v>
      </c>
      <c r="B863" s="27">
        <v>2026</v>
      </c>
      <c r="C863" s="27" t="s">
        <v>102</v>
      </c>
      <c r="D863" s="30">
        <v>46198</v>
      </c>
      <c r="E863" s="27" t="s">
        <v>216</v>
      </c>
      <c r="F863" s="27" t="s">
        <v>126</v>
      </c>
      <c r="G863" s="27" t="s">
        <v>202</v>
      </c>
      <c r="H863" s="27" t="s">
        <v>736</v>
      </c>
      <c r="I863" s="27" t="s">
        <v>543</v>
      </c>
      <c r="J863" s="27" t="s">
        <v>165</v>
      </c>
      <c r="K863" s="10">
        <v>30</v>
      </c>
      <c r="L863" s="36" t="s">
        <v>263</v>
      </c>
      <c r="M863" s="37" t="s">
        <v>295</v>
      </c>
      <c r="N863" s="37" t="s">
        <v>270</v>
      </c>
      <c r="O863" s="27"/>
      <c r="P863" s="27"/>
      <c r="Q863" s="27" t="s">
        <v>651</v>
      </c>
      <c r="R863" s="27"/>
      <c r="S863" s="1" t="s">
        <v>264</v>
      </c>
      <c r="T863" s="29" t="s">
        <v>265</v>
      </c>
      <c r="U863" s="27"/>
      <c r="V863" s="27"/>
      <c r="W863" s="27"/>
    </row>
    <row r="864" spans="1:23" ht="24" customHeight="1">
      <c r="A864" s="27" t="str">
        <f t="shared" ca="1" si="13"/>
        <v>EVT-2026-0862</v>
      </c>
      <c r="B864" s="27">
        <v>2026</v>
      </c>
      <c r="C864" s="27" t="s">
        <v>102</v>
      </c>
      <c r="D864" s="30">
        <v>46198</v>
      </c>
      <c r="E864" s="27" t="s">
        <v>216</v>
      </c>
      <c r="F864" s="27" t="s">
        <v>126</v>
      </c>
      <c r="G864" s="27" t="s">
        <v>228</v>
      </c>
      <c r="H864" s="27" t="s">
        <v>125</v>
      </c>
      <c r="I864" s="27" t="s">
        <v>1384</v>
      </c>
      <c r="J864" s="27" t="s">
        <v>177</v>
      </c>
      <c r="K864" s="10">
        <v>28</v>
      </c>
      <c r="L864" s="36" t="s">
        <v>263</v>
      </c>
      <c r="M864" s="37" t="s">
        <v>269</v>
      </c>
      <c r="N864" s="37" t="s">
        <v>270</v>
      </c>
      <c r="O864" s="27"/>
      <c r="P864" s="27"/>
      <c r="Q864" s="27" t="s">
        <v>1198</v>
      </c>
      <c r="R864" s="27"/>
      <c r="S864" s="1" t="s">
        <v>264</v>
      </c>
      <c r="T864" s="29" t="s">
        <v>265</v>
      </c>
      <c r="U864" s="27"/>
      <c r="V864" s="27"/>
      <c r="W864" s="27"/>
    </row>
    <row r="865" spans="1:23" ht="24" customHeight="1">
      <c r="A865" s="27" t="str">
        <f t="shared" ca="1" si="13"/>
        <v>EVT-2026-0863</v>
      </c>
      <c r="B865" s="27">
        <v>2026</v>
      </c>
      <c r="C865" s="27" t="s">
        <v>102</v>
      </c>
      <c r="D865" s="30">
        <v>46198</v>
      </c>
      <c r="E865" s="27" t="s">
        <v>216</v>
      </c>
      <c r="F865" s="27" t="s">
        <v>126</v>
      </c>
      <c r="G865" s="27" t="s">
        <v>208</v>
      </c>
      <c r="H865" s="27" t="s">
        <v>348</v>
      </c>
      <c r="I865" s="27" t="s">
        <v>1303</v>
      </c>
      <c r="J865" s="27" t="s">
        <v>145</v>
      </c>
      <c r="K865" s="10">
        <v>50</v>
      </c>
      <c r="L865" s="36" t="s">
        <v>263</v>
      </c>
      <c r="M865" s="37" t="s">
        <v>309</v>
      </c>
      <c r="N865" s="37" t="s">
        <v>296</v>
      </c>
      <c r="O865" s="27"/>
      <c r="P865" s="27"/>
      <c r="Q865" s="27" t="s">
        <v>1304</v>
      </c>
      <c r="R865" s="27"/>
      <c r="S865" s="1" t="s">
        <v>264</v>
      </c>
      <c r="T865" s="29" t="s">
        <v>265</v>
      </c>
      <c r="U865" s="27"/>
      <c r="V865" s="27"/>
      <c r="W865" s="27"/>
    </row>
    <row r="866" spans="1:23" ht="24" customHeight="1">
      <c r="A866" s="27" t="str">
        <f t="shared" ca="1" si="13"/>
        <v>EVT-2026-0864</v>
      </c>
      <c r="B866" s="27">
        <v>2026</v>
      </c>
      <c r="C866" s="27" t="s">
        <v>102</v>
      </c>
      <c r="D866" s="30">
        <v>46199</v>
      </c>
      <c r="E866" s="27" t="s">
        <v>220</v>
      </c>
      <c r="F866" s="27" t="s">
        <v>126</v>
      </c>
      <c r="G866" s="27" t="s">
        <v>208</v>
      </c>
      <c r="H866" s="27" t="s">
        <v>1366</v>
      </c>
      <c r="I866" s="27" t="s">
        <v>1385</v>
      </c>
      <c r="J866" s="27" t="s">
        <v>127</v>
      </c>
      <c r="K866" s="10">
        <v>45</v>
      </c>
      <c r="L866" s="36" t="s">
        <v>263</v>
      </c>
      <c r="M866" s="37" t="s">
        <v>274</v>
      </c>
      <c r="N866" s="37" t="s">
        <v>429</v>
      </c>
      <c r="O866" s="27"/>
      <c r="P866" s="27"/>
      <c r="Q866" s="27" t="s">
        <v>1386</v>
      </c>
      <c r="R866" s="27"/>
      <c r="S866" s="1" t="s">
        <v>264</v>
      </c>
      <c r="T866" s="29" t="s">
        <v>265</v>
      </c>
      <c r="U866" s="30">
        <v>46192</v>
      </c>
      <c r="V866" s="27" t="s">
        <v>1177</v>
      </c>
      <c r="W866" s="27"/>
    </row>
    <row r="867" spans="1:23" ht="24" customHeight="1">
      <c r="A867" s="27" t="str">
        <f t="shared" ca="1" si="13"/>
        <v>EVT-2026-0865</v>
      </c>
      <c r="B867" s="27">
        <v>2026</v>
      </c>
      <c r="C867" s="27" t="s">
        <v>102</v>
      </c>
      <c r="D867" s="30">
        <v>46199</v>
      </c>
      <c r="E867" s="27" t="s">
        <v>220</v>
      </c>
      <c r="F867" s="27" t="s">
        <v>126</v>
      </c>
      <c r="G867" s="27" t="s">
        <v>228</v>
      </c>
      <c r="H867" s="27" t="s">
        <v>125</v>
      </c>
      <c r="I867" s="27" t="s">
        <v>1384</v>
      </c>
      <c r="J867" s="27" t="s">
        <v>177</v>
      </c>
      <c r="K867" s="10">
        <v>28</v>
      </c>
      <c r="L867" s="36" t="s">
        <v>263</v>
      </c>
      <c r="M867" s="37" t="s">
        <v>269</v>
      </c>
      <c r="N867" s="37" t="s">
        <v>270</v>
      </c>
      <c r="O867" s="27"/>
      <c r="P867" s="27"/>
      <c r="Q867" s="27" t="s">
        <v>1198</v>
      </c>
      <c r="R867" s="27"/>
      <c r="S867" s="1" t="s">
        <v>264</v>
      </c>
      <c r="T867" s="29" t="s">
        <v>265</v>
      </c>
      <c r="U867" s="27"/>
      <c r="V867" s="27" t="s">
        <v>307</v>
      </c>
      <c r="W867" s="27"/>
    </row>
    <row r="868" spans="1:23" ht="24" customHeight="1">
      <c r="A868" s="27" t="str">
        <f t="shared" ca="1" si="13"/>
        <v>EVT-2026-0866</v>
      </c>
      <c r="B868" s="27">
        <v>2026</v>
      </c>
      <c r="C868" s="27" t="s">
        <v>102</v>
      </c>
      <c r="D868" s="30">
        <v>46199</v>
      </c>
      <c r="E868" s="27" t="s">
        <v>220</v>
      </c>
      <c r="F868" s="27" t="s">
        <v>126</v>
      </c>
      <c r="G868" s="27" t="s">
        <v>202</v>
      </c>
      <c r="H868" s="27" t="s">
        <v>736</v>
      </c>
      <c r="I868" s="27" t="s">
        <v>1383</v>
      </c>
      <c r="J868" s="27" t="s">
        <v>127</v>
      </c>
      <c r="K868" s="10">
        <v>50</v>
      </c>
      <c r="L868" s="36" t="s">
        <v>263</v>
      </c>
      <c r="M868" s="37" t="s">
        <v>309</v>
      </c>
      <c r="N868" s="37" t="s">
        <v>359</v>
      </c>
      <c r="O868" s="27"/>
      <c r="P868" s="27"/>
      <c r="Q868" s="27" t="s">
        <v>367</v>
      </c>
      <c r="R868" s="27"/>
      <c r="S868" s="1" t="s">
        <v>264</v>
      </c>
      <c r="T868" s="29" t="s">
        <v>265</v>
      </c>
      <c r="U868" s="27"/>
      <c r="V868" s="27" t="s">
        <v>298</v>
      </c>
      <c r="W868" s="27"/>
    </row>
    <row r="869" spans="1:23" ht="24" customHeight="1">
      <c r="A869" s="27" t="str">
        <f t="shared" ca="1" si="13"/>
        <v>EVT-2026-0867</v>
      </c>
      <c r="B869" s="27">
        <v>2026</v>
      </c>
      <c r="C869" s="27" t="s">
        <v>102</v>
      </c>
      <c r="D869" s="30">
        <v>46199</v>
      </c>
      <c r="E869" s="27" t="s">
        <v>220</v>
      </c>
      <c r="F869" s="27" t="s">
        <v>126</v>
      </c>
      <c r="G869" s="27" t="s">
        <v>202</v>
      </c>
      <c r="H869" s="27" t="s">
        <v>1366</v>
      </c>
      <c r="I869" s="27" t="s">
        <v>1167</v>
      </c>
      <c r="J869" s="27" t="s">
        <v>158</v>
      </c>
      <c r="K869" s="10">
        <v>30</v>
      </c>
      <c r="L869" s="36" t="s">
        <v>263</v>
      </c>
      <c r="M869" s="37" t="s">
        <v>350</v>
      </c>
      <c r="N869" s="37" t="s">
        <v>289</v>
      </c>
      <c r="O869" s="27"/>
      <c r="P869" s="27"/>
      <c r="Q869" s="27" t="s">
        <v>1369</v>
      </c>
      <c r="R869" s="27"/>
      <c r="S869" s="1" t="s">
        <v>264</v>
      </c>
      <c r="T869" s="29" t="s">
        <v>265</v>
      </c>
      <c r="U869" s="30">
        <v>46199</v>
      </c>
      <c r="V869" s="27" t="s">
        <v>1177</v>
      </c>
      <c r="W869" s="27"/>
    </row>
    <row r="870" spans="1:23" ht="24" customHeight="1">
      <c r="A870" s="27" t="str">
        <f t="shared" ca="1" si="13"/>
        <v>EVT-2026-0868</v>
      </c>
      <c r="B870" s="27">
        <v>2026</v>
      </c>
      <c r="C870" s="27" t="s">
        <v>102</v>
      </c>
      <c r="D870" s="30">
        <v>46200</v>
      </c>
      <c r="E870" s="27" t="s">
        <v>266</v>
      </c>
      <c r="F870" s="27" t="s">
        <v>126</v>
      </c>
      <c r="G870" s="27"/>
      <c r="H870" s="27"/>
      <c r="I870" s="27"/>
      <c r="J870" s="27" t="s">
        <v>177</v>
      </c>
      <c r="K870" s="10">
        <v>0</v>
      </c>
      <c r="L870" s="36" t="s">
        <v>263</v>
      </c>
      <c r="M870" s="37"/>
      <c r="N870" s="37"/>
      <c r="O870" s="27"/>
      <c r="P870" s="27"/>
      <c r="Q870" s="27"/>
      <c r="R870" s="27"/>
      <c r="S870" s="1" t="s">
        <v>264</v>
      </c>
      <c r="T870" s="29" t="s">
        <v>265</v>
      </c>
      <c r="U870" s="27"/>
      <c r="V870" s="27"/>
      <c r="W870" s="27"/>
    </row>
    <row r="871" spans="1:23" ht="24" customHeight="1">
      <c r="A871" s="27" t="str">
        <f t="shared" ca="1" si="13"/>
        <v>EVT-2026-0869</v>
      </c>
      <c r="B871" s="27">
        <v>2026</v>
      </c>
      <c r="C871" s="27" t="s">
        <v>102</v>
      </c>
      <c r="D871" s="30">
        <v>46201</v>
      </c>
      <c r="E871" s="27" t="s">
        <v>267</v>
      </c>
      <c r="F871" s="27" t="s">
        <v>126</v>
      </c>
      <c r="G871" s="27"/>
      <c r="H871" s="27"/>
      <c r="I871" s="27"/>
      <c r="J871" s="27" t="s">
        <v>177</v>
      </c>
      <c r="K871" s="10">
        <v>0</v>
      </c>
      <c r="L871" s="36" t="s">
        <v>263</v>
      </c>
      <c r="M871" s="37"/>
      <c r="N871" s="37"/>
      <c r="O871" s="27"/>
      <c r="P871" s="27"/>
      <c r="Q871" s="27"/>
      <c r="R871" s="27"/>
      <c r="S871" s="1" t="s">
        <v>264</v>
      </c>
      <c r="T871" s="29" t="s">
        <v>265</v>
      </c>
      <c r="U871" s="27"/>
      <c r="V871" s="27" t="s">
        <v>303</v>
      </c>
      <c r="W871" s="27"/>
    </row>
    <row r="872" spans="1:23" ht="24" customHeight="1">
      <c r="A872" s="27" t="str">
        <f t="shared" ca="1" si="13"/>
        <v>EVT-2026-0870</v>
      </c>
      <c r="B872" s="27">
        <v>2026</v>
      </c>
      <c r="C872" s="27" t="s">
        <v>102</v>
      </c>
      <c r="D872" s="30">
        <v>46202</v>
      </c>
      <c r="E872" s="27" t="s">
        <v>224</v>
      </c>
      <c r="F872" s="27" t="s">
        <v>126</v>
      </c>
      <c r="G872" s="27" t="s">
        <v>420</v>
      </c>
      <c r="H872" s="27" t="s">
        <v>736</v>
      </c>
      <c r="I872" s="27" t="s">
        <v>1387</v>
      </c>
      <c r="J872" s="27" t="s">
        <v>127</v>
      </c>
      <c r="K872" s="10">
        <v>30</v>
      </c>
      <c r="L872" s="36" t="s">
        <v>263</v>
      </c>
      <c r="M872" s="37" t="s">
        <v>506</v>
      </c>
      <c r="N872" s="37" t="s">
        <v>331</v>
      </c>
      <c r="O872" s="27"/>
      <c r="P872" s="27"/>
      <c r="Q872" s="27" t="s">
        <v>1388</v>
      </c>
      <c r="R872" s="27"/>
      <c r="S872" s="1" t="s">
        <v>264</v>
      </c>
      <c r="T872" s="29" t="s">
        <v>265</v>
      </c>
      <c r="U872" s="30">
        <v>46196</v>
      </c>
      <c r="V872" s="27" t="s">
        <v>1313</v>
      </c>
      <c r="W872" s="27"/>
    </row>
    <row r="873" spans="1:23" ht="24" customHeight="1">
      <c r="A873" s="27" t="str">
        <f t="shared" ca="1" si="13"/>
        <v>EVT-2026-0871</v>
      </c>
      <c r="B873" s="27">
        <v>2026</v>
      </c>
      <c r="C873" s="27" t="s">
        <v>102</v>
      </c>
      <c r="D873" s="30">
        <v>46202</v>
      </c>
      <c r="E873" s="27" t="s">
        <v>224</v>
      </c>
      <c r="F873" s="27" t="s">
        <v>126</v>
      </c>
      <c r="G873" s="27" t="s">
        <v>208</v>
      </c>
      <c r="H873" s="27" t="s">
        <v>1366</v>
      </c>
      <c r="I873" s="27" t="s">
        <v>1389</v>
      </c>
      <c r="J873" s="27" t="s">
        <v>152</v>
      </c>
      <c r="K873" s="10">
        <v>0</v>
      </c>
      <c r="L873" s="36" t="s">
        <v>263</v>
      </c>
      <c r="M873" s="37" t="s">
        <v>1390</v>
      </c>
      <c r="N873" s="37" t="s">
        <v>1390</v>
      </c>
      <c r="O873" s="27" t="s">
        <v>382</v>
      </c>
      <c r="P873" s="27"/>
      <c r="Q873" s="27" t="s">
        <v>1369</v>
      </c>
      <c r="R873" s="27"/>
      <c r="S873" s="1" t="s">
        <v>264</v>
      </c>
      <c r="T873" s="29" t="s">
        <v>265</v>
      </c>
      <c r="U873" s="30">
        <v>46199</v>
      </c>
      <c r="V873" s="27" t="s">
        <v>1391</v>
      </c>
      <c r="W873" s="27"/>
    </row>
    <row r="874" spans="1:23" ht="24" customHeight="1">
      <c r="A874" s="27" t="str">
        <f t="shared" ca="1" si="13"/>
        <v>EVT-2026-0872</v>
      </c>
      <c r="B874" s="27">
        <v>2026</v>
      </c>
      <c r="C874" s="27" t="s">
        <v>102</v>
      </c>
      <c r="D874" s="30">
        <v>46202</v>
      </c>
      <c r="E874" s="27" t="s">
        <v>224</v>
      </c>
      <c r="F874" s="27" t="s">
        <v>126</v>
      </c>
      <c r="G874" s="27" t="s">
        <v>202</v>
      </c>
      <c r="H874" s="27" t="s">
        <v>1392</v>
      </c>
      <c r="I874" s="27" t="s">
        <v>1378</v>
      </c>
      <c r="J874" s="27" t="s">
        <v>158</v>
      </c>
      <c r="K874" s="10">
        <v>35</v>
      </c>
      <c r="L874" s="36" t="s">
        <v>263</v>
      </c>
      <c r="M874" s="37" t="s">
        <v>309</v>
      </c>
      <c r="N874" s="37" t="s">
        <v>296</v>
      </c>
      <c r="O874" s="27"/>
      <c r="P874" s="27"/>
      <c r="Q874" s="27" t="s">
        <v>1393</v>
      </c>
      <c r="R874" s="27"/>
      <c r="S874" s="3" t="s">
        <v>312</v>
      </c>
      <c r="T874" s="29" t="s">
        <v>265</v>
      </c>
      <c r="U874" s="30">
        <v>46191</v>
      </c>
      <c r="V874" s="27" t="s">
        <v>1380</v>
      </c>
      <c r="W874" s="27"/>
    </row>
    <row r="875" spans="1:23" ht="24" customHeight="1">
      <c r="A875" s="27" t="str">
        <f t="shared" ca="1" si="13"/>
        <v>EVT-2026-0873</v>
      </c>
      <c r="B875" s="27">
        <v>2026</v>
      </c>
      <c r="C875" s="27" t="s">
        <v>102</v>
      </c>
      <c r="D875" s="30">
        <v>46202</v>
      </c>
      <c r="E875" s="27" t="s">
        <v>224</v>
      </c>
      <c r="F875" s="27" t="s">
        <v>126</v>
      </c>
      <c r="G875" s="27" t="s">
        <v>228</v>
      </c>
      <c r="H875" s="27" t="s">
        <v>125</v>
      </c>
      <c r="I875" s="27" t="s">
        <v>1389</v>
      </c>
      <c r="J875" s="27" t="s">
        <v>152</v>
      </c>
      <c r="K875" s="10">
        <v>75</v>
      </c>
      <c r="L875" s="36" t="s">
        <v>263</v>
      </c>
      <c r="M875" s="37" t="s">
        <v>338</v>
      </c>
      <c r="N875" s="37" t="s">
        <v>295</v>
      </c>
      <c r="O875" s="27" t="s">
        <v>1394</v>
      </c>
      <c r="P875" s="27"/>
      <c r="Q875" s="27" t="s">
        <v>785</v>
      </c>
      <c r="R875" s="27"/>
      <c r="S875" s="1" t="s">
        <v>264</v>
      </c>
      <c r="T875" s="29" t="s">
        <v>265</v>
      </c>
      <c r="U875" s="27"/>
      <c r="V875" s="27" t="s">
        <v>1395</v>
      </c>
      <c r="W875" s="27"/>
    </row>
    <row r="876" spans="1:23" ht="24" customHeight="1">
      <c r="A876" s="27" t="str">
        <f t="shared" ca="1" si="13"/>
        <v>EVT-2026-0874</v>
      </c>
      <c r="B876" s="27">
        <v>2026</v>
      </c>
      <c r="C876" s="27" t="s">
        <v>102</v>
      </c>
      <c r="D876" s="30">
        <v>46203</v>
      </c>
      <c r="E876" s="27" t="s">
        <v>227</v>
      </c>
      <c r="F876" s="27" t="s">
        <v>126</v>
      </c>
      <c r="G876" s="27" t="s">
        <v>228</v>
      </c>
      <c r="H876" s="27" t="s">
        <v>125</v>
      </c>
      <c r="I876" s="27" t="s">
        <v>1396</v>
      </c>
      <c r="J876" s="27" t="s">
        <v>127</v>
      </c>
      <c r="K876" s="10">
        <v>150</v>
      </c>
      <c r="L876" s="38" t="s">
        <v>294</v>
      </c>
      <c r="M876" s="37" t="s">
        <v>315</v>
      </c>
      <c r="N876" s="37" t="s">
        <v>1397</v>
      </c>
      <c r="O876" s="27"/>
      <c r="P876" s="27"/>
      <c r="Q876" s="27" t="s">
        <v>378</v>
      </c>
      <c r="R876" s="27"/>
      <c r="S876" s="1" t="s">
        <v>264</v>
      </c>
      <c r="T876" s="29" t="s">
        <v>265</v>
      </c>
      <c r="U876" s="30">
        <v>46148</v>
      </c>
      <c r="V876" s="27" t="s">
        <v>298</v>
      </c>
      <c r="W876" s="27"/>
    </row>
    <row r="877" spans="1:23" ht="24" customHeight="1">
      <c r="A877" s="27" t="str">
        <f t="shared" ca="1" si="13"/>
        <v>EVT-2026-0875</v>
      </c>
      <c r="B877" s="27">
        <v>2026</v>
      </c>
      <c r="C877" s="27" t="s">
        <v>102</v>
      </c>
      <c r="D877" s="30">
        <v>46203</v>
      </c>
      <c r="E877" s="27" t="s">
        <v>227</v>
      </c>
      <c r="F877" s="27" t="s">
        <v>126</v>
      </c>
      <c r="G877" s="27" t="s">
        <v>208</v>
      </c>
      <c r="H877" s="27" t="s">
        <v>348</v>
      </c>
      <c r="I877" s="27" t="s">
        <v>1389</v>
      </c>
      <c r="J877" s="27" t="s">
        <v>152</v>
      </c>
      <c r="K877" s="10">
        <v>0</v>
      </c>
      <c r="L877" s="36" t="s">
        <v>263</v>
      </c>
      <c r="M877" s="37" t="s">
        <v>1390</v>
      </c>
      <c r="N877" s="37"/>
      <c r="O877" s="27"/>
      <c r="P877" s="27"/>
      <c r="Q877" s="27"/>
      <c r="R877" s="27"/>
      <c r="S877" s="1" t="s">
        <v>264</v>
      </c>
      <c r="T877" s="29" t="s">
        <v>265</v>
      </c>
      <c r="U877" s="27"/>
      <c r="V877" s="27"/>
      <c r="W877" s="27"/>
    </row>
    <row r="878" spans="1:23" ht="24" customHeight="1">
      <c r="A878" s="27" t="str">
        <f t="shared" ca="1" si="13"/>
        <v>EVT-2026-0876</v>
      </c>
      <c r="B878" s="27">
        <v>2026</v>
      </c>
      <c r="C878" s="27" t="s">
        <v>102</v>
      </c>
      <c r="D878" s="30">
        <v>46203</v>
      </c>
      <c r="E878" s="27" t="s">
        <v>227</v>
      </c>
      <c r="F878" s="27" t="s">
        <v>126</v>
      </c>
      <c r="G878" s="27" t="s">
        <v>1260</v>
      </c>
      <c r="H878" s="27" t="s">
        <v>1366</v>
      </c>
      <c r="I878" s="27" t="s">
        <v>344</v>
      </c>
      <c r="J878" s="27" t="s">
        <v>134</v>
      </c>
      <c r="K878" s="10">
        <v>24</v>
      </c>
      <c r="L878" s="36" t="s">
        <v>263</v>
      </c>
      <c r="M878" s="37" t="s">
        <v>269</v>
      </c>
      <c r="N878" s="37" t="s">
        <v>270</v>
      </c>
      <c r="O878" s="27"/>
      <c r="P878" s="27"/>
      <c r="Q878" s="27" t="s">
        <v>1398</v>
      </c>
      <c r="R878" s="27"/>
      <c r="S878" s="1" t="s">
        <v>264</v>
      </c>
      <c r="T878" s="29" t="s">
        <v>265</v>
      </c>
      <c r="U878" s="27"/>
      <c r="V878" s="27" t="s">
        <v>1399</v>
      </c>
      <c r="W878" s="27"/>
    </row>
    <row r="879" spans="1:23" ht="24" customHeight="1">
      <c r="A879" s="27" t="str">
        <f t="shared" ca="1" si="13"/>
        <v>EVT-2026-0877</v>
      </c>
      <c r="B879" s="27">
        <v>2026</v>
      </c>
      <c r="C879" s="27" t="s">
        <v>102</v>
      </c>
      <c r="D879" s="30">
        <v>46203</v>
      </c>
      <c r="E879" s="27" t="s">
        <v>227</v>
      </c>
      <c r="F879" s="27" t="s">
        <v>126</v>
      </c>
      <c r="G879" s="27" t="s">
        <v>202</v>
      </c>
      <c r="H879" s="27" t="s">
        <v>1366</v>
      </c>
      <c r="I879" s="27" t="s">
        <v>1389</v>
      </c>
      <c r="J879" s="27" t="s">
        <v>152</v>
      </c>
      <c r="K879" s="10">
        <v>35</v>
      </c>
      <c r="L879" s="36" t="s">
        <v>263</v>
      </c>
      <c r="M879" s="37" t="s">
        <v>506</v>
      </c>
      <c r="N879" s="37" t="s">
        <v>309</v>
      </c>
      <c r="O879" s="27" t="s">
        <v>1394</v>
      </c>
      <c r="P879" s="27"/>
      <c r="Q879" s="27" t="s">
        <v>785</v>
      </c>
      <c r="R879" s="27"/>
      <c r="S879" s="1" t="s">
        <v>264</v>
      </c>
      <c r="T879" s="29" t="s">
        <v>265</v>
      </c>
      <c r="U879" s="27"/>
      <c r="V879" s="27" t="s">
        <v>307</v>
      </c>
      <c r="W879" s="27"/>
    </row>
    <row r="880" spans="1:23" ht="24" customHeight="1">
      <c r="A880" s="27" t="str">
        <f t="shared" ca="1" si="13"/>
        <v>EVT-2026-0878</v>
      </c>
      <c r="B880" s="27">
        <v>2026</v>
      </c>
      <c r="C880" s="27" t="s">
        <v>102</v>
      </c>
      <c r="D880" s="30">
        <v>46203</v>
      </c>
      <c r="E880" s="27" t="s">
        <v>227</v>
      </c>
      <c r="F880" s="27" t="s">
        <v>126</v>
      </c>
      <c r="G880" s="27" t="s">
        <v>228</v>
      </c>
      <c r="H880" s="27" t="s">
        <v>125</v>
      </c>
      <c r="I880" s="27" t="s">
        <v>895</v>
      </c>
      <c r="J880" s="27" t="s">
        <v>158</v>
      </c>
      <c r="K880" s="10">
        <v>50</v>
      </c>
      <c r="L880" s="36" t="s">
        <v>263</v>
      </c>
      <c r="M880" s="37" t="s">
        <v>295</v>
      </c>
      <c r="N880" s="37" t="s">
        <v>296</v>
      </c>
      <c r="O880" s="27"/>
      <c r="P880" s="27"/>
      <c r="Q880" s="27" t="s">
        <v>1400</v>
      </c>
      <c r="R880" s="27"/>
      <c r="S880" s="1" t="s">
        <v>264</v>
      </c>
      <c r="T880" s="29" t="s">
        <v>265</v>
      </c>
      <c r="U880" s="27"/>
      <c r="V880" s="27" t="s">
        <v>500</v>
      </c>
      <c r="W880" s="27"/>
    </row>
    <row r="881" spans="1:23" ht="24" customHeight="1">
      <c r="A881" s="27" t="str">
        <f t="shared" ca="1" si="13"/>
        <v>EVT-2026-0879</v>
      </c>
      <c r="B881" s="27">
        <v>2026</v>
      </c>
      <c r="C881" s="27" t="s">
        <v>102</v>
      </c>
      <c r="D881" s="30">
        <v>46203</v>
      </c>
      <c r="E881" s="27" t="s">
        <v>227</v>
      </c>
      <c r="F881" s="27" t="s">
        <v>126</v>
      </c>
      <c r="G881" s="27" t="s">
        <v>202</v>
      </c>
      <c r="H881" s="27" t="s">
        <v>736</v>
      </c>
      <c r="I881" s="27" t="s">
        <v>1401</v>
      </c>
      <c r="J881" s="27" t="s">
        <v>165</v>
      </c>
      <c r="K881" s="10">
        <v>0</v>
      </c>
      <c r="L881" s="36" t="s">
        <v>263</v>
      </c>
      <c r="M881" s="37" t="s">
        <v>274</v>
      </c>
      <c r="N881" s="37" t="s">
        <v>331</v>
      </c>
      <c r="O881" s="27"/>
      <c r="P881" s="27"/>
      <c r="Q881" s="27" t="s">
        <v>1402</v>
      </c>
      <c r="R881" s="27"/>
      <c r="S881" s="1" t="s">
        <v>264</v>
      </c>
      <c r="T881" s="29" t="s">
        <v>265</v>
      </c>
      <c r="U881" s="27"/>
      <c r="V881" s="27"/>
      <c r="W881" s="27"/>
    </row>
    <row r="882" spans="1:23" ht="24" customHeight="1">
      <c r="A882" s="27" t="str">
        <f t="shared" ca="1" si="13"/>
        <v>EVT-2026-0880</v>
      </c>
      <c r="B882" s="27">
        <v>2026</v>
      </c>
      <c r="C882" s="27" t="s">
        <v>102</v>
      </c>
      <c r="D882" s="27"/>
      <c r="E882" s="27"/>
      <c r="F882" s="27" t="s">
        <v>126</v>
      </c>
      <c r="G882" s="27"/>
      <c r="H882" s="27"/>
      <c r="I882" s="27"/>
      <c r="J882" s="27" t="s">
        <v>177</v>
      </c>
      <c r="K882" s="10">
        <v>2</v>
      </c>
      <c r="L882" s="36" t="s">
        <v>263</v>
      </c>
      <c r="M882" s="37"/>
      <c r="N882" s="37"/>
      <c r="O882" s="27"/>
      <c r="P882" s="27"/>
      <c r="Q882" s="27"/>
      <c r="R882" s="27"/>
      <c r="S882" s="1" t="s">
        <v>264</v>
      </c>
      <c r="T882" s="29" t="s">
        <v>265</v>
      </c>
      <c r="U882" s="27"/>
      <c r="V882" s="27"/>
      <c r="W882" s="27"/>
    </row>
    <row r="883" spans="1:23" ht="24" customHeight="1">
      <c r="A883" s="27" t="str">
        <f t="shared" ca="1" si="13"/>
        <v>EVT-2026-0881</v>
      </c>
      <c r="B883" s="27">
        <v>2026</v>
      </c>
      <c r="C883" s="27" t="s">
        <v>104</v>
      </c>
      <c r="D883" s="30">
        <v>46204</v>
      </c>
      <c r="E883" s="27" t="s">
        <v>201</v>
      </c>
      <c r="F883" s="27" t="s">
        <v>164</v>
      </c>
      <c r="G883" s="27" t="s">
        <v>262</v>
      </c>
      <c r="H883" s="27" t="s">
        <v>1403</v>
      </c>
      <c r="I883" s="27" t="s">
        <v>1404</v>
      </c>
      <c r="J883" s="27" t="s">
        <v>177</v>
      </c>
      <c r="K883" s="10">
        <v>150</v>
      </c>
      <c r="L883" s="38" t="s">
        <v>294</v>
      </c>
      <c r="M883" s="37" t="s">
        <v>1405</v>
      </c>
      <c r="N883" s="37" t="s">
        <v>503</v>
      </c>
      <c r="O883" s="27"/>
      <c r="P883" s="27"/>
      <c r="Q883" s="27" t="s">
        <v>1406</v>
      </c>
      <c r="R883" s="27"/>
      <c r="S883" s="1" t="s">
        <v>264</v>
      </c>
      <c r="T883" s="29" t="s">
        <v>265</v>
      </c>
      <c r="U883" s="30">
        <v>46199</v>
      </c>
      <c r="V883" s="27" t="s">
        <v>1407</v>
      </c>
      <c r="W883" s="27"/>
    </row>
    <row r="884" spans="1:23" ht="24" customHeight="1">
      <c r="A884" s="27" t="str">
        <f t="shared" ca="1" si="13"/>
        <v>EVT-2026-0882</v>
      </c>
      <c r="B884" s="27">
        <v>2026</v>
      </c>
      <c r="C884" s="27" t="s">
        <v>104</v>
      </c>
      <c r="D884" s="30">
        <v>46204</v>
      </c>
      <c r="E884" s="27" t="s">
        <v>201</v>
      </c>
      <c r="F884" s="27" t="s">
        <v>164</v>
      </c>
      <c r="G884" s="27" t="s">
        <v>262</v>
      </c>
      <c r="H884" s="27" t="s">
        <v>171</v>
      </c>
      <c r="I884" s="27" t="s">
        <v>1408</v>
      </c>
      <c r="J884" s="27" t="s">
        <v>177</v>
      </c>
      <c r="K884" s="10">
        <v>0</v>
      </c>
      <c r="L884" s="36" t="s">
        <v>263</v>
      </c>
      <c r="M884" s="37" t="s">
        <v>315</v>
      </c>
      <c r="N884" s="37" t="s">
        <v>429</v>
      </c>
      <c r="O884" s="27" t="s">
        <v>1409</v>
      </c>
      <c r="P884" s="27"/>
      <c r="Q884" s="27" t="s">
        <v>1410</v>
      </c>
      <c r="R884" s="27"/>
      <c r="S884" s="1" t="s">
        <v>264</v>
      </c>
      <c r="T884" s="29" t="s">
        <v>265</v>
      </c>
      <c r="U884" s="30">
        <v>46198</v>
      </c>
      <c r="V884" s="27" t="s">
        <v>1411</v>
      </c>
      <c r="W884" s="27"/>
    </row>
    <row r="885" spans="1:23" ht="24" customHeight="1">
      <c r="A885" s="27" t="str">
        <f t="shared" ca="1" si="13"/>
        <v>EVT-2026-0883</v>
      </c>
      <c r="B885" s="27">
        <v>2026</v>
      </c>
      <c r="C885" s="27" t="s">
        <v>104</v>
      </c>
      <c r="D885" s="30">
        <v>46204</v>
      </c>
      <c r="E885" s="27" t="s">
        <v>201</v>
      </c>
      <c r="F885" s="27" t="s">
        <v>164</v>
      </c>
      <c r="G885" s="27" t="s">
        <v>228</v>
      </c>
      <c r="H885" s="27" t="s">
        <v>1240</v>
      </c>
      <c r="I885" s="27" t="s">
        <v>1408</v>
      </c>
      <c r="J885" s="27" t="s">
        <v>177</v>
      </c>
      <c r="K885" s="10">
        <v>0</v>
      </c>
      <c r="L885" s="36" t="s">
        <v>263</v>
      </c>
      <c r="M885" s="37" t="s">
        <v>289</v>
      </c>
      <c r="N885" s="37" t="s">
        <v>270</v>
      </c>
      <c r="O885" s="27" t="s">
        <v>1409</v>
      </c>
      <c r="P885" s="27"/>
      <c r="Q885" s="27" t="s">
        <v>1410</v>
      </c>
      <c r="R885" s="27"/>
      <c r="S885" s="1" t="s">
        <v>264</v>
      </c>
      <c r="T885" s="29" t="s">
        <v>265</v>
      </c>
      <c r="U885" s="30">
        <v>46198</v>
      </c>
      <c r="V885" s="27" t="s">
        <v>1412</v>
      </c>
      <c r="W885" s="27"/>
    </row>
    <row r="886" spans="1:23" ht="24" customHeight="1">
      <c r="A886" s="27" t="str">
        <f t="shared" ca="1" si="13"/>
        <v>EVT-2026-0884</v>
      </c>
      <c r="B886" s="27">
        <v>2026</v>
      </c>
      <c r="C886" s="27" t="s">
        <v>104</v>
      </c>
      <c r="D886" s="30">
        <v>46205</v>
      </c>
      <c r="E886" s="27" t="s">
        <v>216</v>
      </c>
      <c r="F886" s="27" t="s">
        <v>164</v>
      </c>
      <c r="G886" s="27" t="s">
        <v>262</v>
      </c>
      <c r="H886" s="27" t="s">
        <v>171</v>
      </c>
      <c r="I886" s="27" t="s">
        <v>1413</v>
      </c>
      <c r="J886" s="27" t="s">
        <v>177</v>
      </c>
      <c r="K886" s="10">
        <v>0</v>
      </c>
      <c r="L886" s="36" t="s">
        <v>263</v>
      </c>
      <c r="M886" s="37" t="s">
        <v>309</v>
      </c>
      <c r="N886" s="37" t="s">
        <v>296</v>
      </c>
      <c r="O886" s="27"/>
      <c r="P886" s="27"/>
      <c r="Q886" s="27" t="s">
        <v>479</v>
      </c>
      <c r="R886" s="27"/>
      <c r="S886" s="1" t="s">
        <v>264</v>
      </c>
      <c r="T886" s="29" t="s">
        <v>265</v>
      </c>
      <c r="U886" s="27"/>
      <c r="V886" s="27" t="s">
        <v>1411</v>
      </c>
      <c r="W886" s="27"/>
    </row>
    <row r="887" spans="1:23" ht="24" customHeight="1">
      <c r="A887" s="27" t="str">
        <f t="shared" ca="1" si="13"/>
        <v>EVT-2026-0885</v>
      </c>
      <c r="B887" s="27">
        <v>2026</v>
      </c>
      <c r="C887" s="27" t="s">
        <v>104</v>
      </c>
      <c r="D887" s="30">
        <v>46206</v>
      </c>
      <c r="E887" s="27" t="s">
        <v>220</v>
      </c>
      <c r="F887" s="27" t="s">
        <v>164</v>
      </c>
      <c r="G887" s="27" t="s">
        <v>262</v>
      </c>
      <c r="H887" s="27" t="s">
        <v>171</v>
      </c>
      <c r="I887" s="27" t="s">
        <v>1413</v>
      </c>
      <c r="J887" s="27" t="s">
        <v>177</v>
      </c>
      <c r="K887" s="10">
        <v>0</v>
      </c>
      <c r="L887" s="36" t="s">
        <v>263</v>
      </c>
      <c r="M887" s="37" t="s">
        <v>309</v>
      </c>
      <c r="N887" s="37" t="s">
        <v>296</v>
      </c>
      <c r="O887" s="27" t="s">
        <v>1409</v>
      </c>
      <c r="P887" s="27"/>
      <c r="Q887" s="27" t="s">
        <v>479</v>
      </c>
      <c r="R887" s="27"/>
      <c r="S887" s="1" t="s">
        <v>264</v>
      </c>
      <c r="T887" s="29" t="s">
        <v>265</v>
      </c>
      <c r="U887" s="30">
        <v>46175</v>
      </c>
      <c r="V887" s="27" t="s">
        <v>1411</v>
      </c>
      <c r="W887" s="27"/>
    </row>
    <row r="888" spans="1:23" ht="24" customHeight="1">
      <c r="A888" s="27" t="str">
        <f t="shared" ca="1" si="13"/>
        <v>EVT-2026-0886</v>
      </c>
      <c r="B888" s="27">
        <v>2026</v>
      </c>
      <c r="C888" s="27" t="s">
        <v>104</v>
      </c>
      <c r="D888" s="30">
        <v>46207</v>
      </c>
      <c r="E888" s="27" t="s">
        <v>266</v>
      </c>
      <c r="F888" s="27" t="s">
        <v>164</v>
      </c>
      <c r="G888" s="27" t="s">
        <v>262</v>
      </c>
      <c r="H888" s="27" t="s">
        <v>1414</v>
      </c>
      <c r="I888" s="27" t="s">
        <v>279</v>
      </c>
      <c r="J888" s="27" t="s">
        <v>145</v>
      </c>
      <c r="K888" s="10">
        <v>58</v>
      </c>
      <c r="L888" s="36" t="s">
        <v>263</v>
      </c>
      <c r="M888" s="37" t="s">
        <v>269</v>
      </c>
      <c r="N888" s="37" t="s">
        <v>296</v>
      </c>
      <c r="O888" s="27"/>
      <c r="P888" s="27"/>
      <c r="Q888" s="27" t="s">
        <v>760</v>
      </c>
      <c r="R888" s="27"/>
      <c r="S888" s="1" t="s">
        <v>264</v>
      </c>
      <c r="T888" s="29" t="s">
        <v>265</v>
      </c>
      <c r="U888" s="27"/>
      <c r="V888" s="27" t="s">
        <v>1411</v>
      </c>
      <c r="W888" s="27"/>
    </row>
    <row r="889" spans="1:23" ht="24" customHeight="1">
      <c r="A889" s="27" t="str">
        <f t="shared" ca="1" si="13"/>
        <v>EVT-2026-0887</v>
      </c>
      <c r="B889" s="27">
        <v>2026</v>
      </c>
      <c r="C889" s="27" t="s">
        <v>104</v>
      </c>
      <c r="D889" s="30">
        <v>46208</v>
      </c>
      <c r="E889" s="27" t="s">
        <v>267</v>
      </c>
      <c r="F889" s="27" t="s">
        <v>164</v>
      </c>
      <c r="G889" s="27" t="s">
        <v>262</v>
      </c>
      <c r="H889" s="27"/>
      <c r="I889" s="27"/>
      <c r="J889" s="27" t="s">
        <v>177</v>
      </c>
      <c r="K889" s="10">
        <v>0</v>
      </c>
      <c r="L889" s="36" t="s">
        <v>263</v>
      </c>
      <c r="M889" s="37"/>
      <c r="N889" s="37"/>
      <c r="O889" s="27"/>
      <c r="P889" s="27"/>
      <c r="Q889" s="27"/>
      <c r="R889" s="27"/>
      <c r="S889" s="1" t="s">
        <v>264</v>
      </c>
      <c r="T889" s="29" t="s">
        <v>265</v>
      </c>
      <c r="U889" s="27"/>
      <c r="V889" s="27"/>
      <c r="W889" s="27"/>
    </row>
    <row r="890" spans="1:23" ht="24" customHeight="1">
      <c r="A890" s="27" t="str">
        <f t="shared" ca="1" si="13"/>
        <v>EVT-2026-0888</v>
      </c>
      <c r="B890" s="27">
        <v>2026</v>
      </c>
      <c r="C890" s="27" t="s">
        <v>104</v>
      </c>
      <c r="D890" s="30">
        <v>46209</v>
      </c>
      <c r="E890" s="27" t="s">
        <v>224</v>
      </c>
      <c r="F890" s="27" t="s">
        <v>164</v>
      </c>
      <c r="G890" s="27" t="s">
        <v>202</v>
      </c>
      <c r="H890" s="27" t="s">
        <v>1186</v>
      </c>
      <c r="I890" s="27" t="s">
        <v>1187</v>
      </c>
      <c r="J890" s="27" t="s">
        <v>139</v>
      </c>
      <c r="K890" s="10">
        <v>44</v>
      </c>
      <c r="L890" s="36" t="s">
        <v>263</v>
      </c>
      <c r="M890" s="37" t="s">
        <v>269</v>
      </c>
      <c r="N890" s="37" t="s">
        <v>270</v>
      </c>
      <c r="O890" s="27"/>
      <c r="P890" s="27"/>
      <c r="Q890" s="27" t="s">
        <v>1415</v>
      </c>
      <c r="R890" s="27"/>
      <c r="S890" s="1" t="s">
        <v>264</v>
      </c>
      <c r="T890" s="29" t="s">
        <v>265</v>
      </c>
      <c r="U890" s="30">
        <v>46206</v>
      </c>
      <c r="V890" s="27" t="s">
        <v>1411</v>
      </c>
      <c r="W890" s="27"/>
    </row>
    <row r="891" spans="1:23" ht="24" customHeight="1">
      <c r="A891" s="27" t="str">
        <f t="shared" ca="1" si="13"/>
        <v>EVT-2026-0889</v>
      </c>
      <c r="B891" s="27">
        <v>2026</v>
      </c>
      <c r="C891" s="27" t="s">
        <v>104</v>
      </c>
      <c r="D891" s="30">
        <v>46209</v>
      </c>
      <c r="E891" s="27" t="s">
        <v>224</v>
      </c>
      <c r="F891" s="27" t="s">
        <v>164</v>
      </c>
      <c r="G891" s="27" t="s">
        <v>262</v>
      </c>
      <c r="H891" s="27" t="s">
        <v>171</v>
      </c>
      <c r="I891" s="27" t="s">
        <v>1187</v>
      </c>
      <c r="J891" s="27" t="s">
        <v>139</v>
      </c>
      <c r="K891" s="10">
        <v>44</v>
      </c>
      <c r="L891" s="36" t="s">
        <v>263</v>
      </c>
      <c r="M891" s="37" t="s">
        <v>269</v>
      </c>
      <c r="N891" s="37" t="s">
        <v>270</v>
      </c>
      <c r="O891" s="27"/>
      <c r="P891" s="27"/>
      <c r="Q891" s="27" t="s">
        <v>1415</v>
      </c>
      <c r="R891" s="27"/>
      <c r="S891" s="1" t="s">
        <v>264</v>
      </c>
      <c r="T891" s="29" t="s">
        <v>265</v>
      </c>
      <c r="U891" s="27"/>
      <c r="V891" s="27"/>
      <c r="W891" s="27"/>
    </row>
    <row r="892" spans="1:23" ht="24" customHeight="1">
      <c r="A892" s="27" t="str">
        <f t="shared" ca="1" si="13"/>
        <v>EVT-2026-0890</v>
      </c>
      <c r="B892" s="27">
        <v>2026</v>
      </c>
      <c r="C892" s="27" t="s">
        <v>104</v>
      </c>
      <c r="D892" s="30">
        <v>46209</v>
      </c>
      <c r="E892" s="27" t="s">
        <v>224</v>
      </c>
      <c r="F892" s="27" t="s">
        <v>164</v>
      </c>
      <c r="G892" s="27" t="s">
        <v>228</v>
      </c>
      <c r="H892" s="27" t="s">
        <v>1055</v>
      </c>
      <c r="I892" s="27" t="s">
        <v>1416</v>
      </c>
      <c r="J892" s="27" t="s">
        <v>158</v>
      </c>
      <c r="K892" s="10">
        <v>40</v>
      </c>
      <c r="L892" s="36" t="s">
        <v>263</v>
      </c>
      <c r="M892" s="37" t="s">
        <v>296</v>
      </c>
      <c r="N892" s="37" t="s">
        <v>290</v>
      </c>
      <c r="O892" s="27" t="s">
        <v>1417</v>
      </c>
      <c r="P892" s="27"/>
      <c r="Q892" s="27" t="s">
        <v>1418</v>
      </c>
      <c r="R892" s="27"/>
      <c r="S892" s="1" t="s">
        <v>264</v>
      </c>
      <c r="T892" s="29" t="s">
        <v>265</v>
      </c>
      <c r="U892" s="30">
        <v>46209</v>
      </c>
      <c r="V892" s="27" t="s">
        <v>1412</v>
      </c>
      <c r="W892" s="27"/>
    </row>
    <row r="893" spans="1:23" ht="24" customHeight="1">
      <c r="A893" s="27" t="str">
        <f t="shared" ca="1" si="13"/>
        <v>EVT-2026-0891</v>
      </c>
      <c r="B893" s="27">
        <v>2026</v>
      </c>
      <c r="C893" s="27" t="s">
        <v>104</v>
      </c>
      <c r="D893" s="30">
        <v>46210</v>
      </c>
      <c r="E893" s="27" t="s">
        <v>227</v>
      </c>
      <c r="F893" s="27" t="s">
        <v>164</v>
      </c>
      <c r="G893" s="27" t="s">
        <v>262</v>
      </c>
      <c r="H893" s="27" t="s">
        <v>171</v>
      </c>
      <c r="I893" s="27" t="s">
        <v>1419</v>
      </c>
      <c r="J893" s="27" t="s">
        <v>134</v>
      </c>
      <c r="K893" s="10">
        <v>45</v>
      </c>
      <c r="L893" s="36" t="s">
        <v>263</v>
      </c>
      <c r="M893" s="37" t="s">
        <v>354</v>
      </c>
      <c r="N893" s="37" t="s">
        <v>290</v>
      </c>
      <c r="O893" s="27"/>
      <c r="P893" s="27"/>
      <c r="Q893" s="27" t="s">
        <v>1420</v>
      </c>
      <c r="R893" s="27"/>
      <c r="S893" s="1" t="s">
        <v>264</v>
      </c>
      <c r="T893" s="29" t="s">
        <v>265</v>
      </c>
      <c r="U893" s="30">
        <v>46198</v>
      </c>
      <c r="V893" s="27" t="s">
        <v>1411</v>
      </c>
      <c r="W893" s="27"/>
    </row>
    <row r="894" spans="1:23" ht="24" customHeight="1">
      <c r="A894" s="27" t="str">
        <f t="shared" ca="1" si="13"/>
        <v>EVT-2026-0892</v>
      </c>
      <c r="B894" s="27">
        <v>2026</v>
      </c>
      <c r="C894" s="27" t="s">
        <v>104</v>
      </c>
      <c r="D894" s="30">
        <v>46210</v>
      </c>
      <c r="E894" s="27" t="s">
        <v>227</v>
      </c>
      <c r="F894" s="27" t="s">
        <v>164</v>
      </c>
      <c r="G894" s="27" t="s">
        <v>228</v>
      </c>
      <c r="H894" s="27" t="s">
        <v>1055</v>
      </c>
      <c r="I894" s="27" t="s">
        <v>1421</v>
      </c>
      <c r="J894" s="27" t="s">
        <v>158</v>
      </c>
      <c r="K894" s="10">
        <v>40</v>
      </c>
      <c r="L894" s="36" t="s">
        <v>263</v>
      </c>
      <c r="M894" s="37" t="s">
        <v>331</v>
      </c>
      <c r="N894" s="37" t="s">
        <v>275</v>
      </c>
      <c r="O894" s="27" t="s">
        <v>1422</v>
      </c>
      <c r="P894" s="27"/>
      <c r="Q894" s="27" t="s">
        <v>1418</v>
      </c>
      <c r="R894" s="27"/>
      <c r="S894" s="1" t="s">
        <v>264</v>
      </c>
      <c r="T894" s="29" t="s">
        <v>265</v>
      </c>
      <c r="U894" s="30">
        <v>46209</v>
      </c>
      <c r="V894" s="27" t="s">
        <v>1411</v>
      </c>
      <c r="W894" s="27"/>
    </row>
    <row r="895" spans="1:23" ht="24" customHeight="1">
      <c r="A895" s="27" t="str">
        <f t="shared" ca="1" si="13"/>
        <v>EVT-2026-0893</v>
      </c>
      <c r="B895" s="27">
        <v>2026</v>
      </c>
      <c r="C895" s="27" t="s">
        <v>104</v>
      </c>
      <c r="D895" s="30">
        <v>46210</v>
      </c>
      <c r="E895" s="27" t="s">
        <v>227</v>
      </c>
      <c r="F895" s="27" t="s">
        <v>164</v>
      </c>
      <c r="G895" s="27" t="s">
        <v>262</v>
      </c>
      <c r="H895" s="27" t="s">
        <v>171</v>
      </c>
      <c r="I895" s="27" t="s">
        <v>1423</v>
      </c>
      <c r="J895" s="27" t="s">
        <v>177</v>
      </c>
      <c r="K895" s="10">
        <v>0</v>
      </c>
      <c r="L895" s="36" t="s">
        <v>263</v>
      </c>
      <c r="M895" s="37" t="s">
        <v>274</v>
      </c>
      <c r="N895" s="37" t="s">
        <v>331</v>
      </c>
      <c r="O895" s="27"/>
      <c r="P895" s="27"/>
      <c r="Q895" s="27" t="s">
        <v>1424</v>
      </c>
      <c r="R895" s="27"/>
      <c r="S895" s="1" t="s">
        <v>264</v>
      </c>
      <c r="T895" s="29" t="s">
        <v>265</v>
      </c>
      <c r="U895" s="27"/>
      <c r="V895" s="27"/>
      <c r="W895" s="27"/>
    </row>
    <row r="896" spans="1:23" ht="24" customHeight="1">
      <c r="A896" s="27" t="str">
        <f t="shared" ca="1" si="13"/>
        <v>EVT-2026-0894</v>
      </c>
      <c r="B896" s="27">
        <v>2026</v>
      </c>
      <c r="C896" s="27" t="s">
        <v>104</v>
      </c>
      <c r="D896" s="30">
        <v>46210</v>
      </c>
      <c r="E896" s="27" t="s">
        <v>227</v>
      </c>
      <c r="F896" s="27" t="s">
        <v>164</v>
      </c>
      <c r="G896" s="27" t="s">
        <v>202</v>
      </c>
      <c r="H896" s="27" t="s">
        <v>1186</v>
      </c>
      <c r="I896" s="27" t="s">
        <v>327</v>
      </c>
      <c r="J896" s="27" t="s">
        <v>177</v>
      </c>
      <c r="K896" s="10">
        <v>30</v>
      </c>
      <c r="L896" s="36" t="s">
        <v>263</v>
      </c>
      <c r="M896" s="37" t="s">
        <v>269</v>
      </c>
      <c r="N896" s="37" t="s">
        <v>270</v>
      </c>
      <c r="O896" s="27" t="s">
        <v>1425</v>
      </c>
      <c r="P896" s="27" t="s">
        <v>1426</v>
      </c>
      <c r="Q896" s="27" t="s">
        <v>1427</v>
      </c>
      <c r="R896" s="27"/>
      <c r="S896" s="1" t="s">
        <v>264</v>
      </c>
      <c r="T896" s="29" t="s">
        <v>265</v>
      </c>
      <c r="U896" s="30">
        <v>46210</v>
      </c>
      <c r="V896" s="27" t="s">
        <v>1411</v>
      </c>
      <c r="W896" s="27"/>
    </row>
    <row r="897" spans="1:23" ht="24" customHeight="1">
      <c r="A897" s="27" t="str">
        <f t="shared" ca="1" si="13"/>
        <v>EVT-2026-0895</v>
      </c>
      <c r="B897" s="27">
        <v>2026</v>
      </c>
      <c r="C897" s="27" t="s">
        <v>104</v>
      </c>
      <c r="D897" s="30">
        <v>46211</v>
      </c>
      <c r="E897" s="27" t="s">
        <v>201</v>
      </c>
      <c r="F897" s="27" t="s">
        <v>164</v>
      </c>
      <c r="G897" s="27" t="s">
        <v>262</v>
      </c>
      <c r="H897" s="27" t="s">
        <v>171</v>
      </c>
      <c r="I897" s="27" t="s">
        <v>670</v>
      </c>
      <c r="J897" s="27" t="s">
        <v>127</v>
      </c>
      <c r="K897" s="10">
        <v>70</v>
      </c>
      <c r="L897" s="36" t="s">
        <v>263</v>
      </c>
      <c r="M897" s="37" t="s">
        <v>338</v>
      </c>
      <c r="N897" s="37" t="s">
        <v>330</v>
      </c>
      <c r="O897" s="27" t="s">
        <v>610</v>
      </c>
      <c r="P897" s="27" t="s">
        <v>369</v>
      </c>
      <c r="Q897" s="27" t="s">
        <v>1428</v>
      </c>
      <c r="R897" s="27"/>
      <c r="S897" s="3" t="s">
        <v>312</v>
      </c>
      <c r="T897" s="29" t="s">
        <v>265</v>
      </c>
      <c r="U897" s="30">
        <v>46069</v>
      </c>
      <c r="V897" s="27" t="s">
        <v>298</v>
      </c>
      <c r="W897" s="27"/>
    </row>
    <row r="898" spans="1:23" ht="24" customHeight="1">
      <c r="A898" s="27" t="str">
        <f t="shared" ca="1" si="13"/>
        <v>EVT-2026-0896</v>
      </c>
      <c r="B898" s="27">
        <v>2026</v>
      </c>
      <c r="C898" s="27" t="s">
        <v>104</v>
      </c>
      <c r="D898" s="30">
        <v>46211</v>
      </c>
      <c r="E898" s="27" t="s">
        <v>201</v>
      </c>
      <c r="F898" s="27" t="s">
        <v>164</v>
      </c>
      <c r="G898" s="27" t="s">
        <v>262</v>
      </c>
      <c r="H898" s="27" t="s">
        <v>1044</v>
      </c>
      <c r="I898" s="27" t="s">
        <v>1429</v>
      </c>
      <c r="J898" s="27" t="s">
        <v>127</v>
      </c>
      <c r="K898" s="10">
        <v>150</v>
      </c>
      <c r="L898" s="38" t="s">
        <v>294</v>
      </c>
      <c r="M898" s="37" t="s">
        <v>1405</v>
      </c>
      <c r="N898" s="37" t="s">
        <v>411</v>
      </c>
      <c r="O898" s="27" t="s">
        <v>382</v>
      </c>
      <c r="P898" s="27"/>
      <c r="Q898" s="27" t="s">
        <v>1430</v>
      </c>
      <c r="R898" s="27"/>
      <c r="S898" s="1" t="s">
        <v>264</v>
      </c>
      <c r="T898" s="29" t="s">
        <v>265</v>
      </c>
      <c r="U898" s="30">
        <v>46199</v>
      </c>
      <c r="V898" s="27" t="s">
        <v>298</v>
      </c>
      <c r="W898" s="27"/>
    </row>
    <row r="899" spans="1:23" ht="24" customHeight="1">
      <c r="A899" s="27" t="str">
        <f t="shared" ref="A899:A962" ca="1" si="14">IF(OR(D899&lt;&gt;"",H899&lt;&gt;"",I899&lt;&gt;"",Q899&lt;&gt;"",S899&lt;&gt;""), "EVT-" &amp; TEXT(B899, "0000") &amp; "-" &amp; TEXT(COUNTIF(OFFSET($A$1, 1, 0, ROW()-2, 1), "EVT*") + 1, "0000"), "")</f>
        <v>EVT-2026-0897</v>
      </c>
      <c r="B899" s="27">
        <v>2026</v>
      </c>
      <c r="C899" s="27" t="s">
        <v>104</v>
      </c>
      <c r="D899" s="30">
        <v>46211</v>
      </c>
      <c r="E899" s="27" t="s">
        <v>201</v>
      </c>
      <c r="F899" s="27" t="s">
        <v>164</v>
      </c>
      <c r="G899" s="27" t="s">
        <v>202</v>
      </c>
      <c r="H899" s="27" t="s">
        <v>1186</v>
      </c>
      <c r="I899" s="27" t="s">
        <v>327</v>
      </c>
      <c r="J899" s="27" t="s">
        <v>177</v>
      </c>
      <c r="K899" s="10">
        <v>30</v>
      </c>
      <c r="L899" s="36" t="s">
        <v>263</v>
      </c>
      <c r="M899" s="37" t="s">
        <v>269</v>
      </c>
      <c r="N899" s="37" t="s">
        <v>270</v>
      </c>
      <c r="O899" s="27" t="s">
        <v>382</v>
      </c>
      <c r="P899" s="27" t="s">
        <v>1426</v>
      </c>
      <c r="Q899" s="27" t="s">
        <v>1427</v>
      </c>
      <c r="R899" s="27"/>
      <c r="S899" s="1" t="s">
        <v>264</v>
      </c>
      <c r="T899" s="29" t="s">
        <v>265</v>
      </c>
      <c r="U899" s="30">
        <v>46209</v>
      </c>
      <c r="V899" s="27" t="s">
        <v>1185</v>
      </c>
      <c r="W899" s="27"/>
    </row>
    <row r="900" spans="1:23" ht="24" customHeight="1">
      <c r="A900" s="27" t="str">
        <f t="shared" ca="1" si="14"/>
        <v>EVT-2026-0898</v>
      </c>
      <c r="B900" s="27">
        <v>2026</v>
      </c>
      <c r="C900" s="27" t="s">
        <v>104</v>
      </c>
      <c r="D900" s="30">
        <v>46212</v>
      </c>
      <c r="E900" s="27" t="s">
        <v>216</v>
      </c>
      <c r="F900" s="27" t="s">
        <v>164</v>
      </c>
      <c r="G900" s="27" t="s">
        <v>262</v>
      </c>
      <c r="H900" s="27" t="s">
        <v>171</v>
      </c>
      <c r="I900" s="27" t="s">
        <v>1419</v>
      </c>
      <c r="J900" s="27" t="s">
        <v>134</v>
      </c>
      <c r="K900" s="10">
        <v>45</v>
      </c>
      <c r="L900" s="36" t="s">
        <v>263</v>
      </c>
      <c r="M900" s="37" t="s">
        <v>1431</v>
      </c>
      <c r="N900" s="37" t="s">
        <v>354</v>
      </c>
      <c r="O900" s="27"/>
      <c r="P900" s="27"/>
      <c r="Q900" s="27" t="s">
        <v>1420</v>
      </c>
      <c r="R900" s="27"/>
      <c r="S900" s="1" t="s">
        <v>264</v>
      </c>
      <c r="T900" s="29" t="s">
        <v>265</v>
      </c>
      <c r="U900" s="30">
        <v>46198</v>
      </c>
      <c r="V900" s="27" t="s">
        <v>1411</v>
      </c>
      <c r="W900" s="27"/>
    </row>
    <row r="901" spans="1:23" ht="24" customHeight="1">
      <c r="A901" s="27" t="str">
        <f t="shared" ca="1" si="14"/>
        <v>EVT-2026-0899</v>
      </c>
      <c r="B901" s="27">
        <v>2026</v>
      </c>
      <c r="C901" s="27" t="s">
        <v>104</v>
      </c>
      <c r="D901" s="30">
        <v>46212</v>
      </c>
      <c r="E901" s="27" t="s">
        <v>216</v>
      </c>
      <c r="F901" s="27" t="s">
        <v>164</v>
      </c>
      <c r="G901" s="27" t="s">
        <v>262</v>
      </c>
      <c r="H901" s="27" t="s">
        <v>171</v>
      </c>
      <c r="I901" s="27" t="s">
        <v>1413</v>
      </c>
      <c r="J901" s="27" t="s">
        <v>177</v>
      </c>
      <c r="K901" s="10">
        <v>0</v>
      </c>
      <c r="L901" s="36" t="s">
        <v>263</v>
      </c>
      <c r="M901" s="37" t="s">
        <v>309</v>
      </c>
      <c r="N901" s="37" t="s">
        <v>296</v>
      </c>
      <c r="O901" s="27"/>
      <c r="P901" s="27"/>
      <c r="Q901" s="27" t="s">
        <v>1424</v>
      </c>
      <c r="R901" s="27"/>
      <c r="S901" s="1" t="s">
        <v>264</v>
      </c>
      <c r="T901" s="29" t="s">
        <v>265</v>
      </c>
      <c r="U901" s="27"/>
      <c r="V901" s="27" t="s">
        <v>1432</v>
      </c>
      <c r="W901" s="27"/>
    </row>
    <row r="902" spans="1:23" ht="24" customHeight="1">
      <c r="A902" s="27" t="str">
        <f t="shared" ca="1" si="14"/>
        <v>EVT-2026-0900</v>
      </c>
      <c r="B902" s="27">
        <v>2026</v>
      </c>
      <c r="C902" s="27" t="s">
        <v>104</v>
      </c>
      <c r="D902" s="30">
        <v>46212</v>
      </c>
      <c r="E902" s="27" t="s">
        <v>216</v>
      </c>
      <c r="F902" s="27" t="s">
        <v>164</v>
      </c>
      <c r="G902" s="27" t="s">
        <v>262</v>
      </c>
      <c r="H902" s="27" t="s">
        <v>171</v>
      </c>
      <c r="I902" s="27" t="s">
        <v>1423</v>
      </c>
      <c r="J902" s="27" t="s">
        <v>177</v>
      </c>
      <c r="K902" s="10">
        <v>0</v>
      </c>
      <c r="L902" s="36" t="s">
        <v>263</v>
      </c>
      <c r="M902" s="37" t="s">
        <v>296</v>
      </c>
      <c r="N902" s="37" t="s">
        <v>270</v>
      </c>
      <c r="O902" s="27"/>
      <c r="P902" s="27"/>
      <c r="Q902" s="27" t="s">
        <v>1433</v>
      </c>
      <c r="R902" s="27"/>
      <c r="S902" s="1" t="s">
        <v>264</v>
      </c>
      <c r="T902" s="29" t="s">
        <v>265</v>
      </c>
      <c r="U902" s="27"/>
      <c r="V902" s="27"/>
      <c r="W902" s="27"/>
    </row>
    <row r="903" spans="1:23" ht="24" customHeight="1">
      <c r="A903" s="27" t="str">
        <f t="shared" ca="1" si="14"/>
        <v>EVT-2026-0901</v>
      </c>
      <c r="B903" s="27">
        <v>2026</v>
      </c>
      <c r="C903" s="27" t="s">
        <v>104</v>
      </c>
      <c r="D903" s="30">
        <v>46213</v>
      </c>
      <c r="E903" s="27" t="s">
        <v>220</v>
      </c>
      <c r="F903" s="27" t="s">
        <v>164</v>
      </c>
      <c r="G903" s="27" t="s">
        <v>262</v>
      </c>
      <c r="H903" s="27" t="s">
        <v>171</v>
      </c>
      <c r="I903" s="27" t="s">
        <v>1434</v>
      </c>
      <c r="J903" s="27" t="s">
        <v>177</v>
      </c>
      <c r="K903" s="10">
        <v>0</v>
      </c>
      <c r="L903" s="36" t="s">
        <v>263</v>
      </c>
      <c r="M903" s="37" t="s">
        <v>309</v>
      </c>
      <c r="N903" s="37" t="s">
        <v>295</v>
      </c>
      <c r="O903" s="27"/>
      <c r="P903" s="27"/>
      <c r="Q903" s="27" t="s">
        <v>1435</v>
      </c>
      <c r="R903" s="27"/>
      <c r="S903" s="3" t="s">
        <v>312</v>
      </c>
      <c r="T903" s="29" t="s">
        <v>265</v>
      </c>
      <c r="U903" s="30">
        <v>46205</v>
      </c>
      <c r="V903" s="27" t="s">
        <v>1436</v>
      </c>
      <c r="W903" s="27"/>
    </row>
    <row r="904" spans="1:23" ht="24" customHeight="1">
      <c r="A904" s="27" t="str">
        <f t="shared" ca="1" si="14"/>
        <v>EVT-2026-0902</v>
      </c>
      <c r="B904" s="27">
        <v>2026</v>
      </c>
      <c r="C904" s="27" t="s">
        <v>104</v>
      </c>
      <c r="D904" s="30">
        <v>46213</v>
      </c>
      <c r="E904" s="27" t="s">
        <v>220</v>
      </c>
      <c r="F904" s="27" t="s">
        <v>164</v>
      </c>
      <c r="G904" s="27" t="s">
        <v>262</v>
      </c>
      <c r="H904" s="27" t="s">
        <v>171</v>
      </c>
      <c r="I904" s="27" t="s">
        <v>1413</v>
      </c>
      <c r="J904" s="27" t="s">
        <v>177</v>
      </c>
      <c r="K904" s="10">
        <v>0</v>
      </c>
      <c r="L904" s="36" t="s">
        <v>263</v>
      </c>
      <c r="M904" s="37" t="s">
        <v>274</v>
      </c>
      <c r="N904" s="37" t="s">
        <v>331</v>
      </c>
      <c r="O904" s="27"/>
      <c r="P904" s="27"/>
      <c r="Q904" s="27" t="s">
        <v>1437</v>
      </c>
      <c r="R904" s="27"/>
      <c r="S904" s="3" t="s">
        <v>312</v>
      </c>
      <c r="T904" s="29" t="s">
        <v>265</v>
      </c>
      <c r="U904" s="27"/>
      <c r="V904" s="27" t="s">
        <v>1432</v>
      </c>
      <c r="W904" s="27"/>
    </row>
    <row r="905" spans="1:23" ht="24" customHeight="1">
      <c r="A905" s="27" t="str">
        <f t="shared" ca="1" si="14"/>
        <v>EVT-2026-0903</v>
      </c>
      <c r="B905" s="27">
        <v>2026</v>
      </c>
      <c r="C905" s="27" t="s">
        <v>104</v>
      </c>
      <c r="D905" s="30">
        <v>46213</v>
      </c>
      <c r="E905" s="27" t="s">
        <v>220</v>
      </c>
      <c r="F905" s="27" t="s">
        <v>164</v>
      </c>
      <c r="G905" s="27" t="s">
        <v>262</v>
      </c>
      <c r="H905" s="27" t="s">
        <v>171</v>
      </c>
      <c r="I905" s="27" t="s">
        <v>1438</v>
      </c>
      <c r="J905" s="27" t="s">
        <v>139</v>
      </c>
      <c r="K905" s="10">
        <v>0</v>
      </c>
      <c r="L905" s="36" t="s">
        <v>263</v>
      </c>
      <c r="M905" s="37"/>
      <c r="N905" s="37"/>
      <c r="O905" s="27"/>
      <c r="P905" s="27"/>
      <c r="Q905" s="27"/>
      <c r="R905" s="27"/>
      <c r="S905" s="1" t="s">
        <v>264</v>
      </c>
      <c r="T905" s="29" t="s">
        <v>265</v>
      </c>
      <c r="U905" s="27"/>
      <c r="V905" s="27"/>
      <c r="W905" s="27"/>
    </row>
    <row r="906" spans="1:23" ht="24" customHeight="1">
      <c r="A906" s="27" t="str">
        <f t="shared" ca="1" si="14"/>
        <v>EVT-2026-0904</v>
      </c>
      <c r="B906" s="27">
        <v>2026</v>
      </c>
      <c r="C906" s="27" t="s">
        <v>104</v>
      </c>
      <c r="D906" s="30">
        <v>46214</v>
      </c>
      <c r="E906" s="27" t="s">
        <v>266</v>
      </c>
      <c r="F906" s="27" t="s">
        <v>164</v>
      </c>
      <c r="G906" s="27" t="s">
        <v>262</v>
      </c>
      <c r="H906" s="27" t="s">
        <v>1439</v>
      </c>
      <c r="I906" s="27" t="s">
        <v>279</v>
      </c>
      <c r="J906" s="27" t="s">
        <v>145</v>
      </c>
      <c r="K906" s="10">
        <v>51</v>
      </c>
      <c r="L906" s="36" t="s">
        <v>263</v>
      </c>
      <c r="M906" s="37" t="s">
        <v>269</v>
      </c>
      <c r="N906" s="37" t="s">
        <v>544</v>
      </c>
      <c r="O906" s="27"/>
      <c r="P906" s="27"/>
      <c r="Q906" s="27" t="s">
        <v>1440</v>
      </c>
      <c r="R906" s="27"/>
      <c r="S906" s="1" t="s">
        <v>264</v>
      </c>
      <c r="T906" s="29" t="s">
        <v>265</v>
      </c>
      <c r="U906" s="30">
        <v>46211</v>
      </c>
      <c r="V906" s="27" t="s">
        <v>1313</v>
      </c>
      <c r="W906" s="27"/>
    </row>
    <row r="907" spans="1:23" ht="24" customHeight="1">
      <c r="A907" s="27" t="str">
        <f t="shared" ca="1" si="14"/>
        <v>EVT-2026-0905</v>
      </c>
      <c r="B907" s="27">
        <v>2026</v>
      </c>
      <c r="C907" s="27" t="s">
        <v>104</v>
      </c>
      <c r="D907" s="30">
        <v>46215</v>
      </c>
      <c r="E907" s="27" t="s">
        <v>267</v>
      </c>
      <c r="F907" s="27" t="s">
        <v>164</v>
      </c>
      <c r="G907" s="27" t="s">
        <v>262</v>
      </c>
      <c r="H907" s="27"/>
      <c r="I907" s="27"/>
      <c r="J907" s="27" t="s">
        <v>177</v>
      </c>
      <c r="K907" s="10">
        <v>0</v>
      </c>
      <c r="L907" s="36" t="s">
        <v>263</v>
      </c>
      <c r="M907" s="37"/>
      <c r="N907" s="37"/>
      <c r="O907" s="27"/>
      <c r="P907" s="27"/>
      <c r="Q907" s="27"/>
      <c r="R907" s="27"/>
      <c r="S907" s="1" t="s">
        <v>264</v>
      </c>
      <c r="T907" s="29" t="s">
        <v>265</v>
      </c>
      <c r="U907" s="27"/>
      <c r="V907" s="27"/>
      <c r="W907" s="27"/>
    </row>
    <row r="908" spans="1:23" ht="24" customHeight="1">
      <c r="A908" s="27" t="str">
        <f t="shared" ca="1" si="14"/>
        <v>EVT-2026-0906</v>
      </c>
      <c r="B908" s="27">
        <v>2026</v>
      </c>
      <c r="C908" s="27" t="s">
        <v>104</v>
      </c>
      <c r="D908" s="30">
        <v>46216</v>
      </c>
      <c r="E908" s="27" t="s">
        <v>224</v>
      </c>
      <c r="F908" s="27" t="s">
        <v>164</v>
      </c>
      <c r="G908" s="27" t="s">
        <v>202</v>
      </c>
      <c r="H908" s="27" t="s">
        <v>1186</v>
      </c>
      <c r="I908" s="27" t="s">
        <v>1187</v>
      </c>
      <c r="J908" s="27" t="s">
        <v>139</v>
      </c>
      <c r="K908" s="10">
        <v>40</v>
      </c>
      <c r="L908" s="36" t="s">
        <v>263</v>
      </c>
      <c r="M908" s="37" t="s">
        <v>269</v>
      </c>
      <c r="N908" s="37" t="s">
        <v>270</v>
      </c>
      <c r="O908" s="27"/>
      <c r="P908" s="27"/>
      <c r="Q908" s="27" t="s">
        <v>1415</v>
      </c>
      <c r="R908" s="27"/>
      <c r="S908" s="1" t="s">
        <v>264</v>
      </c>
      <c r="T908" s="29" t="s">
        <v>265</v>
      </c>
      <c r="U908" s="30">
        <v>46175</v>
      </c>
      <c r="V908" s="27" t="s">
        <v>1441</v>
      </c>
      <c r="W908" s="27"/>
    </row>
    <row r="909" spans="1:23" ht="24" customHeight="1">
      <c r="A909" s="27" t="str">
        <f t="shared" ca="1" si="14"/>
        <v>EVT-2026-0907</v>
      </c>
      <c r="B909" s="27">
        <v>2026</v>
      </c>
      <c r="C909" s="27" t="s">
        <v>104</v>
      </c>
      <c r="D909" s="30">
        <v>46216</v>
      </c>
      <c r="E909" s="27" t="s">
        <v>224</v>
      </c>
      <c r="F909" s="27" t="s">
        <v>164</v>
      </c>
      <c r="G909" s="27" t="s">
        <v>262</v>
      </c>
      <c r="H909" s="27" t="s">
        <v>171</v>
      </c>
      <c r="I909" s="27" t="s">
        <v>1187</v>
      </c>
      <c r="J909" s="27" t="s">
        <v>139</v>
      </c>
      <c r="K909" s="10">
        <v>40</v>
      </c>
      <c r="L909" s="36" t="s">
        <v>263</v>
      </c>
      <c r="M909" s="37" t="s">
        <v>269</v>
      </c>
      <c r="N909" s="37" t="s">
        <v>270</v>
      </c>
      <c r="O909" s="27"/>
      <c r="P909" s="27"/>
      <c r="Q909" s="27" t="s">
        <v>1415</v>
      </c>
      <c r="R909" s="27"/>
      <c r="S909" s="1" t="s">
        <v>264</v>
      </c>
      <c r="T909" s="29" t="s">
        <v>265</v>
      </c>
      <c r="U909" s="27"/>
      <c r="V909" s="27" t="s">
        <v>1441</v>
      </c>
      <c r="W909" s="27"/>
    </row>
    <row r="910" spans="1:23" ht="24" customHeight="1">
      <c r="A910" s="27" t="str">
        <f t="shared" ca="1" si="14"/>
        <v>EVT-2026-0908</v>
      </c>
      <c r="B910" s="27">
        <v>2026</v>
      </c>
      <c r="C910" s="27" t="s">
        <v>104</v>
      </c>
      <c r="D910" s="30">
        <v>46217</v>
      </c>
      <c r="E910" s="27" t="s">
        <v>227</v>
      </c>
      <c r="F910" s="27" t="s">
        <v>164</v>
      </c>
      <c r="G910" s="27" t="s">
        <v>262</v>
      </c>
      <c r="H910" s="27" t="s">
        <v>171</v>
      </c>
      <c r="I910" s="27" t="s">
        <v>1442</v>
      </c>
      <c r="J910" s="27" t="s">
        <v>127</v>
      </c>
      <c r="K910" s="10">
        <v>70</v>
      </c>
      <c r="L910" s="36" t="s">
        <v>263</v>
      </c>
      <c r="M910" s="37" t="s">
        <v>338</v>
      </c>
      <c r="N910" s="37" t="s">
        <v>330</v>
      </c>
      <c r="O910" s="27"/>
      <c r="P910" s="27"/>
      <c r="Q910" s="27" t="s">
        <v>1443</v>
      </c>
      <c r="R910" s="27"/>
      <c r="S910" s="1" t="s">
        <v>264</v>
      </c>
      <c r="T910" s="29" t="s">
        <v>265</v>
      </c>
      <c r="U910" s="30">
        <v>46216</v>
      </c>
      <c r="V910" s="27"/>
      <c r="W910" s="27"/>
    </row>
    <row r="911" spans="1:23" ht="24" customHeight="1">
      <c r="A911" s="27" t="str">
        <f t="shared" ca="1" si="14"/>
        <v>EVT-2026-0909</v>
      </c>
      <c r="B911" s="27">
        <v>2026</v>
      </c>
      <c r="C911" s="27" t="s">
        <v>104</v>
      </c>
      <c r="D911" s="30">
        <v>46217</v>
      </c>
      <c r="E911" s="27" t="s">
        <v>227</v>
      </c>
      <c r="F911" s="27" t="s">
        <v>164</v>
      </c>
      <c r="G911" s="27" t="s">
        <v>262</v>
      </c>
      <c r="H911" s="27" t="s">
        <v>171</v>
      </c>
      <c r="I911" s="27" t="s">
        <v>1444</v>
      </c>
      <c r="J911" s="27" t="s">
        <v>134</v>
      </c>
      <c r="K911" s="10">
        <v>30</v>
      </c>
      <c r="L911" s="36" t="s">
        <v>263</v>
      </c>
      <c r="M911" s="37" t="s">
        <v>275</v>
      </c>
      <c r="N911" s="37" t="s">
        <v>270</v>
      </c>
      <c r="O911" s="27" t="s">
        <v>1445</v>
      </c>
      <c r="P911" s="27"/>
      <c r="Q911" s="27" t="s">
        <v>1427</v>
      </c>
      <c r="R911" s="27"/>
      <c r="S911" s="1" t="s">
        <v>264</v>
      </c>
      <c r="T911" s="29" t="s">
        <v>265</v>
      </c>
      <c r="U911" s="30">
        <v>46190</v>
      </c>
      <c r="V911" s="27" t="s">
        <v>298</v>
      </c>
      <c r="W911" s="27"/>
    </row>
    <row r="912" spans="1:23" ht="24" customHeight="1">
      <c r="A912" s="27" t="str">
        <f t="shared" ca="1" si="14"/>
        <v>EVT-2026-0910</v>
      </c>
      <c r="B912" s="27">
        <v>2026</v>
      </c>
      <c r="C912" s="27" t="s">
        <v>104</v>
      </c>
      <c r="D912" s="30">
        <v>46218</v>
      </c>
      <c r="E912" s="27" t="s">
        <v>201</v>
      </c>
      <c r="F912" s="27" t="s">
        <v>164</v>
      </c>
      <c r="G912" s="27" t="s">
        <v>262</v>
      </c>
      <c r="H912" s="27" t="s">
        <v>171</v>
      </c>
      <c r="I912" s="27" t="s">
        <v>1444</v>
      </c>
      <c r="J912" s="27" t="s">
        <v>134</v>
      </c>
      <c r="K912" s="10">
        <v>30</v>
      </c>
      <c r="L912" s="36" t="s">
        <v>263</v>
      </c>
      <c r="M912" s="37" t="s">
        <v>275</v>
      </c>
      <c r="N912" s="37" t="s">
        <v>270</v>
      </c>
      <c r="O912" s="27" t="s">
        <v>1445</v>
      </c>
      <c r="P912" s="27"/>
      <c r="Q912" s="27" t="s">
        <v>1427</v>
      </c>
      <c r="R912" s="27"/>
      <c r="S912" s="1" t="s">
        <v>264</v>
      </c>
      <c r="T912" s="29" t="s">
        <v>265</v>
      </c>
      <c r="U912" s="30">
        <v>46190</v>
      </c>
      <c r="V912" s="27" t="s">
        <v>298</v>
      </c>
      <c r="W912" s="27"/>
    </row>
    <row r="913" spans="1:23" ht="24" customHeight="1">
      <c r="A913" s="27" t="str">
        <f t="shared" ca="1" si="14"/>
        <v>EVT-2026-0911</v>
      </c>
      <c r="B913" s="27">
        <v>2026</v>
      </c>
      <c r="C913" s="27" t="s">
        <v>104</v>
      </c>
      <c r="D913" s="30">
        <v>46219</v>
      </c>
      <c r="E913" s="27" t="s">
        <v>216</v>
      </c>
      <c r="F913" s="27" t="s">
        <v>164</v>
      </c>
      <c r="G913" s="27" t="s">
        <v>262</v>
      </c>
      <c r="H913" s="27" t="s">
        <v>171</v>
      </c>
      <c r="I913" s="27" t="s">
        <v>769</v>
      </c>
      <c r="J913" s="27" t="s">
        <v>177</v>
      </c>
      <c r="K913" s="10">
        <v>45</v>
      </c>
      <c r="L913" s="36" t="s">
        <v>263</v>
      </c>
      <c r="M913" s="37" t="s">
        <v>338</v>
      </c>
      <c r="N913" s="37" t="s">
        <v>506</v>
      </c>
      <c r="O913" s="27" t="s">
        <v>382</v>
      </c>
      <c r="P913" s="27"/>
      <c r="Q913" s="27" t="s">
        <v>1446</v>
      </c>
      <c r="R913" s="27"/>
      <c r="S913" s="1" t="s">
        <v>264</v>
      </c>
      <c r="T913" s="29" t="s">
        <v>265</v>
      </c>
      <c r="U913" s="30">
        <v>46218</v>
      </c>
      <c r="V913" s="27" t="s">
        <v>1441</v>
      </c>
      <c r="W913" s="27"/>
    </row>
    <row r="914" spans="1:23" ht="24" customHeight="1">
      <c r="A914" s="27" t="str">
        <f t="shared" ca="1" si="14"/>
        <v>EVT-2026-0912</v>
      </c>
      <c r="B914" s="27">
        <v>2026</v>
      </c>
      <c r="C914" s="27" t="s">
        <v>104</v>
      </c>
      <c r="D914" s="30">
        <v>46219</v>
      </c>
      <c r="E914" s="27" t="s">
        <v>216</v>
      </c>
      <c r="F914" s="27" t="s">
        <v>164</v>
      </c>
      <c r="G914" s="27" t="s">
        <v>262</v>
      </c>
      <c r="H914" s="27" t="s">
        <v>171</v>
      </c>
      <c r="I914" s="27" t="s">
        <v>1350</v>
      </c>
      <c r="J914" s="27" t="s">
        <v>177</v>
      </c>
      <c r="K914" s="10">
        <v>35</v>
      </c>
      <c r="L914" s="36" t="s">
        <v>263</v>
      </c>
      <c r="M914" s="37" t="s">
        <v>289</v>
      </c>
      <c r="N914" s="37" t="s">
        <v>359</v>
      </c>
      <c r="O914" s="27" t="s">
        <v>382</v>
      </c>
      <c r="P914" s="27"/>
      <c r="Q914" s="27" t="s">
        <v>1447</v>
      </c>
      <c r="R914" s="27"/>
      <c r="S914" s="1" t="s">
        <v>264</v>
      </c>
      <c r="T914" s="29" t="s">
        <v>265</v>
      </c>
      <c r="U914" s="30">
        <v>46203</v>
      </c>
      <c r="V914" s="27" t="s">
        <v>298</v>
      </c>
      <c r="W914" s="27"/>
    </row>
    <row r="915" spans="1:23" ht="24" customHeight="1">
      <c r="A915" s="27" t="str">
        <f t="shared" ca="1" si="14"/>
        <v>EVT-2026-0913</v>
      </c>
      <c r="B915" s="27">
        <v>2026</v>
      </c>
      <c r="C915" s="27" t="s">
        <v>104</v>
      </c>
      <c r="D915" s="30">
        <v>46220</v>
      </c>
      <c r="E915" s="27" t="s">
        <v>220</v>
      </c>
      <c r="F915" s="27" t="s">
        <v>164</v>
      </c>
      <c r="G915" s="27" t="s">
        <v>262</v>
      </c>
      <c r="H915" s="27" t="s">
        <v>171</v>
      </c>
      <c r="I915" s="27" t="s">
        <v>1448</v>
      </c>
      <c r="J915" s="27" t="s">
        <v>152</v>
      </c>
      <c r="K915" s="10">
        <v>24</v>
      </c>
      <c r="L915" s="36" t="s">
        <v>263</v>
      </c>
      <c r="M915" s="37" t="s">
        <v>269</v>
      </c>
      <c r="N915" s="37" t="s">
        <v>270</v>
      </c>
      <c r="O915" s="27" t="s">
        <v>1449</v>
      </c>
      <c r="P915" s="27"/>
      <c r="Q915" s="27" t="s">
        <v>1450</v>
      </c>
      <c r="R915" s="27"/>
      <c r="S915" s="1" t="s">
        <v>264</v>
      </c>
      <c r="T915" s="29" t="s">
        <v>265</v>
      </c>
      <c r="U915" s="30">
        <v>46212</v>
      </c>
      <c r="V915" s="27" t="s">
        <v>1441</v>
      </c>
      <c r="W915" s="27"/>
    </row>
    <row r="916" spans="1:23" ht="24" customHeight="1">
      <c r="A916" s="27" t="str">
        <f t="shared" ca="1" si="14"/>
        <v>EVT-2026-0914</v>
      </c>
      <c r="B916" s="27">
        <v>2026</v>
      </c>
      <c r="C916" s="27" t="s">
        <v>104</v>
      </c>
      <c r="D916" s="30">
        <v>46221</v>
      </c>
      <c r="E916" s="27" t="s">
        <v>266</v>
      </c>
      <c r="F916" s="27" t="s">
        <v>164</v>
      </c>
      <c r="G916" s="27" t="s">
        <v>262</v>
      </c>
      <c r="H916" s="27" t="s">
        <v>292</v>
      </c>
      <c r="I916" s="27" t="s">
        <v>279</v>
      </c>
      <c r="J916" s="27" t="s">
        <v>145</v>
      </c>
      <c r="K916" s="10">
        <v>80</v>
      </c>
      <c r="L916" s="36" t="s">
        <v>263</v>
      </c>
      <c r="M916" s="37" t="s">
        <v>269</v>
      </c>
      <c r="N916" s="37" t="s">
        <v>270</v>
      </c>
      <c r="O916" s="27" t="s">
        <v>1449</v>
      </c>
      <c r="P916" s="27"/>
      <c r="Q916" s="27" t="s">
        <v>1440</v>
      </c>
      <c r="R916" s="27"/>
      <c r="S916" s="1" t="s">
        <v>264</v>
      </c>
      <c r="T916" s="29" t="s">
        <v>265</v>
      </c>
      <c r="U916" s="30">
        <v>46219</v>
      </c>
      <c r="V916" s="27" t="s">
        <v>1313</v>
      </c>
      <c r="W916" s="27"/>
    </row>
    <row r="917" spans="1:23" ht="24" customHeight="1">
      <c r="A917" s="27" t="str">
        <f t="shared" ca="1" si="14"/>
        <v>EVT-2026-0915</v>
      </c>
      <c r="B917" s="27">
        <v>2026</v>
      </c>
      <c r="C917" s="27" t="s">
        <v>104</v>
      </c>
      <c r="D917" s="30">
        <v>46222</v>
      </c>
      <c r="E917" s="27" t="s">
        <v>267</v>
      </c>
      <c r="F917" s="27" t="s">
        <v>164</v>
      </c>
      <c r="G917" s="27" t="s">
        <v>262</v>
      </c>
      <c r="H917" s="27"/>
      <c r="I917" s="27"/>
      <c r="J917" s="27" t="s">
        <v>177</v>
      </c>
      <c r="K917" s="10">
        <v>0</v>
      </c>
      <c r="L917" s="36" t="s">
        <v>263</v>
      </c>
      <c r="M917" s="37"/>
      <c r="N917" s="37"/>
      <c r="O917" s="27"/>
      <c r="P917" s="27"/>
      <c r="Q917" s="27"/>
      <c r="R917" s="27"/>
      <c r="S917" s="1" t="s">
        <v>264</v>
      </c>
      <c r="T917" s="29" t="s">
        <v>265</v>
      </c>
      <c r="U917" s="27"/>
      <c r="V917" s="27"/>
      <c r="W917" s="27"/>
    </row>
    <row r="918" spans="1:23" ht="24" customHeight="1">
      <c r="A918" s="27" t="str">
        <f t="shared" ca="1" si="14"/>
        <v>EVT-2026-0916</v>
      </c>
      <c r="B918" s="27">
        <v>2026</v>
      </c>
      <c r="C918" s="27" t="s">
        <v>104</v>
      </c>
      <c r="D918" s="30">
        <v>46223</v>
      </c>
      <c r="E918" s="27" t="s">
        <v>224</v>
      </c>
      <c r="F918" s="27" t="s">
        <v>164</v>
      </c>
      <c r="G918" s="27" t="s">
        <v>228</v>
      </c>
      <c r="H918" s="27" t="s">
        <v>1451</v>
      </c>
      <c r="I918" s="27" t="s">
        <v>1452</v>
      </c>
      <c r="J918" s="27" t="s">
        <v>177</v>
      </c>
      <c r="K918" s="10">
        <v>35</v>
      </c>
      <c r="L918" s="36" t="s">
        <v>263</v>
      </c>
      <c r="M918" s="37" t="s">
        <v>354</v>
      </c>
      <c r="N918" s="37" t="s">
        <v>289</v>
      </c>
      <c r="O918" s="27" t="s">
        <v>610</v>
      </c>
      <c r="P918" s="27"/>
      <c r="Q918" s="27" t="s">
        <v>1453</v>
      </c>
      <c r="R918" s="27"/>
      <c r="S918" s="1" t="s">
        <v>264</v>
      </c>
      <c r="T918" s="29" t="s">
        <v>265</v>
      </c>
      <c r="U918" s="27"/>
      <c r="V918" s="27" t="s">
        <v>1411</v>
      </c>
      <c r="W918" s="27"/>
    </row>
    <row r="919" spans="1:23" ht="24" customHeight="1">
      <c r="A919" s="27" t="str">
        <f t="shared" ca="1" si="14"/>
        <v>EVT-2026-0917</v>
      </c>
      <c r="B919" s="27">
        <v>2026</v>
      </c>
      <c r="C919" s="27" t="s">
        <v>104</v>
      </c>
      <c r="D919" s="30">
        <v>46223</v>
      </c>
      <c r="E919" s="27" t="s">
        <v>224</v>
      </c>
      <c r="F919" s="27" t="s">
        <v>164</v>
      </c>
      <c r="G919" s="27" t="s">
        <v>262</v>
      </c>
      <c r="H919" s="27" t="s">
        <v>171</v>
      </c>
      <c r="I919" s="27" t="s">
        <v>1187</v>
      </c>
      <c r="J919" s="27" t="s">
        <v>139</v>
      </c>
      <c r="K919" s="10">
        <v>31</v>
      </c>
      <c r="L919" s="36" t="s">
        <v>263</v>
      </c>
      <c r="M919" s="37" t="s">
        <v>269</v>
      </c>
      <c r="N919" s="37" t="s">
        <v>270</v>
      </c>
      <c r="O919" s="27"/>
      <c r="P919" s="27"/>
      <c r="Q919" s="27" t="s">
        <v>1415</v>
      </c>
      <c r="R919" s="27"/>
      <c r="S919" s="1" t="s">
        <v>264</v>
      </c>
      <c r="T919" s="29" t="s">
        <v>265</v>
      </c>
      <c r="U919" s="27"/>
      <c r="V919" s="27" t="s">
        <v>1454</v>
      </c>
      <c r="W919" s="27"/>
    </row>
    <row r="920" spans="1:23" ht="24" customHeight="1">
      <c r="A920" s="27" t="str">
        <f t="shared" ca="1" si="14"/>
        <v>EVT-2026-0918</v>
      </c>
      <c r="B920" s="27">
        <v>2026</v>
      </c>
      <c r="C920" s="27" t="s">
        <v>104</v>
      </c>
      <c r="D920" s="30">
        <v>46223</v>
      </c>
      <c r="E920" s="27" t="s">
        <v>224</v>
      </c>
      <c r="F920" s="27" t="s">
        <v>164</v>
      </c>
      <c r="G920" s="27" t="s">
        <v>202</v>
      </c>
      <c r="H920" s="27" t="s">
        <v>1186</v>
      </c>
      <c r="I920" s="27" t="s">
        <v>1187</v>
      </c>
      <c r="J920" s="27" t="s">
        <v>139</v>
      </c>
      <c r="K920" s="10">
        <v>40</v>
      </c>
      <c r="L920" s="36" t="s">
        <v>263</v>
      </c>
      <c r="M920" s="37" t="s">
        <v>269</v>
      </c>
      <c r="N920" s="37" t="s">
        <v>270</v>
      </c>
      <c r="O920" s="27"/>
      <c r="P920" s="27"/>
      <c r="Q920" s="27" t="s">
        <v>1415</v>
      </c>
      <c r="R920" s="27"/>
      <c r="S920" s="1" t="s">
        <v>264</v>
      </c>
      <c r="T920" s="29" t="s">
        <v>265</v>
      </c>
      <c r="U920" s="27"/>
      <c r="V920" s="27" t="s">
        <v>1411</v>
      </c>
      <c r="W920" s="27"/>
    </row>
    <row r="921" spans="1:23" ht="24" customHeight="1">
      <c r="A921" s="27" t="str">
        <f t="shared" ca="1" si="14"/>
        <v>EVT-2026-0919</v>
      </c>
      <c r="B921" s="27">
        <v>2026</v>
      </c>
      <c r="C921" s="27" t="s">
        <v>104</v>
      </c>
      <c r="D921" s="30">
        <v>46223</v>
      </c>
      <c r="E921" s="27" t="s">
        <v>224</v>
      </c>
      <c r="F921" s="27" t="s">
        <v>164</v>
      </c>
      <c r="G921" s="27" t="s">
        <v>228</v>
      </c>
      <c r="H921" s="27" t="s">
        <v>1455</v>
      </c>
      <c r="I921" s="27" t="s">
        <v>1246</v>
      </c>
      <c r="J921" s="27" t="s">
        <v>152</v>
      </c>
      <c r="K921" s="10">
        <v>3</v>
      </c>
      <c r="L921" s="36" t="s">
        <v>263</v>
      </c>
      <c r="M921" s="37" t="s">
        <v>269</v>
      </c>
      <c r="N921" s="37" t="s">
        <v>270</v>
      </c>
      <c r="O921" s="27" t="s">
        <v>382</v>
      </c>
      <c r="P921" s="27"/>
      <c r="Q921" s="27" t="s">
        <v>1446</v>
      </c>
      <c r="R921" s="27"/>
      <c r="S921" s="1" t="s">
        <v>264</v>
      </c>
      <c r="T921" s="29" t="s">
        <v>265</v>
      </c>
      <c r="U921" s="30">
        <v>46220</v>
      </c>
      <c r="V921" s="27" t="s">
        <v>1411</v>
      </c>
      <c r="W921" s="27"/>
    </row>
    <row r="922" spans="1:23" ht="24" customHeight="1">
      <c r="A922" s="27" t="str">
        <f t="shared" ca="1" si="14"/>
        <v>EVT-2026-0920</v>
      </c>
      <c r="B922" s="27">
        <v>2026</v>
      </c>
      <c r="C922" s="27" t="s">
        <v>104</v>
      </c>
      <c r="D922" s="30">
        <v>46224</v>
      </c>
      <c r="E922" s="27" t="s">
        <v>227</v>
      </c>
      <c r="F922" s="27" t="s">
        <v>164</v>
      </c>
      <c r="G922" s="27" t="s">
        <v>262</v>
      </c>
      <c r="H922" s="27" t="s">
        <v>171</v>
      </c>
      <c r="I922" s="27" t="s">
        <v>1456</v>
      </c>
      <c r="J922" s="27" t="s">
        <v>127</v>
      </c>
      <c r="K922" s="10">
        <v>50</v>
      </c>
      <c r="L922" s="36" t="s">
        <v>263</v>
      </c>
      <c r="M922" s="37" t="s">
        <v>1225</v>
      </c>
      <c r="N922" s="37" t="s">
        <v>330</v>
      </c>
      <c r="O922" s="27" t="s">
        <v>610</v>
      </c>
      <c r="P922" s="27" t="s">
        <v>1457</v>
      </c>
      <c r="Q922" s="27" t="s">
        <v>1458</v>
      </c>
      <c r="R922" s="27"/>
      <c r="S922" s="1" t="s">
        <v>264</v>
      </c>
      <c r="T922" s="29" t="s">
        <v>265</v>
      </c>
      <c r="U922" s="30">
        <v>46223</v>
      </c>
      <c r="V922" s="27" t="s">
        <v>1411</v>
      </c>
      <c r="W922" s="27"/>
    </row>
    <row r="923" spans="1:23" ht="24" customHeight="1">
      <c r="A923" s="27" t="str">
        <f t="shared" ca="1" si="14"/>
        <v>EVT-2026-0921</v>
      </c>
      <c r="B923" s="27">
        <v>2026</v>
      </c>
      <c r="C923" s="27" t="s">
        <v>104</v>
      </c>
      <c r="D923" s="30">
        <v>46224</v>
      </c>
      <c r="E923" s="27" t="s">
        <v>227</v>
      </c>
      <c r="F923" s="27" t="s">
        <v>164</v>
      </c>
      <c r="G923" s="27" t="s">
        <v>262</v>
      </c>
      <c r="H923" s="27" t="s">
        <v>171</v>
      </c>
      <c r="I923" s="27" t="s">
        <v>1459</v>
      </c>
      <c r="J923" s="27" t="s">
        <v>165</v>
      </c>
      <c r="K923" s="10">
        <v>70</v>
      </c>
      <c r="L923" s="36" t="s">
        <v>263</v>
      </c>
      <c r="M923" s="37" t="s">
        <v>309</v>
      </c>
      <c r="N923" s="37" t="s">
        <v>296</v>
      </c>
      <c r="O923" s="27" t="s">
        <v>382</v>
      </c>
      <c r="P923" s="27"/>
      <c r="Q923" s="27" t="s">
        <v>1460</v>
      </c>
      <c r="R923" s="27"/>
      <c r="S923" s="1" t="s">
        <v>264</v>
      </c>
      <c r="T923" s="29" t="s">
        <v>265</v>
      </c>
      <c r="U923" s="30">
        <v>46197</v>
      </c>
      <c r="V923" s="27" t="s">
        <v>1461</v>
      </c>
      <c r="W923" s="27"/>
    </row>
    <row r="924" spans="1:23" ht="24" customHeight="1">
      <c r="A924" s="27" t="str">
        <f t="shared" ca="1" si="14"/>
        <v>EVT-2026-0922</v>
      </c>
      <c r="B924" s="27">
        <v>2026</v>
      </c>
      <c r="C924" s="27" t="s">
        <v>104</v>
      </c>
      <c r="D924" s="30">
        <v>46224</v>
      </c>
      <c r="E924" s="27" t="s">
        <v>227</v>
      </c>
      <c r="F924" s="27" t="s">
        <v>164</v>
      </c>
      <c r="G924" s="27" t="s">
        <v>228</v>
      </c>
      <c r="H924" s="27" t="s">
        <v>1462</v>
      </c>
      <c r="I924" s="27" t="s">
        <v>1463</v>
      </c>
      <c r="J924" s="27" t="s">
        <v>177</v>
      </c>
      <c r="K924" s="10">
        <v>1</v>
      </c>
      <c r="L924" s="36" t="s">
        <v>263</v>
      </c>
      <c r="M924" s="37" t="s">
        <v>269</v>
      </c>
      <c r="N924" s="37" t="s">
        <v>270</v>
      </c>
      <c r="O924" s="27" t="s">
        <v>382</v>
      </c>
      <c r="P924" s="27"/>
      <c r="Q924" s="27" t="s">
        <v>1430</v>
      </c>
      <c r="R924" s="27"/>
      <c r="S924" s="1" t="s">
        <v>264</v>
      </c>
      <c r="T924" s="29" t="s">
        <v>265</v>
      </c>
      <c r="U924" s="30">
        <v>46218</v>
      </c>
      <c r="V924" s="27" t="s">
        <v>1464</v>
      </c>
      <c r="W924" s="27"/>
    </row>
    <row r="925" spans="1:23" ht="24" customHeight="1">
      <c r="A925" s="27" t="str">
        <f t="shared" ca="1" si="14"/>
        <v>EVT-2026-0923</v>
      </c>
      <c r="B925" s="27">
        <v>2026</v>
      </c>
      <c r="C925" s="27" t="s">
        <v>104</v>
      </c>
      <c r="D925" s="30">
        <v>46224</v>
      </c>
      <c r="E925" s="27" t="s">
        <v>227</v>
      </c>
      <c r="F925" s="27" t="s">
        <v>164</v>
      </c>
      <c r="G925" s="27" t="s">
        <v>262</v>
      </c>
      <c r="H925" s="27" t="s">
        <v>1465</v>
      </c>
      <c r="I925" s="27" t="s">
        <v>1466</v>
      </c>
      <c r="J925" s="27" t="s">
        <v>177</v>
      </c>
      <c r="K925" s="10">
        <v>4</v>
      </c>
      <c r="L925" s="36" t="s">
        <v>263</v>
      </c>
      <c r="M925" s="37" t="s">
        <v>506</v>
      </c>
      <c r="N925" s="37" t="s">
        <v>290</v>
      </c>
      <c r="O925" s="27"/>
      <c r="P925" s="27"/>
      <c r="Q925" s="27" t="s">
        <v>1467</v>
      </c>
      <c r="R925" s="27"/>
      <c r="S925" s="3" t="s">
        <v>312</v>
      </c>
      <c r="T925" s="29" t="s">
        <v>265</v>
      </c>
      <c r="U925" s="30">
        <v>46223</v>
      </c>
      <c r="V925" s="27" t="s">
        <v>1468</v>
      </c>
      <c r="W925" s="27"/>
    </row>
    <row r="926" spans="1:23" ht="24" customHeight="1">
      <c r="A926" s="27" t="str">
        <f t="shared" ca="1" si="14"/>
        <v>EVT-2026-0924</v>
      </c>
      <c r="B926" s="27">
        <v>2026</v>
      </c>
      <c r="C926" s="27" t="s">
        <v>104</v>
      </c>
      <c r="D926" s="30">
        <v>46224</v>
      </c>
      <c r="E926" s="27" t="s">
        <v>227</v>
      </c>
      <c r="F926" s="27" t="s">
        <v>164</v>
      </c>
      <c r="G926" s="27" t="s">
        <v>202</v>
      </c>
      <c r="H926" s="27" t="s">
        <v>1469</v>
      </c>
      <c r="I926" s="27" t="s">
        <v>1470</v>
      </c>
      <c r="J926" s="27" t="s">
        <v>177</v>
      </c>
      <c r="K926" s="10">
        <v>35</v>
      </c>
      <c r="L926" s="36" t="s">
        <v>263</v>
      </c>
      <c r="M926" s="37" t="s">
        <v>350</v>
      </c>
      <c r="N926" s="37" t="s">
        <v>359</v>
      </c>
      <c r="O926" s="27" t="s">
        <v>369</v>
      </c>
      <c r="P926" s="27" t="s">
        <v>1471</v>
      </c>
      <c r="Q926" s="27" t="s">
        <v>1472</v>
      </c>
      <c r="R926" s="27"/>
      <c r="S926" s="1" t="s">
        <v>264</v>
      </c>
      <c r="T926" s="29" t="s">
        <v>265</v>
      </c>
      <c r="U926" s="30">
        <v>46216</v>
      </c>
      <c r="V926" s="27" t="s">
        <v>1411</v>
      </c>
      <c r="W926" s="27"/>
    </row>
    <row r="927" spans="1:23" ht="24" customHeight="1">
      <c r="A927" s="27" t="str">
        <f t="shared" ca="1" si="14"/>
        <v>EVT-2026-0925</v>
      </c>
      <c r="B927" s="27">
        <v>2026</v>
      </c>
      <c r="C927" s="27" t="s">
        <v>104</v>
      </c>
      <c r="D927" s="30">
        <v>46225</v>
      </c>
      <c r="E927" s="27" t="s">
        <v>201</v>
      </c>
      <c r="F927" s="27" t="s">
        <v>164</v>
      </c>
      <c r="G927" s="27" t="s">
        <v>262</v>
      </c>
      <c r="H927" s="27" t="s">
        <v>171</v>
      </c>
      <c r="I927" s="27" t="s">
        <v>1470</v>
      </c>
      <c r="J927" s="27" t="s">
        <v>177</v>
      </c>
      <c r="K927" s="10">
        <v>35</v>
      </c>
      <c r="L927" s="36" t="s">
        <v>263</v>
      </c>
      <c r="M927" s="37" t="s">
        <v>275</v>
      </c>
      <c r="N927" s="37" t="s">
        <v>295</v>
      </c>
      <c r="O927" s="27" t="s">
        <v>369</v>
      </c>
      <c r="P927" s="27" t="s">
        <v>1457</v>
      </c>
      <c r="Q927" s="27" t="s">
        <v>1453</v>
      </c>
      <c r="R927" s="27"/>
      <c r="S927" s="1" t="s">
        <v>264</v>
      </c>
      <c r="T927" s="29" t="s">
        <v>265</v>
      </c>
      <c r="U927" s="30">
        <v>46216</v>
      </c>
      <c r="V927" s="27" t="s">
        <v>1237</v>
      </c>
      <c r="W927" s="27"/>
    </row>
    <row r="928" spans="1:23" ht="24" customHeight="1">
      <c r="A928" s="27" t="str">
        <f t="shared" ca="1" si="14"/>
        <v>EVT-2026-0926</v>
      </c>
      <c r="B928" s="27">
        <v>2026</v>
      </c>
      <c r="C928" s="27" t="s">
        <v>104</v>
      </c>
      <c r="D928" s="30">
        <v>46225</v>
      </c>
      <c r="E928" s="27" t="s">
        <v>201</v>
      </c>
      <c r="F928" s="27" t="s">
        <v>164</v>
      </c>
      <c r="G928" s="27" t="s">
        <v>262</v>
      </c>
      <c r="H928" s="27" t="s">
        <v>239</v>
      </c>
      <c r="I928" s="27" t="s">
        <v>1473</v>
      </c>
      <c r="J928" s="27" t="s">
        <v>127</v>
      </c>
      <c r="K928" s="10">
        <v>150</v>
      </c>
      <c r="L928" s="38" t="s">
        <v>294</v>
      </c>
      <c r="M928" s="37" t="s">
        <v>295</v>
      </c>
      <c r="N928" s="37" t="s">
        <v>296</v>
      </c>
      <c r="O928" s="27" t="s">
        <v>1449</v>
      </c>
      <c r="P928" s="27" t="s">
        <v>1457</v>
      </c>
      <c r="Q928" s="27" t="s">
        <v>1474</v>
      </c>
      <c r="R928" s="27"/>
      <c r="S928" s="1" t="s">
        <v>264</v>
      </c>
      <c r="T928" s="29" t="s">
        <v>265</v>
      </c>
      <c r="U928" s="30">
        <v>46220</v>
      </c>
      <c r="V928" s="27" t="s">
        <v>1411</v>
      </c>
      <c r="W928" s="27"/>
    </row>
    <row r="929" spans="1:23" ht="24" customHeight="1">
      <c r="A929" s="27" t="str">
        <f t="shared" ca="1" si="14"/>
        <v>EVT-2026-0927</v>
      </c>
      <c r="B929" s="27">
        <v>2026</v>
      </c>
      <c r="C929" s="27" t="s">
        <v>104</v>
      </c>
      <c r="D929" s="30">
        <v>46226</v>
      </c>
      <c r="E929" s="27" t="s">
        <v>216</v>
      </c>
      <c r="F929" s="27" t="s">
        <v>164</v>
      </c>
      <c r="G929" s="27" t="s">
        <v>228</v>
      </c>
      <c r="H929" s="27" t="s">
        <v>1475</v>
      </c>
      <c r="I929" s="27" t="s">
        <v>1476</v>
      </c>
      <c r="J929" s="27" t="s">
        <v>177</v>
      </c>
      <c r="K929" s="10">
        <v>1</v>
      </c>
      <c r="L929" s="36" t="s">
        <v>263</v>
      </c>
      <c r="M929" s="37" t="s">
        <v>269</v>
      </c>
      <c r="N929" s="37" t="s">
        <v>270</v>
      </c>
      <c r="O929" s="27" t="s">
        <v>382</v>
      </c>
      <c r="P929" s="27" t="s">
        <v>1477</v>
      </c>
      <c r="Q929" s="27" t="s">
        <v>1478</v>
      </c>
      <c r="R929" s="27"/>
      <c r="S929" s="1" t="s">
        <v>264</v>
      </c>
      <c r="T929" s="29" t="s">
        <v>265</v>
      </c>
      <c r="U929" s="30">
        <v>46224</v>
      </c>
      <c r="V929" s="27" t="s">
        <v>1412</v>
      </c>
      <c r="W929" s="27"/>
    </row>
    <row r="930" spans="1:23" ht="24" customHeight="1">
      <c r="A930" s="27" t="str">
        <f t="shared" ca="1" si="14"/>
        <v>EVT-2026-0928</v>
      </c>
      <c r="B930" s="27">
        <v>2026</v>
      </c>
      <c r="C930" s="27" t="s">
        <v>104</v>
      </c>
      <c r="D930" s="30">
        <v>46226</v>
      </c>
      <c r="E930" s="27" t="s">
        <v>216</v>
      </c>
      <c r="F930" s="27" t="s">
        <v>164</v>
      </c>
      <c r="G930" s="27" t="s">
        <v>228</v>
      </c>
      <c r="H930" s="27" t="s">
        <v>1479</v>
      </c>
      <c r="I930" s="27" t="s">
        <v>1480</v>
      </c>
      <c r="J930" s="27" t="s">
        <v>177</v>
      </c>
      <c r="K930" s="10">
        <v>2</v>
      </c>
      <c r="L930" s="36" t="s">
        <v>263</v>
      </c>
      <c r="M930" s="37" t="s">
        <v>315</v>
      </c>
      <c r="N930" s="37" t="s">
        <v>506</v>
      </c>
      <c r="O930" s="27" t="s">
        <v>1481</v>
      </c>
      <c r="P930" s="27" t="s">
        <v>1477</v>
      </c>
      <c r="Q930" s="27" t="s">
        <v>1420</v>
      </c>
      <c r="R930" s="27"/>
      <c r="S930" s="1" t="s">
        <v>264</v>
      </c>
      <c r="T930" s="29" t="s">
        <v>265</v>
      </c>
      <c r="U930" s="27" t="s">
        <v>1482</v>
      </c>
      <c r="V930" s="27" t="s">
        <v>1483</v>
      </c>
      <c r="W930" s="27"/>
    </row>
    <row r="931" spans="1:23" ht="24" customHeight="1">
      <c r="A931" s="27" t="str">
        <f t="shared" ca="1" si="14"/>
        <v>EVT-2026-0929</v>
      </c>
      <c r="B931" s="27">
        <v>2026</v>
      </c>
      <c r="C931" s="27" t="s">
        <v>104</v>
      </c>
      <c r="D931" s="30">
        <v>46226</v>
      </c>
      <c r="E931" s="27" t="s">
        <v>216</v>
      </c>
      <c r="F931" s="27" t="s">
        <v>164</v>
      </c>
      <c r="G931" s="27" t="s">
        <v>262</v>
      </c>
      <c r="H931" s="27" t="s">
        <v>171</v>
      </c>
      <c r="I931" s="27" t="s">
        <v>1484</v>
      </c>
      <c r="J931" s="27" t="s">
        <v>177</v>
      </c>
      <c r="K931" s="10">
        <v>25</v>
      </c>
      <c r="L931" s="36" t="s">
        <v>263</v>
      </c>
      <c r="M931" s="37" t="s">
        <v>315</v>
      </c>
      <c r="N931" s="37" t="s">
        <v>354</v>
      </c>
      <c r="O931" s="27"/>
      <c r="P931" s="27" t="s">
        <v>1485</v>
      </c>
      <c r="Q931" s="27" t="s">
        <v>1203</v>
      </c>
      <c r="R931" s="27"/>
      <c r="S931" s="1" t="s">
        <v>264</v>
      </c>
      <c r="T931" s="29" t="s">
        <v>265</v>
      </c>
      <c r="U931" s="27"/>
      <c r="V931" s="27" t="s">
        <v>1411</v>
      </c>
      <c r="W931" s="27"/>
    </row>
    <row r="932" spans="1:23" ht="24" customHeight="1">
      <c r="A932" s="27" t="str">
        <f t="shared" ca="1" si="14"/>
        <v>EVT-2026-0930</v>
      </c>
      <c r="B932" s="27">
        <v>2026</v>
      </c>
      <c r="C932" s="27" t="s">
        <v>104</v>
      </c>
      <c r="D932" s="30">
        <v>46226</v>
      </c>
      <c r="E932" s="27" t="s">
        <v>216</v>
      </c>
      <c r="F932" s="27" t="s">
        <v>164</v>
      </c>
      <c r="G932" s="27" t="s">
        <v>262</v>
      </c>
      <c r="H932" s="27" t="s">
        <v>1465</v>
      </c>
      <c r="I932" s="27" t="s">
        <v>1466</v>
      </c>
      <c r="J932" s="27" t="s">
        <v>177</v>
      </c>
      <c r="K932" s="10">
        <v>4</v>
      </c>
      <c r="L932" s="36" t="s">
        <v>263</v>
      </c>
      <c r="M932" s="37" t="s">
        <v>506</v>
      </c>
      <c r="N932" s="37" t="s">
        <v>290</v>
      </c>
      <c r="O932" s="27"/>
      <c r="P932" s="27"/>
      <c r="Q932" s="27" t="s">
        <v>1467</v>
      </c>
      <c r="R932" s="27"/>
      <c r="S932" s="1" t="s">
        <v>264</v>
      </c>
      <c r="T932" s="29" t="s">
        <v>265</v>
      </c>
      <c r="U932" s="30">
        <v>46223</v>
      </c>
      <c r="V932" s="27" t="s">
        <v>1486</v>
      </c>
      <c r="W932" s="27"/>
    </row>
    <row r="933" spans="1:23" ht="24" customHeight="1">
      <c r="A933" s="27" t="str">
        <f t="shared" ca="1" si="14"/>
        <v>EVT-2026-0931</v>
      </c>
      <c r="B933" s="27">
        <v>2026</v>
      </c>
      <c r="C933" s="27" t="s">
        <v>104</v>
      </c>
      <c r="D933" s="30">
        <v>46226</v>
      </c>
      <c r="E933" s="27" t="s">
        <v>216</v>
      </c>
      <c r="F933" s="27" t="s">
        <v>164</v>
      </c>
      <c r="G933" s="27" t="s">
        <v>262</v>
      </c>
      <c r="H933" s="27" t="s">
        <v>171</v>
      </c>
      <c r="I933" s="27" t="s">
        <v>334</v>
      </c>
      <c r="J933" s="27" t="s">
        <v>127</v>
      </c>
      <c r="K933" s="10">
        <v>60</v>
      </c>
      <c r="L933" s="36" t="s">
        <v>263</v>
      </c>
      <c r="M933" s="37" t="s">
        <v>309</v>
      </c>
      <c r="N933" s="37" t="s">
        <v>359</v>
      </c>
      <c r="O933" s="27" t="s">
        <v>382</v>
      </c>
      <c r="P933" s="27" t="s">
        <v>1487</v>
      </c>
      <c r="Q933" s="27" t="s">
        <v>335</v>
      </c>
      <c r="R933" s="27"/>
      <c r="S933" s="1" t="s">
        <v>264</v>
      </c>
      <c r="T933" s="29" t="s">
        <v>265</v>
      </c>
      <c r="U933" s="30">
        <v>46225</v>
      </c>
      <c r="V933" s="27" t="s">
        <v>1411</v>
      </c>
      <c r="W933" s="27"/>
    </row>
    <row r="934" spans="1:23" ht="24" customHeight="1">
      <c r="A934" s="27" t="str">
        <f t="shared" ca="1" si="14"/>
        <v>EVT-2026-0932</v>
      </c>
      <c r="B934" s="27">
        <v>2026</v>
      </c>
      <c r="C934" s="27" t="s">
        <v>104</v>
      </c>
      <c r="D934" s="30">
        <v>46227</v>
      </c>
      <c r="E934" s="27" t="s">
        <v>220</v>
      </c>
      <c r="F934" s="27" t="s">
        <v>164</v>
      </c>
      <c r="G934" s="27" t="s">
        <v>208</v>
      </c>
      <c r="H934" s="27" t="s">
        <v>1488</v>
      </c>
      <c r="I934" s="27" t="s">
        <v>1489</v>
      </c>
      <c r="J934" s="27" t="s">
        <v>177</v>
      </c>
      <c r="K934" s="10">
        <v>2</v>
      </c>
      <c r="L934" s="36" t="s">
        <v>263</v>
      </c>
      <c r="M934" s="37" t="s">
        <v>269</v>
      </c>
      <c r="N934" s="37" t="s">
        <v>270</v>
      </c>
      <c r="O934" s="27" t="s">
        <v>1490</v>
      </c>
      <c r="P934" s="27" t="s">
        <v>1477</v>
      </c>
      <c r="Q934" s="27" t="s">
        <v>1491</v>
      </c>
      <c r="R934" s="27"/>
      <c r="S934" s="1" t="s">
        <v>264</v>
      </c>
      <c r="T934" s="29" t="s">
        <v>265</v>
      </c>
      <c r="U934" s="27" t="s">
        <v>1492</v>
      </c>
      <c r="V934" s="27" t="s">
        <v>1411</v>
      </c>
      <c r="W934" s="27"/>
    </row>
    <row r="935" spans="1:23" ht="24" customHeight="1">
      <c r="A935" s="27" t="str">
        <f t="shared" ca="1" si="14"/>
        <v>EVT-2026-0933</v>
      </c>
      <c r="B935" s="27">
        <v>2026</v>
      </c>
      <c r="C935" s="27" t="s">
        <v>104</v>
      </c>
      <c r="D935" s="27"/>
      <c r="E935" s="27"/>
      <c r="F935" s="27" t="s">
        <v>164</v>
      </c>
      <c r="G935" s="27" t="s">
        <v>262</v>
      </c>
      <c r="H935" s="27"/>
      <c r="I935" s="27"/>
      <c r="J935" s="27" t="s">
        <v>177</v>
      </c>
      <c r="K935" s="10">
        <v>0</v>
      </c>
      <c r="L935" s="36" t="s">
        <v>263</v>
      </c>
      <c r="M935" s="37"/>
      <c r="N935" s="37"/>
      <c r="O935" s="27"/>
      <c r="P935" s="27"/>
      <c r="Q935" s="27"/>
      <c r="R935" s="27"/>
      <c r="S935" s="1" t="s">
        <v>264</v>
      </c>
      <c r="T935" s="29" t="s">
        <v>265</v>
      </c>
      <c r="U935" s="27"/>
      <c r="V935" s="27"/>
      <c r="W935" s="27"/>
    </row>
    <row r="936" spans="1:23" ht="24" customHeight="1">
      <c r="A936" s="27" t="str">
        <f t="shared" ca="1" si="14"/>
        <v>EVT-2026-0934</v>
      </c>
      <c r="B936" s="27">
        <v>2026</v>
      </c>
      <c r="C936" s="27" t="s">
        <v>104</v>
      </c>
      <c r="D936" s="30">
        <v>46228</v>
      </c>
      <c r="E936" s="27" t="s">
        <v>266</v>
      </c>
      <c r="F936" s="27" t="s">
        <v>164</v>
      </c>
      <c r="G936" s="27" t="s">
        <v>262</v>
      </c>
      <c r="H936" s="27"/>
      <c r="I936" s="27"/>
      <c r="J936" s="27" t="s">
        <v>177</v>
      </c>
      <c r="K936" s="10">
        <v>0</v>
      </c>
      <c r="L936" s="36" t="s">
        <v>263</v>
      </c>
      <c r="M936" s="37"/>
      <c r="N936" s="37"/>
      <c r="O936" s="27"/>
      <c r="P936" s="27"/>
      <c r="Q936" s="27"/>
      <c r="R936" s="27"/>
      <c r="S936" s="1" t="s">
        <v>264</v>
      </c>
      <c r="T936" s="29" t="s">
        <v>265</v>
      </c>
      <c r="U936" s="27"/>
      <c r="V936" s="27"/>
      <c r="W936" s="27"/>
    </row>
    <row r="937" spans="1:23" ht="24" customHeight="1">
      <c r="A937" s="27" t="str">
        <f t="shared" ca="1" si="14"/>
        <v>EVT-2026-0935</v>
      </c>
      <c r="B937" s="27">
        <v>2026</v>
      </c>
      <c r="C937" s="27" t="s">
        <v>104</v>
      </c>
      <c r="D937" s="30">
        <v>46229</v>
      </c>
      <c r="E937" s="27" t="s">
        <v>267</v>
      </c>
      <c r="F937" s="27" t="s">
        <v>164</v>
      </c>
      <c r="G937" s="27" t="s">
        <v>262</v>
      </c>
      <c r="H937" s="27"/>
      <c r="I937" s="27"/>
      <c r="J937" s="27" t="s">
        <v>177</v>
      </c>
      <c r="K937" s="10">
        <v>0</v>
      </c>
      <c r="L937" s="36" t="s">
        <v>263</v>
      </c>
      <c r="M937" s="37"/>
      <c r="N937" s="37"/>
      <c r="O937" s="27"/>
      <c r="P937" s="27"/>
      <c r="Q937" s="27"/>
      <c r="R937" s="27"/>
      <c r="S937" s="1" t="s">
        <v>264</v>
      </c>
      <c r="T937" s="29" t="s">
        <v>265</v>
      </c>
      <c r="U937" s="27"/>
      <c r="V937" s="27"/>
      <c r="W937" s="27"/>
    </row>
    <row r="938" spans="1:23" ht="24" customHeight="1">
      <c r="A938" s="27" t="str">
        <f t="shared" ca="1" si="14"/>
        <v>EVT-2026-0936</v>
      </c>
      <c r="B938" s="27">
        <v>2026</v>
      </c>
      <c r="C938" s="27" t="s">
        <v>104</v>
      </c>
      <c r="D938" s="30">
        <v>46230</v>
      </c>
      <c r="E938" s="27" t="s">
        <v>224</v>
      </c>
      <c r="F938" s="27" t="s">
        <v>164</v>
      </c>
      <c r="G938" s="27" t="s">
        <v>262</v>
      </c>
      <c r="H938" s="27" t="s">
        <v>292</v>
      </c>
      <c r="I938" s="27" t="s">
        <v>1493</v>
      </c>
      <c r="J938" s="27" t="s">
        <v>152</v>
      </c>
      <c r="K938" s="10">
        <v>100</v>
      </c>
      <c r="L938" s="38" t="s">
        <v>294</v>
      </c>
      <c r="M938" s="37" t="s">
        <v>295</v>
      </c>
      <c r="N938" s="37" t="s">
        <v>296</v>
      </c>
      <c r="O938" s="27" t="s">
        <v>1494</v>
      </c>
      <c r="P938" s="27" t="s">
        <v>1457</v>
      </c>
      <c r="Q938" s="27" t="s">
        <v>1495</v>
      </c>
      <c r="R938" s="27"/>
      <c r="S938" s="1" t="s">
        <v>264</v>
      </c>
      <c r="T938" s="29" t="s">
        <v>265</v>
      </c>
      <c r="U938" s="30">
        <v>46223</v>
      </c>
      <c r="V938" s="27" t="s">
        <v>1496</v>
      </c>
      <c r="W938" s="27" t="s">
        <v>1497</v>
      </c>
    </row>
    <row r="939" spans="1:23" ht="24" customHeight="1">
      <c r="A939" s="27" t="str">
        <f t="shared" ca="1" si="14"/>
        <v>EVT-2026-0937</v>
      </c>
      <c r="B939" s="27">
        <v>2026</v>
      </c>
      <c r="C939" s="27" t="s">
        <v>104</v>
      </c>
      <c r="D939" s="30">
        <v>46230</v>
      </c>
      <c r="E939" s="27" t="s">
        <v>224</v>
      </c>
      <c r="F939" s="27" t="s">
        <v>164</v>
      </c>
      <c r="G939" s="27" t="s">
        <v>202</v>
      </c>
      <c r="H939" s="27" t="s">
        <v>1186</v>
      </c>
      <c r="I939" s="27" t="s">
        <v>1187</v>
      </c>
      <c r="J939" s="27" t="s">
        <v>139</v>
      </c>
      <c r="K939" s="10">
        <v>45</v>
      </c>
      <c r="L939" s="36" t="s">
        <v>263</v>
      </c>
      <c r="M939" s="37" t="s">
        <v>269</v>
      </c>
      <c r="N939" s="37" t="s">
        <v>270</v>
      </c>
      <c r="O939" s="27" t="s">
        <v>610</v>
      </c>
      <c r="P939" s="27" t="s">
        <v>369</v>
      </c>
      <c r="Q939" s="27" t="s">
        <v>1498</v>
      </c>
      <c r="R939" s="27"/>
      <c r="S939" s="1" t="s">
        <v>264</v>
      </c>
      <c r="T939" s="29" t="s">
        <v>265</v>
      </c>
      <c r="U939" s="30">
        <v>46197</v>
      </c>
      <c r="V939" s="27" t="s">
        <v>1499</v>
      </c>
      <c r="W939" s="27"/>
    </row>
    <row r="940" spans="1:23" ht="24" customHeight="1">
      <c r="A940" s="27" t="str">
        <f t="shared" ca="1" si="14"/>
        <v>EVT-2026-0938</v>
      </c>
      <c r="B940" s="27">
        <v>2026</v>
      </c>
      <c r="C940" s="27" t="s">
        <v>104</v>
      </c>
      <c r="D940" s="30">
        <v>46230</v>
      </c>
      <c r="E940" s="27" t="s">
        <v>224</v>
      </c>
      <c r="F940" s="27" t="s">
        <v>164</v>
      </c>
      <c r="G940" s="27" t="s">
        <v>228</v>
      </c>
      <c r="H940" s="27" t="s">
        <v>1500</v>
      </c>
      <c r="I940" s="27" t="s">
        <v>1246</v>
      </c>
      <c r="J940" s="27" t="s">
        <v>152</v>
      </c>
      <c r="K940" s="10">
        <v>1</v>
      </c>
      <c r="L940" s="36" t="s">
        <v>263</v>
      </c>
      <c r="M940" s="37" t="s">
        <v>269</v>
      </c>
      <c r="N940" s="37" t="s">
        <v>270</v>
      </c>
      <c r="O940" s="27" t="s">
        <v>382</v>
      </c>
      <c r="P940" s="27" t="s">
        <v>1477</v>
      </c>
      <c r="Q940" s="27" t="s">
        <v>1478</v>
      </c>
      <c r="R940" s="27"/>
      <c r="S940" s="1" t="s">
        <v>264</v>
      </c>
      <c r="T940" s="29" t="s">
        <v>265</v>
      </c>
      <c r="U940" s="30">
        <v>46224</v>
      </c>
      <c r="V940" s="27" t="s">
        <v>1411</v>
      </c>
      <c r="W940" s="27"/>
    </row>
    <row r="941" spans="1:23" ht="24" customHeight="1">
      <c r="A941" s="27" t="str">
        <f t="shared" ca="1" si="14"/>
        <v>EVT-2026-0939</v>
      </c>
      <c r="B941" s="27">
        <v>2026</v>
      </c>
      <c r="C941" s="27" t="s">
        <v>104</v>
      </c>
      <c r="D941" s="30">
        <v>46231</v>
      </c>
      <c r="E941" s="27" t="s">
        <v>227</v>
      </c>
      <c r="F941" s="27" t="s">
        <v>164</v>
      </c>
      <c r="G941" s="27" t="s">
        <v>262</v>
      </c>
      <c r="H941" s="27" t="s">
        <v>292</v>
      </c>
      <c r="I941" s="27" t="s">
        <v>1501</v>
      </c>
      <c r="J941" s="27" t="s">
        <v>177</v>
      </c>
      <c r="K941" s="10">
        <v>0</v>
      </c>
      <c r="L941" s="36" t="s">
        <v>263</v>
      </c>
      <c r="M941" s="37" t="s">
        <v>295</v>
      </c>
      <c r="N941" s="37" t="s">
        <v>296</v>
      </c>
      <c r="O941" s="27" t="s">
        <v>1445</v>
      </c>
      <c r="P941" s="27" t="s">
        <v>1445</v>
      </c>
      <c r="Q941" s="27" t="s">
        <v>1502</v>
      </c>
      <c r="R941" s="27"/>
      <c r="S941" s="1" t="s">
        <v>264</v>
      </c>
      <c r="T941" s="29" t="s">
        <v>265</v>
      </c>
      <c r="U941" s="30">
        <v>46197</v>
      </c>
      <c r="V941" s="27" t="s">
        <v>1411</v>
      </c>
      <c r="W941" s="27"/>
    </row>
    <row r="942" spans="1:23" ht="24" customHeight="1">
      <c r="A942" s="27" t="str">
        <f t="shared" ca="1" si="14"/>
        <v>EVT-2026-0940</v>
      </c>
      <c r="B942" s="27">
        <v>2026</v>
      </c>
      <c r="C942" s="27" t="s">
        <v>104</v>
      </c>
      <c r="D942" s="30">
        <v>46231</v>
      </c>
      <c r="E942" s="27" t="s">
        <v>227</v>
      </c>
      <c r="F942" s="27" t="s">
        <v>164</v>
      </c>
      <c r="G942" s="27" t="s">
        <v>228</v>
      </c>
      <c r="H942" s="27" t="s">
        <v>1503</v>
      </c>
      <c r="I942" s="27" t="s">
        <v>1504</v>
      </c>
      <c r="J942" s="27" t="s">
        <v>177</v>
      </c>
      <c r="K942" s="10">
        <v>2</v>
      </c>
      <c r="L942" s="36" t="s">
        <v>263</v>
      </c>
      <c r="M942" s="37" t="s">
        <v>269</v>
      </c>
      <c r="N942" s="37" t="s">
        <v>270</v>
      </c>
      <c r="O942" s="27" t="s">
        <v>382</v>
      </c>
      <c r="P942" s="27" t="s">
        <v>1477</v>
      </c>
      <c r="Q942" s="27" t="s">
        <v>1420</v>
      </c>
      <c r="R942" s="27"/>
      <c r="S942" s="1" t="s">
        <v>264</v>
      </c>
      <c r="T942" s="29" t="s">
        <v>265</v>
      </c>
      <c r="U942" s="27" t="s">
        <v>1482</v>
      </c>
      <c r="V942" s="27" t="s">
        <v>1411</v>
      </c>
      <c r="W942" s="27"/>
    </row>
    <row r="943" spans="1:23" ht="24" customHeight="1">
      <c r="A943" s="27" t="str">
        <f t="shared" ca="1" si="14"/>
        <v>EVT-2026-0941</v>
      </c>
      <c r="B943" s="27">
        <v>2026</v>
      </c>
      <c r="C943" s="27" t="s">
        <v>104</v>
      </c>
      <c r="D943" s="30">
        <v>46232</v>
      </c>
      <c r="E943" s="27" t="s">
        <v>201</v>
      </c>
      <c r="F943" s="27" t="s">
        <v>164</v>
      </c>
      <c r="G943" s="27" t="s">
        <v>262</v>
      </c>
      <c r="H943" s="27" t="s">
        <v>171</v>
      </c>
      <c r="I943" s="27" t="s">
        <v>1505</v>
      </c>
      <c r="J943" s="27" t="s">
        <v>152</v>
      </c>
      <c r="K943" s="10">
        <v>30</v>
      </c>
      <c r="L943" s="36" t="s">
        <v>263</v>
      </c>
      <c r="M943" s="37" t="s">
        <v>309</v>
      </c>
      <c r="N943" s="37" t="s">
        <v>296</v>
      </c>
      <c r="O943" s="27" t="s">
        <v>610</v>
      </c>
      <c r="P943" s="27" t="s">
        <v>922</v>
      </c>
      <c r="Q943" s="27" t="s">
        <v>378</v>
      </c>
      <c r="R943" s="27"/>
      <c r="S943" s="1" t="s">
        <v>264</v>
      </c>
      <c r="T943" s="29" t="s">
        <v>265</v>
      </c>
      <c r="U943" s="27"/>
      <c r="V943" s="27" t="s">
        <v>1506</v>
      </c>
      <c r="W943" s="27"/>
    </row>
    <row r="944" spans="1:23" ht="24" customHeight="1">
      <c r="A944" s="27" t="str">
        <f t="shared" ca="1" si="14"/>
        <v>EVT-2026-0942</v>
      </c>
      <c r="B944" s="27">
        <v>2026</v>
      </c>
      <c r="C944" s="27" t="s">
        <v>104</v>
      </c>
      <c r="D944" s="30">
        <v>46232</v>
      </c>
      <c r="E944" s="27" t="s">
        <v>201</v>
      </c>
      <c r="F944" s="27" t="s">
        <v>164</v>
      </c>
      <c r="G944" s="27" t="s">
        <v>262</v>
      </c>
      <c r="H944" s="27" t="s">
        <v>171</v>
      </c>
      <c r="I944" s="27" t="s">
        <v>335</v>
      </c>
      <c r="J944" s="27" t="s">
        <v>177</v>
      </c>
      <c r="K944" s="10">
        <v>60</v>
      </c>
      <c r="L944" s="36" t="s">
        <v>263</v>
      </c>
      <c r="M944" s="37" t="s">
        <v>330</v>
      </c>
      <c r="N944" s="37" t="s">
        <v>354</v>
      </c>
      <c r="O944" s="27"/>
      <c r="P944" s="27" t="s">
        <v>1313</v>
      </c>
      <c r="Q944" s="27" t="s">
        <v>335</v>
      </c>
      <c r="R944" s="27"/>
      <c r="S944" s="3" t="s">
        <v>312</v>
      </c>
      <c r="T944" s="29" t="s">
        <v>265</v>
      </c>
      <c r="U944" s="27"/>
      <c r="V944" s="27" t="s">
        <v>298</v>
      </c>
      <c r="W944" s="27"/>
    </row>
    <row r="945" spans="1:23" ht="24" customHeight="1">
      <c r="A945" s="27" t="str">
        <f t="shared" ca="1" si="14"/>
        <v>EVT-2026-0943</v>
      </c>
      <c r="B945" s="27">
        <v>2026</v>
      </c>
      <c r="C945" s="27" t="s">
        <v>104</v>
      </c>
      <c r="D945" s="30">
        <v>46233</v>
      </c>
      <c r="E945" s="27" t="s">
        <v>216</v>
      </c>
      <c r="F945" s="27" t="s">
        <v>164</v>
      </c>
      <c r="G945" s="27" t="s">
        <v>262</v>
      </c>
      <c r="H945" s="27"/>
      <c r="I945" s="27"/>
      <c r="J945" s="27" t="s">
        <v>177</v>
      </c>
      <c r="K945" s="10">
        <v>0</v>
      </c>
      <c r="L945" s="36" t="s">
        <v>263</v>
      </c>
      <c r="M945" s="37"/>
      <c r="N945" s="37"/>
      <c r="O945" s="27"/>
      <c r="P945" s="27"/>
      <c r="Q945" s="27"/>
      <c r="R945" s="27"/>
      <c r="S945" s="1" t="s">
        <v>264</v>
      </c>
      <c r="T945" s="29" t="s">
        <v>265</v>
      </c>
      <c r="U945" s="27"/>
      <c r="V945" s="27"/>
      <c r="W945" s="27"/>
    </row>
    <row r="946" spans="1:23" ht="24" customHeight="1">
      <c r="A946" s="27" t="str">
        <f t="shared" ca="1" si="14"/>
        <v>EVT-2026-0944</v>
      </c>
      <c r="B946" s="27">
        <v>2026</v>
      </c>
      <c r="C946" s="27" t="s">
        <v>104</v>
      </c>
      <c r="D946" s="30">
        <v>46234</v>
      </c>
      <c r="E946" s="27" t="s">
        <v>220</v>
      </c>
      <c r="F946" s="27" t="s">
        <v>164</v>
      </c>
      <c r="G946" s="27" t="s">
        <v>262</v>
      </c>
      <c r="H946" s="27" t="s">
        <v>171</v>
      </c>
      <c r="I946" s="27" t="s">
        <v>1507</v>
      </c>
      <c r="J946" s="27" t="s">
        <v>127</v>
      </c>
      <c r="K946" s="10">
        <v>70</v>
      </c>
      <c r="L946" s="36" t="s">
        <v>263</v>
      </c>
      <c r="M946" s="37" t="s">
        <v>274</v>
      </c>
      <c r="N946" s="37" t="s">
        <v>350</v>
      </c>
      <c r="O946" s="27" t="s">
        <v>1508</v>
      </c>
      <c r="P946" s="27" t="s">
        <v>382</v>
      </c>
      <c r="Q946" s="27" t="s">
        <v>719</v>
      </c>
      <c r="R946" s="27"/>
      <c r="S946" s="1" t="s">
        <v>264</v>
      </c>
      <c r="T946" s="29" t="s">
        <v>265</v>
      </c>
      <c r="U946" s="30">
        <v>46100</v>
      </c>
      <c r="V946" s="27" t="s">
        <v>1509</v>
      </c>
      <c r="W946" s="27" t="s">
        <v>1497</v>
      </c>
    </row>
    <row r="947" spans="1:23" ht="24" customHeight="1">
      <c r="A947" s="27" t="str">
        <f t="shared" ca="1" si="14"/>
        <v>EVT-2026-0945</v>
      </c>
      <c r="B947" s="27">
        <v>2026</v>
      </c>
      <c r="C947" s="27" t="s">
        <v>104</v>
      </c>
      <c r="D947" s="30">
        <v>46204</v>
      </c>
      <c r="E947" s="27" t="s">
        <v>201</v>
      </c>
      <c r="F947" s="27" t="s">
        <v>126</v>
      </c>
      <c r="G947" s="27" t="s">
        <v>208</v>
      </c>
      <c r="H947" s="27" t="s">
        <v>1366</v>
      </c>
      <c r="I947" s="27" t="s">
        <v>217</v>
      </c>
      <c r="J947" s="27" t="s">
        <v>145</v>
      </c>
      <c r="K947" s="10">
        <v>50</v>
      </c>
      <c r="L947" s="36" t="s">
        <v>263</v>
      </c>
      <c r="M947" s="37" t="s">
        <v>309</v>
      </c>
      <c r="N947" s="37" t="s">
        <v>296</v>
      </c>
      <c r="O947" s="27" t="s">
        <v>1445</v>
      </c>
      <c r="P947" s="27"/>
      <c r="Q947" s="27" t="s">
        <v>1510</v>
      </c>
      <c r="R947" s="27" t="s">
        <v>1511</v>
      </c>
      <c r="S947" s="1" t="s">
        <v>264</v>
      </c>
      <c r="T947" s="29" t="s">
        <v>265</v>
      </c>
      <c r="U947" s="27"/>
      <c r="V947" s="27" t="s">
        <v>298</v>
      </c>
      <c r="W947" s="27"/>
    </row>
    <row r="948" spans="1:23" ht="24" customHeight="1">
      <c r="A948" s="27" t="str">
        <f t="shared" ca="1" si="14"/>
        <v>EVT-2026-0946</v>
      </c>
      <c r="B948" s="27">
        <v>2026</v>
      </c>
      <c r="C948" s="27" t="s">
        <v>104</v>
      </c>
      <c r="D948" s="30">
        <v>46204</v>
      </c>
      <c r="E948" s="27" t="s">
        <v>201</v>
      </c>
      <c r="F948" s="27" t="s">
        <v>126</v>
      </c>
      <c r="G948" s="27" t="s">
        <v>228</v>
      </c>
      <c r="H948" s="27" t="s">
        <v>1512</v>
      </c>
      <c r="I948" s="27" t="s">
        <v>1389</v>
      </c>
      <c r="J948" s="27" t="s">
        <v>152</v>
      </c>
      <c r="K948" s="10">
        <v>35</v>
      </c>
      <c r="L948" s="36" t="s">
        <v>263</v>
      </c>
      <c r="M948" s="37" t="s">
        <v>506</v>
      </c>
      <c r="N948" s="37" t="s">
        <v>275</v>
      </c>
      <c r="O948" s="27"/>
      <c r="P948" s="27"/>
      <c r="Q948" s="27" t="s">
        <v>785</v>
      </c>
      <c r="R948" s="27" t="s">
        <v>1513</v>
      </c>
      <c r="S948" s="1" t="s">
        <v>264</v>
      </c>
      <c r="T948" s="29" t="s">
        <v>265</v>
      </c>
      <c r="U948" s="27"/>
      <c r="V948" s="27" t="s">
        <v>1514</v>
      </c>
      <c r="W948" s="27"/>
    </row>
    <row r="949" spans="1:23" ht="24" customHeight="1">
      <c r="A949" s="27" t="str">
        <f t="shared" ca="1" si="14"/>
        <v>EVT-2026-0947</v>
      </c>
      <c r="B949" s="27">
        <v>2026</v>
      </c>
      <c r="C949" s="27" t="s">
        <v>104</v>
      </c>
      <c r="D949" s="30">
        <v>46204</v>
      </c>
      <c r="E949" s="27" t="s">
        <v>201</v>
      </c>
      <c r="F949" s="27" t="s">
        <v>126</v>
      </c>
      <c r="G949" s="27" t="s">
        <v>202</v>
      </c>
      <c r="H949" s="27" t="s">
        <v>736</v>
      </c>
      <c r="I949" s="27" t="s">
        <v>1515</v>
      </c>
      <c r="J949" s="27" t="s">
        <v>158</v>
      </c>
      <c r="K949" s="10">
        <v>60</v>
      </c>
      <c r="L949" s="36" t="s">
        <v>263</v>
      </c>
      <c r="M949" s="37" t="s">
        <v>295</v>
      </c>
      <c r="N949" s="37" t="s">
        <v>296</v>
      </c>
      <c r="O949" s="27"/>
      <c r="P949" s="27"/>
      <c r="Q949" s="27" t="s">
        <v>1516</v>
      </c>
      <c r="R949" s="27" t="s">
        <v>1517</v>
      </c>
      <c r="S949" s="1" t="s">
        <v>264</v>
      </c>
      <c r="T949" s="29" t="s">
        <v>265</v>
      </c>
      <c r="U949" s="27"/>
      <c r="V949" s="27" t="s">
        <v>1177</v>
      </c>
      <c r="W949" s="27"/>
    </row>
    <row r="950" spans="1:23" ht="24" customHeight="1">
      <c r="A950" s="27" t="str">
        <f t="shared" ca="1" si="14"/>
        <v>EVT-2026-0948</v>
      </c>
      <c r="B950" s="27">
        <v>2026</v>
      </c>
      <c r="C950" s="27" t="s">
        <v>104</v>
      </c>
      <c r="D950" s="30">
        <v>46204</v>
      </c>
      <c r="E950" s="27" t="s">
        <v>201</v>
      </c>
      <c r="F950" s="27" t="s">
        <v>126</v>
      </c>
      <c r="G950" s="27" t="s">
        <v>202</v>
      </c>
      <c r="H950" s="27" t="s">
        <v>1366</v>
      </c>
      <c r="I950" s="27" t="s">
        <v>1293</v>
      </c>
      <c r="J950" s="27" t="s">
        <v>158</v>
      </c>
      <c r="K950" s="10">
        <v>100</v>
      </c>
      <c r="L950" s="38" t="s">
        <v>294</v>
      </c>
      <c r="M950" s="37" t="s">
        <v>359</v>
      </c>
      <c r="N950" s="37" t="s">
        <v>290</v>
      </c>
      <c r="O950" s="27"/>
      <c r="P950" s="27"/>
      <c r="Q950" s="27" t="s">
        <v>1015</v>
      </c>
      <c r="R950" s="27" t="s">
        <v>1518</v>
      </c>
      <c r="S950" s="3" t="s">
        <v>312</v>
      </c>
      <c r="T950" s="29" t="s">
        <v>265</v>
      </c>
      <c r="U950" s="27"/>
      <c r="V950" s="27" t="s">
        <v>1519</v>
      </c>
      <c r="W950" s="27"/>
    </row>
    <row r="951" spans="1:23" ht="24" customHeight="1">
      <c r="A951" s="27" t="str">
        <f t="shared" ca="1" si="14"/>
        <v>EVT-2026-0949</v>
      </c>
      <c r="B951" s="27">
        <v>2026</v>
      </c>
      <c r="C951" s="27" t="s">
        <v>104</v>
      </c>
      <c r="D951" s="30">
        <v>46205</v>
      </c>
      <c r="E951" s="27" t="s">
        <v>216</v>
      </c>
      <c r="F951" s="27" t="s">
        <v>126</v>
      </c>
      <c r="G951" s="27" t="s">
        <v>208</v>
      </c>
      <c r="H951" s="27" t="s">
        <v>1366</v>
      </c>
      <c r="I951" s="27" t="s">
        <v>217</v>
      </c>
      <c r="J951" s="27" t="s">
        <v>145</v>
      </c>
      <c r="K951" s="10">
        <v>50</v>
      </c>
      <c r="L951" s="36" t="s">
        <v>263</v>
      </c>
      <c r="M951" s="37" t="s">
        <v>309</v>
      </c>
      <c r="N951" s="37" t="s">
        <v>296</v>
      </c>
      <c r="O951" s="27"/>
      <c r="P951" s="27"/>
      <c r="Q951" s="27" t="s">
        <v>1510</v>
      </c>
      <c r="R951" s="27" t="s">
        <v>1511</v>
      </c>
      <c r="S951" s="3" t="s">
        <v>312</v>
      </c>
      <c r="T951" s="29" t="s">
        <v>265</v>
      </c>
      <c r="U951" s="27"/>
      <c r="V951" s="27" t="s">
        <v>298</v>
      </c>
      <c r="W951" s="27"/>
    </row>
    <row r="952" spans="1:23" ht="24" customHeight="1">
      <c r="A952" s="27" t="str">
        <f t="shared" ca="1" si="14"/>
        <v>EVT-2026-0950</v>
      </c>
      <c r="B952" s="27">
        <v>2026</v>
      </c>
      <c r="C952" s="27" t="s">
        <v>104</v>
      </c>
      <c r="D952" s="30">
        <v>46206</v>
      </c>
      <c r="E952" s="27" t="s">
        <v>220</v>
      </c>
      <c r="F952" s="27" t="s">
        <v>126</v>
      </c>
      <c r="G952" s="27" t="s">
        <v>228</v>
      </c>
      <c r="H952" s="27" t="s">
        <v>125</v>
      </c>
      <c r="I952" s="27" t="s">
        <v>353</v>
      </c>
      <c r="J952" s="27" t="s">
        <v>127</v>
      </c>
      <c r="K952" s="10">
        <v>35</v>
      </c>
      <c r="L952" s="36" t="s">
        <v>263</v>
      </c>
      <c r="M952" s="37" t="s">
        <v>350</v>
      </c>
      <c r="N952" s="37" t="s">
        <v>289</v>
      </c>
      <c r="O952" s="27"/>
      <c r="P952" s="27"/>
      <c r="Q952" s="27" t="s">
        <v>425</v>
      </c>
      <c r="R952" s="27" t="s">
        <v>1520</v>
      </c>
      <c r="S952" s="1" t="s">
        <v>264</v>
      </c>
      <c r="T952" s="29" t="s">
        <v>265</v>
      </c>
      <c r="U952" s="27"/>
      <c r="V952" s="27" t="s">
        <v>1313</v>
      </c>
      <c r="W952" s="27"/>
    </row>
    <row r="953" spans="1:23" ht="24" customHeight="1">
      <c r="A953" s="27" t="str">
        <f t="shared" ca="1" si="14"/>
        <v>EVT-2026-0951</v>
      </c>
      <c r="B953" s="27">
        <v>2026</v>
      </c>
      <c r="C953" s="27" t="s">
        <v>104</v>
      </c>
      <c r="D953" s="30">
        <v>46206</v>
      </c>
      <c r="E953" s="27" t="s">
        <v>220</v>
      </c>
      <c r="F953" s="27" t="s">
        <v>126</v>
      </c>
      <c r="G953" s="27" t="s">
        <v>202</v>
      </c>
      <c r="H953" s="27" t="s">
        <v>736</v>
      </c>
      <c r="I953" s="27" t="s">
        <v>1521</v>
      </c>
      <c r="J953" s="27" t="s">
        <v>158</v>
      </c>
      <c r="K953" s="10">
        <v>75</v>
      </c>
      <c r="L953" s="36" t="s">
        <v>263</v>
      </c>
      <c r="M953" s="37" t="s">
        <v>350</v>
      </c>
      <c r="N953" s="37" t="s">
        <v>289</v>
      </c>
      <c r="O953" s="27"/>
      <c r="P953" s="27"/>
      <c r="Q953" s="27" t="s">
        <v>1343</v>
      </c>
      <c r="R953" s="27" t="s">
        <v>1522</v>
      </c>
      <c r="S953" s="1" t="s">
        <v>264</v>
      </c>
      <c r="T953" s="29" t="s">
        <v>265</v>
      </c>
      <c r="U953" s="27"/>
      <c r="V953" s="27" t="s">
        <v>1313</v>
      </c>
      <c r="W953" s="27"/>
    </row>
    <row r="954" spans="1:23" ht="24" customHeight="1">
      <c r="A954" s="27" t="str">
        <f t="shared" ca="1" si="14"/>
        <v>EVT-2026-0952</v>
      </c>
      <c r="B954" s="27">
        <v>2026</v>
      </c>
      <c r="C954" s="27" t="s">
        <v>104</v>
      </c>
      <c r="D954" s="30">
        <v>46206</v>
      </c>
      <c r="E954" s="27" t="s">
        <v>220</v>
      </c>
      <c r="F954" s="27" t="s">
        <v>126</v>
      </c>
      <c r="G954" s="27" t="s">
        <v>228</v>
      </c>
      <c r="H954" s="27" t="s">
        <v>125</v>
      </c>
      <c r="I954" s="27" t="s">
        <v>658</v>
      </c>
      <c r="J954" s="27" t="s">
        <v>152</v>
      </c>
      <c r="K954" s="10">
        <v>60</v>
      </c>
      <c r="L954" s="36" t="s">
        <v>263</v>
      </c>
      <c r="M954" s="37" t="s">
        <v>295</v>
      </c>
      <c r="N954" s="37" t="s">
        <v>270</v>
      </c>
      <c r="O954" s="27"/>
      <c r="P954" s="27"/>
      <c r="Q954" s="27" t="s">
        <v>1369</v>
      </c>
      <c r="R954" s="27" t="s">
        <v>1523</v>
      </c>
      <c r="S954" s="1" t="s">
        <v>264</v>
      </c>
      <c r="T954" s="29" t="s">
        <v>265</v>
      </c>
      <c r="U954" s="30">
        <v>46192</v>
      </c>
      <c r="V954" s="27" t="s">
        <v>1177</v>
      </c>
      <c r="W954" s="27"/>
    </row>
    <row r="955" spans="1:23" ht="24" customHeight="1">
      <c r="A955" s="27" t="str">
        <f t="shared" ca="1" si="14"/>
        <v>EVT-2026-0953</v>
      </c>
      <c r="B955" s="27">
        <v>2026</v>
      </c>
      <c r="C955" s="27" t="s">
        <v>104</v>
      </c>
      <c r="D955" s="30">
        <v>46206</v>
      </c>
      <c r="E955" s="27" t="s">
        <v>220</v>
      </c>
      <c r="F955" s="27" t="s">
        <v>126</v>
      </c>
      <c r="G955" s="27" t="s">
        <v>202</v>
      </c>
      <c r="H955" s="27" t="s">
        <v>736</v>
      </c>
      <c r="I955" s="27" t="s">
        <v>1524</v>
      </c>
      <c r="J955" s="27" t="s">
        <v>165</v>
      </c>
      <c r="K955" s="10">
        <v>16</v>
      </c>
      <c r="L955" s="36" t="s">
        <v>263</v>
      </c>
      <c r="M955" s="37" t="s">
        <v>295</v>
      </c>
      <c r="N955" s="37" t="s">
        <v>270</v>
      </c>
      <c r="O955" s="27"/>
      <c r="P955" s="27"/>
      <c r="Q955" s="27" t="s">
        <v>1525</v>
      </c>
      <c r="R955" s="27" t="s">
        <v>1526</v>
      </c>
      <c r="S955" s="1" t="s">
        <v>264</v>
      </c>
      <c r="T955" s="29" t="s">
        <v>265</v>
      </c>
      <c r="U955" s="30">
        <v>46206</v>
      </c>
      <c r="V955" s="27" t="s">
        <v>1527</v>
      </c>
      <c r="W955" s="27"/>
    </row>
    <row r="956" spans="1:23" ht="24" customHeight="1">
      <c r="A956" s="27" t="str">
        <f t="shared" ca="1" si="14"/>
        <v>EVT-2026-0954</v>
      </c>
      <c r="B956" s="27">
        <v>2026</v>
      </c>
      <c r="C956" s="27" t="s">
        <v>104</v>
      </c>
      <c r="D956" s="30">
        <v>46206</v>
      </c>
      <c r="E956" s="27" t="s">
        <v>220</v>
      </c>
      <c r="F956" s="27" t="s">
        <v>126</v>
      </c>
      <c r="G956" s="27" t="s">
        <v>202</v>
      </c>
      <c r="H956" s="27" t="s">
        <v>1392</v>
      </c>
      <c r="I956" s="27" t="s">
        <v>1378</v>
      </c>
      <c r="J956" s="27" t="s">
        <v>158</v>
      </c>
      <c r="K956" s="10">
        <v>35</v>
      </c>
      <c r="L956" s="36" t="s">
        <v>263</v>
      </c>
      <c r="M956" s="37" t="s">
        <v>309</v>
      </c>
      <c r="N956" s="37" t="s">
        <v>296</v>
      </c>
      <c r="O956" s="27"/>
      <c r="P956" s="27"/>
      <c r="Q956" s="27" t="s">
        <v>1393</v>
      </c>
      <c r="R956" s="27" t="s">
        <v>1528</v>
      </c>
      <c r="S956" s="1" t="s">
        <v>264</v>
      </c>
      <c r="T956" s="29" t="s">
        <v>265</v>
      </c>
      <c r="U956" s="30">
        <v>46191</v>
      </c>
      <c r="V956" s="27" t="s">
        <v>1380</v>
      </c>
      <c r="W956" s="27"/>
    </row>
    <row r="957" spans="1:23" ht="24" customHeight="1">
      <c r="A957" s="27" t="str">
        <f t="shared" ca="1" si="14"/>
        <v>EVT-2026-0955</v>
      </c>
      <c r="B957" s="27">
        <v>2026</v>
      </c>
      <c r="C957" s="27" t="s">
        <v>104</v>
      </c>
      <c r="D957" s="30">
        <v>46206</v>
      </c>
      <c r="E957" s="27" t="s">
        <v>220</v>
      </c>
      <c r="F957" s="27" t="s">
        <v>126</v>
      </c>
      <c r="G957" s="27" t="s">
        <v>202</v>
      </c>
      <c r="H957" s="27" t="s">
        <v>1529</v>
      </c>
      <c r="I957" s="27" t="s">
        <v>1530</v>
      </c>
      <c r="J957" s="27" t="s">
        <v>127</v>
      </c>
      <c r="K957" s="10">
        <v>350</v>
      </c>
      <c r="L957" s="38" t="s">
        <v>294</v>
      </c>
      <c r="M957" s="37" t="s">
        <v>295</v>
      </c>
      <c r="N957" s="37" t="s">
        <v>290</v>
      </c>
      <c r="O957" s="27" t="s">
        <v>1285</v>
      </c>
      <c r="P957" s="27"/>
      <c r="Q957" s="27" t="s">
        <v>425</v>
      </c>
      <c r="R957" s="27" t="s">
        <v>1520</v>
      </c>
      <c r="S957" s="3" t="s">
        <v>312</v>
      </c>
      <c r="T957" s="29" t="s">
        <v>265</v>
      </c>
      <c r="U957" s="30">
        <v>46175</v>
      </c>
      <c r="V957" s="27" t="s">
        <v>298</v>
      </c>
      <c r="W957" s="27"/>
    </row>
    <row r="958" spans="1:23" ht="24" customHeight="1">
      <c r="A958" s="27" t="str">
        <f t="shared" ca="1" si="14"/>
        <v>EVT-2026-0956</v>
      </c>
      <c r="B958" s="27">
        <v>2026</v>
      </c>
      <c r="C958" s="27" t="s">
        <v>104</v>
      </c>
      <c r="D958" s="30">
        <v>46207</v>
      </c>
      <c r="E958" s="27" t="s">
        <v>266</v>
      </c>
      <c r="F958" s="27" t="s">
        <v>126</v>
      </c>
      <c r="G958" s="27"/>
      <c r="H958" s="27"/>
      <c r="I958" s="27"/>
      <c r="J958" s="27" t="s">
        <v>177</v>
      </c>
      <c r="K958" s="10">
        <v>0</v>
      </c>
      <c r="L958" s="36" t="s">
        <v>263</v>
      </c>
      <c r="M958" s="37"/>
      <c r="N958" s="37"/>
      <c r="O958" s="27"/>
      <c r="P958" s="27"/>
      <c r="Q958" s="27"/>
      <c r="R958" s="27"/>
      <c r="S958" s="1" t="s">
        <v>264</v>
      </c>
      <c r="T958" s="29" t="s">
        <v>265</v>
      </c>
      <c r="U958" s="27"/>
      <c r="V958" s="27"/>
      <c r="W958" s="27"/>
    </row>
    <row r="959" spans="1:23" ht="24" customHeight="1">
      <c r="A959" s="27" t="str">
        <f t="shared" ca="1" si="14"/>
        <v>EVT-2026-0957</v>
      </c>
      <c r="B959" s="27">
        <v>2026</v>
      </c>
      <c r="C959" s="27" t="s">
        <v>104</v>
      </c>
      <c r="D959" s="30">
        <v>46208</v>
      </c>
      <c r="E959" s="27" t="s">
        <v>267</v>
      </c>
      <c r="F959" s="27" t="s">
        <v>126</v>
      </c>
      <c r="G959" s="27"/>
      <c r="H959" s="27"/>
      <c r="I959" s="27"/>
      <c r="J959" s="27" t="s">
        <v>177</v>
      </c>
      <c r="K959" s="10">
        <v>0</v>
      </c>
      <c r="L959" s="36" t="s">
        <v>263</v>
      </c>
      <c r="M959" s="37"/>
      <c r="N959" s="37"/>
      <c r="O959" s="27"/>
      <c r="P959" s="27"/>
      <c r="Q959" s="27"/>
      <c r="R959" s="27"/>
      <c r="S959" s="1" t="s">
        <v>264</v>
      </c>
      <c r="T959" s="29" t="s">
        <v>265</v>
      </c>
      <c r="U959" s="27"/>
      <c r="V959" s="27"/>
      <c r="W959" s="27"/>
    </row>
    <row r="960" spans="1:23" ht="24" customHeight="1">
      <c r="A960" s="27" t="str">
        <f t="shared" ca="1" si="14"/>
        <v>EVT-2026-0958</v>
      </c>
      <c r="B960" s="27">
        <v>2026</v>
      </c>
      <c r="C960" s="27" t="s">
        <v>104</v>
      </c>
      <c r="D960" s="30">
        <v>46209</v>
      </c>
      <c r="E960" s="27" t="s">
        <v>224</v>
      </c>
      <c r="F960" s="27" t="s">
        <v>126</v>
      </c>
      <c r="G960" s="27" t="s">
        <v>202</v>
      </c>
      <c r="H960" s="27" t="s">
        <v>736</v>
      </c>
      <c r="I960" s="27" t="s">
        <v>1350</v>
      </c>
      <c r="J960" s="27" t="s">
        <v>165</v>
      </c>
      <c r="K960" s="10">
        <v>60</v>
      </c>
      <c r="L960" s="36" t="s">
        <v>263</v>
      </c>
      <c r="M960" s="37" t="s">
        <v>275</v>
      </c>
      <c r="N960" s="37" t="s">
        <v>270</v>
      </c>
      <c r="O960" s="27"/>
      <c r="P960" s="27"/>
      <c r="Q960" s="27" t="s">
        <v>1531</v>
      </c>
      <c r="R960" s="27" t="s">
        <v>1532</v>
      </c>
      <c r="S960" s="1" t="s">
        <v>264</v>
      </c>
      <c r="T960" s="29" t="s">
        <v>265</v>
      </c>
      <c r="U960" s="30">
        <v>46202</v>
      </c>
      <c r="V960" s="27" t="s">
        <v>1313</v>
      </c>
      <c r="W960" s="27"/>
    </row>
    <row r="961" spans="1:23" ht="24" customHeight="1">
      <c r="A961" s="27" t="str">
        <f t="shared" ca="1" si="14"/>
        <v>EVT-2026-0959</v>
      </c>
      <c r="B961" s="27">
        <v>2026</v>
      </c>
      <c r="C961" s="27" t="s">
        <v>104</v>
      </c>
      <c r="D961" s="30">
        <v>46209</v>
      </c>
      <c r="E961" s="27" t="s">
        <v>224</v>
      </c>
      <c r="F961" s="27" t="s">
        <v>126</v>
      </c>
      <c r="G961" s="27" t="s">
        <v>228</v>
      </c>
      <c r="H961" s="27" t="s">
        <v>125</v>
      </c>
      <c r="I961" s="27" t="s">
        <v>1533</v>
      </c>
      <c r="J961" s="27" t="s">
        <v>139</v>
      </c>
      <c r="K961" s="10">
        <v>50</v>
      </c>
      <c r="L961" s="36" t="s">
        <v>263</v>
      </c>
      <c r="M961" s="37" t="s">
        <v>309</v>
      </c>
      <c r="N961" s="37" t="s">
        <v>270</v>
      </c>
      <c r="O961" s="27"/>
      <c r="P961" s="27"/>
      <c r="Q961" s="27" t="s">
        <v>1510</v>
      </c>
      <c r="R961" s="27" t="s">
        <v>1511</v>
      </c>
      <c r="S961" s="1" t="s">
        <v>264</v>
      </c>
      <c r="T961" s="29" t="s">
        <v>265</v>
      </c>
      <c r="U961" s="30">
        <v>46162</v>
      </c>
      <c r="V961" s="27" t="s">
        <v>298</v>
      </c>
      <c r="W961" s="27"/>
    </row>
    <row r="962" spans="1:23" ht="24" customHeight="1">
      <c r="A962" s="27" t="str">
        <f t="shared" ca="1" si="14"/>
        <v>EVT-2026-0960</v>
      </c>
      <c r="B962" s="27">
        <v>2026</v>
      </c>
      <c r="C962" s="27" t="s">
        <v>104</v>
      </c>
      <c r="D962" s="30">
        <v>46209</v>
      </c>
      <c r="E962" s="27" t="s">
        <v>224</v>
      </c>
      <c r="F962" s="27" t="s">
        <v>126</v>
      </c>
      <c r="G962" s="27" t="s">
        <v>228</v>
      </c>
      <c r="H962" s="27" t="s">
        <v>125</v>
      </c>
      <c r="I962" s="27" t="s">
        <v>1534</v>
      </c>
      <c r="J962" s="27" t="s">
        <v>127</v>
      </c>
      <c r="K962" s="10">
        <v>60</v>
      </c>
      <c r="L962" s="36" t="s">
        <v>263</v>
      </c>
      <c r="M962" s="37" t="s">
        <v>269</v>
      </c>
      <c r="N962" s="37" t="s">
        <v>429</v>
      </c>
      <c r="O962" s="27"/>
      <c r="P962" s="27"/>
      <c r="Q962" s="27" t="s">
        <v>1535</v>
      </c>
      <c r="R962" s="27"/>
      <c r="S962" s="1" t="s">
        <v>264</v>
      </c>
      <c r="T962" s="29" t="s">
        <v>265</v>
      </c>
      <c r="U962" s="27"/>
      <c r="V962" s="27" t="s">
        <v>1536</v>
      </c>
      <c r="W962" s="27" t="s">
        <v>1537</v>
      </c>
    </row>
    <row r="963" spans="1:23" ht="24" customHeight="1">
      <c r="A963" s="27" t="str">
        <f t="shared" ref="A963:A1026" ca="1" si="15">IF(OR(D963&lt;&gt;"",H963&lt;&gt;"",I963&lt;&gt;"",Q963&lt;&gt;"",S963&lt;&gt;""), "EVT-" &amp; TEXT(B963, "0000") &amp; "-" &amp; TEXT(COUNTIF(OFFSET($A$1, 1, 0, ROW()-2, 1), "EVT*") + 1, "0000"), "")</f>
        <v>EVT-2026-0961</v>
      </c>
      <c r="B963" s="27">
        <v>2026</v>
      </c>
      <c r="C963" s="27" t="s">
        <v>104</v>
      </c>
      <c r="D963" s="30">
        <v>46209</v>
      </c>
      <c r="E963" s="27" t="s">
        <v>224</v>
      </c>
      <c r="F963" s="27" t="s">
        <v>126</v>
      </c>
      <c r="G963" s="27" t="s">
        <v>420</v>
      </c>
      <c r="H963" s="27" t="s">
        <v>736</v>
      </c>
      <c r="I963" s="27" t="s">
        <v>279</v>
      </c>
      <c r="J963" s="27" t="s">
        <v>145</v>
      </c>
      <c r="K963" s="10">
        <v>0</v>
      </c>
      <c r="L963" s="36" t="s">
        <v>263</v>
      </c>
      <c r="M963" s="37" t="s">
        <v>732</v>
      </c>
      <c r="N963" s="37" t="s">
        <v>331</v>
      </c>
      <c r="O963" s="27"/>
      <c r="P963" s="27"/>
      <c r="Q963" s="27" t="s">
        <v>760</v>
      </c>
      <c r="R963" s="27"/>
      <c r="S963" s="1" t="s">
        <v>264</v>
      </c>
      <c r="T963" s="29" t="s">
        <v>265</v>
      </c>
      <c r="U963" s="27"/>
      <c r="V963" s="27"/>
      <c r="W963" s="27"/>
    </row>
    <row r="964" spans="1:23" ht="24" customHeight="1">
      <c r="A964" s="27" t="str">
        <f t="shared" ca="1" si="15"/>
        <v>EVT-2026-0962</v>
      </c>
      <c r="B964" s="27">
        <v>2026</v>
      </c>
      <c r="C964" s="27" t="s">
        <v>104</v>
      </c>
      <c r="D964" s="30">
        <v>46209</v>
      </c>
      <c r="E964" s="27" t="s">
        <v>224</v>
      </c>
      <c r="F964" s="27" t="s">
        <v>126</v>
      </c>
      <c r="G964" s="27" t="s">
        <v>202</v>
      </c>
      <c r="H964" s="27" t="s">
        <v>736</v>
      </c>
      <c r="I964" s="27" t="s">
        <v>1524</v>
      </c>
      <c r="J964" s="27" t="s">
        <v>165</v>
      </c>
      <c r="K964" s="10">
        <v>0</v>
      </c>
      <c r="L964" s="36" t="s">
        <v>263</v>
      </c>
      <c r="M964" s="37" t="s">
        <v>295</v>
      </c>
      <c r="N964" s="37" t="s">
        <v>270</v>
      </c>
      <c r="O964" s="27"/>
      <c r="P964" s="27"/>
      <c r="Q964" s="27" t="s">
        <v>1402</v>
      </c>
      <c r="R964" s="27"/>
      <c r="S964" s="1" t="s">
        <v>264</v>
      </c>
      <c r="T964" s="29" t="s">
        <v>265</v>
      </c>
      <c r="U964" s="27"/>
      <c r="V964" s="27" t="s">
        <v>1538</v>
      </c>
      <c r="W964" s="27"/>
    </row>
    <row r="965" spans="1:23" ht="24" customHeight="1">
      <c r="A965" s="27" t="str">
        <f t="shared" ca="1" si="15"/>
        <v>EVT-2026-0963</v>
      </c>
      <c r="B965" s="27">
        <v>2026</v>
      </c>
      <c r="C965" s="27" t="s">
        <v>104</v>
      </c>
      <c r="D965" s="30">
        <v>46210</v>
      </c>
      <c r="E965" s="27" t="s">
        <v>227</v>
      </c>
      <c r="F965" s="27" t="s">
        <v>126</v>
      </c>
      <c r="G965" s="27" t="s">
        <v>202</v>
      </c>
      <c r="H965" s="27" t="s">
        <v>736</v>
      </c>
      <c r="I965" s="27" t="s">
        <v>1539</v>
      </c>
      <c r="J965" s="27" t="s">
        <v>134</v>
      </c>
      <c r="K965" s="10">
        <v>24</v>
      </c>
      <c r="L965" s="36" t="s">
        <v>263</v>
      </c>
      <c r="M965" s="37" t="s">
        <v>281</v>
      </c>
      <c r="N965" s="37" t="s">
        <v>270</v>
      </c>
      <c r="O965" s="27"/>
      <c r="P965" s="27"/>
      <c r="Q965" s="27" t="s">
        <v>1198</v>
      </c>
      <c r="R965" s="27"/>
      <c r="S965" s="1" t="s">
        <v>264</v>
      </c>
      <c r="T965" s="29" t="s">
        <v>265</v>
      </c>
      <c r="U965" s="27"/>
      <c r="V965" s="27" t="s">
        <v>1540</v>
      </c>
      <c r="W965" s="27" t="s">
        <v>298</v>
      </c>
    </row>
    <row r="966" spans="1:23" ht="24" customHeight="1">
      <c r="A966" s="27" t="str">
        <f t="shared" ca="1" si="15"/>
        <v>EVT-2026-0964</v>
      </c>
      <c r="B966" s="27">
        <v>2026</v>
      </c>
      <c r="C966" s="27" t="s">
        <v>104</v>
      </c>
      <c r="D966" s="30">
        <v>46210</v>
      </c>
      <c r="E966" s="27" t="s">
        <v>227</v>
      </c>
      <c r="F966" s="27" t="s">
        <v>126</v>
      </c>
      <c r="G966" s="27" t="s">
        <v>208</v>
      </c>
      <c r="H966" s="27" t="s">
        <v>1366</v>
      </c>
      <c r="I966" s="27" t="s">
        <v>217</v>
      </c>
      <c r="J966" s="27" t="s">
        <v>145</v>
      </c>
      <c r="K966" s="10">
        <v>50</v>
      </c>
      <c r="L966" s="36" t="s">
        <v>263</v>
      </c>
      <c r="M966" s="37" t="s">
        <v>309</v>
      </c>
      <c r="N966" s="37" t="s">
        <v>296</v>
      </c>
      <c r="O966" s="27"/>
      <c r="P966" s="27"/>
      <c r="Q966" s="27" t="s">
        <v>1510</v>
      </c>
      <c r="R966" s="27"/>
      <c r="S966" s="1" t="s">
        <v>264</v>
      </c>
      <c r="T966" s="29" t="s">
        <v>265</v>
      </c>
      <c r="U966" s="27"/>
      <c r="V966" s="27"/>
      <c r="W966" s="27" t="s">
        <v>298</v>
      </c>
    </row>
    <row r="967" spans="1:23" ht="24" customHeight="1">
      <c r="A967" s="27" t="str">
        <f t="shared" ca="1" si="15"/>
        <v>EVT-2026-0965</v>
      </c>
      <c r="B967" s="27">
        <v>2026</v>
      </c>
      <c r="C967" s="27" t="s">
        <v>104</v>
      </c>
      <c r="D967" s="30">
        <v>46210</v>
      </c>
      <c r="E967" s="27" t="s">
        <v>227</v>
      </c>
      <c r="F967" s="27" t="s">
        <v>126</v>
      </c>
      <c r="G967" s="27" t="s">
        <v>202</v>
      </c>
      <c r="H967" s="27" t="s">
        <v>1366</v>
      </c>
      <c r="I967" s="27" t="s">
        <v>1541</v>
      </c>
      <c r="J967" s="27" t="s">
        <v>158</v>
      </c>
      <c r="K967" s="10">
        <v>40</v>
      </c>
      <c r="L967" s="36" t="s">
        <v>263</v>
      </c>
      <c r="M967" s="37" t="s">
        <v>1542</v>
      </c>
      <c r="N967" s="37" t="s">
        <v>295</v>
      </c>
      <c r="O967" s="27"/>
      <c r="P967" s="27"/>
      <c r="Q967" s="27" t="s">
        <v>1047</v>
      </c>
      <c r="R967" s="27"/>
      <c r="S967" s="1" t="s">
        <v>264</v>
      </c>
      <c r="T967" s="29" t="s">
        <v>265</v>
      </c>
      <c r="U967" s="27"/>
      <c r="V967" s="27" t="s">
        <v>1543</v>
      </c>
      <c r="W967" s="27" t="s">
        <v>1200</v>
      </c>
    </row>
    <row r="968" spans="1:23" ht="24" customHeight="1">
      <c r="A968" s="27" t="str">
        <f t="shared" ca="1" si="15"/>
        <v>EVT-2026-0966</v>
      </c>
      <c r="B968" s="27">
        <v>2026</v>
      </c>
      <c r="C968" s="27" t="s">
        <v>104</v>
      </c>
      <c r="D968" s="30">
        <v>46210</v>
      </c>
      <c r="E968" s="27" t="s">
        <v>227</v>
      </c>
      <c r="F968" s="27" t="s">
        <v>126</v>
      </c>
      <c r="G968" s="27" t="s">
        <v>228</v>
      </c>
      <c r="H968" s="27" t="s">
        <v>1512</v>
      </c>
      <c r="I968" s="27" t="s">
        <v>1544</v>
      </c>
      <c r="J968" s="27" t="s">
        <v>127</v>
      </c>
      <c r="K968" s="10">
        <v>150</v>
      </c>
      <c r="L968" s="38" t="s">
        <v>294</v>
      </c>
      <c r="M968" s="37" t="s">
        <v>289</v>
      </c>
      <c r="N968" s="37" t="s">
        <v>296</v>
      </c>
      <c r="O968" s="27"/>
      <c r="P968" s="27"/>
      <c r="Q968" s="27" t="s">
        <v>1545</v>
      </c>
      <c r="R968" s="27"/>
      <c r="S968" s="1" t="s">
        <v>264</v>
      </c>
      <c r="T968" s="29" t="s">
        <v>265</v>
      </c>
      <c r="U968" s="27"/>
      <c r="V968" s="27" t="s">
        <v>1546</v>
      </c>
      <c r="W968" s="27" t="s">
        <v>1177</v>
      </c>
    </row>
    <row r="969" spans="1:23" ht="24" customHeight="1">
      <c r="A969" s="27" t="str">
        <f t="shared" ca="1" si="15"/>
        <v>EVT-2026-0967</v>
      </c>
      <c r="B969" s="27">
        <v>2026</v>
      </c>
      <c r="C969" s="27" t="s">
        <v>104</v>
      </c>
      <c r="D969" s="30">
        <v>46210</v>
      </c>
      <c r="E969" s="27" t="s">
        <v>227</v>
      </c>
      <c r="F969" s="27" t="s">
        <v>126</v>
      </c>
      <c r="G969" s="27" t="s">
        <v>228</v>
      </c>
      <c r="H969" s="27" t="s">
        <v>1512</v>
      </c>
      <c r="I969" s="27" t="s">
        <v>1547</v>
      </c>
      <c r="J969" s="27" t="s">
        <v>177</v>
      </c>
      <c r="K969" s="10">
        <v>100</v>
      </c>
      <c r="L969" s="38" t="s">
        <v>294</v>
      </c>
      <c r="M969" s="37" t="s">
        <v>275</v>
      </c>
      <c r="N969" s="37" t="s">
        <v>309</v>
      </c>
      <c r="O969" s="27"/>
      <c r="P969" s="27"/>
      <c r="Q969" s="27" t="s">
        <v>355</v>
      </c>
      <c r="R969" s="27"/>
      <c r="S969" s="1" t="s">
        <v>264</v>
      </c>
      <c r="T969" s="29" t="s">
        <v>265</v>
      </c>
      <c r="U969" s="27"/>
      <c r="V969" s="27" t="s">
        <v>1548</v>
      </c>
      <c r="W969" s="27"/>
    </row>
    <row r="970" spans="1:23" ht="24" customHeight="1">
      <c r="A970" s="27" t="str">
        <f t="shared" ca="1" si="15"/>
        <v>EVT-2026-0968</v>
      </c>
      <c r="B970" s="27">
        <v>2026</v>
      </c>
      <c r="C970" s="27" t="s">
        <v>104</v>
      </c>
      <c r="D970" s="30">
        <v>46210</v>
      </c>
      <c r="E970" s="27" t="s">
        <v>227</v>
      </c>
      <c r="F970" s="27" t="s">
        <v>126</v>
      </c>
      <c r="G970" s="27" t="s">
        <v>202</v>
      </c>
      <c r="H970" s="27" t="s">
        <v>1549</v>
      </c>
      <c r="I970" s="27" t="s">
        <v>1550</v>
      </c>
      <c r="J970" s="27" t="s">
        <v>158</v>
      </c>
      <c r="K970" s="10">
        <v>50</v>
      </c>
      <c r="L970" s="36" t="s">
        <v>263</v>
      </c>
      <c r="M970" s="37" t="s">
        <v>506</v>
      </c>
      <c r="N970" s="37" t="s">
        <v>354</v>
      </c>
      <c r="O970" s="27"/>
      <c r="P970" s="27"/>
      <c r="Q970" s="27" t="s">
        <v>393</v>
      </c>
      <c r="R970" s="27"/>
      <c r="S970" s="1" t="s">
        <v>264</v>
      </c>
      <c r="T970" s="29" t="s">
        <v>265</v>
      </c>
      <c r="U970" s="27"/>
      <c r="V970" s="27" t="s">
        <v>1543</v>
      </c>
      <c r="W970" s="27" t="s">
        <v>1177</v>
      </c>
    </row>
    <row r="971" spans="1:23" ht="24" customHeight="1">
      <c r="A971" s="27" t="str">
        <f t="shared" ca="1" si="15"/>
        <v>EVT-2026-0969</v>
      </c>
      <c r="B971" s="27">
        <v>2026</v>
      </c>
      <c r="C971" s="27" t="s">
        <v>104</v>
      </c>
      <c r="D971" s="30">
        <v>46211</v>
      </c>
      <c r="E971" s="27" t="s">
        <v>201</v>
      </c>
      <c r="F971" s="27" t="s">
        <v>126</v>
      </c>
      <c r="G971" s="27" t="s">
        <v>228</v>
      </c>
      <c r="H971" s="27" t="s">
        <v>125</v>
      </c>
      <c r="I971" s="27" t="s">
        <v>1533</v>
      </c>
      <c r="J971" s="27" t="s">
        <v>139</v>
      </c>
      <c r="K971" s="10">
        <v>50</v>
      </c>
      <c r="L971" s="36" t="s">
        <v>263</v>
      </c>
      <c r="M971" s="37" t="s">
        <v>309</v>
      </c>
      <c r="N971" s="37" t="s">
        <v>270</v>
      </c>
      <c r="O971" s="27"/>
      <c r="P971" s="27"/>
      <c r="Q971" s="27" t="s">
        <v>370</v>
      </c>
      <c r="R971" s="27"/>
      <c r="S971" s="1" t="s">
        <v>264</v>
      </c>
      <c r="T971" s="29" t="s">
        <v>265</v>
      </c>
      <c r="U971" s="27"/>
      <c r="V971" s="27" t="s">
        <v>1551</v>
      </c>
      <c r="W971" s="27" t="s">
        <v>298</v>
      </c>
    </row>
    <row r="972" spans="1:23" ht="24" customHeight="1">
      <c r="A972" s="27" t="str">
        <f t="shared" ca="1" si="15"/>
        <v>EVT-2026-0970</v>
      </c>
      <c r="B972" s="27">
        <v>2026</v>
      </c>
      <c r="C972" s="27" t="s">
        <v>104</v>
      </c>
      <c r="D972" s="30">
        <v>46211</v>
      </c>
      <c r="E972" s="27" t="s">
        <v>201</v>
      </c>
      <c r="F972" s="27" t="s">
        <v>126</v>
      </c>
      <c r="G972" s="27" t="s">
        <v>1260</v>
      </c>
      <c r="H972" s="27" t="s">
        <v>1366</v>
      </c>
      <c r="I972" s="27" t="s">
        <v>1552</v>
      </c>
      <c r="J972" s="27" t="s">
        <v>134</v>
      </c>
      <c r="K972" s="10">
        <v>40</v>
      </c>
      <c r="L972" s="36" t="s">
        <v>263</v>
      </c>
      <c r="M972" s="37" t="s">
        <v>309</v>
      </c>
      <c r="N972" s="37" t="s">
        <v>295</v>
      </c>
      <c r="O972" s="27"/>
      <c r="P972" s="27"/>
      <c r="Q972" s="27" t="s">
        <v>355</v>
      </c>
      <c r="R972" s="27"/>
      <c r="S972" s="1" t="s">
        <v>264</v>
      </c>
      <c r="T972" s="29" t="s">
        <v>265</v>
      </c>
      <c r="U972" s="27"/>
      <c r="V972" s="27"/>
      <c r="W972" s="27" t="s">
        <v>298</v>
      </c>
    </row>
    <row r="973" spans="1:23" ht="24" customHeight="1">
      <c r="A973" s="27" t="str">
        <f t="shared" ca="1" si="15"/>
        <v>EVT-2026-0971</v>
      </c>
      <c r="B973" s="27">
        <v>2026</v>
      </c>
      <c r="C973" s="27" t="s">
        <v>104</v>
      </c>
      <c r="D973" s="30">
        <v>46211</v>
      </c>
      <c r="E973" s="27" t="s">
        <v>201</v>
      </c>
      <c r="F973" s="27" t="s">
        <v>126</v>
      </c>
      <c r="G973" s="27" t="s">
        <v>228</v>
      </c>
      <c r="H973" s="27" t="s">
        <v>125</v>
      </c>
      <c r="I973" s="27" t="s">
        <v>1524</v>
      </c>
      <c r="J973" s="27" t="s">
        <v>177</v>
      </c>
      <c r="K973" s="10">
        <v>0</v>
      </c>
      <c r="L973" s="36" t="s">
        <v>263</v>
      </c>
      <c r="M973" s="37" t="s">
        <v>274</v>
      </c>
      <c r="N973" s="37" t="s">
        <v>331</v>
      </c>
      <c r="O973" s="27"/>
      <c r="P973" s="27"/>
      <c r="Q973" s="27" t="s">
        <v>1402</v>
      </c>
      <c r="R973" s="27"/>
      <c r="S973" s="1" t="s">
        <v>264</v>
      </c>
      <c r="T973" s="29" t="s">
        <v>265</v>
      </c>
      <c r="U973" s="27"/>
      <c r="V973" s="27" t="s">
        <v>1538</v>
      </c>
      <c r="W973" s="27"/>
    </row>
    <row r="974" spans="1:23" ht="24" customHeight="1">
      <c r="A974" s="27" t="str">
        <f t="shared" ca="1" si="15"/>
        <v>EVT-2026-0972</v>
      </c>
      <c r="B974" s="27">
        <v>2026</v>
      </c>
      <c r="C974" s="27" t="s">
        <v>104</v>
      </c>
      <c r="D974" s="30">
        <v>46211</v>
      </c>
      <c r="E974" s="27" t="s">
        <v>201</v>
      </c>
      <c r="F974" s="27" t="s">
        <v>126</v>
      </c>
      <c r="G974" s="27" t="s">
        <v>208</v>
      </c>
      <c r="H974" s="27" t="s">
        <v>1366</v>
      </c>
      <c r="I974" s="27" t="s">
        <v>217</v>
      </c>
      <c r="J974" s="27" t="s">
        <v>145</v>
      </c>
      <c r="K974" s="10">
        <v>50</v>
      </c>
      <c r="L974" s="36" t="s">
        <v>263</v>
      </c>
      <c r="M974" s="37" t="s">
        <v>309</v>
      </c>
      <c r="N974" s="37" t="s">
        <v>296</v>
      </c>
      <c r="O974" s="27"/>
      <c r="P974" s="27"/>
      <c r="Q974" s="27" t="s">
        <v>1510</v>
      </c>
      <c r="R974" s="27"/>
      <c r="S974" s="1" t="s">
        <v>264</v>
      </c>
      <c r="T974" s="29" t="s">
        <v>265</v>
      </c>
      <c r="U974" s="27"/>
      <c r="V974" s="27"/>
      <c r="W974" s="27" t="s">
        <v>298</v>
      </c>
    </row>
    <row r="975" spans="1:23" ht="24" customHeight="1">
      <c r="A975" s="27" t="str">
        <f t="shared" ca="1" si="15"/>
        <v>EVT-2026-0973</v>
      </c>
      <c r="B975" s="27">
        <v>2026</v>
      </c>
      <c r="C975" s="27" t="s">
        <v>104</v>
      </c>
      <c r="D975" s="30">
        <v>46211</v>
      </c>
      <c r="E975" s="27" t="s">
        <v>201</v>
      </c>
      <c r="F975" s="27" t="s">
        <v>126</v>
      </c>
      <c r="G975" s="27" t="s">
        <v>202</v>
      </c>
      <c r="H975" s="27" t="s">
        <v>736</v>
      </c>
      <c r="I975" s="27" t="s">
        <v>1539</v>
      </c>
      <c r="J975" s="27" t="s">
        <v>134</v>
      </c>
      <c r="K975" s="10">
        <v>24</v>
      </c>
      <c r="L975" s="36" t="s">
        <v>263</v>
      </c>
      <c r="M975" s="37" t="s">
        <v>281</v>
      </c>
      <c r="N975" s="37" t="s">
        <v>270</v>
      </c>
      <c r="O975" s="27"/>
      <c r="P975" s="27"/>
      <c r="Q975" s="27" t="s">
        <v>1198</v>
      </c>
      <c r="R975" s="27"/>
      <c r="S975" s="1" t="s">
        <v>264</v>
      </c>
      <c r="T975" s="29" t="s">
        <v>265</v>
      </c>
      <c r="U975" s="27"/>
      <c r="V975" s="27" t="s">
        <v>1540</v>
      </c>
      <c r="W975" s="27" t="s">
        <v>298</v>
      </c>
    </row>
    <row r="976" spans="1:23" ht="24" customHeight="1">
      <c r="A976" s="27" t="str">
        <f t="shared" ca="1" si="15"/>
        <v>EVT-2026-0974</v>
      </c>
      <c r="B976" s="27">
        <v>2026</v>
      </c>
      <c r="C976" s="27" t="s">
        <v>104</v>
      </c>
      <c r="D976" s="30">
        <v>46211</v>
      </c>
      <c r="E976" s="27" t="s">
        <v>201</v>
      </c>
      <c r="F976" s="27" t="s">
        <v>126</v>
      </c>
      <c r="G976" s="27" t="s">
        <v>208</v>
      </c>
      <c r="H976" s="27" t="s">
        <v>1366</v>
      </c>
      <c r="I976" s="27" t="s">
        <v>1553</v>
      </c>
      <c r="J976" s="27" t="s">
        <v>152</v>
      </c>
      <c r="K976" s="10">
        <v>12</v>
      </c>
      <c r="L976" s="36" t="s">
        <v>263</v>
      </c>
      <c r="M976" s="37" t="s">
        <v>354</v>
      </c>
      <c r="N976" s="37" t="s">
        <v>350</v>
      </c>
      <c r="O976" s="27"/>
      <c r="P976" s="27"/>
      <c r="Q976" s="27" t="s">
        <v>1554</v>
      </c>
      <c r="R976" s="27"/>
      <c r="S976" s="1" t="s">
        <v>264</v>
      </c>
      <c r="T976" s="29" t="s">
        <v>265</v>
      </c>
      <c r="U976" s="27"/>
      <c r="V976" s="27" t="s">
        <v>1543</v>
      </c>
      <c r="W976" s="27" t="s">
        <v>1555</v>
      </c>
    </row>
    <row r="977" spans="1:23" ht="24" customHeight="1">
      <c r="A977" s="27" t="str">
        <f t="shared" ca="1" si="15"/>
        <v>EVT-2026-0975</v>
      </c>
      <c r="B977" s="27">
        <v>2026</v>
      </c>
      <c r="C977" s="27" t="s">
        <v>104</v>
      </c>
      <c r="D977" s="30">
        <v>46211</v>
      </c>
      <c r="E977" s="27" t="s">
        <v>201</v>
      </c>
      <c r="F977" s="27" t="s">
        <v>126</v>
      </c>
      <c r="G977" s="27" t="s">
        <v>228</v>
      </c>
      <c r="H977" s="27" t="s">
        <v>1512</v>
      </c>
      <c r="I977" s="27" t="s">
        <v>1350</v>
      </c>
      <c r="J977" s="27" t="s">
        <v>177</v>
      </c>
      <c r="K977" s="10">
        <v>0</v>
      </c>
      <c r="L977" s="36" t="s">
        <v>263</v>
      </c>
      <c r="M977" s="37" t="s">
        <v>295</v>
      </c>
      <c r="N977" s="37" t="s">
        <v>296</v>
      </c>
      <c r="O977" s="27"/>
      <c r="P977" s="27"/>
      <c r="Q977" s="27" t="s">
        <v>1556</v>
      </c>
      <c r="R977" s="27"/>
      <c r="S977" s="1" t="s">
        <v>264</v>
      </c>
      <c r="T977" s="29" t="s">
        <v>265</v>
      </c>
      <c r="U977" s="27"/>
      <c r="V977" s="27" t="s">
        <v>1543</v>
      </c>
      <c r="W977" s="27" t="s">
        <v>1557</v>
      </c>
    </row>
    <row r="978" spans="1:23" ht="24" customHeight="1">
      <c r="A978" s="27" t="str">
        <f t="shared" ca="1" si="15"/>
        <v>EVT-2026-0976</v>
      </c>
      <c r="B978" s="27">
        <v>2026</v>
      </c>
      <c r="C978" s="27" t="s">
        <v>104</v>
      </c>
      <c r="D978" s="30">
        <v>46211</v>
      </c>
      <c r="E978" s="27" t="s">
        <v>201</v>
      </c>
      <c r="F978" s="27" t="s">
        <v>126</v>
      </c>
      <c r="G978" s="27" t="s">
        <v>228</v>
      </c>
      <c r="H978" s="27" t="s">
        <v>1512</v>
      </c>
      <c r="I978" s="27" t="s">
        <v>670</v>
      </c>
      <c r="J978" s="27" t="s">
        <v>127</v>
      </c>
      <c r="K978" s="10">
        <v>100</v>
      </c>
      <c r="L978" s="38" t="s">
        <v>294</v>
      </c>
      <c r="M978" s="37" t="s">
        <v>338</v>
      </c>
      <c r="N978" s="37" t="s">
        <v>330</v>
      </c>
      <c r="O978" s="27"/>
      <c r="P978" s="27"/>
      <c r="Q978" s="27" t="s">
        <v>1558</v>
      </c>
      <c r="R978" s="27"/>
      <c r="S978" s="3" t="s">
        <v>312</v>
      </c>
      <c r="T978" s="29" t="s">
        <v>265</v>
      </c>
      <c r="U978" s="27"/>
      <c r="V978" s="27"/>
      <c r="W978" s="27" t="s">
        <v>1559</v>
      </c>
    </row>
    <row r="979" spans="1:23" ht="24" customHeight="1">
      <c r="A979" s="27" t="str">
        <f t="shared" ca="1" si="15"/>
        <v>EVT-2026-0977</v>
      </c>
      <c r="B979" s="27">
        <v>2026</v>
      </c>
      <c r="C979" s="27" t="s">
        <v>104</v>
      </c>
      <c r="D979" s="30">
        <v>46211</v>
      </c>
      <c r="E979" s="27" t="s">
        <v>201</v>
      </c>
      <c r="F979" s="27" t="s">
        <v>126</v>
      </c>
      <c r="G979" s="27" t="s">
        <v>202</v>
      </c>
      <c r="H979" s="27" t="s">
        <v>1366</v>
      </c>
      <c r="I979" s="27" t="s">
        <v>353</v>
      </c>
      <c r="J979" s="27" t="s">
        <v>127</v>
      </c>
      <c r="K979" s="10">
        <v>50</v>
      </c>
      <c r="L979" s="36" t="s">
        <v>263</v>
      </c>
      <c r="M979" s="37" t="s">
        <v>1542</v>
      </c>
      <c r="N979" s="37" t="s">
        <v>295</v>
      </c>
      <c r="O979" s="27"/>
      <c r="P979" s="27"/>
      <c r="Q979" s="27" t="s">
        <v>1560</v>
      </c>
      <c r="R979" s="27"/>
      <c r="S979" s="1" t="s">
        <v>264</v>
      </c>
      <c r="T979" s="29" t="s">
        <v>265</v>
      </c>
      <c r="U979" s="27"/>
      <c r="V979" s="27"/>
      <c r="W979" s="27" t="s">
        <v>1177</v>
      </c>
    </row>
    <row r="980" spans="1:23" ht="24" customHeight="1">
      <c r="A980" s="27" t="str">
        <f t="shared" ca="1" si="15"/>
        <v>EVT-2026-0978</v>
      </c>
      <c r="B980" s="27">
        <v>2026</v>
      </c>
      <c r="C980" s="27" t="s">
        <v>104</v>
      </c>
      <c r="D980" s="30">
        <v>46211</v>
      </c>
      <c r="E980" s="27" t="s">
        <v>201</v>
      </c>
      <c r="F980" s="27" t="s">
        <v>126</v>
      </c>
      <c r="G980" s="27" t="s">
        <v>202</v>
      </c>
      <c r="H980" s="27" t="s">
        <v>1366</v>
      </c>
      <c r="I980" s="27" t="s">
        <v>1547</v>
      </c>
      <c r="J980" s="27" t="s">
        <v>158</v>
      </c>
      <c r="K980" s="10">
        <v>50</v>
      </c>
      <c r="L980" s="36" t="s">
        <v>263</v>
      </c>
      <c r="M980" s="37" t="s">
        <v>506</v>
      </c>
      <c r="N980" s="37" t="s">
        <v>1561</v>
      </c>
      <c r="O980" s="27"/>
      <c r="P980" s="27"/>
      <c r="Q980" s="27" t="s">
        <v>1562</v>
      </c>
      <c r="R980" s="27"/>
      <c r="S980" s="1" t="s">
        <v>264</v>
      </c>
      <c r="T980" s="29" t="s">
        <v>265</v>
      </c>
      <c r="U980" s="27"/>
      <c r="V980" s="27"/>
      <c r="W980" s="27" t="s">
        <v>1177</v>
      </c>
    </row>
    <row r="981" spans="1:23" ht="24" customHeight="1">
      <c r="A981" s="27" t="str">
        <f t="shared" ca="1" si="15"/>
        <v>EVT-2026-0979</v>
      </c>
      <c r="B981" s="27">
        <v>2026</v>
      </c>
      <c r="C981" s="27" t="s">
        <v>104</v>
      </c>
      <c r="D981" s="30">
        <v>46212</v>
      </c>
      <c r="E981" s="27" t="s">
        <v>216</v>
      </c>
      <c r="F981" s="27" t="s">
        <v>126</v>
      </c>
      <c r="G981" s="27" t="s">
        <v>228</v>
      </c>
      <c r="H981" s="27" t="s">
        <v>125</v>
      </c>
      <c r="I981" s="27" t="s">
        <v>1563</v>
      </c>
      <c r="J981" s="27" t="s">
        <v>127</v>
      </c>
      <c r="K981" s="10">
        <v>60</v>
      </c>
      <c r="L981" s="36" t="s">
        <v>263</v>
      </c>
      <c r="M981" s="37" t="s">
        <v>338</v>
      </c>
      <c r="N981" s="37" t="s">
        <v>331</v>
      </c>
      <c r="O981" s="27"/>
      <c r="P981" s="27"/>
      <c r="Q981" s="27" t="s">
        <v>1535</v>
      </c>
      <c r="R981" s="27"/>
      <c r="S981" s="1" t="s">
        <v>264</v>
      </c>
      <c r="T981" s="29" t="s">
        <v>265</v>
      </c>
      <c r="U981" s="27"/>
      <c r="V981" s="27" t="s">
        <v>1564</v>
      </c>
      <c r="W981" s="27"/>
    </row>
    <row r="982" spans="1:23" ht="24" customHeight="1">
      <c r="A982" s="27" t="str">
        <f t="shared" ca="1" si="15"/>
        <v>EVT-2026-0980</v>
      </c>
      <c r="B982" s="27">
        <v>2026</v>
      </c>
      <c r="C982" s="27" t="s">
        <v>104</v>
      </c>
      <c r="D982" s="30">
        <v>46212</v>
      </c>
      <c r="E982" s="27" t="s">
        <v>216</v>
      </c>
      <c r="F982" s="27" t="s">
        <v>126</v>
      </c>
      <c r="G982" s="27" t="s">
        <v>202</v>
      </c>
      <c r="H982" s="27" t="s">
        <v>736</v>
      </c>
      <c r="I982" s="27" t="s">
        <v>344</v>
      </c>
      <c r="J982" s="27" t="s">
        <v>134</v>
      </c>
      <c r="K982" s="10">
        <v>20</v>
      </c>
      <c r="L982" s="36" t="s">
        <v>263</v>
      </c>
      <c r="M982" s="37" t="s">
        <v>269</v>
      </c>
      <c r="N982" s="37" t="s">
        <v>270</v>
      </c>
      <c r="O982" s="27"/>
      <c r="P982" s="27"/>
      <c r="Q982" s="27" t="s">
        <v>370</v>
      </c>
      <c r="R982" s="27"/>
      <c r="S982" s="1" t="s">
        <v>264</v>
      </c>
      <c r="T982" s="29" t="s">
        <v>265</v>
      </c>
      <c r="U982" s="27"/>
      <c r="V982" s="27" t="s">
        <v>1551</v>
      </c>
      <c r="W982" s="27" t="s">
        <v>1565</v>
      </c>
    </row>
    <row r="983" spans="1:23" ht="24" customHeight="1">
      <c r="A983" s="27" t="str">
        <f t="shared" ca="1" si="15"/>
        <v>EVT-2026-0981</v>
      </c>
      <c r="B983" s="27">
        <v>2026</v>
      </c>
      <c r="C983" s="27" t="s">
        <v>104</v>
      </c>
      <c r="D983" s="30">
        <v>46212</v>
      </c>
      <c r="E983" s="27" t="s">
        <v>216</v>
      </c>
      <c r="F983" s="27" t="s">
        <v>126</v>
      </c>
      <c r="G983" s="27" t="s">
        <v>228</v>
      </c>
      <c r="H983" s="27" t="s">
        <v>125</v>
      </c>
      <c r="I983" s="27" t="s">
        <v>1533</v>
      </c>
      <c r="J983" s="27" t="s">
        <v>139</v>
      </c>
      <c r="K983" s="10">
        <v>50</v>
      </c>
      <c r="L983" s="36" t="s">
        <v>263</v>
      </c>
      <c r="M983" s="37" t="s">
        <v>309</v>
      </c>
      <c r="N983" s="37" t="s">
        <v>270</v>
      </c>
      <c r="O983" s="27"/>
      <c r="P983" s="27"/>
      <c r="Q983" s="27" t="s">
        <v>370</v>
      </c>
      <c r="R983" s="27"/>
      <c r="S983" s="1" t="s">
        <v>264</v>
      </c>
      <c r="T983" s="29" t="s">
        <v>265</v>
      </c>
      <c r="U983" s="27"/>
      <c r="V983" s="27" t="s">
        <v>1551</v>
      </c>
      <c r="W983" s="27" t="s">
        <v>298</v>
      </c>
    </row>
    <row r="984" spans="1:23" ht="24" customHeight="1">
      <c r="A984" s="27" t="str">
        <f t="shared" ca="1" si="15"/>
        <v>EVT-2026-0982</v>
      </c>
      <c r="B984" s="27">
        <v>2026</v>
      </c>
      <c r="C984" s="27" t="s">
        <v>104</v>
      </c>
      <c r="D984" s="30">
        <v>46212</v>
      </c>
      <c r="E984" s="27" t="s">
        <v>216</v>
      </c>
      <c r="F984" s="27" t="s">
        <v>126</v>
      </c>
      <c r="G984" s="27" t="s">
        <v>202</v>
      </c>
      <c r="H984" s="27" t="s">
        <v>1549</v>
      </c>
      <c r="I984" s="27" t="s">
        <v>1550</v>
      </c>
      <c r="J984" s="27" t="s">
        <v>158</v>
      </c>
      <c r="K984" s="10">
        <v>50</v>
      </c>
      <c r="L984" s="36" t="s">
        <v>263</v>
      </c>
      <c r="M984" s="37" t="s">
        <v>506</v>
      </c>
      <c r="N984" s="37" t="s">
        <v>354</v>
      </c>
      <c r="O984" s="27"/>
      <c r="P984" s="27"/>
      <c r="Q984" s="27" t="s">
        <v>393</v>
      </c>
      <c r="R984" s="27"/>
      <c r="S984" s="1" t="s">
        <v>264</v>
      </c>
      <c r="T984" s="29" t="s">
        <v>265</v>
      </c>
      <c r="U984" s="27"/>
      <c r="V984" s="27" t="s">
        <v>1543</v>
      </c>
      <c r="W984" s="27" t="s">
        <v>298</v>
      </c>
    </row>
    <row r="985" spans="1:23" ht="24" customHeight="1">
      <c r="A985" s="27" t="str">
        <f t="shared" ca="1" si="15"/>
        <v>EVT-2026-0983</v>
      </c>
      <c r="B985" s="27">
        <v>2026</v>
      </c>
      <c r="C985" s="27" t="s">
        <v>104</v>
      </c>
      <c r="D985" s="30">
        <v>46212</v>
      </c>
      <c r="E985" s="27" t="s">
        <v>216</v>
      </c>
      <c r="F985" s="27" t="s">
        <v>126</v>
      </c>
      <c r="G985" s="27" t="s">
        <v>202</v>
      </c>
      <c r="H985" s="27" t="s">
        <v>1549</v>
      </c>
      <c r="I985" s="27" t="s">
        <v>543</v>
      </c>
      <c r="J985" s="27" t="s">
        <v>177</v>
      </c>
      <c r="K985" s="10">
        <v>30</v>
      </c>
      <c r="L985" s="36" t="s">
        <v>263</v>
      </c>
      <c r="M985" s="37" t="s">
        <v>275</v>
      </c>
      <c r="N985" s="37" t="s">
        <v>309</v>
      </c>
      <c r="O985" s="27"/>
      <c r="P985" s="27"/>
      <c r="Q985" s="27" t="s">
        <v>769</v>
      </c>
      <c r="R985" s="27"/>
      <c r="S985" s="1" t="s">
        <v>264</v>
      </c>
      <c r="T985" s="29" t="s">
        <v>265</v>
      </c>
      <c r="U985" s="27"/>
      <c r="V985" s="27" t="s">
        <v>1566</v>
      </c>
      <c r="W985" s="27"/>
    </row>
    <row r="986" spans="1:23" ht="24" customHeight="1">
      <c r="A986" s="27" t="str">
        <f t="shared" ca="1" si="15"/>
        <v>EVT-2026-0984</v>
      </c>
      <c r="B986" s="27">
        <v>2026</v>
      </c>
      <c r="C986" s="27" t="s">
        <v>104</v>
      </c>
      <c r="D986" s="30">
        <v>46212</v>
      </c>
      <c r="E986" s="27" t="s">
        <v>216</v>
      </c>
      <c r="F986" s="27" t="s">
        <v>126</v>
      </c>
      <c r="G986" s="27" t="s">
        <v>202</v>
      </c>
      <c r="H986" s="27" t="s">
        <v>1366</v>
      </c>
      <c r="I986" s="27" t="s">
        <v>1567</v>
      </c>
      <c r="J986" s="27" t="s">
        <v>158</v>
      </c>
      <c r="K986" s="10">
        <v>35</v>
      </c>
      <c r="L986" s="36" t="s">
        <v>263</v>
      </c>
      <c r="M986" s="37" t="s">
        <v>309</v>
      </c>
      <c r="N986" s="37" t="s">
        <v>296</v>
      </c>
      <c r="O986" s="27"/>
      <c r="P986" s="27"/>
      <c r="Q986" s="27" t="s">
        <v>1568</v>
      </c>
      <c r="R986" s="27"/>
      <c r="S986" s="1" t="s">
        <v>264</v>
      </c>
      <c r="T986" s="29" t="s">
        <v>265</v>
      </c>
      <c r="U986" s="27"/>
      <c r="V986" s="27" t="s">
        <v>1569</v>
      </c>
      <c r="W986" s="27" t="s">
        <v>298</v>
      </c>
    </row>
    <row r="987" spans="1:23" ht="24" customHeight="1">
      <c r="A987" s="27" t="str">
        <f t="shared" ca="1" si="15"/>
        <v>EVT-2026-0985</v>
      </c>
      <c r="B987" s="27">
        <v>2026</v>
      </c>
      <c r="C987" s="27" t="s">
        <v>104</v>
      </c>
      <c r="D987" s="30">
        <v>46212</v>
      </c>
      <c r="E987" s="27" t="s">
        <v>216</v>
      </c>
      <c r="F987" s="27" t="s">
        <v>126</v>
      </c>
      <c r="G987" s="27" t="s">
        <v>208</v>
      </c>
      <c r="H987" s="27" t="s">
        <v>1366</v>
      </c>
      <c r="I987" s="27" t="s">
        <v>217</v>
      </c>
      <c r="J987" s="27" t="s">
        <v>145</v>
      </c>
      <c r="K987" s="10">
        <v>50</v>
      </c>
      <c r="L987" s="36" t="s">
        <v>263</v>
      </c>
      <c r="M987" s="37" t="s">
        <v>309</v>
      </c>
      <c r="N987" s="37" t="s">
        <v>296</v>
      </c>
      <c r="O987" s="27"/>
      <c r="P987" s="27"/>
      <c r="Q987" s="27" t="s">
        <v>1510</v>
      </c>
      <c r="R987" s="27"/>
      <c r="S987" s="1" t="s">
        <v>264</v>
      </c>
      <c r="T987" s="29" t="s">
        <v>265</v>
      </c>
      <c r="U987" s="27"/>
      <c r="V987" s="27"/>
      <c r="W987" s="27" t="s">
        <v>298</v>
      </c>
    </row>
    <row r="988" spans="1:23" ht="24" customHeight="1">
      <c r="A988" s="27" t="str">
        <f t="shared" ca="1" si="15"/>
        <v>EVT-2026-0986</v>
      </c>
      <c r="B988" s="27">
        <v>2026</v>
      </c>
      <c r="C988" s="27" t="s">
        <v>104</v>
      </c>
      <c r="D988" s="30">
        <v>46212</v>
      </c>
      <c r="E988" s="27" t="s">
        <v>216</v>
      </c>
      <c r="F988" s="27" t="s">
        <v>126</v>
      </c>
      <c r="G988" s="27" t="s">
        <v>1260</v>
      </c>
      <c r="H988" s="27" t="s">
        <v>1366</v>
      </c>
      <c r="I988" s="27" t="s">
        <v>1570</v>
      </c>
      <c r="J988" s="27" t="s">
        <v>158</v>
      </c>
      <c r="K988" s="10">
        <v>16</v>
      </c>
      <c r="L988" s="36" t="s">
        <v>263</v>
      </c>
      <c r="M988" s="37" t="s">
        <v>275</v>
      </c>
      <c r="N988" s="37" t="s">
        <v>270</v>
      </c>
      <c r="O988" s="27"/>
      <c r="P988" s="27"/>
      <c r="Q988" s="27" t="s">
        <v>351</v>
      </c>
      <c r="R988" s="27"/>
      <c r="S988" s="1" t="s">
        <v>264</v>
      </c>
      <c r="T988" s="29" t="s">
        <v>265</v>
      </c>
      <c r="U988" s="27"/>
      <c r="V988" s="27" t="s">
        <v>1548</v>
      </c>
      <c r="W988" s="27" t="s">
        <v>1571</v>
      </c>
    </row>
    <row r="989" spans="1:23" ht="24" customHeight="1">
      <c r="A989" s="27" t="str">
        <f t="shared" ca="1" si="15"/>
        <v>EVT-2026-0987</v>
      </c>
      <c r="B989" s="27">
        <v>2026</v>
      </c>
      <c r="C989" s="27" t="s">
        <v>104</v>
      </c>
      <c r="D989" s="30">
        <v>46212</v>
      </c>
      <c r="E989" s="27" t="s">
        <v>216</v>
      </c>
      <c r="F989" s="27" t="s">
        <v>126</v>
      </c>
      <c r="G989" s="27" t="s">
        <v>208</v>
      </c>
      <c r="H989" s="27" t="s">
        <v>1366</v>
      </c>
      <c r="I989" s="27" t="s">
        <v>1572</v>
      </c>
      <c r="J989" s="27" t="s">
        <v>134</v>
      </c>
      <c r="K989" s="10">
        <v>40</v>
      </c>
      <c r="L989" s="36" t="s">
        <v>263</v>
      </c>
      <c r="M989" s="37" t="s">
        <v>1561</v>
      </c>
      <c r="N989" s="37" t="s">
        <v>1342</v>
      </c>
      <c r="O989" s="27"/>
      <c r="P989" s="27"/>
      <c r="Q989" s="27" t="s">
        <v>1047</v>
      </c>
      <c r="R989" s="27"/>
      <c r="S989" s="1" t="s">
        <v>264</v>
      </c>
      <c r="T989" s="29" t="s">
        <v>265</v>
      </c>
      <c r="U989" s="27"/>
      <c r="V989" s="27" t="s">
        <v>1548</v>
      </c>
      <c r="W989" s="27" t="s">
        <v>298</v>
      </c>
    </row>
    <row r="990" spans="1:23" ht="24" customHeight="1">
      <c r="A990" s="27" t="str">
        <f t="shared" ca="1" si="15"/>
        <v>EVT-2026-0988</v>
      </c>
      <c r="B990" s="27">
        <v>2026</v>
      </c>
      <c r="C990" s="27" t="s">
        <v>104</v>
      </c>
      <c r="D990" s="30">
        <v>46213</v>
      </c>
      <c r="E990" s="27" t="s">
        <v>220</v>
      </c>
      <c r="F990" s="27" t="s">
        <v>126</v>
      </c>
      <c r="G990" s="27" t="s">
        <v>202</v>
      </c>
      <c r="H990" s="27" t="s">
        <v>736</v>
      </c>
      <c r="I990" s="27" t="s">
        <v>344</v>
      </c>
      <c r="J990" s="27" t="s">
        <v>134</v>
      </c>
      <c r="K990" s="10">
        <v>20</v>
      </c>
      <c r="L990" s="36" t="s">
        <v>263</v>
      </c>
      <c r="M990" s="37" t="s">
        <v>269</v>
      </c>
      <c r="N990" s="37" t="s">
        <v>270</v>
      </c>
      <c r="O990" s="27"/>
      <c r="P990" s="27"/>
      <c r="Q990" s="27" t="s">
        <v>370</v>
      </c>
      <c r="R990" s="27"/>
      <c r="S990" s="1" t="s">
        <v>264</v>
      </c>
      <c r="T990" s="29" t="s">
        <v>265</v>
      </c>
      <c r="U990" s="27"/>
      <c r="V990" s="27" t="s">
        <v>1573</v>
      </c>
      <c r="W990" s="27"/>
    </row>
    <row r="991" spans="1:23" ht="24" customHeight="1">
      <c r="A991" s="27" t="str">
        <f t="shared" ca="1" si="15"/>
        <v>EVT-2026-0989</v>
      </c>
      <c r="B991" s="27">
        <v>2026</v>
      </c>
      <c r="C991" s="27" t="s">
        <v>104</v>
      </c>
      <c r="D991" s="30">
        <v>46213</v>
      </c>
      <c r="E991" s="27" t="s">
        <v>220</v>
      </c>
      <c r="F991" s="27" t="s">
        <v>126</v>
      </c>
      <c r="G991" s="27" t="s">
        <v>228</v>
      </c>
      <c r="H991" s="27" t="s">
        <v>125</v>
      </c>
      <c r="I991" s="27" t="s">
        <v>1533</v>
      </c>
      <c r="J991" s="27" t="s">
        <v>139</v>
      </c>
      <c r="K991" s="10">
        <v>50</v>
      </c>
      <c r="L991" s="36" t="s">
        <v>263</v>
      </c>
      <c r="M991" s="37" t="s">
        <v>309</v>
      </c>
      <c r="N991" s="37" t="s">
        <v>270</v>
      </c>
      <c r="O991" s="27"/>
      <c r="P991" s="27"/>
      <c r="Q991" s="27" t="s">
        <v>370</v>
      </c>
      <c r="R991" s="27"/>
      <c r="S991" s="1" t="s">
        <v>264</v>
      </c>
      <c r="T991" s="29" t="s">
        <v>265</v>
      </c>
      <c r="U991" s="27"/>
      <c r="V991" s="27" t="s">
        <v>1551</v>
      </c>
      <c r="W991" s="27" t="s">
        <v>298</v>
      </c>
    </row>
    <row r="992" spans="1:23" ht="24" customHeight="1">
      <c r="A992" s="27" t="str">
        <f t="shared" ca="1" si="15"/>
        <v>EVT-2026-0990</v>
      </c>
      <c r="B992" s="27">
        <v>2026</v>
      </c>
      <c r="C992" s="27" t="s">
        <v>104</v>
      </c>
      <c r="D992" s="30">
        <v>46213</v>
      </c>
      <c r="E992" s="27" t="s">
        <v>220</v>
      </c>
      <c r="F992" s="27" t="s">
        <v>126</v>
      </c>
      <c r="G992" s="27" t="s">
        <v>228</v>
      </c>
      <c r="H992" s="27" t="s">
        <v>125</v>
      </c>
      <c r="I992" s="27" t="s">
        <v>1574</v>
      </c>
      <c r="J992" s="27" t="s">
        <v>172</v>
      </c>
      <c r="K992" s="10">
        <v>0</v>
      </c>
      <c r="L992" s="36" t="s">
        <v>263</v>
      </c>
      <c r="M992" s="37" t="s">
        <v>274</v>
      </c>
      <c r="N992" s="37" t="s">
        <v>330</v>
      </c>
      <c r="O992" s="27"/>
      <c r="P992" s="27"/>
      <c r="Q992" s="27" t="s">
        <v>1575</v>
      </c>
      <c r="R992" s="27"/>
      <c r="S992" s="1" t="s">
        <v>264</v>
      </c>
      <c r="T992" s="29" t="s">
        <v>265</v>
      </c>
      <c r="U992" s="27"/>
      <c r="V992" s="27" t="s">
        <v>1566</v>
      </c>
      <c r="W992" s="27"/>
    </row>
    <row r="993" spans="1:23" ht="24" customHeight="1">
      <c r="A993" s="27" t="str">
        <f t="shared" ca="1" si="15"/>
        <v>EVT-2026-0991</v>
      </c>
      <c r="B993" s="27">
        <v>2026</v>
      </c>
      <c r="C993" s="27" t="s">
        <v>104</v>
      </c>
      <c r="D993" s="30">
        <v>46213</v>
      </c>
      <c r="E993" s="27" t="s">
        <v>220</v>
      </c>
      <c r="F993" s="27" t="s">
        <v>126</v>
      </c>
      <c r="G993" s="27" t="s">
        <v>228</v>
      </c>
      <c r="H993" s="27" t="s">
        <v>125</v>
      </c>
      <c r="I993" s="27" t="s">
        <v>1576</v>
      </c>
      <c r="J993" s="27" t="s">
        <v>127</v>
      </c>
      <c r="K993" s="10">
        <v>50</v>
      </c>
      <c r="L993" s="36" t="s">
        <v>263</v>
      </c>
      <c r="M993" s="37" t="s">
        <v>315</v>
      </c>
      <c r="N993" s="37" t="s">
        <v>506</v>
      </c>
      <c r="O993" s="27"/>
      <c r="P993" s="27"/>
      <c r="Q993" s="27" t="s">
        <v>367</v>
      </c>
      <c r="R993" s="27"/>
      <c r="S993" s="3" t="s">
        <v>312</v>
      </c>
      <c r="T993" s="29" t="s">
        <v>265</v>
      </c>
      <c r="U993" s="27"/>
      <c r="V993" s="27" t="s">
        <v>1577</v>
      </c>
      <c r="W993" s="27" t="s">
        <v>1578</v>
      </c>
    </row>
    <row r="994" spans="1:23" ht="24" customHeight="1">
      <c r="A994" s="27" t="str">
        <f t="shared" ca="1" si="15"/>
        <v>EVT-2026-0992</v>
      </c>
      <c r="B994" s="27">
        <v>2026</v>
      </c>
      <c r="C994" s="27" t="s">
        <v>104</v>
      </c>
      <c r="D994" s="30">
        <v>46213</v>
      </c>
      <c r="E994" s="27" t="s">
        <v>220</v>
      </c>
      <c r="F994" s="27" t="s">
        <v>126</v>
      </c>
      <c r="G994" s="27" t="s">
        <v>228</v>
      </c>
      <c r="H994" s="27" t="s">
        <v>125</v>
      </c>
      <c r="I994" s="27" t="s">
        <v>1579</v>
      </c>
      <c r="J994" s="27" t="s">
        <v>127</v>
      </c>
      <c r="K994" s="10">
        <v>70</v>
      </c>
      <c r="L994" s="36" t="s">
        <v>263</v>
      </c>
      <c r="M994" s="37" t="s">
        <v>331</v>
      </c>
      <c r="N994" s="37" t="s">
        <v>275</v>
      </c>
      <c r="O994" s="27"/>
      <c r="P994" s="27"/>
      <c r="Q994" s="27" t="s">
        <v>1580</v>
      </c>
      <c r="R994" s="27"/>
      <c r="S994" s="1" t="s">
        <v>264</v>
      </c>
      <c r="T994" s="29" t="s">
        <v>265</v>
      </c>
      <c r="U994" s="27"/>
      <c r="V994" s="27" t="s">
        <v>1577</v>
      </c>
      <c r="W994" s="27" t="s">
        <v>1313</v>
      </c>
    </row>
    <row r="995" spans="1:23" ht="24" customHeight="1">
      <c r="A995" s="27" t="str">
        <f t="shared" ca="1" si="15"/>
        <v>EVT-2026-0993</v>
      </c>
      <c r="B995" s="27">
        <v>2026</v>
      </c>
      <c r="C995" s="27" t="s">
        <v>104</v>
      </c>
      <c r="D995" s="30">
        <v>46214</v>
      </c>
      <c r="E995" s="27" t="s">
        <v>266</v>
      </c>
      <c r="F995" s="27" t="s">
        <v>126</v>
      </c>
      <c r="G995" s="27"/>
      <c r="H995" s="27"/>
      <c r="I995" s="27"/>
      <c r="J995" s="27" t="s">
        <v>177</v>
      </c>
      <c r="K995" s="10">
        <v>0</v>
      </c>
      <c r="L995" s="36" t="s">
        <v>263</v>
      </c>
      <c r="M995" s="37"/>
      <c r="N995" s="37"/>
      <c r="O995" s="27"/>
      <c r="P995" s="27"/>
      <c r="Q995" s="27"/>
      <c r="R995" s="27"/>
      <c r="S995" s="1" t="s">
        <v>264</v>
      </c>
      <c r="T995" s="29" t="s">
        <v>265</v>
      </c>
      <c r="U995" s="27"/>
      <c r="V995" s="27"/>
      <c r="W995" s="27"/>
    </row>
    <row r="996" spans="1:23" ht="24" customHeight="1">
      <c r="A996" s="27" t="str">
        <f t="shared" ca="1" si="15"/>
        <v>EVT-2026-0994</v>
      </c>
      <c r="B996" s="27">
        <v>2026</v>
      </c>
      <c r="C996" s="27" t="s">
        <v>104</v>
      </c>
      <c r="D996" s="30">
        <v>46215</v>
      </c>
      <c r="E996" s="27" t="s">
        <v>267</v>
      </c>
      <c r="F996" s="27" t="s">
        <v>126</v>
      </c>
      <c r="G996" s="27"/>
      <c r="H996" s="27"/>
      <c r="I996" s="27"/>
      <c r="J996" s="27" t="s">
        <v>177</v>
      </c>
      <c r="K996" s="10">
        <v>0</v>
      </c>
      <c r="L996" s="36" t="s">
        <v>263</v>
      </c>
      <c r="M996" s="37"/>
      <c r="N996" s="37"/>
      <c r="O996" s="27"/>
      <c r="P996" s="27"/>
      <c r="Q996" s="27"/>
      <c r="R996" s="27"/>
      <c r="S996" s="1" t="s">
        <v>264</v>
      </c>
      <c r="T996" s="29" t="s">
        <v>265</v>
      </c>
      <c r="U996" s="27"/>
      <c r="V996" s="27"/>
      <c r="W996" s="27"/>
    </row>
    <row r="997" spans="1:23" ht="24" customHeight="1">
      <c r="A997" s="27" t="str">
        <f t="shared" ca="1" si="15"/>
        <v>EVT-2026-0995</v>
      </c>
      <c r="B997" s="27">
        <v>2026</v>
      </c>
      <c r="C997" s="27" t="s">
        <v>104</v>
      </c>
      <c r="D997" s="30">
        <v>46216</v>
      </c>
      <c r="E997" s="27" t="s">
        <v>224</v>
      </c>
      <c r="F997" s="27" t="s">
        <v>126</v>
      </c>
      <c r="G997" s="27" t="s">
        <v>228</v>
      </c>
      <c r="H997" s="27" t="s">
        <v>125</v>
      </c>
      <c r="I997" s="27" t="s">
        <v>1576</v>
      </c>
      <c r="J997" s="27" t="s">
        <v>127</v>
      </c>
      <c r="K997" s="10">
        <v>50</v>
      </c>
      <c r="L997" s="36" t="s">
        <v>263</v>
      </c>
      <c r="M997" s="37" t="s">
        <v>315</v>
      </c>
      <c r="N997" s="37" t="s">
        <v>506</v>
      </c>
      <c r="O997" s="27" t="s">
        <v>1581</v>
      </c>
      <c r="P997" s="27"/>
      <c r="Q997" s="27" t="s">
        <v>367</v>
      </c>
      <c r="R997" s="27" t="s">
        <v>213</v>
      </c>
      <c r="S997" s="3" t="s">
        <v>312</v>
      </c>
      <c r="T997" s="29" t="s">
        <v>265</v>
      </c>
      <c r="U997" s="30">
        <v>46210</v>
      </c>
      <c r="V997" s="27" t="s">
        <v>1313</v>
      </c>
      <c r="W997" s="27"/>
    </row>
    <row r="998" spans="1:23" ht="24" customHeight="1">
      <c r="A998" s="27" t="str">
        <f t="shared" ca="1" si="15"/>
        <v>EVT-2026-0996</v>
      </c>
      <c r="B998" s="27">
        <v>2026</v>
      </c>
      <c r="C998" s="27" t="s">
        <v>104</v>
      </c>
      <c r="D998" s="30">
        <v>46216</v>
      </c>
      <c r="E998" s="27" t="s">
        <v>224</v>
      </c>
      <c r="F998" s="27" t="s">
        <v>126</v>
      </c>
      <c r="G998" s="27" t="s">
        <v>228</v>
      </c>
      <c r="H998" s="27" t="s">
        <v>125</v>
      </c>
      <c r="I998" s="27" t="s">
        <v>1582</v>
      </c>
      <c r="J998" s="27" t="s">
        <v>177</v>
      </c>
      <c r="K998" s="10">
        <v>80</v>
      </c>
      <c r="L998" s="36" t="s">
        <v>263</v>
      </c>
      <c r="M998" s="37" t="s">
        <v>309</v>
      </c>
      <c r="N998" s="37" t="s">
        <v>295</v>
      </c>
      <c r="O998" s="27"/>
      <c r="P998" s="27"/>
      <c r="Q998" s="27" t="s">
        <v>355</v>
      </c>
      <c r="R998" s="27" t="s">
        <v>1583</v>
      </c>
      <c r="S998" s="1" t="s">
        <v>264</v>
      </c>
      <c r="T998" s="29" t="s">
        <v>265</v>
      </c>
      <c r="U998" s="30">
        <v>46209</v>
      </c>
      <c r="V998" s="27" t="s">
        <v>1313</v>
      </c>
      <c r="W998" s="27"/>
    </row>
    <row r="999" spans="1:23" ht="24" customHeight="1">
      <c r="A999" s="27" t="str">
        <f t="shared" ca="1" si="15"/>
        <v>EVT-2026-0997</v>
      </c>
      <c r="B999" s="27">
        <v>2026</v>
      </c>
      <c r="C999" s="27" t="s">
        <v>104</v>
      </c>
      <c r="D999" s="30">
        <v>46216</v>
      </c>
      <c r="E999" s="27" t="s">
        <v>224</v>
      </c>
      <c r="F999" s="27" t="s">
        <v>126</v>
      </c>
      <c r="G999" s="27" t="s">
        <v>228</v>
      </c>
      <c r="H999" s="27" t="s">
        <v>1584</v>
      </c>
      <c r="I999" s="27" t="s">
        <v>344</v>
      </c>
      <c r="J999" s="27" t="s">
        <v>134</v>
      </c>
      <c r="K999" s="10">
        <v>10</v>
      </c>
      <c r="L999" s="36" t="s">
        <v>263</v>
      </c>
      <c r="M999" s="37" t="s">
        <v>269</v>
      </c>
      <c r="N999" s="37" t="s">
        <v>270</v>
      </c>
      <c r="O999" s="27"/>
      <c r="P999" s="27"/>
      <c r="Q999" s="27" t="s">
        <v>1585</v>
      </c>
      <c r="R999" s="27" t="s">
        <v>1586</v>
      </c>
      <c r="S999" s="1" t="s">
        <v>264</v>
      </c>
      <c r="T999" s="29" t="s">
        <v>265</v>
      </c>
      <c r="U999" s="27"/>
      <c r="V999" s="27"/>
      <c r="W999" s="27"/>
    </row>
    <row r="1000" spans="1:23" ht="24" customHeight="1">
      <c r="A1000" s="27" t="str">
        <f t="shared" ca="1" si="15"/>
        <v>EVT-2026-0998</v>
      </c>
      <c r="B1000" s="27">
        <v>2026</v>
      </c>
      <c r="C1000" s="27" t="s">
        <v>104</v>
      </c>
      <c r="D1000" s="30">
        <v>46216</v>
      </c>
      <c r="E1000" s="27" t="s">
        <v>224</v>
      </c>
      <c r="F1000" s="27" t="s">
        <v>126</v>
      </c>
      <c r="G1000" s="27" t="s">
        <v>202</v>
      </c>
      <c r="H1000" s="27" t="s">
        <v>736</v>
      </c>
      <c r="I1000" s="27" t="s">
        <v>344</v>
      </c>
      <c r="J1000" s="27" t="s">
        <v>134</v>
      </c>
      <c r="K1000" s="10">
        <v>24</v>
      </c>
      <c r="L1000" s="36" t="s">
        <v>263</v>
      </c>
      <c r="M1000" s="37" t="s">
        <v>269</v>
      </c>
      <c r="N1000" s="37" t="s">
        <v>270</v>
      </c>
      <c r="O1000" s="27"/>
      <c r="P1000" s="27"/>
      <c r="Q1000" s="27" t="s">
        <v>277</v>
      </c>
      <c r="R1000" s="27" t="s">
        <v>1587</v>
      </c>
      <c r="S1000" s="1" t="s">
        <v>264</v>
      </c>
      <c r="T1000" s="29" t="s">
        <v>265</v>
      </c>
      <c r="U1000" s="30">
        <v>46203</v>
      </c>
      <c r="V1000" s="27"/>
      <c r="W1000" s="27"/>
    </row>
    <row r="1001" spans="1:23" ht="24" customHeight="1">
      <c r="A1001" s="27" t="str">
        <f t="shared" ca="1" si="15"/>
        <v>EVT-2026-0999</v>
      </c>
      <c r="B1001" s="27">
        <v>2026</v>
      </c>
      <c r="C1001" s="27" t="s">
        <v>104</v>
      </c>
      <c r="D1001" s="30">
        <v>46217</v>
      </c>
      <c r="E1001" s="27" t="s">
        <v>227</v>
      </c>
      <c r="F1001" s="27" t="s">
        <v>126</v>
      </c>
      <c r="G1001" s="27" t="s">
        <v>228</v>
      </c>
      <c r="H1001" s="27" t="s">
        <v>125</v>
      </c>
      <c r="I1001" s="27" t="s">
        <v>1588</v>
      </c>
      <c r="J1001" s="27" t="s">
        <v>152</v>
      </c>
      <c r="K1001" s="10">
        <v>40</v>
      </c>
      <c r="L1001" s="36" t="s">
        <v>263</v>
      </c>
      <c r="M1001" s="37" t="s">
        <v>1542</v>
      </c>
      <c r="N1001" s="37" t="s">
        <v>295</v>
      </c>
      <c r="O1001" s="27"/>
      <c r="P1001" s="27"/>
      <c r="Q1001" s="27" t="s">
        <v>433</v>
      </c>
      <c r="R1001" s="27"/>
      <c r="S1001" s="1" t="s">
        <v>264</v>
      </c>
      <c r="T1001" s="29" t="s">
        <v>265</v>
      </c>
      <c r="U1001" s="27"/>
      <c r="V1001" s="27"/>
      <c r="W1001" s="27"/>
    </row>
    <row r="1002" spans="1:23" ht="24" customHeight="1">
      <c r="A1002" s="27" t="str">
        <f t="shared" ca="1" si="15"/>
        <v>EVT-2026-1000</v>
      </c>
      <c r="B1002" s="27">
        <v>2026</v>
      </c>
      <c r="C1002" s="27" t="s">
        <v>104</v>
      </c>
      <c r="D1002" s="30">
        <v>46217</v>
      </c>
      <c r="E1002" s="27" t="s">
        <v>227</v>
      </c>
      <c r="F1002" s="27" t="s">
        <v>126</v>
      </c>
      <c r="G1002" s="27" t="s">
        <v>228</v>
      </c>
      <c r="H1002" s="27" t="s">
        <v>1512</v>
      </c>
      <c r="I1002" s="27" t="s">
        <v>1589</v>
      </c>
      <c r="J1002" s="27" t="s">
        <v>127</v>
      </c>
      <c r="K1002" s="10">
        <v>160</v>
      </c>
      <c r="L1002" s="38" t="s">
        <v>294</v>
      </c>
      <c r="M1002" s="37" t="s">
        <v>295</v>
      </c>
      <c r="N1002" s="37" t="s">
        <v>296</v>
      </c>
      <c r="O1002" s="27"/>
      <c r="P1002" s="27"/>
      <c r="Q1002" s="27" t="s">
        <v>367</v>
      </c>
      <c r="R1002" s="27" t="s">
        <v>213</v>
      </c>
      <c r="S1002" s="1" t="s">
        <v>264</v>
      </c>
      <c r="T1002" s="29" t="s">
        <v>265</v>
      </c>
      <c r="U1002" s="30">
        <v>46203</v>
      </c>
      <c r="V1002" s="27" t="s">
        <v>1177</v>
      </c>
      <c r="W1002" s="27"/>
    </row>
    <row r="1003" spans="1:23" ht="24" customHeight="1">
      <c r="A1003" s="27" t="str">
        <f t="shared" ca="1" si="15"/>
        <v>EVT-2026-1001</v>
      </c>
      <c r="B1003" s="27">
        <v>2026</v>
      </c>
      <c r="C1003" s="27" t="s">
        <v>104</v>
      </c>
      <c r="D1003" s="30">
        <v>46217</v>
      </c>
      <c r="E1003" s="27" t="s">
        <v>227</v>
      </c>
      <c r="F1003" s="27" t="s">
        <v>126</v>
      </c>
      <c r="G1003" s="27" t="s">
        <v>228</v>
      </c>
      <c r="H1003" s="27" t="s">
        <v>1584</v>
      </c>
      <c r="I1003" s="27" t="s">
        <v>344</v>
      </c>
      <c r="J1003" s="27" t="s">
        <v>134</v>
      </c>
      <c r="K1003" s="10">
        <v>10</v>
      </c>
      <c r="L1003" s="36" t="s">
        <v>263</v>
      </c>
      <c r="M1003" s="37" t="s">
        <v>269</v>
      </c>
      <c r="N1003" s="37" t="s">
        <v>270</v>
      </c>
      <c r="O1003" s="27"/>
      <c r="P1003" s="27"/>
      <c r="Q1003" s="27" t="s">
        <v>1585</v>
      </c>
      <c r="R1003" s="27" t="s">
        <v>1586</v>
      </c>
      <c r="S1003" s="1" t="s">
        <v>264</v>
      </c>
      <c r="T1003" s="29" t="s">
        <v>265</v>
      </c>
      <c r="U1003" s="27"/>
      <c r="V1003" s="27"/>
      <c r="W1003" s="27"/>
    </row>
    <row r="1004" spans="1:23" ht="24" customHeight="1">
      <c r="A1004" s="27" t="str">
        <f t="shared" ca="1" si="15"/>
        <v>EVT-2026-1002</v>
      </c>
      <c r="B1004" s="27">
        <v>2026</v>
      </c>
      <c r="C1004" s="27" t="s">
        <v>104</v>
      </c>
      <c r="D1004" s="30">
        <v>46217</v>
      </c>
      <c r="E1004" s="27" t="s">
        <v>227</v>
      </c>
      <c r="F1004" s="27" t="s">
        <v>126</v>
      </c>
      <c r="G1004" s="27" t="s">
        <v>228</v>
      </c>
      <c r="H1004" s="27" t="s">
        <v>1512</v>
      </c>
      <c r="I1004" s="27" t="s">
        <v>1590</v>
      </c>
      <c r="J1004" s="27" t="s">
        <v>127</v>
      </c>
      <c r="K1004" s="10">
        <v>150</v>
      </c>
      <c r="L1004" s="38" t="s">
        <v>294</v>
      </c>
      <c r="M1004" s="37" t="s">
        <v>330</v>
      </c>
      <c r="N1004" s="37" t="s">
        <v>354</v>
      </c>
      <c r="O1004" s="27"/>
      <c r="P1004" s="27"/>
      <c r="Q1004" s="27" t="s">
        <v>1591</v>
      </c>
      <c r="R1004" s="27" t="s">
        <v>1592</v>
      </c>
      <c r="S1004" s="1" t="s">
        <v>264</v>
      </c>
      <c r="T1004" s="29" t="s">
        <v>265</v>
      </c>
      <c r="U1004" s="27"/>
      <c r="V1004" s="27"/>
      <c r="W1004" s="27"/>
    </row>
    <row r="1005" spans="1:23" ht="24" customHeight="1">
      <c r="A1005" s="27" t="str">
        <f t="shared" ca="1" si="15"/>
        <v>EVT-2026-1003</v>
      </c>
      <c r="B1005" s="27">
        <v>2026</v>
      </c>
      <c r="C1005" s="27" t="s">
        <v>104</v>
      </c>
      <c r="D1005" s="30">
        <v>46217</v>
      </c>
      <c r="E1005" s="27" t="s">
        <v>227</v>
      </c>
      <c r="F1005" s="27" t="s">
        <v>126</v>
      </c>
      <c r="G1005" s="27" t="s">
        <v>228</v>
      </c>
      <c r="H1005" s="27" t="s">
        <v>1512</v>
      </c>
      <c r="I1005" s="27" t="s">
        <v>1593</v>
      </c>
      <c r="J1005" s="27" t="s">
        <v>127</v>
      </c>
      <c r="K1005" s="10">
        <v>100</v>
      </c>
      <c r="L1005" s="38" t="s">
        <v>294</v>
      </c>
      <c r="M1005" s="37" t="s">
        <v>338</v>
      </c>
      <c r="N1005" s="37" t="s">
        <v>330</v>
      </c>
      <c r="O1005" s="27" t="s">
        <v>1594</v>
      </c>
      <c r="P1005" s="27"/>
      <c r="Q1005" s="27" t="s">
        <v>1595</v>
      </c>
      <c r="R1005" s="27" t="s">
        <v>1596</v>
      </c>
      <c r="S1005" s="3" t="s">
        <v>312</v>
      </c>
      <c r="T1005" s="29" t="s">
        <v>265</v>
      </c>
      <c r="U1005" s="30">
        <v>46164</v>
      </c>
      <c r="V1005" s="27" t="s">
        <v>1597</v>
      </c>
      <c r="W1005" s="27"/>
    </row>
    <row r="1006" spans="1:23" ht="24" customHeight="1">
      <c r="A1006" s="27" t="str">
        <f t="shared" ca="1" si="15"/>
        <v>EVT-2026-1004</v>
      </c>
      <c r="B1006" s="27">
        <v>2026</v>
      </c>
      <c r="C1006" s="27" t="s">
        <v>104</v>
      </c>
      <c r="D1006" s="30">
        <v>46217</v>
      </c>
      <c r="E1006" s="27" t="s">
        <v>227</v>
      </c>
      <c r="F1006" s="27" t="s">
        <v>126</v>
      </c>
      <c r="G1006" s="27" t="s">
        <v>202</v>
      </c>
      <c r="H1006" s="27" t="s">
        <v>1366</v>
      </c>
      <c r="I1006" s="27" t="s">
        <v>1598</v>
      </c>
      <c r="J1006" s="27" t="s">
        <v>158</v>
      </c>
      <c r="K1006" s="10">
        <v>40</v>
      </c>
      <c r="L1006" s="36" t="s">
        <v>263</v>
      </c>
      <c r="M1006" s="37" t="s">
        <v>338</v>
      </c>
      <c r="N1006" s="37" t="s">
        <v>506</v>
      </c>
      <c r="O1006" s="27"/>
      <c r="P1006" s="27"/>
      <c r="Q1006" s="27" t="s">
        <v>1599</v>
      </c>
      <c r="R1006" s="27" t="s">
        <v>1600</v>
      </c>
      <c r="S1006" s="1" t="s">
        <v>264</v>
      </c>
      <c r="T1006" s="29" t="s">
        <v>265</v>
      </c>
      <c r="U1006" s="30">
        <v>46203</v>
      </c>
      <c r="V1006" s="27" t="s">
        <v>1177</v>
      </c>
      <c r="W1006" s="27"/>
    </row>
    <row r="1007" spans="1:23" ht="24" customHeight="1">
      <c r="A1007" s="27" t="str">
        <f t="shared" ca="1" si="15"/>
        <v>EVT-2026-1005</v>
      </c>
      <c r="B1007" s="27">
        <v>2026</v>
      </c>
      <c r="C1007" s="27" t="s">
        <v>104</v>
      </c>
      <c r="D1007" s="30">
        <v>46217</v>
      </c>
      <c r="E1007" s="27" t="s">
        <v>227</v>
      </c>
      <c r="F1007" s="27" t="s">
        <v>126</v>
      </c>
      <c r="G1007" s="27" t="s">
        <v>1260</v>
      </c>
      <c r="H1007" s="27" t="s">
        <v>1366</v>
      </c>
      <c r="I1007" s="27" t="s">
        <v>1570</v>
      </c>
      <c r="J1007" s="27" t="s">
        <v>158</v>
      </c>
      <c r="K1007" s="10">
        <v>16</v>
      </c>
      <c r="L1007" s="36" t="s">
        <v>263</v>
      </c>
      <c r="M1007" s="37" t="s">
        <v>275</v>
      </c>
      <c r="N1007" s="37" t="s">
        <v>270</v>
      </c>
      <c r="O1007" s="27" t="s">
        <v>901</v>
      </c>
      <c r="P1007" s="27"/>
      <c r="Q1007" s="27" t="s">
        <v>351</v>
      </c>
      <c r="R1007" s="27" t="s">
        <v>1601</v>
      </c>
      <c r="S1007" s="3" t="s">
        <v>312</v>
      </c>
      <c r="T1007" s="29" t="s">
        <v>265</v>
      </c>
      <c r="U1007" s="30">
        <v>46209</v>
      </c>
      <c r="V1007" s="27" t="s">
        <v>1571</v>
      </c>
      <c r="W1007" s="27"/>
    </row>
    <row r="1008" spans="1:23" ht="24" customHeight="1">
      <c r="A1008" s="27" t="str">
        <f t="shared" ca="1" si="15"/>
        <v>EVT-2026-1006</v>
      </c>
      <c r="B1008" s="27">
        <v>2026</v>
      </c>
      <c r="C1008" s="27" t="s">
        <v>104</v>
      </c>
      <c r="D1008" s="30">
        <v>46217</v>
      </c>
      <c r="E1008" s="27" t="s">
        <v>227</v>
      </c>
      <c r="F1008" s="27" t="s">
        <v>126</v>
      </c>
      <c r="G1008" s="27" t="s">
        <v>202</v>
      </c>
      <c r="H1008" s="27" t="s">
        <v>736</v>
      </c>
      <c r="I1008" s="27" t="s">
        <v>344</v>
      </c>
      <c r="J1008" s="27" t="s">
        <v>134</v>
      </c>
      <c r="K1008" s="10">
        <v>24</v>
      </c>
      <c r="L1008" s="36" t="s">
        <v>263</v>
      </c>
      <c r="M1008" s="37" t="s">
        <v>269</v>
      </c>
      <c r="N1008" s="37" t="s">
        <v>270</v>
      </c>
      <c r="O1008" s="27"/>
      <c r="P1008" s="27"/>
      <c r="Q1008" s="27" t="s">
        <v>277</v>
      </c>
      <c r="R1008" s="27" t="s">
        <v>1587</v>
      </c>
      <c r="S1008" s="1" t="s">
        <v>264</v>
      </c>
      <c r="T1008" s="29" t="s">
        <v>265</v>
      </c>
      <c r="U1008" s="30">
        <v>46203</v>
      </c>
      <c r="V1008" s="27"/>
      <c r="W1008" s="27"/>
    </row>
    <row r="1009" spans="1:23" ht="24" customHeight="1">
      <c r="A1009" s="27" t="str">
        <f t="shared" ca="1" si="15"/>
        <v>EVT-2026-1007</v>
      </c>
      <c r="B1009" s="27">
        <v>2026</v>
      </c>
      <c r="C1009" s="27" t="s">
        <v>104</v>
      </c>
      <c r="D1009" s="30">
        <v>46217</v>
      </c>
      <c r="E1009" s="27" t="s">
        <v>227</v>
      </c>
      <c r="F1009" s="27" t="s">
        <v>126</v>
      </c>
      <c r="G1009" s="27" t="s">
        <v>208</v>
      </c>
      <c r="H1009" s="27" t="s">
        <v>1366</v>
      </c>
      <c r="I1009" s="27" t="s">
        <v>217</v>
      </c>
      <c r="J1009" s="27" t="s">
        <v>145</v>
      </c>
      <c r="K1009" s="10">
        <v>50</v>
      </c>
      <c r="L1009" s="36" t="s">
        <v>263</v>
      </c>
      <c r="M1009" s="37" t="s">
        <v>309</v>
      </c>
      <c r="N1009" s="37" t="s">
        <v>296</v>
      </c>
      <c r="O1009" s="27"/>
      <c r="P1009" s="27"/>
      <c r="Q1009" s="27" t="s">
        <v>1510</v>
      </c>
      <c r="R1009" s="27" t="s">
        <v>1511</v>
      </c>
      <c r="S1009" s="3" t="s">
        <v>312</v>
      </c>
      <c r="T1009" s="29" t="s">
        <v>265</v>
      </c>
      <c r="U1009" s="27"/>
      <c r="V1009" s="27" t="s">
        <v>298</v>
      </c>
      <c r="W1009" s="27"/>
    </row>
    <row r="1010" spans="1:23" ht="24" customHeight="1">
      <c r="A1010" s="27" t="str">
        <f t="shared" ca="1" si="15"/>
        <v>EVT-2026-1008</v>
      </c>
      <c r="B1010" s="27">
        <v>2026</v>
      </c>
      <c r="C1010" s="27" t="s">
        <v>104</v>
      </c>
      <c r="D1010" s="30">
        <v>46217</v>
      </c>
      <c r="E1010" s="27" t="s">
        <v>227</v>
      </c>
      <c r="F1010" s="27" t="s">
        <v>126</v>
      </c>
      <c r="G1010" s="27" t="s">
        <v>202</v>
      </c>
      <c r="H1010" s="27" t="s">
        <v>1366</v>
      </c>
      <c r="I1010" s="27" t="s">
        <v>1602</v>
      </c>
      <c r="J1010" s="27" t="s">
        <v>127</v>
      </c>
      <c r="K1010" s="10">
        <v>50</v>
      </c>
      <c r="L1010" s="36" t="s">
        <v>263</v>
      </c>
      <c r="M1010" s="37" t="s">
        <v>429</v>
      </c>
      <c r="N1010" s="37" t="s">
        <v>354</v>
      </c>
      <c r="O1010" s="27"/>
      <c r="P1010" s="27"/>
      <c r="Q1010" s="27" t="s">
        <v>1603</v>
      </c>
      <c r="R1010" s="27" t="s">
        <v>1604</v>
      </c>
      <c r="S1010" s="1" t="s">
        <v>264</v>
      </c>
      <c r="T1010" s="29" t="s">
        <v>265</v>
      </c>
      <c r="U1010" s="30">
        <v>46212</v>
      </c>
      <c r="V1010" s="27" t="s">
        <v>298</v>
      </c>
      <c r="W1010" s="27"/>
    </row>
    <row r="1011" spans="1:23" ht="24" customHeight="1">
      <c r="A1011" s="27" t="str">
        <f t="shared" ca="1" si="15"/>
        <v>EVT-2026-1009</v>
      </c>
      <c r="B1011" s="27">
        <v>2026</v>
      </c>
      <c r="C1011" s="27" t="s">
        <v>104</v>
      </c>
      <c r="D1011" s="30">
        <v>46217</v>
      </c>
      <c r="E1011" s="27" t="s">
        <v>227</v>
      </c>
      <c r="F1011" s="27" t="s">
        <v>126</v>
      </c>
      <c r="G1011" s="27" t="s">
        <v>208</v>
      </c>
      <c r="H1011" s="27" t="s">
        <v>1366</v>
      </c>
      <c r="I1011" s="27" t="s">
        <v>1605</v>
      </c>
      <c r="J1011" s="27" t="s">
        <v>127</v>
      </c>
      <c r="K1011" s="10">
        <v>20</v>
      </c>
      <c r="L1011" s="36" t="s">
        <v>263</v>
      </c>
      <c r="M1011" s="37" t="s">
        <v>290</v>
      </c>
      <c r="N1011" s="37" t="s">
        <v>1320</v>
      </c>
      <c r="O1011" s="27"/>
      <c r="P1011" s="27"/>
      <c r="Q1011" s="27" t="s">
        <v>1606</v>
      </c>
      <c r="R1011" s="27"/>
      <c r="S1011" s="1" t="s">
        <v>264</v>
      </c>
      <c r="T1011" s="29" t="s">
        <v>265</v>
      </c>
      <c r="U1011" s="27"/>
      <c r="V1011" s="27" t="s">
        <v>1607</v>
      </c>
      <c r="W1011" s="27" t="s">
        <v>1608</v>
      </c>
    </row>
    <row r="1012" spans="1:23" ht="24" customHeight="1">
      <c r="A1012" s="27" t="str">
        <f t="shared" ca="1" si="15"/>
        <v>EVT-2026-1010</v>
      </c>
      <c r="B1012" s="27">
        <v>2026</v>
      </c>
      <c r="C1012" s="27" t="s">
        <v>104</v>
      </c>
      <c r="D1012" s="30">
        <v>46217</v>
      </c>
      <c r="E1012" s="27" t="s">
        <v>227</v>
      </c>
      <c r="F1012" s="27" t="s">
        <v>126</v>
      </c>
      <c r="G1012" s="27" t="s">
        <v>228</v>
      </c>
      <c r="H1012" s="27" t="s">
        <v>125</v>
      </c>
      <c r="I1012" s="27" t="s">
        <v>1576</v>
      </c>
      <c r="J1012" s="27" t="s">
        <v>127</v>
      </c>
      <c r="K1012" s="10">
        <v>70</v>
      </c>
      <c r="L1012" s="36" t="s">
        <v>263</v>
      </c>
      <c r="M1012" s="37" t="s">
        <v>315</v>
      </c>
      <c r="N1012" s="37" t="s">
        <v>506</v>
      </c>
      <c r="O1012" s="27"/>
      <c r="P1012" s="27"/>
      <c r="Q1012" s="27" t="s">
        <v>1609</v>
      </c>
      <c r="R1012" s="27" t="s">
        <v>213</v>
      </c>
      <c r="S1012" s="1" t="s">
        <v>264</v>
      </c>
      <c r="T1012" s="29" t="s">
        <v>265</v>
      </c>
      <c r="U1012" s="30">
        <v>46210</v>
      </c>
      <c r="V1012" s="27" t="s">
        <v>1610</v>
      </c>
      <c r="W1012" s="27"/>
    </row>
    <row r="1013" spans="1:23" ht="24" customHeight="1">
      <c r="A1013" s="27" t="str">
        <f t="shared" ca="1" si="15"/>
        <v>EVT-2026-1011</v>
      </c>
      <c r="B1013" s="27">
        <v>2026</v>
      </c>
      <c r="C1013" s="27" t="s">
        <v>104</v>
      </c>
      <c r="D1013" s="30">
        <v>46218</v>
      </c>
      <c r="E1013" s="27" t="s">
        <v>201</v>
      </c>
      <c r="F1013" s="27" t="s">
        <v>126</v>
      </c>
      <c r="G1013" s="27" t="s">
        <v>208</v>
      </c>
      <c r="H1013" s="27" t="s">
        <v>1366</v>
      </c>
      <c r="I1013" s="27" t="s">
        <v>217</v>
      </c>
      <c r="J1013" s="27" t="s">
        <v>145</v>
      </c>
      <c r="K1013" s="10">
        <v>50</v>
      </c>
      <c r="L1013" s="36" t="s">
        <v>263</v>
      </c>
      <c r="M1013" s="37" t="s">
        <v>309</v>
      </c>
      <c r="N1013" s="37" t="s">
        <v>296</v>
      </c>
      <c r="O1013" s="27"/>
      <c r="P1013" s="27"/>
      <c r="Q1013" s="27" t="s">
        <v>370</v>
      </c>
      <c r="R1013" s="27" t="s">
        <v>1511</v>
      </c>
      <c r="S1013" s="1" t="s">
        <v>264</v>
      </c>
      <c r="T1013" s="29" t="s">
        <v>265</v>
      </c>
      <c r="U1013" s="27"/>
      <c r="V1013" s="27" t="s">
        <v>298</v>
      </c>
      <c r="W1013" s="27"/>
    </row>
    <row r="1014" spans="1:23" ht="24" customHeight="1">
      <c r="A1014" s="27" t="str">
        <f t="shared" ca="1" si="15"/>
        <v>EVT-2026-1012</v>
      </c>
      <c r="B1014" s="27">
        <v>2026</v>
      </c>
      <c r="C1014" s="27" t="s">
        <v>104</v>
      </c>
      <c r="D1014" s="30">
        <v>46218</v>
      </c>
      <c r="E1014" s="27" t="s">
        <v>201</v>
      </c>
      <c r="F1014" s="27" t="s">
        <v>126</v>
      </c>
      <c r="G1014" s="27" t="s">
        <v>228</v>
      </c>
      <c r="H1014" s="27" t="s">
        <v>1611</v>
      </c>
      <c r="I1014" s="27" t="s">
        <v>344</v>
      </c>
      <c r="J1014" s="27" t="s">
        <v>134</v>
      </c>
      <c r="K1014" s="10">
        <v>10</v>
      </c>
      <c r="L1014" s="36" t="s">
        <v>263</v>
      </c>
      <c r="M1014" s="37" t="s">
        <v>269</v>
      </c>
      <c r="N1014" s="37" t="s">
        <v>270</v>
      </c>
      <c r="O1014" s="27"/>
      <c r="P1014" s="27"/>
      <c r="Q1014" s="27" t="s">
        <v>1585</v>
      </c>
      <c r="R1014" s="27" t="s">
        <v>1586</v>
      </c>
      <c r="S1014" s="1" t="s">
        <v>264</v>
      </c>
      <c r="T1014" s="29" t="s">
        <v>265</v>
      </c>
      <c r="U1014" s="27"/>
      <c r="V1014" s="27"/>
      <c r="W1014" s="27"/>
    </row>
    <row r="1015" spans="1:23" ht="24" customHeight="1">
      <c r="A1015" s="27" t="str">
        <f t="shared" ca="1" si="15"/>
        <v>EVT-2026-1013</v>
      </c>
      <c r="B1015" s="27">
        <v>2026</v>
      </c>
      <c r="C1015" s="27" t="s">
        <v>104</v>
      </c>
      <c r="D1015" s="30">
        <v>46218</v>
      </c>
      <c r="E1015" s="27" t="s">
        <v>201</v>
      </c>
      <c r="F1015" s="27" t="s">
        <v>126</v>
      </c>
      <c r="G1015" s="27" t="s">
        <v>202</v>
      </c>
      <c r="H1015" s="27" t="s">
        <v>736</v>
      </c>
      <c r="I1015" s="27" t="s">
        <v>344</v>
      </c>
      <c r="J1015" s="27" t="s">
        <v>134</v>
      </c>
      <c r="K1015" s="10">
        <v>24</v>
      </c>
      <c r="L1015" s="36" t="s">
        <v>263</v>
      </c>
      <c r="M1015" s="37" t="s">
        <v>269</v>
      </c>
      <c r="N1015" s="37" t="s">
        <v>270</v>
      </c>
      <c r="O1015" s="27"/>
      <c r="P1015" s="27"/>
      <c r="Q1015" s="27" t="s">
        <v>277</v>
      </c>
      <c r="R1015" s="27" t="s">
        <v>1587</v>
      </c>
      <c r="S1015" s="1" t="s">
        <v>264</v>
      </c>
      <c r="T1015" s="29" t="s">
        <v>265</v>
      </c>
      <c r="U1015" s="30">
        <v>46203</v>
      </c>
      <c r="V1015" s="27"/>
      <c r="W1015" s="27"/>
    </row>
    <row r="1016" spans="1:23" ht="24" customHeight="1">
      <c r="A1016" s="27" t="str">
        <f t="shared" ca="1" si="15"/>
        <v>EVT-2026-1014</v>
      </c>
      <c r="B1016" s="27">
        <v>2026</v>
      </c>
      <c r="C1016" s="27" t="s">
        <v>104</v>
      </c>
      <c r="D1016" s="30">
        <v>46218</v>
      </c>
      <c r="E1016" s="27" t="s">
        <v>201</v>
      </c>
      <c r="F1016" s="27" t="s">
        <v>126</v>
      </c>
      <c r="G1016" s="27" t="s">
        <v>202</v>
      </c>
      <c r="H1016" s="27" t="s">
        <v>239</v>
      </c>
      <c r="I1016" s="27" t="s">
        <v>1160</v>
      </c>
      <c r="J1016" s="27" t="s">
        <v>127</v>
      </c>
      <c r="K1016" s="10">
        <v>200</v>
      </c>
      <c r="L1016" s="38" t="s">
        <v>294</v>
      </c>
      <c r="M1016" s="37" t="s">
        <v>295</v>
      </c>
      <c r="N1016" s="37" t="s">
        <v>270</v>
      </c>
      <c r="O1016" s="27"/>
      <c r="P1016" s="27"/>
      <c r="Q1016" s="27" t="s">
        <v>1612</v>
      </c>
      <c r="R1016" s="27" t="s">
        <v>1613</v>
      </c>
      <c r="S1016" s="1" t="s">
        <v>264</v>
      </c>
      <c r="T1016" s="29" t="s">
        <v>265</v>
      </c>
      <c r="U1016" s="30">
        <v>46211</v>
      </c>
      <c r="V1016" s="27" t="s">
        <v>1177</v>
      </c>
      <c r="W1016" s="27"/>
    </row>
    <row r="1017" spans="1:23" ht="24" customHeight="1">
      <c r="A1017" s="27" t="str">
        <f t="shared" ca="1" si="15"/>
        <v>EVT-2026-1015</v>
      </c>
      <c r="B1017" s="27">
        <v>2026</v>
      </c>
      <c r="C1017" s="27" t="s">
        <v>104</v>
      </c>
      <c r="D1017" s="30">
        <v>46218</v>
      </c>
      <c r="E1017" s="27" t="s">
        <v>201</v>
      </c>
      <c r="F1017" s="27" t="s">
        <v>126</v>
      </c>
      <c r="G1017" s="27" t="s">
        <v>202</v>
      </c>
      <c r="H1017" s="27" t="s">
        <v>1614</v>
      </c>
      <c r="I1017" s="27" t="s">
        <v>1615</v>
      </c>
      <c r="J1017" s="27" t="s">
        <v>177</v>
      </c>
      <c r="K1017" s="10">
        <v>50</v>
      </c>
      <c r="L1017" s="36" t="s">
        <v>263</v>
      </c>
      <c r="M1017" s="37" t="s">
        <v>309</v>
      </c>
      <c r="N1017" s="37" t="s">
        <v>296</v>
      </c>
      <c r="O1017" s="27"/>
      <c r="P1017" s="27"/>
      <c r="Q1017" s="27" t="s">
        <v>1616</v>
      </c>
      <c r="R1017" s="27" t="s">
        <v>1617</v>
      </c>
      <c r="S1017" s="1" t="s">
        <v>264</v>
      </c>
      <c r="T1017" s="29" t="s">
        <v>265</v>
      </c>
      <c r="U1017" s="30">
        <v>46206</v>
      </c>
      <c r="V1017" s="27" t="s">
        <v>1618</v>
      </c>
      <c r="W1017" s="27"/>
    </row>
    <row r="1018" spans="1:23" ht="24" customHeight="1">
      <c r="A1018" s="27" t="str">
        <f t="shared" ca="1" si="15"/>
        <v>EVT-2026-1016</v>
      </c>
      <c r="B1018" s="27">
        <v>2026</v>
      </c>
      <c r="C1018" s="27" t="s">
        <v>104</v>
      </c>
      <c r="D1018" s="30">
        <v>46218</v>
      </c>
      <c r="E1018" s="27" t="s">
        <v>201</v>
      </c>
      <c r="F1018" s="27" t="s">
        <v>126</v>
      </c>
      <c r="G1018" s="27" t="s">
        <v>202</v>
      </c>
      <c r="H1018" s="27" t="s">
        <v>239</v>
      </c>
      <c r="I1018" s="27" t="s">
        <v>1619</v>
      </c>
      <c r="J1018" s="27" t="s">
        <v>177</v>
      </c>
      <c r="K1018" s="10">
        <v>175</v>
      </c>
      <c r="L1018" s="38" t="s">
        <v>294</v>
      </c>
      <c r="M1018" s="37" t="s">
        <v>550</v>
      </c>
      <c r="N1018" s="37" t="s">
        <v>429</v>
      </c>
      <c r="O1018" s="27"/>
      <c r="P1018" s="27"/>
      <c r="Q1018" s="27" t="s">
        <v>785</v>
      </c>
      <c r="R1018" s="27" t="s">
        <v>1620</v>
      </c>
      <c r="S1018" s="1" t="s">
        <v>264</v>
      </c>
      <c r="T1018" s="29" t="s">
        <v>265</v>
      </c>
      <c r="U1018" s="30">
        <v>46213</v>
      </c>
      <c r="V1018" s="27" t="s">
        <v>1177</v>
      </c>
      <c r="W1018" s="27"/>
    </row>
    <row r="1019" spans="1:23" ht="24" customHeight="1">
      <c r="A1019" s="27" t="str">
        <f t="shared" ca="1" si="15"/>
        <v>EVT-2026-1017</v>
      </c>
      <c r="B1019" s="27">
        <v>2026</v>
      </c>
      <c r="C1019" s="27" t="s">
        <v>104</v>
      </c>
      <c r="D1019" s="30">
        <v>46218</v>
      </c>
      <c r="E1019" s="27" t="s">
        <v>201</v>
      </c>
      <c r="F1019" s="27" t="s">
        <v>126</v>
      </c>
      <c r="G1019" s="27" t="s">
        <v>228</v>
      </c>
      <c r="H1019" s="27" t="s">
        <v>1512</v>
      </c>
      <c r="I1019" s="27" t="s">
        <v>1621</v>
      </c>
      <c r="J1019" s="27" t="s">
        <v>145</v>
      </c>
      <c r="K1019" s="10">
        <v>30</v>
      </c>
      <c r="L1019" s="36" t="s">
        <v>263</v>
      </c>
      <c r="M1019" s="37" t="s">
        <v>309</v>
      </c>
      <c r="N1019" s="37" t="s">
        <v>1168</v>
      </c>
      <c r="O1019" s="27"/>
      <c r="P1019" s="27"/>
      <c r="Q1019" s="27" t="s">
        <v>760</v>
      </c>
      <c r="R1019" s="27" t="s">
        <v>1622</v>
      </c>
      <c r="S1019" s="1" t="s">
        <v>264</v>
      </c>
      <c r="T1019" s="29" t="s">
        <v>265</v>
      </c>
      <c r="U1019" s="30">
        <v>46217</v>
      </c>
      <c r="V1019" s="27" t="s">
        <v>1623</v>
      </c>
      <c r="W1019" s="27"/>
    </row>
    <row r="1020" spans="1:23" ht="24" customHeight="1">
      <c r="A1020" s="27" t="str">
        <f t="shared" ca="1" si="15"/>
        <v>EVT-2026-1018</v>
      </c>
      <c r="B1020" s="27">
        <v>2026</v>
      </c>
      <c r="C1020" s="27" t="s">
        <v>104</v>
      </c>
      <c r="D1020" s="30">
        <v>46218</v>
      </c>
      <c r="E1020" s="27" t="s">
        <v>201</v>
      </c>
      <c r="F1020" s="27" t="s">
        <v>126</v>
      </c>
      <c r="G1020" s="27" t="s">
        <v>228</v>
      </c>
      <c r="H1020" s="27" t="s">
        <v>1512</v>
      </c>
      <c r="I1020" s="27" t="s">
        <v>1624</v>
      </c>
      <c r="J1020" s="27" t="s">
        <v>127</v>
      </c>
      <c r="K1020" s="10">
        <v>100</v>
      </c>
      <c r="L1020" s="38" t="s">
        <v>294</v>
      </c>
      <c r="M1020" s="37" t="s">
        <v>330</v>
      </c>
      <c r="N1020" s="37" t="s">
        <v>331</v>
      </c>
      <c r="O1020" s="27"/>
      <c r="P1020" s="27"/>
      <c r="Q1020" s="27" t="s">
        <v>1625</v>
      </c>
      <c r="R1020" s="27" t="s">
        <v>1626</v>
      </c>
      <c r="S1020" s="1" t="s">
        <v>264</v>
      </c>
      <c r="T1020" s="29" t="s">
        <v>265</v>
      </c>
      <c r="U1020" s="30">
        <v>46197</v>
      </c>
      <c r="V1020" s="27" t="s">
        <v>1627</v>
      </c>
      <c r="W1020" s="27"/>
    </row>
    <row r="1021" spans="1:23" ht="24" customHeight="1">
      <c r="A1021" s="27" t="str">
        <f t="shared" ca="1" si="15"/>
        <v>EVT-2026-1019</v>
      </c>
      <c r="B1021" s="27">
        <v>2026</v>
      </c>
      <c r="C1021" s="27" t="s">
        <v>104</v>
      </c>
      <c r="D1021" s="30">
        <v>46218</v>
      </c>
      <c r="E1021" s="27" t="s">
        <v>201</v>
      </c>
      <c r="F1021" s="27" t="s">
        <v>126</v>
      </c>
      <c r="G1021" s="27" t="s">
        <v>1260</v>
      </c>
      <c r="H1021" s="27" t="s">
        <v>1366</v>
      </c>
      <c r="I1021" s="27" t="s">
        <v>1570</v>
      </c>
      <c r="J1021" s="27" t="s">
        <v>158</v>
      </c>
      <c r="K1021" s="10">
        <v>16</v>
      </c>
      <c r="L1021" s="36" t="s">
        <v>263</v>
      </c>
      <c r="M1021" s="37" t="s">
        <v>275</v>
      </c>
      <c r="N1021" s="37" t="s">
        <v>270</v>
      </c>
      <c r="O1021" s="27"/>
      <c r="P1021" s="27"/>
      <c r="Q1021" s="27" t="s">
        <v>351</v>
      </c>
      <c r="R1021" s="27" t="s">
        <v>1601</v>
      </c>
      <c r="S1021" s="1" t="s">
        <v>264</v>
      </c>
      <c r="T1021" s="29" t="s">
        <v>265</v>
      </c>
      <c r="U1021" s="30">
        <v>46209</v>
      </c>
      <c r="V1021" s="27" t="s">
        <v>1571</v>
      </c>
      <c r="W1021" s="27"/>
    </row>
    <row r="1022" spans="1:23" ht="24" customHeight="1">
      <c r="A1022" s="27" t="str">
        <f t="shared" ca="1" si="15"/>
        <v>EVT-2026-1020</v>
      </c>
      <c r="B1022" s="27">
        <v>2026</v>
      </c>
      <c r="C1022" s="27" t="s">
        <v>104</v>
      </c>
      <c r="D1022" s="30">
        <v>46218</v>
      </c>
      <c r="E1022" s="27" t="s">
        <v>201</v>
      </c>
      <c r="F1022" s="27" t="s">
        <v>126</v>
      </c>
      <c r="G1022" s="27" t="s">
        <v>202</v>
      </c>
      <c r="H1022" s="27" t="s">
        <v>1366</v>
      </c>
      <c r="I1022" s="27" t="s">
        <v>1628</v>
      </c>
      <c r="J1022" s="27" t="s">
        <v>127</v>
      </c>
      <c r="K1022" s="10">
        <v>70</v>
      </c>
      <c r="L1022" s="36" t="s">
        <v>263</v>
      </c>
      <c r="M1022" s="37" t="s">
        <v>359</v>
      </c>
      <c r="N1022" s="37" t="s">
        <v>296</v>
      </c>
      <c r="O1022" s="27"/>
      <c r="P1022" s="27"/>
      <c r="Q1022" s="27" t="s">
        <v>1629</v>
      </c>
      <c r="R1022" s="27" t="s">
        <v>1630</v>
      </c>
      <c r="S1022" s="1" t="s">
        <v>264</v>
      </c>
      <c r="T1022" s="29" t="s">
        <v>265</v>
      </c>
      <c r="U1022" s="30">
        <v>46212</v>
      </c>
      <c r="V1022" s="27" t="s">
        <v>1177</v>
      </c>
      <c r="W1022" s="27"/>
    </row>
    <row r="1023" spans="1:23" ht="24" customHeight="1">
      <c r="A1023" s="27" t="str">
        <f t="shared" ca="1" si="15"/>
        <v>EVT-2026-1021</v>
      </c>
      <c r="B1023" s="27">
        <v>2026</v>
      </c>
      <c r="C1023" s="27" t="s">
        <v>104</v>
      </c>
      <c r="D1023" s="30">
        <v>46219</v>
      </c>
      <c r="E1023" s="27" t="s">
        <v>216</v>
      </c>
      <c r="F1023" s="27" t="s">
        <v>126</v>
      </c>
      <c r="G1023" s="27" t="s">
        <v>228</v>
      </c>
      <c r="H1023" s="27" t="s">
        <v>125</v>
      </c>
      <c r="I1023" s="27" t="s">
        <v>1132</v>
      </c>
      <c r="J1023" s="27" t="s">
        <v>152</v>
      </c>
      <c r="K1023" s="10">
        <v>40</v>
      </c>
      <c r="L1023" s="36" t="s">
        <v>263</v>
      </c>
      <c r="M1023" s="37" t="s">
        <v>359</v>
      </c>
      <c r="N1023" s="37" t="s">
        <v>290</v>
      </c>
      <c r="O1023" s="27"/>
      <c r="P1023" s="27"/>
      <c r="Q1023" s="27" t="s">
        <v>367</v>
      </c>
      <c r="R1023" s="27" t="s">
        <v>213</v>
      </c>
      <c r="S1023" s="1" t="s">
        <v>264</v>
      </c>
      <c r="T1023" s="29" t="s">
        <v>265</v>
      </c>
      <c r="U1023" s="27"/>
      <c r="V1023" s="27" t="s">
        <v>298</v>
      </c>
      <c r="W1023" s="27"/>
    </row>
    <row r="1024" spans="1:23" ht="24" customHeight="1">
      <c r="A1024" s="27" t="str">
        <f t="shared" ca="1" si="15"/>
        <v>EVT-2026-1022</v>
      </c>
      <c r="B1024" s="27">
        <v>2026</v>
      </c>
      <c r="C1024" s="27" t="s">
        <v>104</v>
      </c>
      <c r="D1024" s="30">
        <v>46219</v>
      </c>
      <c r="E1024" s="27" t="s">
        <v>216</v>
      </c>
      <c r="F1024" s="27" t="s">
        <v>126</v>
      </c>
      <c r="G1024" s="27" t="s">
        <v>228</v>
      </c>
      <c r="H1024" s="27" t="s">
        <v>1611</v>
      </c>
      <c r="I1024" s="27" t="s">
        <v>1631</v>
      </c>
      <c r="J1024" s="27" t="s">
        <v>134</v>
      </c>
      <c r="K1024" s="10">
        <v>10</v>
      </c>
      <c r="L1024" s="36" t="s">
        <v>263</v>
      </c>
      <c r="M1024" s="37" t="s">
        <v>269</v>
      </c>
      <c r="N1024" s="37" t="s">
        <v>270</v>
      </c>
      <c r="O1024" s="27"/>
      <c r="P1024" s="27"/>
      <c r="Q1024" s="27" t="s">
        <v>1585</v>
      </c>
      <c r="R1024" s="27" t="s">
        <v>1586</v>
      </c>
      <c r="S1024" s="1" t="s">
        <v>264</v>
      </c>
      <c r="T1024" s="29" t="s">
        <v>265</v>
      </c>
      <c r="U1024" s="27"/>
      <c r="V1024" s="27"/>
      <c r="W1024" s="27"/>
    </row>
    <row r="1025" spans="1:23" ht="24" customHeight="1">
      <c r="A1025" s="27" t="str">
        <f t="shared" ca="1" si="15"/>
        <v>EVT-2026-1023</v>
      </c>
      <c r="B1025" s="27">
        <v>2026</v>
      </c>
      <c r="C1025" s="27" t="s">
        <v>104</v>
      </c>
      <c r="D1025" s="30">
        <v>46219</v>
      </c>
      <c r="E1025" s="27" t="s">
        <v>216</v>
      </c>
      <c r="F1025" s="27" t="s">
        <v>126</v>
      </c>
      <c r="G1025" s="27" t="s">
        <v>228</v>
      </c>
      <c r="H1025" s="27" t="s">
        <v>125</v>
      </c>
      <c r="I1025" s="27" t="s">
        <v>1590</v>
      </c>
      <c r="J1025" s="27" t="s">
        <v>127</v>
      </c>
      <c r="K1025" s="10">
        <v>150</v>
      </c>
      <c r="L1025" s="38" t="s">
        <v>294</v>
      </c>
      <c r="M1025" s="37" t="s">
        <v>275</v>
      </c>
      <c r="N1025" s="37" t="s">
        <v>359</v>
      </c>
      <c r="O1025" s="27" t="s">
        <v>1632</v>
      </c>
      <c r="P1025" s="27"/>
      <c r="Q1025" s="27" t="s">
        <v>585</v>
      </c>
      <c r="R1025" s="27" t="s">
        <v>1592</v>
      </c>
      <c r="S1025" s="3" t="s">
        <v>312</v>
      </c>
      <c r="T1025" s="29" t="s">
        <v>265</v>
      </c>
      <c r="U1025" s="30">
        <v>46213</v>
      </c>
      <c r="V1025" s="27" t="s">
        <v>1633</v>
      </c>
      <c r="W1025" s="27"/>
    </row>
    <row r="1026" spans="1:23" ht="24" customHeight="1">
      <c r="A1026" s="27" t="str">
        <f t="shared" ca="1" si="15"/>
        <v>EVT-2026-1024</v>
      </c>
      <c r="B1026" s="27">
        <v>2026</v>
      </c>
      <c r="C1026" s="27" t="s">
        <v>104</v>
      </c>
      <c r="D1026" s="30">
        <v>46219</v>
      </c>
      <c r="E1026" s="27" t="s">
        <v>216</v>
      </c>
      <c r="F1026" s="27" t="s">
        <v>126</v>
      </c>
      <c r="G1026" s="27" t="s">
        <v>202</v>
      </c>
      <c r="H1026" s="27" t="s">
        <v>736</v>
      </c>
      <c r="I1026" s="27" t="s">
        <v>1631</v>
      </c>
      <c r="J1026" s="27" t="s">
        <v>134</v>
      </c>
      <c r="K1026" s="10">
        <v>24</v>
      </c>
      <c r="L1026" s="36" t="s">
        <v>263</v>
      </c>
      <c r="M1026" s="37" t="s">
        <v>269</v>
      </c>
      <c r="N1026" s="37" t="s">
        <v>270</v>
      </c>
      <c r="O1026" s="27"/>
      <c r="P1026" s="27"/>
      <c r="Q1026" s="27" t="s">
        <v>277</v>
      </c>
      <c r="R1026" s="27" t="s">
        <v>1587</v>
      </c>
      <c r="S1026" s="1" t="s">
        <v>264</v>
      </c>
      <c r="T1026" s="29" t="s">
        <v>265</v>
      </c>
      <c r="U1026" s="30">
        <v>46203</v>
      </c>
      <c r="V1026" s="27"/>
      <c r="W1026" s="27"/>
    </row>
    <row r="1027" spans="1:23" ht="24" customHeight="1">
      <c r="A1027" s="27" t="str">
        <f t="shared" ref="A1027:A1090" ca="1" si="16">IF(OR(D1027&lt;&gt;"",H1027&lt;&gt;"",I1027&lt;&gt;"",Q1027&lt;&gt;"",S1027&lt;&gt;""), "EVT-" &amp; TEXT(B1027, "0000") &amp; "-" &amp; TEXT(COUNTIF(OFFSET($A$1, 1, 0, ROW()-2, 1), "EVT*") + 1, "0000"), "")</f>
        <v>EVT-2026-1025</v>
      </c>
      <c r="B1027" s="27">
        <v>2026</v>
      </c>
      <c r="C1027" s="27" t="s">
        <v>104</v>
      </c>
      <c r="D1027" s="30">
        <v>46219</v>
      </c>
      <c r="E1027" s="27" t="s">
        <v>216</v>
      </c>
      <c r="F1027" s="27" t="s">
        <v>126</v>
      </c>
      <c r="G1027" s="27" t="s">
        <v>202</v>
      </c>
      <c r="H1027" s="27" t="s">
        <v>1366</v>
      </c>
      <c r="I1027" s="27" t="s">
        <v>1634</v>
      </c>
      <c r="J1027" s="27" t="s">
        <v>158</v>
      </c>
      <c r="K1027" s="10">
        <v>30</v>
      </c>
      <c r="L1027" s="36" t="s">
        <v>263</v>
      </c>
      <c r="M1027" s="37" t="s">
        <v>309</v>
      </c>
      <c r="N1027" s="37" t="s">
        <v>295</v>
      </c>
      <c r="O1027" s="27"/>
      <c r="P1027" s="27"/>
      <c r="Q1027" s="27" t="s">
        <v>351</v>
      </c>
      <c r="R1027" s="27" t="s">
        <v>1601</v>
      </c>
      <c r="S1027" s="1" t="s">
        <v>264</v>
      </c>
      <c r="T1027" s="29" t="s">
        <v>265</v>
      </c>
      <c r="U1027" s="30">
        <v>46212</v>
      </c>
      <c r="V1027" s="27" t="s">
        <v>298</v>
      </c>
      <c r="W1027" s="27"/>
    </row>
    <row r="1028" spans="1:23" ht="24" customHeight="1">
      <c r="A1028" s="27" t="str">
        <f t="shared" ca="1" si="16"/>
        <v>EVT-2026-1026</v>
      </c>
      <c r="B1028" s="27">
        <v>2026</v>
      </c>
      <c r="C1028" s="27" t="s">
        <v>104</v>
      </c>
      <c r="D1028" s="30">
        <v>46219</v>
      </c>
      <c r="E1028" s="27" t="s">
        <v>216</v>
      </c>
      <c r="F1028" s="27" t="s">
        <v>126</v>
      </c>
      <c r="G1028" s="27" t="s">
        <v>228</v>
      </c>
      <c r="H1028" s="27" t="s">
        <v>125</v>
      </c>
      <c r="I1028" s="27" t="s">
        <v>1635</v>
      </c>
      <c r="J1028" s="27" t="s">
        <v>134</v>
      </c>
      <c r="K1028" s="10">
        <v>100</v>
      </c>
      <c r="L1028" s="38" t="s">
        <v>294</v>
      </c>
      <c r="M1028" s="37" t="s">
        <v>338</v>
      </c>
      <c r="N1028" s="37" t="s">
        <v>274</v>
      </c>
      <c r="O1028" s="27" t="s">
        <v>1445</v>
      </c>
      <c r="P1028" s="27"/>
      <c r="Q1028" s="27" t="s">
        <v>355</v>
      </c>
      <c r="R1028" s="27" t="s">
        <v>1583</v>
      </c>
      <c r="S1028" s="1" t="s">
        <v>264</v>
      </c>
      <c r="T1028" s="29" t="s">
        <v>265</v>
      </c>
      <c r="U1028" s="30">
        <v>46218</v>
      </c>
      <c r="V1028" s="27" t="s">
        <v>298</v>
      </c>
      <c r="W1028" s="27"/>
    </row>
    <row r="1029" spans="1:23" ht="24" customHeight="1">
      <c r="A1029" s="27" t="str">
        <f t="shared" ca="1" si="16"/>
        <v>EVT-2026-1027</v>
      </c>
      <c r="B1029" s="27">
        <v>2026</v>
      </c>
      <c r="C1029" s="27" t="s">
        <v>104</v>
      </c>
      <c r="D1029" s="30">
        <v>46219</v>
      </c>
      <c r="E1029" s="27" t="s">
        <v>216</v>
      </c>
      <c r="F1029" s="27" t="s">
        <v>126</v>
      </c>
      <c r="G1029" s="27" t="s">
        <v>228</v>
      </c>
      <c r="H1029" s="27" t="s">
        <v>125</v>
      </c>
      <c r="I1029" s="27" t="s">
        <v>1636</v>
      </c>
      <c r="J1029" s="27" t="s">
        <v>127</v>
      </c>
      <c r="K1029" s="10">
        <v>90</v>
      </c>
      <c r="L1029" s="36" t="s">
        <v>263</v>
      </c>
      <c r="M1029" s="37" t="s">
        <v>274</v>
      </c>
      <c r="N1029" s="37" t="s">
        <v>354</v>
      </c>
      <c r="O1029" s="27"/>
      <c r="P1029" s="27"/>
      <c r="Q1029" s="27" t="s">
        <v>378</v>
      </c>
      <c r="R1029" s="27" t="s">
        <v>1637</v>
      </c>
      <c r="S1029" s="1" t="s">
        <v>264</v>
      </c>
      <c r="T1029" s="29" t="s">
        <v>265</v>
      </c>
      <c r="U1029" s="30">
        <v>46197</v>
      </c>
      <c r="V1029" s="27" t="s">
        <v>298</v>
      </c>
      <c r="W1029" s="27"/>
    </row>
    <row r="1030" spans="1:23" ht="24" customHeight="1">
      <c r="A1030" s="27" t="str">
        <f t="shared" ca="1" si="16"/>
        <v>EVT-2026-1028</v>
      </c>
      <c r="B1030" s="27">
        <v>2026</v>
      </c>
      <c r="C1030" s="27" t="s">
        <v>104</v>
      </c>
      <c r="D1030" s="30">
        <v>46219</v>
      </c>
      <c r="E1030" s="27" t="s">
        <v>216</v>
      </c>
      <c r="F1030" s="27" t="s">
        <v>126</v>
      </c>
      <c r="G1030" s="27" t="s">
        <v>208</v>
      </c>
      <c r="H1030" s="27" t="s">
        <v>1366</v>
      </c>
      <c r="I1030" s="27" t="s">
        <v>217</v>
      </c>
      <c r="J1030" s="27" t="s">
        <v>145</v>
      </c>
      <c r="K1030" s="10">
        <v>50</v>
      </c>
      <c r="L1030" s="36" t="s">
        <v>263</v>
      </c>
      <c r="M1030" s="37" t="s">
        <v>309</v>
      </c>
      <c r="N1030" s="37" t="s">
        <v>296</v>
      </c>
      <c r="O1030" s="27"/>
      <c r="P1030" s="27"/>
      <c r="Q1030" s="27" t="s">
        <v>370</v>
      </c>
      <c r="R1030" s="27" t="s">
        <v>1511</v>
      </c>
      <c r="S1030" s="1" t="s">
        <v>264</v>
      </c>
      <c r="T1030" s="29" t="s">
        <v>265</v>
      </c>
      <c r="U1030" s="27"/>
      <c r="V1030" s="27" t="s">
        <v>298</v>
      </c>
      <c r="W1030" s="27"/>
    </row>
    <row r="1031" spans="1:23" ht="24" customHeight="1">
      <c r="A1031" s="27" t="str">
        <f t="shared" ca="1" si="16"/>
        <v>EVT-2026-1029</v>
      </c>
      <c r="B1031" s="27">
        <v>2026</v>
      </c>
      <c r="C1031" s="27" t="s">
        <v>104</v>
      </c>
      <c r="D1031" s="30">
        <v>46220</v>
      </c>
      <c r="E1031" s="27" t="s">
        <v>220</v>
      </c>
      <c r="F1031" s="27" t="s">
        <v>126</v>
      </c>
      <c r="G1031" s="27" t="s">
        <v>228</v>
      </c>
      <c r="H1031" s="27" t="s">
        <v>125</v>
      </c>
      <c r="I1031" s="27" t="s">
        <v>1638</v>
      </c>
      <c r="J1031" s="27" t="s">
        <v>127</v>
      </c>
      <c r="K1031" s="10">
        <v>25</v>
      </c>
      <c r="L1031" s="36" t="s">
        <v>263</v>
      </c>
      <c r="M1031" s="37" t="s">
        <v>275</v>
      </c>
      <c r="N1031" s="37" t="s">
        <v>295</v>
      </c>
      <c r="O1031" s="27"/>
      <c r="P1031" s="27"/>
      <c r="Q1031" s="27" t="s">
        <v>1591</v>
      </c>
      <c r="R1031" s="27" t="s">
        <v>1592</v>
      </c>
      <c r="S1031" s="1" t="s">
        <v>264</v>
      </c>
      <c r="T1031" s="29" t="s">
        <v>265</v>
      </c>
      <c r="U1031" s="30">
        <v>46212</v>
      </c>
      <c r="V1031" s="27" t="s">
        <v>1639</v>
      </c>
      <c r="W1031" s="27"/>
    </row>
    <row r="1032" spans="1:23" ht="24" customHeight="1">
      <c r="A1032" s="27" t="str">
        <f t="shared" ca="1" si="16"/>
        <v>EVT-2026-1030</v>
      </c>
      <c r="B1032" s="27">
        <v>2026</v>
      </c>
      <c r="C1032" s="27" t="s">
        <v>104</v>
      </c>
      <c r="D1032" s="30">
        <v>46220</v>
      </c>
      <c r="E1032" s="27" t="s">
        <v>220</v>
      </c>
      <c r="F1032" s="27" t="s">
        <v>126</v>
      </c>
      <c r="G1032" s="27" t="s">
        <v>228</v>
      </c>
      <c r="H1032" s="27" t="s">
        <v>1611</v>
      </c>
      <c r="I1032" s="27" t="s">
        <v>344</v>
      </c>
      <c r="J1032" s="27" t="s">
        <v>134</v>
      </c>
      <c r="K1032" s="10">
        <v>10</v>
      </c>
      <c r="L1032" s="36" t="s">
        <v>263</v>
      </c>
      <c r="M1032" s="37" t="s">
        <v>269</v>
      </c>
      <c r="N1032" s="37" t="s">
        <v>270</v>
      </c>
      <c r="O1032" s="27"/>
      <c r="P1032" s="27"/>
      <c r="Q1032" s="27" t="s">
        <v>1585</v>
      </c>
      <c r="R1032" s="27" t="s">
        <v>1586</v>
      </c>
      <c r="S1032" s="1" t="s">
        <v>264</v>
      </c>
      <c r="T1032" s="29" t="s">
        <v>265</v>
      </c>
      <c r="U1032" s="27"/>
      <c r="V1032" s="27"/>
      <c r="W1032" s="27"/>
    </row>
    <row r="1033" spans="1:23" ht="24" customHeight="1">
      <c r="A1033" s="27" t="str">
        <f t="shared" ca="1" si="16"/>
        <v>EVT-2026-1031</v>
      </c>
      <c r="B1033" s="27">
        <v>2026</v>
      </c>
      <c r="C1033" s="27" t="s">
        <v>104</v>
      </c>
      <c r="D1033" s="30">
        <v>46220</v>
      </c>
      <c r="E1033" s="27" t="s">
        <v>220</v>
      </c>
      <c r="F1033" s="27" t="s">
        <v>126</v>
      </c>
      <c r="G1033" s="27" t="s">
        <v>202</v>
      </c>
      <c r="H1033" s="27" t="s">
        <v>736</v>
      </c>
      <c r="I1033" s="27" t="s">
        <v>1631</v>
      </c>
      <c r="J1033" s="27" t="s">
        <v>134</v>
      </c>
      <c r="K1033" s="10">
        <v>24</v>
      </c>
      <c r="L1033" s="36" t="s">
        <v>263</v>
      </c>
      <c r="M1033" s="37" t="s">
        <v>269</v>
      </c>
      <c r="N1033" s="37" t="s">
        <v>270</v>
      </c>
      <c r="O1033" s="27"/>
      <c r="P1033" s="27"/>
      <c r="Q1033" s="27" t="s">
        <v>277</v>
      </c>
      <c r="R1033" s="27" t="s">
        <v>1587</v>
      </c>
      <c r="S1033" s="1" t="s">
        <v>264</v>
      </c>
      <c r="T1033" s="29" t="s">
        <v>265</v>
      </c>
      <c r="U1033" s="30">
        <v>46203</v>
      </c>
      <c r="V1033" s="27"/>
      <c r="W1033" s="27"/>
    </row>
    <row r="1034" spans="1:23" ht="24" customHeight="1">
      <c r="A1034" s="27" t="str">
        <f t="shared" ca="1" si="16"/>
        <v>EVT-2026-1032</v>
      </c>
      <c r="B1034" s="27">
        <v>2026</v>
      </c>
      <c r="C1034" s="27" t="s">
        <v>104</v>
      </c>
      <c r="D1034" s="30">
        <v>46221</v>
      </c>
      <c r="E1034" s="27" t="s">
        <v>266</v>
      </c>
      <c r="F1034" s="27" t="s">
        <v>126</v>
      </c>
      <c r="G1034" s="27"/>
      <c r="H1034" s="27"/>
      <c r="I1034" s="27"/>
      <c r="J1034" s="27" t="s">
        <v>177</v>
      </c>
      <c r="K1034" s="10">
        <v>0</v>
      </c>
      <c r="L1034" s="36" t="s">
        <v>263</v>
      </c>
      <c r="M1034" s="37"/>
      <c r="N1034" s="37"/>
      <c r="O1034" s="27"/>
      <c r="P1034" s="27"/>
      <c r="Q1034" s="27"/>
      <c r="R1034" s="27"/>
      <c r="S1034" s="1" t="s">
        <v>264</v>
      </c>
      <c r="T1034" s="29" t="s">
        <v>265</v>
      </c>
      <c r="U1034" s="27"/>
      <c r="V1034" s="27"/>
      <c r="W1034" s="27"/>
    </row>
    <row r="1035" spans="1:23" ht="24" customHeight="1">
      <c r="A1035" s="27" t="str">
        <f t="shared" ca="1" si="16"/>
        <v>EVT-2026-1033</v>
      </c>
      <c r="B1035" s="27">
        <v>2026</v>
      </c>
      <c r="C1035" s="27" t="s">
        <v>104</v>
      </c>
      <c r="D1035" s="30">
        <v>46222</v>
      </c>
      <c r="E1035" s="27" t="s">
        <v>267</v>
      </c>
      <c r="F1035" s="27" t="s">
        <v>126</v>
      </c>
      <c r="G1035" s="27"/>
      <c r="H1035" s="27"/>
      <c r="I1035" s="27"/>
      <c r="J1035" s="27" t="s">
        <v>177</v>
      </c>
      <c r="K1035" s="10">
        <v>0</v>
      </c>
      <c r="L1035" s="36" t="s">
        <v>263</v>
      </c>
      <c r="M1035" s="37"/>
      <c r="N1035" s="37"/>
      <c r="O1035" s="27"/>
      <c r="P1035" s="27"/>
      <c r="Q1035" s="27"/>
      <c r="R1035" s="27"/>
      <c r="S1035" s="1" t="s">
        <v>264</v>
      </c>
      <c r="T1035" s="29" t="s">
        <v>265</v>
      </c>
      <c r="U1035" s="27"/>
      <c r="V1035" s="27"/>
      <c r="W1035" s="27"/>
    </row>
    <row r="1036" spans="1:23" ht="24" customHeight="1">
      <c r="A1036" s="27" t="str">
        <f t="shared" ca="1" si="16"/>
        <v>EVT-2026-1034</v>
      </c>
      <c r="B1036" s="27">
        <v>2026</v>
      </c>
      <c r="C1036" s="27" t="s">
        <v>104</v>
      </c>
      <c r="D1036" s="30">
        <v>46223</v>
      </c>
      <c r="E1036" s="27" t="s">
        <v>224</v>
      </c>
      <c r="F1036" s="27" t="s">
        <v>126</v>
      </c>
      <c r="G1036" s="27" t="s">
        <v>1260</v>
      </c>
      <c r="H1036" s="27" t="s">
        <v>1366</v>
      </c>
      <c r="I1036" s="27" t="s">
        <v>1640</v>
      </c>
      <c r="J1036" s="27" t="s">
        <v>134</v>
      </c>
      <c r="K1036" s="10">
        <v>16</v>
      </c>
      <c r="L1036" s="36" t="s">
        <v>263</v>
      </c>
      <c r="M1036" s="37" t="s">
        <v>269</v>
      </c>
      <c r="N1036" s="37" t="s">
        <v>270</v>
      </c>
      <c r="O1036" s="27" t="s">
        <v>1445</v>
      </c>
      <c r="P1036" s="27"/>
      <c r="Q1036" s="27" t="s">
        <v>1641</v>
      </c>
      <c r="R1036" s="27" t="s">
        <v>1642</v>
      </c>
      <c r="S1036" s="3" t="s">
        <v>312</v>
      </c>
      <c r="T1036" s="29" t="s">
        <v>265</v>
      </c>
      <c r="U1036" s="30">
        <v>46216</v>
      </c>
      <c r="V1036" s="27" t="s">
        <v>1643</v>
      </c>
      <c r="W1036" s="27"/>
    </row>
    <row r="1037" spans="1:23" ht="24" customHeight="1">
      <c r="A1037" s="27" t="str">
        <f t="shared" ca="1" si="16"/>
        <v>EVT-2026-1035</v>
      </c>
      <c r="B1037" s="27">
        <v>2026</v>
      </c>
      <c r="C1037" s="27" t="s">
        <v>104</v>
      </c>
      <c r="D1037" s="30">
        <v>46223</v>
      </c>
      <c r="E1037" s="27" t="s">
        <v>224</v>
      </c>
      <c r="F1037" s="27" t="s">
        <v>126</v>
      </c>
      <c r="G1037" s="27" t="s">
        <v>202</v>
      </c>
      <c r="H1037" s="27" t="s">
        <v>1366</v>
      </c>
      <c r="I1037" s="27" t="s">
        <v>1033</v>
      </c>
      <c r="J1037" s="27" t="s">
        <v>158</v>
      </c>
      <c r="K1037" s="10">
        <v>15</v>
      </c>
      <c r="L1037" s="36" t="s">
        <v>263</v>
      </c>
      <c r="M1037" s="37" t="s">
        <v>331</v>
      </c>
      <c r="N1037" s="37" t="s">
        <v>309</v>
      </c>
      <c r="O1037" s="27"/>
      <c r="P1037" s="27" t="s">
        <v>1644</v>
      </c>
      <c r="Q1037" s="27" t="s">
        <v>379</v>
      </c>
      <c r="R1037" s="27" t="s">
        <v>1645</v>
      </c>
      <c r="S1037" s="1" t="s">
        <v>264</v>
      </c>
      <c r="T1037" s="29" t="s">
        <v>265</v>
      </c>
      <c r="U1037" s="30">
        <v>46217</v>
      </c>
      <c r="V1037" s="27" t="s">
        <v>1646</v>
      </c>
      <c r="W1037" s="27" t="s">
        <v>1647</v>
      </c>
    </row>
    <row r="1038" spans="1:23" ht="24" customHeight="1">
      <c r="A1038" s="27" t="str">
        <f t="shared" ca="1" si="16"/>
        <v>EVT-2026-1036</v>
      </c>
      <c r="B1038" s="27">
        <v>2026</v>
      </c>
      <c r="C1038" s="27" t="s">
        <v>104</v>
      </c>
      <c r="D1038" s="30">
        <v>46223</v>
      </c>
      <c r="E1038" s="27" t="s">
        <v>224</v>
      </c>
      <c r="F1038" s="27" t="s">
        <v>126</v>
      </c>
      <c r="G1038" s="27" t="s">
        <v>202</v>
      </c>
      <c r="H1038" s="27" t="s">
        <v>736</v>
      </c>
      <c r="I1038" s="27" t="s">
        <v>344</v>
      </c>
      <c r="J1038" s="27" t="s">
        <v>134</v>
      </c>
      <c r="K1038" s="10">
        <v>24</v>
      </c>
      <c r="L1038" s="36" t="s">
        <v>263</v>
      </c>
      <c r="M1038" s="37" t="s">
        <v>269</v>
      </c>
      <c r="N1038" s="37" t="s">
        <v>270</v>
      </c>
      <c r="O1038" s="27"/>
      <c r="P1038" s="27"/>
      <c r="Q1038" s="27" t="s">
        <v>277</v>
      </c>
      <c r="R1038" s="27" t="s">
        <v>1587</v>
      </c>
      <c r="S1038" s="1" t="s">
        <v>264</v>
      </c>
      <c r="T1038" s="29" t="s">
        <v>265</v>
      </c>
      <c r="U1038" s="30">
        <v>46203</v>
      </c>
      <c r="V1038" s="27"/>
      <c r="W1038" s="27"/>
    </row>
    <row r="1039" spans="1:23" ht="24" customHeight="1">
      <c r="A1039" s="27" t="str">
        <f t="shared" ca="1" si="16"/>
        <v>EVT-2026-1037</v>
      </c>
      <c r="B1039" s="27">
        <v>2026</v>
      </c>
      <c r="C1039" s="27" t="s">
        <v>104</v>
      </c>
      <c r="D1039" s="30">
        <v>46223</v>
      </c>
      <c r="E1039" s="27" t="s">
        <v>224</v>
      </c>
      <c r="F1039" s="27" t="s">
        <v>126</v>
      </c>
      <c r="G1039" s="27" t="s">
        <v>228</v>
      </c>
      <c r="H1039" s="27" t="s">
        <v>1611</v>
      </c>
      <c r="I1039" s="27" t="s">
        <v>344</v>
      </c>
      <c r="J1039" s="27" t="s">
        <v>134</v>
      </c>
      <c r="K1039" s="10">
        <v>10</v>
      </c>
      <c r="L1039" s="36" t="s">
        <v>263</v>
      </c>
      <c r="M1039" s="37" t="s">
        <v>269</v>
      </c>
      <c r="N1039" s="37" t="s">
        <v>270</v>
      </c>
      <c r="O1039" s="27"/>
      <c r="P1039" s="27"/>
      <c r="Q1039" s="27" t="s">
        <v>1585</v>
      </c>
      <c r="R1039" s="27" t="s">
        <v>1586</v>
      </c>
      <c r="S1039" s="1" t="s">
        <v>264</v>
      </c>
      <c r="T1039" s="29" t="s">
        <v>265</v>
      </c>
      <c r="U1039" s="27"/>
      <c r="V1039" s="27"/>
      <c r="W1039" s="27"/>
    </row>
    <row r="1040" spans="1:23" ht="24" customHeight="1">
      <c r="A1040" s="27" t="str">
        <f t="shared" ca="1" si="16"/>
        <v>EVT-2026-1038</v>
      </c>
      <c r="B1040" s="27">
        <v>2026</v>
      </c>
      <c r="C1040" s="27" t="s">
        <v>104</v>
      </c>
      <c r="D1040" s="30">
        <v>46223</v>
      </c>
      <c r="E1040" s="27" t="s">
        <v>224</v>
      </c>
      <c r="F1040" s="27" t="s">
        <v>126</v>
      </c>
      <c r="G1040" s="27" t="s">
        <v>228</v>
      </c>
      <c r="H1040" s="27" t="s">
        <v>125</v>
      </c>
      <c r="I1040" s="27" t="s">
        <v>1648</v>
      </c>
      <c r="J1040" s="27" t="s">
        <v>127</v>
      </c>
      <c r="K1040" s="10">
        <v>70</v>
      </c>
      <c r="L1040" s="36" t="s">
        <v>263</v>
      </c>
      <c r="M1040" s="37" t="s">
        <v>309</v>
      </c>
      <c r="N1040" s="37" t="s">
        <v>295</v>
      </c>
      <c r="O1040" s="27" t="s">
        <v>1445</v>
      </c>
      <c r="P1040" s="27"/>
      <c r="Q1040" s="27" t="s">
        <v>367</v>
      </c>
      <c r="R1040" s="27" t="s">
        <v>213</v>
      </c>
      <c r="S1040" s="1" t="s">
        <v>264</v>
      </c>
      <c r="T1040" s="29" t="s">
        <v>265</v>
      </c>
      <c r="U1040" s="30">
        <v>46218</v>
      </c>
      <c r="V1040" s="27" t="s">
        <v>1649</v>
      </c>
      <c r="W1040" s="27" t="s">
        <v>1497</v>
      </c>
    </row>
    <row r="1041" spans="1:23" ht="24" customHeight="1">
      <c r="A1041" s="27" t="str">
        <f t="shared" ca="1" si="16"/>
        <v>EVT-2026-1039</v>
      </c>
      <c r="B1041" s="27">
        <v>2026</v>
      </c>
      <c r="C1041" s="27" t="s">
        <v>104</v>
      </c>
      <c r="D1041" s="30">
        <v>46223</v>
      </c>
      <c r="E1041" s="27" t="s">
        <v>224</v>
      </c>
      <c r="F1041" s="27" t="s">
        <v>126</v>
      </c>
      <c r="G1041" s="27" t="s">
        <v>202</v>
      </c>
      <c r="H1041" s="27" t="s">
        <v>1650</v>
      </c>
      <c r="I1041" s="27" t="s">
        <v>1651</v>
      </c>
      <c r="J1041" s="27" t="s">
        <v>152</v>
      </c>
      <c r="K1041" s="10">
        <v>1</v>
      </c>
      <c r="L1041" s="36" t="s">
        <v>263</v>
      </c>
      <c r="M1041" s="37" t="s">
        <v>269</v>
      </c>
      <c r="N1041" s="37" t="s">
        <v>270</v>
      </c>
      <c r="O1041" s="27"/>
      <c r="P1041" s="27"/>
      <c r="Q1041" s="27" t="s">
        <v>379</v>
      </c>
      <c r="R1041" s="27" t="s">
        <v>1645</v>
      </c>
      <c r="S1041" s="1" t="s">
        <v>264</v>
      </c>
      <c r="T1041" s="29" t="s">
        <v>265</v>
      </c>
      <c r="U1041" s="27"/>
      <c r="V1041" s="27" t="s">
        <v>1652</v>
      </c>
      <c r="W1041" s="27"/>
    </row>
    <row r="1042" spans="1:23" ht="24" customHeight="1">
      <c r="A1042" s="27" t="str">
        <f t="shared" ca="1" si="16"/>
        <v>EVT-2026-1040</v>
      </c>
      <c r="B1042" s="27">
        <v>2026</v>
      </c>
      <c r="C1042" s="27" t="s">
        <v>104</v>
      </c>
      <c r="D1042" s="30">
        <v>46223</v>
      </c>
      <c r="E1042" s="27" t="s">
        <v>224</v>
      </c>
      <c r="F1042" s="27" t="s">
        <v>126</v>
      </c>
      <c r="G1042" s="27" t="s">
        <v>228</v>
      </c>
      <c r="H1042" s="27" t="s">
        <v>125</v>
      </c>
      <c r="I1042" s="27" t="s">
        <v>1653</v>
      </c>
      <c r="J1042" s="27" t="s">
        <v>127</v>
      </c>
      <c r="K1042" s="10">
        <v>50</v>
      </c>
      <c r="L1042" s="36" t="s">
        <v>263</v>
      </c>
      <c r="M1042" s="37" t="s">
        <v>338</v>
      </c>
      <c r="N1042" s="37" t="s">
        <v>274</v>
      </c>
      <c r="O1042" s="27"/>
      <c r="P1042" s="27"/>
      <c r="Q1042" s="27" t="s">
        <v>367</v>
      </c>
      <c r="R1042" s="27" t="s">
        <v>213</v>
      </c>
      <c r="S1042" s="3" t="s">
        <v>312</v>
      </c>
      <c r="T1042" s="29" t="s">
        <v>265</v>
      </c>
      <c r="U1042" s="30">
        <v>46180</v>
      </c>
      <c r="V1042" s="27" t="s">
        <v>298</v>
      </c>
      <c r="W1042" s="27"/>
    </row>
    <row r="1043" spans="1:23" ht="24" customHeight="1">
      <c r="A1043" s="27" t="str">
        <f t="shared" ca="1" si="16"/>
        <v>EVT-2026-1041</v>
      </c>
      <c r="B1043" s="27">
        <v>2026</v>
      </c>
      <c r="C1043" s="27" t="s">
        <v>104</v>
      </c>
      <c r="D1043" s="30">
        <v>46224</v>
      </c>
      <c r="E1043" s="27" t="s">
        <v>227</v>
      </c>
      <c r="F1043" s="27" t="s">
        <v>126</v>
      </c>
      <c r="G1043" s="27" t="s">
        <v>1260</v>
      </c>
      <c r="H1043" s="27" t="s">
        <v>1366</v>
      </c>
      <c r="I1043" s="27" t="s">
        <v>1640</v>
      </c>
      <c r="J1043" s="27" t="s">
        <v>134</v>
      </c>
      <c r="K1043" s="10">
        <v>16</v>
      </c>
      <c r="L1043" s="36" t="s">
        <v>263</v>
      </c>
      <c r="M1043" s="37" t="s">
        <v>269</v>
      </c>
      <c r="N1043" s="37" t="s">
        <v>270</v>
      </c>
      <c r="O1043" s="27" t="s">
        <v>1632</v>
      </c>
      <c r="P1043" s="27"/>
      <c r="Q1043" s="27" t="s">
        <v>1641</v>
      </c>
      <c r="R1043" s="27" t="s">
        <v>1642</v>
      </c>
      <c r="S1043" s="3" t="s">
        <v>312</v>
      </c>
      <c r="T1043" s="29" t="s">
        <v>265</v>
      </c>
      <c r="U1043" s="30">
        <v>46216</v>
      </c>
      <c r="V1043" s="27" t="s">
        <v>1643</v>
      </c>
      <c r="W1043" s="27"/>
    </row>
    <row r="1044" spans="1:23" ht="24" customHeight="1">
      <c r="A1044" s="27" t="str">
        <f t="shared" ca="1" si="16"/>
        <v>EVT-2026-1042</v>
      </c>
      <c r="B1044" s="27">
        <v>2026</v>
      </c>
      <c r="C1044" s="27" t="s">
        <v>104</v>
      </c>
      <c r="D1044" s="30">
        <v>46224</v>
      </c>
      <c r="E1044" s="27" t="s">
        <v>227</v>
      </c>
      <c r="F1044" s="27" t="s">
        <v>126</v>
      </c>
      <c r="G1044" s="27" t="s">
        <v>208</v>
      </c>
      <c r="H1044" s="27" t="s">
        <v>1366</v>
      </c>
      <c r="I1044" s="27" t="s">
        <v>217</v>
      </c>
      <c r="J1044" s="27" t="s">
        <v>145</v>
      </c>
      <c r="K1044" s="10">
        <v>50</v>
      </c>
      <c r="L1044" s="36" t="s">
        <v>263</v>
      </c>
      <c r="M1044" s="37" t="s">
        <v>309</v>
      </c>
      <c r="N1044" s="37" t="s">
        <v>296</v>
      </c>
      <c r="O1044" s="27"/>
      <c r="P1044" s="27"/>
      <c r="Q1044" s="27" t="s">
        <v>1510</v>
      </c>
      <c r="R1044" s="27" t="s">
        <v>1511</v>
      </c>
      <c r="S1044" s="1" t="s">
        <v>264</v>
      </c>
      <c r="T1044" s="29" t="s">
        <v>265</v>
      </c>
      <c r="U1044" s="27"/>
      <c r="V1044" s="27" t="s">
        <v>298</v>
      </c>
      <c r="W1044" s="27"/>
    </row>
    <row r="1045" spans="1:23" ht="24" customHeight="1">
      <c r="A1045" s="27" t="str">
        <f t="shared" ca="1" si="16"/>
        <v>EVT-2026-1043</v>
      </c>
      <c r="B1045" s="27">
        <v>2026</v>
      </c>
      <c r="C1045" s="27" t="s">
        <v>104</v>
      </c>
      <c r="D1045" s="30">
        <v>46224</v>
      </c>
      <c r="E1045" s="27" t="s">
        <v>227</v>
      </c>
      <c r="F1045" s="27" t="s">
        <v>126</v>
      </c>
      <c r="G1045" s="27" t="s">
        <v>228</v>
      </c>
      <c r="H1045" s="27" t="s">
        <v>1611</v>
      </c>
      <c r="I1045" s="27" t="s">
        <v>344</v>
      </c>
      <c r="J1045" s="27" t="s">
        <v>134</v>
      </c>
      <c r="K1045" s="10">
        <v>10</v>
      </c>
      <c r="L1045" s="36" t="s">
        <v>263</v>
      </c>
      <c r="M1045" s="37" t="s">
        <v>269</v>
      </c>
      <c r="N1045" s="37" t="s">
        <v>270</v>
      </c>
      <c r="O1045" s="27"/>
      <c r="P1045" s="27"/>
      <c r="Q1045" s="27" t="s">
        <v>1585</v>
      </c>
      <c r="R1045" s="27" t="s">
        <v>1586</v>
      </c>
      <c r="S1045" s="1" t="s">
        <v>264</v>
      </c>
      <c r="T1045" s="29" t="s">
        <v>265</v>
      </c>
      <c r="U1045" s="27"/>
      <c r="V1045" s="27"/>
      <c r="W1045" s="27"/>
    </row>
    <row r="1046" spans="1:23" ht="24" customHeight="1">
      <c r="A1046" s="27" t="str">
        <f t="shared" ca="1" si="16"/>
        <v>EVT-2026-1044</v>
      </c>
      <c r="B1046" s="27">
        <v>2026</v>
      </c>
      <c r="C1046" s="27" t="s">
        <v>104</v>
      </c>
      <c r="D1046" s="30">
        <v>46224</v>
      </c>
      <c r="E1046" s="27" t="s">
        <v>227</v>
      </c>
      <c r="F1046" s="27" t="s">
        <v>126</v>
      </c>
      <c r="G1046" s="27" t="s">
        <v>202</v>
      </c>
      <c r="H1046" s="27" t="s">
        <v>736</v>
      </c>
      <c r="I1046" s="27" t="s">
        <v>344</v>
      </c>
      <c r="J1046" s="27" t="s">
        <v>134</v>
      </c>
      <c r="K1046" s="10">
        <v>24</v>
      </c>
      <c r="L1046" s="36" t="s">
        <v>263</v>
      </c>
      <c r="M1046" s="37" t="s">
        <v>269</v>
      </c>
      <c r="N1046" s="37" t="s">
        <v>270</v>
      </c>
      <c r="O1046" s="27"/>
      <c r="P1046" s="27"/>
      <c r="Q1046" s="27" t="s">
        <v>277</v>
      </c>
      <c r="R1046" s="27" t="s">
        <v>1587</v>
      </c>
      <c r="S1046" s="1" t="s">
        <v>264</v>
      </c>
      <c r="T1046" s="29" t="s">
        <v>265</v>
      </c>
      <c r="U1046" s="30">
        <v>46203</v>
      </c>
      <c r="V1046" s="27"/>
      <c r="W1046" s="27"/>
    </row>
    <row r="1047" spans="1:23" ht="24" customHeight="1">
      <c r="A1047" s="27" t="str">
        <f t="shared" ca="1" si="16"/>
        <v>EVT-2026-1045</v>
      </c>
      <c r="B1047" s="27">
        <v>2026</v>
      </c>
      <c r="C1047" s="27" t="s">
        <v>104</v>
      </c>
      <c r="D1047" s="30">
        <v>46224</v>
      </c>
      <c r="E1047" s="27" t="s">
        <v>227</v>
      </c>
      <c r="F1047" s="27" t="s">
        <v>126</v>
      </c>
      <c r="G1047" s="27" t="s">
        <v>202</v>
      </c>
      <c r="H1047" s="27" t="s">
        <v>1654</v>
      </c>
      <c r="I1047" s="27" t="s">
        <v>1651</v>
      </c>
      <c r="J1047" s="27" t="s">
        <v>152</v>
      </c>
      <c r="K1047" s="10">
        <v>4</v>
      </c>
      <c r="L1047" s="36" t="s">
        <v>263</v>
      </c>
      <c r="M1047" s="37" t="s">
        <v>269</v>
      </c>
      <c r="N1047" s="37" t="s">
        <v>270</v>
      </c>
      <c r="O1047" s="27"/>
      <c r="P1047" s="27"/>
      <c r="Q1047" s="27" t="s">
        <v>379</v>
      </c>
      <c r="R1047" s="27" t="s">
        <v>1655</v>
      </c>
      <c r="S1047" s="1" t="s">
        <v>264</v>
      </c>
      <c r="T1047" s="29" t="s">
        <v>265</v>
      </c>
      <c r="U1047" s="27"/>
      <c r="V1047" s="27"/>
      <c r="W1047" s="27"/>
    </row>
    <row r="1048" spans="1:23" ht="24" customHeight="1">
      <c r="A1048" s="27" t="str">
        <f t="shared" ca="1" si="16"/>
        <v>EVT-2026-1046</v>
      </c>
      <c r="B1048" s="27">
        <v>2026</v>
      </c>
      <c r="C1048" s="27" t="s">
        <v>104</v>
      </c>
      <c r="D1048" s="30">
        <v>46224</v>
      </c>
      <c r="E1048" s="27" t="s">
        <v>227</v>
      </c>
      <c r="F1048" s="27" t="s">
        <v>126</v>
      </c>
      <c r="G1048" s="27" t="s">
        <v>202</v>
      </c>
      <c r="H1048" s="27" t="s">
        <v>1650</v>
      </c>
      <c r="I1048" s="27" t="s">
        <v>1651</v>
      </c>
      <c r="J1048" s="27" t="s">
        <v>152</v>
      </c>
      <c r="K1048" s="10">
        <v>1</v>
      </c>
      <c r="L1048" s="36" t="s">
        <v>263</v>
      </c>
      <c r="M1048" s="37" t="s">
        <v>269</v>
      </c>
      <c r="N1048" s="37" t="s">
        <v>270</v>
      </c>
      <c r="O1048" s="27"/>
      <c r="P1048" s="27"/>
      <c r="Q1048" s="27" t="s">
        <v>379</v>
      </c>
      <c r="R1048" s="27" t="s">
        <v>1655</v>
      </c>
      <c r="S1048" s="1" t="s">
        <v>264</v>
      </c>
      <c r="T1048" s="29" t="s">
        <v>265</v>
      </c>
      <c r="U1048" s="27"/>
      <c r="V1048" s="27" t="s">
        <v>1656</v>
      </c>
      <c r="W1048" s="27"/>
    </row>
    <row r="1049" spans="1:23" ht="24" customHeight="1">
      <c r="A1049" s="27" t="str">
        <f t="shared" ca="1" si="16"/>
        <v>EVT-2026-1047</v>
      </c>
      <c r="B1049" s="27">
        <v>2026</v>
      </c>
      <c r="C1049" s="27" t="s">
        <v>104</v>
      </c>
      <c r="D1049" s="30">
        <v>46224</v>
      </c>
      <c r="E1049" s="27" t="s">
        <v>227</v>
      </c>
      <c r="F1049" s="27" t="s">
        <v>126</v>
      </c>
      <c r="G1049" s="27" t="s">
        <v>202</v>
      </c>
      <c r="H1049" s="27" t="s">
        <v>1366</v>
      </c>
      <c r="I1049" s="27" t="s">
        <v>1657</v>
      </c>
      <c r="J1049" s="27" t="s">
        <v>139</v>
      </c>
      <c r="K1049" s="10">
        <v>50</v>
      </c>
      <c r="L1049" s="36" t="s">
        <v>263</v>
      </c>
      <c r="M1049" s="37" t="s">
        <v>350</v>
      </c>
      <c r="N1049" s="37" t="s">
        <v>359</v>
      </c>
      <c r="O1049" s="27" t="s">
        <v>1445</v>
      </c>
      <c r="P1049" s="27"/>
      <c r="Q1049" s="27" t="s">
        <v>393</v>
      </c>
      <c r="R1049" s="27"/>
      <c r="S1049" s="1" t="s">
        <v>264</v>
      </c>
      <c r="T1049" s="29" t="s">
        <v>265</v>
      </c>
      <c r="U1049" s="27"/>
      <c r="V1049" s="27" t="s">
        <v>1658</v>
      </c>
      <c r="W1049" s="27" t="s">
        <v>1659</v>
      </c>
    </row>
    <row r="1050" spans="1:23" ht="24" customHeight="1">
      <c r="A1050" s="27" t="str">
        <f t="shared" ca="1" si="16"/>
        <v>EVT-2026-1048</v>
      </c>
      <c r="B1050" s="27">
        <v>2026</v>
      </c>
      <c r="C1050" s="27" t="s">
        <v>104</v>
      </c>
      <c r="D1050" s="30">
        <v>46224</v>
      </c>
      <c r="E1050" s="27" t="s">
        <v>227</v>
      </c>
      <c r="F1050" s="27" t="s">
        <v>126</v>
      </c>
      <c r="G1050" s="27" t="s">
        <v>228</v>
      </c>
      <c r="H1050" s="27" t="s">
        <v>125</v>
      </c>
      <c r="I1050" s="27" t="s">
        <v>1660</v>
      </c>
      <c r="J1050" s="27" t="s">
        <v>134</v>
      </c>
      <c r="K1050" s="10">
        <v>50</v>
      </c>
      <c r="L1050" s="36" t="s">
        <v>263</v>
      </c>
      <c r="M1050" s="37" t="s">
        <v>331</v>
      </c>
      <c r="N1050" s="37" t="s">
        <v>289</v>
      </c>
      <c r="O1050" s="27" t="s">
        <v>1445</v>
      </c>
      <c r="P1050" s="27"/>
      <c r="Q1050" s="27" t="s">
        <v>865</v>
      </c>
      <c r="R1050" s="27" t="s">
        <v>1661</v>
      </c>
      <c r="S1050" s="1" t="s">
        <v>264</v>
      </c>
      <c r="T1050" s="29" t="s">
        <v>265</v>
      </c>
      <c r="U1050" s="30">
        <v>46218</v>
      </c>
      <c r="V1050" s="27" t="s">
        <v>298</v>
      </c>
      <c r="W1050" s="27"/>
    </row>
    <row r="1051" spans="1:23" ht="24" customHeight="1">
      <c r="A1051" s="27" t="str">
        <f t="shared" ca="1" si="16"/>
        <v>EVT-2026-1049</v>
      </c>
      <c r="B1051" s="27">
        <v>2026</v>
      </c>
      <c r="C1051" s="27" t="s">
        <v>104</v>
      </c>
      <c r="D1051" s="30">
        <v>46225</v>
      </c>
      <c r="E1051" s="27" t="s">
        <v>201</v>
      </c>
      <c r="F1051" s="27" t="s">
        <v>126</v>
      </c>
      <c r="G1051" s="27" t="s">
        <v>1260</v>
      </c>
      <c r="H1051" s="27" t="s">
        <v>1366</v>
      </c>
      <c r="I1051" s="27" t="s">
        <v>1640</v>
      </c>
      <c r="J1051" s="27" t="s">
        <v>134</v>
      </c>
      <c r="K1051" s="10">
        <v>16</v>
      </c>
      <c r="L1051" s="36" t="s">
        <v>263</v>
      </c>
      <c r="M1051" s="37" t="s">
        <v>269</v>
      </c>
      <c r="N1051" s="37" t="s">
        <v>270</v>
      </c>
      <c r="O1051" s="27" t="s">
        <v>1445</v>
      </c>
      <c r="P1051" s="27"/>
      <c r="Q1051" s="27" t="s">
        <v>1641</v>
      </c>
      <c r="R1051" s="27"/>
      <c r="S1051" s="3" t="s">
        <v>312</v>
      </c>
      <c r="T1051" s="29" t="s">
        <v>265</v>
      </c>
      <c r="U1051" s="27"/>
      <c r="V1051" s="27" t="s">
        <v>1607</v>
      </c>
      <c r="W1051" s="27" t="s">
        <v>1643</v>
      </c>
    </row>
    <row r="1052" spans="1:23" ht="24" customHeight="1">
      <c r="A1052" s="27" t="str">
        <f t="shared" ca="1" si="16"/>
        <v>EVT-2026-1050</v>
      </c>
      <c r="B1052" s="27">
        <v>2026</v>
      </c>
      <c r="C1052" s="27" t="s">
        <v>104</v>
      </c>
      <c r="D1052" s="30">
        <v>46225</v>
      </c>
      <c r="E1052" s="27" t="s">
        <v>201</v>
      </c>
      <c r="F1052" s="27" t="s">
        <v>126</v>
      </c>
      <c r="G1052" s="27" t="s">
        <v>202</v>
      </c>
      <c r="H1052" s="27" t="s">
        <v>736</v>
      </c>
      <c r="I1052" s="27" t="s">
        <v>344</v>
      </c>
      <c r="J1052" s="27" t="s">
        <v>134</v>
      </c>
      <c r="K1052" s="10">
        <v>24</v>
      </c>
      <c r="L1052" s="36" t="s">
        <v>263</v>
      </c>
      <c r="M1052" s="37" t="s">
        <v>269</v>
      </c>
      <c r="N1052" s="37" t="s">
        <v>270</v>
      </c>
      <c r="O1052" s="27"/>
      <c r="P1052" s="27"/>
      <c r="Q1052" s="27" t="s">
        <v>277</v>
      </c>
      <c r="R1052" s="27" t="s">
        <v>1587</v>
      </c>
      <c r="S1052" s="3" t="s">
        <v>312</v>
      </c>
      <c r="T1052" s="29" t="s">
        <v>265</v>
      </c>
      <c r="U1052" s="30">
        <v>46203</v>
      </c>
      <c r="V1052" s="27"/>
      <c r="W1052" s="27"/>
    </row>
    <row r="1053" spans="1:23" ht="24" customHeight="1">
      <c r="A1053" s="27" t="str">
        <f t="shared" ca="1" si="16"/>
        <v>EVT-2026-1051</v>
      </c>
      <c r="B1053" s="27">
        <v>2026</v>
      </c>
      <c r="C1053" s="27" t="s">
        <v>104</v>
      </c>
      <c r="D1053" s="30">
        <v>46225</v>
      </c>
      <c r="E1053" s="27" t="s">
        <v>201</v>
      </c>
      <c r="F1053" s="27" t="s">
        <v>126</v>
      </c>
      <c r="G1053" s="27" t="s">
        <v>228</v>
      </c>
      <c r="H1053" s="27" t="s">
        <v>1611</v>
      </c>
      <c r="I1053" s="27" t="s">
        <v>344</v>
      </c>
      <c r="J1053" s="27" t="s">
        <v>134</v>
      </c>
      <c r="K1053" s="10">
        <v>10</v>
      </c>
      <c r="L1053" s="36" t="s">
        <v>263</v>
      </c>
      <c r="M1053" s="37" t="s">
        <v>269</v>
      </c>
      <c r="N1053" s="37" t="s">
        <v>270</v>
      </c>
      <c r="O1053" s="27"/>
      <c r="P1053" s="27"/>
      <c r="Q1053" s="27" t="s">
        <v>1585</v>
      </c>
      <c r="R1053" s="27" t="s">
        <v>1586</v>
      </c>
      <c r="S1053" s="1" t="s">
        <v>264</v>
      </c>
      <c r="T1053" s="29" t="s">
        <v>265</v>
      </c>
      <c r="U1053" s="27"/>
      <c r="V1053" s="27"/>
      <c r="W1053" s="27"/>
    </row>
    <row r="1054" spans="1:23" ht="24" customHeight="1">
      <c r="A1054" s="27" t="str">
        <f t="shared" ca="1" si="16"/>
        <v>EVT-2026-1052</v>
      </c>
      <c r="B1054" s="27">
        <v>2026</v>
      </c>
      <c r="C1054" s="27" t="s">
        <v>104</v>
      </c>
      <c r="D1054" s="30">
        <v>46225</v>
      </c>
      <c r="E1054" s="27" t="s">
        <v>201</v>
      </c>
      <c r="F1054" s="27" t="s">
        <v>126</v>
      </c>
      <c r="G1054" s="27" t="s">
        <v>202</v>
      </c>
      <c r="H1054" s="27" t="s">
        <v>1662</v>
      </c>
      <c r="I1054" s="27" t="s">
        <v>1651</v>
      </c>
      <c r="J1054" s="27" t="s">
        <v>152</v>
      </c>
      <c r="K1054" s="10">
        <v>1</v>
      </c>
      <c r="L1054" s="36" t="s">
        <v>263</v>
      </c>
      <c r="M1054" s="37" t="s">
        <v>269</v>
      </c>
      <c r="N1054" s="37" t="s">
        <v>270</v>
      </c>
      <c r="O1054" s="27"/>
      <c r="P1054" s="27"/>
      <c r="Q1054" s="27" t="s">
        <v>379</v>
      </c>
      <c r="R1054" s="27" t="s">
        <v>1655</v>
      </c>
      <c r="S1054" s="1" t="s">
        <v>264</v>
      </c>
      <c r="T1054" s="29" t="s">
        <v>265</v>
      </c>
      <c r="U1054" s="27"/>
      <c r="V1054" s="27" t="s">
        <v>1656</v>
      </c>
      <c r="W1054" s="27"/>
    </row>
    <row r="1055" spans="1:23" ht="24" customHeight="1">
      <c r="A1055" s="27" t="str">
        <f t="shared" ca="1" si="16"/>
        <v>EVT-2026-1053</v>
      </c>
      <c r="B1055" s="27">
        <v>2026</v>
      </c>
      <c r="C1055" s="27" t="s">
        <v>104</v>
      </c>
      <c r="D1055" s="30">
        <v>46225</v>
      </c>
      <c r="E1055" s="27" t="s">
        <v>201</v>
      </c>
      <c r="F1055" s="27" t="s">
        <v>126</v>
      </c>
      <c r="G1055" s="27" t="s">
        <v>228</v>
      </c>
      <c r="H1055" s="27" t="s">
        <v>125</v>
      </c>
      <c r="I1055" s="27" t="s">
        <v>1663</v>
      </c>
      <c r="J1055" s="27" t="s">
        <v>152</v>
      </c>
      <c r="K1055" s="10">
        <v>30</v>
      </c>
      <c r="L1055" s="36" t="s">
        <v>263</v>
      </c>
      <c r="M1055" s="37" t="s">
        <v>295</v>
      </c>
      <c r="N1055" s="37" t="s">
        <v>270</v>
      </c>
      <c r="O1055" s="27"/>
      <c r="P1055" s="27"/>
      <c r="Q1055" s="27" t="s">
        <v>379</v>
      </c>
      <c r="R1055" s="27" t="s">
        <v>1655</v>
      </c>
      <c r="S1055" s="1" t="s">
        <v>264</v>
      </c>
      <c r="T1055" s="29" t="s">
        <v>265</v>
      </c>
      <c r="U1055" s="30">
        <v>46211</v>
      </c>
      <c r="V1055" s="27" t="s">
        <v>1664</v>
      </c>
      <c r="W1055" s="27"/>
    </row>
    <row r="1056" spans="1:23" ht="24" customHeight="1">
      <c r="A1056" s="27" t="str">
        <f t="shared" ca="1" si="16"/>
        <v>EVT-2026-1054</v>
      </c>
      <c r="B1056" s="27">
        <v>2026</v>
      </c>
      <c r="C1056" s="27" t="s">
        <v>104</v>
      </c>
      <c r="D1056" s="30">
        <v>46225</v>
      </c>
      <c r="E1056" s="27" t="s">
        <v>201</v>
      </c>
      <c r="F1056" s="27" t="s">
        <v>126</v>
      </c>
      <c r="G1056" s="27" t="s">
        <v>228</v>
      </c>
      <c r="H1056" s="27" t="s">
        <v>125</v>
      </c>
      <c r="I1056" s="27" t="s">
        <v>1665</v>
      </c>
      <c r="J1056" s="27" t="s">
        <v>177</v>
      </c>
      <c r="K1056" s="10">
        <v>50</v>
      </c>
      <c r="L1056" s="36" t="s">
        <v>263</v>
      </c>
      <c r="M1056" s="37" t="s">
        <v>330</v>
      </c>
      <c r="N1056" s="37" t="s">
        <v>275</v>
      </c>
      <c r="O1056" s="27" t="s">
        <v>1666</v>
      </c>
      <c r="P1056" s="27" t="s">
        <v>1457</v>
      </c>
      <c r="Q1056" s="27" t="s">
        <v>355</v>
      </c>
      <c r="R1056" s="27" t="s">
        <v>1667</v>
      </c>
      <c r="S1056" s="1" t="s">
        <v>264</v>
      </c>
      <c r="T1056" s="29" t="s">
        <v>265</v>
      </c>
      <c r="U1056" s="30">
        <v>46209</v>
      </c>
      <c r="V1056" s="27" t="s">
        <v>298</v>
      </c>
      <c r="W1056" s="27"/>
    </row>
    <row r="1057" spans="1:23" ht="24" customHeight="1">
      <c r="A1057" s="27" t="str">
        <f t="shared" ca="1" si="16"/>
        <v>EVT-2026-1055</v>
      </c>
      <c r="B1057" s="27">
        <v>2026</v>
      </c>
      <c r="C1057" s="27" t="s">
        <v>104</v>
      </c>
      <c r="D1057" s="30">
        <v>46225</v>
      </c>
      <c r="E1057" s="27" t="s">
        <v>201</v>
      </c>
      <c r="F1057" s="27" t="s">
        <v>126</v>
      </c>
      <c r="G1057" s="27" t="s">
        <v>208</v>
      </c>
      <c r="H1057" s="27" t="s">
        <v>1366</v>
      </c>
      <c r="I1057" s="27" t="s">
        <v>217</v>
      </c>
      <c r="J1057" s="27" t="s">
        <v>145</v>
      </c>
      <c r="K1057" s="10">
        <v>50</v>
      </c>
      <c r="L1057" s="36" t="s">
        <v>263</v>
      </c>
      <c r="M1057" s="37" t="s">
        <v>309</v>
      </c>
      <c r="N1057" s="37" t="s">
        <v>296</v>
      </c>
      <c r="O1057" s="27"/>
      <c r="P1057" s="27"/>
      <c r="Q1057" s="27" t="s">
        <v>370</v>
      </c>
      <c r="R1057" s="27" t="s">
        <v>1511</v>
      </c>
      <c r="S1057" s="1" t="s">
        <v>264</v>
      </c>
      <c r="T1057" s="29" t="s">
        <v>265</v>
      </c>
      <c r="U1057" s="27"/>
      <c r="V1057" s="27" t="s">
        <v>298</v>
      </c>
      <c r="W1057" s="27"/>
    </row>
    <row r="1058" spans="1:23" ht="24" customHeight="1">
      <c r="A1058" s="27" t="str">
        <f t="shared" ca="1" si="16"/>
        <v>EVT-2026-1056</v>
      </c>
      <c r="B1058" s="27">
        <v>2026</v>
      </c>
      <c r="C1058" s="27" t="s">
        <v>104</v>
      </c>
      <c r="D1058" s="30">
        <v>46225</v>
      </c>
      <c r="E1058" s="27" t="s">
        <v>201</v>
      </c>
      <c r="F1058" s="27" t="s">
        <v>126</v>
      </c>
      <c r="G1058" s="27" t="s">
        <v>208</v>
      </c>
      <c r="H1058" s="27" t="s">
        <v>1668</v>
      </c>
      <c r="I1058" s="27" t="s">
        <v>1669</v>
      </c>
      <c r="J1058" s="27" t="s">
        <v>158</v>
      </c>
      <c r="K1058" s="10">
        <v>50</v>
      </c>
      <c r="L1058" s="36" t="s">
        <v>263</v>
      </c>
      <c r="M1058" s="37" t="s">
        <v>330</v>
      </c>
      <c r="N1058" s="37" t="s">
        <v>331</v>
      </c>
      <c r="O1058" s="27" t="s">
        <v>610</v>
      </c>
      <c r="P1058" s="27" t="s">
        <v>1670</v>
      </c>
      <c r="Q1058" s="27" t="s">
        <v>1671</v>
      </c>
      <c r="R1058" s="27" t="s">
        <v>1672</v>
      </c>
      <c r="S1058" s="1" t="s">
        <v>264</v>
      </c>
      <c r="T1058" s="29" t="s">
        <v>265</v>
      </c>
      <c r="U1058" s="30">
        <v>46220</v>
      </c>
      <c r="V1058" s="27" t="s">
        <v>1673</v>
      </c>
      <c r="W1058" s="27"/>
    </row>
    <row r="1059" spans="1:23" ht="24" customHeight="1">
      <c r="A1059" s="27" t="str">
        <f t="shared" ca="1" si="16"/>
        <v>EVT-2026-1057</v>
      </c>
      <c r="B1059" s="27">
        <v>2026</v>
      </c>
      <c r="C1059" s="27" t="s">
        <v>104</v>
      </c>
      <c r="D1059" s="30">
        <v>46225</v>
      </c>
      <c r="E1059" s="27" t="s">
        <v>201</v>
      </c>
      <c r="F1059" s="27" t="s">
        <v>126</v>
      </c>
      <c r="G1059" s="27" t="s">
        <v>202</v>
      </c>
      <c r="H1059" s="27" t="s">
        <v>1650</v>
      </c>
      <c r="I1059" s="27" t="s">
        <v>1651</v>
      </c>
      <c r="J1059" s="27" t="s">
        <v>152</v>
      </c>
      <c r="K1059" s="10">
        <v>1</v>
      </c>
      <c r="L1059" s="36" t="s">
        <v>263</v>
      </c>
      <c r="M1059" s="37" t="s">
        <v>269</v>
      </c>
      <c r="N1059" s="37" t="s">
        <v>270</v>
      </c>
      <c r="O1059" s="27"/>
      <c r="P1059" s="27"/>
      <c r="Q1059" s="27" t="s">
        <v>379</v>
      </c>
      <c r="R1059" s="27" t="s">
        <v>1655</v>
      </c>
      <c r="S1059" s="1" t="s">
        <v>264</v>
      </c>
      <c r="T1059" s="29" t="s">
        <v>265</v>
      </c>
      <c r="U1059" s="27"/>
      <c r="V1059" s="27" t="s">
        <v>1656</v>
      </c>
      <c r="W1059" s="27"/>
    </row>
    <row r="1060" spans="1:23" ht="24" customHeight="1">
      <c r="A1060" s="27" t="str">
        <f t="shared" ca="1" si="16"/>
        <v>EVT-2026-1058</v>
      </c>
      <c r="B1060" s="27">
        <v>2026</v>
      </c>
      <c r="C1060" s="27" t="s">
        <v>104</v>
      </c>
      <c r="D1060" s="30">
        <v>46225</v>
      </c>
      <c r="E1060" s="27" t="s">
        <v>201</v>
      </c>
      <c r="F1060" s="27" t="s">
        <v>126</v>
      </c>
      <c r="G1060" s="27" t="s">
        <v>202</v>
      </c>
      <c r="H1060" s="27" t="s">
        <v>239</v>
      </c>
      <c r="I1060" s="27" t="s">
        <v>1674</v>
      </c>
      <c r="J1060" s="27" t="s">
        <v>177</v>
      </c>
      <c r="K1060" s="10">
        <v>150</v>
      </c>
      <c r="L1060" s="38" t="s">
        <v>294</v>
      </c>
      <c r="M1060" s="37" t="s">
        <v>506</v>
      </c>
      <c r="N1060" s="37" t="s">
        <v>429</v>
      </c>
      <c r="O1060" s="27" t="s">
        <v>1632</v>
      </c>
      <c r="P1060" s="27"/>
      <c r="Q1060" s="27" t="s">
        <v>1675</v>
      </c>
      <c r="R1060" s="27" t="s">
        <v>1676</v>
      </c>
      <c r="S1060" s="1" t="s">
        <v>264</v>
      </c>
      <c r="T1060" s="29" t="s">
        <v>265</v>
      </c>
      <c r="U1060" s="30">
        <v>46217</v>
      </c>
      <c r="V1060" s="27" t="s">
        <v>1177</v>
      </c>
      <c r="W1060" s="27" t="s">
        <v>1497</v>
      </c>
    </row>
    <row r="1061" spans="1:23" ht="24" customHeight="1">
      <c r="A1061" s="27" t="str">
        <f t="shared" ca="1" si="16"/>
        <v>EVT-2026-1059</v>
      </c>
      <c r="B1061" s="27">
        <v>2026</v>
      </c>
      <c r="C1061" s="27" t="s">
        <v>104</v>
      </c>
      <c r="D1061" s="30">
        <v>46225</v>
      </c>
      <c r="E1061" s="27" t="s">
        <v>201</v>
      </c>
      <c r="F1061" s="27" t="s">
        <v>126</v>
      </c>
      <c r="G1061" s="27" t="s">
        <v>202</v>
      </c>
      <c r="H1061" s="27" t="s">
        <v>1668</v>
      </c>
      <c r="I1061" s="27" t="s">
        <v>1677</v>
      </c>
      <c r="J1061" s="27" t="s">
        <v>127</v>
      </c>
      <c r="K1061" s="10">
        <v>50</v>
      </c>
      <c r="L1061" s="36" t="s">
        <v>263</v>
      </c>
      <c r="M1061" s="37" t="s">
        <v>295</v>
      </c>
      <c r="N1061" s="37" t="s">
        <v>296</v>
      </c>
      <c r="O1061" s="27" t="s">
        <v>1632</v>
      </c>
      <c r="P1061" s="27"/>
      <c r="Q1061" s="27" t="s">
        <v>367</v>
      </c>
      <c r="R1061" s="27" t="s">
        <v>213</v>
      </c>
      <c r="S1061" s="1" t="s">
        <v>264</v>
      </c>
      <c r="T1061" s="29" t="s">
        <v>265</v>
      </c>
      <c r="U1061" s="30">
        <v>46218</v>
      </c>
      <c r="V1061" s="27" t="s">
        <v>1177</v>
      </c>
      <c r="W1061" s="27" t="s">
        <v>1497</v>
      </c>
    </row>
    <row r="1062" spans="1:23" ht="24" customHeight="1">
      <c r="A1062" s="27" t="str">
        <f t="shared" ca="1" si="16"/>
        <v>EVT-2026-1060</v>
      </c>
      <c r="B1062" s="27">
        <v>2026</v>
      </c>
      <c r="C1062" s="27" t="s">
        <v>104</v>
      </c>
      <c r="D1062" s="30">
        <v>46226</v>
      </c>
      <c r="E1062" s="27" t="s">
        <v>216</v>
      </c>
      <c r="F1062" s="27" t="s">
        <v>126</v>
      </c>
      <c r="G1062" s="27" t="s">
        <v>1260</v>
      </c>
      <c r="H1062" s="27" t="s">
        <v>1366</v>
      </c>
      <c r="I1062" s="27" t="s">
        <v>1640</v>
      </c>
      <c r="J1062" s="27" t="s">
        <v>134</v>
      </c>
      <c r="K1062" s="10">
        <v>16</v>
      </c>
      <c r="L1062" s="36" t="s">
        <v>263</v>
      </c>
      <c r="M1062" s="37" t="s">
        <v>269</v>
      </c>
      <c r="N1062" s="37" t="s">
        <v>270</v>
      </c>
      <c r="O1062" s="27" t="s">
        <v>1632</v>
      </c>
      <c r="P1062" s="27"/>
      <c r="Q1062" s="27" t="s">
        <v>1641</v>
      </c>
      <c r="R1062" s="27"/>
      <c r="S1062" s="3" t="s">
        <v>312</v>
      </c>
      <c r="T1062" s="29" t="s">
        <v>265</v>
      </c>
      <c r="U1062" s="27"/>
      <c r="V1062" s="27" t="s">
        <v>1607</v>
      </c>
      <c r="W1062" s="27" t="s">
        <v>1643</v>
      </c>
    </row>
    <row r="1063" spans="1:23" ht="24" customHeight="1">
      <c r="A1063" s="27" t="str">
        <f t="shared" ca="1" si="16"/>
        <v>EVT-2026-1061</v>
      </c>
      <c r="B1063" s="27">
        <v>2026</v>
      </c>
      <c r="C1063" s="27" t="s">
        <v>104</v>
      </c>
      <c r="D1063" s="30">
        <v>46226</v>
      </c>
      <c r="E1063" s="27" t="s">
        <v>216</v>
      </c>
      <c r="F1063" s="27" t="s">
        <v>126</v>
      </c>
      <c r="G1063" s="27" t="s">
        <v>228</v>
      </c>
      <c r="H1063" s="27" t="s">
        <v>125</v>
      </c>
      <c r="I1063" s="27" t="s">
        <v>1678</v>
      </c>
      <c r="J1063" s="27" t="s">
        <v>134</v>
      </c>
      <c r="K1063" s="10">
        <v>45</v>
      </c>
      <c r="L1063" s="36" t="s">
        <v>263</v>
      </c>
      <c r="M1063" s="37" t="s">
        <v>338</v>
      </c>
      <c r="N1063" s="37" t="s">
        <v>270</v>
      </c>
      <c r="O1063" s="27" t="s">
        <v>1394</v>
      </c>
      <c r="P1063" s="27"/>
      <c r="Q1063" s="27" t="s">
        <v>949</v>
      </c>
      <c r="R1063" s="27" t="s">
        <v>1679</v>
      </c>
      <c r="S1063" s="1" t="s">
        <v>264</v>
      </c>
      <c r="T1063" s="29" t="s">
        <v>265</v>
      </c>
      <c r="U1063" s="27"/>
      <c r="V1063" s="27" t="s">
        <v>1680</v>
      </c>
      <c r="W1063" s="27"/>
    </row>
    <row r="1064" spans="1:23" ht="24" customHeight="1">
      <c r="A1064" s="27" t="str">
        <f t="shared" ca="1" si="16"/>
        <v>EVT-2026-1062</v>
      </c>
      <c r="B1064" s="27">
        <v>2026</v>
      </c>
      <c r="C1064" s="27" t="s">
        <v>104</v>
      </c>
      <c r="D1064" s="30">
        <v>46226</v>
      </c>
      <c r="E1064" s="27" t="s">
        <v>216</v>
      </c>
      <c r="F1064" s="27" t="s">
        <v>126</v>
      </c>
      <c r="G1064" s="27" t="s">
        <v>228</v>
      </c>
      <c r="H1064" s="27" t="s">
        <v>1611</v>
      </c>
      <c r="I1064" s="27" t="s">
        <v>344</v>
      </c>
      <c r="J1064" s="27" t="s">
        <v>134</v>
      </c>
      <c r="K1064" s="10">
        <v>10</v>
      </c>
      <c r="L1064" s="36" t="s">
        <v>263</v>
      </c>
      <c r="M1064" s="37" t="s">
        <v>269</v>
      </c>
      <c r="N1064" s="37" t="s">
        <v>270</v>
      </c>
      <c r="O1064" s="27"/>
      <c r="P1064" s="27"/>
      <c r="Q1064" s="27" t="s">
        <v>1585</v>
      </c>
      <c r="R1064" s="27" t="s">
        <v>1586</v>
      </c>
      <c r="S1064" s="1" t="s">
        <v>264</v>
      </c>
      <c r="T1064" s="29" t="s">
        <v>265</v>
      </c>
      <c r="U1064" s="27"/>
      <c r="V1064" s="27"/>
      <c r="W1064" s="27"/>
    </row>
    <row r="1065" spans="1:23" ht="24" customHeight="1">
      <c r="A1065" s="27" t="str">
        <f t="shared" ca="1" si="16"/>
        <v>EVT-2026-1063</v>
      </c>
      <c r="B1065" s="27">
        <v>2026</v>
      </c>
      <c r="C1065" s="27" t="s">
        <v>104</v>
      </c>
      <c r="D1065" s="30">
        <v>46226</v>
      </c>
      <c r="E1065" s="27" t="s">
        <v>216</v>
      </c>
      <c r="F1065" s="27" t="s">
        <v>126</v>
      </c>
      <c r="G1065" s="27" t="s">
        <v>202</v>
      </c>
      <c r="H1065" s="27" t="s">
        <v>1650</v>
      </c>
      <c r="I1065" s="27" t="s">
        <v>1651</v>
      </c>
      <c r="J1065" s="27" t="s">
        <v>152</v>
      </c>
      <c r="K1065" s="10">
        <v>1</v>
      </c>
      <c r="L1065" s="36" t="s">
        <v>263</v>
      </c>
      <c r="M1065" s="37" t="s">
        <v>269</v>
      </c>
      <c r="N1065" s="37" t="s">
        <v>270</v>
      </c>
      <c r="O1065" s="27"/>
      <c r="P1065" s="27"/>
      <c r="Q1065" s="27" t="s">
        <v>379</v>
      </c>
      <c r="R1065" s="27" t="s">
        <v>1655</v>
      </c>
      <c r="S1065" s="1" t="s">
        <v>264</v>
      </c>
      <c r="T1065" s="29" t="s">
        <v>265</v>
      </c>
      <c r="U1065" s="27"/>
      <c r="V1065" s="27"/>
      <c r="W1065" s="27"/>
    </row>
    <row r="1066" spans="1:23" ht="24" customHeight="1">
      <c r="A1066" s="27" t="str">
        <f t="shared" ca="1" si="16"/>
        <v>EVT-2026-1064</v>
      </c>
      <c r="B1066" s="27">
        <v>2026</v>
      </c>
      <c r="C1066" s="27" t="s">
        <v>104</v>
      </c>
      <c r="D1066" s="30">
        <v>46226</v>
      </c>
      <c r="E1066" s="27" t="s">
        <v>216</v>
      </c>
      <c r="F1066" s="27" t="s">
        <v>126</v>
      </c>
      <c r="G1066" s="27" t="s">
        <v>202</v>
      </c>
      <c r="H1066" s="27" t="s">
        <v>1654</v>
      </c>
      <c r="I1066" s="27" t="s">
        <v>1651</v>
      </c>
      <c r="J1066" s="27" t="s">
        <v>152</v>
      </c>
      <c r="K1066" s="10">
        <v>1</v>
      </c>
      <c r="L1066" s="36" t="s">
        <v>263</v>
      </c>
      <c r="M1066" s="37" t="s">
        <v>269</v>
      </c>
      <c r="N1066" s="37" t="s">
        <v>270</v>
      </c>
      <c r="O1066" s="27"/>
      <c r="P1066" s="27"/>
      <c r="Q1066" s="27" t="s">
        <v>379</v>
      </c>
      <c r="R1066" s="27" t="s">
        <v>1655</v>
      </c>
      <c r="S1066" s="1" t="s">
        <v>264</v>
      </c>
      <c r="T1066" s="29" t="s">
        <v>265</v>
      </c>
      <c r="U1066" s="27"/>
      <c r="V1066" s="27" t="s">
        <v>1656</v>
      </c>
      <c r="W1066" s="27"/>
    </row>
    <row r="1067" spans="1:23" ht="24" customHeight="1">
      <c r="A1067" s="27" t="str">
        <f t="shared" ca="1" si="16"/>
        <v>EVT-2026-1065</v>
      </c>
      <c r="B1067" s="27">
        <v>2026</v>
      </c>
      <c r="C1067" s="27" t="s">
        <v>104</v>
      </c>
      <c r="D1067" s="30">
        <v>46226</v>
      </c>
      <c r="E1067" s="27" t="s">
        <v>216</v>
      </c>
      <c r="F1067" s="27" t="s">
        <v>126</v>
      </c>
      <c r="G1067" s="27" t="s">
        <v>202</v>
      </c>
      <c r="H1067" s="27" t="s">
        <v>736</v>
      </c>
      <c r="I1067" s="27" t="s">
        <v>344</v>
      </c>
      <c r="J1067" s="27" t="s">
        <v>134</v>
      </c>
      <c r="K1067" s="10">
        <v>24</v>
      </c>
      <c r="L1067" s="36" t="s">
        <v>263</v>
      </c>
      <c r="M1067" s="37" t="s">
        <v>269</v>
      </c>
      <c r="N1067" s="37" t="s">
        <v>270</v>
      </c>
      <c r="O1067" s="27"/>
      <c r="P1067" s="27"/>
      <c r="Q1067" s="27" t="s">
        <v>277</v>
      </c>
      <c r="R1067" s="27" t="s">
        <v>1587</v>
      </c>
      <c r="S1067" s="3" t="s">
        <v>312</v>
      </c>
      <c r="T1067" s="29" t="s">
        <v>265</v>
      </c>
      <c r="U1067" s="30">
        <v>46203</v>
      </c>
      <c r="V1067" s="27"/>
      <c r="W1067" s="27"/>
    </row>
    <row r="1068" spans="1:23" ht="24" customHeight="1">
      <c r="A1068" s="27" t="str">
        <f t="shared" ca="1" si="16"/>
        <v>EVT-2026-1066</v>
      </c>
      <c r="B1068" s="27">
        <v>2026</v>
      </c>
      <c r="C1068" s="27" t="s">
        <v>104</v>
      </c>
      <c r="D1068" s="30">
        <v>46226</v>
      </c>
      <c r="E1068" s="27" t="s">
        <v>216</v>
      </c>
      <c r="F1068" s="27" t="s">
        <v>126</v>
      </c>
      <c r="G1068" s="27" t="s">
        <v>202</v>
      </c>
      <c r="H1068" s="27" t="s">
        <v>239</v>
      </c>
      <c r="I1068" s="27" t="s">
        <v>1681</v>
      </c>
      <c r="J1068" s="27" t="s">
        <v>127</v>
      </c>
      <c r="K1068" s="10">
        <v>150</v>
      </c>
      <c r="L1068" s="38" t="s">
        <v>294</v>
      </c>
      <c r="M1068" s="37" t="s">
        <v>506</v>
      </c>
      <c r="N1068" s="37" t="s">
        <v>429</v>
      </c>
      <c r="O1068" s="27" t="s">
        <v>1394</v>
      </c>
      <c r="P1068" s="27" t="s">
        <v>1394</v>
      </c>
      <c r="Q1068" s="27" t="s">
        <v>1682</v>
      </c>
      <c r="R1068" s="27" t="s">
        <v>1683</v>
      </c>
      <c r="S1068" s="1" t="s">
        <v>264</v>
      </c>
      <c r="T1068" s="29" t="s">
        <v>265</v>
      </c>
      <c r="U1068" s="30">
        <v>46218</v>
      </c>
      <c r="V1068" s="27" t="s">
        <v>1673</v>
      </c>
      <c r="W1068" s="27" t="s">
        <v>1684</v>
      </c>
    </row>
    <row r="1069" spans="1:23" ht="24" customHeight="1">
      <c r="A1069" s="27" t="str">
        <f t="shared" ca="1" si="16"/>
        <v>EVT-2026-1067</v>
      </c>
      <c r="B1069" s="27">
        <v>2026</v>
      </c>
      <c r="C1069" s="27" t="s">
        <v>104</v>
      </c>
      <c r="D1069" s="30">
        <v>46226</v>
      </c>
      <c r="E1069" s="27" t="s">
        <v>216</v>
      </c>
      <c r="F1069" s="27" t="s">
        <v>126</v>
      </c>
      <c r="G1069" s="27" t="s">
        <v>202</v>
      </c>
      <c r="H1069" s="27" t="s">
        <v>239</v>
      </c>
      <c r="I1069" s="27" t="s">
        <v>1685</v>
      </c>
      <c r="J1069" s="27" t="s">
        <v>127</v>
      </c>
      <c r="K1069" s="10">
        <v>200</v>
      </c>
      <c r="L1069" s="38" t="s">
        <v>294</v>
      </c>
      <c r="M1069" s="37" t="s">
        <v>1405</v>
      </c>
      <c r="N1069" s="37" t="s">
        <v>290</v>
      </c>
      <c r="O1069" s="27" t="s">
        <v>369</v>
      </c>
      <c r="P1069" s="27" t="s">
        <v>1670</v>
      </c>
      <c r="Q1069" s="27" t="s">
        <v>425</v>
      </c>
      <c r="R1069" s="27" t="s">
        <v>1686</v>
      </c>
      <c r="S1069" s="1" t="s">
        <v>264</v>
      </c>
      <c r="T1069" s="29" t="s">
        <v>265</v>
      </c>
      <c r="U1069" s="30">
        <v>46212</v>
      </c>
      <c r="V1069" s="27" t="s">
        <v>1313</v>
      </c>
      <c r="W1069" s="27" t="s">
        <v>1684</v>
      </c>
    </row>
    <row r="1070" spans="1:23" ht="24" customHeight="1">
      <c r="A1070" s="27" t="str">
        <f t="shared" ca="1" si="16"/>
        <v>EVT-2026-1068</v>
      </c>
      <c r="B1070" s="27">
        <v>2026</v>
      </c>
      <c r="C1070" s="27" t="s">
        <v>104</v>
      </c>
      <c r="D1070" s="30">
        <v>46226</v>
      </c>
      <c r="E1070" s="27" t="s">
        <v>216</v>
      </c>
      <c r="F1070" s="27" t="s">
        <v>126</v>
      </c>
      <c r="G1070" s="27" t="s">
        <v>202</v>
      </c>
      <c r="H1070" s="27" t="s">
        <v>1366</v>
      </c>
      <c r="I1070" s="27" t="s">
        <v>1687</v>
      </c>
      <c r="J1070" s="27" t="s">
        <v>158</v>
      </c>
      <c r="K1070" s="10">
        <v>30</v>
      </c>
      <c r="L1070" s="36" t="s">
        <v>263</v>
      </c>
      <c r="M1070" s="37" t="s">
        <v>309</v>
      </c>
      <c r="N1070" s="37" t="s">
        <v>295</v>
      </c>
      <c r="O1070" s="27" t="s">
        <v>369</v>
      </c>
      <c r="P1070" s="27" t="s">
        <v>1670</v>
      </c>
      <c r="Q1070" s="27" t="s">
        <v>351</v>
      </c>
      <c r="R1070" s="27" t="s">
        <v>1688</v>
      </c>
      <c r="S1070" s="1" t="s">
        <v>264</v>
      </c>
      <c r="T1070" s="29" t="s">
        <v>265</v>
      </c>
      <c r="U1070" s="30">
        <v>46218</v>
      </c>
      <c r="V1070" s="27" t="s">
        <v>1177</v>
      </c>
      <c r="W1070" s="27" t="s">
        <v>1497</v>
      </c>
    </row>
    <row r="1071" spans="1:23" ht="24" customHeight="1">
      <c r="A1071" s="27" t="str">
        <f t="shared" ca="1" si="16"/>
        <v>EVT-2026-1069</v>
      </c>
      <c r="B1071" s="27">
        <v>2026</v>
      </c>
      <c r="C1071" s="27" t="s">
        <v>104</v>
      </c>
      <c r="D1071" s="30">
        <v>46226</v>
      </c>
      <c r="E1071" s="27" t="s">
        <v>216</v>
      </c>
      <c r="F1071" s="27" t="s">
        <v>126</v>
      </c>
      <c r="G1071" s="27" t="s">
        <v>1260</v>
      </c>
      <c r="H1071" s="27" t="s">
        <v>1366</v>
      </c>
      <c r="I1071" s="27" t="s">
        <v>1689</v>
      </c>
      <c r="J1071" s="27" t="s">
        <v>145</v>
      </c>
      <c r="K1071" s="10">
        <v>25</v>
      </c>
      <c r="L1071" s="36" t="s">
        <v>263</v>
      </c>
      <c r="M1071" s="37" t="s">
        <v>309</v>
      </c>
      <c r="N1071" s="37" t="s">
        <v>1168</v>
      </c>
      <c r="O1071" s="27"/>
      <c r="P1071" s="27" t="s">
        <v>1690</v>
      </c>
      <c r="Q1071" s="27" t="s">
        <v>760</v>
      </c>
      <c r="R1071" s="27" t="s">
        <v>1691</v>
      </c>
      <c r="S1071" s="1" t="s">
        <v>264</v>
      </c>
      <c r="T1071" s="29" t="s">
        <v>265</v>
      </c>
      <c r="U1071" s="30">
        <v>46224</v>
      </c>
      <c r="V1071" s="27" t="s">
        <v>1692</v>
      </c>
      <c r="W1071" s="27" t="s">
        <v>1497</v>
      </c>
    </row>
    <row r="1072" spans="1:23" ht="24" customHeight="1">
      <c r="A1072" s="27" t="str">
        <f t="shared" ca="1" si="16"/>
        <v>EVT-2026-1070</v>
      </c>
      <c r="B1072" s="27">
        <v>2026</v>
      </c>
      <c r="C1072" s="27" t="s">
        <v>104</v>
      </c>
      <c r="D1072" s="30">
        <v>46227</v>
      </c>
      <c r="E1072" s="27" t="s">
        <v>220</v>
      </c>
      <c r="F1072" s="27" t="s">
        <v>126</v>
      </c>
      <c r="G1072" s="27" t="s">
        <v>202</v>
      </c>
      <c r="H1072" s="27" t="s">
        <v>1693</v>
      </c>
      <c r="I1072" s="27" t="s">
        <v>1651</v>
      </c>
      <c r="J1072" s="27" t="s">
        <v>152</v>
      </c>
      <c r="K1072" s="10">
        <v>1</v>
      </c>
      <c r="L1072" s="36" t="s">
        <v>263</v>
      </c>
      <c r="M1072" s="37" t="s">
        <v>269</v>
      </c>
      <c r="N1072" s="37" t="s">
        <v>270</v>
      </c>
      <c r="O1072" s="27"/>
      <c r="P1072" s="27"/>
      <c r="Q1072" s="27" t="s">
        <v>379</v>
      </c>
      <c r="R1072" s="27" t="s">
        <v>1655</v>
      </c>
      <c r="S1072" s="1" t="s">
        <v>264</v>
      </c>
      <c r="T1072" s="29" t="s">
        <v>265</v>
      </c>
      <c r="U1072" s="27"/>
      <c r="V1072" s="27" t="s">
        <v>1656</v>
      </c>
      <c r="W1072" s="27"/>
    </row>
    <row r="1073" spans="1:23" ht="24" customHeight="1">
      <c r="A1073" s="27" t="str">
        <f t="shared" ca="1" si="16"/>
        <v>EVT-2026-1071</v>
      </c>
      <c r="B1073" s="27">
        <v>2026</v>
      </c>
      <c r="C1073" s="27" t="s">
        <v>104</v>
      </c>
      <c r="D1073" s="30">
        <v>46227</v>
      </c>
      <c r="E1073" s="27" t="s">
        <v>220</v>
      </c>
      <c r="F1073" s="27" t="s">
        <v>126</v>
      </c>
      <c r="G1073" s="27" t="s">
        <v>1260</v>
      </c>
      <c r="H1073" s="27" t="s">
        <v>1366</v>
      </c>
      <c r="I1073" s="27" t="s">
        <v>1640</v>
      </c>
      <c r="J1073" s="27" t="s">
        <v>134</v>
      </c>
      <c r="K1073" s="10">
        <v>16</v>
      </c>
      <c r="L1073" s="36" t="s">
        <v>263</v>
      </c>
      <c r="M1073" s="37" t="s">
        <v>269</v>
      </c>
      <c r="N1073" s="37" t="s">
        <v>270</v>
      </c>
      <c r="O1073" s="27" t="s">
        <v>1632</v>
      </c>
      <c r="P1073" s="27"/>
      <c r="Q1073" s="27" t="s">
        <v>1641</v>
      </c>
      <c r="R1073" s="27"/>
      <c r="S1073" s="3" t="s">
        <v>312</v>
      </c>
      <c r="T1073" s="29" t="s">
        <v>265</v>
      </c>
      <c r="U1073" s="27"/>
      <c r="V1073" s="27" t="s">
        <v>1607</v>
      </c>
      <c r="W1073" s="27" t="s">
        <v>1643</v>
      </c>
    </row>
    <row r="1074" spans="1:23" ht="24" customHeight="1">
      <c r="A1074" s="27" t="str">
        <f t="shared" ca="1" si="16"/>
        <v>EVT-2026-1072</v>
      </c>
      <c r="B1074" s="27">
        <v>2026</v>
      </c>
      <c r="C1074" s="27" t="s">
        <v>104</v>
      </c>
      <c r="D1074" s="30">
        <v>46227</v>
      </c>
      <c r="E1074" s="27" t="s">
        <v>220</v>
      </c>
      <c r="F1074" s="27" t="s">
        <v>126</v>
      </c>
      <c r="G1074" s="27" t="s">
        <v>202</v>
      </c>
      <c r="H1074" s="27" t="s">
        <v>736</v>
      </c>
      <c r="I1074" s="27" t="s">
        <v>344</v>
      </c>
      <c r="J1074" s="27" t="s">
        <v>134</v>
      </c>
      <c r="K1074" s="10">
        <v>24</v>
      </c>
      <c r="L1074" s="36" t="s">
        <v>263</v>
      </c>
      <c r="M1074" s="37" t="s">
        <v>269</v>
      </c>
      <c r="N1074" s="37" t="s">
        <v>270</v>
      </c>
      <c r="O1074" s="27"/>
      <c r="P1074" s="27"/>
      <c r="Q1074" s="27" t="s">
        <v>277</v>
      </c>
      <c r="R1074" s="27" t="s">
        <v>1587</v>
      </c>
      <c r="S1074" s="3" t="s">
        <v>312</v>
      </c>
      <c r="T1074" s="29" t="s">
        <v>265</v>
      </c>
      <c r="U1074" s="30">
        <v>46203</v>
      </c>
      <c r="V1074" s="27"/>
      <c r="W1074" s="27"/>
    </row>
    <row r="1075" spans="1:23" ht="24" customHeight="1">
      <c r="A1075" s="27" t="str">
        <f t="shared" ca="1" si="16"/>
        <v>EVT-2026-1073</v>
      </c>
      <c r="B1075" s="27">
        <v>2026</v>
      </c>
      <c r="C1075" s="27" t="s">
        <v>104</v>
      </c>
      <c r="D1075" s="30">
        <v>46227</v>
      </c>
      <c r="E1075" s="27" t="s">
        <v>220</v>
      </c>
      <c r="F1075" s="27" t="s">
        <v>126</v>
      </c>
      <c r="G1075" s="27" t="s">
        <v>228</v>
      </c>
      <c r="H1075" s="27" t="s">
        <v>1611</v>
      </c>
      <c r="I1075" s="27" t="s">
        <v>344</v>
      </c>
      <c r="J1075" s="27" t="s">
        <v>134</v>
      </c>
      <c r="K1075" s="10">
        <v>10</v>
      </c>
      <c r="L1075" s="36" t="s">
        <v>263</v>
      </c>
      <c r="M1075" s="37" t="s">
        <v>269</v>
      </c>
      <c r="N1075" s="37" t="s">
        <v>270</v>
      </c>
      <c r="O1075" s="27"/>
      <c r="P1075" s="27"/>
      <c r="Q1075" s="27" t="s">
        <v>1585</v>
      </c>
      <c r="R1075" s="27" t="s">
        <v>1586</v>
      </c>
      <c r="S1075" s="1" t="s">
        <v>264</v>
      </c>
      <c r="T1075" s="29" t="s">
        <v>265</v>
      </c>
      <c r="U1075" s="27"/>
      <c r="V1075" s="27"/>
      <c r="W1075" s="27"/>
    </row>
    <row r="1076" spans="1:23" ht="24" customHeight="1">
      <c r="A1076" s="27" t="str">
        <f t="shared" ca="1" si="16"/>
        <v>EVT-2026-1074</v>
      </c>
      <c r="B1076" s="27">
        <v>2026</v>
      </c>
      <c r="C1076" s="27" t="s">
        <v>104</v>
      </c>
      <c r="D1076" s="30">
        <v>46227</v>
      </c>
      <c r="E1076" s="27" t="s">
        <v>220</v>
      </c>
      <c r="F1076" s="27" t="s">
        <v>126</v>
      </c>
      <c r="G1076" s="27" t="s">
        <v>228</v>
      </c>
      <c r="H1076" s="27" t="s">
        <v>125</v>
      </c>
      <c r="I1076" s="27" t="s">
        <v>1694</v>
      </c>
      <c r="J1076" s="27" t="s">
        <v>177</v>
      </c>
      <c r="K1076" s="10">
        <v>45</v>
      </c>
      <c r="L1076" s="36" t="s">
        <v>263</v>
      </c>
      <c r="M1076" s="37" t="s">
        <v>269</v>
      </c>
      <c r="N1076" s="37" t="s">
        <v>315</v>
      </c>
      <c r="O1076" s="27" t="s">
        <v>382</v>
      </c>
      <c r="P1076" s="27" t="s">
        <v>1670</v>
      </c>
      <c r="Q1076" s="27" t="s">
        <v>1695</v>
      </c>
      <c r="R1076" s="27" t="s">
        <v>1696</v>
      </c>
      <c r="S1076" s="1" t="s">
        <v>264</v>
      </c>
      <c r="T1076" s="29" t="s">
        <v>265</v>
      </c>
      <c r="U1076" s="30">
        <v>46220</v>
      </c>
      <c r="V1076" s="27" t="s">
        <v>298</v>
      </c>
      <c r="W1076" s="27" t="s">
        <v>1497</v>
      </c>
    </row>
    <row r="1077" spans="1:23" ht="24" customHeight="1">
      <c r="A1077" s="27" t="str">
        <f t="shared" ca="1" si="16"/>
        <v>EVT-2026-1075</v>
      </c>
      <c r="B1077" s="27">
        <v>2026</v>
      </c>
      <c r="C1077" s="27" t="s">
        <v>104</v>
      </c>
      <c r="D1077" s="30">
        <v>46227</v>
      </c>
      <c r="E1077" s="27" t="s">
        <v>220</v>
      </c>
      <c r="F1077" s="27" t="s">
        <v>126</v>
      </c>
      <c r="G1077" s="27" t="s">
        <v>228</v>
      </c>
      <c r="H1077" s="27" t="s">
        <v>125</v>
      </c>
      <c r="I1077" s="27" t="s">
        <v>1697</v>
      </c>
      <c r="J1077" s="27" t="s">
        <v>127</v>
      </c>
      <c r="K1077" s="10">
        <v>60</v>
      </c>
      <c r="L1077" s="36" t="s">
        <v>263</v>
      </c>
      <c r="M1077" s="37" t="s">
        <v>274</v>
      </c>
      <c r="N1077" s="37" t="s">
        <v>331</v>
      </c>
      <c r="O1077" s="27" t="s">
        <v>382</v>
      </c>
      <c r="P1077" s="27" t="s">
        <v>1698</v>
      </c>
      <c r="Q1077" s="27" t="s">
        <v>1699</v>
      </c>
      <c r="R1077" s="27" t="s">
        <v>1700</v>
      </c>
      <c r="S1077" s="1" t="s">
        <v>264</v>
      </c>
      <c r="T1077" s="29" t="s">
        <v>265</v>
      </c>
      <c r="U1077" s="30">
        <v>46217</v>
      </c>
      <c r="V1077" s="27" t="s">
        <v>1177</v>
      </c>
      <c r="W1077" s="27" t="s">
        <v>1701</v>
      </c>
    </row>
    <row r="1078" spans="1:23" ht="24" customHeight="1">
      <c r="A1078" s="27" t="str">
        <f t="shared" ca="1" si="16"/>
        <v>EVT-2026-1076</v>
      </c>
      <c r="B1078" s="27">
        <v>2026</v>
      </c>
      <c r="C1078" s="27" t="s">
        <v>104</v>
      </c>
      <c r="D1078" s="30">
        <v>46227</v>
      </c>
      <c r="E1078" s="27" t="s">
        <v>220</v>
      </c>
      <c r="F1078" s="27" t="s">
        <v>126</v>
      </c>
      <c r="G1078" s="27" t="s">
        <v>228</v>
      </c>
      <c r="H1078" s="27" t="s">
        <v>125</v>
      </c>
      <c r="I1078" s="27" t="s">
        <v>1702</v>
      </c>
      <c r="J1078" s="27" t="s">
        <v>145</v>
      </c>
      <c r="K1078" s="10">
        <v>25</v>
      </c>
      <c r="L1078" s="36" t="s">
        <v>263</v>
      </c>
      <c r="M1078" s="37" t="s">
        <v>309</v>
      </c>
      <c r="N1078" s="37" t="s">
        <v>1168</v>
      </c>
      <c r="O1078" s="27" t="s">
        <v>369</v>
      </c>
      <c r="P1078" s="27" t="s">
        <v>1690</v>
      </c>
      <c r="Q1078" s="27" t="s">
        <v>1703</v>
      </c>
      <c r="R1078" s="27"/>
      <c r="S1078" s="1" t="s">
        <v>264</v>
      </c>
      <c r="T1078" s="29" t="s">
        <v>265</v>
      </c>
      <c r="U1078" s="27" t="s">
        <v>1704</v>
      </c>
      <c r="V1078" s="27" t="s">
        <v>1705</v>
      </c>
      <c r="W1078" s="27" t="s">
        <v>1692</v>
      </c>
    </row>
    <row r="1079" spans="1:23" ht="24" customHeight="1">
      <c r="A1079" s="27" t="str">
        <f t="shared" ca="1" si="16"/>
        <v>EVT-2026-1077</v>
      </c>
      <c r="B1079" s="27">
        <v>2026</v>
      </c>
      <c r="C1079" s="27" t="s">
        <v>104</v>
      </c>
      <c r="D1079" s="30">
        <v>46227</v>
      </c>
      <c r="E1079" s="27" t="s">
        <v>220</v>
      </c>
      <c r="F1079" s="27" t="s">
        <v>126</v>
      </c>
      <c r="G1079" s="27" t="s">
        <v>208</v>
      </c>
      <c r="H1079" s="27" t="s">
        <v>1366</v>
      </c>
      <c r="I1079" s="27" t="s">
        <v>217</v>
      </c>
      <c r="J1079" s="27" t="s">
        <v>145</v>
      </c>
      <c r="K1079" s="10">
        <v>50</v>
      </c>
      <c r="L1079" s="36" t="s">
        <v>263</v>
      </c>
      <c r="M1079" s="37" t="s">
        <v>309</v>
      </c>
      <c r="N1079" s="37" t="s">
        <v>296</v>
      </c>
      <c r="O1079" s="27"/>
      <c r="P1079" s="27"/>
      <c r="Q1079" s="27" t="s">
        <v>370</v>
      </c>
      <c r="R1079" s="27" t="s">
        <v>1511</v>
      </c>
      <c r="S1079" s="1" t="s">
        <v>264</v>
      </c>
      <c r="T1079" s="29" t="s">
        <v>265</v>
      </c>
      <c r="U1079" s="27"/>
      <c r="V1079" s="27" t="s">
        <v>298</v>
      </c>
      <c r="W1079" s="27"/>
    </row>
    <row r="1080" spans="1:23" ht="24" customHeight="1">
      <c r="A1080" s="27" t="str">
        <f t="shared" ca="1" si="16"/>
        <v>EVT-2026-1078</v>
      </c>
      <c r="B1080" s="27">
        <v>2026</v>
      </c>
      <c r="C1080" s="27" t="s">
        <v>104</v>
      </c>
      <c r="D1080" s="30">
        <v>46227</v>
      </c>
      <c r="E1080" s="27" t="s">
        <v>220</v>
      </c>
      <c r="F1080" s="27" t="s">
        <v>126</v>
      </c>
      <c r="G1080" s="27" t="s">
        <v>202</v>
      </c>
      <c r="H1080" s="27" t="s">
        <v>1706</v>
      </c>
      <c r="I1080" s="27" t="s">
        <v>1687</v>
      </c>
      <c r="J1080" s="27" t="s">
        <v>158</v>
      </c>
      <c r="K1080" s="10">
        <v>30</v>
      </c>
      <c r="L1080" s="36" t="s">
        <v>263</v>
      </c>
      <c r="M1080" s="37" t="s">
        <v>309</v>
      </c>
      <c r="N1080" s="37" t="s">
        <v>295</v>
      </c>
      <c r="O1080" s="27" t="s">
        <v>369</v>
      </c>
      <c r="P1080" s="27" t="s">
        <v>1670</v>
      </c>
      <c r="Q1080" s="27" t="s">
        <v>1707</v>
      </c>
      <c r="R1080" s="27" t="s">
        <v>1601</v>
      </c>
      <c r="S1080" s="1" t="s">
        <v>264</v>
      </c>
      <c r="T1080" s="29" t="s">
        <v>265</v>
      </c>
      <c r="U1080" s="30">
        <v>46224</v>
      </c>
      <c r="V1080" s="27" t="s">
        <v>1177</v>
      </c>
      <c r="W1080" s="27" t="s">
        <v>1497</v>
      </c>
    </row>
    <row r="1081" spans="1:23" ht="24" customHeight="1">
      <c r="A1081" s="27" t="str">
        <f t="shared" ca="1" si="16"/>
        <v>EVT-2026-1079</v>
      </c>
      <c r="B1081" s="27">
        <v>2026</v>
      </c>
      <c r="C1081" s="27" t="s">
        <v>104</v>
      </c>
      <c r="D1081" s="30">
        <v>46227</v>
      </c>
      <c r="E1081" s="27" t="s">
        <v>220</v>
      </c>
      <c r="F1081" s="27" t="s">
        <v>126</v>
      </c>
      <c r="G1081" s="27" t="s">
        <v>202</v>
      </c>
      <c r="H1081" s="27" t="s">
        <v>736</v>
      </c>
      <c r="I1081" s="27" t="s">
        <v>1708</v>
      </c>
      <c r="J1081" s="27" t="s">
        <v>152</v>
      </c>
      <c r="K1081" s="10">
        <v>90</v>
      </c>
      <c r="L1081" s="36" t="s">
        <v>263</v>
      </c>
      <c r="M1081" s="37" t="s">
        <v>309</v>
      </c>
      <c r="N1081" s="37" t="s">
        <v>296</v>
      </c>
      <c r="O1081" s="27"/>
      <c r="P1081" s="27"/>
      <c r="Q1081" s="27" t="s">
        <v>378</v>
      </c>
      <c r="R1081" s="27"/>
      <c r="S1081" s="3" t="s">
        <v>312</v>
      </c>
      <c r="T1081" s="29" t="s">
        <v>265</v>
      </c>
      <c r="U1081" s="27"/>
      <c r="V1081" s="27"/>
      <c r="W1081" s="27" t="s">
        <v>1177</v>
      </c>
    </row>
    <row r="1082" spans="1:23" ht="24" customHeight="1">
      <c r="A1082" s="27" t="str">
        <f t="shared" ca="1" si="16"/>
        <v>EVT-2026-1080</v>
      </c>
      <c r="B1082" s="27">
        <v>2026</v>
      </c>
      <c r="C1082" s="27" t="s">
        <v>104</v>
      </c>
      <c r="D1082" s="30">
        <v>46227</v>
      </c>
      <c r="E1082" s="27" t="s">
        <v>220</v>
      </c>
      <c r="F1082" s="27" t="s">
        <v>126</v>
      </c>
      <c r="G1082" s="27" t="s">
        <v>202</v>
      </c>
      <c r="H1082" s="27" t="s">
        <v>1706</v>
      </c>
      <c r="I1082" s="27" t="s">
        <v>1657</v>
      </c>
      <c r="J1082" s="27" t="s">
        <v>139</v>
      </c>
      <c r="K1082" s="10">
        <v>50</v>
      </c>
      <c r="L1082" s="36" t="s">
        <v>263</v>
      </c>
      <c r="M1082" s="37" t="s">
        <v>506</v>
      </c>
      <c r="N1082" s="37" t="s">
        <v>275</v>
      </c>
      <c r="O1082" s="27" t="s">
        <v>369</v>
      </c>
      <c r="P1082" s="27"/>
      <c r="Q1082" s="27" t="s">
        <v>393</v>
      </c>
      <c r="R1082" s="27"/>
      <c r="S1082" s="1" t="s">
        <v>264</v>
      </c>
      <c r="T1082" s="29" t="s">
        <v>265</v>
      </c>
      <c r="U1082" s="27"/>
      <c r="V1082" s="27"/>
      <c r="W1082" s="27" t="s">
        <v>1177</v>
      </c>
    </row>
    <row r="1083" spans="1:23" ht="24" customHeight="1">
      <c r="A1083" s="27" t="str">
        <f t="shared" ca="1" si="16"/>
        <v>EVT-2026-1081</v>
      </c>
      <c r="B1083" s="27">
        <v>2026</v>
      </c>
      <c r="C1083" s="27" t="s">
        <v>104</v>
      </c>
      <c r="D1083" s="30">
        <v>46229</v>
      </c>
      <c r="E1083" s="27" t="s">
        <v>267</v>
      </c>
      <c r="F1083" s="27" t="s">
        <v>126</v>
      </c>
      <c r="G1083" s="27"/>
      <c r="H1083" s="27"/>
      <c r="I1083" s="27"/>
      <c r="J1083" s="27" t="s">
        <v>177</v>
      </c>
      <c r="K1083" s="10">
        <v>0</v>
      </c>
      <c r="L1083" s="36" t="s">
        <v>263</v>
      </c>
      <c r="M1083" s="37"/>
      <c r="N1083" s="37"/>
      <c r="O1083" s="27"/>
      <c r="P1083" s="27"/>
      <c r="Q1083" s="27"/>
      <c r="R1083" s="27"/>
      <c r="S1083" s="1" t="s">
        <v>264</v>
      </c>
      <c r="T1083" s="29" t="s">
        <v>265</v>
      </c>
      <c r="U1083" s="27"/>
      <c r="V1083" s="27"/>
      <c r="W1083" s="27"/>
    </row>
    <row r="1084" spans="1:23" ht="24" customHeight="1">
      <c r="A1084" s="27" t="str">
        <f t="shared" ca="1" si="16"/>
        <v>EVT-2026-1082</v>
      </c>
      <c r="B1084" s="27">
        <v>2026</v>
      </c>
      <c r="C1084" s="27" t="s">
        <v>104</v>
      </c>
      <c r="D1084" s="30">
        <v>46230</v>
      </c>
      <c r="E1084" s="27" t="s">
        <v>224</v>
      </c>
      <c r="F1084" s="27" t="s">
        <v>126</v>
      </c>
      <c r="G1084" s="27" t="s">
        <v>1260</v>
      </c>
      <c r="H1084" s="27" t="s">
        <v>1366</v>
      </c>
      <c r="I1084" s="27" t="s">
        <v>1640</v>
      </c>
      <c r="J1084" s="27" t="s">
        <v>134</v>
      </c>
      <c r="K1084" s="10">
        <v>16</v>
      </c>
      <c r="L1084" s="36" t="s">
        <v>263</v>
      </c>
      <c r="M1084" s="37" t="s">
        <v>269</v>
      </c>
      <c r="N1084" s="37" t="s">
        <v>270</v>
      </c>
      <c r="O1084" s="27" t="s">
        <v>1632</v>
      </c>
      <c r="P1084" s="27"/>
      <c r="Q1084" s="27" t="s">
        <v>1641</v>
      </c>
      <c r="R1084" s="27"/>
      <c r="S1084" s="3" t="s">
        <v>312</v>
      </c>
      <c r="T1084" s="29" t="s">
        <v>265</v>
      </c>
      <c r="U1084" s="27"/>
      <c r="V1084" s="27" t="s">
        <v>1607</v>
      </c>
      <c r="W1084" s="27" t="s">
        <v>1643</v>
      </c>
    </row>
    <row r="1085" spans="1:23" ht="24" customHeight="1">
      <c r="A1085" s="27" t="str">
        <f t="shared" ca="1" si="16"/>
        <v>EVT-2026-1083</v>
      </c>
      <c r="B1085" s="27">
        <v>2026</v>
      </c>
      <c r="C1085" s="27" t="s">
        <v>104</v>
      </c>
      <c r="D1085" s="30">
        <v>46230</v>
      </c>
      <c r="E1085" s="27" t="s">
        <v>224</v>
      </c>
      <c r="F1085" s="27" t="s">
        <v>126</v>
      </c>
      <c r="G1085" s="27" t="s">
        <v>228</v>
      </c>
      <c r="H1085" s="27" t="s">
        <v>125</v>
      </c>
      <c r="I1085" s="27" t="s">
        <v>1709</v>
      </c>
      <c r="J1085" s="27" t="s">
        <v>158</v>
      </c>
      <c r="K1085" s="10">
        <v>40</v>
      </c>
      <c r="L1085" s="36" t="s">
        <v>263</v>
      </c>
      <c r="M1085" s="37" t="s">
        <v>331</v>
      </c>
      <c r="N1085" s="37" t="s">
        <v>289</v>
      </c>
      <c r="O1085" s="27" t="s">
        <v>1710</v>
      </c>
      <c r="P1085" s="27"/>
      <c r="Q1085" s="27" t="s">
        <v>1711</v>
      </c>
      <c r="R1085" s="27" t="s">
        <v>1712</v>
      </c>
      <c r="S1085" s="1" t="s">
        <v>264</v>
      </c>
      <c r="T1085" s="29" t="s">
        <v>265</v>
      </c>
      <c r="U1085" s="27"/>
      <c r="V1085" s="27" t="s">
        <v>1713</v>
      </c>
      <c r="W1085" s="27"/>
    </row>
    <row r="1086" spans="1:23" ht="24" customHeight="1">
      <c r="A1086" s="27" t="str">
        <f t="shared" ca="1" si="16"/>
        <v>EVT-2026-1084</v>
      </c>
      <c r="B1086" s="27">
        <v>2026</v>
      </c>
      <c r="C1086" s="27" t="s">
        <v>104</v>
      </c>
      <c r="D1086" s="30">
        <v>46230</v>
      </c>
      <c r="E1086" s="27" t="s">
        <v>224</v>
      </c>
      <c r="F1086" s="27" t="s">
        <v>126</v>
      </c>
      <c r="G1086" s="27" t="s">
        <v>202</v>
      </c>
      <c r="H1086" s="27" t="s">
        <v>1714</v>
      </c>
      <c r="I1086" s="27" t="s">
        <v>1715</v>
      </c>
      <c r="J1086" s="27" t="s">
        <v>152</v>
      </c>
      <c r="K1086" s="10">
        <v>23</v>
      </c>
      <c r="L1086" s="36" t="s">
        <v>263</v>
      </c>
      <c r="M1086" s="37" t="s">
        <v>331</v>
      </c>
      <c r="N1086" s="37" t="s">
        <v>1342</v>
      </c>
      <c r="O1086" s="27" t="s">
        <v>1445</v>
      </c>
      <c r="P1086" s="27" t="s">
        <v>1445</v>
      </c>
      <c r="Q1086" s="27" t="s">
        <v>1278</v>
      </c>
      <c r="R1086" s="27" t="s">
        <v>1450</v>
      </c>
      <c r="S1086" s="3" t="s">
        <v>312</v>
      </c>
      <c r="T1086" s="29" t="s">
        <v>265</v>
      </c>
      <c r="U1086" s="27" t="s">
        <v>1716</v>
      </c>
      <c r="V1086" s="27" t="s">
        <v>1717</v>
      </c>
      <c r="W1086" s="27" t="s">
        <v>1497</v>
      </c>
    </row>
    <row r="1087" spans="1:23" ht="24" customHeight="1">
      <c r="A1087" s="27" t="str">
        <f t="shared" ca="1" si="16"/>
        <v>EVT-2026-1085</v>
      </c>
      <c r="B1087" s="27">
        <v>2026</v>
      </c>
      <c r="C1087" s="27" t="s">
        <v>104</v>
      </c>
      <c r="D1087" s="30">
        <v>46230</v>
      </c>
      <c r="E1087" s="27" t="s">
        <v>224</v>
      </c>
      <c r="F1087" s="27" t="s">
        <v>126</v>
      </c>
      <c r="G1087" s="27" t="s">
        <v>202</v>
      </c>
      <c r="H1087" s="27" t="s">
        <v>1706</v>
      </c>
      <c r="I1087" s="27" t="s">
        <v>1718</v>
      </c>
      <c r="J1087" s="27" t="s">
        <v>127</v>
      </c>
      <c r="K1087" s="10">
        <v>45</v>
      </c>
      <c r="L1087" s="36" t="s">
        <v>263</v>
      </c>
      <c r="M1087" s="37" t="s">
        <v>506</v>
      </c>
      <c r="N1087" s="37" t="s">
        <v>350</v>
      </c>
      <c r="O1087" s="27" t="s">
        <v>1719</v>
      </c>
      <c r="P1087" s="27"/>
      <c r="Q1087" s="27" t="s">
        <v>1720</v>
      </c>
      <c r="R1087" s="27" t="s">
        <v>1478</v>
      </c>
      <c r="S1087" s="1" t="s">
        <v>264</v>
      </c>
      <c r="T1087" s="29" t="s">
        <v>265</v>
      </c>
      <c r="U1087" s="27" t="s">
        <v>1716</v>
      </c>
      <c r="V1087" s="27" t="s">
        <v>1177</v>
      </c>
      <c r="W1087" s="27" t="s">
        <v>1497</v>
      </c>
    </row>
    <row r="1088" spans="1:23" ht="24" customHeight="1">
      <c r="A1088" s="27" t="str">
        <f t="shared" ca="1" si="16"/>
        <v>EVT-2026-1086</v>
      </c>
      <c r="B1088" s="27">
        <v>2026</v>
      </c>
      <c r="C1088" s="27" t="s">
        <v>104</v>
      </c>
      <c r="D1088" s="30">
        <v>46230</v>
      </c>
      <c r="E1088" s="27" t="s">
        <v>224</v>
      </c>
      <c r="F1088" s="27" t="s">
        <v>126</v>
      </c>
      <c r="G1088" s="27" t="s">
        <v>202</v>
      </c>
      <c r="H1088" s="27" t="s">
        <v>239</v>
      </c>
      <c r="I1088" s="27" t="s">
        <v>1721</v>
      </c>
      <c r="J1088" s="27" t="s">
        <v>177</v>
      </c>
      <c r="K1088" s="10">
        <v>150</v>
      </c>
      <c r="L1088" s="38" t="s">
        <v>294</v>
      </c>
      <c r="M1088" s="37" t="s">
        <v>295</v>
      </c>
      <c r="N1088" s="37" t="s">
        <v>296</v>
      </c>
      <c r="O1088" s="27" t="s">
        <v>382</v>
      </c>
      <c r="P1088" s="27"/>
      <c r="Q1088" s="27" t="s">
        <v>1722</v>
      </c>
      <c r="R1088" s="27" t="s">
        <v>1495</v>
      </c>
      <c r="S1088" s="3" t="s">
        <v>312</v>
      </c>
      <c r="T1088" s="29" t="s">
        <v>265</v>
      </c>
      <c r="U1088" s="27" t="s">
        <v>1723</v>
      </c>
      <c r="V1088" s="27" t="s">
        <v>1177</v>
      </c>
      <c r="W1088" s="27" t="s">
        <v>1497</v>
      </c>
    </row>
    <row r="1089" spans="1:23" ht="24" customHeight="1">
      <c r="A1089" s="27" t="str">
        <f t="shared" ca="1" si="16"/>
        <v>EVT-2026-1087</v>
      </c>
      <c r="B1089" s="27">
        <v>2026</v>
      </c>
      <c r="C1089" s="27" t="s">
        <v>104</v>
      </c>
      <c r="D1089" s="30">
        <v>46230</v>
      </c>
      <c r="E1089" s="27" t="s">
        <v>224</v>
      </c>
      <c r="F1089" s="27" t="s">
        <v>126</v>
      </c>
      <c r="G1089" s="27" t="s">
        <v>208</v>
      </c>
      <c r="H1089" s="27" t="s">
        <v>1366</v>
      </c>
      <c r="I1089" s="27" t="s">
        <v>1724</v>
      </c>
      <c r="J1089" s="27" t="s">
        <v>134</v>
      </c>
      <c r="K1089" s="10">
        <v>22</v>
      </c>
      <c r="L1089" s="36" t="s">
        <v>263</v>
      </c>
      <c r="M1089" s="37" t="s">
        <v>275</v>
      </c>
      <c r="N1089" s="37" t="s">
        <v>289</v>
      </c>
      <c r="O1089" s="27" t="s">
        <v>610</v>
      </c>
      <c r="P1089" s="27" t="s">
        <v>1725</v>
      </c>
      <c r="Q1089" s="27" t="s">
        <v>1726</v>
      </c>
      <c r="R1089" s="27" t="s">
        <v>1727</v>
      </c>
      <c r="S1089" s="1" t="s">
        <v>264</v>
      </c>
      <c r="T1089" s="29" t="s">
        <v>265</v>
      </c>
      <c r="U1089" s="30">
        <v>46210</v>
      </c>
      <c r="V1089" s="27" t="s">
        <v>1728</v>
      </c>
      <c r="W1089" s="27" t="s">
        <v>1497</v>
      </c>
    </row>
    <row r="1090" spans="1:23" ht="24" customHeight="1">
      <c r="A1090" s="27" t="str">
        <f t="shared" ca="1" si="16"/>
        <v>EVT-2026-1088</v>
      </c>
      <c r="B1090" s="27">
        <v>2026</v>
      </c>
      <c r="C1090" s="27" t="s">
        <v>104</v>
      </c>
      <c r="D1090" s="30">
        <v>46231</v>
      </c>
      <c r="E1090" s="27" t="s">
        <v>227</v>
      </c>
      <c r="F1090" s="27" t="s">
        <v>126</v>
      </c>
      <c r="G1090" s="27" t="s">
        <v>228</v>
      </c>
      <c r="H1090" s="27" t="s">
        <v>125</v>
      </c>
      <c r="I1090" s="27" t="s">
        <v>1729</v>
      </c>
      <c r="J1090" s="27" t="s">
        <v>152</v>
      </c>
      <c r="K1090" s="10">
        <v>40</v>
      </c>
      <c r="L1090" s="36" t="s">
        <v>263</v>
      </c>
      <c r="M1090" s="37" t="s">
        <v>506</v>
      </c>
      <c r="N1090" s="37" t="s">
        <v>429</v>
      </c>
      <c r="O1090" s="27"/>
      <c r="P1090" s="27"/>
      <c r="Q1090" s="27" t="s">
        <v>1730</v>
      </c>
      <c r="R1090" s="27"/>
      <c r="S1090" s="1" t="s">
        <v>264</v>
      </c>
      <c r="T1090" s="29" t="s">
        <v>265</v>
      </c>
      <c r="U1090" s="27"/>
      <c r="V1090" s="27"/>
      <c r="W1090" s="27" t="s">
        <v>1731</v>
      </c>
    </row>
    <row r="1091" spans="1:23" ht="24" customHeight="1">
      <c r="A1091" s="27" t="str">
        <f t="shared" ref="A1091:A1154" ca="1" si="17">IF(OR(D1091&lt;&gt;"",H1091&lt;&gt;"",I1091&lt;&gt;"",Q1091&lt;&gt;"",S1091&lt;&gt;""), "EVT-" &amp; TEXT(B1091, "0000") &amp; "-" &amp; TEXT(COUNTIF(OFFSET($A$1, 1, 0, ROW()-2, 1), "EVT*") + 1, "0000"), "")</f>
        <v>EVT-2026-1089</v>
      </c>
      <c r="B1091" s="27">
        <v>2026</v>
      </c>
      <c r="C1091" s="27" t="s">
        <v>104</v>
      </c>
      <c r="D1091" s="30">
        <v>46231</v>
      </c>
      <c r="E1091" s="27" t="s">
        <v>227</v>
      </c>
      <c r="F1091" s="27" t="s">
        <v>126</v>
      </c>
      <c r="G1091" s="27" t="s">
        <v>228</v>
      </c>
      <c r="H1091" s="27" t="s">
        <v>125</v>
      </c>
      <c r="I1091" s="27" t="s">
        <v>1732</v>
      </c>
      <c r="J1091" s="27" t="s">
        <v>127</v>
      </c>
      <c r="K1091" s="10">
        <v>45</v>
      </c>
      <c r="L1091" s="36" t="s">
        <v>263</v>
      </c>
      <c r="M1091" s="37" t="s">
        <v>946</v>
      </c>
      <c r="N1091" s="37" t="s">
        <v>1733</v>
      </c>
      <c r="O1091" s="27" t="s">
        <v>1734</v>
      </c>
      <c r="P1091" s="27" t="s">
        <v>1735</v>
      </c>
      <c r="Q1091" s="27" t="s">
        <v>1720</v>
      </c>
      <c r="R1091" s="27" t="s">
        <v>1736</v>
      </c>
      <c r="S1091" s="1" t="s">
        <v>264</v>
      </c>
      <c r="T1091" s="29" t="s">
        <v>265</v>
      </c>
      <c r="U1091" s="30">
        <v>46220</v>
      </c>
      <c r="V1091" s="27" t="s">
        <v>1177</v>
      </c>
      <c r="W1091" s="27"/>
    </row>
    <row r="1092" spans="1:23" ht="24" customHeight="1">
      <c r="A1092" s="27" t="str">
        <f t="shared" ca="1" si="17"/>
        <v>EVT-2026-1090</v>
      </c>
      <c r="B1092" s="27">
        <v>2026</v>
      </c>
      <c r="C1092" s="27" t="s">
        <v>104</v>
      </c>
      <c r="D1092" s="30">
        <v>46231</v>
      </c>
      <c r="E1092" s="27" t="s">
        <v>227</v>
      </c>
      <c r="F1092" s="27" t="s">
        <v>126</v>
      </c>
      <c r="G1092" s="27" t="s">
        <v>228</v>
      </c>
      <c r="H1092" s="27" t="s">
        <v>125</v>
      </c>
      <c r="I1092" s="27" t="s">
        <v>1737</v>
      </c>
      <c r="J1092" s="27" t="s">
        <v>158</v>
      </c>
      <c r="K1092" s="10">
        <v>40</v>
      </c>
      <c r="L1092" s="36" t="s">
        <v>263</v>
      </c>
      <c r="M1092" s="37" t="s">
        <v>295</v>
      </c>
      <c r="N1092" s="37" t="s">
        <v>270</v>
      </c>
      <c r="O1092" s="27"/>
      <c r="P1092" s="27"/>
      <c r="Q1092" s="27" t="s">
        <v>1711</v>
      </c>
      <c r="R1092" s="27"/>
      <c r="S1092" s="1" t="s">
        <v>264</v>
      </c>
      <c r="T1092" s="29" t="s">
        <v>265</v>
      </c>
      <c r="U1092" s="27"/>
      <c r="V1092" s="27"/>
      <c r="W1092" s="27" t="s">
        <v>1738</v>
      </c>
    </row>
    <row r="1093" spans="1:23" ht="24" customHeight="1">
      <c r="A1093" s="27" t="str">
        <f t="shared" ca="1" si="17"/>
        <v>EVT-2026-1091</v>
      </c>
      <c r="B1093" s="27">
        <v>2026</v>
      </c>
      <c r="C1093" s="27" t="s">
        <v>104</v>
      </c>
      <c r="D1093" s="30">
        <v>46231</v>
      </c>
      <c r="E1093" s="27" t="s">
        <v>227</v>
      </c>
      <c r="F1093" s="27" t="s">
        <v>126</v>
      </c>
      <c r="G1093" s="27" t="s">
        <v>208</v>
      </c>
      <c r="H1093" s="27" t="s">
        <v>1366</v>
      </c>
      <c r="I1093" s="27" t="s">
        <v>217</v>
      </c>
      <c r="J1093" s="27" t="s">
        <v>145</v>
      </c>
      <c r="K1093" s="10">
        <v>50</v>
      </c>
      <c r="L1093" s="36" t="s">
        <v>263</v>
      </c>
      <c r="M1093" s="37" t="s">
        <v>309</v>
      </c>
      <c r="N1093" s="37" t="s">
        <v>296</v>
      </c>
      <c r="O1093" s="27"/>
      <c r="P1093" s="27"/>
      <c r="Q1093" s="27" t="s">
        <v>370</v>
      </c>
      <c r="R1093" s="27" t="s">
        <v>1511</v>
      </c>
      <c r="S1093" s="1" t="s">
        <v>264</v>
      </c>
      <c r="T1093" s="29" t="s">
        <v>265</v>
      </c>
      <c r="U1093" s="27"/>
      <c r="V1093" s="27" t="s">
        <v>298</v>
      </c>
      <c r="W1093" s="27"/>
    </row>
    <row r="1094" spans="1:23" ht="24" customHeight="1">
      <c r="A1094" s="27" t="str">
        <f t="shared" ca="1" si="17"/>
        <v>EVT-2026-1092</v>
      </c>
      <c r="B1094" s="27">
        <v>2026</v>
      </c>
      <c r="C1094" s="27" t="s">
        <v>104</v>
      </c>
      <c r="D1094" s="30">
        <v>46231</v>
      </c>
      <c r="E1094" s="27" t="s">
        <v>227</v>
      </c>
      <c r="F1094" s="27" t="s">
        <v>126</v>
      </c>
      <c r="G1094" s="27" t="s">
        <v>1260</v>
      </c>
      <c r="H1094" s="27" t="s">
        <v>1366</v>
      </c>
      <c r="I1094" s="27" t="s">
        <v>1640</v>
      </c>
      <c r="J1094" s="27" t="s">
        <v>134</v>
      </c>
      <c r="K1094" s="10">
        <v>16</v>
      </c>
      <c r="L1094" s="36" t="s">
        <v>263</v>
      </c>
      <c r="M1094" s="37" t="s">
        <v>269</v>
      </c>
      <c r="N1094" s="37" t="s">
        <v>270</v>
      </c>
      <c r="O1094" s="27" t="s">
        <v>1632</v>
      </c>
      <c r="P1094" s="27"/>
      <c r="Q1094" s="27" t="s">
        <v>1641</v>
      </c>
      <c r="R1094" s="27"/>
      <c r="S1094" s="3" t="s">
        <v>312</v>
      </c>
      <c r="T1094" s="29" t="s">
        <v>265</v>
      </c>
      <c r="U1094" s="27"/>
      <c r="V1094" s="27" t="s">
        <v>1607</v>
      </c>
      <c r="W1094" s="27" t="s">
        <v>1643</v>
      </c>
    </row>
    <row r="1095" spans="1:23" ht="24" customHeight="1">
      <c r="A1095" s="27" t="str">
        <f t="shared" ca="1" si="17"/>
        <v>EVT-2026-1093</v>
      </c>
      <c r="B1095" s="27">
        <v>2026</v>
      </c>
      <c r="C1095" s="27" t="s">
        <v>104</v>
      </c>
      <c r="D1095" s="30">
        <v>46231</v>
      </c>
      <c r="E1095" s="27" t="s">
        <v>227</v>
      </c>
      <c r="F1095" s="27" t="s">
        <v>126</v>
      </c>
      <c r="G1095" s="27" t="s">
        <v>1260</v>
      </c>
      <c r="H1095" s="27" t="s">
        <v>1366</v>
      </c>
      <c r="I1095" s="27" t="s">
        <v>1719</v>
      </c>
      <c r="J1095" s="27" t="s">
        <v>158</v>
      </c>
      <c r="K1095" s="10">
        <v>50</v>
      </c>
      <c r="L1095" s="36" t="s">
        <v>263</v>
      </c>
      <c r="M1095" s="37" t="s">
        <v>639</v>
      </c>
      <c r="N1095" s="37" t="s">
        <v>1733</v>
      </c>
      <c r="O1095" s="27" t="s">
        <v>1739</v>
      </c>
      <c r="P1095" s="27" t="s">
        <v>1740</v>
      </c>
      <c r="Q1095" s="27" t="s">
        <v>1741</v>
      </c>
      <c r="R1095" s="27" t="s">
        <v>1742</v>
      </c>
      <c r="S1095" s="3" t="s">
        <v>312</v>
      </c>
      <c r="T1095" s="29" t="s">
        <v>265</v>
      </c>
      <c r="U1095" s="30">
        <v>46230</v>
      </c>
      <c r="V1095" s="27"/>
      <c r="W1095" s="27"/>
    </row>
    <row r="1096" spans="1:23" ht="24" customHeight="1">
      <c r="A1096" s="27" t="str">
        <f t="shared" ca="1" si="17"/>
        <v>EVT-2026-1094</v>
      </c>
      <c r="B1096" s="27">
        <v>2026</v>
      </c>
      <c r="C1096" s="27" t="s">
        <v>104</v>
      </c>
      <c r="D1096" s="30">
        <v>46231</v>
      </c>
      <c r="E1096" s="27" t="s">
        <v>227</v>
      </c>
      <c r="F1096" s="27" t="s">
        <v>126</v>
      </c>
      <c r="G1096" s="27" t="s">
        <v>202</v>
      </c>
      <c r="H1096" s="27" t="s">
        <v>1714</v>
      </c>
      <c r="I1096" s="27" t="s">
        <v>1743</v>
      </c>
      <c r="J1096" s="27" t="s">
        <v>165</v>
      </c>
      <c r="K1096" s="10">
        <v>80</v>
      </c>
      <c r="L1096" s="36" t="s">
        <v>263</v>
      </c>
      <c r="M1096" s="37" t="s">
        <v>309</v>
      </c>
      <c r="N1096" s="37" t="s">
        <v>448</v>
      </c>
      <c r="O1096" s="27" t="s">
        <v>1710</v>
      </c>
      <c r="P1096" s="27"/>
      <c r="Q1096" s="27" t="s">
        <v>1744</v>
      </c>
      <c r="R1096" s="27"/>
      <c r="S1096" s="1" t="s">
        <v>264</v>
      </c>
      <c r="T1096" s="29" t="s">
        <v>265</v>
      </c>
      <c r="U1096" s="27"/>
      <c r="V1096" s="27" t="s">
        <v>1658</v>
      </c>
      <c r="W1096" s="27" t="s">
        <v>1745</v>
      </c>
    </row>
    <row r="1097" spans="1:23" ht="24" customHeight="1">
      <c r="A1097" s="27" t="str">
        <f t="shared" ca="1" si="17"/>
        <v>EVT-2026-1095</v>
      </c>
      <c r="B1097" s="27">
        <v>2026</v>
      </c>
      <c r="C1097" s="27" t="s">
        <v>104</v>
      </c>
      <c r="D1097" s="30">
        <v>46231</v>
      </c>
      <c r="E1097" s="27" t="s">
        <v>227</v>
      </c>
      <c r="F1097" s="27" t="s">
        <v>126</v>
      </c>
      <c r="G1097" s="27" t="s">
        <v>202</v>
      </c>
      <c r="H1097" s="27" t="s">
        <v>1366</v>
      </c>
      <c r="I1097" s="27" t="s">
        <v>543</v>
      </c>
      <c r="J1097" s="27" t="s">
        <v>158</v>
      </c>
      <c r="K1097" s="10">
        <v>0</v>
      </c>
      <c r="L1097" s="36" t="s">
        <v>263</v>
      </c>
      <c r="M1097" s="37" t="s">
        <v>295</v>
      </c>
      <c r="N1097" s="37" t="s">
        <v>503</v>
      </c>
      <c r="O1097" s="27"/>
      <c r="P1097" s="27"/>
      <c r="Q1097" s="27" t="s">
        <v>1746</v>
      </c>
      <c r="R1097" s="27"/>
      <c r="S1097" s="1" t="s">
        <v>264</v>
      </c>
      <c r="T1097" s="29" t="s">
        <v>265</v>
      </c>
      <c r="U1097" s="27"/>
      <c r="V1097" s="27" t="s">
        <v>1747</v>
      </c>
      <c r="W1097" s="27" t="s">
        <v>1748</v>
      </c>
    </row>
    <row r="1098" spans="1:23" ht="24" customHeight="1">
      <c r="A1098" s="27" t="str">
        <f t="shared" ca="1" si="17"/>
        <v>EVT-2026-1096</v>
      </c>
      <c r="B1098" s="27">
        <v>2026</v>
      </c>
      <c r="C1098" s="27" t="s">
        <v>104</v>
      </c>
      <c r="D1098" s="30">
        <v>46231</v>
      </c>
      <c r="E1098" s="27" t="s">
        <v>227</v>
      </c>
      <c r="F1098" s="27" t="s">
        <v>126</v>
      </c>
      <c r="G1098" s="27" t="s">
        <v>202</v>
      </c>
      <c r="H1098" s="27" t="s">
        <v>1366</v>
      </c>
      <c r="I1098" s="27" t="s">
        <v>895</v>
      </c>
      <c r="J1098" s="27" t="s">
        <v>158</v>
      </c>
      <c r="K1098" s="10">
        <v>22</v>
      </c>
      <c r="L1098" s="36" t="s">
        <v>263</v>
      </c>
      <c r="M1098" s="37" t="s">
        <v>275</v>
      </c>
      <c r="N1098" s="37" t="s">
        <v>289</v>
      </c>
      <c r="O1098" s="27" t="s">
        <v>1445</v>
      </c>
      <c r="P1098" s="27" t="s">
        <v>1445</v>
      </c>
      <c r="Q1098" s="27" t="s">
        <v>1749</v>
      </c>
      <c r="R1098" s="27" t="s">
        <v>1750</v>
      </c>
      <c r="S1098" s="1" t="s">
        <v>264</v>
      </c>
      <c r="T1098" s="29" t="s">
        <v>265</v>
      </c>
      <c r="U1098" s="30">
        <v>46230</v>
      </c>
      <c r="V1098" s="27" t="s">
        <v>1748</v>
      </c>
      <c r="W1098" s="27" t="s">
        <v>1751</v>
      </c>
    </row>
    <row r="1099" spans="1:23" ht="24" customHeight="1">
      <c r="A1099" s="27" t="str">
        <f t="shared" ca="1" si="17"/>
        <v>EVT-2026-1097</v>
      </c>
      <c r="B1099" s="27">
        <v>2026</v>
      </c>
      <c r="C1099" s="27" t="s">
        <v>104</v>
      </c>
      <c r="D1099" s="30">
        <v>46232</v>
      </c>
      <c r="E1099" s="27" t="s">
        <v>201</v>
      </c>
      <c r="F1099" s="27" t="s">
        <v>126</v>
      </c>
      <c r="G1099" s="27" t="s">
        <v>228</v>
      </c>
      <c r="H1099" s="27" t="s">
        <v>125</v>
      </c>
      <c r="I1099" s="27" t="s">
        <v>1752</v>
      </c>
      <c r="J1099" s="27" t="s">
        <v>177</v>
      </c>
      <c r="K1099" s="10">
        <v>60</v>
      </c>
      <c r="L1099" s="36" t="s">
        <v>263</v>
      </c>
      <c r="M1099" s="37" t="s">
        <v>281</v>
      </c>
      <c r="N1099" s="37" t="s">
        <v>315</v>
      </c>
      <c r="O1099" s="27" t="s">
        <v>1445</v>
      </c>
      <c r="P1099" s="27" t="s">
        <v>1445</v>
      </c>
      <c r="Q1099" s="27" t="s">
        <v>1753</v>
      </c>
      <c r="R1099" s="27" t="s">
        <v>1754</v>
      </c>
      <c r="S1099" s="1" t="s">
        <v>264</v>
      </c>
      <c r="T1099" s="29" t="s">
        <v>265</v>
      </c>
      <c r="U1099" s="30">
        <v>46230</v>
      </c>
      <c r="V1099" s="27" t="s">
        <v>1755</v>
      </c>
      <c r="W1099" s="27" t="s">
        <v>1497</v>
      </c>
    </row>
    <row r="1100" spans="1:23" ht="24" customHeight="1">
      <c r="A1100" s="27" t="str">
        <f t="shared" ca="1" si="17"/>
        <v>EVT-2026-1098</v>
      </c>
      <c r="B1100" s="27">
        <v>2026</v>
      </c>
      <c r="C1100" s="27" t="s">
        <v>104</v>
      </c>
      <c r="D1100" s="30">
        <v>46232</v>
      </c>
      <c r="E1100" s="27" t="s">
        <v>201</v>
      </c>
      <c r="F1100" s="27" t="s">
        <v>126</v>
      </c>
      <c r="G1100" s="27" t="s">
        <v>228</v>
      </c>
      <c r="H1100" s="27" t="s">
        <v>125</v>
      </c>
      <c r="I1100" s="27" t="s">
        <v>1756</v>
      </c>
      <c r="J1100" s="27" t="s">
        <v>127</v>
      </c>
      <c r="K1100" s="10">
        <v>100</v>
      </c>
      <c r="L1100" s="38" t="s">
        <v>294</v>
      </c>
      <c r="M1100" s="37" t="s">
        <v>274</v>
      </c>
      <c r="N1100" s="37" t="s">
        <v>331</v>
      </c>
      <c r="O1100" s="27" t="s">
        <v>382</v>
      </c>
      <c r="P1100" s="27" t="s">
        <v>1757</v>
      </c>
      <c r="Q1100" s="27" t="s">
        <v>1758</v>
      </c>
      <c r="R1100" s="27" t="s">
        <v>1759</v>
      </c>
      <c r="S1100" s="1" t="s">
        <v>264</v>
      </c>
      <c r="T1100" s="29" t="s">
        <v>265</v>
      </c>
      <c r="U1100" s="30">
        <v>46225</v>
      </c>
      <c r="V1100" s="27" t="s">
        <v>1760</v>
      </c>
      <c r="W1100" s="27" t="s">
        <v>1497</v>
      </c>
    </row>
    <row r="1101" spans="1:23" ht="24" customHeight="1">
      <c r="A1101" s="27" t="str">
        <f t="shared" ca="1" si="17"/>
        <v>EVT-2026-1099</v>
      </c>
      <c r="B1101" s="27">
        <v>2026</v>
      </c>
      <c r="C1101" s="27" t="s">
        <v>104</v>
      </c>
      <c r="D1101" s="30">
        <v>46232</v>
      </c>
      <c r="E1101" s="27" t="s">
        <v>201</v>
      </c>
      <c r="F1101" s="27" t="s">
        <v>126</v>
      </c>
      <c r="G1101" s="27" t="s">
        <v>228</v>
      </c>
      <c r="H1101" s="27" t="s">
        <v>125</v>
      </c>
      <c r="I1101" s="27" t="s">
        <v>1761</v>
      </c>
      <c r="J1101" s="27" t="s">
        <v>134</v>
      </c>
      <c r="K1101" s="10">
        <v>50</v>
      </c>
      <c r="L1101" s="36" t="s">
        <v>263</v>
      </c>
      <c r="M1101" s="37" t="s">
        <v>354</v>
      </c>
      <c r="N1101" s="37" t="s">
        <v>289</v>
      </c>
      <c r="O1101" s="27" t="s">
        <v>369</v>
      </c>
      <c r="P1101" s="27" t="s">
        <v>369</v>
      </c>
      <c r="Q1101" s="27" t="s">
        <v>1762</v>
      </c>
      <c r="R1101" s="27" t="s">
        <v>1763</v>
      </c>
      <c r="S1101" s="1" t="s">
        <v>264</v>
      </c>
      <c r="T1101" s="29" t="s">
        <v>265</v>
      </c>
      <c r="U1101" s="30">
        <v>46225</v>
      </c>
      <c r="V1101" s="27" t="s">
        <v>1764</v>
      </c>
      <c r="W1101" s="27"/>
    </row>
    <row r="1102" spans="1:23" ht="24" customHeight="1">
      <c r="A1102" s="27" t="str">
        <f t="shared" ca="1" si="17"/>
        <v>EVT-2026-1100</v>
      </c>
      <c r="B1102" s="27">
        <v>2026</v>
      </c>
      <c r="C1102" s="27" t="s">
        <v>104</v>
      </c>
      <c r="D1102" s="30">
        <v>46232</v>
      </c>
      <c r="E1102" s="27" t="s">
        <v>201</v>
      </c>
      <c r="F1102" s="27" t="s">
        <v>126</v>
      </c>
      <c r="G1102" s="27" t="s">
        <v>228</v>
      </c>
      <c r="H1102" s="27" t="s">
        <v>1512</v>
      </c>
      <c r="I1102" s="27" t="s">
        <v>1765</v>
      </c>
      <c r="J1102" s="27" t="s">
        <v>177</v>
      </c>
      <c r="K1102" s="10">
        <v>40</v>
      </c>
      <c r="L1102" s="36" t="s">
        <v>263</v>
      </c>
      <c r="M1102" s="37" t="s">
        <v>295</v>
      </c>
      <c r="N1102" s="37" t="s">
        <v>290</v>
      </c>
      <c r="O1102" s="27"/>
      <c r="P1102" s="27"/>
      <c r="Q1102" s="27" t="s">
        <v>1766</v>
      </c>
      <c r="R1102" s="27" t="s">
        <v>1767</v>
      </c>
      <c r="S1102" s="1" t="s">
        <v>264</v>
      </c>
      <c r="T1102" s="29" t="s">
        <v>265</v>
      </c>
      <c r="U1102" s="30">
        <v>46230</v>
      </c>
      <c r="V1102" s="27" t="s">
        <v>1768</v>
      </c>
      <c r="W1102" s="27" t="s">
        <v>1751</v>
      </c>
    </row>
    <row r="1103" spans="1:23" ht="24" customHeight="1">
      <c r="A1103" s="27" t="str">
        <f t="shared" ca="1" si="17"/>
        <v>EVT-2026-1101</v>
      </c>
      <c r="B1103" s="27">
        <v>2026</v>
      </c>
      <c r="C1103" s="27" t="s">
        <v>104</v>
      </c>
      <c r="D1103" s="30">
        <v>46232</v>
      </c>
      <c r="E1103" s="27" t="s">
        <v>201</v>
      </c>
      <c r="F1103" s="27" t="s">
        <v>126</v>
      </c>
      <c r="G1103" s="27" t="s">
        <v>202</v>
      </c>
      <c r="H1103" s="27" t="s">
        <v>239</v>
      </c>
      <c r="I1103" s="27" t="s">
        <v>1501</v>
      </c>
      <c r="J1103" s="27" t="s">
        <v>177</v>
      </c>
      <c r="K1103" s="10">
        <v>150</v>
      </c>
      <c r="L1103" s="38" t="s">
        <v>294</v>
      </c>
      <c r="M1103" s="37" t="s">
        <v>274</v>
      </c>
      <c r="N1103" s="37" t="s">
        <v>429</v>
      </c>
      <c r="O1103" s="27"/>
      <c r="P1103" s="27"/>
      <c r="Q1103" s="27" t="s">
        <v>1730</v>
      </c>
      <c r="R1103" s="27"/>
      <c r="S1103" s="1" t="s">
        <v>264</v>
      </c>
      <c r="T1103" s="29" t="s">
        <v>265</v>
      </c>
      <c r="U1103" s="27"/>
      <c r="V1103" s="27"/>
      <c r="W1103" s="27" t="s">
        <v>1769</v>
      </c>
    </row>
    <row r="1104" spans="1:23" ht="24" customHeight="1">
      <c r="A1104" s="27" t="str">
        <f t="shared" ca="1" si="17"/>
        <v>EVT-2026-1102</v>
      </c>
      <c r="B1104" s="27">
        <v>2026</v>
      </c>
      <c r="C1104" s="27" t="s">
        <v>104</v>
      </c>
      <c r="D1104" s="30">
        <v>46232</v>
      </c>
      <c r="E1104" s="27" t="s">
        <v>201</v>
      </c>
      <c r="F1104" s="27" t="s">
        <v>126</v>
      </c>
      <c r="G1104" s="27" t="s">
        <v>208</v>
      </c>
      <c r="H1104" s="27" t="s">
        <v>1366</v>
      </c>
      <c r="I1104" s="27" t="s">
        <v>217</v>
      </c>
      <c r="J1104" s="27" t="s">
        <v>145</v>
      </c>
      <c r="K1104" s="10">
        <v>50</v>
      </c>
      <c r="L1104" s="36" t="s">
        <v>263</v>
      </c>
      <c r="M1104" s="37" t="s">
        <v>309</v>
      </c>
      <c r="N1104" s="37" t="s">
        <v>296</v>
      </c>
      <c r="O1104" s="27"/>
      <c r="P1104" s="27"/>
      <c r="Q1104" s="27" t="s">
        <v>370</v>
      </c>
      <c r="R1104" s="27" t="s">
        <v>1511</v>
      </c>
      <c r="S1104" s="1" t="s">
        <v>264</v>
      </c>
      <c r="T1104" s="29" t="s">
        <v>265</v>
      </c>
      <c r="U1104" s="27"/>
      <c r="V1104" s="27" t="s">
        <v>298</v>
      </c>
      <c r="W1104" s="27"/>
    </row>
    <row r="1105" spans="1:23" ht="24" customHeight="1">
      <c r="A1105" s="27" t="str">
        <f t="shared" ca="1" si="17"/>
        <v>EVT-2026-1103</v>
      </c>
      <c r="B1105" s="27">
        <v>2026</v>
      </c>
      <c r="C1105" s="27" t="s">
        <v>104</v>
      </c>
      <c r="D1105" s="30">
        <v>46232</v>
      </c>
      <c r="E1105" s="27" t="s">
        <v>201</v>
      </c>
      <c r="F1105" s="27" t="s">
        <v>126</v>
      </c>
      <c r="G1105" s="27" t="s">
        <v>202</v>
      </c>
      <c r="H1105" s="27" t="s">
        <v>1714</v>
      </c>
      <c r="I1105" s="27" t="s">
        <v>1770</v>
      </c>
      <c r="J1105" s="27" t="s">
        <v>165</v>
      </c>
      <c r="K1105" s="10">
        <v>45</v>
      </c>
      <c r="L1105" s="36" t="s">
        <v>263</v>
      </c>
      <c r="M1105" s="37" t="s">
        <v>309</v>
      </c>
      <c r="N1105" s="37" t="s">
        <v>359</v>
      </c>
      <c r="O1105" s="27" t="s">
        <v>369</v>
      </c>
      <c r="P1105" s="27" t="s">
        <v>1771</v>
      </c>
      <c r="Q1105" s="27" t="s">
        <v>583</v>
      </c>
      <c r="R1105" s="27" t="s">
        <v>1772</v>
      </c>
      <c r="S1105" s="1" t="s">
        <v>264</v>
      </c>
      <c r="T1105" s="29" t="s">
        <v>265</v>
      </c>
      <c r="U1105" s="30">
        <v>46226</v>
      </c>
      <c r="V1105" s="27" t="s">
        <v>1177</v>
      </c>
      <c r="W1105" s="27"/>
    </row>
    <row r="1106" spans="1:23" ht="24" customHeight="1">
      <c r="A1106" s="27" t="str">
        <f t="shared" ca="1" si="17"/>
        <v>EVT-2026-1104</v>
      </c>
      <c r="B1106" s="27">
        <v>2026</v>
      </c>
      <c r="C1106" s="27" t="s">
        <v>104</v>
      </c>
      <c r="D1106" s="30">
        <v>46232</v>
      </c>
      <c r="E1106" s="27" t="s">
        <v>201</v>
      </c>
      <c r="F1106" s="27" t="s">
        <v>126</v>
      </c>
      <c r="G1106" s="27" t="s">
        <v>202</v>
      </c>
      <c r="H1106" s="27" t="s">
        <v>1366</v>
      </c>
      <c r="I1106" s="27" t="s">
        <v>1765</v>
      </c>
      <c r="J1106" s="27" t="s">
        <v>158</v>
      </c>
      <c r="K1106" s="10">
        <v>40</v>
      </c>
      <c r="L1106" s="36" t="s">
        <v>263</v>
      </c>
      <c r="M1106" s="37" t="s">
        <v>350</v>
      </c>
      <c r="N1106" s="37" t="s">
        <v>359</v>
      </c>
      <c r="O1106" s="27" t="s">
        <v>610</v>
      </c>
      <c r="P1106" s="27"/>
      <c r="Q1106" s="27" t="s">
        <v>1766</v>
      </c>
      <c r="R1106" s="27"/>
      <c r="S1106" s="3" t="s">
        <v>312</v>
      </c>
      <c r="T1106" s="29" t="s">
        <v>265</v>
      </c>
      <c r="U1106" s="27"/>
      <c r="V1106" s="27" t="s">
        <v>1773</v>
      </c>
      <c r="W1106" s="27" t="s">
        <v>1774</v>
      </c>
    </row>
    <row r="1107" spans="1:23" ht="24" customHeight="1">
      <c r="A1107" s="27" t="str">
        <f t="shared" ca="1" si="17"/>
        <v>EVT-2026-1105</v>
      </c>
      <c r="B1107" s="27">
        <v>2026</v>
      </c>
      <c r="C1107" s="27" t="s">
        <v>104</v>
      </c>
      <c r="D1107" s="30">
        <v>46232</v>
      </c>
      <c r="E1107" s="27" t="s">
        <v>201</v>
      </c>
      <c r="F1107" s="27" t="s">
        <v>126</v>
      </c>
      <c r="G1107" s="27" t="s">
        <v>1260</v>
      </c>
      <c r="H1107" s="27" t="s">
        <v>1366</v>
      </c>
      <c r="I1107" s="27" t="s">
        <v>895</v>
      </c>
      <c r="J1107" s="27" t="s">
        <v>158</v>
      </c>
      <c r="K1107" s="10">
        <v>22</v>
      </c>
      <c r="L1107" s="36" t="s">
        <v>263</v>
      </c>
      <c r="M1107" s="37" t="s">
        <v>295</v>
      </c>
      <c r="N1107" s="37" t="s">
        <v>290</v>
      </c>
      <c r="O1107" s="27" t="s">
        <v>1445</v>
      </c>
      <c r="P1107" s="27"/>
      <c r="Q1107" s="27" t="s">
        <v>1749</v>
      </c>
      <c r="R1107" s="27"/>
      <c r="S1107" s="1" t="s">
        <v>264</v>
      </c>
      <c r="T1107" s="29" t="s">
        <v>265</v>
      </c>
      <c r="U1107" s="27"/>
      <c r="V1107" s="27" t="s">
        <v>1775</v>
      </c>
      <c r="W1107" s="27" t="s">
        <v>1748</v>
      </c>
    </row>
    <row r="1108" spans="1:23" ht="24" customHeight="1">
      <c r="A1108" s="27" t="str">
        <f t="shared" ca="1" si="17"/>
        <v>EVT-2026-1106</v>
      </c>
      <c r="B1108" s="27">
        <v>2026</v>
      </c>
      <c r="C1108" s="27" t="s">
        <v>104</v>
      </c>
      <c r="D1108" s="30">
        <v>46232</v>
      </c>
      <c r="E1108" s="27" t="s">
        <v>201</v>
      </c>
      <c r="F1108" s="27" t="s">
        <v>126</v>
      </c>
      <c r="G1108" s="27" t="s">
        <v>1260</v>
      </c>
      <c r="H1108" s="27" t="s">
        <v>1366</v>
      </c>
      <c r="I1108" s="27" t="s">
        <v>895</v>
      </c>
      <c r="J1108" s="27" t="s">
        <v>158</v>
      </c>
      <c r="K1108" s="10">
        <v>22</v>
      </c>
      <c r="L1108" s="36" t="s">
        <v>263</v>
      </c>
      <c r="M1108" s="37" t="s">
        <v>275</v>
      </c>
      <c r="N1108" s="37" t="s">
        <v>289</v>
      </c>
      <c r="O1108" s="27" t="s">
        <v>1445</v>
      </c>
      <c r="P1108" s="27"/>
      <c r="Q1108" s="27" t="s">
        <v>1749</v>
      </c>
      <c r="R1108" s="27"/>
      <c r="S1108" s="1" t="s">
        <v>264</v>
      </c>
      <c r="T1108" s="29" t="s">
        <v>265</v>
      </c>
      <c r="U1108" s="27"/>
      <c r="V1108" s="27" t="s">
        <v>1775</v>
      </c>
      <c r="W1108" s="27" t="s">
        <v>1748</v>
      </c>
    </row>
    <row r="1109" spans="1:23" ht="24" customHeight="1">
      <c r="A1109" s="27" t="str">
        <f t="shared" ca="1" si="17"/>
        <v>EVT-2026-1107</v>
      </c>
      <c r="B1109" s="27">
        <v>2026</v>
      </c>
      <c r="C1109" s="27" t="s">
        <v>104</v>
      </c>
      <c r="D1109" s="30">
        <v>46232</v>
      </c>
      <c r="E1109" s="27" t="s">
        <v>201</v>
      </c>
      <c r="F1109" s="27" t="s">
        <v>126</v>
      </c>
      <c r="G1109" s="27" t="s">
        <v>1260</v>
      </c>
      <c r="H1109" s="27" t="s">
        <v>1366</v>
      </c>
      <c r="I1109" s="27" t="s">
        <v>895</v>
      </c>
      <c r="J1109" s="27" t="s">
        <v>158</v>
      </c>
      <c r="K1109" s="10">
        <v>20</v>
      </c>
      <c r="L1109" s="36" t="s">
        <v>263</v>
      </c>
      <c r="M1109" s="37" t="s">
        <v>330</v>
      </c>
      <c r="N1109" s="37" t="s">
        <v>331</v>
      </c>
      <c r="O1109" s="27" t="s">
        <v>1445</v>
      </c>
      <c r="P1109" s="27"/>
      <c r="Q1109" s="27" t="s">
        <v>1776</v>
      </c>
      <c r="R1109" s="27"/>
      <c r="S1109" s="1" t="s">
        <v>264</v>
      </c>
      <c r="T1109" s="29" t="s">
        <v>265</v>
      </c>
      <c r="U1109" s="27"/>
      <c r="V1109" s="27" t="s">
        <v>1775</v>
      </c>
      <c r="W1109" s="27" t="s">
        <v>1748</v>
      </c>
    </row>
    <row r="1110" spans="1:23" ht="24" customHeight="1">
      <c r="A1110" s="27" t="str">
        <f t="shared" ca="1" si="17"/>
        <v>EVT-2026-1108</v>
      </c>
      <c r="B1110" s="27">
        <v>2026</v>
      </c>
      <c r="C1110" s="27" t="s">
        <v>104</v>
      </c>
      <c r="D1110" s="30">
        <v>46232</v>
      </c>
      <c r="E1110" s="27" t="s">
        <v>201</v>
      </c>
      <c r="F1110" s="27" t="s">
        <v>126</v>
      </c>
      <c r="G1110" s="27" t="s">
        <v>202</v>
      </c>
      <c r="H1110" s="27" t="s">
        <v>1777</v>
      </c>
      <c r="I1110" s="27" t="s">
        <v>1778</v>
      </c>
      <c r="J1110" s="27" t="s">
        <v>177</v>
      </c>
      <c r="K1110" s="10">
        <v>0</v>
      </c>
      <c r="L1110" s="36" t="s">
        <v>263</v>
      </c>
      <c r="M1110" s="37" t="s">
        <v>330</v>
      </c>
      <c r="N1110" s="37" t="s">
        <v>331</v>
      </c>
      <c r="O1110" s="27"/>
      <c r="P1110" s="27"/>
      <c r="Q1110" s="27" t="s">
        <v>1007</v>
      </c>
      <c r="R1110" s="27"/>
      <c r="S1110" s="1" t="s">
        <v>264</v>
      </c>
      <c r="T1110" s="29" t="s">
        <v>265</v>
      </c>
      <c r="U1110" s="27"/>
      <c r="V1110" s="27" t="s">
        <v>1775</v>
      </c>
      <c r="W1110" s="27" t="s">
        <v>1748</v>
      </c>
    </row>
    <row r="1111" spans="1:23" ht="24" customHeight="1">
      <c r="A1111" s="27" t="str">
        <f t="shared" ca="1" si="17"/>
        <v>EVT-2026-1109</v>
      </c>
      <c r="B1111" s="27">
        <v>2026</v>
      </c>
      <c r="C1111" s="27" t="s">
        <v>104</v>
      </c>
      <c r="D1111" s="30">
        <v>46233</v>
      </c>
      <c r="E1111" s="27" t="s">
        <v>216</v>
      </c>
      <c r="F1111" s="27" t="s">
        <v>126</v>
      </c>
      <c r="G1111" s="27" t="s">
        <v>228</v>
      </c>
      <c r="H1111" s="27" t="s">
        <v>1512</v>
      </c>
      <c r="I1111" s="27" t="s">
        <v>658</v>
      </c>
      <c r="J1111" s="27" t="s">
        <v>152</v>
      </c>
      <c r="K1111" s="10">
        <v>60</v>
      </c>
      <c r="L1111" s="36" t="s">
        <v>263</v>
      </c>
      <c r="M1111" s="37" t="s">
        <v>295</v>
      </c>
      <c r="N1111" s="37" t="s">
        <v>270</v>
      </c>
      <c r="O1111" s="27" t="s">
        <v>1779</v>
      </c>
      <c r="P1111" s="27"/>
      <c r="Q1111" s="27" t="s">
        <v>1163</v>
      </c>
      <c r="R1111" s="27"/>
      <c r="S1111" s="1" t="s">
        <v>264</v>
      </c>
      <c r="T1111" s="29" t="s">
        <v>265</v>
      </c>
      <c r="U1111" s="27"/>
      <c r="V1111" s="27"/>
      <c r="W1111" s="27" t="s">
        <v>1780</v>
      </c>
    </row>
    <row r="1112" spans="1:23" ht="24" customHeight="1">
      <c r="A1112" s="27" t="str">
        <f t="shared" ca="1" si="17"/>
        <v>EVT-2026-1110</v>
      </c>
      <c r="B1112" s="27">
        <v>2026</v>
      </c>
      <c r="C1112" s="27" t="s">
        <v>104</v>
      </c>
      <c r="D1112" s="30">
        <v>46233</v>
      </c>
      <c r="E1112" s="27" t="s">
        <v>216</v>
      </c>
      <c r="F1112" s="27" t="s">
        <v>126</v>
      </c>
      <c r="G1112" s="27" t="s">
        <v>228</v>
      </c>
      <c r="H1112" s="27" t="s">
        <v>1512</v>
      </c>
      <c r="I1112" s="27" t="s">
        <v>1781</v>
      </c>
      <c r="J1112" s="27" t="s">
        <v>177</v>
      </c>
      <c r="K1112" s="10">
        <v>100</v>
      </c>
      <c r="L1112" s="38" t="s">
        <v>294</v>
      </c>
      <c r="M1112" s="37" t="s">
        <v>338</v>
      </c>
      <c r="N1112" s="37" t="s">
        <v>274</v>
      </c>
      <c r="O1112" s="27"/>
      <c r="P1112" s="27"/>
      <c r="Q1112" s="27" t="s">
        <v>585</v>
      </c>
      <c r="R1112" s="27"/>
      <c r="S1112" s="1" t="s">
        <v>264</v>
      </c>
      <c r="T1112" s="29" t="s">
        <v>265</v>
      </c>
      <c r="U1112" s="27"/>
      <c r="V1112" s="27" t="s">
        <v>1782</v>
      </c>
      <c r="W1112" s="27" t="s">
        <v>1177</v>
      </c>
    </row>
    <row r="1113" spans="1:23" ht="24" customHeight="1">
      <c r="A1113" s="27" t="str">
        <f t="shared" ca="1" si="17"/>
        <v>EVT-2026-1111</v>
      </c>
      <c r="B1113" s="27">
        <v>2026</v>
      </c>
      <c r="C1113" s="27" t="s">
        <v>104</v>
      </c>
      <c r="D1113" s="30">
        <v>46233</v>
      </c>
      <c r="E1113" s="27" t="s">
        <v>216</v>
      </c>
      <c r="F1113" s="27" t="s">
        <v>126</v>
      </c>
      <c r="G1113" s="27" t="s">
        <v>208</v>
      </c>
      <c r="H1113" s="27" t="s">
        <v>1366</v>
      </c>
      <c r="I1113" s="27" t="s">
        <v>217</v>
      </c>
      <c r="J1113" s="27" t="s">
        <v>145</v>
      </c>
      <c r="K1113" s="10">
        <v>50</v>
      </c>
      <c r="L1113" s="36" t="s">
        <v>263</v>
      </c>
      <c r="M1113" s="37" t="s">
        <v>309</v>
      </c>
      <c r="N1113" s="37" t="s">
        <v>296</v>
      </c>
      <c r="O1113" s="27"/>
      <c r="P1113" s="27"/>
      <c r="Q1113" s="27" t="s">
        <v>1783</v>
      </c>
      <c r="R1113" s="27"/>
      <c r="S1113" s="1" t="s">
        <v>264</v>
      </c>
      <c r="T1113" s="29" t="s">
        <v>265</v>
      </c>
      <c r="U1113" s="27"/>
      <c r="V1113" s="27"/>
      <c r="W1113" s="27" t="s">
        <v>298</v>
      </c>
    </row>
    <row r="1114" spans="1:23" ht="24" customHeight="1">
      <c r="A1114" s="27" t="str">
        <f t="shared" ca="1" si="17"/>
        <v>EVT-2026-1112</v>
      </c>
      <c r="B1114" s="27">
        <v>2026</v>
      </c>
      <c r="C1114" s="27" t="s">
        <v>104</v>
      </c>
      <c r="D1114" s="30">
        <v>46233</v>
      </c>
      <c r="E1114" s="27" t="s">
        <v>216</v>
      </c>
      <c r="F1114" s="27" t="s">
        <v>126</v>
      </c>
      <c r="G1114" s="27" t="s">
        <v>228</v>
      </c>
      <c r="H1114" s="27" t="s">
        <v>1512</v>
      </c>
      <c r="I1114" s="27" t="s">
        <v>1574</v>
      </c>
      <c r="J1114" s="27" t="s">
        <v>172</v>
      </c>
      <c r="K1114" s="10">
        <v>5</v>
      </c>
      <c r="L1114" s="36" t="s">
        <v>263</v>
      </c>
      <c r="M1114" s="37" t="s">
        <v>275</v>
      </c>
      <c r="N1114" s="37" t="s">
        <v>309</v>
      </c>
      <c r="O1114" s="27" t="s">
        <v>369</v>
      </c>
      <c r="P1114" s="27" t="s">
        <v>369</v>
      </c>
      <c r="Q1114" s="27" t="s">
        <v>1784</v>
      </c>
      <c r="R1114" s="27"/>
      <c r="S1114" s="1" t="s">
        <v>264</v>
      </c>
      <c r="T1114" s="29" t="s">
        <v>265</v>
      </c>
      <c r="U1114" s="27"/>
      <c r="V1114" s="27"/>
      <c r="W1114" s="27" t="s">
        <v>1692</v>
      </c>
    </row>
    <row r="1115" spans="1:23" ht="24" customHeight="1">
      <c r="A1115" s="27" t="str">
        <f t="shared" ca="1" si="17"/>
        <v>EVT-2026-1113</v>
      </c>
      <c r="B1115" s="27">
        <v>2026</v>
      </c>
      <c r="C1115" s="27" t="s">
        <v>104</v>
      </c>
      <c r="D1115" s="30">
        <v>46233</v>
      </c>
      <c r="E1115" s="27" t="s">
        <v>216</v>
      </c>
      <c r="F1115" s="27" t="s">
        <v>126</v>
      </c>
      <c r="G1115" s="27" t="s">
        <v>202</v>
      </c>
      <c r="H1115" s="27" t="s">
        <v>736</v>
      </c>
      <c r="I1115" s="27" t="s">
        <v>1785</v>
      </c>
      <c r="J1115" s="27" t="s">
        <v>165</v>
      </c>
      <c r="K1115" s="10">
        <v>50</v>
      </c>
      <c r="L1115" s="36" t="s">
        <v>263</v>
      </c>
      <c r="M1115" s="37" t="s">
        <v>309</v>
      </c>
      <c r="N1115" s="37" t="s">
        <v>295</v>
      </c>
      <c r="O1115" s="27" t="s">
        <v>1445</v>
      </c>
      <c r="P1115" s="27" t="s">
        <v>1670</v>
      </c>
      <c r="Q1115" s="27" t="s">
        <v>378</v>
      </c>
      <c r="R1115" s="27" t="s">
        <v>1786</v>
      </c>
      <c r="S1115" s="1" t="s">
        <v>264</v>
      </c>
      <c r="T1115" s="29" t="s">
        <v>265</v>
      </c>
      <c r="U1115" s="30">
        <v>46220</v>
      </c>
      <c r="V1115" s="27" t="s">
        <v>298</v>
      </c>
      <c r="W1115" s="27" t="s">
        <v>1497</v>
      </c>
    </row>
    <row r="1116" spans="1:23" ht="24" customHeight="1">
      <c r="A1116" s="27" t="str">
        <f t="shared" ca="1" si="17"/>
        <v>EVT-2026-1114</v>
      </c>
      <c r="B1116" s="27">
        <v>2026</v>
      </c>
      <c r="C1116" s="27" t="s">
        <v>104</v>
      </c>
      <c r="D1116" s="30">
        <v>46233</v>
      </c>
      <c r="E1116" s="27" t="s">
        <v>216</v>
      </c>
      <c r="F1116" s="27" t="s">
        <v>126</v>
      </c>
      <c r="G1116" s="27" t="s">
        <v>202</v>
      </c>
      <c r="H1116" s="27" t="s">
        <v>1706</v>
      </c>
      <c r="I1116" s="27" t="s">
        <v>1687</v>
      </c>
      <c r="J1116" s="27" t="s">
        <v>158</v>
      </c>
      <c r="K1116" s="10">
        <v>30</v>
      </c>
      <c r="L1116" s="36" t="s">
        <v>263</v>
      </c>
      <c r="M1116" s="37" t="s">
        <v>295</v>
      </c>
      <c r="N1116" s="37" t="s">
        <v>296</v>
      </c>
      <c r="O1116" s="27" t="s">
        <v>1445</v>
      </c>
      <c r="P1116" s="27" t="s">
        <v>1670</v>
      </c>
      <c r="Q1116" s="27" t="s">
        <v>351</v>
      </c>
      <c r="R1116" s="27" t="s">
        <v>1601</v>
      </c>
      <c r="S1116" s="1" t="s">
        <v>264</v>
      </c>
      <c r="T1116" s="29" t="s">
        <v>265</v>
      </c>
      <c r="U1116" s="30">
        <v>46227</v>
      </c>
      <c r="V1116" s="27" t="s">
        <v>1673</v>
      </c>
      <c r="W1116" s="27" t="s">
        <v>1497</v>
      </c>
    </row>
    <row r="1117" spans="1:23" ht="24" customHeight="1">
      <c r="A1117" s="27" t="str">
        <f t="shared" ca="1" si="17"/>
        <v>EVT-2026-1115</v>
      </c>
      <c r="B1117" s="27">
        <v>2026</v>
      </c>
      <c r="C1117" s="27" t="s">
        <v>104</v>
      </c>
      <c r="D1117" s="30">
        <v>46233</v>
      </c>
      <c r="E1117" s="27" t="s">
        <v>216</v>
      </c>
      <c r="F1117" s="27" t="s">
        <v>126</v>
      </c>
      <c r="G1117" s="27" t="s">
        <v>1260</v>
      </c>
      <c r="H1117" s="27" t="s">
        <v>1366</v>
      </c>
      <c r="I1117" s="27" t="s">
        <v>895</v>
      </c>
      <c r="J1117" s="27" t="s">
        <v>158</v>
      </c>
      <c r="K1117" s="10">
        <v>22</v>
      </c>
      <c r="L1117" s="36" t="s">
        <v>263</v>
      </c>
      <c r="M1117" s="37" t="s">
        <v>275</v>
      </c>
      <c r="N1117" s="37" t="s">
        <v>289</v>
      </c>
      <c r="O1117" s="27" t="s">
        <v>1445</v>
      </c>
      <c r="P1117" s="27"/>
      <c r="Q1117" s="27" t="s">
        <v>1749</v>
      </c>
      <c r="R1117" s="27"/>
      <c r="S1117" s="1" t="s">
        <v>264</v>
      </c>
      <c r="T1117" s="29" t="s">
        <v>265</v>
      </c>
      <c r="U1117" s="27"/>
      <c r="V1117" s="27" t="s">
        <v>1775</v>
      </c>
      <c r="W1117" s="27" t="s">
        <v>1748</v>
      </c>
    </row>
    <row r="1118" spans="1:23" ht="24" customHeight="1">
      <c r="A1118" s="27" t="str">
        <f t="shared" ca="1" si="17"/>
        <v>EVT-2026-1116</v>
      </c>
      <c r="B1118" s="27">
        <v>2026</v>
      </c>
      <c r="C1118" s="27" t="s">
        <v>104</v>
      </c>
      <c r="D1118" s="30">
        <v>46234</v>
      </c>
      <c r="E1118" s="27" t="s">
        <v>220</v>
      </c>
      <c r="F1118" s="27" t="s">
        <v>126</v>
      </c>
      <c r="G1118" s="27" t="s">
        <v>208</v>
      </c>
      <c r="H1118" s="27" t="s">
        <v>1787</v>
      </c>
      <c r="I1118" s="27" t="s">
        <v>1788</v>
      </c>
      <c r="J1118" s="27" t="s">
        <v>158</v>
      </c>
      <c r="K1118" s="10">
        <v>50</v>
      </c>
      <c r="L1118" s="36" t="s">
        <v>263</v>
      </c>
      <c r="M1118" s="37" t="s">
        <v>275</v>
      </c>
      <c r="N1118" s="37" t="s">
        <v>295</v>
      </c>
      <c r="O1118" s="27" t="s">
        <v>1789</v>
      </c>
      <c r="P1118" s="27" t="s">
        <v>382</v>
      </c>
      <c r="Q1118" s="27" t="s">
        <v>1790</v>
      </c>
      <c r="R1118" s="27" t="s">
        <v>1791</v>
      </c>
      <c r="S1118" s="3" t="s">
        <v>312</v>
      </c>
      <c r="T1118" s="29" t="s">
        <v>265</v>
      </c>
      <c r="U1118" s="30">
        <v>46227</v>
      </c>
      <c r="V1118" s="27"/>
      <c r="W1118" s="27"/>
    </row>
    <row r="1119" spans="1:23" ht="24" customHeight="1">
      <c r="A1119" s="27" t="str">
        <f t="shared" ca="1" si="17"/>
        <v>EVT-2026-1117</v>
      </c>
      <c r="B1119" s="27">
        <v>2026</v>
      </c>
      <c r="C1119" s="27" t="s">
        <v>104</v>
      </c>
      <c r="D1119" s="30">
        <v>46234</v>
      </c>
      <c r="E1119" s="27" t="s">
        <v>220</v>
      </c>
      <c r="F1119" s="27" t="s">
        <v>126</v>
      </c>
      <c r="G1119" s="27" t="s">
        <v>202</v>
      </c>
      <c r="H1119" s="27" t="s">
        <v>736</v>
      </c>
      <c r="I1119" s="27" t="s">
        <v>1792</v>
      </c>
      <c r="J1119" s="27" t="s">
        <v>165</v>
      </c>
      <c r="K1119" s="10">
        <v>45</v>
      </c>
      <c r="L1119" s="36" t="s">
        <v>263</v>
      </c>
      <c r="M1119" s="37" t="s">
        <v>330</v>
      </c>
      <c r="N1119" s="37" t="s">
        <v>354</v>
      </c>
      <c r="O1119" s="27" t="s">
        <v>1445</v>
      </c>
      <c r="P1119" s="27" t="s">
        <v>1793</v>
      </c>
      <c r="Q1119" s="27" t="s">
        <v>1794</v>
      </c>
      <c r="R1119" s="27" t="s">
        <v>1795</v>
      </c>
      <c r="S1119" s="3" t="s">
        <v>312</v>
      </c>
      <c r="T1119" s="29" t="s">
        <v>265</v>
      </c>
      <c r="U1119" s="30">
        <v>46226</v>
      </c>
      <c r="V1119" s="27" t="s">
        <v>1673</v>
      </c>
      <c r="W1119" s="27" t="s">
        <v>1796</v>
      </c>
    </row>
    <row r="1120" spans="1:23" ht="24" customHeight="1">
      <c r="A1120" s="27" t="str">
        <f t="shared" ca="1" si="17"/>
        <v>EVT-2026-1118</v>
      </c>
      <c r="B1120" s="27">
        <v>2026</v>
      </c>
      <c r="C1120" s="27" t="s">
        <v>104</v>
      </c>
      <c r="D1120" s="30">
        <v>46234</v>
      </c>
      <c r="E1120" s="27" t="s">
        <v>220</v>
      </c>
      <c r="F1120" s="27" t="s">
        <v>126</v>
      </c>
      <c r="G1120" s="27" t="s">
        <v>202</v>
      </c>
      <c r="H1120" s="27" t="s">
        <v>239</v>
      </c>
      <c r="I1120" s="27" t="s">
        <v>1507</v>
      </c>
      <c r="J1120" s="27" t="s">
        <v>127</v>
      </c>
      <c r="K1120" s="10">
        <v>100</v>
      </c>
      <c r="L1120" s="38" t="s">
        <v>294</v>
      </c>
      <c r="M1120" s="37" t="s">
        <v>274</v>
      </c>
      <c r="N1120" s="37" t="s">
        <v>429</v>
      </c>
      <c r="O1120" s="27"/>
      <c r="P1120" s="27"/>
      <c r="Q1120" s="27" t="s">
        <v>719</v>
      </c>
      <c r="R1120" s="27"/>
      <c r="S1120" s="3" t="s">
        <v>312</v>
      </c>
      <c r="T1120" s="29" t="s">
        <v>265</v>
      </c>
      <c r="U1120" s="27"/>
      <c r="V1120" s="27" t="s">
        <v>1797</v>
      </c>
      <c r="W1120" s="27" t="s">
        <v>1798</v>
      </c>
    </row>
    <row r="1121" spans="1:23" ht="24" customHeight="1">
      <c r="A1121" s="27" t="str">
        <f t="shared" ca="1" si="17"/>
        <v>EVT-2026-1119</v>
      </c>
      <c r="B1121" s="27">
        <v>2026</v>
      </c>
      <c r="C1121" s="27" t="s">
        <v>104</v>
      </c>
      <c r="D1121" s="30">
        <v>46234</v>
      </c>
      <c r="E1121" s="27" t="s">
        <v>220</v>
      </c>
      <c r="F1121" s="27" t="s">
        <v>126</v>
      </c>
      <c r="G1121" s="27" t="s">
        <v>202</v>
      </c>
      <c r="H1121" s="27" t="s">
        <v>1392</v>
      </c>
      <c r="I1121" s="27" t="s">
        <v>344</v>
      </c>
      <c r="J1121" s="27" t="s">
        <v>134</v>
      </c>
      <c r="K1121" s="10">
        <v>60</v>
      </c>
      <c r="L1121" s="36" t="s">
        <v>263</v>
      </c>
      <c r="M1121" s="37" t="s">
        <v>289</v>
      </c>
      <c r="N1121" s="37" t="s">
        <v>296</v>
      </c>
      <c r="O1121" s="27"/>
      <c r="P1121" s="27"/>
      <c r="Q1121" s="27" t="s">
        <v>379</v>
      </c>
      <c r="R1121" s="27"/>
      <c r="S1121" s="1" t="s">
        <v>264</v>
      </c>
      <c r="T1121" s="29" t="s">
        <v>265</v>
      </c>
      <c r="U1121" s="27"/>
      <c r="V1121" s="27" t="s">
        <v>1799</v>
      </c>
      <c r="W1121" s="27" t="s">
        <v>1800</v>
      </c>
    </row>
    <row r="1122" spans="1:23" ht="24" customHeight="1">
      <c r="A1122" s="27" t="str">
        <f t="shared" ca="1" si="17"/>
        <v>EVT-2026-1120</v>
      </c>
      <c r="B1122" s="27">
        <v>2026</v>
      </c>
      <c r="C1122" s="27" t="s">
        <v>104</v>
      </c>
      <c r="D1122" s="30">
        <v>46234</v>
      </c>
      <c r="E1122" s="27" t="s">
        <v>220</v>
      </c>
      <c r="F1122" s="27" t="s">
        <v>126</v>
      </c>
      <c r="G1122" s="27" t="s">
        <v>1260</v>
      </c>
      <c r="H1122" s="27" t="s">
        <v>1366</v>
      </c>
      <c r="I1122" s="27" t="s">
        <v>1640</v>
      </c>
      <c r="J1122" s="27" t="s">
        <v>134</v>
      </c>
      <c r="K1122" s="10">
        <v>16</v>
      </c>
      <c r="L1122" s="36" t="s">
        <v>263</v>
      </c>
      <c r="M1122" s="37" t="s">
        <v>269</v>
      </c>
      <c r="N1122" s="37" t="s">
        <v>270</v>
      </c>
      <c r="O1122" s="27" t="s">
        <v>1632</v>
      </c>
      <c r="P1122" s="27"/>
      <c r="Q1122" s="27" t="s">
        <v>1641</v>
      </c>
      <c r="R1122" s="27"/>
      <c r="S1122" s="3" t="s">
        <v>312</v>
      </c>
      <c r="T1122" s="29" t="s">
        <v>265</v>
      </c>
      <c r="U1122" s="27"/>
      <c r="V1122" s="27" t="s">
        <v>1607</v>
      </c>
      <c r="W1122" s="27" t="s">
        <v>1643</v>
      </c>
    </row>
    <row r="1123" spans="1:23" ht="24" customHeight="1">
      <c r="A1123" s="27" t="str">
        <f t="shared" ca="1" si="17"/>
        <v>EVT-2026-1121</v>
      </c>
      <c r="B1123" s="27">
        <v>2026</v>
      </c>
      <c r="C1123" s="27" t="s">
        <v>104</v>
      </c>
      <c r="D1123" s="30">
        <v>46234</v>
      </c>
      <c r="E1123" s="27" t="s">
        <v>220</v>
      </c>
      <c r="F1123" s="27" t="s">
        <v>126</v>
      </c>
      <c r="G1123" s="27" t="s">
        <v>228</v>
      </c>
      <c r="H1123" s="27" t="s">
        <v>1512</v>
      </c>
      <c r="I1123" s="27" t="s">
        <v>1801</v>
      </c>
      <c r="J1123" s="27" t="s">
        <v>139</v>
      </c>
      <c r="K1123" s="10">
        <v>50</v>
      </c>
      <c r="L1123" s="36" t="s">
        <v>263</v>
      </c>
      <c r="M1123" s="37" t="s">
        <v>295</v>
      </c>
      <c r="N1123" s="37" t="s">
        <v>296</v>
      </c>
      <c r="O1123" s="27" t="s">
        <v>382</v>
      </c>
      <c r="P1123" s="27" t="s">
        <v>1802</v>
      </c>
      <c r="Q1123" s="27" t="s">
        <v>916</v>
      </c>
      <c r="R1123" s="27"/>
      <c r="S1123" s="1" t="s">
        <v>264</v>
      </c>
      <c r="T1123" s="29" t="s">
        <v>265</v>
      </c>
      <c r="U1123" s="27"/>
      <c r="V1123" s="27" t="s">
        <v>1803</v>
      </c>
      <c r="W1123" s="27" t="s">
        <v>1177</v>
      </c>
    </row>
    <row r="1124" spans="1:23" ht="24" customHeight="1">
      <c r="A1124" s="27" t="str">
        <f t="shared" ca="1" si="17"/>
        <v>EVT-2026-1122</v>
      </c>
      <c r="B1124" s="27">
        <v>2026</v>
      </c>
      <c r="C1124" s="27" t="s">
        <v>106</v>
      </c>
      <c r="D1124" s="30">
        <v>46235</v>
      </c>
      <c r="E1124" s="27" t="s">
        <v>266</v>
      </c>
      <c r="F1124" s="27" t="s">
        <v>164</v>
      </c>
      <c r="G1124" s="27" t="s">
        <v>262</v>
      </c>
      <c r="H1124" s="27"/>
      <c r="I1124" s="27"/>
      <c r="J1124" s="27" t="s">
        <v>177</v>
      </c>
      <c r="K1124" s="10">
        <v>0</v>
      </c>
      <c r="L1124" s="36" t="s">
        <v>263</v>
      </c>
      <c r="M1124" s="37"/>
      <c r="N1124" s="37"/>
      <c r="O1124" s="27"/>
      <c r="P1124" s="27"/>
      <c r="Q1124" s="27"/>
      <c r="R1124" s="27"/>
      <c r="S1124" s="1" t="s">
        <v>264</v>
      </c>
      <c r="T1124" s="29" t="s">
        <v>265</v>
      </c>
      <c r="U1124" s="27"/>
      <c r="V1124" s="27"/>
      <c r="W1124" s="27"/>
    </row>
    <row r="1125" spans="1:23" ht="24" customHeight="1">
      <c r="A1125" s="27" t="str">
        <f t="shared" ca="1" si="17"/>
        <v>EVT-2026-1123</v>
      </c>
      <c r="B1125" s="27">
        <v>2026</v>
      </c>
      <c r="C1125" s="27" t="s">
        <v>106</v>
      </c>
      <c r="D1125" s="30">
        <v>46236</v>
      </c>
      <c r="E1125" s="27" t="s">
        <v>267</v>
      </c>
      <c r="F1125" s="27" t="s">
        <v>164</v>
      </c>
      <c r="G1125" s="27" t="s">
        <v>262</v>
      </c>
      <c r="H1125" s="27"/>
      <c r="I1125" s="27"/>
      <c r="J1125" s="27" t="s">
        <v>177</v>
      </c>
      <c r="K1125" s="10">
        <v>0</v>
      </c>
      <c r="L1125" s="36" t="s">
        <v>263</v>
      </c>
      <c r="M1125" s="37"/>
      <c r="N1125" s="37"/>
      <c r="O1125" s="27"/>
      <c r="P1125" s="27"/>
      <c r="Q1125" s="27"/>
      <c r="R1125" s="27"/>
      <c r="S1125" s="1" t="s">
        <v>264</v>
      </c>
      <c r="T1125" s="29" t="s">
        <v>265</v>
      </c>
      <c r="U1125" s="27"/>
      <c r="V1125" s="27"/>
      <c r="W1125" s="27"/>
    </row>
    <row r="1126" spans="1:23" ht="24" customHeight="1">
      <c r="A1126" s="27" t="str">
        <f t="shared" ca="1" si="17"/>
        <v>EVT-2026-1124</v>
      </c>
      <c r="B1126" s="27">
        <v>2026</v>
      </c>
      <c r="C1126" s="27" t="s">
        <v>106</v>
      </c>
      <c r="D1126" s="30">
        <v>46237</v>
      </c>
      <c r="E1126" s="27" t="s">
        <v>224</v>
      </c>
      <c r="F1126" s="27" t="s">
        <v>164</v>
      </c>
      <c r="G1126" s="27" t="s">
        <v>202</v>
      </c>
      <c r="H1126" s="27" t="s">
        <v>1186</v>
      </c>
      <c r="I1126" s="27" t="s">
        <v>1187</v>
      </c>
      <c r="J1126" s="27" t="s">
        <v>139</v>
      </c>
      <c r="K1126" s="10">
        <v>40</v>
      </c>
      <c r="L1126" s="36" t="s">
        <v>263</v>
      </c>
      <c r="M1126" s="37" t="s">
        <v>269</v>
      </c>
      <c r="N1126" s="37" t="s">
        <v>270</v>
      </c>
      <c r="O1126" s="27" t="s">
        <v>610</v>
      </c>
      <c r="P1126" s="27" t="s">
        <v>610</v>
      </c>
      <c r="Q1126" s="27" t="s">
        <v>1804</v>
      </c>
      <c r="R1126" s="27"/>
      <c r="S1126" s="1" t="s">
        <v>264</v>
      </c>
      <c r="T1126" s="29" t="s">
        <v>265</v>
      </c>
      <c r="U1126" s="30">
        <v>46202</v>
      </c>
      <c r="V1126" s="27" t="s">
        <v>1412</v>
      </c>
      <c r="W1126" s="27" t="s">
        <v>1497</v>
      </c>
    </row>
    <row r="1127" spans="1:23" ht="24" customHeight="1">
      <c r="A1127" s="27" t="str">
        <f t="shared" ca="1" si="17"/>
        <v>EVT-2026-1125</v>
      </c>
      <c r="B1127" s="27">
        <v>2026</v>
      </c>
      <c r="C1127" s="27" t="s">
        <v>106</v>
      </c>
      <c r="D1127" s="30">
        <v>46237</v>
      </c>
      <c r="E1127" s="27" t="s">
        <v>224</v>
      </c>
      <c r="F1127" s="27" t="s">
        <v>164</v>
      </c>
      <c r="G1127" s="27" t="s">
        <v>262</v>
      </c>
      <c r="H1127" s="27" t="s">
        <v>171</v>
      </c>
      <c r="I1127" s="27" t="s">
        <v>1187</v>
      </c>
      <c r="J1127" s="27" t="s">
        <v>139</v>
      </c>
      <c r="K1127" s="10">
        <v>45</v>
      </c>
      <c r="L1127" s="36" t="s">
        <v>263</v>
      </c>
      <c r="M1127" s="37" t="s">
        <v>269</v>
      </c>
      <c r="N1127" s="37" t="s">
        <v>270</v>
      </c>
      <c r="O1127" s="27" t="s">
        <v>610</v>
      </c>
      <c r="P1127" s="27" t="s">
        <v>610</v>
      </c>
      <c r="Q1127" s="27" t="s">
        <v>1804</v>
      </c>
      <c r="R1127" s="27"/>
      <c r="S1127" s="1" t="s">
        <v>264</v>
      </c>
      <c r="T1127" s="29" t="s">
        <v>265</v>
      </c>
      <c r="U1127" s="30">
        <v>46235</v>
      </c>
      <c r="V1127" s="27" t="s">
        <v>1454</v>
      </c>
      <c r="W1127" s="27" t="s">
        <v>1497</v>
      </c>
    </row>
    <row r="1128" spans="1:23" ht="24" customHeight="1">
      <c r="A1128" s="27" t="str">
        <f t="shared" ca="1" si="17"/>
        <v>EVT-2026-1126</v>
      </c>
      <c r="B1128" s="27">
        <v>2026</v>
      </c>
      <c r="C1128" s="27" t="s">
        <v>106</v>
      </c>
      <c r="D1128" s="30">
        <v>46238</v>
      </c>
      <c r="E1128" s="27" t="s">
        <v>227</v>
      </c>
      <c r="F1128" s="27" t="s">
        <v>164</v>
      </c>
      <c r="G1128" s="27" t="s">
        <v>262</v>
      </c>
      <c r="H1128" s="27" t="s">
        <v>171</v>
      </c>
      <c r="I1128" s="27" t="s">
        <v>1203</v>
      </c>
      <c r="J1128" s="27" t="s">
        <v>177</v>
      </c>
      <c r="K1128" s="10">
        <v>0</v>
      </c>
      <c r="L1128" s="36" t="s">
        <v>263</v>
      </c>
      <c r="M1128" s="37" t="s">
        <v>274</v>
      </c>
      <c r="N1128" s="37" t="s">
        <v>330</v>
      </c>
      <c r="O1128" s="27" t="s">
        <v>1203</v>
      </c>
      <c r="P1128" s="27"/>
      <c r="Q1128" s="27"/>
      <c r="R1128" s="27"/>
      <c r="S1128" s="1" t="s">
        <v>264</v>
      </c>
      <c r="T1128" s="29" t="s">
        <v>265</v>
      </c>
      <c r="U1128" s="27"/>
      <c r="V1128" s="27"/>
      <c r="W1128" s="27"/>
    </row>
    <row r="1129" spans="1:23" ht="24" customHeight="1">
      <c r="A1129" s="27" t="str">
        <f t="shared" ca="1" si="17"/>
        <v>EVT-2026-1127</v>
      </c>
      <c r="B1129" s="27">
        <v>2026</v>
      </c>
      <c r="C1129" s="27" t="s">
        <v>106</v>
      </c>
      <c r="D1129" s="30">
        <v>46238</v>
      </c>
      <c r="E1129" s="27" t="s">
        <v>227</v>
      </c>
      <c r="F1129" s="27" t="s">
        <v>164</v>
      </c>
      <c r="G1129" s="27" t="s">
        <v>262</v>
      </c>
      <c r="H1129" s="27" t="s">
        <v>1044</v>
      </c>
      <c r="I1129" s="27" t="s">
        <v>1805</v>
      </c>
      <c r="J1129" s="27" t="s">
        <v>177</v>
      </c>
      <c r="K1129" s="10">
        <v>150</v>
      </c>
      <c r="L1129" s="38" t="s">
        <v>294</v>
      </c>
      <c r="M1129" s="37" t="s">
        <v>295</v>
      </c>
      <c r="N1129" s="37" t="s">
        <v>296</v>
      </c>
      <c r="O1129" s="27" t="s">
        <v>369</v>
      </c>
      <c r="P1129" s="27"/>
      <c r="Q1129" s="27" t="s">
        <v>1806</v>
      </c>
      <c r="R1129" s="27"/>
      <c r="S1129" s="1" t="s">
        <v>264</v>
      </c>
      <c r="T1129" s="28" t="s">
        <v>1807</v>
      </c>
      <c r="U1129" s="30">
        <v>46220</v>
      </c>
      <c r="V1129" s="27" t="s">
        <v>1411</v>
      </c>
      <c r="W1129" s="27"/>
    </row>
    <row r="1130" spans="1:23" ht="24" customHeight="1">
      <c r="A1130" s="27" t="str">
        <f t="shared" ca="1" si="17"/>
        <v>EVT-2026-1128</v>
      </c>
      <c r="B1130" s="27">
        <v>2026</v>
      </c>
      <c r="C1130" s="27" t="s">
        <v>106</v>
      </c>
      <c r="D1130" s="30">
        <v>46238</v>
      </c>
      <c r="E1130" s="27" t="s">
        <v>227</v>
      </c>
      <c r="F1130" s="27" t="s">
        <v>164</v>
      </c>
      <c r="G1130" s="27" t="s">
        <v>228</v>
      </c>
      <c r="H1130" s="27" t="s">
        <v>1240</v>
      </c>
      <c r="I1130" s="27" t="s">
        <v>1179</v>
      </c>
      <c r="J1130" s="27" t="s">
        <v>165</v>
      </c>
      <c r="K1130" s="10">
        <v>30</v>
      </c>
      <c r="L1130" s="36" t="s">
        <v>263</v>
      </c>
      <c r="M1130" s="37" t="s">
        <v>275</v>
      </c>
      <c r="N1130" s="37" t="s">
        <v>270</v>
      </c>
      <c r="O1130" s="27" t="s">
        <v>1808</v>
      </c>
      <c r="P1130" s="27" t="s">
        <v>1725</v>
      </c>
      <c r="Q1130" s="27" t="s">
        <v>1415</v>
      </c>
      <c r="R1130" s="27"/>
      <c r="S1130" s="1" t="s">
        <v>264</v>
      </c>
      <c r="T1130" s="28" t="s">
        <v>1807</v>
      </c>
      <c r="U1130" s="30">
        <v>46235</v>
      </c>
      <c r="V1130" s="27" t="s">
        <v>1411</v>
      </c>
      <c r="W1130" s="27" t="s">
        <v>1497</v>
      </c>
    </row>
    <row r="1131" spans="1:23" ht="24" customHeight="1">
      <c r="A1131" s="27" t="str">
        <f t="shared" ca="1" si="17"/>
        <v>EVT-2026-1129</v>
      </c>
      <c r="B1131" s="27">
        <v>2026</v>
      </c>
      <c r="C1131" s="27" t="s">
        <v>106</v>
      </c>
      <c r="D1131" s="30">
        <v>46239</v>
      </c>
      <c r="E1131" s="27" t="s">
        <v>201</v>
      </c>
      <c r="F1131" s="27" t="s">
        <v>164</v>
      </c>
      <c r="G1131" s="27" t="s">
        <v>262</v>
      </c>
      <c r="H1131" s="27" t="s">
        <v>171</v>
      </c>
      <c r="I1131" s="27" t="s">
        <v>353</v>
      </c>
      <c r="J1131" s="27" t="s">
        <v>127</v>
      </c>
      <c r="K1131" s="10">
        <v>40</v>
      </c>
      <c r="L1131" s="36" t="s">
        <v>263</v>
      </c>
      <c r="M1131" s="37" t="s">
        <v>359</v>
      </c>
      <c r="N1131" s="37" t="s">
        <v>290</v>
      </c>
      <c r="O1131" s="27" t="s">
        <v>382</v>
      </c>
      <c r="P1131" s="27" t="s">
        <v>382</v>
      </c>
      <c r="Q1131" s="27" t="s">
        <v>1809</v>
      </c>
      <c r="R1131" s="27"/>
      <c r="S1131" s="1" t="s">
        <v>264</v>
      </c>
      <c r="T1131" s="28" t="s">
        <v>1807</v>
      </c>
      <c r="U1131" s="30">
        <v>46219</v>
      </c>
      <c r="V1131" s="27" t="s">
        <v>1810</v>
      </c>
      <c r="W1131" s="27"/>
    </row>
    <row r="1132" spans="1:23" ht="24" customHeight="1">
      <c r="A1132" s="27" t="str">
        <f t="shared" ca="1" si="17"/>
        <v>EVT-2026-1130</v>
      </c>
      <c r="B1132" s="27">
        <v>2026</v>
      </c>
      <c r="C1132" s="27" t="s">
        <v>106</v>
      </c>
      <c r="D1132" s="30">
        <v>46239</v>
      </c>
      <c r="E1132" s="27" t="s">
        <v>201</v>
      </c>
      <c r="F1132" s="27" t="s">
        <v>164</v>
      </c>
      <c r="G1132" s="27" t="s">
        <v>202</v>
      </c>
      <c r="H1132" s="27" t="s">
        <v>1811</v>
      </c>
      <c r="I1132" s="27" t="s">
        <v>712</v>
      </c>
      <c r="J1132" s="27" t="s">
        <v>177</v>
      </c>
      <c r="K1132" s="10">
        <v>30</v>
      </c>
      <c r="L1132" s="36" t="s">
        <v>263</v>
      </c>
      <c r="M1132" s="37" t="s">
        <v>275</v>
      </c>
      <c r="N1132" s="37" t="s">
        <v>270</v>
      </c>
      <c r="O1132" s="27" t="s">
        <v>1445</v>
      </c>
      <c r="P1132" s="27"/>
      <c r="Q1132" s="27" t="s">
        <v>1415</v>
      </c>
      <c r="R1132" s="27"/>
      <c r="S1132" s="1" t="s">
        <v>264</v>
      </c>
      <c r="T1132" s="28" t="s">
        <v>1807</v>
      </c>
      <c r="U1132" s="30">
        <v>46235</v>
      </c>
      <c r="V1132" s="27" t="s">
        <v>1411</v>
      </c>
      <c r="W1132" s="27" t="s">
        <v>1497</v>
      </c>
    </row>
    <row r="1133" spans="1:23" ht="24" customHeight="1">
      <c r="A1133" s="27" t="str">
        <f t="shared" ca="1" si="17"/>
        <v>EVT-2026-1131</v>
      </c>
      <c r="B1133" s="27">
        <v>2026</v>
      </c>
      <c r="C1133" s="27" t="s">
        <v>106</v>
      </c>
      <c r="D1133" s="30">
        <v>46239</v>
      </c>
      <c r="E1133" s="27" t="s">
        <v>201</v>
      </c>
      <c r="F1133" s="27" t="s">
        <v>164</v>
      </c>
      <c r="G1133" s="27" t="s">
        <v>262</v>
      </c>
      <c r="H1133" s="27" t="s">
        <v>1812</v>
      </c>
      <c r="I1133" s="27" t="s">
        <v>1813</v>
      </c>
      <c r="J1133" s="27" t="s">
        <v>177</v>
      </c>
      <c r="K1133" s="10">
        <v>3</v>
      </c>
      <c r="L1133" s="36" t="s">
        <v>263</v>
      </c>
      <c r="M1133" s="37" t="s">
        <v>506</v>
      </c>
      <c r="N1133" s="37" t="s">
        <v>290</v>
      </c>
      <c r="O1133" s="27" t="s">
        <v>610</v>
      </c>
      <c r="P1133" s="27" t="s">
        <v>1814</v>
      </c>
      <c r="Q1133" s="27" t="s">
        <v>1815</v>
      </c>
      <c r="R1133" s="27"/>
      <c r="S1133" s="1" t="s">
        <v>264</v>
      </c>
      <c r="T1133" s="28" t="s">
        <v>1807</v>
      </c>
      <c r="U1133" s="30">
        <v>46232</v>
      </c>
      <c r="V1133" s="27" t="s">
        <v>1411</v>
      </c>
      <c r="W1133" s="27" t="s">
        <v>1497</v>
      </c>
    </row>
    <row r="1134" spans="1:23" ht="24" customHeight="1">
      <c r="A1134" s="27" t="str">
        <f t="shared" ca="1" si="17"/>
        <v>EVT-2026-1132</v>
      </c>
      <c r="B1134" s="27">
        <v>2026</v>
      </c>
      <c r="C1134" s="27" t="s">
        <v>106</v>
      </c>
      <c r="D1134" s="30">
        <v>46240</v>
      </c>
      <c r="E1134" s="27" t="s">
        <v>216</v>
      </c>
      <c r="F1134" s="27" t="s">
        <v>164</v>
      </c>
      <c r="G1134" s="27" t="s">
        <v>202</v>
      </c>
      <c r="H1134" s="27" t="s">
        <v>1811</v>
      </c>
      <c r="I1134" s="27" t="s">
        <v>712</v>
      </c>
      <c r="J1134" s="27" t="s">
        <v>177</v>
      </c>
      <c r="K1134" s="10">
        <v>30</v>
      </c>
      <c r="L1134" s="36" t="s">
        <v>263</v>
      </c>
      <c r="M1134" s="37" t="s">
        <v>275</v>
      </c>
      <c r="N1134" s="37" t="s">
        <v>270</v>
      </c>
      <c r="O1134" s="27" t="s">
        <v>1445</v>
      </c>
      <c r="P1134" s="27"/>
      <c r="Q1134" s="27" t="s">
        <v>1415</v>
      </c>
      <c r="R1134" s="27"/>
      <c r="S1134" s="1" t="s">
        <v>264</v>
      </c>
      <c r="T1134" s="29" t="s">
        <v>265</v>
      </c>
      <c r="U1134" s="30">
        <v>46235</v>
      </c>
      <c r="V1134" s="27" t="s">
        <v>1411</v>
      </c>
      <c r="W1134" s="27" t="s">
        <v>1497</v>
      </c>
    </row>
    <row r="1135" spans="1:23" ht="24" customHeight="1">
      <c r="A1135" s="27" t="str">
        <f t="shared" ca="1" si="17"/>
        <v>EVT-2026-1133</v>
      </c>
      <c r="B1135" s="27">
        <v>2026</v>
      </c>
      <c r="C1135" s="27" t="s">
        <v>106</v>
      </c>
      <c r="D1135" s="30">
        <v>46240</v>
      </c>
      <c r="E1135" s="27" t="s">
        <v>216</v>
      </c>
      <c r="F1135" s="27" t="s">
        <v>164</v>
      </c>
      <c r="G1135" s="27" t="s">
        <v>262</v>
      </c>
      <c r="H1135" s="27" t="s">
        <v>1044</v>
      </c>
      <c r="I1135" s="27" t="s">
        <v>1816</v>
      </c>
      <c r="J1135" s="27" t="s">
        <v>177</v>
      </c>
      <c r="K1135" s="10">
        <v>200</v>
      </c>
      <c r="L1135" s="38" t="s">
        <v>294</v>
      </c>
      <c r="M1135" s="37" t="s">
        <v>295</v>
      </c>
      <c r="N1135" s="37" t="s">
        <v>296</v>
      </c>
      <c r="O1135" s="27" t="s">
        <v>1670</v>
      </c>
      <c r="P1135" s="27"/>
      <c r="Q1135" s="27" t="s">
        <v>1806</v>
      </c>
      <c r="R1135" s="27"/>
      <c r="S1135" s="3" t="s">
        <v>312</v>
      </c>
      <c r="T1135" s="29" t="s">
        <v>265</v>
      </c>
      <c r="U1135" s="30">
        <v>46220</v>
      </c>
      <c r="V1135" s="27" t="s">
        <v>1411</v>
      </c>
      <c r="W1135" s="27" t="s">
        <v>1497</v>
      </c>
    </row>
    <row r="1136" spans="1:23" ht="24" customHeight="1">
      <c r="A1136" s="27" t="str">
        <f t="shared" ca="1" si="17"/>
        <v>EVT-2026-1134</v>
      </c>
      <c r="B1136" s="27">
        <v>2026</v>
      </c>
      <c r="C1136" s="27" t="s">
        <v>106</v>
      </c>
      <c r="D1136" s="30">
        <v>46241</v>
      </c>
      <c r="E1136" s="27" t="s">
        <v>220</v>
      </c>
      <c r="F1136" s="27" t="s">
        <v>164</v>
      </c>
      <c r="G1136" s="27" t="s">
        <v>262</v>
      </c>
      <c r="H1136" s="27" t="s">
        <v>1817</v>
      </c>
      <c r="I1136" s="27" t="s">
        <v>1818</v>
      </c>
      <c r="J1136" s="27" t="s">
        <v>134</v>
      </c>
      <c r="K1136" s="10">
        <v>180</v>
      </c>
      <c r="L1136" s="38" t="s">
        <v>294</v>
      </c>
      <c r="M1136" s="37" t="s">
        <v>732</v>
      </c>
      <c r="N1136" s="37" t="s">
        <v>270</v>
      </c>
      <c r="O1136" s="27" t="s">
        <v>1819</v>
      </c>
      <c r="P1136" s="27" t="s">
        <v>382</v>
      </c>
      <c r="Q1136" s="27" t="s">
        <v>1820</v>
      </c>
      <c r="R1136" s="27"/>
      <c r="S1136" s="1" t="s">
        <v>264</v>
      </c>
      <c r="T1136" s="29" t="s">
        <v>265</v>
      </c>
      <c r="U1136" s="27"/>
      <c r="V1136" s="27" t="s">
        <v>1411</v>
      </c>
      <c r="W1136" s="27"/>
    </row>
    <row r="1137" spans="1:23" ht="24" customHeight="1">
      <c r="A1137" s="27" t="str">
        <f t="shared" ca="1" si="17"/>
        <v>EVT-2026-1135</v>
      </c>
      <c r="B1137" s="27">
        <v>2026</v>
      </c>
      <c r="C1137" s="27" t="s">
        <v>106</v>
      </c>
      <c r="D1137" s="30">
        <v>46241</v>
      </c>
      <c r="E1137" s="27" t="s">
        <v>220</v>
      </c>
      <c r="F1137" s="27" t="s">
        <v>164</v>
      </c>
      <c r="G1137" s="27" t="s">
        <v>228</v>
      </c>
      <c r="H1137" s="27" t="s">
        <v>1821</v>
      </c>
      <c r="I1137" s="27" t="s">
        <v>1822</v>
      </c>
      <c r="J1137" s="27" t="s">
        <v>134</v>
      </c>
      <c r="K1137" s="10">
        <v>15</v>
      </c>
      <c r="L1137" s="36" t="s">
        <v>263</v>
      </c>
      <c r="M1137" s="37" t="s">
        <v>269</v>
      </c>
      <c r="N1137" s="37" t="s">
        <v>270</v>
      </c>
      <c r="O1137" s="27" t="s">
        <v>1823</v>
      </c>
      <c r="P1137" s="27" t="s">
        <v>1824</v>
      </c>
      <c r="Q1137" s="27" t="s">
        <v>1825</v>
      </c>
      <c r="R1137" s="27"/>
      <c r="S1137" s="3" t="s">
        <v>312</v>
      </c>
      <c r="T1137" s="29" t="s">
        <v>265</v>
      </c>
      <c r="U1137" s="30">
        <v>46219</v>
      </c>
      <c r="V1137" s="27" t="s">
        <v>1810</v>
      </c>
      <c r="W1137" s="27" t="s">
        <v>1497</v>
      </c>
    </row>
    <row r="1138" spans="1:23" ht="24" customHeight="1">
      <c r="A1138" s="27" t="str">
        <f t="shared" ca="1" si="17"/>
        <v>EVT-2026-1136</v>
      </c>
      <c r="B1138" s="27">
        <v>2026</v>
      </c>
      <c r="C1138" s="27" t="s">
        <v>106</v>
      </c>
      <c r="D1138" s="30">
        <v>46242</v>
      </c>
      <c r="E1138" s="27" t="s">
        <v>266</v>
      </c>
      <c r="F1138" s="27" t="s">
        <v>164</v>
      </c>
      <c r="G1138" s="27" t="s">
        <v>262</v>
      </c>
      <c r="H1138" s="27"/>
      <c r="I1138" s="27"/>
      <c r="J1138" s="27" t="s">
        <v>177</v>
      </c>
      <c r="K1138" s="10">
        <v>0</v>
      </c>
      <c r="L1138" s="36" t="s">
        <v>263</v>
      </c>
      <c r="M1138" s="37"/>
      <c r="N1138" s="37"/>
      <c r="O1138" s="27"/>
      <c r="P1138" s="27"/>
      <c r="Q1138" s="27"/>
      <c r="R1138" s="27"/>
      <c r="S1138" s="1" t="s">
        <v>264</v>
      </c>
      <c r="T1138" s="29" t="s">
        <v>265</v>
      </c>
      <c r="U1138" s="27"/>
      <c r="V1138" s="27"/>
      <c r="W1138" s="27"/>
    </row>
    <row r="1139" spans="1:23" ht="24" customHeight="1">
      <c r="A1139" s="27" t="str">
        <f t="shared" ca="1" si="17"/>
        <v>EVT-2026-1137</v>
      </c>
      <c r="B1139" s="27">
        <v>2026</v>
      </c>
      <c r="C1139" s="27" t="s">
        <v>106</v>
      </c>
      <c r="D1139" s="30">
        <v>46243</v>
      </c>
      <c r="E1139" s="27" t="s">
        <v>267</v>
      </c>
      <c r="F1139" s="27" t="s">
        <v>164</v>
      </c>
      <c r="G1139" s="27" t="s">
        <v>262</v>
      </c>
      <c r="H1139" s="27"/>
      <c r="I1139" s="27"/>
      <c r="J1139" s="27" t="s">
        <v>177</v>
      </c>
      <c r="K1139" s="10">
        <v>0</v>
      </c>
      <c r="L1139" s="36" t="s">
        <v>263</v>
      </c>
      <c r="M1139" s="37"/>
      <c r="N1139" s="37"/>
      <c r="O1139" s="27"/>
      <c r="P1139" s="27"/>
      <c r="Q1139" s="27"/>
      <c r="R1139" s="27"/>
      <c r="S1139" s="1" t="s">
        <v>264</v>
      </c>
      <c r="T1139" s="29" t="s">
        <v>265</v>
      </c>
      <c r="U1139" s="27"/>
      <c r="V1139" s="27"/>
      <c r="W1139" s="27"/>
    </row>
    <row r="1140" spans="1:23" ht="24" customHeight="1">
      <c r="A1140" s="27" t="str">
        <f t="shared" ca="1" si="17"/>
        <v>EVT-2026-1138</v>
      </c>
      <c r="B1140" s="27">
        <v>2026</v>
      </c>
      <c r="C1140" s="27" t="s">
        <v>106</v>
      </c>
      <c r="D1140" s="30">
        <v>46243</v>
      </c>
      <c r="E1140" s="27" t="s">
        <v>267</v>
      </c>
      <c r="F1140" s="27" t="s">
        <v>164</v>
      </c>
      <c r="G1140" s="27" t="s">
        <v>262</v>
      </c>
      <c r="H1140" s="27"/>
      <c r="I1140" s="27" t="s">
        <v>1826</v>
      </c>
      <c r="J1140" s="27" t="s">
        <v>177</v>
      </c>
      <c r="K1140" s="10">
        <v>0</v>
      </c>
      <c r="L1140" s="36" t="s">
        <v>263</v>
      </c>
      <c r="M1140" s="37"/>
      <c r="N1140" s="37"/>
      <c r="O1140" s="27"/>
      <c r="P1140" s="27"/>
      <c r="Q1140" s="27"/>
      <c r="R1140" s="27"/>
      <c r="S1140" s="1" t="s">
        <v>264</v>
      </c>
      <c r="T1140" s="29" t="s">
        <v>265</v>
      </c>
      <c r="U1140" s="27"/>
      <c r="V1140" s="27"/>
      <c r="W1140" s="27"/>
    </row>
    <row r="1141" spans="1:23" ht="24" customHeight="1">
      <c r="A1141" s="27" t="str">
        <f t="shared" ca="1" si="17"/>
        <v>EVT-2026-1139</v>
      </c>
      <c r="B1141" s="27">
        <v>2026</v>
      </c>
      <c r="C1141" s="27" t="s">
        <v>106</v>
      </c>
      <c r="D1141" s="30">
        <v>46244</v>
      </c>
      <c r="E1141" s="27" t="s">
        <v>224</v>
      </c>
      <c r="F1141" s="27" t="s">
        <v>164</v>
      </c>
      <c r="G1141" s="27" t="s">
        <v>262</v>
      </c>
      <c r="H1141" s="27" t="s">
        <v>239</v>
      </c>
      <c r="I1141" s="27" t="s">
        <v>1827</v>
      </c>
      <c r="J1141" s="27" t="s">
        <v>177</v>
      </c>
      <c r="K1141" s="10">
        <v>150</v>
      </c>
      <c r="L1141" s="38" t="s">
        <v>294</v>
      </c>
      <c r="M1141" s="37" t="s">
        <v>506</v>
      </c>
      <c r="N1141" s="37" t="s">
        <v>429</v>
      </c>
      <c r="O1141" s="27" t="s">
        <v>369</v>
      </c>
      <c r="P1141" s="27" t="s">
        <v>369</v>
      </c>
      <c r="Q1141" s="27" t="s">
        <v>1828</v>
      </c>
      <c r="R1141" s="27"/>
      <c r="S1141" s="1" t="s">
        <v>264</v>
      </c>
      <c r="T1141" s="29" t="s">
        <v>265</v>
      </c>
      <c r="U1141" s="30">
        <v>46240</v>
      </c>
      <c r="V1141" s="27" t="s">
        <v>1673</v>
      </c>
      <c r="W1141" s="27" t="s">
        <v>808</v>
      </c>
    </row>
    <row r="1142" spans="1:23" ht="24" customHeight="1">
      <c r="A1142" s="27" t="str">
        <f t="shared" ca="1" si="17"/>
        <v>EVT-2026-1140</v>
      </c>
      <c r="B1142" s="27">
        <v>2026</v>
      </c>
      <c r="C1142" s="27" t="s">
        <v>106</v>
      </c>
      <c r="D1142" s="30">
        <v>46244</v>
      </c>
      <c r="E1142" s="27" t="s">
        <v>224</v>
      </c>
      <c r="F1142" s="27" t="s">
        <v>164</v>
      </c>
      <c r="G1142" s="27" t="s">
        <v>228</v>
      </c>
      <c r="H1142" s="27" t="s">
        <v>1240</v>
      </c>
      <c r="I1142" s="27" t="s">
        <v>1827</v>
      </c>
      <c r="J1142" s="27" t="s">
        <v>177</v>
      </c>
      <c r="K1142" s="10">
        <v>25</v>
      </c>
      <c r="L1142" s="36" t="s">
        <v>263</v>
      </c>
      <c r="M1142" s="37" t="s">
        <v>338</v>
      </c>
      <c r="N1142" s="37" t="s">
        <v>331</v>
      </c>
      <c r="O1142" s="27" t="s">
        <v>1445</v>
      </c>
      <c r="P1142" s="27" t="s">
        <v>1829</v>
      </c>
      <c r="Q1142" s="27" t="s">
        <v>378</v>
      </c>
      <c r="R1142" s="27"/>
      <c r="S1142" s="3" t="s">
        <v>312</v>
      </c>
      <c r="T1142" s="29" t="s">
        <v>265</v>
      </c>
      <c r="U1142" s="30">
        <v>46240</v>
      </c>
      <c r="V1142" s="27" t="s">
        <v>1830</v>
      </c>
      <c r="W1142" s="27" t="s">
        <v>1497</v>
      </c>
    </row>
    <row r="1143" spans="1:23" ht="24" customHeight="1">
      <c r="A1143" s="27" t="str">
        <f t="shared" ca="1" si="17"/>
        <v>EVT-2026-1141</v>
      </c>
      <c r="B1143" s="27">
        <v>2026</v>
      </c>
      <c r="C1143" s="27" t="s">
        <v>106</v>
      </c>
      <c r="D1143" s="30">
        <v>46244</v>
      </c>
      <c r="E1143" s="27" t="s">
        <v>224</v>
      </c>
      <c r="F1143" s="27" t="s">
        <v>164</v>
      </c>
      <c r="G1143" s="27" t="s">
        <v>262</v>
      </c>
      <c r="H1143" s="27" t="s">
        <v>171</v>
      </c>
      <c r="I1143" s="27" t="s">
        <v>1187</v>
      </c>
      <c r="J1143" s="27" t="s">
        <v>139</v>
      </c>
      <c r="K1143" s="10">
        <v>15</v>
      </c>
      <c r="L1143" s="36" t="s">
        <v>263</v>
      </c>
      <c r="M1143" s="37" t="s">
        <v>269</v>
      </c>
      <c r="N1143" s="37" t="s">
        <v>270</v>
      </c>
      <c r="O1143" s="27" t="s">
        <v>1445</v>
      </c>
      <c r="P1143" s="27" t="s">
        <v>1829</v>
      </c>
      <c r="Q1143" s="27" t="s">
        <v>1804</v>
      </c>
      <c r="R1143" s="27"/>
      <c r="S1143" s="3" t="s">
        <v>312</v>
      </c>
      <c r="T1143" s="29" t="s">
        <v>265</v>
      </c>
      <c r="U1143" s="30">
        <v>46239</v>
      </c>
      <c r="V1143" s="27" t="s">
        <v>1831</v>
      </c>
      <c r="W1143" s="27" t="s">
        <v>1497</v>
      </c>
    </row>
    <row r="1144" spans="1:23" ht="24" customHeight="1">
      <c r="A1144" s="27" t="str">
        <f t="shared" ca="1" si="17"/>
        <v>EVT-2026-1142</v>
      </c>
      <c r="B1144" s="27">
        <v>2026</v>
      </c>
      <c r="C1144" s="27" t="s">
        <v>106</v>
      </c>
      <c r="D1144" s="30">
        <v>46244</v>
      </c>
      <c r="E1144" s="27" t="s">
        <v>224</v>
      </c>
      <c r="F1144" s="27" t="s">
        <v>164</v>
      </c>
      <c r="G1144" s="27" t="s">
        <v>202</v>
      </c>
      <c r="H1144" s="27" t="s">
        <v>1186</v>
      </c>
      <c r="I1144" s="27" t="s">
        <v>1187</v>
      </c>
      <c r="J1144" s="27" t="s">
        <v>139</v>
      </c>
      <c r="K1144" s="10">
        <v>40</v>
      </c>
      <c r="L1144" s="36" t="s">
        <v>263</v>
      </c>
      <c r="M1144" s="37" t="s">
        <v>269</v>
      </c>
      <c r="N1144" s="37" t="s">
        <v>270</v>
      </c>
      <c r="O1144" s="27" t="s">
        <v>1445</v>
      </c>
      <c r="P1144" s="27" t="s">
        <v>1829</v>
      </c>
      <c r="Q1144" s="27" t="s">
        <v>1804</v>
      </c>
      <c r="R1144" s="27"/>
      <c r="S1144" s="1" t="s">
        <v>264</v>
      </c>
      <c r="T1144" s="29" t="s">
        <v>265</v>
      </c>
      <c r="U1144" s="30">
        <v>46239</v>
      </c>
      <c r="V1144" s="27" t="s">
        <v>1831</v>
      </c>
      <c r="W1144" s="27" t="s">
        <v>1497</v>
      </c>
    </row>
    <row r="1145" spans="1:23" ht="24" customHeight="1">
      <c r="A1145" s="27" t="str">
        <f t="shared" ca="1" si="17"/>
        <v>EVT-2026-1143</v>
      </c>
      <c r="B1145" s="27">
        <v>2026</v>
      </c>
      <c r="C1145" s="27" t="s">
        <v>106</v>
      </c>
      <c r="D1145" s="30">
        <v>46245</v>
      </c>
      <c r="E1145" s="27" t="s">
        <v>227</v>
      </c>
      <c r="F1145" s="27" t="s">
        <v>164</v>
      </c>
      <c r="G1145" s="27" t="s">
        <v>262</v>
      </c>
      <c r="H1145" s="27" t="s">
        <v>171</v>
      </c>
      <c r="I1145" s="27" t="s">
        <v>1832</v>
      </c>
      <c r="J1145" s="27" t="s">
        <v>134</v>
      </c>
      <c r="K1145" s="10">
        <v>50</v>
      </c>
      <c r="L1145" s="36" t="s">
        <v>263</v>
      </c>
      <c r="M1145" s="37" t="s">
        <v>309</v>
      </c>
      <c r="N1145" s="37" t="s">
        <v>290</v>
      </c>
      <c r="O1145" s="27" t="s">
        <v>1445</v>
      </c>
      <c r="P1145" s="27" t="s">
        <v>1829</v>
      </c>
      <c r="Q1145" s="27" t="s">
        <v>204</v>
      </c>
      <c r="R1145" s="27"/>
      <c r="S1145" s="1" t="s">
        <v>264</v>
      </c>
      <c r="T1145" s="28" t="s">
        <v>1807</v>
      </c>
      <c r="U1145" s="30">
        <v>46238</v>
      </c>
      <c r="V1145" s="27" t="s">
        <v>1810</v>
      </c>
      <c r="W1145" s="27" t="s">
        <v>1497</v>
      </c>
    </row>
    <row r="1146" spans="1:23" ht="24" customHeight="1">
      <c r="A1146" s="27" t="str">
        <f t="shared" ca="1" si="17"/>
        <v>EVT-2026-1144</v>
      </c>
      <c r="B1146" s="27">
        <v>2026</v>
      </c>
      <c r="C1146" s="27" t="s">
        <v>106</v>
      </c>
      <c r="D1146" s="30">
        <v>46246</v>
      </c>
      <c r="E1146" s="27" t="s">
        <v>201</v>
      </c>
      <c r="F1146" s="27" t="s">
        <v>164</v>
      </c>
      <c r="G1146" s="27" t="s">
        <v>202</v>
      </c>
      <c r="H1146" s="27" t="s">
        <v>1186</v>
      </c>
      <c r="I1146" s="27" t="s">
        <v>1833</v>
      </c>
      <c r="J1146" s="27" t="s">
        <v>177</v>
      </c>
      <c r="K1146" s="10">
        <v>40</v>
      </c>
      <c r="L1146" s="36" t="s">
        <v>263</v>
      </c>
      <c r="M1146" s="37" t="s">
        <v>281</v>
      </c>
      <c r="N1146" s="37" t="s">
        <v>274</v>
      </c>
      <c r="O1146" s="27" t="s">
        <v>1445</v>
      </c>
      <c r="P1146" s="27" t="s">
        <v>1829</v>
      </c>
      <c r="Q1146" s="27" t="s">
        <v>1834</v>
      </c>
      <c r="R1146" s="27"/>
      <c r="S1146" s="1" t="s">
        <v>264</v>
      </c>
      <c r="T1146" s="28" t="s">
        <v>1807</v>
      </c>
      <c r="U1146" s="30">
        <v>46241</v>
      </c>
      <c r="V1146" s="27" t="s">
        <v>1411</v>
      </c>
      <c r="W1146" s="27" t="s">
        <v>1497</v>
      </c>
    </row>
    <row r="1147" spans="1:23" ht="24" customHeight="1">
      <c r="A1147" s="27" t="str">
        <f t="shared" ca="1" si="17"/>
        <v>EVT-2026-1145</v>
      </c>
      <c r="B1147" s="27">
        <v>2026</v>
      </c>
      <c r="C1147" s="27" t="s">
        <v>106</v>
      </c>
      <c r="D1147" s="30">
        <v>46246</v>
      </c>
      <c r="E1147" s="27" t="s">
        <v>201</v>
      </c>
      <c r="F1147" s="27" t="s">
        <v>164</v>
      </c>
      <c r="G1147" s="27" t="s">
        <v>262</v>
      </c>
      <c r="H1147" s="27" t="s">
        <v>171</v>
      </c>
      <c r="I1147" s="27" t="s">
        <v>1835</v>
      </c>
      <c r="J1147" s="27" t="s">
        <v>177</v>
      </c>
      <c r="K1147" s="10">
        <v>70</v>
      </c>
      <c r="L1147" s="36" t="s">
        <v>263</v>
      </c>
      <c r="M1147" s="37" t="s">
        <v>274</v>
      </c>
      <c r="N1147" s="37" t="s">
        <v>330</v>
      </c>
      <c r="O1147" s="27" t="s">
        <v>1445</v>
      </c>
      <c r="P1147" s="27" t="s">
        <v>1829</v>
      </c>
      <c r="Q1147" s="27" t="s">
        <v>1836</v>
      </c>
      <c r="R1147" s="27"/>
      <c r="S1147" s="1" t="s">
        <v>264</v>
      </c>
      <c r="T1147" s="28" t="s">
        <v>1807</v>
      </c>
      <c r="U1147" s="30">
        <v>46232</v>
      </c>
      <c r="V1147" s="27" t="s">
        <v>1810</v>
      </c>
      <c r="W1147" s="27"/>
    </row>
    <row r="1148" spans="1:23" ht="24" customHeight="1">
      <c r="A1148" s="27" t="str">
        <f t="shared" ca="1" si="17"/>
        <v>EVT-2026-1146</v>
      </c>
      <c r="B1148" s="27">
        <v>2026</v>
      </c>
      <c r="C1148" s="27" t="s">
        <v>106</v>
      </c>
      <c r="D1148" s="30">
        <v>46246</v>
      </c>
      <c r="E1148" s="27" t="s">
        <v>201</v>
      </c>
      <c r="F1148" s="27" t="s">
        <v>164</v>
      </c>
      <c r="G1148" s="27" t="s">
        <v>228</v>
      </c>
      <c r="H1148" s="27" t="s">
        <v>1240</v>
      </c>
      <c r="I1148" s="27" t="s">
        <v>1837</v>
      </c>
      <c r="J1148" s="27" t="s">
        <v>177</v>
      </c>
      <c r="K1148" s="10">
        <v>30</v>
      </c>
      <c r="L1148" s="36" t="s">
        <v>263</v>
      </c>
      <c r="M1148" s="37" t="s">
        <v>275</v>
      </c>
      <c r="N1148" s="37" t="s">
        <v>270</v>
      </c>
      <c r="O1148" s="27" t="s">
        <v>1445</v>
      </c>
      <c r="P1148" s="27" t="s">
        <v>1445</v>
      </c>
      <c r="Q1148" s="27" t="s">
        <v>1415</v>
      </c>
      <c r="R1148" s="27"/>
      <c r="S1148" s="1" t="s">
        <v>264</v>
      </c>
      <c r="T1148" s="28" t="s">
        <v>1807</v>
      </c>
      <c r="U1148" s="30">
        <v>46235</v>
      </c>
      <c r="V1148" s="27" t="s">
        <v>1411</v>
      </c>
      <c r="W1148" s="27" t="s">
        <v>1497</v>
      </c>
    </row>
    <row r="1149" spans="1:23" ht="24" customHeight="1">
      <c r="A1149" s="27" t="str">
        <f t="shared" ca="1" si="17"/>
        <v>EVT-2026-1147</v>
      </c>
      <c r="B1149" s="27">
        <v>2026</v>
      </c>
      <c r="C1149" s="27" t="s">
        <v>106</v>
      </c>
      <c r="D1149" s="30">
        <v>46247</v>
      </c>
      <c r="E1149" s="27" t="s">
        <v>216</v>
      </c>
      <c r="F1149" s="27" t="s">
        <v>164</v>
      </c>
      <c r="G1149" s="27" t="s">
        <v>262</v>
      </c>
      <c r="H1149" s="27" t="s">
        <v>171</v>
      </c>
      <c r="I1149" s="27" t="s">
        <v>1838</v>
      </c>
      <c r="J1149" s="27" t="s">
        <v>158</v>
      </c>
      <c r="K1149" s="10">
        <v>70</v>
      </c>
      <c r="L1149" s="36" t="s">
        <v>263</v>
      </c>
      <c r="M1149" s="37" t="s">
        <v>289</v>
      </c>
      <c r="N1149" s="37" t="s">
        <v>296</v>
      </c>
      <c r="O1149" s="27" t="s">
        <v>1445</v>
      </c>
      <c r="P1149" s="27" t="s">
        <v>1445</v>
      </c>
      <c r="Q1149" s="27" t="s">
        <v>1839</v>
      </c>
      <c r="R1149" s="27"/>
      <c r="S1149" s="1" t="s">
        <v>264</v>
      </c>
      <c r="T1149" s="28" t="s">
        <v>1807</v>
      </c>
      <c r="U1149" s="30">
        <v>46239</v>
      </c>
      <c r="V1149" s="27" t="s">
        <v>1810</v>
      </c>
      <c r="W1149" s="27" t="s">
        <v>1840</v>
      </c>
    </row>
    <row r="1150" spans="1:23" ht="24" customHeight="1">
      <c r="A1150" s="27" t="str">
        <f t="shared" ca="1" si="17"/>
        <v>EVT-2026-1148</v>
      </c>
      <c r="B1150" s="27">
        <v>2026</v>
      </c>
      <c r="C1150" s="27" t="s">
        <v>106</v>
      </c>
      <c r="D1150" s="30">
        <v>46247</v>
      </c>
      <c r="E1150" s="27" t="s">
        <v>216</v>
      </c>
      <c r="F1150" s="27" t="s">
        <v>164</v>
      </c>
      <c r="G1150" s="27" t="s">
        <v>262</v>
      </c>
      <c r="H1150" s="27" t="s">
        <v>171</v>
      </c>
      <c r="I1150" s="27" t="s">
        <v>1835</v>
      </c>
      <c r="J1150" s="27" t="s">
        <v>177</v>
      </c>
      <c r="K1150" s="10">
        <v>0</v>
      </c>
      <c r="L1150" s="36" t="s">
        <v>263</v>
      </c>
      <c r="M1150" s="37" t="s">
        <v>732</v>
      </c>
      <c r="N1150" s="37" t="s">
        <v>354</v>
      </c>
      <c r="O1150" s="27"/>
      <c r="P1150" s="27"/>
      <c r="Q1150" s="27" t="s">
        <v>378</v>
      </c>
      <c r="R1150" s="27"/>
      <c r="S1150" s="3" t="s">
        <v>312</v>
      </c>
      <c r="T1150" s="29" t="s">
        <v>265</v>
      </c>
      <c r="U1150" s="27"/>
      <c r="V1150" s="27"/>
      <c r="W1150" s="27"/>
    </row>
    <row r="1151" spans="1:23" ht="24" customHeight="1">
      <c r="A1151" s="27" t="str">
        <f t="shared" ca="1" si="17"/>
        <v>EVT-2026-1149</v>
      </c>
      <c r="B1151" s="27">
        <v>2026</v>
      </c>
      <c r="C1151" s="27" t="s">
        <v>106</v>
      </c>
      <c r="D1151" s="30">
        <v>46248</v>
      </c>
      <c r="E1151" s="27" t="s">
        <v>220</v>
      </c>
      <c r="F1151" s="27" t="s">
        <v>164</v>
      </c>
      <c r="G1151" s="27" t="s">
        <v>262</v>
      </c>
      <c r="H1151" s="27"/>
      <c r="I1151" s="27"/>
      <c r="J1151" s="27" t="s">
        <v>177</v>
      </c>
      <c r="K1151" s="10">
        <v>0</v>
      </c>
      <c r="L1151" s="36" t="s">
        <v>263</v>
      </c>
      <c r="M1151" s="37"/>
      <c r="N1151" s="37"/>
      <c r="O1151" s="27"/>
      <c r="P1151" s="27"/>
      <c r="Q1151" s="27"/>
      <c r="R1151" s="27"/>
      <c r="S1151" s="1" t="s">
        <v>264</v>
      </c>
      <c r="T1151" s="29" t="s">
        <v>265</v>
      </c>
      <c r="U1151" s="27"/>
      <c r="V1151" s="27"/>
      <c r="W1151" s="27"/>
    </row>
    <row r="1152" spans="1:23" ht="24" customHeight="1">
      <c r="A1152" s="27" t="str">
        <f t="shared" ca="1" si="17"/>
        <v>EVT-2026-1150</v>
      </c>
      <c r="B1152" s="27">
        <v>2026</v>
      </c>
      <c r="C1152" s="27" t="s">
        <v>106</v>
      </c>
      <c r="D1152" s="30">
        <v>46249</v>
      </c>
      <c r="E1152" s="27" t="s">
        <v>266</v>
      </c>
      <c r="F1152" s="27" t="s">
        <v>164</v>
      </c>
      <c r="G1152" s="27" t="s">
        <v>262</v>
      </c>
      <c r="H1152" s="27"/>
      <c r="I1152" s="27"/>
      <c r="J1152" s="27" t="s">
        <v>177</v>
      </c>
      <c r="K1152" s="10">
        <v>0</v>
      </c>
      <c r="L1152" s="36" t="s">
        <v>263</v>
      </c>
      <c r="M1152" s="37"/>
      <c r="N1152" s="37"/>
      <c r="O1152" s="27"/>
      <c r="P1152" s="27"/>
      <c r="Q1152" s="27"/>
      <c r="R1152" s="27"/>
      <c r="S1152" s="1" t="s">
        <v>264</v>
      </c>
      <c r="T1152" s="29" t="s">
        <v>265</v>
      </c>
      <c r="U1152" s="27"/>
      <c r="V1152" s="27"/>
      <c r="W1152" s="27"/>
    </row>
    <row r="1153" spans="1:23" ht="24" customHeight="1">
      <c r="A1153" s="27" t="str">
        <f t="shared" ca="1" si="17"/>
        <v>EVT-2026-1151</v>
      </c>
      <c r="B1153" s="27">
        <v>2026</v>
      </c>
      <c r="C1153" s="27" t="s">
        <v>106</v>
      </c>
      <c r="D1153" s="30">
        <v>46250</v>
      </c>
      <c r="E1153" s="27" t="s">
        <v>267</v>
      </c>
      <c r="F1153" s="27" t="s">
        <v>164</v>
      </c>
      <c r="G1153" s="27" t="s">
        <v>262</v>
      </c>
      <c r="H1153" s="27"/>
      <c r="I1153" s="27"/>
      <c r="J1153" s="27" t="s">
        <v>177</v>
      </c>
      <c r="K1153" s="10">
        <v>0</v>
      </c>
      <c r="L1153" s="36" t="s">
        <v>263</v>
      </c>
      <c r="M1153" s="37"/>
      <c r="N1153" s="37"/>
      <c r="O1153" s="27"/>
      <c r="P1153" s="27"/>
      <c r="Q1153" s="27"/>
      <c r="R1153" s="27"/>
      <c r="S1153" s="1" t="s">
        <v>264</v>
      </c>
      <c r="T1153" s="29" t="s">
        <v>265</v>
      </c>
      <c r="U1153" s="27"/>
      <c r="V1153" s="27"/>
      <c r="W1153" s="27"/>
    </row>
    <row r="1154" spans="1:23" ht="24" customHeight="1">
      <c r="A1154" s="27" t="str">
        <f t="shared" ca="1" si="17"/>
        <v>EVT-2026-1152</v>
      </c>
      <c r="B1154" s="27">
        <v>2026</v>
      </c>
      <c r="C1154" s="27" t="s">
        <v>106</v>
      </c>
      <c r="D1154" s="30">
        <v>46251</v>
      </c>
      <c r="E1154" s="27" t="s">
        <v>224</v>
      </c>
      <c r="F1154" s="27" t="s">
        <v>164</v>
      </c>
      <c r="G1154" s="27" t="s">
        <v>202</v>
      </c>
      <c r="H1154" s="27" t="s">
        <v>1186</v>
      </c>
      <c r="I1154" s="27" t="s">
        <v>1841</v>
      </c>
      <c r="J1154" s="27" t="s">
        <v>139</v>
      </c>
      <c r="K1154" s="10">
        <v>0</v>
      </c>
      <c r="L1154" s="36" t="s">
        <v>263</v>
      </c>
      <c r="M1154" s="37" t="s">
        <v>269</v>
      </c>
      <c r="N1154" s="37" t="s">
        <v>270</v>
      </c>
      <c r="O1154" s="27" t="s">
        <v>1445</v>
      </c>
      <c r="P1154" s="27"/>
      <c r="Q1154" s="27"/>
      <c r="R1154" s="27"/>
      <c r="S1154" s="1" t="s">
        <v>264</v>
      </c>
      <c r="T1154" s="29" t="s">
        <v>265</v>
      </c>
      <c r="U1154" s="27"/>
      <c r="V1154" s="27"/>
      <c r="W1154" s="27"/>
    </row>
    <row r="1155" spans="1:23" ht="24" customHeight="1">
      <c r="A1155" s="27" t="str">
        <f t="shared" ref="A1155:A1218" ca="1" si="18">IF(OR(D1155&lt;&gt;"",H1155&lt;&gt;"",I1155&lt;&gt;"",Q1155&lt;&gt;"",S1155&lt;&gt;""), "EVT-" &amp; TEXT(B1155, "0000") &amp; "-" &amp; TEXT(COUNTIF(OFFSET($A$1, 1, 0, ROW()-2, 1), "EVT*") + 1, "0000"), "")</f>
        <v>EVT-2026-1153</v>
      </c>
      <c r="B1155" s="27">
        <v>2026</v>
      </c>
      <c r="C1155" s="27" t="s">
        <v>106</v>
      </c>
      <c r="D1155" s="30">
        <v>46251</v>
      </c>
      <c r="E1155" s="27" t="s">
        <v>224</v>
      </c>
      <c r="F1155" s="27" t="s">
        <v>164</v>
      </c>
      <c r="G1155" s="27" t="s">
        <v>202</v>
      </c>
      <c r="H1155" s="27" t="s">
        <v>1811</v>
      </c>
      <c r="I1155" s="27" t="s">
        <v>1842</v>
      </c>
      <c r="J1155" s="27" t="s">
        <v>152</v>
      </c>
      <c r="K1155" s="10">
        <v>30</v>
      </c>
      <c r="L1155" s="36" t="s">
        <v>263</v>
      </c>
      <c r="M1155" s="37" t="s">
        <v>281</v>
      </c>
      <c r="N1155" s="37" t="s">
        <v>290</v>
      </c>
      <c r="O1155" s="27" t="s">
        <v>1843</v>
      </c>
      <c r="P1155" s="27"/>
      <c r="Q1155" s="27" t="s">
        <v>1415</v>
      </c>
      <c r="R1155" s="27"/>
      <c r="S1155" s="1" t="s">
        <v>264</v>
      </c>
      <c r="T1155" s="29" t="s">
        <v>265</v>
      </c>
      <c r="U1155" s="30">
        <v>46235</v>
      </c>
      <c r="V1155" s="27" t="s">
        <v>1411</v>
      </c>
      <c r="W1155" s="27" t="s">
        <v>1497</v>
      </c>
    </row>
    <row r="1156" spans="1:23" ht="24" customHeight="1">
      <c r="A1156" s="27" t="str">
        <f t="shared" ca="1" si="18"/>
        <v>EVT-2026-1154</v>
      </c>
      <c r="B1156" s="27">
        <v>2026</v>
      </c>
      <c r="C1156" s="27" t="s">
        <v>106</v>
      </c>
      <c r="D1156" s="30">
        <v>46252</v>
      </c>
      <c r="E1156" s="27" t="s">
        <v>227</v>
      </c>
      <c r="F1156" s="27" t="s">
        <v>164</v>
      </c>
      <c r="G1156" s="27" t="s">
        <v>262</v>
      </c>
      <c r="H1156" s="27" t="s">
        <v>171</v>
      </c>
      <c r="I1156" s="27" t="s">
        <v>1844</v>
      </c>
      <c r="J1156" s="27" t="s">
        <v>158</v>
      </c>
      <c r="K1156" s="10">
        <v>60</v>
      </c>
      <c r="L1156" s="36" t="s">
        <v>263</v>
      </c>
      <c r="M1156" s="37" t="s">
        <v>309</v>
      </c>
      <c r="N1156" s="37" t="s">
        <v>295</v>
      </c>
      <c r="O1156" s="27" t="s">
        <v>382</v>
      </c>
      <c r="P1156" s="27" t="s">
        <v>1829</v>
      </c>
      <c r="Q1156" s="27" t="s">
        <v>1845</v>
      </c>
      <c r="R1156" s="27"/>
      <c r="S1156" s="1" t="s">
        <v>264</v>
      </c>
      <c r="T1156" s="28" t="s">
        <v>1807</v>
      </c>
      <c r="U1156" s="27"/>
      <c r="V1156" s="27" t="s">
        <v>1673</v>
      </c>
      <c r="W1156" s="27" t="s">
        <v>1846</v>
      </c>
    </row>
    <row r="1157" spans="1:23" ht="24" customHeight="1">
      <c r="A1157" s="27" t="str">
        <f t="shared" ca="1" si="18"/>
        <v>EVT-2026-1155</v>
      </c>
      <c r="B1157" s="27">
        <v>2026</v>
      </c>
      <c r="C1157" s="27" t="s">
        <v>106</v>
      </c>
      <c r="D1157" s="30">
        <v>46252</v>
      </c>
      <c r="E1157" s="27" t="s">
        <v>227</v>
      </c>
      <c r="F1157" s="27" t="s">
        <v>164</v>
      </c>
      <c r="G1157" s="27" t="s">
        <v>262</v>
      </c>
      <c r="H1157" s="27" t="s">
        <v>171</v>
      </c>
      <c r="I1157" s="27" t="s">
        <v>1847</v>
      </c>
      <c r="J1157" s="27" t="s">
        <v>177</v>
      </c>
      <c r="K1157" s="10">
        <v>30</v>
      </c>
      <c r="L1157" s="36" t="s">
        <v>263</v>
      </c>
      <c r="M1157" s="37" t="s">
        <v>315</v>
      </c>
      <c r="N1157" s="37" t="s">
        <v>354</v>
      </c>
      <c r="O1157" s="27" t="s">
        <v>1445</v>
      </c>
      <c r="P1157" s="27" t="s">
        <v>1829</v>
      </c>
      <c r="Q1157" s="27" t="s">
        <v>1848</v>
      </c>
      <c r="R1157" s="27" t="s">
        <v>204</v>
      </c>
      <c r="S1157" s="1" t="s">
        <v>264</v>
      </c>
      <c r="T1157" s="28" t="s">
        <v>1807</v>
      </c>
      <c r="U1157" s="27" t="s">
        <v>1849</v>
      </c>
      <c r="V1157" s="27"/>
      <c r="W1157" s="27"/>
    </row>
    <row r="1158" spans="1:23" ht="24" customHeight="1">
      <c r="A1158" s="27" t="str">
        <f t="shared" ca="1" si="18"/>
        <v>EVT-2026-1156</v>
      </c>
      <c r="B1158" s="27">
        <v>2026</v>
      </c>
      <c r="C1158" s="27" t="s">
        <v>106</v>
      </c>
      <c r="D1158" s="30">
        <v>46252</v>
      </c>
      <c r="E1158" s="27" t="s">
        <v>227</v>
      </c>
      <c r="F1158" s="27" t="s">
        <v>164</v>
      </c>
      <c r="G1158" s="27" t="s">
        <v>202</v>
      </c>
      <c r="H1158" s="27" t="s">
        <v>1186</v>
      </c>
      <c r="I1158" s="27" t="s">
        <v>1842</v>
      </c>
      <c r="J1158" s="27" t="s">
        <v>152</v>
      </c>
      <c r="K1158" s="10">
        <v>30</v>
      </c>
      <c r="L1158" s="36" t="s">
        <v>263</v>
      </c>
      <c r="M1158" s="37" t="s">
        <v>281</v>
      </c>
      <c r="N1158" s="37" t="s">
        <v>290</v>
      </c>
      <c r="O1158" s="27" t="s">
        <v>1843</v>
      </c>
      <c r="P1158" s="27"/>
      <c r="Q1158" s="27" t="s">
        <v>237</v>
      </c>
      <c r="R1158" s="27" t="s">
        <v>1850</v>
      </c>
      <c r="S1158" s="1" t="s">
        <v>264</v>
      </c>
      <c r="T1158" s="29" t="s">
        <v>265</v>
      </c>
      <c r="U1158" s="30">
        <v>46235</v>
      </c>
      <c r="V1158" s="27" t="s">
        <v>1411</v>
      </c>
      <c r="W1158" s="27" t="s">
        <v>1497</v>
      </c>
    </row>
    <row r="1159" spans="1:23" ht="24" customHeight="1">
      <c r="A1159" s="27" t="str">
        <f t="shared" ca="1" si="18"/>
        <v>EVT-2026-1157</v>
      </c>
      <c r="B1159" s="27">
        <v>2026</v>
      </c>
      <c r="C1159" s="27" t="s">
        <v>106</v>
      </c>
      <c r="D1159" s="30">
        <v>46253</v>
      </c>
      <c r="E1159" s="27" t="s">
        <v>201</v>
      </c>
      <c r="F1159" s="27" t="s">
        <v>164</v>
      </c>
      <c r="G1159" s="27" t="s">
        <v>228</v>
      </c>
      <c r="H1159" s="27" t="s">
        <v>1851</v>
      </c>
      <c r="I1159" s="27" t="s">
        <v>1852</v>
      </c>
      <c r="J1159" s="27" t="s">
        <v>127</v>
      </c>
      <c r="K1159" s="10">
        <v>75</v>
      </c>
      <c r="L1159" s="36" t="s">
        <v>263</v>
      </c>
      <c r="M1159" s="37" t="s">
        <v>295</v>
      </c>
      <c r="N1159" s="37" t="s">
        <v>296</v>
      </c>
      <c r="O1159" s="27" t="s">
        <v>1445</v>
      </c>
      <c r="P1159" s="27" t="s">
        <v>1829</v>
      </c>
      <c r="Q1159" s="27" t="s">
        <v>1853</v>
      </c>
      <c r="R1159" s="27"/>
      <c r="S1159" s="3" t="s">
        <v>312</v>
      </c>
      <c r="T1159" s="29" t="s">
        <v>265</v>
      </c>
      <c r="U1159" s="30">
        <v>46233</v>
      </c>
      <c r="V1159" s="27" t="s">
        <v>1810</v>
      </c>
      <c r="W1159" s="27" t="s">
        <v>1497</v>
      </c>
    </row>
    <row r="1160" spans="1:23" ht="24" customHeight="1">
      <c r="A1160" s="27" t="str">
        <f t="shared" ca="1" si="18"/>
        <v>EVT-2026-1158</v>
      </c>
      <c r="B1160" s="27">
        <v>2026</v>
      </c>
      <c r="C1160" s="27" t="s">
        <v>106</v>
      </c>
      <c r="D1160" s="30">
        <v>46253</v>
      </c>
      <c r="E1160" s="27" t="s">
        <v>201</v>
      </c>
      <c r="F1160" s="27" t="s">
        <v>164</v>
      </c>
      <c r="G1160" s="27" t="s">
        <v>262</v>
      </c>
      <c r="H1160" s="27" t="s">
        <v>171</v>
      </c>
      <c r="I1160" s="27" t="s">
        <v>1854</v>
      </c>
      <c r="J1160" s="27" t="s">
        <v>158</v>
      </c>
      <c r="K1160" s="10">
        <v>20</v>
      </c>
      <c r="L1160" s="36" t="s">
        <v>263</v>
      </c>
      <c r="M1160" s="37" t="s">
        <v>506</v>
      </c>
      <c r="N1160" s="37" t="s">
        <v>429</v>
      </c>
      <c r="O1160" s="27" t="s">
        <v>1445</v>
      </c>
      <c r="P1160" s="27" t="s">
        <v>1829</v>
      </c>
      <c r="Q1160" s="27" t="s">
        <v>1855</v>
      </c>
      <c r="R1160" s="27" t="s">
        <v>1856</v>
      </c>
      <c r="S1160" s="3" t="s">
        <v>312</v>
      </c>
      <c r="T1160" s="29" t="s">
        <v>265</v>
      </c>
      <c r="U1160" s="30">
        <v>46252</v>
      </c>
      <c r="V1160" s="27" t="s">
        <v>1810</v>
      </c>
      <c r="W1160" s="27" t="s">
        <v>1497</v>
      </c>
    </row>
    <row r="1161" spans="1:23" ht="24" customHeight="1">
      <c r="A1161" s="27" t="str">
        <f t="shared" ca="1" si="18"/>
        <v>EVT-2026-1159</v>
      </c>
      <c r="B1161" s="27">
        <v>2026</v>
      </c>
      <c r="C1161" s="27" t="s">
        <v>106</v>
      </c>
      <c r="D1161" s="30">
        <v>46253</v>
      </c>
      <c r="E1161" s="27" t="s">
        <v>201</v>
      </c>
      <c r="F1161" s="27" t="s">
        <v>164</v>
      </c>
      <c r="G1161" s="27" t="s">
        <v>202</v>
      </c>
      <c r="H1161" s="27" t="s">
        <v>1811</v>
      </c>
      <c r="I1161" s="27" t="s">
        <v>1842</v>
      </c>
      <c r="J1161" s="27" t="s">
        <v>152</v>
      </c>
      <c r="K1161" s="10">
        <v>30</v>
      </c>
      <c r="L1161" s="36" t="s">
        <v>263</v>
      </c>
      <c r="M1161" s="37" t="s">
        <v>269</v>
      </c>
      <c r="N1161" s="37" t="s">
        <v>270</v>
      </c>
      <c r="O1161" s="27" t="s">
        <v>1394</v>
      </c>
      <c r="P1161" s="27" t="s">
        <v>1843</v>
      </c>
      <c r="Q1161" s="27" t="s">
        <v>237</v>
      </c>
      <c r="R1161" s="27" t="s">
        <v>1850</v>
      </c>
      <c r="S1161" s="1" t="s">
        <v>264</v>
      </c>
      <c r="T1161" s="29" t="s">
        <v>265</v>
      </c>
      <c r="U1161" s="30">
        <v>46252</v>
      </c>
      <c r="V1161" s="27" t="s">
        <v>1411</v>
      </c>
      <c r="W1161" s="27" t="s">
        <v>1497</v>
      </c>
    </row>
    <row r="1162" spans="1:23" ht="24" customHeight="1">
      <c r="A1162" s="27" t="str">
        <f t="shared" ca="1" si="18"/>
        <v>EVT-2026-1160</v>
      </c>
      <c r="B1162" s="27">
        <v>2026</v>
      </c>
      <c r="C1162" s="27" t="s">
        <v>106</v>
      </c>
      <c r="D1162" s="30">
        <v>46254</v>
      </c>
      <c r="E1162" s="27" t="s">
        <v>216</v>
      </c>
      <c r="F1162" s="27" t="s">
        <v>164</v>
      </c>
      <c r="G1162" s="27" t="s">
        <v>228</v>
      </c>
      <c r="H1162" s="27" t="s">
        <v>1240</v>
      </c>
      <c r="I1162" s="27" t="s">
        <v>1857</v>
      </c>
      <c r="J1162" s="27" t="s">
        <v>177</v>
      </c>
      <c r="K1162" s="10">
        <v>30</v>
      </c>
      <c r="L1162" s="36" t="s">
        <v>263</v>
      </c>
      <c r="M1162" s="37" t="s">
        <v>275</v>
      </c>
      <c r="N1162" s="37" t="s">
        <v>270</v>
      </c>
      <c r="O1162" s="27" t="s">
        <v>1445</v>
      </c>
      <c r="P1162" s="27" t="s">
        <v>1445</v>
      </c>
      <c r="Q1162" s="27" t="s">
        <v>237</v>
      </c>
      <c r="R1162" s="27" t="s">
        <v>1850</v>
      </c>
      <c r="S1162" s="3" t="s">
        <v>312</v>
      </c>
      <c r="T1162" s="29" t="s">
        <v>265</v>
      </c>
      <c r="U1162" s="30">
        <v>46235</v>
      </c>
      <c r="V1162" s="27" t="s">
        <v>1411</v>
      </c>
      <c r="W1162" s="27" t="s">
        <v>1497</v>
      </c>
    </row>
    <row r="1163" spans="1:23" ht="24" customHeight="1">
      <c r="A1163" s="27" t="str">
        <f t="shared" ca="1" si="18"/>
        <v>EVT-2026-1161</v>
      </c>
      <c r="B1163" s="27">
        <v>2026</v>
      </c>
      <c r="C1163" s="27" t="s">
        <v>106</v>
      </c>
      <c r="D1163" s="30">
        <v>46255</v>
      </c>
      <c r="E1163" s="27" t="s">
        <v>220</v>
      </c>
      <c r="F1163" s="27" t="s">
        <v>164</v>
      </c>
      <c r="G1163" s="27" t="s">
        <v>262</v>
      </c>
      <c r="H1163" s="27" t="s">
        <v>1044</v>
      </c>
      <c r="I1163" s="27" t="s">
        <v>337</v>
      </c>
      <c r="J1163" s="27" t="s">
        <v>127</v>
      </c>
      <c r="K1163" s="10">
        <v>190</v>
      </c>
      <c r="L1163" s="38" t="s">
        <v>294</v>
      </c>
      <c r="M1163" s="37" t="s">
        <v>274</v>
      </c>
      <c r="N1163" s="37" t="s">
        <v>330</v>
      </c>
      <c r="O1163" s="27" t="s">
        <v>382</v>
      </c>
      <c r="P1163" s="27" t="s">
        <v>1829</v>
      </c>
      <c r="Q1163" s="27" t="s">
        <v>811</v>
      </c>
      <c r="R1163" s="27"/>
      <c r="S1163" s="3" t="s">
        <v>312</v>
      </c>
      <c r="T1163" s="29" t="s">
        <v>265</v>
      </c>
      <c r="U1163" s="27"/>
      <c r="V1163" s="27" t="s">
        <v>1858</v>
      </c>
      <c r="W1163" s="27"/>
    </row>
    <row r="1164" spans="1:23" ht="24" customHeight="1">
      <c r="A1164" s="27" t="str">
        <f t="shared" ca="1" si="18"/>
        <v>EVT-2026-1162</v>
      </c>
      <c r="B1164" s="27">
        <v>2026</v>
      </c>
      <c r="C1164" s="27" t="s">
        <v>106</v>
      </c>
      <c r="D1164" s="30">
        <v>46257</v>
      </c>
      <c r="E1164" s="27" t="s">
        <v>267</v>
      </c>
      <c r="F1164" s="27" t="s">
        <v>164</v>
      </c>
      <c r="G1164" s="27" t="s">
        <v>262</v>
      </c>
      <c r="H1164" s="27"/>
      <c r="I1164" s="27"/>
      <c r="J1164" s="27" t="s">
        <v>177</v>
      </c>
      <c r="K1164" s="10">
        <v>0</v>
      </c>
      <c r="L1164" s="36" t="s">
        <v>263</v>
      </c>
      <c r="M1164" s="37"/>
      <c r="N1164" s="37"/>
      <c r="O1164" s="27"/>
      <c r="P1164" s="27"/>
      <c r="Q1164" s="27"/>
      <c r="R1164" s="27"/>
      <c r="S1164" s="2" t="s">
        <v>1859</v>
      </c>
      <c r="T1164" s="29" t="s">
        <v>265</v>
      </c>
      <c r="U1164" s="27"/>
      <c r="V1164" s="27"/>
      <c r="W1164" s="27"/>
    </row>
    <row r="1165" spans="1:23" ht="24" customHeight="1">
      <c r="A1165" s="27" t="str">
        <f t="shared" ca="1" si="18"/>
        <v>EVT-2026-1163</v>
      </c>
      <c r="B1165" s="27">
        <v>2026</v>
      </c>
      <c r="C1165" s="27" t="s">
        <v>106</v>
      </c>
      <c r="D1165" s="30">
        <v>46258</v>
      </c>
      <c r="E1165" s="27" t="s">
        <v>224</v>
      </c>
      <c r="F1165" s="27" t="s">
        <v>164</v>
      </c>
      <c r="G1165" s="27" t="s">
        <v>228</v>
      </c>
      <c r="H1165" s="27" t="s">
        <v>1240</v>
      </c>
      <c r="I1165" s="27" t="s">
        <v>1860</v>
      </c>
      <c r="J1165" s="27" t="s">
        <v>177</v>
      </c>
      <c r="K1165" s="10">
        <v>35</v>
      </c>
      <c r="L1165" s="36" t="s">
        <v>263</v>
      </c>
      <c r="M1165" s="37" t="s">
        <v>275</v>
      </c>
      <c r="N1165" s="37" t="s">
        <v>295</v>
      </c>
      <c r="O1165" s="27" t="s">
        <v>1445</v>
      </c>
      <c r="P1165" s="27" t="s">
        <v>1445</v>
      </c>
      <c r="Q1165" s="27" t="s">
        <v>1861</v>
      </c>
      <c r="R1165" s="27"/>
      <c r="S1165" s="3" t="s">
        <v>312</v>
      </c>
      <c r="T1165" s="29" t="s">
        <v>265</v>
      </c>
      <c r="U1165" s="27"/>
      <c r="V1165" s="27" t="s">
        <v>1862</v>
      </c>
      <c r="W1165" s="27" t="s">
        <v>1497</v>
      </c>
    </row>
    <row r="1166" spans="1:23" ht="24" customHeight="1">
      <c r="A1166" s="27" t="str">
        <f t="shared" ca="1" si="18"/>
        <v>EVT-2026-1164</v>
      </c>
      <c r="B1166" s="27">
        <v>2026</v>
      </c>
      <c r="C1166" s="27" t="s">
        <v>106</v>
      </c>
      <c r="D1166" s="30">
        <v>46258</v>
      </c>
      <c r="E1166" s="27" t="s">
        <v>224</v>
      </c>
      <c r="F1166" s="27" t="s">
        <v>164</v>
      </c>
      <c r="G1166" s="27" t="s">
        <v>262</v>
      </c>
      <c r="H1166" s="27" t="s">
        <v>171</v>
      </c>
      <c r="I1166" s="27" t="s">
        <v>1863</v>
      </c>
      <c r="J1166" s="27" t="s">
        <v>134</v>
      </c>
      <c r="K1166" s="10">
        <v>50</v>
      </c>
      <c r="L1166" s="36" t="s">
        <v>263</v>
      </c>
      <c r="M1166" s="37" t="s">
        <v>269</v>
      </c>
      <c r="N1166" s="37" t="s">
        <v>270</v>
      </c>
      <c r="O1166" s="27" t="s">
        <v>1445</v>
      </c>
      <c r="P1166" s="27" t="s">
        <v>1445</v>
      </c>
      <c r="Q1166" s="27" t="s">
        <v>351</v>
      </c>
      <c r="R1166" s="27" t="s">
        <v>1688</v>
      </c>
      <c r="S1166" s="1" t="s">
        <v>264</v>
      </c>
      <c r="T1166" s="29" t="s">
        <v>265</v>
      </c>
      <c r="U1166" s="30">
        <v>46252</v>
      </c>
      <c r="V1166" s="27" t="s">
        <v>1461</v>
      </c>
      <c r="W1166" s="27" t="s">
        <v>1497</v>
      </c>
    </row>
    <row r="1167" spans="1:23" ht="24" customHeight="1">
      <c r="A1167" s="27" t="str">
        <f t="shared" ca="1" si="18"/>
        <v>EVT-2026-1165</v>
      </c>
      <c r="B1167" s="27">
        <v>2026</v>
      </c>
      <c r="C1167" s="27" t="s">
        <v>106</v>
      </c>
      <c r="D1167" s="30">
        <v>46259</v>
      </c>
      <c r="E1167" s="27" t="s">
        <v>227</v>
      </c>
      <c r="F1167" s="27" t="s">
        <v>164</v>
      </c>
      <c r="G1167" s="27" t="s">
        <v>262</v>
      </c>
      <c r="H1167" s="27" t="s">
        <v>171</v>
      </c>
      <c r="I1167" s="27" t="s">
        <v>1864</v>
      </c>
      <c r="J1167" s="27" t="s">
        <v>134</v>
      </c>
      <c r="K1167" s="10">
        <v>50</v>
      </c>
      <c r="L1167" s="36" t="s">
        <v>263</v>
      </c>
      <c r="M1167" s="37" t="s">
        <v>269</v>
      </c>
      <c r="N1167" s="37" t="s">
        <v>270</v>
      </c>
      <c r="O1167" s="27" t="s">
        <v>1445</v>
      </c>
      <c r="P1167" s="27" t="s">
        <v>1445</v>
      </c>
      <c r="Q1167" s="27" t="s">
        <v>351</v>
      </c>
      <c r="R1167" s="27" t="s">
        <v>1688</v>
      </c>
      <c r="S1167" s="1" t="s">
        <v>264</v>
      </c>
      <c r="T1167" s="29" t="s">
        <v>265</v>
      </c>
      <c r="U1167" s="27"/>
      <c r="V1167" s="27" t="s">
        <v>1865</v>
      </c>
      <c r="W1167" s="27" t="s">
        <v>1497</v>
      </c>
    </row>
    <row r="1168" spans="1:23" ht="24" customHeight="1">
      <c r="A1168" s="27" t="str">
        <f t="shared" ca="1" si="18"/>
        <v>EVT-2026-1166</v>
      </c>
      <c r="B1168" s="27">
        <v>2026</v>
      </c>
      <c r="C1168" s="27" t="s">
        <v>106</v>
      </c>
      <c r="D1168" s="30">
        <v>46259</v>
      </c>
      <c r="E1168" s="27" t="s">
        <v>227</v>
      </c>
      <c r="F1168" s="27" t="s">
        <v>164</v>
      </c>
      <c r="G1168" s="27" t="s">
        <v>228</v>
      </c>
      <c r="H1168" s="27" t="s">
        <v>1240</v>
      </c>
      <c r="I1168" s="27" t="s">
        <v>1866</v>
      </c>
      <c r="J1168" s="27" t="s">
        <v>177</v>
      </c>
      <c r="K1168" s="10">
        <v>30</v>
      </c>
      <c r="L1168" s="36" t="s">
        <v>263</v>
      </c>
      <c r="M1168" s="37" t="s">
        <v>275</v>
      </c>
      <c r="N1168" s="37" t="s">
        <v>270</v>
      </c>
      <c r="O1168" s="27" t="s">
        <v>1445</v>
      </c>
      <c r="P1168" s="27" t="s">
        <v>1445</v>
      </c>
      <c r="Q1168" s="27" t="s">
        <v>237</v>
      </c>
      <c r="R1168" s="27" t="s">
        <v>1850</v>
      </c>
      <c r="S1168" s="1" t="s">
        <v>264</v>
      </c>
      <c r="T1168" s="29" t="s">
        <v>265</v>
      </c>
      <c r="U1168" s="27"/>
      <c r="V1168" s="27" t="s">
        <v>1411</v>
      </c>
      <c r="W1168" s="27" t="s">
        <v>1497</v>
      </c>
    </row>
    <row r="1169" spans="1:23" ht="24" customHeight="1">
      <c r="A1169" s="27" t="str">
        <f t="shared" ca="1" si="18"/>
        <v>EVT-2026-1167</v>
      </c>
      <c r="B1169" s="27">
        <v>2026</v>
      </c>
      <c r="C1169" s="27" t="s">
        <v>106</v>
      </c>
      <c r="D1169" s="30">
        <v>46260</v>
      </c>
      <c r="E1169" s="27" t="s">
        <v>201</v>
      </c>
      <c r="F1169" s="27" t="s">
        <v>164</v>
      </c>
      <c r="G1169" s="27" t="s">
        <v>262</v>
      </c>
      <c r="H1169" s="27" t="s">
        <v>171</v>
      </c>
      <c r="I1169" s="27" t="s">
        <v>1864</v>
      </c>
      <c r="J1169" s="27" t="s">
        <v>134</v>
      </c>
      <c r="K1169" s="10">
        <v>50</v>
      </c>
      <c r="L1169" s="36" t="s">
        <v>263</v>
      </c>
      <c r="M1169" s="37" t="s">
        <v>269</v>
      </c>
      <c r="N1169" s="37" t="s">
        <v>270</v>
      </c>
      <c r="O1169" s="27"/>
      <c r="P1169" s="27"/>
      <c r="Q1169" s="27" t="s">
        <v>351</v>
      </c>
      <c r="R1169" s="27" t="s">
        <v>1688</v>
      </c>
      <c r="S1169" s="1" t="s">
        <v>264</v>
      </c>
      <c r="T1169" s="29" t="s">
        <v>265</v>
      </c>
      <c r="U1169" s="27"/>
      <c r="V1169" s="27" t="s">
        <v>1865</v>
      </c>
      <c r="W1169" s="27" t="s">
        <v>1497</v>
      </c>
    </row>
    <row r="1170" spans="1:23" ht="24" customHeight="1">
      <c r="A1170" s="27" t="str">
        <f t="shared" ca="1" si="18"/>
        <v>EVT-2026-1168</v>
      </c>
      <c r="B1170" s="27">
        <v>2026</v>
      </c>
      <c r="C1170" s="27" t="s">
        <v>106</v>
      </c>
      <c r="D1170" s="30">
        <v>46261</v>
      </c>
      <c r="E1170" s="27" t="s">
        <v>216</v>
      </c>
      <c r="F1170" s="27" t="s">
        <v>164</v>
      </c>
      <c r="G1170" s="27" t="s">
        <v>262</v>
      </c>
      <c r="H1170" s="27" t="s">
        <v>171</v>
      </c>
      <c r="I1170" s="27" t="s">
        <v>1864</v>
      </c>
      <c r="J1170" s="27" t="s">
        <v>134</v>
      </c>
      <c r="K1170" s="10">
        <v>50</v>
      </c>
      <c r="L1170" s="36" t="s">
        <v>263</v>
      </c>
      <c r="M1170" s="37" t="s">
        <v>269</v>
      </c>
      <c r="N1170" s="37" t="s">
        <v>270</v>
      </c>
      <c r="O1170" s="27"/>
      <c r="P1170" s="27"/>
      <c r="Q1170" s="27" t="s">
        <v>351</v>
      </c>
      <c r="R1170" s="27" t="s">
        <v>1688</v>
      </c>
      <c r="S1170" s="1" t="s">
        <v>264</v>
      </c>
      <c r="T1170" s="29" t="s">
        <v>265</v>
      </c>
      <c r="U1170" s="27"/>
      <c r="V1170" s="27" t="s">
        <v>1865</v>
      </c>
      <c r="W1170" s="27" t="s">
        <v>1497</v>
      </c>
    </row>
    <row r="1171" spans="1:23" ht="24" customHeight="1">
      <c r="A1171" s="27" t="str">
        <f t="shared" ca="1" si="18"/>
        <v>EVT-2026-1169</v>
      </c>
      <c r="B1171" s="27">
        <v>2026</v>
      </c>
      <c r="C1171" s="27" t="s">
        <v>106</v>
      </c>
      <c r="D1171" s="30">
        <v>46261</v>
      </c>
      <c r="E1171" s="27" t="s">
        <v>216</v>
      </c>
      <c r="F1171" s="27" t="s">
        <v>164</v>
      </c>
      <c r="G1171" s="27" t="s">
        <v>228</v>
      </c>
      <c r="H1171" s="27" t="s">
        <v>1240</v>
      </c>
      <c r="I1171" s="27" t="s">
        <v>708</v>
      </c>
      <c r="J1171" s="27" t="s">
        <v>177</v>
      </c>
      <c r="K1171" s="10">
        <v>30</v>
      </c>
      <c r="L1171" s="36" t="s">
        <v>263</v>
      </c>
      <c r="M1171" s="37" t="s">
        <v>275</v>
      </c>
      <c r="N1171" s="37" t="s">
        <v>270</v>
      </c>
      <c r="O1171" s="27" t="s">
        <v>1445</v>
      </c>
      <c r="P1171" s="27" t="s">
        <v>1445</v>
      </c>
      <c r="Q1171" s="27" t="s">
        <v>1415</v>
      </c>
      <c r="R1171" s="27"/>
      <c r="S1171" s="1" t="s">
        <v>264</v>
      </c>
      <c r="T1171" s="29" t="s">
        <v>265</v>
      </c>
      <c r="U1171" s="27"/>
      <c r="V1171" s="27" t="s">
        <v>1411</v>
      </c>
      <c r="W1171" s="27" t="s">
        <v>1497</v>
      </c>
    </row>
    <row r="1172" spans="1:23" ht="24" customHeight="1">
      <c r="A1172" s="27" t="str">
        <f t="shared" ca="1" si="18"/>
        <v>EVT-2026-1170</v>
      </c>
      <c r="B1172" s="27">
        <v>2026</v>
      </c>
      <c r="C1172" s="27" t="s">
        <v>106</v>
      </c>
      <c r="D1172" s="30">
        <v>46262</v>
      </c>
      <c r="E1172" s="27" t="s">
        <v>220</v>
      </c>
      <c r="F1172" s="27" t="s">
        <v>164</v>
      </c>
      <c r="G1172" s="27" t="s">
        <v>262</v>
      </c>
      <c r="H1172" s="27" t="s">
        <v>171</v>
      </c>
      <c r="I1172" s="27" t="s">
        <v>1864</v>
      </c>
      <c r="J1172" s="27" t="s">
        <v>134</v>
      </c>
      <c r="K1172" s="10">
        <v>50</v>
      </c>
      <c r="L1172" s="36" t="s">
        <v>263</v>
      </c>
      <c r="M1172" s="37" t="s">
        <v>269</v>
      </c>
      <c r="N1172" s="37" t="s">
        <v>270</v>
      </c>
      <c r="O1172" s="27"/>
      <c r="P1172" s="27"/>
      <c r="Q1172" s="27" t="s">
        <v>351</v>
      </c>
      <c r="R1172" s="27" t="s">
        <v>1688</v>
      </c>
      <c r="S1172" s="1" t="s">
        <v>264</v>
      </c>
      <c r="T1172" s="29" t="s">
        <v>265</v>
      </c>
      <c r="U1172" s="27"/>
      <c r="V1172" s="27" t="s">
        <v>1865</v>
      </c>
      <c r="W1172" s="27" t="s">
        <v>1497</v>
      </c>
    </row>
    <row r="1173" spans="1:23" ht="24" customHeight="1">
      <c r="A1173" s="27" t="str">
        <f t="shared" ca="1" si="18"/>
        <v>EVT-2026-1171</v>
      </c>
      <c r="B1173" s="27">
        <v>2026</v>
      </c>
      <c r="C1173" s="27" t="s">
        <v>106</v>
      </c>
      <c r="D1173" s="30">
        <v>46263</v>
      </c>
      <c r="E1173" s="27" t="s">
        <v>266</v>
      </c>
      <c r="F1173" s="27" t="s">
        <v>164</v>
      </c>
      <c r="G1173" s="27" t="s">
        <v>262</v>
      </c>
      <c r="H1173" s="27"/>
      <c r="I1173" s="27"/>
      <c r="J1173" s="27" t="s">
        <v>177</v>
      </c>
      <c r="K1173" s="10">
        <v>0</v>
      </c>
      <c r="L1173" s="36" t="s">
        <v>263</v>
      </c>
      <c r="M1173" s="37"/>
      <c r="N1173" s="37"/>
      <c r="O1173" s="27"/>
      <c r="P1173" s="27"/>
      <c r="Q1173" s="27"/>
      <c r="R1173" s="27"/>
      <c r="S1173" s="2" t="s">
        <v>1859</v>
      </c>
      <c r="T1173" s="29" t="s">
        <v>265</v>
      </c>
      <c r="U1173" s="27"/>
      <c r="V1173" s="27"/>
      <c r="W1173" s="27"/>
    </row>
    <row r="1174" spans="1:23" ht="24" customHeight="1">
      <c r="A1174" s="27" t="str">
        <f t="shared" ca="1" si="18"/>
        <v>EVT-2026-1172</v>
      </c>
      <c r="B1174" s="27">
        <v>2026</v>
      </c>
      <c r="C1174" s="27" t="s">
        <v>106</v>
      </c>
      <c r="D1174" s="30">
        <v>46264</v>
      </c>
      <c r="E1174" s="27" t="s">
        <v>267</v>
      </c>
      <c r="F1174" s="27" t="s">
        <v>164</v>
      </c>
      <c r="G1174" s="27" t="s">
        <v>262</v>
      </c>
      <c r="H1174" s="27"/>
      <c r="I1174" s="27"/>
      <c r="J1174" s="27" t="s">
        <v>177</v>
      </c>
      <c r="K1174" s="10">
        <v>0</v>
      </c>
      <c r="L1174" s="36" t="s">
        <v>263</v>
      </c>
      <c r="M1174" s="37"/>
      <c r="N1174" s="37"/>
      <c r="O1174" s="27"/>
      <c r="P1174" s="27"/>
      <c r="Q1174" s="27"/>
      <c r="R1174" s="27"/>
      <c r="S1174" s="2" t="s">
        <v>1859</v>
      </c>
      <c r="T1174" s="29" t="s">
        <v>265</v>
      </c>
      <c r="U1174" s="27"/>
      <c r="V1174" s="27"/>
      <c r="W1174" s="27"/>
    </row>
    <row r="1175" spans="1:23" ht="24" customHeight="1">
      <c r="A1175" s="27" t="str">
        <f t="shared" ca="1" si="18"/>
        <v>EVT-2026-1173</v>
      </c>
      <c r="B1175" s="27">
        <v>2026</v>
      </c>
      <c r="C1175" s="27" t="s">
        <v>106</v>
      </c>
      <c r="D1175" s="30">
        <v>46265</v>
      </c>
      <c r="E1175" s="27" t="s">
        <v>224</v>
      </c>
      <c r="F1175" s="27" t="s">
        <v>164</v>
      </c>
      <c r="G1175" s="27" t="s">
        <v>262</v>
      </c>
      <c r="H1175" s="27" t="s">
        <v>171</v>
      </c>
      <c r="I1175" s="27" t="s">
        <v>1864</v>
      </c>
      <c r="J1175" s="27" t="s">
        <v>134</v>
      </c>
      <c r="K1175" s="10">
        <v>50</v>
      </c>
      <c r="L1175" s="36" t="s">
        <v>263</v>
      </c>
      <c r="M1175" s="37" t="s">
        <v>269</v>
      </c>
      <c r="N1175" s="37" t="s">
        <v>270</v>
      </c>
      <c r="O1175" s="27"/>
      <c r="P1175" s="27"/>
      <c r="Q1175" s="27" t="s">
        <v>351</v>
      </c>
      <c r="R1175" s="27"/>
      <c r="S1175" s="2" t="s">
        <v>1859</v>
      </c>
      <c r="T1175" s="29" t="s">
        <v>265</v>
      </c>
      <c r="U1175" s="27"/>
      <c r="V1175" s="27" t="s">
        <v>1865</v>
      </c>
      <c r="W1175" s="27" t="s">
        <v>1497</v>
      </c>
    </row>
    <row r="1176" spans="1:23" ht="24" customHeight="1">
      <c r="A1176" s="27" t="str">
        <f t="shared" ca="1" si="18"/>
        <v>EVT-2026-1174</v>
      </c>
      <c r="B1176" s="27">
        <v>2026</v>
      </c>
      <c r="C1176" s="27" t="s">
        <v>106</v>
      </c>
      <c r="D1176" s="30">
        <v>46235</v>
      </c>
      <c r="E1176" s="27" t="s">
        <v>266</v>
      </c>
      <c r="F1176" s="27" t="s">
        <v>126</v>
      </c>
      <c r="G1176" s="27"/>
      <c r="H1176" s="27"/>
      <c r="I1176" s="27"/>
      <c r="J1176" s="27" t="s">
        <v>177</v>
      </c>
      <c r="K1176" s="10">
        <v>0</v>
      </c>
      <c r="L1176" s="36" t="s">
        <v>263</v>
      </c>
      <c r="M1176" s="37"/>
      <c r="N1176" s="37"/>
      <c r="O1176" s="27"/>
      <c r="P1176" s="27"/>
      <c r="Q1176" s="27"/>
      <c r="R1176" s="27"/>
      <c r="S1176" s="1" t="s">
        <v>264</v>
      </c>
      <c r="T1176" s="29" t="s">
        <v>265</v>
      </c>
      <c r="U1176" s="27"/>
      <c r="V1176" s="27"/>
      <c r="W1176" s="27"/>
    </row>
    <row r="1177" spans="1:23" ht="24" customHeight="1">
      <c r="A1177" s="27" t="str">
        <f t="shared" ca="1" si="18"/>
        <v>EVT-2026-1175</v>
      </c>
      <c r="B1177" s="27">
        <v>2026</v>
      </c>
      <c r="C1177" s="27" t="s">
        <v>106</v>
      </c>
      <c r="D1177" s="30">
        <v>46236</v>
      </c>
      <c r="E1177" s="27" t="s">
        <v>267</v>
      </c>
      <c r="F1177" s="27" t="s">
        <v>126</v>
      </c>
      <c r="G1177" s="27"/>
      <c r="H1177" s="27"/>
      <c r="I1177" s="27"/>
      <c r="J1177" s="27" t="s">
        <v>177</v>
      </c>
      <c r="K1177" s="10">
        <v>0</v>
      </c>
      <c r="L1177" s="36" t="s">
        <v>263</v>
      </c>
      <c r="M1177" s="37"/>
      <c r="N1177" s="37"/>
      <c r="O1177" s="27"/>
      <c r="P1177" s="27"/>
      <c r="Q1177" s="27"/>
      <c r="R1177" s="27"/>
      <c r="S1177" s="1" t="s">
        <v>264</v>
      </c>
      <c r="T1177" s="29" t="s">
        <v>265</v>
      </c>
      <c r="U1177" s="27"/>
      <c r="V1177" s="27"/>
      <c r="W1177" s="27"/>
    </row>
    <row r="1178" spans="1:23" ht="24" customHeight="1">
      <c r="A1178" s="27" t="str">
        <f t="shared" ca="1" si="18"/>
        <v>EVT-2026-1176</v>
      </c>
      <c r="B1178" s="27">
        <v>2026</v>
      </c>
      <c r="C1178" s="27" t="s">
        <v>106</v>
      </c>
      <c r="D1178" s="30">
        <v>46237</v>
      </c>
      <c r="E1178" s="27" t="s">
        <v>224</v>
      </c>
      <c r="F1178" s="27" t="s">
        <v>126</v>
      </c>
      <c r="G1178" s="27" t="s">
        <v>125</v>
      </c>
      <c r="H1178" s="27" t="s">
        <v>228</v>
      </c>
      <c r="I1178" s="27" t="s">
        <v>870</v>
      </c>
      <c r="J1178" s="27" t="s">
        <v>172</v>
      </c>
      <c r="K1178" s="10">
        <v>0</v>
      </c>
      <c r="L1178" s="36" t="s">
        <v>263</v>
      </c>
      <c r="M1178" s="37" t="s">
        <v>274</v>
      </c>
      <c r="N1178" s="37" t="s">
        <v>330</v>
      </c>
      <c r="O1178" s="27" t="s">
        <v>1445</v>
      </c>
      <c r="P1178" s="27" t="s">
        <v>1867</v>
      </c>
      <c r="Q1178" s="27" t="s">
        <v>1599</v>
      </c>
      <c r="R1178" s="27"/>
      <c r="S1178" s="1" t="s">
        <v>264</v>
      </c>
      <c r="T1178" s="29" t="s">
        <v>265</v>
      </c>
      <c r="U1178" s="30">
        <v>46235</v>
      </c>
      <c r="V1178" s="27" t="s">
        <v>1445</v>
      </c>
      <c r="W1178" s="27" t="s">
        <v>1497</v>
      </c>
    </row>
    <row r="1179" spans="1:23" ht="24" customHeight="1">
      <c r="A1179" s="27" t="str">
        <f t="shared" ca="1" si="18"/>
        <v>EVT-2026-1177</v>
      </c>
      <c r="B1179" s="27">
        <v>2026</v>
      </c>
      <c r="C1179" s="27" t="s">
        <v>106</v>
      </c>
      <c r="D1179" s="30">
        <v>46237</v>
      </c>
      <c r="E1179" s="27" t="s">
        <v>224</v>
      </c>
      <c r="F1179" s="27" t="s">
        <v>126</v>
      </c>
      <c r="G1179" s="27" t="s">
        <v>125</v>
      </c>
      <c r="H1179" s="27" t="s">
        <v>228</v>
      </c>
      <c r="I1179" s="27" t="s">
        <v>1868</v>
      </c>
      <c r="J1179" s="27" t="s">
        <v>139</v>
      </c>
      <c r="K1179" s="10">
        <v>50</v>
      </c>
      <c r="L1179" s="36" t="s">
        <v>263</v>
      </c>
      <c r="M1179" s="37" t="s">
        <v>309</v>
      </c>
      <c r="N1179" s="37" t="s">
        <v>270</v>
      </c>
      <c r="O1179" s="27"/>
      <c r="P1179" s="27"/>
      <c r="Q1179" s="27" t="s">
        <v>370</v>
      </c>
      <c r="R1179" s="27"/>
      <c r="S1179" s="1" t="s">
        <v>264</v>
      </c>
      <c r="T1179" s="29" t="s">
        <v>265</v>
      </c>
      <c r="U1179" s="30">
        <v>46162</v>
      </c>
      <c r="V1179" s="27" t="s">
        <v>298</v>
      </c>
      <c r="W1179" s="27"/>
    </row>
    <row r="1180" spans="1:23" ht="24" customHeight="1">
      <c r="A1180" s="27" t="str">
        <f t="shared" ca="1" si="18"/>
        <v>EVT-2026-1178</v>
      </c>
      <c r="B1180" s="27">
        <v>2026</v>
      </c>
      <c r="C1180" s="27" t="s">
        <v>106</v>
      </c>
      <c r="D1180" s="30">
        <v>46237</v>
      </c>
      <c r="E1180" s="27" t="s">
        <v>224</v>
      </c>
      <c r="F1180" s="27" t="s">
        <v>126</v>
      </c>
      <c r="G1180" s="27" t="s">
        <v>1366</v>
      </c>
      <c r="H1180" s="27" t="s">
        <v>1260</v>
      </c>
      <c r="I1180" s="27" t="s">
        <v>1869</v>
      </c>
      <c r="J1180" s="27" t="s">
        <v>134</v>
      </c>
      <c r="K1180" s="10">
        <v>16</v>
      </c>
      <c r="L1180" s="36" t="s">
        <v>263</v>
      </c>
      <c r="M1180" s="37" t="s">
        <v>269</v>
      </c>
      <c r="N1180" s="37" t="s">
        <v>270</v>
      </c>
      <c r="O1180" s="27"/>
      <c r="P1180" s="27"/>
      <c r="Q1180" s="27" t="s">
        <v>1641</v>
      </c>
      <c r="R1180" s="27"/>
      <c r="S1180" s="3" t="s">
        <v>312</v>
      </c>
      <c r="T1180" s="29" t="s">
        <v>265</v>
      </c>
      <c r="U1180" s="30">
        <v>46221</v>
      </c>
      <c r="V1180" s="27" t="s">
        <v>1870</v>
      </c>
      <c r="W1180" s="27"/>
    </row>
    <row r="1181" spans="1:23" ht="24" customHeight="1">
      <c r="A1181" s="27" t="str">
        <f t="shared" ca="1" si="18"/>
        <v>EVT-2026-1179</v>
      </c>
      <c r="B1181" s="27">
        <v>2026</v>
      </c>
      <c r="C1181" s="27" t="s">
        <v>106</v>
      </c>
      <c r="D1181" s="30">
        <v>46237</v>
      </c>
      <c r="E1181" s="27" t="s">
        <v>224</v>
      </c>
      <c r="F1181" s="27" t="s">
        <v>126</v>
      </c>
      <c r="G1181" s="27" t="s">
        <v>1366</v>
      </c>
      <c r="H1181" s="27" t="s">
        <v>202</v>
      </c>
      <c r="I1181" s="27" t="s">
        <v>1871</v>
      </c>
      <c r="J1181" s="27" t="s">
        <v>177</v>
      </c>
      <c r="K1181" s="10">
        <v>30</v>
      </c>
      <c r="L1181" s="36" t="s">
        <v>263</v>
      </c>
      <c r="M1181" s="37" t="s">
        <v>1057</v>
      </c>
      <c r="N1181" s="37" t="s">
        <v>553</v>
      </c>
      <c r="O1181" s="27" t="s">
        <v>369</v>
      </c>
      <c r="P1181" s="27" t="s">
        <v>369</v>
      </c>
      <c r="Q1181" s="27" t="s">
        <v>1036</v>
      </c>
      <c r="R1181" s="27"/>
      <c r="S1181" s="1" t="s">
        <v>264</v>
      </c>
      <c r="T1181" s="28" t="s">
        <v>1807</v>
      </c>
      <c r="U1181" s="27"/>
      <c r="V1181" s="27" t="s">
        <v>1872</v>
      </c>
      <c r="W1181" s="27" t="s">
        <v>1873</v>
      </c>
    </row>
    <row r="1182" spans="1:23" ht="24" customHeight="1">
      <c r="A1182" s="27" t="str">
        <f t="shared" ca="1" si="18"/>
        <v>EVT-2026-1180</v>
      </c>
      <c r="B1182" s="27">
        <v>2026</v>
      </c>
      <c r="C1182" s="27" t="s">
        <v>106</v>
      </c>
      <c r="D1182" s="30">
        <v>46237</v>
      </c>
      <c r="E1182" s="27" t="s">
        <v>224</v>
      </c>
      <c r="F1182" s="27" t="s">
        <v>126</v>
      </c>
      <c r="G1182" s="27" t="s">
        <v>1366</v>
      </c>
      <c r="H1182" s="27" t="s">
        <v>202</v>
      </c>
      <c r="I1182" s="27" t="s">
        <v>1874</v>
      </c>
      <c r="J1182" s="27" t="s">
        <v>177</v>
      </c>
      <c r="K1182" s="10">
        <v>25</v>
      </c>
      <c r="L1182" s="36" t="s">
        <v>263</v>
      </c>
      <c r="M1182" s="37" t="s">
        <v>331</v>
      </c>
      <c r="N1182" s="37" t="s">
        <v>350</v>
      </c>
      <c r="O1182" s="27" t="s">
        <v>382</v>
      </c>
      <c r="P1182" s="27"/>
      <c r="Q1182" s="27" t="s">
        <v>1348</v>
      </c>
      <c r="R1182" s="27"/>
      <c r="S1182" s="1" t="s">
        <v>264</v>
      </c>
      <c r="T1182" s="28" t="s">
        <v>1807</v>
      </c>
      <c r="U1182" s="30">
        <v>46223</v>
      </c>
      <c r="V1182" s="27" t="s">
        <v>1875</v>
      </c>
      <c r="W1182" s="27" t="s">
        <v>1751</v>
      </c>
    </row>
    <row r="1183" spans="1:23" ht="24" customHeight="1">
      <c r="A1183" s="27" t="str">
        <f t="shared" ca="1" si="18"/>
        <v>EVT-2026-1181</v>
      </c>
      <c r="B1183" s="27">
        <v>2026</v>
      </c>
      <c r="C1183" s="27" t="s">
        <v>106</v>
      </c>
      <c r="D1183" s="30">
        <v>46237</v>
      </c>
      <c r="E1183" s="27" t="s">
        <v>224</v>
      </c>
      <c r="F1183" s="27" t="s">
        <v>126</v>
      </c>
      <c r="G1183" s="27" t="s">
        <v>736</v>
      </c>
      <c r="H1183" s="27" t="s">
        <v>202</v>
      </c>
      <c r="I1183" s="27" t="s">
        <v>1876</v>
      </c>
      <c r="J1183" s="27" t="s">
        <v>165</v>
      </c>
      <c r="K1183" s="10">
        <v>50</v>
      </c>
      <c r="L1183" s="36" t="s">
        <v>263</v>
      </c>
      <c r="M1183" s="37" t="s">
        <v>315</v>
      </c>
      <c r="N1183" s="37" t="s">
        <v>330</v>
      </c>
      <c r="O1183" s="27" t="s">
        <v>1877</v>
      </c>
      <c r="P1183" s="27" t="s">
        <v>1670</v>
      </c>
      <c r="Q1183" s="27" t="s">
        <v>783</v>
      </c>
      <c r="R1183" s="27"/>
      <c r="S1183" s="1" t="s">
        <v>264</v>
      </c>
      <c r="T1183" s="28" t="s">
        <v>1807</v>
      </c>
      <c r="U1183" s="30">
        <v>46226</v>
      </c>
      <c r="V1183" s="27" t="s">
        <v>1748</v>
      </c>
      <c r="W1183" s="27" t="s">
        <v>1497</v>
      </c>
    </row>
    <row r="1184" spans="1:23" ht="24" customHeight="1">
      <c r="A1184" s="27" t="str">
        <f t="shared" ca="1" si="18"/>
        <v>EVT-2026-1182</v>
      </c>
      <c r="B1184" s="27">
        <v>2026</v>
      </c>
      <c r="C1184" s="27" t="s">
        <v>106</v>
      </c>
      <c r="D1184" s="30">
        <v>46237</v>
      </c>
      <c r="E1184" s="27" t="s">
        <v>224</v>
      </c>
      <c r="F1184" s="27" t="s">
        <v>126</v>
      </c>
      <c r="G1184" s="27" t="s">
        <v>736</v>
      </c>
      <c r="H1184" s="27" t="s">
        <v>202</v>
      </c>
      <c r="I1184" s="27" t="s">
        <v>1715</v>
      </c>
      <c r="J1184" s="27" t="s">
        <v>152</v>
      </c>
      <c r="K1184" s="10">
        <v>23</v>
      </c>
      <c r="L1184" s="36" t="s">
        <v>263</v>
      </c>
      <c r="M1184" s="37" t="s">
        <v>331</v>
      </c>
      <c r="N1184" s="37" t="s">
        <v>1342</v>
      </c>
      <c r="O1184" s="27" t="s">
        <v>610</v>
      </c>
      <c r="P1184" s="27" t="s">
        <v>369</v>
      </c>
      <c r="Q1184" s="27" t="s">
        <v>1198</v>
      </c>
      <c r="R1184" s="27"/>
      <c r="S1184" s="1" t="s">
        <v>264</v>
      </c>
      <c r="T1184" s="28" t="s">
        <v>1807</v>
      </c>
      <c r="U1184" s="30">
        <v>46227</v>
      </c>
      <c r="V1184" s="27" t="s">
        <v>1180</v>
      </c>
      <c r="W1184" s="27" t="s">
        <v>1497</v>
      </c>
    </row>
    <row r="1185" spans="1:23" ht="24" customHeight="1">
      <c r="A1185" s="27" t="str">
        <f t="shared" ca="1" si="18"/>
        <v>EVT-2026-1183</v>
      </c>
      <c r="B1185" s="27">
        <v>2026</v>
      </c>
      <c r="C1185" s="27" t="s">
        <v>106</v>
      </c>
      <c r="D1185" s="30">
        <v>46237</v>
      </c>
      <c r="E1185" s="27" t="s">
        <v>224</v>
      </c>
      <c r="F1185" s="27" t="s">
        <v>126</v>
      </c>
      <c r="G1185" s="27" t="s">
        <v>1878</v>
      </c>
      <c r="H1185" s="27" t="s">
        <v>1879</v>
      </c>
      <c r="I1185" s="27" t="s">
        <v>1880</v>
      </c>
      <c r="J1185" s="27" t="s">
        <v>152</v>
      </c>
      <c r="K1185" s="10">
        <v>5</v>
      </c>
      <c r="L1185" s="36" t="s">
        <v>263</v>
      </c>
      <c r="M1185" s="37" t="s">
        <v>269</v>
      </c>
      <c r="N1185" s="37" t="s">
        <v>270</v>
      </c>
      <c r="O1185" s="27" t="s">
        <v>1394</v>
      </c>
      <c r="P1185" s="27" t="s">
        <v>1881</v>
      </c>
      <c r="Q1185" s="27" t="s">
        <v>1882</v>
      </c>
      <c r="R1185" s="27"/>
      <c r="S1185" s="1" t="s">
        <v>264</v>
      </c>
      <c r="T1185" s="29" t="s">
        <v>265</v>
      </c>
      <c r="U1185" s="30">
        <v>46235</v>
      </c>
      <c r="V1185" s="27" t="s">
        <v>1883</v>
      </c>
      <c r="W1185" s="27" t="s">
        <v>1497</v>
      </c>
    </row>
    <row r="1186" spans="1:23" ht="24" customHeight="1">
      <c r="A1186" s="27" t="str">
        <f t="shared" ca="1" si="18"/>
        <v>EVT-2026-1184</v>
      </c>
      <c r="B1186" s="27">
        <v>2026</v>
      </c>
      <c r="C1186" s="27" t="s">
        <v>106</v>
      </c>
      <c r="D1186" s="30">
        <v>46237</v>
      </c>
      <c r="E1186" s="27" t="s">
        <v>224</v>
      </c>
      <c r="F1186" s="27" t="s">
        <v>126</v>
      </c>
      <c r="G1186" s="27" t="s">
        <v>1884</v>
      </c>
      <c r="H1186" s="27" t="s">
        <v>202</v>
      </c>
      <c r="I1186" s="27" t="s">
        <v>1885</v>
      </c>
      <c r="J1186" s="27" t="s">
        <v>177</v>
      </c>
      <c r="K1186" s="10">
        <v>2</v>
      </c>
      <c r="L1186" s="36" t="s">
        <v>263</v>
      </c>
      <c r="M1186" s="37" t="s">
        <v>269</v>
      </c>
      <c r="N1186" s="37" t="s">
        <v>270</v>
      </c>
      <c r="O1186" s="27" t="s">
        <v>1394</v>
      </c>
      <c r="P1186" s="27" t="s">
        <v>1886</v>
      </c>
      <c r="Q1186" s="27" t="s">
        <v>1887</v>
      </c>
      <c r="R1186" s="27"/>
      <c r="S1186" s="1" t="s">
        <v>264</v>
      </c>
      <c r="T1186" s="29" t="s">
        <v>265</v>
      </c>
      <c r="U1186" s="30">
        <v>46234</v>
      </c>
      <c r="V1186" s="27" t="s">
        <v>1886</v>
      </c>
      <c r="W1186" s="27" t="s">
        <v>1497</v>
      </c>
    </row>
    <row r="1187" spans="1:23" ht="24" customHeight="1">
      <c r="A1187" s="27" t="str">
        <f t="shared" ca="1" si="18"/>
        <v>EVT-2026-1185</v>
      </c>
      <c r="B1187" s="27">
        <v>2026</v>
      </c>
      <c r="C1187" s="27" t="s">
        <v>106</v>
      </c>
      <c r="D1187" s="30">
        <v>46238</v>
      </c>
      <c r="E1187" s="27" t="s">
        <v>227</v>
      </c>
      <c r="F1187" s="27" t="s">
        <v>126</v>
      </c>
      <c r="G1187" s="27" t="s">
        <v>239</v>
      </c>
      <c r="H1187" s="27" t="s">
        <v>202</v>
      </c>
      <c r="I1187" s="27" t="s">
        <v>1888</v>
      </c>
      <c r="J1187" s="27" t="s">
        <v>177</v>
      </c>
      <c r="K1187" s="10">
        <v>200</v>
      </c>
      <c r="L1187" s="38" t="s">
        <v>294</v>
      </c>
      <c r="M1187" s="37" t="s">
        <v>295</v>
      </c>
      <c r="N1187" s="37" t="s">
        <v>296</v>
      </c>
      <c r="O1187" s="27"/>
      <c r="P1187" s="27" t="s">
        <v>1889</v>
      </c>
      <c r="Q1187" s="27" t="s">
        <v>1890</v>
      </c>
      <c r="R1187" s="27"/>
      <c r="S1187" s="1" t="s">
        <v>264</v>
      </c>
      <c r="T1187" s="28" t="s">
        <v>1807</v>
      </c>
      <c r="U1187" s="30">
        <v>46217</v>
      </c>
      <c r="V1187" s="27" t="s">
        <v>1891</v>
      </c>
      <c r="W1187" s="27" t="s">
        <v>1701</v>
      </c>
    </row>
    <row r="1188" spans="1:23" ht="24" customHeight="1">
      <c r="A1188" s="27" t="str">
        <f t="shared" ca="1" si="18"/>
        <v>EVT-2026-1186</v>
      </c>
      <c r="B1188" s="27">
        <v>2026</v>
      </c>
      <c r="C1188" s="27" t="s">
        <v>106</v>
      </c>
      <c r="D1188" s="30">
        <v>46238</v>
      </c>
      <c r="E1188" s="27" t="s">
        <v>227</v>
      </c>
      <c r="F1188" s="27" t="s">
        <v>126</v>
      </c>
      <c r="G1188" s="27" t="s">
        <v>125</v>
      </c>
      <c r="H1188" s="27" t="s">
        <v>228</v>
      </c>
      <c r="I1188" s="27" t="s">
        <v>1892</v>
      </c>
      <c r="J1188" s="27" t="s">
        <v>127</v>
      </c>
      <c r="K1188" s="10">
        <v>180</v>
      </c>
      <c r="L1188" s="38" t="s">
        <v>294</v>
      </c>
      <c r="M1188" s="37" t="s">
        <v>315</v>
      </c>
      <c r="N1188" s="37" t="s">
        <v>506</v>
      </c>
      <c r="O1188" s="27" t="s">
        <v>382</v>
      </c>
      <c r="P1188" s="27"/>
      <c r="Q1188" s="27" t="s">
        <v>1599</v>
      </c>
      <c r="R1188" s="27"/>
      <c r="S1188" s="1" t="s">
        <v>264</v>
      </c>
      <c r="T1188" s="28" t="s">
        <v>1807</v>
      </c>
      <c r="U1188" s="30">
        <v>46216</v>
      </c>
      <c r="V1188" s="27" t="s">
        <v>1313</v>
      </c>
      <c r="W1188" s="27"/>
    </row>
    <row r="1189" spans="1:23" ht="24" customHeight="1">
      <c r="A1189" s="27" t="str">
        <f t="shared" ca="1" si="18"/>
        <v>EVT-2026-1187</v>
      </c>
      <c r="B1189" s="27">
        <v>2026</v>
      </c>
      <c r="C1189" s="27" t="s">
        <v>106</v>
      </c>
      <c r="D1189" s="30">
        <v>46238</v>
      </c>
      <c r="E1189" s="27" t="s">
        <v>227</v>
      </c>
      <c r="F1189" s="27" t="s">
        <v>126</v>
      </c>
      <c r="G1189" s="27" t="s">
        <v>1878</v>
      </c>
      <c r="H1189" s="27" t="s">
        <v>208</v>
      </c>
      <c r="I1189" s="27" t="s">
        <v>1880</v>
      </c>
      <c r="J1189" s="27" t="s">
        <v>152</v>
      </c>
      <c r="K1189" s="10">
        <v>5</v>
      </c>
      <c r="L1189" s="36" t="s">
        <v>263</v>
      </c>
      <c r="M1189" s="37" t="s">
        <v>269</v>
      </c>
      <c r="N1189" s="37" t="s">
        <v>270</v>
      </c>
      <c r="O1189" s="27" t="s">
        <v>1394</v>
      </c>
      <c r="P1189" s="27" t="s">
        <v>1881</v>
      </c>
      <c r="Q1189" s="27" t="s">
        <v>1882</v>
      </c>
      <c r="R1189" s="27"/>
      <c r="S1189" s="1" t="s">
        <v>264</v>
      </c>
      <c r="T1189" s="29" t="s">
        <v>265</v>
      </c>
      <c r="U1189" s="30">
        <v>46235</v>
      </c>
      <c r="V1189" s="27" t="s">
        <v>1883</v>
      </c>
      <c r="W1189" s="27"/>
    </row>
    <row r="1190" spans="1:23" ht="24" customHeight="1">
      <c r="A1190" s="27" t="str">
        <f t="shared" ca="1" si="18"/>
        <v>EVT-2026-1188</v>
      </c>
      <c r="B1190" s="27">
        <v>2026</v>
      </c>
      <c r="C1190" s="27" t="s">
        <v>106</v>
      </c>
      <c r="D1190" s="30">
        <v>46238</v>
      </c>
      <c r="E1190" s="27" t="s">
        <v>227</v>
      </c>
      <c r="F1190" s="27" t="s">
        <v>126</v>
      </c>
      <c r="G1190" s="27" t="s">
        <v>125</v>
      </c>
      <c r="H1190" s="27" t="s">
        <v>228</v>
      </c>
      <c r="I1190" s="27" t="s">
        <v>1893</v>
      </c>
      <c r="J1190" s="27" t="s">
        <v>127</v>
      </c>
      <c r="K1190" s="10">
        <v>150</v>
      </c>
      <c r="L1190" s="38" t="s">
        <v>294</v>
      </c>
      <c r="M1190" s="37" t="s">
        <v>506</v>
      </c>
      <c r="N1190" s="37" t="s">
        <v>331</v>
      </c>
      <c r="O1190" s="27" t="s">
        <v>1394</v>
      </c>
      <c r="P1190" s="27" t="s">
        <v>1449</v>
      </c>
      <c r="Q1190" s="27" t="s">
        <v>355</v>
      </c>
      <c r="R1190" s="27"/>
      <c r="S1190" s="3" t="s">
        <v>312</v>
      </c>
      <c r="T1190" s="29" t="s">
        <v>265</v>
      </c>
      <c r="U1190" s="30">
        <v>46218</v>
      </c>
      <c r="V1190" s="27" t="s">
        <v>1313</v>
      </c>
      <c r="W1190" s="27" t="s">
        <v>1497</v>
      </c>
    </row>
    <row r="1191" spans="1:23" ht="24" customHeight="1">
      <c r="A1191" s="27" t="str">
        <f t="shared" ca="1" si="18"/>
        <v>EVT-2026-1189</v>
      </c>
      <c r="B1191" s="27">
        <v>2026</v>
      </c>
      <c r="C1191" s="27" t="s">
        <v>106</v>
      </c>
      <c r="D1191" s="30">
        <v>46238</v>
      </c>
      <c r="E1191" s="27" t="s">
        <v>227</v>
      </c>
      <c r="F1191" s="27" t="s">
        <v>126</v>
      </c>
      <c r="G1191" s="27" t="s">
        <v>125</v>
      </c>
      <c r="H1191" s="27" t="s">
        <v>228</v>
      </c>
      <c r="I1191" s="27" t="s">
        <v>1868</v>
      </c>
      <c r="J1191" s="27" t="s">
        <v>139</v>
      </c>
      <c r="K1191" s="10">
        <v>50</v>
      </c>
      <c r="L1191" s="36" t="s">
        <v>263</v>
      </c>
      <c r="M1191" s="37" t="s">
        <v>309</v>
      </c>
      <c r="N1191" s="37" t="s">
        <v>270</v>
      </c>
      <c r="O1191" s="27"/>
      <c r="P1191" s="27"/>
      <c r="Q1191" s="27" t="s">
        <v>370</v>
      </c>
      <c r="R1191" s="27"/>
      <c r="S1191" s="1" t="s">
        <v>264</v>
      </c>
      <c r="T1191" s="29" t="s">
        <v>265</v>
      </c>
      <c r="U1191" s="30">
        <v>46162</v>
      </c>
      <c r="V1191" s="27" t="s">
        <v>298</v>
      </c>
      <c r="W1191" s="27"/>
    </row>
    <row r="1192" spans="1:23" ht="24" customHeight="1">
      <c r="A1192" s="27" t="str">
        <f t="shared" ca="1" si="18"/>
        <v>EVT-2026-1190</v>
      </c>
      <c r="B1192" s="27">
        <v>2026</v>
      </c>
      <c r="C1192" s="27" t="s">
        <v>106</v>
      </c>
      <c r="D1192" s="30">
        <v>46238</v>
      </c>
      <c r="E1192" s="27" t="s">
        <v>227</v>
      </c>
      <c r="F1192" s="27" t="s">
        <v>126</v>
      </c>
      <c r="G1192" s="27" t="s">
        <v>1366</v>
      </c>
      <c r="H1192" s="27" t="s">
        <v>208</v>
      </c>
      <c r="I1192" s="27" t="s">
        <v>217</v>
      </c>
      <c r="J1192" s="27" t="s">
        <v>145</v>
      </c>
      <c r="K1192" s="10">
        <v>50</v>
      </c>
      <c r="L1192" s="36" t="s">
        <v>263</v>
      </c>
      <c r="M1192" s="37" t="s">
        <v>309</v>
      </c>
      <c r="N1192" s="37" t="s">
        <v>296</v>
      </c>
      <c r="O1192" s="27"/>
      <c r="P1192" s="27"/>
      <c r="Q1192" s="27" t="s">
        <v>1510</v>
      </c>
      <c r="R1192" s="27"/>
      <c r="S1192" s="1" t="s">
        <v>264</v>
      </c>
      <c r="T1192" s="29" t="s">
        <v>265</v>
      </c>
      <c r="U1192" s="27"/>
      <c r="V1192" s="27" t="s">
        <v>298</v>
      </c>
      <c r="W1192" s="27"/>
    </row>
    <row r="1193" spans="1:23" ht="24" customHeight="1">
      <c r="A1193" s="27" t="str">
        <f t="shared" ca="1" si="18"/>
        <v>EVT-2026-1191</v>
      </c>
      <c r="B1193" s="27">
        <v>2026</v>
      </c>
      <c r="C1193" s="27" t="s">
        <v>106</v>
      </c>
      <c r="D1193" s="30">
        <v>46238</v>
      </c>
      <c r="E1193" s="27" t="s">
        <v>227</v>
      </c>
      <c r="F1193" s="27" t="s">
        <v>126</v>
      </c>
      <c r="G1193" s="27" t="s">
        <v>1366</v>
      </c>
      <c r="H1193" s="27" t="s">
        <v>202</v>
      </c>
      <c r="I1193" s="27" t="s">
        <v>1894</v>
      </c>
      <c r="J1193" s="27" t="s">
        <v>177</v>
      </c>
      <c r="K1193" s="10">
        <v>30</v>
      </c>
      <c r="L1193" s="36" t="s">
        <v>263</v>
      </c>
      <c r="M1193" s="37" t="s">
        <v>330</v>
      </c>
      <c r="N1193" s="37" t="s">
        <v>331</v>
      </c>
      <c r="O1193" s="27" t="s">
        <v>369</v>
      </c>
      <c r="P1193" s="27" t="s">
        <v>1670</v>
      </c>
      <c r="Q1193" s="27" t="s">
        <v>1036</v>
      </c>
      <c r="R1193" s="27"/>
      <c r="S1193" s="1" t="s">
        <v>264</v>
      </c>
      <c r="T1193" s="28" t="s">
        <v>1807</v>
      </c>
      <c r="U1193" s="30">
        <v>46226</v>
      </c>
      <c r="V1193" s="27" t="s">
        <v>298</v>
      </c>
      <c r="W1193" s="27" t="s">
        <v>1497</v>
      </c>
    </row>
    <row r="1194" spans="1:23" ht="24" customHeight="1">
      <c r="A1194" s="27" t="str">
        <f t="shared" ca="1" si="18"/>
        <v>EVT-2026-1192</v>
      </c>
      <c r="B1194" s="27">
        <v>2026</v>
      </c>
      <c r="C1194" s="27" t="s">
        <v>106</v>
      </c>
      <c r="D1194" s="30">
        <v>46238</v>
      </c>
      <c r="E1194" s="27" t="s">
        <v>227</v>
      </c>
      <c r="F1194" s="27" t="s">
        <v>126</v>
      </c>
      <c r="G1194" s="27" t="s">
        <v>1366</v>
      </c>
      <c r="H1194" s="27" t="s">
        <v>202</v>
      </c>
      <c r="I1194" s="27" t="s">
        <v>895</v>
      </c>
      <c r="J1194" s="27" t="s">
        <v>158</v>
      </c>
      <c r="K1194" s="10">
        <v>60</v>
      </c>
      <c r="L1194" s="36" t="s">
        <v>263</v>
      </c>
      <c r="M1194" s="37" t="s">
        <v>1405</v>
      </c>
      <c r="N1194" s="37" t="s">
        <v>296</v>
      </c>
      <c r="O1194" s="27"/>
      <c r="P1194" s="27"/>
      <c r="Q1194" s="27" t="s">
        <v>1895</v>
      </c>
      <c r="R1194" s="27"/>
      <c r="S1194" s="1" t="s">
        <v>264</v>
      </c>
      <c r="T1194" s="29" t="s">
        <v>265</v>
      </c>
      <c r="U1194" s="27"/>
      <c r="V1194" s="27"/>
      <c r="W1194" s="27"/>
    </row>
    <row r="1195" spans="1:23" ht="24" customHeight="1">
      <c r="A1195" s="27" t="str">
        <f t="shared" ca="1" si="18"/>
        <v>EVT-2026-1193</v>
      </c>
      <c r="B1195" s="27">
        <v>2026</v>
      </c>
      <c r="C1195" s="27" t="s">
        <v>106</v>
      </c>
      <c r="D1195" s="30">
        <v>46238</v>
      </c>
      <c r="E1195" s="27" t="s">
        <v>227</v>
      </c>
      <c r="F1195" s="27" t="s">
        <v>126</v>
      </c>
      <c r="G1195" s="27" t="s">
        <v>1366</v>
      </c>
      <c r="H1195" s="27" t="s">
        <v>208</v>
      </c>
      <c r="I1195" s="27" t="s">
        <v>1896</v>
      </c>
      <c r="J1195" s="27" t="s">
        <v>158</v>
      </c>
      <c r="K1195" s="10">
        <v>15</v>
      </c>
      <c r="L1195" s="36" t="s">
        <v>263</v>
      </c>
      <c r="M1195" s="37" t="s">
        <v>331</v>
      </c>
      <c r="N1195" s="37" t="s">
        <v>275</v>
      </c>
      <c r="O1195" s="27" t="s">
        <v>610</v>
      </c>
      <c r="P1195" s="27"/>
      <c r="Q1195" s="27" t="s">
        <v>1897</v>
      </c>
      <c r="R1195" s="27"/>
      <c r="S1195" s="1" t="s">
        <v>264</v>
      </c>
      <c r="T1195" s="29" t="s">
        <v>265</v>
      </c>
      <c r="U1195" s="27"/>
      <c r="V1195" s="27" t="s">
        <v>1898</v>
      </c>
      <c r="W1195" s="27" t="s">
        <v>1751</v>
      </c>
    </row>
    <row r="1196" spans="1:23" ht="24" customHeight="1">
      <c r="A1196" s="27" t="str">
        <f t="shared" ca="1" si="18"/>
        <v>EVT-2026-1194</v>
      </c>
      <c r="B1196" s="27">
        <v>2026</v>
      </c>
      <c r="C1196" s="27" t="s">
        <v>106</v>
      </c>
      <c r="D1196" s="30">
        <v>46238</v>
      </c>
      <c r="E1196" s="27" t="s">
        <v>227</v>
      </c>
      <c r="F1196" s="27" t="s">
        <v>126</v>
      </c>
      <c r="G1196" s="27" t="s">
        <v>736</v>
      </c>
      <c r="H1196" s="27" t="s">
        <v>202</v>
      </c>
      <c r="I1196" s="27" t="s">
        <v>1899</v>
      </c>
      <c r="J1196" s="27" t="s">
        <v>177</v>
      </c>
      <c r="K1196" s="10">
        <v>24</v>
      </c>
      <c r="L1196" s="36" t="s">
        <v>263</v>
      </c>
      <c r="M1196" s="37" t="s">
        <v>281</v>
      </c>
      <c r="N1196" s="37" t="s">
        <v>270</v>
      </c>
      <c r="O1196" s="27"/>
      <c r="P1196" s="27"/>
      <c r="Q1196" s="27" t="s">
        <v>1900</v>
      </c>
      <c r="R1196" s="27"/>
      <c r="S1196" s="1" t="s">
        <v>264</v>
      </c>
      <c r="T1196" s="28" t="s">
        <v>1807</v>
      </c>
      <c r="U1196" s="30">
        <v>46193</v>
      </c>
      <c r="V1196" s="27" t="s">
        <v>298</v>
      </c>
      <c r="W1196" s="27"/>
    </row>
    <row r="1197" spans="1:23" ht="24" customHeight="1">
      <c r="A1197" s="27" t="str">
        <f t="shared" ca="1" si="18"/>
        <v>EVT-2026-1195</v>
      </c>
      <c r="B1197" s="27">
        <v>2026</v>
      </c>
      <c r="C1197" s="27" t="s">
        <v>106</v>
      </c>
      <c r="D1197" s="30">
        <v>46238</v>
      </c>
      <c r="E1197" s="27" t="s">
        <v>227</v>
      </c>
      <c r="F1197" s="27" t="s">
        <v>126</v>
      </c>
      <c r="G1197" s="27" t="s">
        <v>1366</v>
      </c>
      <c r="H1197" s="27" t="s">
        <v>1260</v>
      </c>
      <c r="I1197" s="27" t="s">
        <v>1901</v>
      </c>
      <c r="J1197" s="27" t="s">
        <v>127</v>
      </c>
      <c r="K1197" s="10">
        <v>25</v>
      </c>
      <c r="L1197" s="36" t="s">
        <v>263</v>
      </c>
      <c r="M1197" s="37" t="s">
        <v>506</v>
      </c>
      <c r="N1197" s="37" t="s">
        <v>354</v>
      </c>
      <c r="O1197" s="27" t="s">
        <v>369</v>
      </c>
      <c r="P1197" s="27" t="s">
        <v>1902</v>
      </c>
      <c r="Q1197" s="27" t="s">
        <v>1903</v>
      </c>
      <c r="R1197" s="27"/>
      <c r="S1197" s="1" t="s">
        <v>264</v>
      </c>
      <c r="T1197" s="28" t="s">
        <v>1807</v>
      </c>
      <c r="U1197" s="27" t="s">
        <v>1904</v>
      </c>
      <c r="V1197" s="27" t="s">
        <v>298</v>
      </c>
      <c r="W1197" s="27" t="s">
        <v>1497</v>
      </c>
    </row>
    <row r="1198" spans="1:23" ht="24" customHeight="1">
      <c r="A1198" s="27" t="str">
        <f t="shared" ca="1" si="18"/>
        <v>EVT-2026-1196</v>
      </c>
      <c r="B1198" s="27">
        <v>2026</v>
      </c>
      <c r="C1198" s="27" t="s">
        <v>106</v>
      </c>
      <c r="D1198" s="30">
        <v>46238</v>
      </c>
      <c r="E1198" s="27" t="s">
        <v>227</v>
      </c>
      <c r="F1198" s="27" t="s">
        <v>126</v>
      </c>
      <c r="G1198" s="27" t="s">
        <v>1884</v>
      </c>
      <c r="H1198" s="27" t="s">
        <v>202</v>
      </c>
      <c r="I1198" s="27" t="s">
        <v>1885</v>
      </c>
      <c r="J1198" s="27" t="s">
        <v>177</v>
      </c>
      <c r="K1198" s="10">
        <v>2</v>
      </c>
      <c r="L1198" s="36" t="s">
        <v>263</v>
      </c>
      <c r="M1198" s="37" t="s">
        <v>269</v>
      </c>
      <c r="N1198" s="37" t="s">
        <v>270</v>
      </c>
      <c r="O1198" s="27" t="s">
        <v>1394</v>
      </c>
      <c r="P1198" s="27" t="s">
        <v>1886</v>
      </c>
      <c r="Q1198" s="27" t="s">
        <v>1887</v>
      </c>
      <c r="R1198" s="27"/>
      <c r="S1198" s="1" t="s">
        <v>264</v>
      </c>
      <c r="T1198" s="29" t="s">
        <v>265</v>
      </c>
      <c r="U1198" s="30">
        <v>46234</v>
      </c>
      <c r="V1198" s="27" t="s">
        <v>1886</v>
      </c>
      <c r="W1198" s="27" t="s">
        <v>1497</v>
      </c>
    </row>
    <row r="1199" spans="1:23" ht="24" customHeight="1">
      <c r="A1199" s="27" t="str">
        <f t="shared" ca="1" si="18"/>
        <v>EVT-2026-1197</v>
      </c>
      <c r="B1199" s="27">
        <v>2026</v>
      </c>
      <c r="C1199" s="27" t="s">
        <v>106</v>
      </c>
      <c r="D1199" s="30">
        <v>46239</v>
      </c>
      <c r="E1199" s="27" t="s">
        <v>201</v>
      </c>
      <c r="F1199" s="27" t="s">
        <v>126</v>
      </c>
      <c r="G1199" s="27" t="s">
        <v>125</v>
      </c>
      <c r="H1199" s="27" t="s">
        <v>228</v>
      </c>
      <c r="I1199" s="27" t="s">
        <v>1868</v>
      </c>
      <c r="J1199" s="27" t="s">
        <v>139</v>
      </c>
      <c r="K1199" s="10">
        <v>50</v>
      </c>
      <c r="L1199" s="36" t="s">
        <v>263</v>
      </c>
      <c r="M1199" s="37" t="s">
        <v>309</v>
      </c>
      <c r="N1199" s="37" t="s">
        <v>270</v>
      </c>
      <c r="O1199" s="27"/>
      <c r="P1199" s="27"/>
      <c r="Q1199" s="27" t="s">
        <v>370</v>
      </c>
      <c r="R1199" s="27"/>
      <c r="S1199" s="1" t="s">
        <v>264</v>
      </c>
      <c r="T1199" s="29" t="s">
        <v>265</v>
      </c>
      <c r="U1199" s="30">
        <v>46162</v>
      </c>
      <c r="V1199" s="27" t="s">
        <v>298</v>
      </c>
      <c r="W1199" s="27"/>
    </row>
    <row r="1200" spans="1:23" ht="24" customHeight="1">
      <c r="A1200" s="27" t="str">
        <f t="shared" ca="1" si="18"/>
        <v>EVT-2026-1198</v>
      </c>
      <c r="B1200" s="27">
        <v>2026</v>
      </c>
      <c r="C1200" s="27" t="s">
        <v>106</v>
      </c>
      <c r="D1200" s="30">
        <v>46239</v>
      </c>
      <c r="E1200" s="27" t="s">
        <v>201</v>
      </c>
      <c r="F1200" s="27" t="s">
        <v>126</v>
      </c>
      <c r="G1200" s="27" t="s">
        <v>736</v>
      </c>
      <c r="H1200" s="27" t="s">
        <v>202</v>
      </c>
      <c r="I1200" s="27" t="s">
        <v>1899</v>
      </c>
      <c r="J1200" s="27" t="s">
        <v>177</v>
      </c>
      <c r="K1200" s="10">
        <v>24</v>
      </c>
      <c r="L1200" s="36" t="s">
        <v>263</v>
      </c>
      <c r="M1200" s="37" t="s">
        <v>281</v>
      </c>
      <c r="N1200" s="37" t="s">
        <v>270</v>
      </c>
      <c r="O1200" s="27"/>
      <c r="P1200" s="27"/>
      <c r="Q1200" s="27" t="s">
        <v>1900</v>
      </c>
      <c r="R1200" s="27"/>
      <c r="S1200" s="1" t="s">
        <v>264</v>
      </c>
      <c r="T1200" s="28" t="s">
        <v>1807</v>
      </c>
      <c r="U1200" s="30">
        <v>46193</v>
      </c>
      <c r="V1200" s="27" t="s">
        <v>298</v>
      </c>
      <c r="W1200" s="27"/>
    </row>
    <row r="1201" spans="1:23" ht="24" customHeight="1">
      <c r="A1201" s="27" t="str">
        <f t="shared" ca="1" si="18"/>
        <v>EVT-2026-1199</v>
      </c>
      <c r="B1201" s="27">
        <v>2026</v>
      </c>
      <c r="C1201" s="27" t="s">
        <v>106</v>
      </c>
      <c r="D1201" s="30">
        <v>46239</v>
      </c>
      <c r="E1201" s="27" t="s">
        <v>201</v>
      </c>
      <c r="F1201" s="27" t="s">
        <v>126</v>
      </c>
      <c r="G1201" s="27" t="s">
        <v>1366</v>
      </c>
      <c r="H1201" s="27" t="s">
        <v>202</v>
      </c>
      <c r="I1201" s="27" t="s">
        <v>1905</v>
      </c>
      <c r="J1201" s="27" t="s">
        <v>177</v>
      </c>
      <c r="K1201" s="10">
        <v>30</v>
      </c>
      <c r="L1201" s="36" t="s">
        <v>263</v>
      </c>
      <c r="M1201" s="37" t="s">
        <v>338</v>
      </c>
      <c r="N1201" s="37" t="s">
        <v>316</v>
      </c>
      <c r="O1201" s="27" t="s">
        <v>369</v>
      </c>
      <c r="P1201" s="27" t="s">
        <v>1670</v>
      </c>
      <c r="Q1201" s="27" t="s">
        <v>1036</v>
      </c>
      <c r="R1201" s="27"/>
      <c r="S1201" s="3" t="s">
        <v>312</v>
      </c>
      <c r="T1201" s="28" t="s">
        <v>1807</v>
      </c>
      <c r="U1201" s="30">
        <v>46225</v>
      </c>
      <c r="V1201" s="27" t="s">
        <v>1872</v>
      </c>
      <c r="W1201" s="27" t="s">
        <v>1873</v>
      </c>
    </row>
    <row r="1202" spans="1:23" ht="24" customHeight="1">
      <c r="A1202" s="27" t="str">
        <f t="shared" ca="1" si="18"/>
        <v>EVT-2026-1200</v>
      </c>
      <c r="B1202" s="27">
        <v>2026</v>
      </c>
      <c r="C1202" s="27" t="s">
        <v>106</v>
      </c>
      <c r="D1202" s="30">
        <v>46239</v>
      </c>
      <c r="E1202" s="27" t="s">
        <v>201</v>
      </c>
      <c r="F1202" s="27" t="s">
        <v>126</v>
      </c>
      <c r="G1202" s="27" t="s">
        <v>1366</v>
      </c>
      <c r="H1202" s="27" t="s">
        <v>208</v>
      </c>
      <c r="I1202" s="27" t="s">
        <v>217</v>
      </c>
      <c r="J1202" s="27" t="s">
        <v>145</v>
      </c>
      <c r="K1202" s="10">
        <v>50</v>
      </c>
      <c r="L1202" s="36" t="s">
        <v>263</v>
      </c>
      <c r="M1202" s="37" t="s">
        <v>309</v>
      </c>
      <c r="N1202" s="37" t="s">
        <v>296</v>
      </c>
      <c r="O1202" s="27"/>
      <c r="P1202" s="27"/>
      <c r="Q1202" s="27" t="s">
        <v>1510</v>
      </c>
      <c r="R1202" s="27"/>
      <c r="S1202" s="1" t="s">
        <v>264</v>
      </c>
      <c r="T1202" s="29" t="s">
        <v>265</v>
      </c>
      <c r="U1202" s="27"/>
      <c r="V1202" s="27" t="s">
        <v>298</v>
      </c>
      <c r="W1202" s="27"/>
    </row>
    <row r="1203" spans="1:23" ht="24" customHeight="1">
      <c r="A1203" s="27" t="str">
        <f t="shared" ca="1" si="18"/>
        <v>EVT-2026-1201</v>
      </c>
      <c r="B1203" s="27">
        <v>2026</v>
      </c>
      <c r="C1203" s="27" t="s">
        <v>106</v>
      </c>
      <c r="D1203" s="30">
        <v>46239</v>
      </c>
      <c r="E1203" s="27" t="s">
        <v>201</v>
      </c>
      <c r="F1203" s="27" t="s">
        <v>126</v>
      </c>
      <c r="G1203" s="27" t="s">
        <v>1366</v>
      </c>
      <c r="H1203" s="27" t="s">
        <v>1260</v>
      </c>
      <c r="I1203" s="27" t="s">
        <v>1869</v>
      </c>
      <c r="J1203" s="27" t="s">
        <v>134</v>
      </c>
      <c r="K1203" s="10">
        <v>16</v>
      </c>
      <c r="L1203" s="36" t="s">
        <v>263</v>
      </c>
      <c r="M1203" s="37" t="s">
        <v>269</v>
      </c>
      <c r="N1203" s="37" t="s">
        <v>270</v>
      </c>
      <c r="O1203" s="27"/>
      <c r="P1203" s="27"/>
      <c r="Q1203" s="27" t="s">
        <v>1641</v>
      </c>
      <c r="R1203" s="27"/>
      <c r="S1203" s="3" t="s">
        <v>312</v>
      </c>
      <c r="T1203" s="29" t="s">
        <v>265</v>
      </c>
      <c r="U1203" s="27" t="s">
        <v>1906</v>
      </c>
      <c r="V1203" s="27" t="s">
        <v>1870</v>
      </c>
      <c r="W1203" s="27"/>
    </row>
    <row r="1204" spans="1:23" ht="24" customHeight="1">
      <c r="A1204" s="27" t="str">
        <f t="shared" ca="1" si="18"/>
        <v>EVT-2026-1202</v>
      </c>
      <c r="B1204" s="27">
        <v>2026</v>
      </c>
      <c r="C1204" s="27" t="s">
        <v>106</v>
      </c>
      <c r="D1204" s="30">
        <v>46239</v>
      </c>
      <c r="E1204" s="27" t="s">
        <v>201</v>
      </c>
      <c r="F1204" s="27" t="s">
        <v>126</v>
      </c>
      <c r="G1204" s="27" t="s">
        <v>239</v>
      </c>
      <c r="H1204" s="27" t="s">
        <v>202</v>
      </c>
      <c r="I1204" s="27" t="s">
        <v>1907</v>
      </c>
      <c r="J1204" s="27" t="s">
        <v>177</v>
      </c>
      <c r="K1204" s="10">
        <v>150</v>
      </c>
      <c r="L1204" s="38" t="s">
        <v>294</v>
      </c>
      <c r="M1204" s="37" t="s">
        <v>274</v>
      </c>
      <c r="N1204" s="37" t="s">
        <v>553</v>
      </c>
      <c r="O1204" s="27" t="s">
        <v>1445</v>
      </c>
      <c r="P1204" s="27" t="s">
        <v>1670</v>
      </c>
      <c r="Q1204" s="27" t="s">
        <v>916</v>
      </c>
      <c r="R1204" s="27"/>
      <c r="S1204" s="3" t="s">
        <v>312</v>
      </c>
      <c r="T1204" s="28" t="s">
        <v>1807</v>
      </c>
      <c r="U1204" s="30">
        <v>46231</v>
      </c>
      <c r="V1204" s="27" t="s">
        <v>1313</v>
      </c>
      <c r="W1204" s="27" t="s">
        <v>1751</v>
      </c>
    </row>
    <row r="1205" spans="1:23" ht="24" customHeight="1">
      <c r="A1205" s="27" t="str">
        <f t="shared" ca="1" si="18"/>
        <v>EVT-2026-1203</v>
      </c>
      <c r="B1205" s="27">
        <v>2026</v>
      </c>
      <c r="C1205" s="27" t="s">
        <v>106</v>
      </c>
      <c r="D1205" s="30">
        <v>46239</v>
      </c>
      <c r="E1205" s="27" t="s">
        <v>201</v>
      </c>
      <c r="F1205" s="27" t="s">
        <v>126</v>
      </c>
      <c r="G1205" s="27" t="s">
        <v>1908</v>
      </c>
      <c r="H1205" s="27" t="s">
        <v>202</v>
      </c>
      <c r="I1205" s="27" t="s">
        <v>1813</v>
      </c>
      <c r="J1205" s="27" t="s">
        <v>177</v>
      </c>
      <c r="K1205" s="10">
        <v>4</v>
      </c>
      <c r="L1205" s="36" t="s">
        <v>263</v>
      </c>
      <c r="M1205" s="37" t="s">
        <v>506</v>
      </c>
      <c r="N1205" s="37" t="s">
        <v>290</v>
      </c>
      <c r="O1205" s="27" t="s">
        <v>1445</v>
      </c>
      <c r="P1205" s="27" t="s">
        <v>1814</v>
      </c>
      <c r="Q1205" s="27" t="s">
        <v>1815</v>
      </c>
      <c r="R1205" s="27"/>
      <c r="S1205" s="1" t="s">
        <v>264</v>
      </c>
      <c r="T1205" s="28" t="s">
        <v>1807</v>
      </c>
      <c r="U1205" s="30">
        <v>46232</v>
      </c>
      <c r="V1205" s="27" t="s">
        <v>1909</v>
      </c>
      <c r="W1205" s="27" t="s">
        <v>1497</v>
      </c>
    </row>
    <row r="1206" spans="1:23" ht="24" customHeight="1">
      <c r="A1206" s="27" t="str">
        <f t="shared" ca="1" si="18"/>
        <v>EVT-2026-1204</v>
      </c>
      <c r="B1206" s="27">
        <v>2026</v>
      </c>
      <c r="C1206" s="27" t="s">
        <v>106</v>
      </c>
      <c r="D1206" s="30">
        <v>46239</v>
      </c>
      <c r="E1206" s="27" t="s">
        <v>201</v>
      </c>
      <c r="F1206" s="27" t="s">
        <v>126</v>
      </c>
      <c r="G1206" s="27" t="s">
        <v>1884</v>
      </c>
      <c r="H1206" s="27" t="s">
        <v>202</v>
      </c>
      <c r="I1206" s="27" t="s">
        <v>1885</v>
      </c>
      <c r="J1206" s="27" t="s">
        <v>177</v>
      </c>
      <c r="K1206" s="10">
        <v>2</v>
      </c>
      <c r="L1206" s="36" t="s">
        <v>263</v>
      </c>
      <c r="M1206" s="37" t="s">
        <v>269</v>
      </c>
      <c r="N1206" s="37" t="s">
        <v>270</v>
      </c>
      <c r="O1206" s="27" t="s">
        <v>1490</v>
      </c>
      <c r="P1206" s="27" t="s">
        <v>1886</v>
      </c>
      <c r="Q1206" s="27" t="s">
        <v>1887</v>
      </c>
      <c r="R1206" s="27"/>
      <c r="S1206" s="1" t="s">
        <v>264</v>
      </c>
      <c r="T1206" s="29" t="s">
        <v>265</v>
      </c>
      <c r="U1206" s="30">
        <v>46234</v>
      </c>
      <c r="V1206" s="27"/>
      <c r="W1206" s="27"/>
    </row>
    <row r="1207" spans="1:23" ht="24" customHeight="1">
      <c r="A1207" s="27" t="str">
        <f t="shared" ca="1" si="18"/>
        <v>EVT-2026-1205</v>
      </c>
      <c r="B1207" s="27">
        <v>2026</v>
      </c>
      <c r="C1207" s="27" t="s">
        <v>106</v>
      </c>
      <c r="D1207" s="30">
        <v>46239</v>
      </c>
      <c r="E1207" s="27" t="s">
        <v>201</v>
      </c>
      <c r="F1207" s="27" t="s">
        <v>126</v>
      </c>
      <c r="G1207" s="27" t="s">
        <v>1878</v>
      </c>
      <c r="H1207" s="27" t="s">
        <v>1879</v>
      </c>
      <c r="I1207" s="27" t="s">
        <v>1880</v>
      </c>
      <c r="J1207" s="27" t="s">
        <v>152</v>
      </c>
      <c r="K1207" s="10">
        <v>5</v>
      </c>
      <c r="L1207" s="36" t="s">
        <v>263</v>
      </c>
      <c r="M1207" s="37" t="s">
        <v>269</v>
      </c>
      <c r="N1207" s="37" t="s">
        <v>270</v>
      </c>
      <c r="O1207" s="27" t="s">
        <v>1394</v>
      </c>
      <c r="P1207" s="27" t="s">
        <v>1881</v>
      </c>
      <c r="Q1207" s="27" t="s">
        <v>1882</v>
      </c>
      <c r="R1207" s="27"/>
      <c r="S1207" s="1" t="s">
        <v>264</v>
      </c>
      <c r="T1207" s="29" t="s">
        <v>265</v>
      </c>
      <c r="U1207" s="30">
        <v>46235</v>
      </c>
      <c r="V1207" s="27" t="s">
        <v>1883</v>
      </c>
      <c r="W1207" s="27"/>
    </row>
    <row r="1208" spans="1:23" ht="24" customHeight="1">
      <c r="A1208" s="27" t="str">
        <f t="shared" ca="1" si="18"/>
        <v>EVT-2026-1206</v>
      </c>
      <c r="B1208" s="27">
        <v>2026</v>
      </c>
      <c r="C1208" s="27" t="s">
        <v>106</v>
      </c>
      <c r="D1208" s="30">
        <v>46240</v>
      </c>
      <c r="E1208" s="27" t="s">
        <v>216</v>
      </c>
      <c r="F1208" s="27" t="s">
        <v>126</v>
      </c>
      <c r="G1208" s="27" t="s">
        <v>239</v>
      </c>
      <c r="H1208" s="27" t="s">
        <v>202</v>
      </c>
      <c r="I1208" s="27" t="s">
        <v>1910</v>
      </c>
      <c r="J1208" s="27" t="s">
        <v>127</v>
      </c>
      <c r="K1208" s="10">
        <v>150</v>
      </c>
      <c r="L1208" s="38" t="s">
        <v>294</v>
      </c>
      <c r="M1208" s="37" t="s">
        <v>274</v>
      </c>
      <c r="N1208" s="37" t="s">
        <v>553</v>
      </c>
      <c r="O1208" s="27" t="s">
        <v>1445</v>
      </c>
      <c r="P1208" s="27" t="s">
        <v>1670</v>
      </c>
      <c r="Q1208" s="27" t="s">
        <v>916</v>
      </c>
      <c r="R1208" s="27"/>
      <c r="S1208" s="1" t="s">
        <v>264</v>
      </c>
      <c r="T1208" s="28" t="s">
        <v>1807</v>
      </c>
      <c r="U1208" s="27"/>
      <c r="V1208" s="27" t="s">
        <v>1911</v>
      </c>
      <c r="W1208" s="27" t="s">
        <v>1497</v>
      </c>
    </row>
    <row r="1209" spans="1:23" ht="24" customHeight="1">
      <c r="A1209" s="27" t="str">
        <f t="shared" ca="1" si="18"/>
        <v>EVT-2026-1207</v>
      </c>
      <c r="B1209" s="27">
        <v>2026</v>
      </c>
      <c r="C1209" s="27" t="s">
        <v>106</v>
      </c>
      <c r="D1209" s="30">
        <v>46240</v>
      </c>
      <c r="E1209" s="27" t="s">
        <v>216</v>
      </c>
      <c r="F1209" s="27" t="s">
        <v>126</v>
      </c>
      <c r="G1209" s="27" t="s">
        <v>1366</v>
      </c>
      <c r="H1209" s="27" t="s">
        <v>208</v>
      </c>
      <c r="I1209" s="27" t="s">
        <v>1912</v>
      </c>
      <c r="J1209" s="27" t="s">
        <v>158</v>
      </c>
      <c r="K1209" s="10">
        <v>35</v>
      </c>
      <c r="L1209" s="36" t="s">
        <v>263</v>
      </c>
      <c r="M1209" s="37" t="s">
        <v>354</v>
      </c>
      <c r="N1209" s="37" t="s">
        <v>350</v>
      </c>
      <c r="O1209" s="27" t="s">
        <v>1913</v>
      </c>
      <c r="P1209" s="27" t="s">
        <v>1914</v>
      </c>
      <c r="Q1209" s="27" t="s">
        <v>1915</v>
      </c>
      <c r="R1209" s="27"/>
      <c r="S1209" s="1" t="s">
        <v>264</v>
      </c>
      <c r="T1209" s="28" t="s">
        <v>1807</v>
      </c>
      <c r="U1209" s="27"/>
      <c r="V1209" s="27" t="s">
        <v>1916</v>
      </c>
      <c r="W1209" s="27" t="s">
        <v>1497</v>
      </c>
    </row>
    <row r="1210" spans="1:23" ht="24" customHeight="1">
      <c r="A1210" s="27" t="str">
        <f t="shared" ca="1" si="18"/>
        <v>EVT-2026-1208</v>
      </c>
      <c r="B1210" s="27">
        <v>2026</v>
      </c>
      <c r="C1210" s="27" t="s">
        <v>106</v>
      </c>
      <c r="D1210" s="30">
        <v>46240</v>
      </c>
      <c r="E1210" s="27" t="s">
        <v>216</v>
      </c>
      <c r="F1210" s="27" t="s">
        <v>126</v>
      </c>
      <c r="G1210" s="27" t="s">
        <v>1917</v>
      </c>
      <c r="H1210" s="27" t="s">
        <v>960</v>
      </c>
      <c r="I1210" s="27" t="s">
        <v>1452</v>
      </c>
      <c r="J1210" s="27" t="s">
        <v>177</v>
      </c>
      <c r="K1210" s="10">
        <v>25</v>
      </c>
      <c r="L1210" s="36" t="s">
        <v>263</v>
      </c>
      <c r="M1210" s="37" t="s">
        <v>289</v>
      </c>
      <c r="N1210" s="37" t="s">
        <v>359</v>
      </c>
      <c r="O1210" s="27" t="s">
        <v>369</v>
      </c>
      <c r="P1210" s="27" t="s">
        <v>1918</v>
      </c>
      <c r="Q1210" s="27" t="s">
        <v>1919</v>
      </c>
      <c r="R1210" s="27"/>
      <c r="S1210" s="1" t="s">
        <v>264</v>
      </c>
      <c r="T1210" s="28" t="s">
        <v>1807</v>
      </c>
      <c r="U1210" s="27"/>
      <c r="V1210" s="27" t="s">
        <v>1920</v>
      </c>
      <c r="W1210" s="27" t="s">
        <v>1846</v>
      </c>
    </row>
    <row r="1211" spans="1:23" ht="24" customHeight="1">
      <c r="A1211" s="27" t="str">
        <f t="shared" ca="1" si="18"/>
        <v>EVT-2026-1209</v>
      </c>
      <c r="B1211" s="27">
        <v>2026</v>
      </c>
      <c r="C1211" s="27" t="s">
        <v>106</v>
      </c>
      <c r="D1211" s="30">
        <v>46240</v>
      </c>
      <c r="E1211" s="27" t="s">
        <v>216</v>
      </c>
      <c r="F1211" s="27" t="s">
        <v>126</v>
      </c>
      <c r="G1211" s="27" t="s">
        <v>736</v>
      </c>
      <c r="H1211" s="27" t="s">
        <v>202</v>
      </c>
      <c r="I1211" s="27" t="s">
        <v>1452</v>
      </c>
      <c r="J1211" s="27" t="s">
        <v>177</v>
      </c>
      <c r="K1211" s="10">
        <v>25</v>
      </c>
      <c r="L1211" s="36" t="s">
        <v>263</v>
      </c>
      <c r="M1211" s="37" t="s">
        <v>309</v>
      </c>
      <c r="N1211" s="37" t="s">
        <v>359</v>
      </c>
      <c r="O1211" s="27" t="s">
        <v>369</v>
      </c>
      <c r="P1211" s="27" t="s">
        <v>369</v>
      </c>
      <c r="Q1211" s="27" t="s">
        <v>379</v>
      </c>
      <c r="R1211" s="27"/>
      <c r="S1211" s="1" t="s">
        <v>264</v>
      </c>
      <c r="T1211" s="28" t="s">
        <v>1807</v>
      </c>
      <c r="U1211" s="27"/>
      <c r="V1211" s="27" t="s">
        <v>1921</v>
      </c>
      <c r="W1211" s="27" t="s">
        <v>1497</v>
      </c>
    </row>
    <row r="1212" spans="1:23" ht="24" customHeight="1">
      <c r="A1212" s="27" t="str">
        <f t="shared" ca="1" si="18"/>
        <v>EVT-2026-1210</v>
      </c>
      <c r="B1212" s="27">
        <v>2026</v>
      </c>
      <c r="C1212" s="27" t="s">
        <v>106</v>
      </c>
      <c r="D1212" s="30">
        <v>46240</v>
      </c>
      <c r="E1212" s="27" t="s">
        <v>216</v>
      </c>
      <c r="F1212" s="27" t="s">
        <v>126</v>
      </c>
      <c r="G1212" s="27" t="s">
        <v>125</v>
      </c>
      <c r="H1212" s="27" t="s">
        <v>228</v>
      </c>
      <c r="I1212" s="27" t="s">
        <v>1868</v>
      </c>
      <c r="J1212" s="27" t="s">
        <v>139</v>
      </c>
      <c r="K1212" s="10">
        <v>50</v>
      </c>
      <c r="L1212" s="36" t="s">
        <v>263</v>
      </c>
      <c r="M1212" s="37" t="s">
        <v>309</v>
      </c>
      <c r="N1212" s="37" t="s">
        <v>270</v>
      </c>
      <c r="O1212" s="27"/>
      <c r="P1212" s="27"/>
      <c r="Q1212" s="27" t="s">
        <v>370</v>
      </c>
      <c r="R1212" s="27"/>
      <c r="S1212" s="3" t="s">
        <v>312</v>
      </c>
      <c r="T1212" s="29" t="s">
        <v>265</v>
      </c>
      <c r="U1212" s="30">
        <v>46162</v>
      </c>
      <c r="V1212" s="27" t="s">
        <v>298</v>
      </c>
      <c r="W1212" s="27"/>
    </row>
    <row r="1213" spans="1:23" ht="24" customHeight="1">
      <c r="A1213" s="27" t="str">
        <f t="shared" ca="1" si="18"/>
        <v>EVT-2026-1211</v>
      </c>
      <c r="B1213" s="27">
        <v>2026</v>
      </c>
      <c r="C1213" s="27" t="s">
        <v>106</v>
      </c>
      <c r="D1213" s="30">
        <v>46240</v>
      </c>
      <c r="E1213" s="27" t="s">
        <v>216</v>
      </c>
      <c r="F1213" s="27" t="s">
        <v>126</v>
      </c>
      <c r="G1213" s="27" t="s">
        <v>1366</v>
      </c>
      <c r="H1213" s="27" t="s">
        <v>208</v>
      </c>
      <c r="I1213" s="27" t="s">
        <v>217</v>
      </c>
      <c r="J1213" s="27" t="s">
        <v>145</v>
      </c>
      <c r="K1213" s="10">
        <v>50</v>
      </c>
      <c r="L1213" s="36" t="s">
        <v>263</v>
      </c>
      <c r="M1213" s="37" t="s">
        <v>309</v>
      </c>
      <c r="N1213" s="37" t="s">
        <v>296</v>
      </c>
      <c r="O1213" s="27"/>
      <c r="P1213" s="27"/>
      <c r="Q1213" s="27" t="s">
        <v>370</v>
      </c>
      <c r="R1213" s="27"/>
      <c r="S1213" s="3" t="s">
        <v>312</v>
      </c>
      <c r="T1213" s="29" t="s">
        <v>265</v>
      </c>
      <c r="U1213" s="27"/>
      <c r="V1213" s="27" t="s">
        <v>298</v>
      </c>
      <c r="W1213" s="27"/>
    </row>
    <row r="1214" spans="1:23" ht="24" customHeight="1">
      <c r="A1214" s="27" t="str">
        <f t="shared" ca="1" si="18"/>
        <v>EVT-2026-1212</v>
      </c>
      <c r="B1214" s="27">
        <v>2026</v>
      </c>
      <c r="C1214" s="27" t="s">
        <v>106</v>
      </c>
      <c r="D1214" s="30">
        <v>46240</v>
      </c>
      <c r="E1214" s="27" t="s">
        <v>216</v>
      </c>
      <c r="F1214" s="27" t="s">
        <v>126</v>
      </c>
      <c r="G1214" s="27" t="s">
        <v>1884</v>
      </c>
      <c r="H1214" s="27"/>
      <c r="I1214" s="27" t="s">
        <v>1885</v>
      </c>
      <c r="J1214" s="27" t="s">
        <v>177</v>
      </c>
      <c r="K1214" s="10">
        <v>2</v>
      </c>
      <c r="L1214" s="36" t="s">
        <v>263</v>
      </c>
      <c r="M1214" s="37" t="s">
        <v>269</v>
      </c>
      <c r="N1214" s="37" t="s">
        <v>270</v>
      </c>
      <c r="O1214" s="27" t="s">
        <v>1394</v>
      </c>
      <c r="P1214" s="27"/>
      <c r="Q1214" s="27"/>
      <c r="R1214" s="27"/>
      <c r="S1214" s="1" t="s">
        <v>264</v>
      </c>
      <c r="T1214" s="29" t="s">
        <v>265</v>
      </c>
      <c r="U1214" s="27"/>
      <c r="V1214" s="27"/>
      <c r="W1214" s="27"/>
    </row>
    <row r="1215" spans="1:23" ht="24" customHeight="1">
      <c r="A1215" s="27" t="str">
        <f t="shared" ca="1" si="18"/>
        <v>EVT-2026-1213</v>
      </c>
      <c r="B1215" s="27">
        <v>2026</v>
      </c>
      <c r="C1215" s="27" t="s">
        <v>106</v>
      </c>
      <c r="D1215" s="30">
        <v>46240</v>
      </c>
      <c r="E1215" s="27" t="s">
        <v>216</v>
      </c>
      <c r="F1215" s="27" t="s">
        <v>126</v>
      </c>
      <c r="G1215" s="27" t="s">
        <v>1366</v>
      </c>
      <c r="H1215" s="27" t="s">
        <v>202</v>
      </c>
      <c r="I1215" s="27" t="s">
        <v>1922</v>
      </c>
      <c r="J1215" s="27" t="s">
        <v>177</v>
      </c>
      <c r="K1215" s="10">
        <v>70</v>
      </c>
      <c r="L1215" s="36" t="s">
        <v>263</v>
      </c>
      <c r="M1215" s="37" t="s">
        <v>309</v>
      </c>
      <c r="N1215" s="37" t="s">
        <v>1923</v>
      </c>
      <c r="O1215" s="27" t="s">
        <v>1445</v>
      </c>
      <c r="P1215" s="27"/>
      <c r="Q1215" s="27" t="s">
        <v>1897</v>
      </c>
      <c r="R1215" s="27"/>
      <c r="S1215" s="1" t="s">
        <v>264</v>
      </c>
      <c r="T1215" s="28" t="s">
        <v>1807</v>
      </c>
      <c r="U1215" s="27"/>
      <c r="V1215" s="27" t="s">
        <v>298</v>
      </c>
      <c r="W1215" s="27" t="s">
        <v>1751</v>
      </c>
    </row>
    <row r="1216" spans="1:23" ht="24" customHeight="1">
      <c r="A1216" s="27" t="str">
        <f t="shared" ca="1" si="18"/>
        <v>EVT-2026-1214</v>
      </c>
      <c r="B1216" s="27">
        <v>2026</v>
      </c>
      <c r="C1216" s="27" t="s">
        <v>106</v>
      </c>
      <c r="D1216" s="30">
        <v>46240</v>
      </c>
      <c r="E1216" s="27" t="s">
        <v>216</v>
      </c>
      <c r="F1216" s="27" t="s">
        <v>126</v>
      </c>
      <c r="G1216" s="27" t="s">
        <v>1878</v>
      </c>
      <c r="H1216" s="27" t="s">
        <v>1879</v>
      </c>
      <c r="I1216" s="27" t="s">
        <v>1880</v>
      </c>
      <c r="J1216" s="27" t="s">
        <v>152</v>
      </c>
      <c r="K1216" s="10">
        <v>5</v>
      </c>
      <c r="L1216" s="36" t="s">
        <v>263</v>
      </c>
      <c r="M1216" s="37" t="s">
        <v>269</v>
      </c>
      <c r="N1216" s="37" t="s">
        <v>270</v>
      </c>
      <c r="O1216" s="27" t="s">
        <v>382</v>
      </c>
      <c r="P1216" s="27" t="s">
        <v>1881</v>
      </c>
      <c r="Q1216" s="27" t="s">
        <v>1881</v>
      </c>
      <c r="R1216" s="27"/>
      <c r="S1216" s="1" t="s">
        <v>264</v>
      </c>
      <c r="T1216" s="29" t="s">
        <v>265</v>
      </c>
      <c r="U1216" s="30">
        <v>46235</v>
      </c>
      <c r="V1216" s="27" t="s">
        <v>1883</v>
      </c>
      <c r="W1216" s="27" t="s">
        <v>1497</v>
      </c>
    </row>
    <row r="1217" spans="1:23" ht="24" customHeight="1">
      <c r="A1217" s="27" t="str">
        <f t="shared" ca="1" si="18"/>
        <v>EVT-2026-1215</v>
      </c>
      <c r="B1217" s="27">
        <v>2026</v>
      </c>
      <c r="C1217" s="27" t="s">
        <v>106</v>
      </c>
      <c r="D1217" s="30">
        <v>46240</v>
      </c>
      <c r="E1217" s="27" t="s">
        <v>216</v>
      </c>
      <c r="F1217" s="27" t="s">
        <v>126</v>
      </c>
      <c r="G1217" s="27" t="s">
        <v>1924</v>
      </c>
      <c r="H1217" s="27" t="s">
        <v>420</v>
      </c>
      <c r="I1217" s="27" t="s">
        <v>1452</v>
      </c>
      <c r="J1217" s="27" t="s">
        <v>177</v>
      </c>
      <c r="K1217" s="10">
        <v>10</v>
      </c>
      <c r="L1217" s="36" t="s">
        <v>263</v>
      </c>
      <c r="M1217" s="37" t="s">
        <v>269</v>
      </c>
      <c r="N1217" s="37" t="s">
        <v>270</v>
      </c>
      <c r="O1217" s="27" t="s">
        <v>369</v>
      </c>
      <c r="P1217" s="27" t="s">
        <v>1918</v>
      </c>
      <c r="Q1217" s="27" t="s">
        <v>1925</v>
      </c>
      <c r="R1217" s="27"/>
      <c r="S1217" s="1" t="s">
        <v>264</v>
      </c>
      <c r="T1217" s="29" t="s">
        <v>265</v>
      </c>
      <c r="U1217" s="27"/>
      <c r="V1217" s="27" t="s">
        <v>1527</v>
      </c>
      <c r="W1217" s="27" t="s">
        <v>1846</v>
      </c>
    </row>
    <row r="1218" spans="1:23" ht="24" customHeight="1">
      <c r="A1218" s="27" t="str">
        <f t="shared" ca="1" si="18"/>
        <v>EVT-2026-1216</v>
      </c>
      <c r="B1218" s="27">
        <v>2026</v>
      </c>
      <c r="C1218" s="27" t="s">
        <v>106</v>
      </c>
      <c r="D1218" s="30">
        <v>46240</v>
      </c>
      <c r="E1218" s="27" t="s">
        <v>216</v>
      </c>
      <c r="F1218" s="27" t="s">
        <v>126</v>
      </c>
      <c r="G1218" s="27" t="s">
        <v>1777</v>
      </c>
      <c r="H1218" s="27" t="s">
        <v>960</v>
      </c>
      <c r="I1218" s="27" t="s">
        <v>1452</v>
      </c>
      <c r="J1218" s="27" t="s">
        <v>177</v>
      </c>
      <c r="K1218" s="10">
        <v>10</v>
      </c>
      <c r="L1218" s="36" t="s">
        <v>263</v>
      </c>
      <c r="M1218" s="37" t="s">
        <v>429</v>
      </c>
      <c r="N1218" s="37" t="s">
        <v>275</v>
      </c>
      <c r="O1218" s="27" t="s">
        <v>1926</v>
      </c>
      <c r="P1218" s="27" t="s">
        <v>1927</v>
      </c>
      <c r="Q1218" s="27" t="s">
        <v>367</v>
      </c>
      <c r="R1218" s="27"/>
      <c r="S1218" s="1" t="s">
        <v>264</v>
      </c>
      <c r="T1218" s="28" t="s">
        <v>1807</v>
      </c>
      <c r="U1218" s="27"/>
      <c r="V1218" s="27" t="s">
        <v>1527</v>
      </c>
      <c r="W1218" s="27"/>
    </row>
    <row r="1219" spans="1:23" ht="24" customHeight="1">
      <c r="A1219" s="27" t="str">
        <f t="shared" ref="A1219:A1282" ca="1" si="19">IF(OR(D1219&lt;&gt;"",H1219&lt;&gt;"",I1219&lt;&gt;"",Q1219&lt;&gt;"",S1219&lt;&gt;""), "EVT-" &amp; TEXT(B1219, "0000") &amp; "-" &amp; TEXT(COUNTIF(OFFSET($A$1, 1, 0, ROW()-2, 1), "EVT*") + 1, "0000"), "")</f>
        <v>EVT-2026-1217</v>
      </c>
      <c r="B1219" s="27">
        <v>2026</v>
      </c>
      <c r="C1219" s="27" t="s">
        <v>106</v>
      </c>
      <c r="D1219" s="27"/>
      <c r="E1219" s="27"/>
      <c r="F1219" s="27" t="s">
        <v>126</v>
      </c>
      <c r="G1219" s="27"/>
      <c r="H1219" s="27"/>
      <c r="I1219" s="27"/>
      <c r="J1219" s="27" t="s">
        <v>177</v>
      </c>
      <c r="K1219" s="10">
        <v>0</v>
      </c>
      <c r="L1219" s="36" t="s">
        <v>263</v>
      </c>
      <c r="M1219" s="37"/>
      <c r="N1219" s="37"/>
      <c r="O1219" s="27"/>
      <c r="P1219" s="27"/>
      <c r="Q1219" s="27"/>
      <c r="R1219" s="27"/>
      <c r="S1219" s="2" t="s">
        <v>1859</v>
      </c>
      <c r="T1219" s="29" t="s">
        <v>265</v>
      </c>
      <c r="U1219" s="27"/>
      <c r="V1219" s="27"/>
      <c r="W1219" s="27"/>
    </row>
    <row r="1220" spans="1:23" ht="24" customHeight="1">
      <c r="A1220" s="27" t="str">
        <f t="shared" ca="1" si="19"/>
        <v>EVT-2026-1218</v>
      </c>
      <c r="B1220" s="27">
        <v>2026</v>
      </c>
      <c r="C1220" s="27" t="s">
        <v>106</v>
      </c>
      <c r="D1220" s="30">
        <v>46241</v>
      </c>
      <c r="E1220" s="27" t="s">
        <v>220</v>
      </c>
      <c r="F1220" s="27" t="s">
        <v>126</v>
      </c>
      <c r="G1220" s="27" t="s">
        <v>1366</v>
      </c>
      <c r="H1220" s="27" t="s">
        <v>1260</v>
      </c>
      <c r="I1220" s="27" t="s">
        <v>1869</v>
      </c>
      <c r="J1220" s="27" t="s">
        <v>134</v>
      </c>
      <c r="K1220" s="10">
        <v>16</v>
      </c>
      <c r="L1220" s="36" t="s">
        <v>263</v>
      </c>
      <c r="M1220" s="37" t="s">
        <v>269</v>
      </c>
      <c r="N1220" s="37" t="s">
        <v>270</v>
      </c>
      <c r="O1220" s="27"/>
      <c r="P1220" s="27"/>
      <c r="Q1220" s="27" t="s">
        <v>1641</v>
      </c>
      <c r="R1220" s="27"/>
      <c r="S1220" s="3" t="s">
        <v>312</v>
      </c>
      <c r="T1220" s="28" t="s">
        <v>1807</v>
      </c>
      <c r="U1220" s="27" t="s">
        <v>1906</v>
      </c>
      <c r="V1220" s="27" t="s">
        <v>1870</v>
      </c>
      <c r="W1220" s="27"/>
    </row>
    <row r="1221" spans="1:23" ht="24" customHeight="1">
      <c r="A1221" s="27" t="str">
        <f t="shared" ca="1" si="19"/>
        <v>EVT-2026-1219</v>
      </c>
      <c r="B1221" s="27">
        <v>2026</v>
      </c>
      <c r="C1221" s="27" t="s">
        <v>106</v>
      </c>
      <c r="D1221" s="30">
        <v>46241</v>
      </c>
      <c r="E1221" s="27" t="s">
        <v>220</v>
      </c>
      <c r="F1221" s="27" t="s">
        <v>126</v>
      </c>
      <c r="G1221" s="27" t="s">
        <v>389</v>
      </c>
      <c r="H1221" s="27" t="s">
        <v>202</v>
      </c>
      <c r="I1221" s="27" t="s">
        <v>1928</v>
      </c>
      <c r="J1221" s="27" t="s">
        <v>177</v>
      </c>
      <c r="K1221" s="10">
        <v>20</v>
      </c>
      <c r="L1221" s="36" t="s">
        <v>263</v>
      </c>
      <c r="M1221" s="37" t="s">
        <v>269</v>
      </c>
      <c r="N1221" s="37" t="s">
        <v>338</v>
      </c>
      <c r="O1221" s="27" t="s">
        <v>1445</v>
      </c>
      <c r="P1221" s="27" t="s">
        <v>1670</v>
      </c>
      <c r="Q1221" s="27" t="s">
        <v>1929</v>
      </c>
      <c r="R1221" s="27"/>
      <c r="S1221" s="1" t="s">
        <v>264</v>
      </c>
      <c r="T1221" s="29" t="s">
        <v>265</v>
      </c>
      <c r="U1221" s="27"/>
      <c r="V1221" s="27" t="s">
        <v>1313</v>
      </c>
      <c r="W1221" s="27" t="s">
        <v>1751</v>
      </c>
    </row>
    <row r="1222" spans="1:23" ht="24" customHeight="1">
      <c r="A1222" s="27" t="str">
        <f t="shared" ca="1" si="19"/>
        <v>EVT-2026-1220</v>
      </c>
      <c r="B1222" s="27">
        <v>2026</v>
      </c>
      <c r="C1222" s="27" t="s">
        <v>106</v>
      </c>
      <c r="D1222" s="30">
        <v>46241</v>
      </c>
      <c r="E1222" s="27" t="s">
        <v>220</v>
      </c>
      <c r="F1222" s="27" t="s">
        <v>126</v>
      </c>
      <c r="G1222" s="27" t="s">
        <v>1366</v>
      </c>
      <c r="H1222" s="27" t="s">
        <v>202</v>
      </c>
      <c r="I1222" s="27" t="s">
        <v>1930</v>
      </c>
      <c r="J1222" s="27" t="s">
        <v>127</v>
      </c>
      <c r="K1222" s="10">
        <v>80</v>
      </c>
      <c r="L1222" s="36" t="s">
        <v>263</v>
      </c>
      <c r="M1222" s="37" t="s">
        <v>275</v>
      </c>
      <c r="N1222" s="37" t="s">
        <v>309</v>
      </c>
      <c r="O1222" s="27" t="s">
        <v>1445</v>
      </c>
      <c r="P1222" s="27"/>
      <c r="Q1222" s="27" t="s">
        <v>615</v>
      </c>
      <c r="R1222" s="27"/>
      <c r="S1222" s="3" t="s">
        <v>312</v>
      </c>
      <c r="T1222" s="29" t="s">
        <v>265</v>
      </c>
      <c r="U1222" s="30">
        <v>46233</v>
      </c>
      <c r="V1222" s="27" t="s">
        <v>1313</v>
      </c>
      <c r="W1222" s="27" t="s">
        <v>1751</v>
      </c>
    </row>
    <row r="1223" spans="1:23" ht="24" customHeight="1">
      <c r="A1223" s="27" t="str">
        <f t="shared" ca="1" si="19"/>
        <v>EVT-2026-1221</v>
      </c>
      <c r="B1223" s="27">
        <v>2026</v>
      </c>
      <c r="C1223" s="27" t="s">
        <v>106</v>
      </c>
      <c r="D1223" s="30">
        <v>46241</v>
      </c>
      <c r="E1223" s="27" t="s">
        <v>220</v>
      </c>
      <c r="F1223" s="27" t="s">
        <v>126</v>
      </c>
      <c r="G1223" s="27" t="s">
        <v>1884</v>
      </c>
      <c r="H1223" s="27" t="s">
        <v>202</v>
      </c>
      <c r="I1223" s="27" t="s">
        <v>1885</v>
      </c>
      <c r="J1223" s="27" t="s">
        <v>177</v>
      </c>
      <c r="K1223" s="10">
        <v>3</v>
      </c>
      <c r="L1223" s="36" t="s">
        <v>263</v>
      </c>
      <c r="M1223" s="37" t="s">
        <v>269</v>
      </c>
      <c r="N1223" s="37" t="s">
        <v>270</v>
      </c>
      <c r="O1223" s="27" t="s">
        <v>1394</v>
      </c>
      <c r="P1223" s="27" t="s">
        <v>1886</v>
      </c>
      <c r="Q1223" s="27" t="s">
        <v>1887</v>
      </c>
      <c r="R1223" s="27"/>
      <c r="S1223" s="1" t="s">
        <v>264</v>
      </c>
      <c r="T1223" s="28" t="s">
        <v>1807</v>
      </c>
      <c r="U1223" s="30">
        <v>46234</v>
      </c>
      <c r="V1223" s="27" t="s">
        <v>1883</v>
      </c>
      <c r="W1223" s="27" t="s">
        <v>1497</v>
      </c>
    </row>
    <row r="1224" spans="1:23" ht="24" customHeight="1">
      <c r="A1224" s="27" t="str">
        <f t="shared" ca="1" si="19"/>
        <v>EVT-2026-1222</v>
      </c>
      <c r="B1224" s="27">
        <v>2026</v>
      </c>
      <c r="C1224" s="27" t="s">
        <v>106</v>
      </c>
      <c r="D1224" s="30">
        <v>46244</v>
      </c>
      <c r="E1224" s="27" t="s">
        <v>224</v>
      </c>
      <c r="F1224" s="27" t="s">
        <v>126</v>
      </c>
      <c r="G1224" s="27" t="s">
        <v>389</v>
      </c>
      <c r="H1224" s="27" t="s">
        <v>202</v>
      </c>
      <c r="I1224" s="27" t="s">
        <v>1931</v>
      </c>
      <c r="J1224" s="27" t="s">
        <v>177</v>
      </c>
      <c r="K1224" s="10">
        <v>30</v>
      </c>
      <c r="L1224" s="36" t="s">
        <v>263</v>
      </c>
      <c r="M1224" s="37" t="s">
        <v>289</v>
      </c>
      <c r="N1224" s="37" t="s">
        <v>359</v>
      </c>
      <c r="O1224" s="27" t="s">
        <v>1445</v>
      </c>
      <c r="P1224" s="27" t="s">
        <v>1932</v>
      </c>
      <c r="Q1224" s="27" t="s">
        <v>1933</v>
      </c>
      <c r="R1224" s="27"/>
      <c r="S1224" s="1" t="s">
        <v>264</v>
      </c>
      <c r="T1224" s="29" t="s">
        <v>265</v>
      </c>
      <c r="U1224" s="30">
        <v>46241</v>
      </c>
      <c r="V1224" s="27" t="s">
        <v>1883</v>
      </c>
      <c r="W1224" s="27" t="s">
        <v>1497</v>
      </c>
    </row>
    <row r="1225" spans="1:23" ht="24" customHeight="1">
      <c r="A1225" s="27" t="str">
        <f t="shared" ca="1" si="19"/>
        <v>EVT-2026-1223</v>
      </c>
      <c r="B1225" s="27">
        <v>2026</v>
      </c>
      <c r="C1225" s="27" t="s">
        <v>106</v>
      </c>
      <c r="D1225" s="30">
        <v>46244</v>
      </c>
      <c r="E1225" s="27" t="s">
        <v>224</v>
      </c>
      <c r="F1225" s="27" t="s">
        <v>126</v>
      </c>
      <c r="G1225" s="27" t="s">
        <v>125</v>
      </c>
      <c r="H1225" s="27" t="s">
        <v>228</v>
      </c>
      <c r="I1225" s="27" t="s">
        <v>1827</v>
      </c>
      <c r="J1225" s="27" t="s">
        <v>177</v>
      </c>
      <c r="K1225" s="10">
        <v>100</v>
      </c>
      <c r="L1225" s="38" t="s">
        <v>294</v>
      </c>
      <c r="M1225" s="37" t="s">
        <v>506</v>
      </c>
      <c r="N1225" s="37" t="s">
        <v>331</v>
      </c>
      <c r="O1225" s="27" t="s">
        <v>1445</v>
      </c>
      <c r="P1225" s="27" t="s">
        <v>1445</v>
      </c>
      <c r="Q1225" s="27" t="s">
        <v>1934</v>
      </c>
      <c r="R1225" s="27"/>
      <c r="S1225" s="3" t="s">
        <v>312</v>
      </c>
      <c r="T1225" s="29" t="s">
        <v>265</v>
      </c>
      <c r="U1225" s="30">
        <v>46207</v>
      </c>
      <c r="V1225" s="27" t="s">
        <v>1313</v>
      </c>
      <c r="W1225" s="27" t="s">
        <v>1497</v>
      </c>
    </row>
    <row r="1226" spans="1:23" ht="24" customHeight="1">
      <c r="A1226" s="27" t="str">
        <f t="shared" ca="1" si="19"/>
        <v>EVT-2026-1224</v>
      </c>
      <c r="B1226" s="27">
        <v>2026</v>
      </c>
      <c r="C1226" s="27" t="s">
        <v>106</v>
      </c>
      <c r="D1226" s="30">
        <v>46245</v>
      </c>
      <c r="E1226" s="27" t="s">
        <v>227</v>
      </c>
      <c r="F1226" s="27" t="s">
        <v>126</v>
      </c>
      <c r="G1226" s="27" t="s">
        <v>1366</v>
      </c>
      <c r="H1226" s="27" t="s">
        <v>208</v>
      </c>
      <c r="I1226" s="27" t="s">
        <v>217</v>
      </c>
      <c r="J1226" s="27" t="s">
        <v>145</v>
      </c>
      <c r="K1226" s="10">
        <v>50</v>
      </c>
      <c r="L1226" s="36" t="s">
        <v>263</v>
      </c>
      <c r="M1226" s="37" t="s">
        <v>309</v>
      </c>
      <c r="N1226" s="37" t="s">
        <v>296</v>
      </c>
      <c r="O1226" s="27"/>
      <c r="P1226" s="27"/>
      <c r="Q1226" s="27" t="s">
        <v>1510</v>
      </c>
      <c r="R1226" s="27"/>
      <c r="S1226" s="1" t="s">
        <v>264</v>
      </c>
      <c r="T1226" s="29" t="s">
        <v>265</v>
      </c>
      <c r="U1226" s="27"/>
      <c r="V1226" s="27" t="s">
        <v>298</v>
      </c>
      <c r="W1226" s="27"/>
    </row>
    <row r="1227" spans="1:23" ht="24" customHeight="1">
      <c r="A1227" s="27" t="str">
        <f t="shared" ca="1" si="19"/>
        <v>EVT-2026-1225</v>
      </c>
      <c r="B1227" s="27">
        <v>2026</v>
      </c>
      <c r="C1227" s="27" t="s">
        <v>106</v>
      </c>
      <c r="D1227" s="30">
        <v>46245</v>
      </c>
      <c r="E1227" s="27" t="s">
        <v>227</v>
      </c>
      <c r="F1227" s="27" t="s">
        <v>126</v>
      </c>
      <c r="G1227" s="27" t="s">
        <v>125</v>
      </c>
      <c r="H1227" s="27" t="s">
        <v>228</v>
      </c>
      <c r="I1227" s="27" t="s">
        <v>1935</v>
      </c>
      <c r="J1227" s="27" t="s">
        <v>127</v>
      </c>
      <c r="K1227" s="10">
        <v>100</v>
      </c>
      <c r="L1227" s="38" t="s">
        <v>294</v>
      </c>
      <c r="M1227" s="37" t="s">
        <v>274</v>
      </c>
      <c r="N1227" s="37" t="s">
        <v>354</v>
      </c>
      <c r="O1227" s="27" t="s">
        <v>1936</v>
      </c>
      <c r="P1227" s="27" t="s">
        <v>1937</v>
      </c>
      <c r="Q1227" s="27" t="s">
        <v>355</v>
      </c>
      <c r="R1227" s="27"/>
      <c r="S1227" s="3" t="s">
        <v>312</v>
      </c>
      <c r="T1227" s="29" t="s">
        <v>265</v>
      </c>
      <c r="U1227" s="30">
        <v>46234</v>
      </c>
      <c r="V1227" s="27" t="s">
        <v>1938</v>
      </c>
      <c r="W1227" s="27" t="s">
        <v>1497</v>
      </c>
    </row>
    <row r="1228" spans="1:23" ht="24" customHeight="1">
      <c r="A1228" s="27" t="str">
        <f t="shared" ca="1" si="19"/>
        <v>EVT-2026-1226</v>
      </c>
      <c r="B1228" s="27">
        <v>2026</v>
      </c>
      <c r="C1228" s="27" t="s">
        <v>106</v>
      </c>
      <c r="D1228" s="30">
        <v>46245</v>
      </c>
      <c r="E1228" s="27" t="s">
        <v>227</v>
      </c>
      <c r="F1228" s="27" t="s">
        <v>126</v>
      </c>
      <c r="G1228" s="27" t="s">
        <v>125</v>
      </c>
      <c r="H1228" s="27" t="s">
        <v>228</v>
      </c>
      <c r="I1228" s="27" t="s">
        <v>1939</v>
      </c>
      <c r="J1228" s="27" t="s">
        <v>165</v>
      </c>
      <c r="K1228" s="10">
        <v>30</v>
      </c>
      <c r="L1228" s="36" t="s">
        <v>263</v>
      </c>
      <c r="M1228" s="37" t="s">
        <v>309</v>
      </c>
      <c r="N1228" s="37" t="s">
        <v>270</v>
      </c>
      <c r="O1228" s="27"/>
      <c r="P1228" s="27"/>
      <c r="Q1228" s="27" t="s">
        <v>367</v>
      </c>
      <c r="R1228" s="27"/>
      <c r="S1228" s="3" t="s">
        <v>312</v>
      </c>
      <c r="T1228" s="28" t="s">
        <v>1807</v>
      </c>
      <c r="U1228" s="30">
        <v>46226</v>
      </c>
      <c r="V1228" s="27" t="s">
        <v>1180</v>
      </c>
      <c r="W1228" s="27"/>
    </row>
    <row r="1229" spans="1:23" ht="24" customHeight="1">
      <c r="A1229" s="27" t="str">
        <f t="shared" ca="1" si="19"/>
        <v>EVT-2026-1227</v>
      </c>
      <c r="B1229" s="27">
        <v>2026</v>
      </c>
      <c r="C1229" s="27" t="s">
        <v>106</v>
      </c>
      <c r="D1229" s="30">
        <v>46245</v>
      </c>
      <c r="E1229" s="27" t="s">
        <v>227</v>
      </c>
      <c r="F1229" s="27" t="s">
        <v>126</v>
      </c>
      <c r="G1229" s="27" t="s">
        <v>239</v>
      </c>
      <c r="H1229" s="27" t="s">
        <v>202</v>
      </c>
      <c r="I1229" s="27" t="s">
        <v>1940</v>
      </c>
      <c r="J1229" s="27" t="s">
        <v>177</v>
      </c>
      <c r="K1229" s="10">
        <v>70</v>
      </c>
      <c r="L1229" s="36" t="s">
        <v>263</v>
      </c>
      <c r="M1229" s="37" t="s">
        <v>448</v>
      </c>
      <c r="N1229" s="37" t="s">
        <v>1941</v>
      </c>
      <c r="O1229" s="27" t="s">
        <v>1445</v>
      </c>
      <c r="P1229" s="27"/>
      <c r="Q1229" s="27" t="s">
        <v>1007</v>
      </c>
      <c r="R1229" s="27"/>
      <c r="S1229" s="1" t="s">
        <v>264</v>
      </c>
      <c r="T1229" s="28" t="s">
        <v>1807</v>
      </c>
      <c r="U1229" s="27"/>
      <c r="V1229" s="27" t="s">
        <v>1313</v>
      </c>
      <c r="W1229" s="27"/>
    </row>
    <row r="1230" spans="1:23" ht="24" customHeight="1">
      <c r="A1230" s="27" t="str">
        <f t="shared" ca="1" si="19"/>
        <v>EVT-2026-1228</v>
      </c>
      <c r="B1230" s="27">
        <v>2026</v>
      </c>
      <c r="C1230" s="27" t="s">
        <v>106</v>
      </c>
      <c r="D1230" s="30">
        <v>46245</v>
      </c>
      <c r="E1230" s="27" t="s">
        <v>227</v>
      </c>
      <c r="F1230" s="27" t="s">
        <v>126</v>
      </c>
      <c r="G1230" s="27" t="s">
        <v>1942</v>
      </c>
      <c r="H1230" s="27" t="s">
        <v>208</v>
      </c>
      <c r="I1230" s="27" t="s">
        <v>1246</v>
      </c>
      <c r="J1230" s="27" t="s">
        <v>152</v>
      </c>
      <c r="K1230" s="10">
        <v>2</v>
      </c>
      <c r="L1230" s="36" t="s">
        <v>263</v>
      </c>
      <c r="M1230" s="37" t="s">
        <v>269</v>
      </c>
      <c r="N1230" s="37" t="s">
        <v>270</v>
      </c>
      <c r="O1230" s="27" t="s">
        <v>1943</v>
      </c>
      <c r="P1230" s="27" t="s">
        <v>1944</v>
      </c>
      <c r="Q1230" s="27" t="s">
        <v>1945</v>
      </c>
      <c r="R1230" s="27"/>
      <c r="S1230" s="1" t="s">
        <v>264</v>
      </c>
      <c r="T1230" s="29" t="s">
        <v>265</v>
      </c>
      <c r="U1230" s="30">
        <v>46244</v>
      </c>
      <c r="V1230" s="27" t="s">
        <v>1883</v>
      </c>
      <c r="W1230" s="27" t="s">
        <v>1497</v>
      </c>
    </row>
    <row r="1231" spans="1:23" ht="24" customHeight="1">
      <c r="A1231" s="27" t="str">
        <f t="shared" ca="1" si="19"/>
        <v>EVT-2026-1229</v>
      </c>
      <c r="B1231" s="27">
        <v>2026</v>
      </c>
      <c r="C1231" s="27" t="s">
        <v>106</v>
      </c>
      <c r="D1231" s="30">
        <v>46246</v>
      </c>
      <c r="E1231" s="27" t="s">
        <v>201</v>
      </c>
      <c r="F1231" s="27" t="s">
        <v>126</v>
      </c>
      <c r="G1231" s="27" t="s">
        <v>125</v>
      </c>
      <c r="H1231" s="27" t="s">
        <v>228</v>
      </c>
      <c r="I1231" s="27" t="s">
        <v>1946</v>
      </c>
      <c r="J1231" s="27" t="s">
        <v>127</v>
      </c>
      <c r="K1231" s="10">
        <v>100</v>
      </c>
      <c r="L1231" s="38" t="s">
        <v>294</v>
      </c>
      <c r="M1231" s="37" t="s">
        <v>330</v>
      </c>
      <c r="N1231" s="37" t="s">
        <v>354</v>
      </c>
      <c r="O1231" s="27" t="s">
        <v>1936</v>
      </c>
      <c r="P1231" s="27" t="s">
        <v>1947</v>
      </c>
      <c r="Q1231" s="27" t="s">
        <v>355</v>
      </c>
      <c r="R1231" s="27"/>
      <c r="S1231" s="1" t="s">
        <v>264</v>
      </c>
      <c r="T1231" s="28" t="s">
        <v>1807</v>
      </c>
      <c r="U1231" s="30">
        <v>46240</v>
      </c>
      <c r="V1231" s="27" t="s">
        <v>1938</v>
      </c>
      <c r="W1231" s="27" t="s">
        <v>1497</v>
      </c>
    </row>
    <row r="1232" spans="1:23" ht="24" customHeight="1">
      <c r="A1232" s="27" t="str">
        <f t="shared" ca="1" si="19"/>
        <v>EVT-2026-1230</v>
      </c>
      <c r="B1232" s="27">
        <v>2026</v>
      </c>
      <c r="C1232" s="27" t="s">
        <v>106</v>
      </c>
      <c r="D1232" s="30">
        <v>46246</v>
      </c>
      <c r="E1232" s="27" t="s">
        <v>201</v>
      </c>
      <c r="F1232" s="27" t="s">
        <v>126</v>
      </c>
      <c r="G1232" s="27" t="s">
        <v>389</v>
      </c>
      <c r="H1232" s="27" t="s">
        <v>420</v>
      </c>
      <c r="I1232" s="27" t="s">
        <v>1948</v>
      </c>
      <c r="J1232" s="27" t="s">
        <v>152</v>
      </c>
      <c r="K1232" s="10">
        <v>30</v>
      </c>
      <c r="L1232" s="36" t="s">
        <v>263</v>
      </c>
      <c r="M1232" s="37" t="s">
        <v>309</v>
      </c>
      <c r="N1232" s="37" t="s">
        <v>296</v>
      </c>
      <c r="O1232" s="27" t="s">
        <v>369</v>
      </c>
      <c r="P1232" s="27" t="s">
        <v>369</v>
      </c>
      <c r="Q1232" s="27" t="s">
        <v>378</v>
      </c>
      <c r="R1232" s="27"/>
      <c r="S1232" s="1" t="s">
        <v>264</v>
      </c>
      <c r="T1232" s="29" t="s">
        <v>265</v>
      </c>
      <c r="U1232" s="30">
        <v>46226</v>
      </c>
      <c r="V1232" s="27" t="s">
        <v>298</v>
      </c>
      <c r="W1232" s="27" t="s">
        <v>1497</v>
      </c>
    </row>
    <row r="1233" spans="1:23" ht="24" customHeight="1">
      <c r="A1233" s="27" t="str">
        <f t="shared" ca="1" si="19"/>
        <v>EVT-2026-1231</v>
      </c>
      <c r="B1233" s="27">
        <v>2026</v>
      </c>
      <c r="C1233" s="27" t="s">
        <v>106</v>
      </c>
      <c r="D1233" s="30">
        <v>46246</v>
      </c>
      <c r="E1233" s="27" t="s">
        <v>201</v>
      </c>
      <c r="F1233" s="27" t="s">
        <v>126</v>
      </c>
      <c r="G1233" s="27" t="s">
        <v>1366</v>
      </c>
      <c r="H1233" s="27" t="s">
        <v>208</v>
      </c>
      <c r="I1233" s="27" t="s">
        <v>217</v>
      </c>
      <c r="J1233" s="27" t="s">
        <v>145</v>
      </c>
      <c r="K1233" s="10">
        <v>50</v>
      </c>
      <c r="L1233" s="36" t="s">
        <v>263</v>
      </c>
      <c r="M1233" s="37" t="s">
        <v>309</v>
      </c>
      <c r="N1233" s="37" t="s">
        <v>296</v>
      </c>
      <c r="O1233" s="27"/>
      <c r="P1233" s="27"/>
      <c r="Q1233" s="27" t="s">
        <v>1080</v>
      </c>
      <c r="R1233" s="27" t="s">
        <v>1949</v>
      </c>
      <c r="S1233" s="1" t="s">
        <v>264</v>
      </c>
      <c r="T1233" s="29" t="s">
        <v>265</v>
      </c>
      <c r="U1233" s="27"/>
      <c r="V1233" s="27" t="s">
        <v>298</v>
      </c>
      <c r="W1233" s="27"/>
    </row>
    <row r="1234" spans="1:23" ht="24" customHeight="1">
      <c r="A1234" s="27" t="str">
        <f t="shared" ca="1" si="19"/>
        <v>EVT-2026-1232</v>
      </c>
      <c r="B1234" s="27">
        <v>2026</v>
      </c>
      <c r="C1234" s="27" t="s">
        <v>106</v>
      </c>
      <c r="D1234" s="30">
        <v>46246</v>
      </c>
      <c r="E1234" s="27" t="s">
        <v>201</v>
      </c>
      <c r="F1234" s="27" t="s">
        <v>126</v>
      </c>
      <c r="G1234" s="27" t="s">
        <v>239</v>
      </c>
      <c r="H1234" s="27" t="s">
        <v>420</v>
      </c>
      <c r="I1234" s="27" t="s">
        <v>1950</v>
      </c>
      <c r="J1234" s="27" t="s">
        <v>158</v>
      </c>
      <c r="K1234" s="10">
        <v>200</v>
      </c>
      <c r="L1234" s="38" t="s">
        <v>294</v>
      </c>
      <c r="M1234" s="37"/>
      <c r="N1234" s="37"/>
      <c r="O1234" s="27"/>
      <c r="P1234" s="27"/>
      <c r="Q1234" s="27" t="s">
        <v>1951</v>
      </c>
      <c r="R1234" s="27"/>
      <c r="S1234" s="1" t="s">
        <v>264</v>
      </c>
      <c r="T1234" s="29" t="s">
        <v>265</v>
      </c>
      <c r="U1234" s="27"/>
      <c r="V1234" s="27"/>
      <c r="W1234" s="27"/>
    </row>
    <row r="1235" spans="1:23" ht="24" customHeight="1">
      <c r="A1235" s="27" t="str">
        <f t="shared" ca="1" si="19"/>
        <v>EVT-2026-1233</v>
      </c>
      <c r="B1235" s="27">
        <v>2026</v>
      </c>
      <c r="C1235" s="27" t="s">
        <v>106</v>
      </c>
      <c r="D1235" s="30">
        <v>46246</v>
      </c>
      <c r="E1235" s="27" t="s">
        <v>201</v>
      </c>
      <c r="F1235" s="27" t="s">
        <v>126</v>
      </c>
      <c r="G1235" s="27" t="s">
        <v>125</v>
      </c>
      <c r="H1235" s="27" t="s">
        <v>228</v>
      </c>
      <c r="I1235" s="27" t="s">
        <v>1931</v>
      </c>
      <c r="J1235" s="27" t="s">
        <v>177</v>
      </c>
      <c r="K1235" s="10">
        <v>25</v>
      </c>
      <c r="L1235" s="36" t="s">
        <v>263</v>
      </c>
      <c r="M1235" s="37" t="s">
        <v>289</v>
      </c>
      <c r="N1235" s="37" t="s">
        <v>359</v>
      </c>
      <c r="O1235" s="27" t="s">
        <v>1445</v>
      </c>
      <c r="P1235" s="27" t="s">
        <v>1952</v>
      </c>
      <c r="Q1235" s="27" t="s">
        <v>1953</v>
      </c>
      <c r="R1235" s="27"/>
      <c r="S1235" s="3" t="s">
        <v>312</v>
      </c>
      <c r="T1235" s="28" t="s">
        <v>1807</v>
      </c>
      <c r="U1235" s="30">
        <v>46241</v>
      </c>
      <c r="V1235" s="27" t="s">
        <v>1313</v>
      </c>
      <c r="W1235" s="27" t="s">
        <v>1497</v>
      </c>
    </row>
    <row r="1236" spans="1:23" ht="24" customHeight="1">
      <c r="A1236" s="27" t="str">
        <f t="shared" ca="1" si="19"/>
        <v>EVT-2026-1234</v>
      </c>
      <c r="B1236" s="27">
        <v>2026</v>
      </c>
      <c r="C1236" s="27" t="s">
        <v>106</v>
      </c>
      <c r="D1236" s="30">
        <v>46246</v>
      </c>
      <c r="E1236" s="27" t="s">
        <v>201</v>
      </c>
      <c r="F1236" s="27" t="s">
        <v>126</v>
      </c>
      <c r="G1236" s="27" t="s">
        <v>1954</v>
      </c>
      <c r="H1236" s="27" t="s">
        <v>208</v>
      </c>
      <c r="I1236" s="27" t="s">
        <v>1246</v>
      </c>
      <c r="J1236" s="27" t="s">
        <v>152</v>
      </c>
      <c r="K1236" s="10">
        <v>2</v>
      </c>
      <c r="L1236" s="36" t="s">
        <v>263</v>
      </c>
      <c r="M1236" s="37" t="s">
        <v>269</v>
      </c>
      <c r="N1236" s="37" t="s">
        <v>270</v>
      </c>
      <c r="O1236" s="27" t="s">
        <v>1955</v>
      </c>
      <c r="P1236" s="27" t="s">
        <v>1944</v>
      </c>
      <c r="Q1236" s="27" t="s">
        <v>1945</v>
      </c>
      <c r="R1236" s="27"/>
      <c r="S1236" s="1" t="s">
        <v>264</v>
      </c>
      <c r="T1236" s="28" t="s">
        <v>1807</v>
      </c>
      <c r="U1236" s="30">
        <v>46244</v>
      </c>
      <c r="V1236" s="27" t="s">
        <v>1883</v>
      </c>
      <c r="W1236" s="27" t="s">
        <v>1497</v>
      </c>
    </row>
    <row r="1237" spans="1:23" ht="24" customHeight="1">
      <c r="A1237" s="27" t="str">
        <f t="shared" ca="1" si="19"/>
        <v>EVT-2026-1235</v>
      </c>
      <c r="B1237" s="27">
        <v>2026</v>
      </c>
      <c r="C1237" s="27" t="s">
        <v>106</v>
      </c>
      <c r="D1237" s="30">
        <v>46247</v>
      </c>
      <c r="E1237" s="27" t="s">
        <v>216</v>
      </c>
      <c r="F1237" s="27" t="s">
        <v>126</v>
      </c>
      <c r="G1237" s="27" t="s">
        <v>1956</v>
      </c>
      <c r="H1237" s="27" t="s">
        <v>208</v>
      </c>
      <c r="I1237" s="27" t="s">
        <v>1957</v>
      </c>
      <c r="J1237" s="27" t="s">
        <v>177</v>
      </c>
      <c r="K1237" s="10">
        <v>70</v>
      </c>
      <c r="L1237" s="36" t="s">
        <v>263</v>
      </c>
      <c r="M1237" s="37" t="s">
        <v>331</v>
      </c>
      <c r="N1237" s="37" t="s">
        <v>350</v>
      </c>
      <c r="O1237" s="27" t="s">
        <v>1445</v>
      </c>
      <c r="P1237" s="27" t="s">
        <v>1958</v>
      </c>
      <c r="Q1237" s="27" t="s">
        <v>1945</v>
      </c>
      <c r="R1237" s="27"/>
      <c r="S1237" s="1" t="s">
        <v>264</v>
      </c>
      <c r="T1237" s="28" t="s">
        <v>1807</v>
      </c>
      <c r="U1237" s="30">
        <v>46241</v>
      </c>
      <c r="V1237" s="27" t="s">
        <v>298</v>
      </c>
      <c r="W1237" s="27" t="s">
        <v>1497</v>
      </c>
    </row>
    <row r="1238" spans="1:23" ht="24" customHeight="1">
      <c r="A1238" s="27" t="str">
        <f t="shared" ca="1" si="19"/>
        <v>EVT-2026-1236</v>
      </c>
      <c r="B1238" s="27">
        <v>2026</v>
      </c>
      <c r="C1238" s="27" t="s">
        <v>106</v>
      </c>
      <c r="D1238" s="30">
        <v>46247</v>
      </c>
      <c r="E1238" s="27" t="s">
        <v>216</v>
      </c>
      <c r="F1238" s="27" t="s">
        <v>126</v>
      </c>
      <c r="G1238" s="27" t="s">
        <v>1959</v>
      </c>
      <c r="H1238" s="27" t="s">
        <v>208</v>
      </c>
      <c r="I1238" s="27" t="s">
        <v>1950</v>
      </c>
      <c r="J1238" s="27" t="s">
        <v>158</v>
      </c>
      <c r="K1238" s="10">
        <v>100</v>
      </c>
      <c r="L1238" s="38" t="s">
        <v>294</v>
      </c>
      <c r="M1238" s="37" t="s">
        <v>275</v>
      </c>
      <c r="N1238" s="37" t="s">
        <v>295</v>
      </c>
      <c r="O1238" s="27" t="s">
        <v>369</v>
      </c>
      <c r="P1238" s="27" t="s">
        <v>369</v>
      </c>
      <c r="Q1238" s="27" t="s">
        <v>1960</v>
      </c>
      <c r="R1238" s="27"/>
      <c r="S1238" s="1" t="s">
        <v>264</v>
      </c>
      <c r="T1238" s="29" t="s">
        <v>265</v>
      </c>
      <c r="U1238" s="27"/>
      <c r="V1238" s="27" t="s">
        <v>1961</v>
      </c>
      <c r="W1238" s="27" t="s">
        <v>1846</v>
      </c>
    </row>
    <row r="1239" spans="1:23" ht="24" customHeight="1">
      <c r="A1239" s="27" t="str">
        <f t="shared" ca="1" si="19"/>
        <v>EVT-2026-1237</v>
      </c>
      <c r="B1239" s="27">
        <v>2026</v>
      </c>
      <c r="C1239" s="27" t="s">
        <v>106</v>
      </c>
      <c r="D1239" s="30">
        <v>46247</v>
      </c>
      <c r="E1239" s="27" t="s">
        <v>216</v>
      </c>
      <c r="F1239" s="27" t="s">
        <v>126</v>
      </c>
      <c r="G1239" s="27" t="s">
        <v>1956</v>
      </c>
      <c r="H1239" s="27" t="s">
        <v>208</v>
      </c>
      <c r="I1239" s="27" t="s">
        <v>217</v>
      </c>
      <c r="J1239" s="27" t="s">
        <v>145</v>
      </c>
      <c r="K1239" s="10">
        <v>50</v>
      </c>
      <c r="L1239" s="36" t="s">
        <v>263</v>
      </c>
      <c r="M1239" s="37" t="s">
        <v>309</v>
      </c>
      <c r="N1239" s="37" t="s">
        <v>296</v>
      </c>
      <c r="O1239" s="27"/>
      <c r="P1239" s="27"/>
      <c r="Q1239" s="27" t="s">
        <v>1510</v>
      </c>
      <c r="R1239" s="27"/>
      <c r="S1239" s="1" t="s">
        <v>264</v>
      </c>
      <c r="T1239" s="29" t="s">
        <v>265</v>
      </c>
      <c r="U1239" s="27"/>
      <c r="V1239" s="27" t="s">
        <v>298</v>
      </c>
      <c r="W1239" s="27" t="s">
        <v>1497</v>
      </c>
    </row>
    <row r="1240" spans="1:23" ht="24" customHeight="1">
      <c r="A1240" s="27" t="str">
        <f t="shared" ca="1" si="19"/>
        <v>EVT-2026-1238</v>
      </c>
      <c r="B1240" s="27">
        <v>2026</v>
      </c>
      <c r="C1240" s="27" t="s">
        <v>106</v>
      </c>
      <c r="D1240" s="30">
        <v>46247</v>
      </c>
      <c r="E1240" s="27" t="s">
        <v>216</v>
      </c>
      <c r="F1240" s="27" t="s">
        <v>126</v>
      </c>
      <c r="G1240" s="27" t="s">
        <v>239</v>
      </c>
      <c r="H1240" s="27" t="s">
        <v>420</v>
      </c>
      <c r="I1240" s="27" t="s">
        <v>1950</v>
      </c>
      <c r="J1240" s="27" t="s">
        <v>158</v>
      </c>
      <c r="K1240" s="10">
        <v>200</v>
      </c>
      <c r="L1240" s="38" t="s">
        <v>294</v>
      </c>
      <c r="M1240" s="37"/>
      <c r="N1240" s="37"/>
      <c r="O1240" s="27"/>
      <c r="P1240" s="27"/>
      <c r="Q1240" s="27" t="s">
        <v>1951</v>
      </c>
      <c r="R1240" s="27"/>
      <c r="S1240" s="1" t="s">
        <v>264</v>
      </c>
      <c r="T1240" s="28" t="s">
        <v>1807</v>
      </c>
      <c r="U1240" s="27"/>
      <c r="V1240" s="27"/>
      <c r="W1240" s="27" t="s">
        <v>1497</v>
      </c>
    </row>
    <row r="1241" spans="1:23" ht="24" customHeight="1">
      <c r="A1241" s="27" t="str">
        <f t="shared" ca="1" si="19"/>
        <v>EVT-2026-1239</v>
      </c>
      <c r="B1241" s="27">
        <v>2026</v>
      </c>
      <c r="C1241" s="27" t="s">
        <v>106</v>
      </c>
      <c r="D1241" s="30">
        <v>46247</v>
      </c>
      <c r="E1241" s="27" t="s">
        <v>216</v>
      </c>
      <c r="F1241" s="27" t="s">
        <v>126</v>
      </c>
      <c r="G1241" s="27" t="s">
        <v>736</v>
      </c>
      <c r="H1241" s="27" t="s">
        <v>202</v>
      </c>
      <c r="I1241" s="27" t="s">
        <v>1962</v>
      </c>
      <c r="J1241" s="27" t="s">
        <v>177</v>
      </c>
      <c r="K1241" s="10">
        <v>30</v>
      </c>
      <c r="L1241" s="36" t="s">
        <v>263</v>
      </c>
      <c r="M1241" s="37" t="s">
        <v>309</v>
      </c>
      <c r="N1241" s="37" t="s">
        <v>295</v>
      </c>
      <c r="O1241" s="27" t="s">
        <v>369</v>
      </c>
      <c r="P1241" s="27" t="s">
        <v>382</v>
      </c>
      <c r="Q1241" s="27" t="s">
        <v>1963</v>
      </c>
      <c r="R1241" s="27"/>
      <c r="S1241" s="1" t="s">
        <v>264</v>
      </c>
      <c r="T1241" s="28" t="s">
        <v>1807</v>
      </c>
      <c r="U1241" s="27"/>
      <c r="V1241" s="27" t="s">
        <v>298</v>
      </c>
      <c r="W1241" s="27" t="s">
        <v>1497</v>
      </c>
    </row>
    <row r="1242" spans="1:23" ht="24" customHeight="1">
      <c r="A1242" s="27" t="str">
        <f t="shared" ca="1" si="19"/>
        <v>EVT-2026-1240</v>
      </c>
      <c r="B1242" s="27">
        <v>2026</v>
      </c>
      <c r="C1242" s="27" t="s">
        <v>106</v>
      </c>
      <c r="D1242" s="30">
        <v>46247</v>
      </c>
      <c r="E1242" s="27" t="s">
        <v>216</v>
      </c>
      <c r="F1242" s="27" t="s">
        <v>126</v>
      </c>
      <c r="G1242" s="27" t="s">
        <v>736</v>
      </c>
      <c r="H1242" s="27" t="s">
        <v>202</v>
      </c>
      <c r="I1242" s="27" t="s">
        <v>1964</v>
      </c>
      <c r="J1242" s="27" t="s">
        <v>177</v>
      </c>
      <c r="K1242" s="10">
        <v>40</v>
      </c>
      <c r="L1242" s="36" t="s">
        <v>263</v>
      </c>
      <c r="M1242" s="37" t="s">
        <v>330</v>
      </c>
      <c r="N1242" s="37" t="s">
        <v>331</v>
      </c>
      <c r="O1242" s="27"/>
      <c r="P1242" s="27" t="s">
        <v>1965</v>
      </c>
      <c r="Q1242" s="27" t="s">
        <v>1966</v>
      </c>
      <c r="R1242" s="27"/>
      <c r="S1242" s="1" t="s">
        <v>264</v>
      </c>
      <c r="T1242" s="29" t="s">
        <v>265</v>
      </c>
      <c r="U1242" s="30">
        <v>46241</v>
      </c>
      <c r="V1242" s="27" t="s">
        <v>1313</v>
      </c>
      <c r="W1242" s="27" t="s">
        <v>1497</v>
      </c>
    </row>
    <row r="1243" spans="1:23" ht="24" customHeight="1">
      <c r="A1243" s="27" t="str">
        <f t="shared" ca="1" si="19"/>
        <v>EVT-2026-1241</v>
      </c>
      <c r="B1243" s="27">
        <v>2026</v>
      </c>
      <c r="C1243" s="27" t="s">
        <v>106</v>
      </c>
      <c r="D1243" s="30">
        <v>46247</v>
      </c>
      <c r="E1243" s="27" t="s">
        <v>216</v>
      </c>
      <c r="F1243" s="27" t="s">
        <v>126</v>
      </c>
      <c r="G1243" s="27" t="s">
        <v>1954</v>
      </c>
      <c r="H1243" s="27" t="s">
        <v>208</v>
      </c>
      <c r="I1243" s="27" t="s">
        <v>1246</v>
      </c>
      <c r="J1243" s="27" t="s">
        <v>152</v>
      </c>
      <c r="K1243" s="10">
        <v>2</v>
      </c>
      <c r="L1243" s="36" t="s">
        <v>263</v>
      </c>
      <c r="M1243" s="37" t="s">
        <v>269</v>
      </c>
      <c r="N1243" s="37" t="s">
        <v>270</v>
      </c>
      <c r="O1243" s="27"/>
      <c r="P1243" s="27" t="s">
        <v>1967</v>
      </c>
      <c r="Q1243" s="27" t="s">
        <v>1945</v>
      </c>
      <c r="R1243" s="27"/>
      <c r="S1243" s="1" t="s">
        <v>264</v>
      </c>
      <c r="T1243" s="28" t="s">
        <v>1807</v>
      </c>
      <c r="U1243" s="30">
        <v>46244</v>
      </c>
      <c r="V1243" s="27" t="s">
        <v>1411</v>
      </c>
      <c r="W1243" s="27" t="s">
        <v>1497</v>
      </c>
    </row>
    <row r="1244" spans="1:23" ht="24" customHeight="1">
      <c r="A1244" s="27" t="str">
        <f t="shared" ca="1" si="19"/>
        <v>EVT-2026-1242</v>
      </c>
      <c r="B1244" s="27">
        <v>2026</v>
      </c>
      <c r="C1244" s="27" t="s">
        <v>106</v>
      </c>
      <c r="D1244" s="30">
        <v>46248</v>
      </c>
      <c r="E1244" s="27" t="s">
        <v>220</v>
      </c>
      <c r="F1244" s="27" t="s">
        <v>126</v>
      </c>
      <c r="G1244" s="27" t="s">
        <v>239</v>
      </c>
      <c r="H1244" s="27" t="s">
        <v>202</v>
      </c>
      <c r="I1244" s="27" t="s">
        <v>1968</v>
      </c>
      <c r="J1244" s="27" t="s">
        <v>127</v>
      </c>
      <c r="K1244" s="10">
        <v>100</v>
      </c>
      <c r="L1244" s="38" t="s">
        <v>294</v>
      </c>
      <c r="M1244" s="37" t="s">
        <v>295</v>
      </c>
      <c r="N1244" s="37" t="s">
        <v>296</v>
      </c>
      <c r="O1244" s="27" t="s">
        <v>1394</v>
      </c>
      <c r="P1244" s="27" t="s">
        <v>1457</v>
      </c>
      <c r="Q1244" s="27" t="s">
        <v>1969</v>
      </c>
      <c r="R1244" s="27"/>
      <c r="S1244" s="1" t="s">
        <v>264</v>
      </c>
      <c r="T1244" s="28" t="s">
        <v>1807</v>
      </c>
      <c r="U1244" s="30">
        <v>46244</v>
      </c>
      <c r="V1244" s="27" t="s">
        <v>1938</v>
      </c>
      <c r="W1244" s="27" t="s">
        <v>1497</v>
      </c>
    </row>
    <row r="1245" spans="1:23" ht="24" customHeight="1">
      <c r="A1245" s="27" t="str">
        <f t="shared" ca="1" si="19"/>
        <v>EVT-2026-1243</v>
      </c>
      <c r="B1245" s="27">
        <v>2026</v>
      </c>
      <c r="C1245" s="27" t="s">
        <v>106</v>
      </c>
      <c r="D1245" s="30">
        <v>46248</v>
      </c>
      <c r="E1245" s="27" t="s">
        <v>220</v>
      </c>
      <c r="F1245" s="27" t="s">
        <v>126</v>
      </c>
      <c r="G1245" s="27" t="s">
        <v>1366</v>
      </c>
      <c r="H1245" s="27" t="s">
        <v>202</v>
      </c>
      <c r="I1245" s="27" t="s">
        <v>1970</v>
      </c>
      <c r="J1245" s="27" t="s">
        <v>177</v>
      </c>
      <c r="K1245" s="10">
        <v>50</v>
      </c>
      <c r="L1245" s="36" t="s">
        <v>263</v>
      </c>
      <c r="M1245" s="37" t="s">
        <v>331</v>
      </c>
      <c r="N1245" s="37" t="s">
        <v>289</v>
      </c>
      <c r="O1245" s="27" t="s">
        <v>1971</v>
      </c>
      <c r="P1245" s="27" t="s">
        <v>1670</v>
      </c>
      <c r="Q1245" s="27" t="s">
        <v>1972</v>
      </c>
      <c r="R1245" s="27"/>
      <c r="S1245" s="1" t="s">
        <v>264</v>
      </c>
      <c r="T1245" s="28" t="s">
        <v>1807</v>
      </c>
      <c r="U1245" s="27"/>
      <c r="V1245" s="27" t="s">
        <v>1973</v>
      </c>
      <c r="W1245" s="27" t="s">
        <v>1497</v>
      </c>
    </row>
    <row r="1246" spans="1:23" ht="24" customHeight="1">
      <c r="A1246" s="27" t="str">
        <f t="shared" ca="1" si="19"/>
        <v>EVT-2026-1244</v>
      </c>
      <c r="B1246" s="27">
        <v>2026</v>
      </c>
      <c r="C1246" s="27" t="s">
        <v>106</v>
      </c>
      <c r="D1246" s="30">
        <v>46248</v>
      </c>
      <c r="E1246" s="27" t="s">
        <v>220</v>
      </c>
      <c r="F1246" s="27" t="s">
        <v>126</v>
      </c>
      <c r="G1246" s="27" t="s">
        <v>125</v>
      </c>
      <c r="H1246" s="27" t="s">
        <v>228</v>
      </c>
      <c r="I1246" s="27" t="s">
        <v>1974</v>
      </c>
      <c r="J1246" s="27" t="s">
        <v>177</v>
      </c>
      <c r="K1246" s="10">
        <v>32</v>
      </c>
      <c r="L1246" s="36" t="s">
        <v>263</v>
      </c>
      <c r="M1246" s="37" t="s">
        <v>295</v>
      </c>
      <c r="N1246" s="37" t="s">
        <v>1168</v>
      </c>
      <c r="O1246" s="27" t="s">
        <v>1975</v>
      </c>
      <c r="P1246" s="27" t="s">
        <v>1976</v>
      </c>
      <c r="Q1246" s="27" t="s">
        <v>1977</v>
      </c>
      <c r="R1246" s="27"/>
      <c r="S1246" s="1" t="s">
        <v>264</v>
      </c>
      <c r="T1246" s="28" t="s">
        <v>1807</v>
      </c>
      <c r="U1246" s="30">
        <v>46239</v>
      </c>
      <c r="V1246" s="27" t="s">
        <v>1978</v>
      </c>
      <c r="W1246" s="27" t="s">
        <v>1497</v>
      </c>
    </row>
    <row r="1247" spans="1:23" ht="24" customHeight="1">
      <c r="A1247" s="27" t="str">
        <f t="shared" ca="1" si="19"/>
        <v>EVT-2026-1245</v>
      </c>
      <c r="B1247" s="27">
        <v>2026</v>
      </c>
      <c r="C1247" s="27" t="s">
        <v>106</v>
      </c>
      <c r="D1247" s="30">
        <v>46248</v>
      </c>
      <c r="E1247" s="27" t="s">
        <v>220</v>
      </c>
      <c r="F1247" s="27" t="s">
        <v>126</v>
      </c>
      <c r="G1247" s="27" t="s">
        <v>736</v>
      </c>
      <c r="H1247" s="27" t="s">
        <v>202</v>
      </c>
      <c r="I1247" s="27" t="s">
        <v>1979</v>
      </c>
      <c r="J1247" s="27" t="s">
        <v>127</v>
      </c>
      <c r="K1247" s="10">
        <v>40</v>
      </c>
      <c r="L1247" s="36" t="s">
        <v>263</v>
      </c>
      <c r="M1247" s="37" t="s">
        <v>350</v>
      </c>
      <c r="N1247" s="37" t="s">
        <v>295</v>
      </c>
      <c r="O1247" s="27" t="s">
        <v>1445</v>
      </c>
      <c r="P1247" s="27" t="s">
        <v>1670</v>
      </c>
      <c r="Q1247" s="27" t="s">
        <v>1980</v>
      </c>
      <c r="R1247" s="27"/>
      <c r="S1247" s="1" t="s">
        <v>264</v>
      </c>
      <c r="T1247" s="28" t="s">
        <v>1807</v>
      </c>
      <c r="U1247" s="30">
        <v>46239</v>
      </c>
      <c r="V1247" s="27" t="s">
        <v>1673</v>
      </c>
      <c r="W1247" s="27" t="s">
        <v>1497</v>
      </c>
    </row>
    <row r="1248" spans="1:23" ht="24" customHeight="1">
      <c r="A1248" s="27" t="str">
        <f t="shared" ca="1" si="19"/>
        <v>EVT-2026-1246</v>
      </c>
      <c r="B1248" s="27">
        <v>2026</v>
      </c>
      <c r="C1248" s="27" t="s">
        <v>106</v>
      </c>
      <c r="D1248" s="30">
        <v>46248</v>
      </c>
      <c r="E1248" s="27" t="s">
        <v>220</v>
      </c>
      <c r="F1248" s="27" t="s">
        <v>126</v>
      </c>
      <c r="G1248" s="27" t="s">
        <v>736</v>
      </c>
      <c r="H1248" s="27" t="s">
        <v>202</v>
      </c>
      <c r="I1248" s="27" t="s">
        <v>1950</v>
      </c>
      <c r="J1248" s="27" t="s">
        <v>158</v>
      </c>
      <c r="K1248" s="10">
        <v>40</v>
      </c>
      <c r="L1248" s="36" t="s">
        <v>263</v>
      </c>
      <c r="M1248" s="37" t="s">
        <v>274</v>
      </c>
      <c r="N1248" s="37" t="s">
        <v>330</v>
      </c>
      <c r="O1248" s="27" t="s">
        <v>1394</v>
      </c>
      <c r="P1248" s="27" t="s">
        <v>1457</v>
      </c>
      <c r="Q1248" s="27" t="s">
        <v>1981</v>
      </c>
      <c r="R1248" s="27"/>
      <c r="S1248" s="1" t="s">
        <v>264</v>
      </c>
      <c r="T1248" s="28" t="s">
        <v>1807</v>
      </c>
      <c r="U1248" s="30">
        <v>46247</v>
      </c>
      <c r="V1248" s="27" t="s">
        <v>1982</v>
      </c>
      <c r="W1248" s="27" t="s">
        <v>1497</v>
      </c>
    </row>
    <row r="1249" spans="1:23" ht="24" customHeight="1">
      <c r="A1249" s="27" t="str">
        <f t="shared" ca="1" si="19"/>
        <v>EVT-2026-1247</v>
      </c>
      <c r="B1249" s="27">
        <v>2026</v>
      </c>
      <c r="C1249" s="27" t="s">
        <v>106</v>
      </c>
      <c r="D1249" s="30">
        <v>46250</v>
      </c>
      <c r="E1249" s="27" t="s">
        <v>267</v>
      </c>
      <c r="F1249" s="27" t="s">
        <v>126</v>
      </c>
      <c r="G1249" s="27" t="s">
        <v>125</v>
      </c>
      <c r="H1249" s="27" t="s">
        <v>228</v>
      </c>
      <c r="I1249" s="27" t="s">
        <v>1983</v>
      </c>
      <c r="J1249" s="27" t="s">
        <v>145</v>
      </c>
      <c r="K1249" s="10">
        <v>50</v>
      </c>
      <c r="L1249" s="36" t="s">
        <v>263</v>
      </c>
      <c r="M1249" s="37" t="s">
        <v>281</v>
      </c>
      <c r="N1249" s="37" t="s">
        <v>295</v>
      </c>
      <c r="O1249" s="27" t="s">
        <v>1984</v>
      </c>
      <c r="P1249" s="27" t="s">
        <v>1985</v>
      </c>
      <c r="Q1249" s="27" t="s">
        <v>494</v>
      </c>
      <c r="R1249" s="27" t="s">
        <v>221</v>
      </c>
      <c r="S1249" s="1" t="s">
        <v>264</v>
      </c>
      <c r="T1249" s="28" t="s">
        <v>1807</v>
      </c>
      <c r="U1249" s="30">
        <v>46247</v>
      </c>
      <c r="V1249" s="27" t="s">
        <v>1982</v>
      </c>
      <c r="W1249" s="27" t="s">
        <v>1497</v>
      </c>
    </row>
    <row r="1250" spans="1:23" ht="24" customHeight="1">
      <c r="A1250" s="27" t="str">
        <f t="shared" ca="1" si="19"/>
        <v>EVT-2026-1248</v>
      </c>
      <c r="B1250" s="27">
        <v>2026</v>
      </c>
      <c r="C1250" s="27" t="s">
        <v>106</v>
      </c>
      <c r="D1250" s="30">
        <v>46251</v>
      </c>
      <c r="E1250" s="27" t="s">
        <v>224</v>
      </c>
      <c r="F1250" s="27" t="s">
        <v>126</v>
      </c>
      <c r="G1250" s="27" t="s">
        <v>1986</v>
      </c>
      <c r="H1250" s="27" t="s">
        <v>208</v>
      </c>
      <c r="I1250" s="27" t="s">
        <v>1987</v>
      </c>
      <c r="J1250" s="27" t="s">
        <v>152</v>
      </c>
      <c r="K1250" s="10">
        <v>8</v>
      </c>
      <c r="L1250" s="36" t="s">
        <v>263</v>
      </c>
      <c r="M1250" s="37" t="s">
        <v>354</v>
      </c>
      <c r="N1250" s="37" t="s">
        <v>350</v>
      </c>
      <c r="O1250" s="27" t="s">
        <v>1988</v>
      </c>
      <c r="P1250" s="27" t="s">
        <v>1989</v>
      </c>
      <c r="Q1250" s="27" t="s">
        <v>1990</v>
      </c>
      <c r="R1250" s="27" t="s">
        <v>213</v>
      </c>
      <c r="S1250" s="1" t="s">
        <v>264</v>
      </c>
      <c r="T1250" s="29" t="s">
        <v>265</v>
      </c>
      <c r="U1250" s="27"/>
      <c r="V1250" s="27" t="s">
        <v>1883</v>
      </c>
      <c r="W1250" s="27" t="s">
        <v>1497</v>
      </c>
    </row>
    <row r="1251" spans="1:23" ht="24" customHeight="1">
      <c r="A1251" s="27" t="str">
        <f t="shared" ca="1" si="19"/>
        <v>EVT-2026-1249</v>
      </c>
      <c r="B1251" s="27">
        <v>2026</v>
      </c>
      <c r="C1251" s="27" t="s">
        <v>106</v>
      </c>
      <c r="D1251" s="30">
        <v>46252</v>
      </c>
      <c r="E1251" s="27" t="s">
        <v>227</v>
      </c>
      <c r="F1251" s="27" t="s">
        <v>126</v>
      </c>
      <c r="G1251" s="27" t="s">
        <v>348</v>
      </c>
      <c r="H1251" s="27" t="s">
        <v>208</v>
      </c>
      <c r="I1251" s="27" t="s">
        <v>812</v>
      </c>
      <c r="J1251" s="27" t="s">
        <v>127</v>
      </c>
      <c r="K1251" s="10">
        <v>80</v>
      </c>
      <c r="L1251" s="36" t="s">
        <v>263</v>
      </c>
      <c r="M1251" s="37" t="s">
        <v>506</v>
      </c>
      <c r="N1251" s="37" t="s">
        <v>1991</v>
      </c>
      <c r="O1251" s="27" t="s">
        <v>382</v>
      </c>
      <c r="P1251" s="27" t="s">
        <v>1670</v>
      </c>
      <c r="Q1251" s="27" t="s">
        <v>1992</v>
      </c>
      <c r="R1251" s="27" t="s">
        <v>209</v>
      </c>
      <c r="S1251" s="1" t="s">
        <v>264</v>
      </c>
      <c r="T1251" s="29" t="s">
        <v>265</v>
      </c>
      <c r="U1251" s="30">
        <v>46049</v>
      </c>
      <c r="V1251" s="27" t="s">
        <v>1993</v>
      </c>
      <c r="W1251" s="27" t="s">
        <v>1497</v>
      </c>
    </row>
    <row r="1252" spans="1:23" ht="24" customHeight="1">
      <c r="A1252" s="27" t="str">
        <f t="shared" ca="1" si="19"/>
        <v>EVT-2026-1250</v>
      </c>
      <c r="B1252" s="27">
        <v>2026</v>
      </c>
      <c r="C1252" s="27" t="s">
        <v>106</v>
      </c>
      <c r="D1252" s="30">
        <v>46252</v>
      </c>
      <c r="E1252" s="27" t="s">
        <v>227</v>
      </c>
      <c r="F1252" s="27" t="s">
        <v>126</v>
      </c>
      <c r="G1252" s="27" t="s">
        <v>1366</v>
      </c>
      <c r="H1252" s="27" t="s">
        <v>208</v>
      </c>
      <c r="I1252" s="27" t="s">
        <v>217</v>
      </c>
      <c r="J1252" s="27" t="s">
        <v>145</v>
      </c>
      <c r="K1252" s="10">
        <v>50</v>
      </c>
      <c r="L1252" s="36" t="s">
        <v>263</v>
      </c>
      <c r="M1252" s="37" t="s">
        <v>309</v>
      </c>
      <c r="N1252" s="37" t="s">
        <v>296</v>
      </c>
      <c r="O1252" s="27"/>
      <c r="P1252" s="27"/>
      <c r="Q1252" s="27" t="s">
        <v>1080</v>
      </c>
      <c r="R1252" s="27" t="s">
        <v>1949</v>
      </c>
      <c r="S1252" s="1" t="s">
        <v>264</v>
      </c>
      <c r="T1252" s="28" t="s">
        <v>1807</v>
      </c>
      <c r="U1252" s="27"/>
      <c r="V1252" s="27" t="s">
        <v>298</v>
      </c>
      <c r="W1252" s="27"/>
    </row>
    <row r="1253" spans="1:23" ht="24" customHeight="1">
      <c r="A1253" s="27" t="str">
        <f t="shared" ca="1" si="19"/>
        <v>EVT-2026-1251</v>
      </c>
      <c r="B1253" s="27">
        <v>2026</v>
      </c>
      <c r="C1253" s="27" t="s">
        <v>106</v>
      </c>
      <c r="D1253" s="30">
        <v>46252</v>
      </c>
      <c r="E1253" s="27" t="s">
        <v>227</v>
      </c>
      <c r="F1253" s="27" t="s">
        <v>126</v>
      </c>
      <c r="G1253" s="27" t="s">
        <v>125</v>
      </c>
      <c r="H1253" s="27" t="s">
        <v>228</v>
      </c>
      <c r="I1253" s="27" t="s">
        <v>1994</v>
      </c>
      <c r="J1253" s="27" t="s">
        <v>165</v>
      </c>
      <c r="K1253" s="10">
        <v>30</v>
      </c>
      <c r="L1253" s="36" t="s">
        <v>263</v>
      </c>
      <c r="M1253" s="37" t="s">
        <v>309</v>
      </c>
      <c r="N1253" s="37" t="s">
        <v>270</v>
      </c>
      <c r="O1253" s="27"/>
      <c r="P1253" s="27"/>
      <c r="Q1253" s="27" t="s">
        <v>1990</v>
      </c>
      <c r="R1253" s="27" t="s">
        <v>213</v>
      </c>
      <c r="S1253" s="3" t="s">
        <v>312</v>
      </c>
      <c r="T1253" s="29" t="s">
        <v>265</v>
      </c>
      <c r="U1253" s="30">
        <v>46240</v>
      </c>
      <c r="V1253" s="27" t="s">
        <v>1180</v>
      </c>
      <c r="W1253" s="27"/>
    </row>
    <row r="1254" spans="1:23" ht="24" customHeight="1">
      <c r="A1254" s="27" t="str">
        <f t="shared" ca="1" si="19"/>
        <v>EVT-2026-1252</v>
      </c>
      <c r="B1254" s="27">
        <v>2026</v>
      </c>
      <c r="C1254" s="27" t="s">
        <v>106</v>
      </c>
      <c r="D1254" s="30">
        <v>46252</v>
      </c>
      <c r="E1254" s="27" t="s">
        <v>227</v>
      </c>
      <c r="F1254" s="27" t="s">
        <v>126</v>
      </c>
      <c r="G1254" s="27" t="s">
        <v>1986</v>
      </c>
      <c r="H1254" s="27" t="s">
        <v>208</v>
      </c>
      <c r="I1254" s="27" t="s">
        <v>1987</v>
      </c>
      <c r="J1254" s="27" t="s">
        <v>152</v>
      </c>
      <c r="K1254" s="10">
        <v>8</v>
      </c>
      <c r="L1254" s="36" t="s">
        <v>263</v>
      </c>
      <c r="M1254" s="37" t="s">
        <v>354</v>
      </c>
      <c r="N1254" s="37" t="s">
        <v>350</v>
      </c>
      <c r="O1254" s="27" t="s">
        <v>382</v>
      </c>
      <c r="P1254" s="27" t="s">
        <v>1989</v>
      </c>
      <c r="Q1254" s="27" t="s">
        <v>1990</v>
      </c>
      <c r="R1254" s="27" t="s">
        <v>213</v>
      </c>
      <c r="S1254" s="1" t="s">
        <v>264</v>
      </c>
      <c r="T1254" s="29" t="s">
        <v>265</v>
      </c>
      <c r="U1254" s="30">
        <v>46238</v>
      </c>
      <c r="V1254" s="27" t="s">
        <v>1883</v>
      </c>
      <c r="W1254" s="27" t="s">
        <v>1497</v>
      </c>
    </row>
    <row r="1255" spans="1:23" ht="24" customHeight="1">
      <c r="A1255" s="27" t="str">
        <f t="shared" ca="1" si="19"/>
        <v>EVT-2026-1253</v>
      </c>
      <c r="B1255" s="27">
        <v>2026</v>
      </c>
      <c r="C1255" s="27" t="s">
        <v>106</v>
      </c>
      <c r="D1255" s="30">
        <v>46253</v>
      </c>
      <c r="E1255" s="27" t="s">
        <v>201</v>
      </c>
      <c r="F1255" s="27" t="s">
        <v>126</v>
      </c>
      <c r="G1255" s="27" t="s">
        <v>1366</v>
      </c>
      <c r="H1255" s="27" t="s">
        <v>208</v>
      </c>
      <c r="I1255" s="27" t="s">
        <v>217</v>
      </c>
      <c r="J1255" s="27" t="s">
        <v>145</v>
      </c>
      <c r="K1255" s="10">
        <v>50</v>
      </c>
      <c r="L1255" s="36" t="s">
        <v>263</v>
      </c>
      <c r="M1255" s="37" t="s">
        <v>309</v>
      </c>
      <c r="N1255" s="37" t="s">
        <v>296</v>
      </c>
      <c r="O1255" s="27"/>
      <c r="P1255" s="27"/>
      <c r="Q1255" s="27" t="s">
        <v>1080</v>
      </c>
      <c r="R1255" s="27" t="s">
        <v>1949</v>
      </c>
      <c r="S1255" s="1" t="s">
        <v>264</v>
      </c>
      <c r="T1255" s="29" t="s">
        <v>265</v>
      </c>
      <c r="U1255" s="27"/>
      <c r="V1255" s="27" t="s">
        <v>298</v>
      </c>
      <c r="W1255" s="27"/>
    </row>
    <row r="1256" spans="1:23" ht="24" customHeight="1">
      <c r="A1256" s="27" t="str">
        <f t="shared" ca="1" si="19"/>
        <v>EVT-2026-1254</v>
      </c>
      <c r="B1256" s="27">
        <v>2026</v>
      </c>
      <c r="C1256" s="27" t="s">
        <v>106</v>
      </c>
      <c r="D1256" s="30">
        <v>46253</v>
      </c>
      <c r="E1256" s="27" t="s">
        <v>201</v>
      </c>
      <c r="F1256" s="27" t="s">
        <v>126</v>
      </c>
      <c r="G1256" s="27" t="s">
        <v>125</v>
      </c>
      <c r="H1256" s="27" t="s">
        <v>228</v>
      </c>
      <c r="I1256" s="27" t="s">
        <v>1995</v>
      </c>
      <c r="J1256" s="27" t="s">
        <v>127</v>
      </c>
      <c r="K1256" s="10">
        <v>150</v>
      </c>
      <c r="L1256" s="38" t="s">
        <v>294</v>
      </c>
      <c r="M1256" s="37" t="s">
        <v>1996</v>
      </c>
      <c r="N1256" s="37" t="s">
        <v>274</v>
      </c>
      <c r="O1256" s="27" t="s">
        <v>1445</v>
      </c>
      <c r="P1256" s="27" t="s">
        <v>1457</v>
      </c>
      <c r="Q1256" s="27" t="s">
        <v>1997</v>
      </c>
      <c r="R1256" s="27" t="s">
        <v>1998</v>
      </c>
      <c r="S1256" s="1" t="s">
        <v>264</v>
      </c>
      <c r="T1256" s="29" t="s">
        <v>265</v>
      </c>
      <c r="U1256" s="30">
        <v>46242</v>
      </c>
      <c r="V1256" s="27" t="s">
        <v>298</v>
      </c>
      <c r="W1256" s="27" t="s">
        <v>1497</v>
      </c>
    </row>
    <row r="1257" spans="1:23" ht="24" customHeight="1">
      <c r="A1257" s="27" t="str">
        <f t="shared" ca="1" si="19"/>
        <v>EVT-2026-1255</v>
      </c>
      <c r="B1257" s="27">
        <v>2026</v>
      </c>
      <c r="C1257" s="27" t="s">
        <v>106</v>
      </c>
      <c r="D1257" s="30">
        <v>46253</v>
      </c>
      <c r="E1257" s="27" t="s">
        <v>201</v>
      </c>
      <c r="F1257" s="27" t="s">
        <v>126</v>
      </c>
      <c r="G1257" s="27" t="s">
        <v>125</v>
      </c>
      <c r="H1257" s="27" t="s">
        <v>228</v>
      </c>
      <c r="I1257" s="27" t="s">
        <v>1999</v>
      </c>
      <c r="J1257" s="27" t="s">
        <v>127</v>
      </c>
      <c r="K1257" s="10">
        <v>80</v>
      </c>
      <c r="L1257" s="36" t="s">
        <v>263</v>
      </c>
      <c r="M1257" s="37" t="s">
        <v>330</v>
      </c>
      <c r="N1257" s="37" t="s">
        <v>331</v>
      </c>
      <c r="O1257" s="27" t="s">
        <v>1490</v>
      </c>
      <c r="P1257" s="27"/>
      <c r="Q1257" s="27" t="s">
        <v>1990</v>
      </c>
      <c r="R1257" s="27" t="s">
        <v>213</v>
      </c>
      <c r="S1257" s="1" t="s">
        <v>264</v>
      </c>
      <c r="T1257" s="29" t="s">
        <v>265</v>
      </c>
      <c r="U1257" s="30">
        <v>46237</v>
      </c>
      <c r="V1257" s="27" t="s">
        <v>1938</v>
      </c>
      <c r="W1257" s="27" t="s">
        <v>1497</v>
      </c>
    </row>
    <row r="1258" spans="1:23" ht="24" customHeight="1">
      <c r="A1258" s="27" t="str">
        <f t="shared" ca="1" si="19"/>
        <v>EVT-2026-1256</v>
      </c>
      <c r="B1258" s="27">
        <v>2026</v>
      </c>
      <c r="C1258" s="27" t="s">
        <v>106</v>
      </c>
      <c r="D1258" s="30">
        <v>46253</v>
      </c>
      <c r="E1258" s="27" t="s">
        <v>201</v>
      </c>
      <c r="F1258" s="27" t="s">
        <v>126</v>
      </c>
      <c r="G1258" s="27" t="s">
        <v>1986</v>
      </c>
      <c r="H1258" s="27" t="s">
        <v>208</v>
      </c>
      <c r="I1258" s="27" t="s">
        <v>1987</v>
      </c>
      <c r="J1258" s="27" t="s">
        <v>152</v>
      </c>
      <c r="K1258" s="10">
        <v>8</v>
      </c>
      <c r="L1258" s="36" t="s">
        <v>263</v>
      </c>
      <c r="M1258" s="37" t="s">
        <v>354</v>
      </c>
      <c r="N1258" s="37" t="s">
        <v>350</v>
      </c>
      <c r="O1258" s="27"/>
      <c r="P1258" s="27" t="s">
        <v>1989</v>
      </c>
      <c r="Q1258" s="27" t="s">
        <v>1990</v>
      </c>
      <c r="R1258" s="27" t="s">
        <v>213</v>
      </c>
      <c r="S1258" s="1" t="s">
        <v>264</v>
      </c>
      <c r="T1258" s="29" t="s">
        <v>265</v>
      </c>
      <c r="U1258" s="30">
        <v>46237</v>
      </c>
      <c r="V1258" s="27" t="s">
        <v>1883</v>
      </c>
      <c r="W1258" s="27" t="s">
        <v>1497</v>
      </c>
    </row>
    <row r="1259" spans="1:23" ht="24" customHeight="1">
      <c r="A1259" s="27" t="str">
        <f t="shared" ca="1" si="19"/>
        <v>EVT-2026-1257</v>
      </c>
      <c r="B1259" s="27">
        <v>2026</v>
      </c>
      <c r="C1259" s="27" t="s">
        <v>106</v>
      </c>
      <c r="D1259" s="30">
        <v>46254</v>
      </c>
      <c r="E1259" s="27" t="s">
        <v>216</v>
      </c>
      <c r="F1259" s="27" t="s">
        <v>126</v>
      </c>
      <c r="G1259" s="27" t="s">
        <v>125</v>
      </c>
      <c r="H1259" s="27" t="s">
        <v>228</v>
      </c>
      <c r="I1259" s="27" t="s">
        <v>2000</v>
      </c>
      <c r="J1259" s="27" t="s">
        <v>134</v>
      </c>
      <c r="K1259" s="10">
        <v>50</v>
      </c>
      <c r="L1259" s="36" t="s">
        <v>263</v>
      </c>
      <c r="M1259" s="37" t="s">
        <v>354</v>
      </c>
      <c r="N1259" s="37" t="s">
        <v>289</v>
      </c>
      <c r="O1259" s="27" t="s">
        <v>1445</v>
      </c>
      <c r="P1259" s="27"/>
      <c r="Q1259" s="27" t="s">
        <v>1762</v>
      </c>
      <c r="R1259" s="27" t="s">
        <v>2001</v>
      </c>
      <c r="S1259" s="1" t="s">
        <v>264</v>
      </c>
      <c r="T1259" s="29" t="s">
        <v>265</v>
      </c>
      <c r="U1259" s="30">
        <v>46244</v>
      </c>
      <c r="V1259" s="27" t="s">
        <v>1982</v>
      </c>
      <c r="W1259" s="27" t="s">
        <v>1497</v>
      </c>
    </row>
    <row r="1260" spans="1:23" ht="24" customHeight="1">
      <c r="A1260" s="27" t="str">
        <f t="shared" ca="1" si="19"/>
        <v>EVT-2026-1258</v>
      </c>
      <c r="B1260" s="27">
        <v>2026</v>
      </c>
      <c r="C1260" s="27" t="s">
        <v>106</v>
      </c>
      <c r="D1260" s="30">
        <v>46254</v>
      </c>
      <c r="E1260" s="27" t="s">
        <v>216</v>
      </c>
      <c r="F1260" s="27" t="s">
        <v>126</v>
      </c>
      <c r="G1260" s="27" t="s">
        <v>2002</v>
      </c>
      <c r="H1260" s="27" t="s">
        <v>228</v>
      </c>
      <c r="I1260" s="27" t="s">
        <v>2003</v>
      </c>
      <c r="J1260" s="27" t="s">
        <v>177</v>
      </c>
      <c r="K1260" s="10">
        <v>150</v>
      </c>
      <c r="L1260" s="38" t="s">
        <v>294</v>
      </c>
      <c r="M1260" s="37" t="s">
        <v>429</v>
      </c>
      <c r="N1260" s="37" t="s">
        <v>289</v>
      </c>
      <c r="O1260" s="27" t="s">
        <v>382</v>
      </c>
      <c r="P1260" s="27" t="s">
        <v>1445</v>
      </c>
      <c r="Q1260" s="27" t="s">
        <v>2004</v>
      </c>
      <c r="R1260" s="27" t="s">
        <v>2005</v>
      </c>
      <c r="S1260" s="1" t="s">
        <v>264</v>
      </c>
      <c r="T1260" s="29" t="s">
        <v>265</v>
      </c>
      <c r="U1260" s="30">
        <v>46251</v>
      </c>
      <c r="V1260" s="27" t="s">
        <v>2006</v>
      </c>
      <c r="W1260" s="27" t="s">
        <v>1497</v>
      </c>
    </row>
    <row r="1261" spans="1:23" ht="24" customHeight="1">
      <c r="A1261" s="27" t="str">
        <f t="shared" ca="1" si="19"/>
        <v>EVT-2026-1259</v>
      </c>
      <c r="B1261" s="27">
        <v>2026</v>
      </c>
      <c r="C1261" s="27" t="s">
        <v>106</v>
      </c>
      <c r="D1261" s="30">
        <v>46254</v>
      </c>
      <c r="E1261" s="27" t="s">
        <v>216</v>
      </c>
      <c r="F1261" s="27" t="s">
        <v>126</v>
      </c>
      <c r="G1261" s="27" t="s">
        <v>125</v>
      </c>
      <c r="H1261" s="27" t="s">
        <v>228</v>
      </c>
      <c r="I1261" s="27" t="s">
        <v>1132</v>
      </c>
      <c r="J1261" s="27" t="s">
        <v>152</v>
      </c>
      <c r="K1261" s="10">
        <v>0</v>
      </c>
      <c r="L1261" s="36" t="s">
        <v>263</v>
      </c>
      <c r="M1261" s="37" t="s">
        <v>359</v>
      </c>
      <c r="N1261" s="37" t="s">
        <v>290</v>
      </c>
      <c r="O1261" s="27"/>
      <c r="P1261" s="27"/>
      <c r="Q1261" s="27" t="s">
        <v>1990</v>
      </c>
      <c r="R1261" s="27" t="s">
        <v>213</v>
      </c>
      <c r="S1261" s="3" t="s">
        <v>312</v>
      </c>
      <c r="T1261" s="29" t="s">
        <v>265</v>
      </c>
      <c r="U1261" s="30">
        <v>46154</v>
      </c>
      <c r="V1261" s="27" t="s">
        <v>298</v>
      </c>
      <c r="W1261" s="27"/>
    </row>
    <row r="1262" spans="1:23" ht="24" customHeight="1">
      <c r="A1262" s="27" t="str">
        <f t="shared" ca="1" si="19"/>
        <v>EVT-2026-1260</v>
      </c>
      <c r="B1262" s="27">
        <v>2026</v>
      </c>
      <c r="C1262" s="27" t="s">
        <v>106</v>
      </c>
      <c r="D1262" s="30">
        <v>46254</v>
      </c>
      <c r="E1262" s="27" t="s">
        <v>216</v>
      </c>
      <c r="F1262" s="27" t="s">
        <v>126</v>
      </c>
      <c r="G1262" s="27" t="s">
        <v>1366</v>
      </c>
      <c r="H1262" s="27" t="s">
        <v>208</v>
      </c>
      <c r="I1262" s="27" t="s">
        <v>217</v>
      </c>
      <c r="J1262" s="27" t="s">
        <v>145</v>
      </c>
      <c r="K1262" s="10">
        <v>50</v>
      </c>
      <c r="L1262" s="36" t="s">
        <v>263</v>
      </c>
      <c r="M1262" s="37" t="s">
        <v>309</v>
      </c>
      <c r="N1262" s="37" t="s">
        <v>296</v>
      </c>
      <c r="O1262" s="27"/>
      <c r="P1262" s="27"/>
      <c r="Q1262" s="27" t="s">
        <v>1080</v>
      </c>
      <c r="R1262" s="27" t="s">
        <v>1949</v>
      </c>
      <c r="S1262" s="3" t="s">
        <v>312</v>
      </c>
      <c r="T1262" s="29" t="s">
        <v>265</v>
      </c>
      <c r="U1262" s="27"/>
      <c r="V1262" s="27" t="s">
        <v>298</v>
      </c>
      <c r="W1262" s="27" t="s">
        <v>1497</v>
      </c>
    </row>
    <row r="1263" spans="1:23" ht="24" customHeight="1">
      <c r="A1263" s="27" t="str">
        <f t="shared" ca="1" si="19"/>
        <v>EVT-2026-1261</v>
      </c>
      <c r="B1263" s="27">
        <v>2026</v>
      </c>
      <c r="C1263" s="27" t="s">
        <v>106</v>
      </c>
      <c r="D1263" s="30">
        <v>46254</v>
      </c>
      <c r="E1263" s="27" t="s">
        <v>216</v>
      </c>
      <c r="F1263" s="27" t="s">
        <v>126</v>
      </c>
      <c r="G1263" s="27" t="s">
        <v>736</v>
      </c>
      <c r="H1263" s="27" t="s">
        <v>202</v>
      </c>
      <c r="I1263" s="27" t="s">
        <v>1785</v>
      </c>
      <c r="J1263" s="27" t="s">
        <v>177</v>
      </c>
      <c r="K1263" s="10">
        <v>50</v>
      </c>
      <c r="L1263" s="36" t="s">
        <v>263</v>
      </c>
      <c r="M1263" s="37" t="s">
        <v>309</v>
      </c>
      <c r="N1263" s="37" t="s">
        <v>295</v>
      </c>
      <c r="O1263" s="27" t="s">
        <v>369</v>
      </c>
      <c r="P1263" s="27" t="s">
        <v>2007</v>
      </c>
      <c r="Q1263" s="27" t="s">
        <v>378</v>
      </c>
      <c r="R1263" s="27" t="s">
        <v>1786</v>
      </c>
      <c r="S1263" s="1" t="s">
        <v>264</v>
      </c>
      <c r="T1263" s="29" t="s">
        <v>265</v>
      </c>
      <c r="U1263" s="30">
        <v>46246</v>
      </c>
      <c r="V1263" s="27" t="s">
        <v>1313</v>
      </c>
      <c r="W1263" s="27" t="s">
        <v>1846</v>
      </c>
    </row>
    <row r="1264" spans="1:23" ht="24" customHeight="1">
      <c r="A1264" s="27" t="str">
        <f t="shared" ca="1" si="19"/>
        <v>EVT-2026-1262</v>
      </c>
      <c r="B1264" s="27">
        <v>2026</v>
      </c>
      <c r="C1264" s="27" t="s">
        <v>106</v>
      </c>
      <c r="D1264" s="30">
        <v>46254</v>
      </c>
      <c r="E1264" s="27" t="s">
        <v>216</v>
      </c>
      <c r="F1264" s="27" t="s">
        <v>126</v>
      </c>
      <c r="G1264" s="27" t="s">
        <v>1366</v>
      </c>
      <c r="H1264" s="27" t="s">
        <v>202</v>
      </c>
      <c r="I1264" s="27" t="s">
        <v>2008</v>
      </c>
      <c r="J1264" s="27" t="s">
        <v>177</v>
      </c>
      <c r="K1264" s="10">
        <v>40</v>
      </c>
      <c r="L1264" s="36" t="s">
        <v>263</v>
      </c>
      <c r="M1264" s="37" t="s">
        <v>330</v>
      </c>
      <c r="N1264" s="37" t="s">
        <v>2009</v>
      </c>
      <c r="O1264" s="27" t="s">
        <v>1445</v>
      </c>
      <c r="P1264" s="27" t="s">
        <v>382</v>
      </c>
      <c r="Q1264" s="27" t="s">
        <v>2010</v>
      </c>
      <c r="R1264" s="27" t="s">
        <v>2011</v>
      </c>
      <c r="S1264" s="1" t="s">
        <v>264</v>
      </c>
      <c r="T1264" s="29" t="s">
        <v>265</v>
      </c>
      <c r="U1264" s="30">
        <v>46253</v>
      </c>
      <c r="V1264" s="27" t="s">
        <v>1313</v>
      </c>
      <c r="W1264" s="27" t="s">
        <v>1497</v>
      </c>
    </row>
    <row r="1265" spans="1:23" ht="24" customHeight="1">
      <c r="A1265" s="27" t="str">
        <f t="shared" ca="1" si="19"/>
        <v>EVT-2026-1263</v>
      </c>
      <c r="B1265" s="27">
        <v>2026</v>
      </c>
      <c r="C1265" s="27" t="s">
        <v>106</v>
      </c>
      <c r="D1265" s="30">
        <v>46254</v>
      </c>
      <c r="E1265" s="27" t="s">
        <v>216</v>
      </c>
      <c r="F1265" s="27" t="s">
        <v>126</v>
      </c>
      <c r="G1265" s="27" t="s">
        <v>1986</v>
      </c>
      <c r="H1265" s="27" t="s">
        <v>208</v>
      </c>
      <c r="I1265" s="27" t="s">
        <v>1987</v>
      </c>
      <c r="J1265" s="27" t="s">
        <v>152</v>
      </c>
      <c r="K1265" s="10">
        <v>8</v>
      </c>
      <c r="L1265" s="36" t="s">
        <v>263</v>
      </c>
      <c r="M1265" s="37" t="s">
        <v>354</v>
      </c>
      <c r="N1265" s="37" t="s">
        <v>350</v>
      </c>
      <c r="O1265" s="27" t="s">
        <v>382</v>
      </c>
      <c r="P1265" s="27" t="s">
        <v>1989</v>
      </c>
      <c r="Q1265" s="27" t="s">
        <v>1990</v>
      </c>
      <c r="R1265" s="27" t="s">
        <v>213</v>
      </c>
      <c r="S1265" s="1" t="s">
        <v>264</v>
      </c>
      <c r="T1265" s="29" t="s">
        <v>265</v>
      </c>
      <c r="U1265" s="30">
        <v>46253</v>
      </c>
      <c r="V1265" s="27" t="s">
        <v>1411</v>
      </c>
      <c r="W1265" s="27" t="s">
        <v>1497</v>
      </c>
    </row>
    <row r="1266" spans="1:23" ht="24" customHeight="1">
      <c r="A1266" s="27" t="str">
        <f t="shared" ca="1" si="19"/>
        <v>EVT-2026-1264</v>
      </c>
      <c r="B1266" s="27">
        <v>2026</v>
      </c>
      <c r="C1266" s="27" t="s">
        <v>106</v>
      </c>
      <c r="D1266" s="30">
        <v>46255</v>
      </c>
      <c r="E1266" s="27" t="s">
        <v>220</v>
      </c>
      <c r="F1266" s="27" t="s">
        <v>126</v>
      </c>
      <c r="G1266" s="27" t="s">
        <v>736</v>
      </c>
      <c r="H1266" s="27" t="s">
        <v>202</v>
      </c>
      <c r="I1266" s="27" t="s">
        <v>2012</v>
      </c>
      <c r="J1266" s="27" t="s">
        <v>134</v>
      </c>
      <c r="K1266" s="10">
        <v>24</v>
      </c>
      <c r="L1266" s="36" t="s">
        <v>263</v>
      </c>
      <c r="M1266" s="37" t="s">
        <v>281</v>
      </c>
      <c r="N1266" s="37" t="s">
        <v>270</v>
      </c>
      <c r="O1266" s="27"/>
      <c r="P1266" s="27"/>
      <c r="Q1266" s="27" t="s">
        <v>1198</v>
      </c>
      <c r="R1266" s="27" t="s">
        <v>2013</v>
      </c>
      <c r="S1266" s="1" t="s">
        <v>264</v>
      </c>
      <c r="T1266" s="29" t="s">
        <v>265</v>
      </c>
      <c r="U1266" s="30">
        <v>46193</v>
      </c>
      <c r="V1266" s="27" t="s">
        <v>1680</v>
      </c>
      <c r="W1266" s="27" t="s">
        <v>1497</v>
      </c>
    </row>
    <row r="1267" spans="1:23" ht="24" customHeight="1">
      <c r="A1267" s="27" t="str">
        <f t="shared" ca="1" si="19"/>
        <v>EVT-2026-1265</v>
      </c>
      <c r="B1267" s="27">
        <v>2026</v>
      </c>
      <c r="C1267" s="27" t="s">
        <v>106</v>
      </c>
      <c r="D1267" s="30">
        <v>46255</v>
      </c>
      <c r="E1267" s="27" t="s">
        <v>220</v>
      </c>
      <c r="F1267" s="27" t="s">
        <v>126</v>
      </c>
      <c r="G1267" s="27" t="s">
        <v>125</v>
      </c>
      <c r="H1267" s="27" t="s">
        <v>228</v>
      </c>
      <c r="I1267" s="27" t="s">
        <v>2014</v>
      </c>
      <c r="J1267" s="27" t="s">
        <v>127</v>
      </c>
      <c r="K1267" s="10">
        <v>80</v>
      </c>
      <c r="L1267" s="36" t="s">
        <v>263</v>
      </c>
      <c r="M1267" s="37" t="s">
        <v>315</v>
      </c>
      <c r="N1267" s="37" t="s">
        <v>429</v>
      </c>
      <c r="O1267" s="27" t="s">
        <v>369</v>
      </c>
      <c r="P1267" s="27" t="s">
        <v>1670</v>
      </c>
      <c r="Q1267" s="27" t="s">
        <v>583</v>
      </c>
      <c r="R1267" s="27" t="s">
        <v>1772</v>
      </c>
      <c r="S1267" s="1" t="s">
        <v>264</v>
      </c>
      <c r="T1267" s="29" t="s">
        <v>265</v>
      </c>
      <c r="U1267" s="30">
        <v>46193</v>
      </c>
      <c r="V1267" s="27" t="s">
        <v>1313</v>
      </c>
      <c r="W1267" s="27" t="s">
        <v>1497</v>
      </c>
    </row>
    <row r="1268" spans="1:23" ht="24" customHeight="1">
      <c r="A1268" s="27" t="str">
        <f t="shared" ca="1" si="19"/>
        <v>EVT-2026-1266</v>
      </c>
      <c r="B1268" s="27">
        <v>2026</v>
      </c>
      <c r="C1268" s="27" t="s">
        <v>106</v>
      </c>
      <c r="D1268" s="30">
        <v>46255</v>
      </c>
      <c r="E1268" s="27" t="s">
        <v>220</v>
      </c>
      <c r="F1268" s="27" t="s">
        <v>126</v>
      </c>
      <c r="G1268" s="27" t="s">
        <v>125</v>
      </c>
      <c r="H1268" s="27" t="s">
        <v>228</v>
      </c>
      <c r="I1268" s="27" t="s">
        <v>2015</v>
      </c>
      <c r="J1268" s="27" t="s">
        <v>177</v>
      </c>
      <c r="K1268" s="10">
        <v>80</v>
      </c>
      <c r="L1268" s="36" t="s">
        <v>263</v>
      </c>
      <c r="M1268" s="37" t="s">
        <v>309</v>
      </c>
      <c r="N1268" s="37" t="s">
        <v>448</v>
      </c>
      <c r="O1268" s="27" t="s">
        <v>2016</v>
      </c>
      <c r="P1268" s="27" t="s">
        <v>1670</v>
      </c>
      <c r="Q1268" s="27" t="s">
        <v>1744</v>
      </c>
      <c r="R1268" s="27" t="s">
        <v>2017</v>
      </c>
      <c r="S1268" s="1" t="s">
        <v>264</v>
      </c>
      <c r="T1268" s="29" t="s">
        <v>265</v>
      </c>
      <c r="U1268" s="30">
        <v>46241</v>
      </c>
      <c r="V1268" s="27" t="s">
        <v>1313</v>
      </c>
      <c r="W1268" s="27" t="s">
        <v>1497</v>
      </c>
    </row>
    <row r="1269" spans="1:23" ht="24" customHeight="1">
      <c r="A1269" s="27" t="str">
        <f t="shared" ca="1" si="19"/>
        <v>EVT-2026-1267</v>
      </c>
      <c r="B1269" s="27">
        <v>2026</v>
      </c>
      <c r="C1269" s="27" t="s">
        <v>106</v>
      </c>
      <c r="D1269" s="30">
        <v>46255</v>
      </c>
      <c r="E1269" s="27" t="s">
        <v>220</v>
      </c>
      <c r="F1269" s="27" t="s">
        <v>126</v>
      </c>
      <c r="G1269" s="27" t="s">
        <v>1986</v>
      </c>
      <c r="H1269" s="27" t="s">
        <v>208</v>
      </c>
      <c r="I1269" s="27" t="s">
        <v>1987</v>
      </c>
      <c r="J1269" s="27" t="s">
        <v>152</v>
      </c>
      <c r="K1269" s="10">
        <v>8</v>
      </c>
      <c r="L1269" s="36" t="s">
        <v>263</v>
      </c>
      <c r="M1269" s="37" t="s">
        <v>354</v>
      </c>
      <c r="N1269" s="37" t="s">
        <v>350</v>
      </c>
      <c r="O1269" s="27" t="s">
        <v>382</v>
      </c>
      <c r="P1269" s="27" t="s">
        <v>1989</v>
      </c>
      <c r="Q1269" s="27" t="s">
        <v>1990</v>
      </c>
      <c r="R1269" s="27" t="s">
        <v>213</v>
      </c>
      <c r="S1269" s="1" t="s">
        <v>264</v>
      </c>
      <c r="T1269" s="29" t="s">
        <v>265</v>
      </c>
      <c r="U1269" s="30">
        <v>46253</v>
      </c>
      <c r="V1269" s="27" t="s">
        <v>1411</v>
      </c>
      <c r="W1269" s="27" t="s">
        <v>1497</v>
      </c>
    </row>
    <row r="1270" spans="1:23" ht="24" customHeight="1">
      <c r="A1270" s="27" t="str">
        <f t="shared" ca="1" si="19"/>
        <v>EVT-2026-1268</v>
      </c>
      <c r="B1270" s="27">
        <v>2026</v>
      </c>
      <c r="C1270" s="27" t="s">
        <v>106</v>
      </c>
      <c r="D1270" s="30">
        <v>46255</v>
      </c>
      <c r="E1270" s="27" t="s">
        <v>220</v>
      </c>
      <c r="F1270" s="27" t="s">
        <v>126</v>
      </c>
      <c r="G1270" s="27" t="s">
        <v>2018</v>
      </c>
      <c r="H1270" s="27" t="s">
        <v>202</v>
      </c>
      <c r="I1270" s="27" t="s">
        <v>2019</v>
      </c>
      <c r="J1270" s="27" t="s">
        <v>158</v>
      </c>
      <c r="K1270" s="10">
        <v>15</v>
      </c>
      <c r="L1270" s="36" t="s">
        <v>263</v>
      </c>
      <c r="M1270" s="37" t="s">
        <v>309</v>
      </c>
      <c r="N1270" s="37" t="s">
        <v>296</v>
      </c>
      <c r="O1270" s="27" t="s">
        <v>1445</v>
      </c>
      <c r="P1270" s="27" t="s">
        <v>2020</v>
      </c>
      <c r="Q1270" s="27" t="s">
        <v>2021</v>
      </c>
      <c r="R1270" s="27" t="s">
        <v>2022</v>
      </c>
      <c r="S1270" s="1" t="s">
        <v>264</v>
      </c>
      <c r="T1270" s="29" t="s">
        <v>265</v>
      </c>
      <c r="U1270" s="30">
        <v>46253</v>
      </c>
      <c r="V1270" s="27" t="s">
        <v>1411</v>
      </c>
      <c r="W1270" s="27" t="s">
        <v>1497</v>
      </c>
    </row>
    <row r="1271" spans="1:23" ht="24" customHeight="1">
      <c r="A1271" s="27" t="str">
        <f t="shared" ca="1" si="19"/>
        <v>EVT-2026-1269</v>
      </c>
      <c r="B1271" s="27">
        <v>2026</v>
      </c>
      <c r="C1271" s="27" t="s">
        <v>106</v>
      </c>
      <c r="D1271" s="30">
        <v>46255</v>
      </c>
      <c r="E1271" s="27" t="s">
        <v>220</v>
      </c>
      <c r="F1271" s="27" t="s">
        <v>126</v>
      </c>
      <c r="G1271" s="27" t="s">
        <v>348</v>
      </c>
      <c r="H1271" s="27" t="s">
        <v>202</v>
      </c>
      <c r="I1271" s="27" t="s">
        <v>2023</v>
      </c>
      <c r="J1271" s="27" t="s">
        <v>165</v>
      </c>
      <c r="K1271" s="10">
        <v>40</v>
      </c>
      <c r="L1271" s="36" t="s">
        <v>263</v>
      </c>
      <c r="M1271" s="37" t="s">
        <v>354</v>
      </c>
      <c r="N1271" s="37" t="s">
        <v>350</v>
      </c>
      <c r="O1271" s="27" t="s">
        <v>382</v>
      </c>
      <c r="P1271" s="27" t="s">
        <v>2024</v>
      </c>
      <c r="Q1271" s="27" t="s">
        <v>2025</v>
      </c>
      <c r="R1271" s="27" t="s">
        <v>2026</v>
      </c>
      <c r="S1271" s="1" t="s">
        <v>264</v>
      </c>
      <c r="T1271" s="29" t="s">
        <v>265</v>
      </c>
      <c r="U1271" s="30">
        <v>46254</v>
      </c>
      <c r="V1271" s="27" t="s">
        <v>1411</v>
      </c>
      <c r="W1271" s="27" t="s">
        <v>1497</v>
      </c>
    </row>
    <row r="1272" spans="1:23" ht="24" customHeight="1">
      <c r="A1272" s="27" t="str">
        <f t="shared" ca="1" si="19"/>
        <v>EVT-2026-1270</v>
      </c>
      <c r="B1272" s="27">
        <v>2026</v>
      </c>
      <c r="C1272" s="27" t="s">
        <v>106</v>
      </c>
      <c r="D1272" s="30">
        <v>46256</v>
      </c>
      <c r="E1272" s="27" t="s">
        <v>266</v>
      </c>
      <c r="F1272" s="27" t="s">
        <v>126</v>
      </c>
      <c r="G1272" s="27" t="s">
        <v>125</v>
      </c>
      <c r="H1272" s="27" t="s">
        <v>228</v>
      </c>
      <c r="I1272" s="27" t="s">
        <v>2027</v>
      </c>
      <c r="J1272" s="27" t="s">
        <v>145</v>
      </c>
      <c r="K1272" s="10">
        <v>80</v>
      </c>
      <c r="L1272" s="36" t="s">
        <v>263</v>
      </c>
      <c r="M1272" s="37" t="s">
        <v>281</v>
      </c>
      <c r="N1272" s="37" t="s">
        <v>359</v>
      </c>
      <c r="O1272" s="27" t="s">
        <v>2028</v>
      </c>
      <c r="P1272" s="27" t="s">
        <v>1445</v>
      </c>
      <c r="Q1272" s="27" t="s">
        <v>760</v>
      </c>
      <c r="R1272" s="27" t="s">
        <v>1622</v>
      </c>
      <c r="S1272" s="3" t="s">
        <v>312</v>
      </c>
      <c r="T1272" s="29" t="s">
        <v>265</v>
      </c>
      <c r="U1272" s="30">
        <v>46252</v>
      </c>
      <c r="V1272" s="27" t="s">
        <v>1313</v>
      </c>
      <c r="W1272" s="27" t="s">
        <v>1497</v>
      </c>
    </row>
    <row r="1273" spans="1:23" ht="24" customHeight="1">
      <c r="A1273" s="27" t="str">
        <f t="shared" ca="1" si="19"/>
        <v>EVT-2026-1271</v>
      </c>
      <c r="B1273" s="27">
        <v>2026</v>
      </c>
      <c r="C1273" s="27" t="s">
        <v>106</v>
      </c>
      <c r="D1273" s="30">
        <v>46258</v>
      </c>
      <c r="E1273" s="27" t="s">
        <v>224</v>
      </c>
      <c r="F1273" s="27" t="s">
        <v>126</v>
      </c>
      <c r="G1273" s="27" t="s">
        <v>2018</v>
      </c>
      <c r="H1273" s="27" t="s">
        <v>1260</v>
      </c>
      <c r="I1273" s="27" t="s">
        <v>203</v>
      </c>
      <c r="J1273" s="27" t="s">
        <v>134</v>
      </c>
      <c r="K1273" s="10">
        <v>25</v>
      </c>
      <c r="L1273" s="36" t="s">
        <v>263</v>
      </c>
      <c r="M1273" s="37" t="s">
        <v>269</v>
      </c>
      <c r="N1273" s="37" t="s">
        <v>270</v>
      </c>
      <c r="O1273" s="27"/>
      <c r="P1273" s="27"/>
      <c r="Q1273" s="27" t="s">
        <v>1707</v>
      </c>
      <c r="R1273" s="27" t="s">
        <v>2029</v>
      </c>
      <c r="S1273" s="1" t="s">
        <v>264</v>
      </c>
      <c r="T1273" s="29" t="s">
        <v>265</v>
      </c>
      <c r="U1273" s="30">
        <v>46218</v>
      </c>
      <c r="V1273" s="27" t="s">
        <v>2030</v>
      </c>
      <c r="W1273" s="27" t="s">
        <v>1497</v>
      </c>
    </row>
    <row r="1274" spans="1:23" ht="24" customHeight="1">
      <c r="A1274" s="27" t="str">
        <f t="shared" ca="1" si="19"/>
        <v>EVT-2026-1272</v>
      </c>
      <c r="B1274" s="27">
        <v>2026</v>
      </c>
      <c r="C1274" s="27" t="s">
        <v>106</v>
      </c>
      <c r="D1274" s="30">
        <v>46258</v>
      </c>
      <c r="E1274" s="27" t="s">
        <v>224</v>
      </c>
      <c r="F1274" s="27" t="s">
        <v>126</v>
      </c>
      <c r="G1274" s="27" t="s">
        <v>125</v>
      </c>
      <c r="H1274" s="27" t="s">
        <v>228</v>
      </c>
      <c r="I1274" s="27" t="s">
        <v>236</v>
      </c>
      <c r="J1274" s="27" t="s">
        <v>139</v>
      </c>
      <c r="K1274" s="10">
        <v>85</v>
      </c>
      <c r="L1274" s="36" t="s">
        <v>263</v>
      </c>
      <c r="M1274" s="37" t="s">
        <v>269</v>
      </c>
      <c r="N1274" s="37" t="s">
        <v>270</v>
      </c>
      <c r="O1274" s="27" t="s">
        <v>1445</v>
      </c>
      <c r="P1274" s="27" t="s">
        <v>1445</v>
      </c>
      <c r="Q1274" s="27" t="s">
        <v>237</v>
      </c>
      <c r="R1274" s="27" t="s">
        <v>1415</v>
      </c>
      <c r="S1274" s="1" t="s">
        <v>264</v>
      </c>
      <c r="T1274" s="29" t="s">
        <v>265</v>
      </c>
      <c r="U1274" s="30">
        <v>46254</v>
      </c>
      <c r="V1274" s="27" t="s">
        <v>1200</v>
      </c>
      <c r="W1274" s="27" t="s">
        <v>1497</v>
      </c>
    </row>
    <row r="1275" spans="1:23" ht="24" customHeight="1">
      <c r="A1275" s="27" t="str">
        <f t="shared" ca="1" si="19"/>
        <v>EVT-2026-1273</v>
      </c>
      <c r="B1275" s="27">
        <v>2026</v>
      </c>
      <c r="C1275" s="27" t="s">
        <v>106</v>
      </c>
      <c r="D1275" s="30">
        <v>46258</v>
      </c>
      <c r="E1275" s="27" t="s">
        <v>224</v>
      </c>
      <c r="F1275" s="27" t="s">
        <v>126</v>
      </c>
      <c r="G1275" s="27" t="s">
        <v>736</v>
      </c>
      <c r="H1275" s="27" t="s">
        <v>202</v>
      </c>
      <c r="I1275" s="27" t="s">
        <v>203</v>
      </c>
      <c r="J1275" s="27" t="s">
        <v>134</v>
      </c>
      <c r="K1275" s="10">
        <v>50</v>
      </c>
      <c r="L1275" s="36" t="s">
        <v>263</v>
      </c>
      <c r="M1275" s="37" t="s">
        <v>269</v>
      </c>
      <c r="N1275" s="37" t="s">
        <v>270</v>
      </c>
      <c r="O1275" s="27"/>
      <c r="P1275" s="27"/>
      <c r="Q1275" s="27" t="s">
        <v>1707</v>
      </c>
      <c r="R1275" s="27" t="s">
        <v>2029</v>
      </c>
      <c r="S1275" s="1" t="s">
        <v>264</v>
      </c>
      <c r="T1275" s="29" t="s">
        <v>265</v>
      </c>
      <c r="U1275" s="30">
        <v>46218</v>
      </c>
      <c r="V1275" s="27" t="s">
        <v>2030</v>
      </c>
      <c r="W1275" s="27" t="s">
        <v>1497</v>
      </c>
    </row>
    <row r="1276" spans="1:23" ht="24" customHeight="1">
      <c r="A1276" s="27" t="str">
        <f t="shared" ca="1" si="19"/>
        <v>EVT-2026-1274</v>
      </c>
      <c r="B1276" s="27">
        <v>2026</v>
      </c>
      <c r="C1276" s="27" t="s">
        <v>106</v>
      </c>
      <c r="D1276" s="30">
        <v>46258</v>
      </c>
      <c r="E1276" s="27" t="s">
        <v>224</v>
      </c>
      <c r="F1276" s="27" t="s">
        <v>126</v>
      </c>
      <c r="G1276" s="27" t="s">
        <v>1366</v>
      </c>
      <c r="H1276" s="27" t="s">
        <v>202</v>
      </c>
      <c r="I1276" s="27" t="s">
        <v>2031</v>
      </c>
      <c r="J1276" s="27" t="s">
        <v>177</v>
      </c>
      <c r="K1276" s="10">
        <v>30</v>
      </c>
      <c r="L1276" s="36" t="s">
        <v>263</v>
      </c>
      <c r="M1276" s="37" t="s">
        <v>274</v>
      </c>
      <c r="N1276" s="37" t="s">
        <v>330</v>
      </c>
      <c r="O1276" s="27" t="s">
        <v>1445</v>
      </c>
      <c r="P1276" s="27" t="s">
        <v>1829</v>
      </c>
      <c r="Q1276" s="27" t="s">
        <v>2032</v>
      </c>
      <c r="R1276" s="27" t="s">
        <v>2033</v>
      </c>
      <c r="S1276" s="1" t="s">
        <v>264</v>
      </c>
      <c r="T1276" s="29" t="s">
        <v>265</v>
      </c>
      <c r="U1276" s="30">
        <v>46254</v>
      </c>
      <c r="V1276" s="27" t="s">
        <v>1313</v>
      </c>
      <c r="W1276" s="27" t="s">
        <v>1497</v>
      </c>
    </row>
    <row r="1277" spans="1:23" ht="24" customHeight="1">
      <c r="A1277" s="27" t="str">
        <f t="shared" ca="1" si="19"/>
        <v>EVT-2026-1275</v>
      </c>
      <c r="B1277" s="27">
        <v>2026</v>
      </c>
      <c r="C1277" s="27" t="s">
        <v>106</v>
      </c>
      <c r="D1277" s="30">
        <v>46258</v>
      </c>
      <c r="E1277" s="27" t="s">
        <v>224</v>
      </c>
      <c r="F1277" s="27" t="s">
        <v>126</v>
      </c>
      <c r="G1277" s="27"/>
      <c r="H1277" s="27"/>
      <c r="I1277" s="27"/>
      <c r="J1277" s="27" t="s">
        <v>177</v>
      </c>
      <c r="K1277" s="10">
        <v>0</v>
      </c>
      <c r="L1277" s="36" t="s">
        <v>263</v>
      </c>
      <c r="M1277" s="37"/>
      <c r="N1277" s="37"/>
      <c r="O1277" s="27"/>
      <c r="P1277" s="27"/>
      <c r="Q1277" s="27"/>
      <c r="R1277" s="27"/>
      <c r="S1277" s="2" t="s">
        <v>1859</v>
      </c>
      <c r="T1277" s="29" t="s">
        <v>265</v>
      </c>
      <c r="U1277" s="27"/>
      <c r="V1277" s="27"/>
      <c r="W1277" s="27"/>
    </row>
    <row r="1278" spans="1:23" ht="24" customHeight="1">
      <c r="A1278" s="27" t="str">
        <f t="shared" ca="1" si="19"/>
        <v>EVT-2026-1276</v>
      </c>
      <c r="B1278" s="27">
        <v>2026</v>
      </c>
      <c r="C1278" s="27" t="s">
        <v>106</v>
      </c>
      <c r="D1278" s="30">
        <v>46259</v>
      </c>
      <c r="E1278" s="27" t="s">
        <v>227</v>
      </c>
      <c r="F1278" s="27" t="s">
        <v>126</v>
      </c>
      <c r="G1278" s="27" t="s">
        <v>2018</v>
      </c>
      <c r="H1278" s="27" t="s">
        <v>1260</v>
      </c>
      <c r="I1278" s="27" t="s">
        <v>203</v>
      </c>
      <c r="J1278" s="27" t="s">
        <v>134</v>
      </c>
      <c r="K1278" s="10">
        <v>25</v>
      </c>
      <c r="L1278" s="36" t="s">
        <v>263</v>
      </c>
      <c r="M1278" s="37" t="s">
        <v>269</v>
      </c>
      <c r="N1278" s="37" t="s">
        <v>270</v>
      </c>
      <c r="O1278" s="27"/>
      <c r="P1278" s="27"/>
      <c r="Q1278" s="27" t="s">
        <v>1707</v>
      </c>
      <c r="R1278" s="27" t="s">
        <v>2029</v>
      </c>
      <c r="S1278" s="1" t="s">
        <v>264</v>
      </c>
      <c r="T1278" s="29" t="s">
        <v>265</v>
      </c>
      <c r="U1278" s="30">
        <v>46218</v>
      </c>
      <c r="V1278" s="27" t="s">
        <v>2030</v>
      </c>
      <c r="W1278" s="27" t="s">
        <v>1497</v>
      </c>
    </row>
    <row r="1279" spans="1:23" ht="24" customHeight="1">
      <c r="A1279" s="27" t="str">
        <f t="shared" ca="1" si="19"/>
        <v>EVT-2026-1277</v>
      </c>
      <c r="B1279" s="27">
        <v>2026</v>
      </c>
      <c r="C1279" s="27" t="s">
        <v>106</v>
      </c>
      <c r="D1279" s="30">
        <v>46259</v>
      </c>
      <c r="E1279" s="27" t="s">
        <v>227</v>
      </c>
      <c r="F1279" s="27" t="s">
        <v>126</v>
      </c>
      <c r="G1279" s="27" t="s">
        <v>736</v>
      </c>
      <c r="H1279" s="27" t="s">
        <v>202</v>
      </c>
      <c r="I1279" s="27" t="s">
        <v>203</v>
      </c>
      <c r="J1279" s="27" t="s">
        <v>134</v>
      </c>
      <c r="K1279" s="10">
        <v>50</v>
      </c>
      <c r="L1279" s="36" t="s">
        <v>263</v>
      </c>
      <c r="M1279" s="37" t="s">
        <v>269</v>
      </c>
      <c r="N1279" s="37" t="s">
        <v>270</v>
      </c>
      <c r="O1279" s="27"/>
      <c r="P1279" s="27"/>
      <c r="Q1279" s="27" t="s">
        <v>1707</v>
      </c>
      <c r="R1279" s="27" t="s">
        <v>2029</v>
      </c>
      <c r="S1279" s="1" t="s">
        <v>264</v>
      </c>
      <c r="T1279" s="29" t="s">
        <v>265</v>
      </c>
      <c r="U1279" s="30">
        <v>46218</v>
      </c>
      <c r="V1279" s="27" t="s">
        <v>2030</v>
      </c>
      <c r="W1279" s="27" t="s">
        <v>1497</v>
      </c>
    </row>
    <row r="1280" spans="1:23" ht="24" customHeight="1">
      <c r="A1280" s="27" t="str">
        <f t="shared" ca="1" si="19"/>
        <v>EVT-2026-1278</v>
      </c>
      <c r="B1280" s="27">
        <v>2026</v>
      </c>
      <c r="C1280" s="27" t="s">
        <v>106</v>
      </c>
      <c r="D1280" s="30">
        <v>46259</v>
      </c>
      <c r="E1280" s="27" t="s">
        <v>227</v>
      </c>
      <c r="F1280" s="27" t="s">
        <v>126</v>
      </c>
      <c r="G1280" s="27" t="s">
        <v>1366</v>
      </c>
      <c r="H1280" s="27" t="s">
        <v>208</v>
      </c>
      <c r="I1280" s="27" t="s">
        <v>217</v>
      </c>
      <c r="J1280" s="27" t="s">
        <v>145</v>
      </c>
      <c r="K1280" s="10">
        <v>50</v>
      </c>
      <c r="L1280" s="36" t="s">
        <v>263</v>
      </c>
      <c r="M1280" s="37" t="s">
        <v>309</v>
      </c>
      <c r="N1280" s="37" t="s">
        <v>296</v>
      </c>
      <c r="O1280" s="27"/>
      <c r="P1280" s="27"/>
      <c r="Q1280" s="27" t="s">
        <v>1080</v>
      </c>
      <c r="R1280" s="27" t="s">
        <v>1949</v>
      </c>
      <c r="S1280" s="1" t="s">
        <v>264</v>
      </c>
      <c r="T1280" s="29" t="s">
        <v>265</v>
      </c>
      <c r="U1280" s="27"/>
      <c r="V1280" s="27" t="s">
        <v>298</v>
      </c>
      <c r="W1280" s="27" t="s">
        <v>1497</v>
      </c>
    </row>
    <row r="1281" spans="1:23" ht="24" customHeight="1">
      <c r="A1281" s="27" t="str">
        <f t="shared" ca="1" si="19"/>
        <v>EVT-2026-1279</v>
      </c>
      <c r="B1281" s="27">
        <v>2026</v>
      </c>
      <c r="C1281" s="27" t="s">
        <v>106</v>
      </c>
      <c r="D1281" s="30">
        <v>46259</v>
      </c>
      <c r="E1281" s="27" t="s">
        <v>227</v>
      </c>
      <c r="F1281" s="27" t="s">
        <v>126</v>
      </c>
      <c r="G1281" s="27" t="s">
        <v>125</v>
      </c>
      <c r="H1281" s="27" t="s">
        <v>228</v>
      </c>
      <c r="I1281" s="27" t="s">
        <v>2034</v>
      </c>
      <c r="J1281" s="27" t="s">
        <v>177</v>
      </c>
      <c r="K1281" s="10">
        <v>60</v>
      </c>
      <c r="L1281" s="36" t="s">
        <v>263</v>
      </c>
      <c r="M1281" s="37" t="s">
        <v>269</v>
      </c>
      <c r="N1281" s="37" t="s">
        <v>274</v>
      </c>
      <c r="O1281" s="27"/>
      <c r="P1281" s="27"/>
      <c r="Q1281" s="27" t="s">
        <v>1997</v>
      </c>
      <c r="R1281" s="27" t="s">
        <v>1998</v>
      </c>
      <c r="S1281" s="1" t="s">
        <v>264</v>
      </c>
      <c r="T1281" s="29" t="s">
        <v>265</v>
      </c>
      <c r="U1281" s="27"/>
      <c r="V1281" s="27" t="s">
        <v>298</v>
      </c>
      <c r="W1281" s="27" t="s">
        <v>1497</v>
      </c>
    </row>
    <row r="1282" spans="1:23" ht="24" customHeight="1">
      <c r="A1282" s="27" t="str">
        <f t="shared" ca="1" si="19"/>
        <v>EVT-2026-1280</v>
      </c>
      <c r="B1282" s="27">
        <v>2026</v>
      </c>
      <c r="C1282" s="27" t="s">
        <v>106</v>
      </c>
      <c r="D1282" s="30">
        <v>46259</v>
      </c>
      <c r="E1282" s="27" t="s">
        <v>227</v>
      </c>
      <c r="F1282" s="27" t="s">
        <v>126</v>
      </c>
      <c r="G1282" s="27" t="s">
        <v>125</v>
      </c>
      <c r="H1282" s="27" t="s">
        <v>228</v>
      </c>
      <c r="I1282" s="27" t="s">
        <v>2035</v>
      </c>
      <c r="J1282" s="27" t="s">
        <v>152</v>
      </c>
      <c r="K1282" s="10">
        <v>90</v>
      </c>
      <c r="L1282" s="36" t="s">
        <v>263</v>
      </c>
      <c r="M1282" s="37" t="s">
        <v>295</v>
      </c>
      <c r="N1282" s="37" t="s">
        <v>290</v>
      </c>
      <c r="O1282" s="27" t="s">
        <v>382</v>
      </c>
      <c r="P1282" s="27" t="s">
        <v>382</v>
      </c>
      <c r="Q1282" s="27" t="s">
        <v>1990</v>
      </c>
      <c r="R1282" s="27" t="s">
        <v>213</v>
      </c>
      <c r="S1282" s="1" t="s">
        <v>264</v>
      </c>
      <c r="T1282" s="29" t="s">
        <v>265</v>
      </c>
      <c r="U1282" s="27"/>
      <c r="V1282" s="27" t="s">
        <v>2036</v>
      </c>
      <c r="W1282" s="27" t="s">
        <v>1846</v>
      </c>
    </row>
    <row r="1283" spans="1:23" ht="24" customHeight="1">
      <c r="A1283" s="27" t="str">
        <f t="shared" ref="A1283:A1346" ca="1" si="20">IF(OR(D1283&lt;&gt;"",H1283&lt;&gt;"",I1283&lt;&gt;"",Q1283&lt;&gt;"",S1283&lt;&gt;""), "EVT-" &amp; TEXT(B1283, "0000") &amp; "-" &amp; TEXT(COUNTIF(OFFSET($A$1, 1, 0, ROW()-2, 1), "EVT*") + 1, "0000"), "")</f>
        <v>EVT-2026-1281</v>
      </c>
      <c r="B1283" s="27">
        <v>2026</v>
      </c>
      <c r="C1283" s="27" t="s">
        <v>106</v>
      </c>
      <c r="D1283" s="30">
        <v>46259</v>
      </c>
      <c r="E1283" s="27" t="s">
        <v>227</v>
      </c>
      <c r="F1283" s="27" t="s">
        <v>126</v>
      </c>
      <c r="G1283" s="27" t="s">
        <v>125</v>
      </c>
      <c r="H1283" s="27" t="s">
        <v>228</v>
      </c>
      <c r="I1283" s="27" t="s">
        <v>2037</v>
      </c>
      <c r="J1283" s="27" t="s">
        <v>177</v>
      </c>
      <c r="K1283" s="10">
        <v>80</v>
      </c>
      <c r="L1283" s="36" t="s">
        <v>263</v>
      </c>
      <c r="M1283" s="37" t="s">
        <v>429</v>
      </c>
      <c r="N1283" s="37" t="s">
        <v>354</v>
      </c>
      <c r="O1283" s="27" t="s">
        <v>1445</v>
      </c>
      <c r="P1283" s="27" t="s">
        <v>1457</v>
      </c>
      <c r="Q1283" s="27" t="s">
        <v>1562</v>
      </c>
      <c r="R1283" s="27" t="s">
        <v>2038</v>
      </c>
      <c r="S1283" s="1" t="s">
        <v>264</v>
      </c>
      <c r="T1283" s="29" t="s">
        <v>265</v>
      </c>
      <c r="U1283" s="30">
        <v>46252</v>
      </c>
      <c r="V1283" s="27"/>
      <c r="W1283" s="27"/>
    </row>
    <row r="1284" spans="1:23" ht="24" customHeight="1">
      <c r="A1284" s="27" t="str">
        <f t="shared" ca="1" si="20"/>
        <v>EVT-2026-1282</v>
      </c>
      <c r="B1284" s="27">
        <v>2026</v>
      </c>
      <c r="C1284" s="27" t="s">
        <v>106</v>
      </c>
      <c r="D1284" s="30">
        <v>46260</v>
      </c>
      <c r="E1284" s="27" t="s">
        <v>201</v>
      </c>
      <c r="F1284" s="27" t="s">
        <v>126</v>
      </c>
      <c r="G1284" s="27" t="s">
        <v>736</v>
      </c>
      <c r="H1284" s="27" t="s">
        <v>202</v>
      </c>
      <c r="I1284" s="27" t="s">
        <v>203</v>
      </c>
      <c r="J1284" s="27" t="s">
        <v>134</v>
      </c>
      <c r="K1284" s="10">
        <v>50</v>
      </c>
      <c r="L1284" s="36" t="s">
        <v>263</v>
      </c>
      <c r="M1284" s="37" t="s">
        <v>269</v>
      </c>
      <c r="N1284" s="37" t="s">
        <v>270</v>
      </c>
      <c r="O1284" s="27"/>
      <c r="P1284" s="27"/>
      <c r="Q1284" s="27" t="s">
        <v>1707</v>
      </c>
      <c r="R1284" s="27" t="s">
        <v>2029</v>
      </c>
      <c r="S1284" s="2" t="s">
        <v>1859</v>
      </c>
      <c r="T1284" s="29" t="s">
        <v>265</v>
      </c>
      <c r="U1284" s="30">
        <v>46218</v>
      </c>
      <c r="V1284" s="27" t="s">
        <v>2030</v>
      </c>
      <c r="W1284" s="27" t="s">
        <v>1497</v>
      </c>
    </row>
    <row r="1285" spans="1:23" ht="24" customHeight="1">
      <c r="A1285" s="27" t="str">
        <f t="shared" ca="1" si="20"/>
        <v>EVT-2026-1283</v>
      </c>
      <c r="B1285" s="27">
        <v>2026</v>
      </c>
      <c r="C1285" s="27" t="s">
        <v>106</v>
      </c>
      <c r="D1285" s="30">
        <v>46260</v>
      </c>
      <c r="E1285" s="27" t="s">
        <v>201</v>
      </c>
      <c r="F1285" s="27" t="s">
        <v>126</v>
      </c>
      <c r="G1285" s="27" t="s">
        <v>2018</v>
      </c>
      <c r="H1285" s="27" t="s">
        <v>1260</v>
      </c>
      <c r="I1285" s="27" t="s">
        <v>203</v>
      </c>
      <c r="J1285" s="27" t="s">
        <v>134</v>
      </c>
      <c r="K1285" s="10">
        <v>25</v>
      </c>
      <c r="L1285" s="36" t="s">
        <v>263</v>
      </c>
      <c r="M1285" s="37" t="s">
        <v>269</v>
      </c>
      <c r="N1285" s="37" t="s">
        <v>270</v>
      </c>
      <c r="O1285" s="27"/>
      <c r="P1285" s="27"/>
      <c r="Q1285" s="27" t="s">
        <v>1707</v>
      </c>
      <c r="R1285" s="27" t="s">
        <v>2029</v>
      </c>
      <c r="S1285" s="2" t="s">
        <v>1859</v>
      </c>
      <c r="T1285" s="29" t="s">
        <v>265</v>
      </c>
      <c r="U1285" s="30">
        <v>46218</v>
      </c>
      <c r="V1285" s="27" t="s">
        <v>2030</v>
      </c>
      <c r="W1285" s="27" t="s">
        <v>1497</v>
      </c>
    </row>
    <row r="1286" spans="1:23" ht="24" customHeight="1">
      <c r="A1286" s="27" t="str">
        <f t="shared" ca="1" si="20"/>
        <v>EVT-2026-1284</v>
      </c>
      <c r="B1286" s="27">
        <v>2026</v>
      </c>
      <c r="C1286" s="27" t="s">
        <v>106</v>
      </c>
      <c r="D1286" s="30">
        <v>46260</v>
      </c>
      <c r="E1286" s="27" t="s">
        <v>201</v>
      </c>
      <c r="F1286" s="27" t="s">
        <v>126</v>
      </c>
      <c r="G1286" s="27" t="s">
        <v>1366</v>
      </c>
      <c r="H1286" s="27" t="s">
        <v>208</v>
      </c>
      <c r="I1286" s="27" t="s">
        <v>217</v>
      </c>
      <c r="J1286" s="27" t="s">
        <v>145</v>
      </c>
      <c r="K1286" s="10">
        <v>50</v>
      </c>
      <c r="L1286" s="36" t="s">
        <v>263</v>
      </c>
      <c r="M1286" s="37" t="s">
        <v>309</v>
      </c>
      <c r="N1286" s="37" t="s">
        <v>296</v>
      </c>
      <c r="O1286" s="27"/>
      <c r="P1286" s="27"/>
      <c r="Q1286" s="27" t="s">
        <v>1080</v>
      </c>
      <c r="R1286" s="27" t="s">
        <v>1949</v>
      </c>
      <c r="S1286" s="2" t="s">
        <v>1859</v>
      </c>
      <c r="T1286" s="29" t="s">
        <v>265</v>
      </c>
      <c r="U1286" s="30">
        <v>46218</v>
      </c>
      <c r="V1286" s="27" t="s">
        <v>1200</v>
      </c>
      <c r="W1286" s="27" t="s">
        <v>1497</v>
      </c>
    </row>
    <row r="1287" spans="1:23" ht="24" customHeight="1">
      <c r="A1287" s="27" t="str">
        <f t="shared" ca="1" si="20"/>
        <v>EVT-2026-1285</v>
      </c>
      <c r="B1287" s="27">
        <v>2026</v>
      </c>
      <c r="C1287" s="27" t="s">
        <v>106</v>
      </c>
      <c r="D1287" s="30">
        <v>46260</v>
      </c>
      <c r="E1287" s="27" t="s">
        <v>201</v>
      </c>
      <c r="F1287" s="27" t="s">
        <v>126</v>
      </c>
      <c r="G1287" s="27" t="s">
        <v>125</v>
      </c>
      <c r="H1287" s="27" t="s">
        <v>228</v>
      </c>
      <c r="I1287" s="27" t="s">
        <v>2039</v>
      </c>
      <c r="J1287" s="27" t="s">
        <v>127</v>
      </c>
      <c r="K1287" s="10">
        <v>120</v>
      </c>
      <c r="L1287" s="38" t="s">
        <v>294</v>
      </c>
      <c r="M1287" s="37" t="s">
        <v>315</v>
      </c>
      <c r="N1287" s="37" t="s">
        <v>354</v>
      </c>
      <c r="O1287" s="27" t="s">
        <v>382</v>
      </c>
      <c r="P1287" s="27" t="s">
        <v>1829</v>
      </c>
      <c r="Q1287" s="27" t="s">
        <v>2040</v>
      </c>
      <c r="R1287" s="27" t="s">
        <v>1786</v>
      </c>
      <c r="S1287" s="2" t="s">
        <v>1859</v>
      </c>
      <c r="T1287" s="29" t="s">
        <v>265</v>
      </c>
      <c r="U1287" s="30">
        <v>46254</v>
      </c>
      <c r="V1287" s="27" t="s">
        <v>298</v>
      </c>
      <c r="W1287" s="27" t="s">
        <v>1497</v>
      </c>
    </row>
    <row r="1288" spans="1:23" ht="24" customHeight="1">
      <c r="A1288" s="27" t="str">
        <f t="shared" ca="1" si="20"/>
        <v>EVT-2026-1286</v>
      </c>
      <c r="B1288" s="27">
        <v>2026</v>
      </c>
      <c r="C1288" s="27" t="s">
        <v>106</v>
      </c>
      <c r="D1288" s="30">
        <v>46260</v>
      </c>
      <c r="E1288" s="27" t="s">
        <v>201</v>
      </c>
      <c r="F1288" s="27" t="s">
        <v>126</v>
      </c>
      <c r="G1288" s="27" t="s">
        <v>125</v>
      </c>
      <c r="H1288" s="27" t="s">
        <v>228</v>
      </c>
      <c r="I1288" s="27" t="s">
        <v>2041</v>
      </c>
      <c r="J1288" s="27" t="s">
        <v>177</v>
      </c>
      <c r="K1288" s="10">
        <v>75</v>
      </c>
      <c r="L1288" s="36" t="s">
        <v>263</v>
      </c>
      <c r="M1288" s="37" t="s">
        <v>896</v>
      </c>
      <c r="N1288" s="37" t="s">
        <v>981</v>
      </c>
      <c r="O1288" s="27" t="s">
        <v>1445</v>
      </c>
      <c r="P1288" s="27" t="s">
        <v>1394</v>
      </c>
      <c r="Q1288" s="27" t="s">
        <v>560</v>
      </c>
      <c r="R1288" s="27" t="s">
        <v>2042</v>
      </c>
      <c r="S1288" s="1" t="s">
        <v>264</v>
      </c>
      <c r="T1288" s="29" t="s">
        <v>265</v>
      </c>
      <c r="U1288" s="30">
        <v>46252</v>
      </c>
      <c r="V1288" s="27"/>
      <c r="W1288" s="27"/>
    </row>
    <row r="1289" spans="1:23" ht="24" customHeight="1">
      <c r="A1289" s="27" t="str">
        <f t="shared" ca="1" si="20"/>
        <v>EVT-2026-1287</v>
      </c>
      <c r="B1289" s="27">
        <v>2026</v>
      </c>
      <c r="C1289" s="27" t="s">
        <v>106</v>
      </c>
      <c r="D1289" s="30">
        <v>46260</v>
      </c>
      <c r="E1289" s="27" t="s">
        <v>201</v>
      </c>
      <c r="F1289" s="27" t="s">
        <v>126</v>
      </c>
      <c r="G1289" s="27" t="s">
        <v>2043</v>
      </c>
      <c r="H1289" s="27" t="s">
        <v>202</v>
      </c>
      <c r="I1289" s="27" t="s">
        <v>212</v>
      </c>
      <c r="J1289" s="27" t="s">
        <v>177</v>
      </c>
      <c r="K1289" s="10">
        <v>80</v>
      </c>
      <c r="L1289" s="36" t="s">
        <v>263</v>
      </c>
      <c r="M1289" s="37" t="s">
        <v>331</v>
      </c>
      <c r="N1289" s="37" t="s">
        <v>275</v>
      </c>
      <c r="O1289" s="27" t="s">
        <v>1445</v>
      </c>
      <c r="P1289" s="27" t="s">
        <v>1445</v>
      </c>
      <c r="Q1289" s="27" t="s">
        <v>615</v>
      </c>
      <c r="R1289" s="27" t="s">
        <v>2044</v>
      </c>
      <c r="S1289" s="2" t="s">
        <v>1859</v>
      </c>
      <c r="T1289" s="29" t="s">
        <v>265</v>
      </c>
      <c r="U1289" s="30">
        <v>46255</v>
      </c>
      <c r="V1289" s="27" t="s">
        <v>2045</v>
      </c>
      <c r="W1289" s="27" t="s">
        <v>1846</v>
      </c>
    </row>
    <row r="1290" spans="1:23" ht="24" customHeight="1">
      <c r="A1290" s="27" t="str">
        <f t="shared" ca="1" si="20"/>
        <v>EVT-2026-1288</v>
      </c>
      <c r="B1290" s="27">
        <v>2026</v>
      </c>
      <c r="C1290" s="27" t="s">
        <v>106</v>
      </c>
      <c r="D1290" s="30">
        <v>46261</v>
      </c>
      <c r="E1290" s="27" t="s">
        <v>216</v>
      </c>
      <c r="F1290" s="27" t="s">
        <v>126</v>
      </c>
      <c r="G1290" s="27" t="s">
        <v>736</v>
      </c>
      <c r="H1290" s="27" t="s">
        <v>202</v>
      </c>
      <c r="I1290" s="27" t="s">
        <v>203</v>
      </c>
      <c r="J1290" s="27" t="s">
        <v>134</v>
      </c>
      <c r="K1290" s="10">
        <v>55</v>
      </c>
      <c r="L1290" s="36" t="s">
        <v>263</v>
      </c>
      <c r="M1290" s="37" t="s">
        <v>269</v>
      </c>
      <c r="N1290" s="37" t="s">
        <v>270</v>
      </c>
      <c r="O1290" s="27"/>
      <c r="P1290" s="27"/>
      <c r="Q1290" s="27" t="s">
        <v>1707</v>
      </c>
      <c r="R1290" s="27" t="s">
        <v>1688</v>
      </c>
      <c r="S1290" s="2" t="s">
        <v>1859</v>
      </c>
      <c r="T1290" s="29" t="s">
        <v>265</v>
      </c>
      <c r="U1290" s="30">
        <v>46218</v>
      </c>
      <c r="V1290" s="27" t="s">
        <v>2030</v>
      </c>
      <c r="W1290" s="27" t="s">
        <v>1497</v>
      </c>
    </row>
    <row r="1291" spans="1:23" ht="24" customHeight="1">
      <c r="A1291" s="27" t="str">
        <f t="shared" ca="1" si="20"/>
        <v>EVT-2026-1289</v>
      </c>
      <c r="B1291" s="27">
        <v>2026</v>
      </c>
      <c r="C1291" s="27" t="s">
        <v>106</v>
      </c>
      <c r="D1291" s="30">
        <v>46261</v>
      </c>
      <c r="E1291" s="27" t="s">
        <v>216</v>
      </c>
      <c r="F1291" s="27" t="s">
        <v>126</v>
      </c>
      <c r="G1291" s="27" t="s">
        <v>2018</v>
      </c>
      <c r="H1291" s="27" t="s">
        <v>1260</v>
      </c>
      <c r="I1291" s="27" t="s">
        <v>203</v>
      </c>
      <c r="J1291" s="27" t="s">
        <v>134</v>
      </c>
      <c r="K1291" s="10">
        <v>25</v>
      </c>
      <c r="L1291" s="36" t="s">
        <v>263</v>
      </c>
      <c r="M1291" s="37" t="s">
        <v>269</v>
      </c>
      <c r="N1291" s="37" t="s">
        <v>270</v>
      </c>
      <c r="O1291" s="27"/>
      <c r="P1291" s="27"/>
      <c r="Q1291" s="27" t="s">
        <v>1707</v>
      </c>
      <c r="R1291" s="27" t="s">
        <v>2029</v>
      </c>
      <c r="S1291" s="2" t="s">
        <v>1859</v>
      </c>
      <c r="T1291" s="29" t="s">
        <v>265</v>
      </c>
      <c r="U1291" s="30">
        <v>46218</v>
      </c>
      <c r="V1291" s="27" t="s">
        <v>2030</v>
      </c>
      <c r="W1291" s="27" t="s">
        <v>1497</v>
      </c>
    </row>
    <row r="1292" spans="1:23" ht="24" customHeight="1">
      <c r="A1292" s="27" t="str">
        <f t="shared" ca="1" si="20"/>
        <v>EVT-2026-1290</v>
      </c>
      <c r="B1292" s="27">
        <v>2026</v>
      </c>
      <c r="C1292" s="27" t="s">
        <v>106</v>
      </c>
      <c r="D1292" s="30">
        <v>46261</v>
      </c>
      <c r="E1292" s="27" t="s">
        <v>216</v>
      </c>
      <c r="F1292" s="27" t="s">
        <v>126</v>
      </c>
      <c r="G1292" s="27" t="s">
        <v>125</v>
      </c>
      <c r="H1292" s="27" t="s">
        <v>228</v>
      </c>
      <c r="I1292" s="27" t="s">
        <v>658</v>
      </c>
      <c r="J1292" s="27" t="s">
        <v>152</v>
      </c>
      <c r="K1292" s="10">
        <v>60</v>
      </c>
      <c r="L1292" s="36" t="s">
        <v>263</v>
      </c>
      <c r="M1292" s="37" t="s">
        <v>2046</v>
      </c>
      <c r="N1292" s="37" t="s">
        <v>270</v>
      </c>
      <c r="O1292" s="27"/>
      <c r="P1292" s="27" t="s">
        <v>2047</v>
      </c>
      <c r="Q1292" s="27" t="s">
        <v>1606</v>
      </c>
      <c r="R1292" s="27" t="s">
        <v>2048</v>
      </c>
      <c r="S1292" s="2" t="s">
        <v>1859</v>
      </c>
      <c r="T1292" s="29" t="s">
        <v>265</v>
      </c>
      <c r="U1292" s="27"/>
      <c r="V1292" s="27" t="s">
        <v>298</v>
      </c>
      <c r="W1292" s="27" t="s">
        <v>1497</v>
      </c>
    </row>
    <row r="1293" spans="1:23" ht="24" customHeight="1">
      <c r="A1293" s="27" t="str">
        <f t="shared" ca="1" si="20"/>
        <v>EVT-2026-1291</v>
      </c>
      <c r="B1293" s="27">
        <v>2026</v>
      </c>
      <c r="C1293" s="27" t="s">
        <v>106</v>
      </c>
      <c r="D1293" s="30">
        <v>46261</v>
      </c>
      <c r="E1293" s="27" t="s">
        <v>216</v>
      </c>
      <c r="F1293" s="27" t="s">
        <v>126</v>
      </c>
      <c r="G1293" s="27" t="s">
        <v>1366</v>
      </c>
      <c r="H1293" s="27" t="s">
        <v>208</v>
      </c>
      <c r="I1293" s="27" t="s">
        <v>217</v>
      </c>
      <c r="J1293" s="27" t="s">
        <v>145</v>
      </c>
      <c r="K1293" s="10">
        <v>50</v>
      </c>
      <c r="L1293" s="36" t="s">
        <v>263</v>
      </c>
      <c r="M1293" s="37" t="s">
        <v>309</v>
      </c>
      <c r="N1293" s="37" t="s">
        <v>296</v>
      </c>
      <c r="O1293" s="27"/>
      <c r="P1293" s="27"/>
      <c r="Q1293" s="27" t="s">
        <v>1080</v>
      </c>
      <c r="R1293" s="27" t="s">
        <v>1949</v>
      </c>
      <c r="S1293" s="2" t="s">
        <v>1859</v>
      </c>
      <c r="T1293" s="29" t="s">
        <v>265</v>
      </c>
      <c r="U1293" s="27"/>
      <c r="V1293" s="27" t="s">
        <v>298</v>
      </c>
      <c r="W1293" s="27" t="s">
        <v>1497</v>
      </c>
    </row>
    <row r="1294" spans="1:23" ht="24" customHeight="1">
      <c r="A1294" s="27" t="str">
        <f t="shared" ca="1" si="20"/>
        <v>EVT-2026-1292</v>
      </c>
      <c r="B1294" s="27">
        <v>2026</v>
      </c>
      <c r="C1294" s="27" t="s">
        <v>106</v>
      </c>
      <c r="D1294" s="30">
        <v>46262</v>
      </c>
      <c r="E1294" s="27" t="s">
        <v>220</v>
      </c>
      <c r="F1294" s="27" t="s">
        <v>126</v>
      </c>
      <c r="G1294" s="27" t="s">
        <v>125</v>
      </c>
      <c r="H1294" s="27" t="s">
        <v>228</v>
      </c>
      <c r="I1294" s="27" t="s">
        <v>337</v>
      </c>
      <c r="J1294" s="27" t="s">
        <v>127</v>
      </c>
      <c r="K1294" s="10">
        <v>190</v>
      </c>
      <c r="L1294" s="38" t="s">
        <v>294</v>
      </c>
      <c r="M1294" s="37" t="s">
        <v>274</v>
      </c>
      <c r="N1294" s="37" t="s">
        <v>330</v>
      </c>
      <c r="O1294" s="27"/>
      <c r="P1294" s="27" t="s">
        <v>2049</v>
      </c>
      <c r="Q1294" s="27" t="s">
        <v>811</v>
      </c>
      <c r="R1294" s="27" t="s">
        <v>2050</v>
      </c>
      <c r="S1294" s="2" t="s">
        <v>1859</v>
      </c>
      <c r="T1294" s="29" t="s">
        <v>265</v>
      </c>
      <c r="U1294" s="27"/>
      <c r="V1294" s="27" t="s">
        <v>1858</v>
      </c>
      <c r="W1294" s="27" t="s">
        <v>1497</v>
      </c>
    </row>
    <row r="1295" spans="1:23" ht="24" customHeight="1">
      <c r="A1295" s="27" t="str">
        <f t="shared" ca="1" si="20"/>
        <v>EVT-2026-1293</v>
      </c>
      <c r="B1295" s="27">
        <v>2026</v>
      </c>
      <c r="C1295" s="27" t="s">
        <v>106</v>
      </c>
      <c r="D1295" s="30">
        <v>46262</v>
      </c>
      <c r="E1295" s="27" t="s">
        <v>220</v>
      </c>
      <c r="F1295" s="27" t="s">
        <v>126</v>
      </c>
      <c r="G1295" s="27" t="s">
        <v>125</v>
      </c>
      <c r="H1295" s="27" t="s">
        <v>228</v>
      </c>
      <c r="I1295" s="27" t="s">
        <v>2051</v>
      </c>
      <c r="J1295" s="27" t="s">
        <v>177</v>
      </c>
      <c r="K1295" s="10">
        <v>60</v>
      </c>
      <c r="L1295" s="36" t="s">
        <v>263</v>
      </c>
      <c r="M1295" s="37" t="s">
        <v>354</v>
      </c>
      <c r="N1295" s="37" t="s">
        <v>309</v>
      </c>
      <c r="O1295" s="27" t="s">
        <v>1445</v>
      </c>
      <c r="P1295" s="27" t="s">
        <v>2052</v>
      </c>
      <c r="Q1295" s="27" t="s">
        <v>379</v>
      </c>
      <c r="R1295" s="27" t="s">
        <v>1645</v>
      </c>
      <c r="S1295" s="3" t="s">
        <v>312</v>
      </c>
      <c r="T1295" s="29" t="s">
        <v>265</v>
      </c>
      <c r="U1295" s="30">
        <v>46218</v>
      </c>
      <c r="V1295" s="27" t="s">
        <v>2052</v>
      </c>
      <c r="W1295" s="27" t="s">
        <v>1497</v>
      </c>
    </row>
    <row r="1296" spans="1:23" ht="24" customHeight="1">
      <c r="A1296" s="27" t="str">
        <f t="shared" ca="1" si="20"/>
        <v>EVT-2026-1294</v>
      </c>
      <c r="B1296" s="27">
        <v>2026</v>
      </c>
      <c r="C1296" s="27" t="s">
        <v>106</v>
      </c>
      <c r="D1296" s="30">
        <v>46262</v>
      </c>
      <c r="E1296" s="27" t="s">
        <v>220</v>
      </c>
      <c r="F1296" s="27" t="s">
        <v>126</v>
      </c>
      <c r="G1296" s="27" t="s">
        <v>125</v>
      </c>
      <c r="H1296" s="27" t="s">
        <v>228</v>
      </c>
      <c r="I1296" s="27" t="s">
        <v>2053</v>
      </c>
      <c r="J1296" s="27" t="s">
        <v>152</v>
      </c>
      <c r="K1296" s="10">
        <v>60</v>
      </c>
      <c r="L1296" s="36" t="s">
        <v>263</v>
      </c>
      <c r="M1296" s="37" t="s">
        <v>1405</v>
      </c>
      <c r="N1296" s="37" t="s">
        <v>270</v>
      </c>
      <c r="O1296" s="27" t="s">
        <v>382</v>
      </c>
      <c r="P1296" s="27" t="s">
        <v>2047</v>
      </c>
      <c r="Q1296" s="27" t="s">
        <v>1606</v>
      </c>
      <c r="R1296" s="27" t="s">
        <v>2048</v>
      </c>
      <c r="S1296" s="2" t="s">
        <v>1859</v>
      </c>
      <c r="T1296" s="29" t="s">
        <v>265</v>
      </c>
      <c r="U1296" s="30">
        <v>46252</v>
      </c>
      <c r="V1296" s="27" t="s">
        <v>298</v>
      </c>
      <c r="W1296" s="27" t="s">
        <v>1497</v>
      </c>
    </row>
    <row r="1297" spans="1:23" ht="24" customHeight="1">
      <c r="A1297" s="27" t="str">
        <f t="shared" ca="1" si="20"/>
        <v>EVT-2026-1295</v>
      </c>
      <c r="B1297" s="27">
        <v>2026</v>
      </c>
      <c r="C1297" s="27" t="s">
        <v>106</v>
      </c>
      <c r="D1297" s="30">
        <v>46262</v>
      </c>
      <c r="E1297" s="27" t="s">
        <v>220</v>
      </c>
      <c r="F1297" s="27" t="s">
        <v>126</v>
      </c>
      <c r="G1297" s="27" t="s">
        <v>125</v>
      </c>
      <c r="H1297" s="27" t="s">
        <v>228</v>
      </c>
      <c r="I1297" s="27" t="s">
        <v>353</v>
      </c>
      <c r="J1297" s="27" t="s">
        <v>127</v>
      </c>
      <c r="K1297" s="10">
        <v>60</v>
      </c>
      <c r="L1297" s="36" t="s">
        <v>263</v>
      </c>
      <c r="M1297" s="37" t="s">
        <v>295</v>
      </c>
      <c r="N1297" s="37" t="s">
        <v>296</v>
      </c>
      <c r="O1297" s="27" t="s">
        <v>1445</v>
      </c>
      <c r="P1297" s="27" t="s">
        <v>1445</v>
      </c>
      <c r="Q1297" s="27" t="s">
        <v>2054</v>
      </c>
      <c r="R1297" s="27" t="s">
        <v>2055</v>
      </c>
      <c r="S1297" s="3" t="s">
        <v>312</v>
      </c>
      <c r="T1297" s="29" t="s">
        <v>265</v>
      </c>
      <c r="U1297" s="27"/>
      <c r="V1297" s="27" t="s">
        <v>298</v>
      </c>
      <c r="W1297" s="27"/>
    </row>
    <row r="1298" spans="1:23" ht="24" customHeight="1">
      <c r="A1298" s="27" t="str">
        <f t="shared" ca="1" si="20"/>
        <v>EVT-2026-1296</v>
      </c>
      <c r="B1298" s="27">
        <v>2026</v>
      </c>
      <c r="C1298" s="27" t="s">
        <v>106</v>
      </c>
      <c r="D1298" s="30">
        <v>46262</v>
      </c>
      <c r="E1298" s="27" t="s">
        <v>220</v>
      </c>
      <c r="F1298" s="27" t="s">
        <v>126</v>
      </c>
      <c r="G1298" s="27" t="s">
        <v>348</v>
      </c>
      <c r="H1298" s="27" t="s">
        <v>202</v>
      </c>
      <c r="I1298" s="27" t="s">
        <v>344</v>
      </c>
      <c r="J1298" s="27" t="s">
        <v>134</v>
      </c>
      <c r="K1298" s="10">
        <v>60</v>
      </c>
      <c r="L1298" s="36" t="s">
        <v>263</v>
      </c>
      <c r="M1298" s="37" t="s">
        <v>289</v>
      </c>
      <c r="N1298" s="37" t="s">
        <v>296</v>
      </c>
      <c r="O1298" s="27" t="s">
        <v>1445</v>
      </c>
      <c r="P1298" s="27" t="s">
        <v>1445</v>
      </c>
      <c r="Q1298" s="27" t="s">
        <v>379</v>
      </c>
      <c r="R1298" s="27" t="s">
        <v>1645</v>
      </c>
      <c r="S1298" s="2" t="s">
        <v>1859</v>
      </c>
      <c r="T1298" s="29" t="s">
        <v>265</v>
      </c>
      <c r="U1298" s="27"/>
      <c r="V1298" s="27" t="s">
        <v>2056</v>
      </c>
      <c r="W1298" s="27"/>
    </row>
    <row r="1299" spans="1:23" ht="24" customHeight="1">
      <c r="A1299" s="27" t="str">
        <f t="shared" ca="1" si="20"/>
        <v>EVT-2026-1297</v>
      </c>
      <c r="B1299" s="27">
        <v>2026</v>
      </c>
      <c r="C1299" s="27" t="s">
        <v>106</v>
      </c>
      <c r="D1299" s="30">
        <v>46262</v>
      </c>
      <c r="E1299" s="27" t="s">
        <v>220</v>
      </c>
      <c r="F1299" s="27" t="s">
        <v>126</v>
      </c>
      <c r="G1299" s="27" t="s">
        <v>736</v>
      </c>
      <c r="H1299" s="27" t="s">
        <v>202</v>
      </c>
      <c r="I1299" s="27" t="s">
        <v>203</v>
      </c>
      <c r="J1299" s="27" t="s">
        <v>134</v>
      </c>
      <c r="K1299" s="10">
        <v>55</v>
      </c>
      <c r="L1299" s="36" t="s">
        <v>263</v>
      </c>
      <c r="M1299" s="37" t="s">
        <v>269</v>
      </c>
      <c r="N1299" s="37" t="s">
        <v>270</v>
      </c>
      <c r="O1299" s="27" t="s">
        <v>1445</v>
      </c>
      <c r="P1299" s="27" t="s">
        <v>1445</v>
      </c>
      <c r="Q1299" s="27" t="s">
        <v>1707</v>
      </c>
      <c r="R1299" s="27" t="s">
        <v>2029</v>
      </c>
      <c r="S1299" s="2" t="s">
        <v>1859</v>
      </c>
      <c r="T1299" s="29" t="s">
        <v>265</v>
      </c>
      <c r="U1299" s="30">
        <v>46218</v>
      </c>
      <c r="V1299" s="27" t="s">
        <v>2030</v>
      </c>
      <c r="W1299" s="27" t="s">
        <v>1497</v>
      </c>
    </row>
    <row r="1300" spans="1:23" ht="24" customHeight="1">
      <c r="A1300" s="27" t="str">
        <f t="shared" ca="1" si="20"/>
        <v>EVT-2026-1298</v>
      </c>
      <c r="B1300" s="27">
        <v>2026</v>
      </c>
      <c r="C1300" s="27" t="s">
        <v>106</v>
      </c>
      <c r="D1300" s="30">
        <v>46262</v>
      </c>
      <c r="E1300" s="27" t="s">
        <v>220</v>
      </c>
      <c r="F1300" s="27" t="s">
        <v>126</v>
      </c>
      <c r="G1300" s="27" t="s">
        <v>2018</v>
      </c>
      <c r="H1300" s="27" t="s">
        <v>1260</v>
      </c>
      <c r="I1300" s="27" t="s">
        <v>203</v>
      </c>
      <c r="J1300" s="27" t="s">
        <v>134</v>
      </c>
      <c r="K1300" s="10">
        <v>25</v>
      </c>
      <c r="L1300" s="36" t="s">
        <v>263</v>
      </c>
      <c r="M1300" s="37" t="s">
        <v>269</v>
      </c>
      <c r="N1300" s="37" t="s">
        <v>270</v>
      </c>
      <c r="O1300" s="27" t="s">
        <v>1445</v>
      </c>
      <c r="P1300" s="27" t="s">
        <v>1445</v>
      </c>
      <c r="Q1300" s="27" t="s">
        <v>1707</v>
      </c>
      <c r="R1300" s="27" t="s">
        <v>2029</v>
      </c>
      <c r="S1300" s="2" t="s">
        <v>1859</v>
      </c>
      <c r="T1300" s="29" t="s">
        <v>265</v>
      </c>
      <c r="U1300" s="30">
        <v>46218</v>
      </c>
      <c r="V1300" s="27" t="s">
        <v>2030</v>
      </c>
      <c r="W1300" s="27" t="s">
        <v>1497</v>
      </c>
    </row>
    <row r="1301" spans="1:23" ht="24" customHeight="1">
      <c r="A1301" s="27" t="str">
        <f t="shared" ca="1" si="20"/>
        <v>EVT-2026-1299</v>
      </c>
      <c r="B1301" s="27">
        <v>2026</v>
      </c>
      <c r="C1301" s="27" t="s">
        <v>106</v>
      </c>
      <c r="D1301" s="30">
        <v>46263</v>
      </c>
      <c r="E1301" s="27" t="s">
        <v>266</v>
      </c>
      <c r="F1301" s="27" t="s">
        <v>126</v>
      </c>
      <c r="G1301" s="27"/>
      <c r="H1301" s="27"/>
      <c r="I1301" s="27"/>
      <c r="J1301" s="27" t="s">
        <v>177</v>
      </c>
      <c r="K1301" s="10">
        <v>0</v>
      </c>
      <c r="L1301" s="36" t="s">
        <v>263</v>
      </c>
      <c r="M1301" s="37"/>
      <c r="N1301" s="37"/>
      <c r="O1301" s="27"/>
      <c r="P1301" s="27"/>
      <c r="Q1301" s="27"/>
      <c r="R1301" s="27"/>
      <c r="S1301" s="2" t="s">
        <v>1859</v>
      </c>
      <c r="T1301" s="29" t="s">
        <v>265</v>
      </c>
      <c r="U1301" s="27"/>
      <c r="V1301" s="27"/>
      <c r="W1301" s="27"/>
    </row>
    <row r="1302" spans="1:23" ht="24" customHeight="1">
      <c r="A1302" s="27" t="str">
        <f t="shared" ca="1" si="20"/>
        <v>EVT-2026-1300</v>
      </c>
      <c r="B1302" s="27">
        <v>2026</v>
      </c>
      <c r="C1302" s="27" t="s">
        <v>106</v>
      </c>
      <c r="D1302" s="30">
        <v>46264</v>
      </c>
      <c r="E1302" s="27" t="s">
        <v>267</v>
      </c>
      <c r="F1302" s="27" t="s">
        <v>126</v>
      </c>
      <c r="G1302" s="27"/>
      <c r="H1302" s="27"/>
      <c r="I1302" s="27"/>
      <c r="J1302" s="27" t="s">
        <v>177</v>
      </c>
      <c r="K1302" s="10">
        <v>0</v>
      </c>
      <c r="L1302" s="36" t="s">
        <v>263</v>
      </c>
      <c r="M1302" s="37"/>
      <c r="N1302" s="37"/>
      <c r="O1302" s="27"/>
      <c r="P1302" s="27"/>
      <c r="Q1302" s="27"/>
      <c r="R1302" s="27"/>
      <c r="S1302" s="2" t="s">
        <v>1859</v>
      </c>
      <c r="T1302" s="29" t="s">
        <v>265</v>
      </c>
      <c r="U1302" s="27"/>
      <c r="V1302" s="27"/>
      <c r="W1302" s="27"/>
    </row>
    <row r="1303" spans="1:23" ht="24" customHeight="1">
      <c r="A1303" s="27" t="str">
        <f t="shared" ca="1" si="20"/>
        <v>EVT-2026-1301</v>
      </c>
      <c r="B1303" s="27">
        <v>2026</v>
      </c>
      <c r="C1303" s="27" t="s">
        <v>106</v>
      </c>
      <c r="D1303" s="30">
        <v>46265</v>
      </c>
      <c r="E1303" s="27" t="s">
        <v>224</v>
      </c>
      <c r="F1303" s="27" t="s">
        <v>126</v>
      </c>
      <c r="G1303" s="27" t="s">
        <v>125</v>
      </c>
      <c r="H1303" s="27" t="s">
        <v>228</v>
      </c>
      <c r="I1303" s="27" t="s">
        <v>203</v>
      </c>
      <c r="J1303" s="27" t="s">
        <v>134</v>
      </c>
      <c r="K1303" s="10">
        <v>50</v>
      </c>
      <c r="L1303" s="36" t="s">
        <v>263</v>
      </c>
      <c r="M1303" s="37" t="s">
        <v>269</v>
      </c>
      <c r="N1303" s="37" t="s">
        <v>270</v>
      </c>
      <c r="O1303" s="27" t="s">
        <v>1445</v>
      </c>
      <c r="P1303" s="27" t="s">
        <v>1445</v>
      </c>
      <c r="Q1303" s="27" t="s">
        <v>1707</v>
      </c>
      <c r="R1303" s="27" t="s">
        <v>2029</v>
      </c>
      <c r="S1303" s="2" t="s">
        <v>1859</v>
      </c>
      <c r="T1303" s="29" t="s">
        <v>265</v>
      </c>
      <c r="U1303" s="27"/>
      <c r="V1303" s="27" t="s">
        <v>2030</v>
      </c>
      <c r="W1303" s="27" t="s">
        <v>1497</v>
      </c>
    </row>
    <row r="1304" spans="1:23" ht="24" customHeight="1">
      <c r="A1304" s="27" t="str">
        <f t="shared" ca="1" si="20"/>
        <v>EVT-2026-1302</v>
      </c>
      <c r="B1304" s="27">
        <v>2026</v>
      </c>
      <c r="C1304" s="27" t="s">
        <v>106</v>
      </c>
      <c r="D1304" s="30">
        <v>46265</v>
      </c>
      <c r="E1304" s="27" t="s">
        <v>224</v>
      </c>
      <c r="F1304" s="27" t="s">
        <v>126</v>
      </c>
      <c r="G1304" s="27" t="s">
        <v>2018</v>
      </c>
      <c r="H1304" s="27" t="s">
        <v>1260</v>
      </c>
      <c r="I1304" s="27" t="s">
        <v>203</v>
      </c>
      <c r="J1304" s="27" t="s">
        <v>134</v>
      </c>
      <c r="K1304" s="10">
        <v>25</v>
      </c>
      <c r="L1304" s="36" t="s">
        <v>263</v>
      </c>
      <c r="M1304" s="37" t="s">
        <v>269</v>
      </c>
      <c r="N1304" s="37" t="s">
        <v>270</v>
      </c>
      <c r="O1304" s="27" t="s">
        <v>1445</v>
      </c>
      <c r="P1304" s="27" t="s">
        <v>1445</v>
      </c>
      <c r="Q1304" s="27" t="s">
        <v>1707</v>
      </c>
      <c r="R1304" s="27" t="s">
        <v>2029</v>
      </c>
      <c r="S1304" s="2" t="s">
        <v>1859</v>
      </c>
      <c r="T1304" s="29" t="s">
        <v>265</v>
      </c>
      <c r="U1304" s="30">
        <v>46218</v>
      </c>
      <c r="V1304" s="27" t="s">
        <v>2030</v>
      </c>
      <c r="W1304" s="27" t="s">
        <v>1497</v>
      </c>
    </row>
    <row r="1305" spans="1:23" ht="24" customHeight="1">
      <c r="A1305" s="27" t="str">
        <f t="shared" ca="1" si="20"/>
        <v>EVT-2026-1303</v>
      </c>
      <c r="B1305" s="27">
        <v>2026</v>
      </c>
      <c r="C1305" s="27" t="s">
        <v>106</v>
      </c>
      <c r="D1305" s="30">
        <v>46265</v>
      </c>
      <c r="E1305" s="27" t="s">
        <v>224</v>
      </c>
      <c r="F1305" s="27" t="s">
        <v>126</v>
      </c>
      <c r="G1305" s="27" t="s">
        <v>736</v>
      </c>
      <c r="H1305" s="27" t="s">
        <v>202</v>
      </c>
      <c r="I1305" s="27" t="s">
        <v>203</v>
      </c>
      <c r="J1305" s="27" t="s">
        <v>134</v>
      </c>
      <c r="K1305" s="10">
        <v>55</v>
      </c>
      <c r="L1305" s="36" t="s">
        <v>263</v>
      </c>
      <c r="M1305" s="37" t="s">
        <v>269</v>
      </c>
      <c r="N1305" s="37" t="s">
        <v>270</v>
      </c>
      <c r="O1305" s="27" t="s">
        <v>1445</v>
      </c>
      <c r="P1305" s="27" t="s">
        <v>1445</v>
      </c>
      <c r="Q1305" s="27" t="s">
        <v>1707</v>
      </c>
      <c r="R1305" s="27" t="s">
        <v>2029</v>
      </c>
      <c r="S1305" s="2" t="s">
        <v>1859</v>
      </c>
      <c r="T1305" s="29" t="s">
        <v>265</v>
      </c>
      <c r="U1305" s="30">
        <v>46218</v>
      </c>
      <c r="V1305" s="27" t="s">
        <v>2030</v>
      </c>
      <c r="W1305" s="27" t="s">
        <v>1497</v>
      </c>
    </row>
    <row r="1306" spans="1:23" ht="24" customHeight="1">
      <c r="A1306" s="27" t="str">
        <f t="shared" ca="1" si="20"/>
        <v>EVT-2026-1304</v>
      </c>
      <c r="B1306" s="27">
        <v>2026</v>
      </c>
      <c r="C1306" s="27" t="s">
        <v>106</v>
      </c>
      <c r="D1306" s="27"/>
      <c r="E1306" s="27" t="s">
        <v>2057</v>
      </c>
      <c r="F1306" s="27" t="s">
        <v>126</v>
      </c>
      <c r="G1306" s="27"/>
      <c r="H1306" s="27"/>
      <c r="I1306" s="27"/>
      <c r="J1306" s="27" t="s">
        <v>177</v>
      </c>
      <c r="K1306" s="10">
        <v>0</v>
      </c>
      <c r="L1306" s="36" t="s">
        <v>263</v>
      </c>
      <c r="M1306" s="37"/>
      <c r="N1306" s="37"/>
      <c r="O1306" s="27"/>
      <c r="P1306" s="27"/>
      <c r="Q1306" s="27"/>
      <c r="R1306" s="27"/>
      <c r="S1306" s="2" t="s">
        <v>1859</v>
      </c>
      <c r="T1306" s="29" t="s">
        <v>265</v>
      </c>
      <c r="U1306" s="27"/>
      <c r="V1306" s="27"/>
      <c r="W1306" s="27"/>
    </row>
    <row r="1307" spans="1:23" ht="24" customHeight="1">
      <c r="A1307" s="27" t="str">
        <f t="shared" ca="1" si="20"/>
        <v>EVT-2026-1305</v>
      </c>
      <c r="B1307" s="27">
        <v>2026</v>
      </c>
      <c r="C1307" s="27" t="s">
        <v>107</v>
      </c>
      <c r="D1307" s="30">
        <v>46266</v>
      </c>
      <c r="E1307" s="27" t="s">
        <v>227</v>
      </c>
      <c r="F1307" s="27" t="s">
        <v>164</v>
      </c>
      <c r="G1307" s="27" t="s">
        <v>262</v>
      </c>
      <c r="H1307" s="27" t="s">
        <v>171</v>
      </c>
      <c r="I1307" s="27" t="s">
        <v>1863</v>
      </c>
      <c r="J1307" s="27" t="s">
        <v>134</v>
      </c>
      <c r="K1307" s="10">
        <v>0</v>
      </c>
      <c r="L1307" s="36" t="s">
        <v>263</v>
      </c>
      <c r="M1307" s="37" t="s">
        <v>269</v>
      </c>
      <c r="N1307" s="37" t="s">
        <v>270</v>
      </c>
      <c r="O1307" s="27"/>
      <c r="P1307" s="27"/>
      <c r="Q1307" s="27" t="s">
        <v>351</v>
      </c>
      <c r="R1307" s="27"/>
      <c r="S1307" s="2" t="s">
        <v>1859</v>
      </c>
      <c r="T1307" s="29" t="s">
        <v>265</v>
      </c>
      <c r="U1307" s="27"/>
      <c r="V1307" s="27" t="s">
        <v>2058</v>
      </c>
      <c r="W1307" s="27"/>
    </row>
    <row r="1308" spans="1:23" ht="24" customHeight="1">
      <c r="A1308" s="27" t="str">
        <f t="shared" ca="1" si="20"/>
        <v>EVT-2026-1306</v>
      </c>
      <c r="B1308" s="27">
        <v>2026</v>
      </c>
      <c r="C1308" s="27" t="s">
        <v>107</v>
      </c>
      <c r="D1308" s="30">
        <v>46267</v>
      </c>
      <c r="E1308" s="27" t="s">
        <v>201</v>
      </c>
      <c r="F1308" s="27" t="s">
        <v>164</v>
      </c>
      <c r="G1308" s="27" t="s">
        <v>262</v>
      </c>
      <c r="H1308" s="27" t="s">
        <v>171</v>
      </c>
      <c r="I1308" s="27" t="s">
        <v>1863</v>
      </c>
      <c r="J1308" s="27" t="s">
        <v>134</v>
      </c>
      <c r="K1308" s="10">
        <v>0</v>
      </c>
      <c r="L1308" s="36" t="s">
        <v>263</v>
      </c>
      <c r="M1308" s="37" t="s">
        <v>269</v>
      </c>
      <c r="N1308" s="37" t="s">
        <v>270</v>
      </c>
      <c r="O1308" s="27"/>
      <c r="P1308" s="27"/>
      <c r="Q1308" s="27" t="s">
        <v>351</v>
      </c>
      <c r="R1308" s="27"/>
      <c r="S1308" s="2" t="s">
        <v>1859</v>
      </c>
      <c r="T1308" s="29" t="s">
        <v>265</v>
      </c>
      <c r="U1308" s="27"/>
      <c r="V1308" s="27" t="s">
        <v>2058</v>
      </c>
      <c r="W1308" s="27"/>
    </row>
    <row r="1309" spans="1:23" ht="24" customHeight="1">
      <c r="A1309" s="27" t="str">
        <f t="shared" ca="1" si="20"/>
        <v>EVT-2026-1307</v>
      </c>
      <c r="B1309" s="27">
        <v>2026</v>
      </c>
      <c r="C1309" s="27" t="s">
        <v>107</v>
      </c>
      <c r="D1309" s="30">
        <v>46267</v>
      </c>
      <c r="E1309" s="27" t="s">
        <v>201</v>
      </c>
      <c r="F1309" s="27" t="s">
        <v>164</v>
      </c>
      <c r="G1309" s="27" t="s">
        <v>202</v>
      </c>
      <c r="H1309" s="27" t="s">
        <v>1186</v>
      </c>
      <c r="I1309" s="27" t="s">
        <v>1842</v>
      </c>
      <c r="J1309" s="27" t="s">
        <v>152</v>
      </c>
      <c r="K1309" s="10">
        <v>30</v>
      </c>
      <c r="L1309" s="36" t="s">
        <v>263</v>
      </c>
      <c r="M1309" s="37" t="s">
        <v>269</v>
      </c>
      <c r="N1309" s="37" t="s">
        <v>270</v>
      </c>
      <c r="O1309" s="27" t="s">
        <v>2059</v>
      </c>
      <c r="P1309" s="27" t="s">
        <v>2060</v>
      </c>
      <c r="Q1309" s="27" t="s">
        <v>237</v>
      </c>
      <c r="R1309" s="27" t="s">
        <v>2061</v>
      </c>
      <c r="S1309" s="1" t="s">
        <v>264</v>
      </c>
      <c r="T1309" s="29" t="s">
        <v>265</v>
      </c>
      <c r="U1309" s="30">
        <v>46251</v>
      </c>
      <c r="V1309" s="27" t="s">
        <v>2062</v>
      </c>
      <c r="W1309" s="27" t="s">
        <v>1497</v>
      </c>
    </row>
    <row r="1310" spans="1:23" ht="24" customHeight="1">
      <c r="A1310" s="27" t="str">
        <f t="shared" ca="1" si="20"/>
        <v>EVT-2026-1308</v>
      </c>
      <c r="B1310" s="27">
        <v>2026</v>
      </c>
      <c r="C1310" s="27" t="s">
        <v>107</v>
      </c>
      <c r="D1310" s="30">
        <v>46268</v>
      </c>
      <c r="E1310" s="27" t="s">
        <v>216</v>
      </c>
      <c r="F1310" s="27" t="s">
        <v>164</v>
      </c>
      <c r="G1310" s="27" t="s">
        <v>262</v>
      </c>
      <c r="H1310" s="27" t="s">
        <v>171</v>
      </c>
      <c r="I1310" s="27" t="s">
        <v>1863</v>
      </c>
      <c r="J1310" s="27" t="s">
        <v>134</v>
      </c>
      <c r="K1310" s="10">
        <v>0</v>
      </c>
      <c r="L1310" s="36" t="s">
        <v>263</v>
      </c>
      <c r="M1310" s="37" t="s">
        <v>269</v>
      </c>
      <c r="N1310" s="37" t="s">
        <v>270</v>
      </c>
      <c r="O1310" s="27"/>
      <c r="P1310" s="27"/>
      <c r="Q1310" s="27" t="s">
        <v>351</v>
      </c>
      <c r="R1310" s="27"/>
      <c r="S1310" s="2" t="s">
        <v>1859</v>
      </c>
      <c r="T1310" s="29" t="s">
        <v>265</v>
      </c>
      <c r="U1310" s="27"/>
      <c r="V1310" s="27" t="s">
        <v>2058</v>
      </c>
      <c r="W1310" s="27"/>
    </row>
    <row r="1311" spans="1:23" ht="24" customHeight="1">
      <c r="A1311" s="27" t="str">
        <f t="shared" ca="1" si="20"/>
        <v>EVT-2026-1309</v>
      </c>
      <c r="B1311" s="27">
        <v>2026</v>
      </c>
      <c r="C1311" s="27" t="s">
        <v>107</v>
      </c>
      <c r="D1311" s="30">
        <v>46268</v>
      </c>
      <c r="E1311" s="27" t="s">
        <v>216</v>
      </c>
      <c r="F1311" s="27" t="s">
        <v>164</v>
      </c>
      <c r="G1311" s="27" t="s">
        <v>202</v>
      </c>
      <c r="H1311" s="27" t="s">
        <v>1186</v>
      </c>
      <c r="I1311" s="27" t="s">
        <v>1842</v>
      </c>
      <c r="J1311" s="27" t="s">
        <v>152</v>
      </c>
      <c r="K1311" s="10">
        <v>30</v>
      </c>
      <c r="L1311" s="36" t="s">
        <v>263</v>
      </c>
      <c r="M1311" s="37" t="s">
        <v>269</v>
      </c>
      <c r="N1311" s="37" t="s">
        <v>270</v>
      </c>
      <c r="O1311" s="27" t="s">
        <v>2059</v>
      </c>
      <c r="P1311" s="27" t="s">
        <v>2060</v>
      </c>
      <c r="Q1311" s="27" t="s">
        <v>237</v>
      </c>
      <c r="R1311" s="27" t="s">
        <v>2063</v>
      </c>
      <c r="S1311" s="1" t="s">
        <v>264</v>
      </c>
      <c r="T1311" s="29" t="s">
        <v>265</v>
      </c>
      <c r="U1311" s="30">
        <v>46251</v>
      </c>
      <c r="V1311" s="27" t="s">
        <v>2062</v>
      </c>
      <c r="W1311" s="27" t="s">
        <v>1497</v>
      </c>
    </row>
    <row r="1312" spans="1:23" ht="24" customHeight="1">
      <c r="A1312" s="27" t="str">
        <f t="shared" ca="1" si="20"/>
        <v>EVT-2026-1310</v>
      </c>
      <c r="B1312" s="27">
        <v>2026</v>
      </c>
      <c r="C1312" s="27" t="s">
        <v>107</v>
      </c>
      <c r="D1312" s="30">
        <v>46269</v>
      </c>
      <c r="E1312" s="27" t="s">
        <v>220</v>
      </c>
      <c r="F1312" s="27" t="s">
        <v>164</v>
      </c>
      <c r="G1312" s="27" t="s">
        <v>262</v>
      </c>
      <c r="H1312" s="27" t="s">
        <v>171</v>
      </c>
      <c r="I1312" s="27" t="s">
        <v>1863</v>
      </c>
      <c r="J1312" s="27" t="s">
        <v>134</v>
      </c>
      <c r="K1312" s="10">
        <v>0</v>
      </c>
      <c r="L1312" s="36" t="s">
        <v>263</v>
      </c>
      <c r="M1312" s="37" t="s">
        <v>269</v>
      </c>
      <c r="N1312" s="37" t="s">
        <v>270</v>
      </c>
      <c r="O1312" s="27"/>
      <c r="P1312" s="27"/>
      <c r="Q1312" s="27" t="s">
        <v>351</v>
      </c>
      <c r="R1312" s="27"/>
      <c r="S1312" s="2" t="s">
        <v>1859</v>
      </c>
      <c r="T1312" s="29" t="s">
        <v>265</v>
      </c>
      <c r="U1312" s="27"/>
      <c r="V1312" s="27" t="s">
        <v>2058</v>
      </c>
      <c r="W1312" s="27"/>
    </row>
    <row r="1313" spans="1:23" ht="24" customHeight="1">
      <c r="A1313" s="27" t="str">
        <f t="shared" ca="1" si="20"/>
        <v>EVT-2026-1311</v>
      </c>
      <c r="B1313" s="27">
        <v>2026</v>
      </c>
      <c r="C1313" s="27" t="s">
        <v>107</v>
      </c>
      <c r="D1313" s="30">
        <v>46270</v>
      </c>
      <c r="E1313" s="27" t="s">
        <v>266</v>
      </c>
      <c r="F1313" s="27" t="s">
        <v>164</v>
      </c>
      <c r="G1313" s="27" t="s">
        <v>262</v>
      </c>
      <c r="H1313" s="27"/>
      <c r="I1313" s="27"/>
      <c r="J1313" s="27" t="s">
        <v>177</v>
      </c>
      <c r="K1313" s="10">
        <v>0</v>
      </c>
      <c r="L1313" s="36" t="s">
        <v>263</v>
      </c>
      <c r="M1313" s="37"/>
      <c r="N1313" s="37"/>
      <c r="O1313" s="27"/>
      <c r="P1313" s="27"/>
      <c r="Q1313" s="27"/>
      <c r="R1313" s="27"/>
      <c r="S1313" s="2" t="s">
        <v>1859</v>
      </c>
      <c r="T1313" s="29" t="s">
        <v>265</v>
      </c>
      <c r="U1313" s="27"/>
      <c r="V1313" s="27"/>
      <c r="W1313" s="27"/>
    </row>
    <row r="1314" spans="1:23" ht="24" customHeight="1">
      <c r="A1314" s="27" t="str">
        <f t="shared" ca="1" si="20"/>
        <v>EVT-2026-1312</v>
      </c>
      <c r="B1314" s="27">
        <v>2026</v>
      </c>
      <c r="C1314" s="27" t="s">
        <v>107</v>
      </c>
      <c r="D1314" s="30">
        <v>46271</v>
      </c>
      <c r="E1314" s="27" t="s">
        <v>267</v>
      </c>
      <c r="F1314" s="27" t="s">
        <v>164</v>
      </c>
      <c r="G1314" s="27" t="s">
        <v>262</v>
      </c>
      <c r="H1314" s="27"/>
      <c r="I1314" s="27"/>
      <c r="J1314" s="27" t="s">
        <v>177</v>
      </c>
      <c r="K1314" s="10">
        <v>0</v>
      </c>
      <c r="L1314" s="36" t="s">
        <v>263</v>
      </c>
      <c r="M1314" s="37"/>
      <c r="N1314" s="37"/>
      <c r="O1314" s="27"/>
      <c r="P1314" s="27"/>
      <c r="Q1314" s="27"/>
      <c r="R1314" s="27"/>
      <c r="S1314" s="2" t="s">
        <v>1859</v>
      </c>
      <c r="T1314" s="29" t="s">
        <v>265</v>
      </c>
      <c r="U1314" s="27"/>
      <c r="V1314" s="27"/>
      <c r="W1314" s="27"/>
    </row>
    <row r="1315" spans="1:23" ht="24" customHeight="1">
      <c r="A1315" s="27" t="str">
        <f t="shared" ca="1" si="20"/>
        <v>EVT-2026-1313</v>
      </c>
      <c r="B1315" s="27">
        <v>2026</v>
      </c>
      <c r="C1315" s="27" t="s">
        <v>107</v>
      </c>
      <c r="D1315" s="30">
        <v>46272</v>
      </c>
      <c r="E1315" s="27" t="s">
        <v>224</v>
      </c>
      <c r="F1315" s="27" t="s">
        <v>164</v>
      </c>
      <c r="G1315" s="27" t="s">
        <v>228</v>
      </c>
      <c r="H1315" s="27" t="s">
        <v>2064</v>
      </c>
      <c r="I1315" s="27" t="s">
        <v>2065</v>
      </c>
      <c r="J1315" s="27" t="s">
        <v>152</v>
      </c>
      <c r="K1315" s="10">
        <v>1</v>
      </c>
      <c r="L1315" s="36" t="s">
        <v>263</v>
      </c>
      <c r="M1315" s="37" t="s">
        <v>269</v>
      </c>
      <c r="N1315" s="37" t="s">
        <v>270</v>
      </c>
      <c r="O1315" s="27" t="s">
        <v>382</v>
      </c>
      <c r="P1315" s="27" t="s">
        <v>2066</v>
      </c>
      <c r="Q1315" s="27" t="s">
        <v>378</v>
      </c>
      <c r="R1315" s="27" t="s">
        <v>1786</v>
      </c>
      <c r="S1315" s="2" t="s">
        <v>1859</v>
      </c>
      <c r="T1315" s="29" t="s">
        <v>265</v>
      </c>
      <c r="U1315" s="27" t="s">
        <v>1411</v>
      </c>
      <c r="V1315" s="27"/>
      <c r="W1315" s="27"/>
    </row>
    <row r="1316" spans="1:23" ht="24" customHeight="1">
      <c r="A1316" s="27" t="str">
        <f t="shared" ca="1" si="20"/>
        <v>EVT-2026-1314</v>
      </c>
      <c r="B1316" s="27">
        <v>2026</v>
      </c>
      <c r="C1316" s="27" t="s">
        <v>107</v>
      </c>
      <c r="D1316" s="30">
        <v>46272</v>
      </c>
      <c r="E1316" s="27" t="s">
        <v>224</v>
      </c>
      <c r="F1316" s="27" t="s">
        <v>164</v>
      </c>
      <c r="G1316" s="27" t="s">
        <v>262</v>
      </c>
      <c r="H1316" s="27" t="s">
        <v>171</v>
      </c>
      <c r="I1316" s="27" t="s">
        <v>2067</v>
      </c>
      <c r="J1316" s="27" t="s">
        <v>139</v>
      </c>
      <c r="K1316" s="10">
        <v>0</v>
      </c>
      <c r="L1316" s="36" t="s">
        <v>263</v>
      </c>
      <c r="M1316" s="37" t="s">
        <v>269</v>
      </c>
      <c r="N1316" s="37" t="s">
        <v>270</v>
      </c>
      <c r="O1316" s="27"/>
      <c r="P1316" s="27"/>
      <c r="Q1316" s="27"/>
      <c r="R1316" s="27"/>
      <c r="S1316" s="2" t="s">
        <v>1859</v>
      </c>
      <c r="T1316" s="29" t="s">
        <v>265</v>
      </c>
      <c r="U1316" s="27"/>
      <c r="V1316" s="27"/>
      <c r="W1316" s="27"/>
    </row>
    <row r="1317" spans="1:23" ht="24" customHeight="1">
      <c r="A1317" s="27" t="str">
        <f t="shared" ca="1" si="20"/>
        <v>EVT-2026-1315</v>
      </c>
      <c r="B1317" s="27">
        <v>2026</v>
      </c>
      <c r="C1317" s="27" t="s">
        <v>107</v>
      </c>
      <c r="D1317" s="30">
        <v>46272</v>
      </c>
      <c r="E1317" s="27" t="s">
        <v>224</v>
      </c>
      <c r="F1317" s="27" t="s">
        <v>164</v>
      </c>
      <c r="G1317" s="27" t="s">
        <v>228</v>
      </c>
      <c r="H1317" s="27" t="s">
        <v>1240</v>
      </c>
      <c r="I1317" s="27" t="s">
        <v>2068</v>
      </c>
      <c r="J1317" s="27" t="s">
        <v>134</v>
      </c>
      <c r="K1317" s="10">
        <v>35</v>
      </c>
      <c r="L1317" s="36" t="s">
        <v>263</v>
      </c>
      <c r="M1317" s="37" t="s">
        <v>275</v>
      </c>
      <c r="N1317" s="37" t="s">
        <v>295</v>
      </c>
      <c r="O1317" s="27" t="s">
        <v>1445</v>
      </c>
      <c r="P1317" s="27"/>
      <c r="Q1317" s="27" t="s">
        <v>2069</v>
      </c>
      <c r="R1317" s="27" t="s">
        <v>1453</v>
      </c>
      <c r="S1317" s="1" t="s">
        <v>264</v>
      </c>
      <c r="T1317" s="29" t="s">
        <v>265</v>
      </c>
      <c r="U1317" s="30">
        <v>46255</v>
      </c>
      <c r="V1317" s="27" t="s">
        <v>1313</v>
      </c>
      <c r="W1317" s="27" t="s">
        <v>1497</v>
      </c>
    </row>
    <row r="1318" spans="1:23" ht="24" customHeight="1">
      <c r="A1318" s="27" t="str">
        <f t="shared" ca="1" si="20"/>
        <v>EVT-2026-1316</v>
      </c>
      <c r="B1318" s="27">
        <v>2026</v>
      </c>
      <c r="C1318" s="27" t="s">
        <v>107</v>
      </c>
      <c r="D1318" s="30">
        <v>46273</v>
      </c>
      <c r="E1318" s="27" t="s">
        <v>227</v>
      </c>
      <c r="F1318" s="27" t="s">
        <v>164</v>
      </c>
      <c r="G1318" s="27" t="s">
        <v>228</v>
      </c>
      <c r="H1318" s="27" t="s">
        <v>2064</v>
      </c>
      <c r="I1318" s="27" t="s">
        <v>2065</v>
      </c>
      <c r="J1318" s="27" t="s">
        <v>152</v>
      </c>
      <c r="K1318" s="10">
        <v>1</v>
      </c>
      <c r="L1318" s="36" t="s">
        <v>263</v>
      </c>
      <c r="M1318" s="37" t="s">
        <v>269</v>
      </c>
      <c r="N1318" s="37" t="s">
        <v>270</v>
      </c>
      <c r="O1318" s="27" t="s">
        <v>382</v>
      </c>
      <c r="P1318" s="27" t="s">
        <v>2066</v>
      </c>
      <c r="Q1318" s="27" t="s">
        <v>378</v>
      </c>
      <c r="R1318" s="27" t="s">
        <v>1786</v>
      </c>
      <c r="S1318" s="2" t="s">
        <v>1859</v>
      </c>
      <c r="T1318" s="29" t="s">
        <v>265</v>
      </c>
      <c r="U1318" s="27" t="s">
        <v>1411</v>
      </c>
      <c r="V1318" s="27"/>
      <c r="W1318" s="27"/>
    </row>
    <row r="1319" spans="1:23" ht="24" customHeight="1">
      <c r="A1319" s="27" t="str">
        <f t="shared" ca="1" si="20"/>
        <v>EVT-2026-1317</v>
      </c>
      <c r="B1319" s="27">
        <v>2026</v>
      </c>
      <c r="C1319" s="27" t="s">
        <v>107</v>
      </c>
      <c r="D1319" s="30">
        <v>46273</v>
      </c>
      <c r="E1319" s="27" t="s">
        <v>227</v>
      </c>
      <c r="F1319" s="27" t="s">
        <v>164</v>
      </c>
      <c r="G1319" s="27" t="s">
        <v>262</v>
      </c>
      <c r="H1319" s="27" t="s">
        <v>171</v>
      </c>
      <c r="I1319" s="27" t="s">
        <v>1863</v>
      </c>
      <c r="J1319" s="27" t="s">
        <v>134</v>
      </c>
      <c r="K1319" s="10">
        <v>0</v>
      </c>
      <c r="L1319" s="36" t="s">
        <v>263</v>
      </c>
      <c r="M1319" s="37" t="s">
        <v>269</v>
      </c>
      <c r="N1319" s="37" t="s">
        <v>270</v>
      </c>
      <c r="O1319" s="27"/>
      <c r="P1319" s="27"/>
      <c r="Q1319" s="27"/>
      <c r="R1319" s="27"/>
      <c r="S1319" s="2" t="s">
        <v>1859</v>
      </c>
      <c r="T1319" s="29" t="s">
        <v>265</v>
      </c>
      <c r="U1319" s="27"/>
      <c r="V1319" s="27" t="s">
        <v>2070</v>
      </c>
      <c r="W1319" s="27"/>
    </row>
    <row r="1320" spans="1:23" ht="24" customHeight="1">
      <c r="A1320" s="27" t="str">
        <f t="shared" ca="1" si="20"/>
        <v>EVT-2026-1318</v>
      </c>
      <c r="B1320" s="27">
        <v>2026</v>
      </c>
      <c r="C1320" s="27" t="s">
        <v>107</v>
      </c>
      <c r="D1320" s="30">
        <v>46273</v>
      </c>
      <c r="E1320" s="27" t="s">
        <v>227</v>
      </c>
      <c r="F1320" s="27" t="s">
        <v>164</v>
      </c>
      <c r="G1320" s="27" t="s">
        <v>202</v>
      </c>
      <c r="H1320" s="27" t="s">
        <v>1186</v>
      </c>
      <c r="I1320" s="27" t="s">
        <v>2071</v>
      </c>
      <c r="J1320" s="27" t="s">
        <v>177</v>
      </c>
      <c r="K1320" s="10">
        <v>30</v>
      </c>
      <c r="L1320" s="36" t="s">
        <v>263</v>
      </c>
      <c r="M1320" s="37" t="s">
        <v>354</v>
      </c>
      <c r="N1320" s="37" t="s">
        <v>270</v>
      </c>
      <c r="O1320" s="27" t="s">
        <v>1445</v>
      </c>
      <c r="P1320" s="27" t="s">
        <v>1445</v>
      </c>
      <c r="Q1320" s="27" t="s">
        <v>237</v>
      </c>
      <c r="R1320" s="27" t="s">
        <v>2063</v>
      </c>
      <c r="S1320" s="1" t="s">
        <v>264</v>
      </c>
      <c r="T1320" s="29" t="s">
        <v>265</v>
      </c>
      <c r="U1320" s="30">
        <v>46255</v>
      </c>
      <c r="V1320" s="27" t="s">
        <v>2062</v>
      </c>
      <c r="W1320" s="27" t="s">
        <v>1497</v>
      </c>
    </row>
    <row r="1321" spans="1:23" ht="24" customHeight="1">
      <c r="A1321" s="27" t="str">
        <f t="shared" ca="1" si="20"/>
        <v>EVT-2026-1319</v>
      </c>
      <c r="B1321" s="27">
        <v>2026</v>
      </c>
      <c r="C1321" s="27" t="s">
        <v>107</v>
      </c>
      <c r="D1321" s="30">
        <v>46274</v>
      </c>
      <c r="E1321" s="27" t="s">
        <v>201</v>
      </c>
      <c r="F1321" s="27" t="s">
        <v>164</v>
      </c>
      <c r="G1321" s="27" t="s">
        <v>262</v>
      </c>
      <c r="H1321" s="27" t="s">
        <v>171</v>
      </c>
      <c r="I1321" s="27" t="s">
        <v>1863</v>
      </c>
      <c r="J1321" s="27" t="s">
        <v>134</v>
      </c>
      <c r="K1321" s="10">
        <v>0</v>
      </c>
      <c r="L1321" s="36" t="s">
        <v>263</v>
      </c>
      <c r="M1321" s="37" t="s">
        <v>269</v>
      </c>
      <c r="N1321" s="37" t="s">
        <v>270</v>
      </c>
      <c r="O1321" s="27"/>
      <c r="P1321" s="27"/>
      <c r="Q1321" s="27"/>
      <c r="R1321" s="27"/>
      <c r="S1321" s="2" t="s">
        <v>1859</v>
      </c>
      <c r="T1321" s="29" t="s">
        <v>265</v>
      </c>
      <c r="U1321" s="27"/>
      <c r="V1321" s="27" t="s">
        <v>2070</v>
      </c>
      <c r="W1321" s="27"/>
    </row>
    <row r="1322" spans="1:23" ht="24" customHeight="1">
      <c r="A1322" s="27" t="str">
        <f t="shared" ca="1" si="20"/>
        <v>EVT-2026-1320</v>
      </c>
      <c r="B1322" s="27">
        <v>2026</v>
      </c>
      <c r="C1322" s="27" t="s">
        <v>107</v>
      </c>
      <c r="D1322" s="30">
        <v>46274</v>
      </c>
      <c r="E1322" s="27" t="s">
        <v>201</v>
      </c>
      <c r="F1322" s="27" t="s">
        <v>164</v>
      </c>
      <c r="G1322" s="27" t="s">
        <v>228</v>
      </c>
      <c r="H1322" s="27" t="s">
        <v>2064</v>
      </c>
      <c r="I1322" s="27" t="s">
        <v>2065</v>
      </c>
      <c r="J1322" s="27" t="s">
        <v>152</v>
      </c>
      <c r="K1322" s="10">
        <v>1</v>
      </c>
      <c r="L1322" s="36" t="s">
        <v>263</v>
      </c>
      <c r="M1322" s="37" t="s">
        <v>269</v>
      </c>
      <c r="N1322" s="37" t="s">
        <v>270</v>
      </c>
      <c r="O1322" s="27" t="s">
        <v>382</v>
      </c>
      <c r="P1322" s="27" t="s">
        <v>2066</v>
      </c>
      <c r="Q1322" s="27" t="s">
        <v>378</v>
      </c>
      <c r="R1322" s="27" t="s">
        <v>1786</v>
      </c>
      <c r="S1322" s="2" t="s">
        <v>1859</v>
      </c>
      <c r="T1322" s="29" t="s">
        <v>265</v>
      </c>
      <c r="U1322" s="27" t="s">
        <v>1411</v>
      </c>
      <c r="V1322" s="27"/>
      <c r="W1322" s="27"/>
    </row>
    <row r="1323" spans="1:23" ht="24" customHeight="1">
      <c r="A1323" s="27" t="str">
        <f t="shared" ca="1" si="20"/>
        <v>EVT-2026-1321</v>
      </c>
      <c r="B1323" s="27">
        <v>2026</v>
      </c>
      <c r="C1323" s="27" t="s">
        <v>107</v>
      </c>
      <c r="D1323" s="30">
        <v>46274</v>
      </c>
      <c r="E1323" s="27" t="s">
        <v>201</v>
      </c>
      <c r="F1323" s="27" t="s">
        <v>164</v>
      </c>
      <c r="G1323" s="27" t="s">
        <v>202</v>
      </c>
      <c r="H1323" s="27" t="s">
        <v>1186</v>
      </c>
      <c r="I1323" s="27" t="s">
        <v>2071</v>
      </c>
      <c r="J1323" s="27" t="s">
        <v>177</v>
      </c>
      <c r="K1323" s="10">
        <v>30</v>
      </c>
      <c r="L1323" s="36" t="s">
        <v>263</v>
      </c>
      <c r="M1323" s="37" t="s">
        <v>354</v>
      </c>
      <c r="N1323" s="37" t="s">
        <v>270</v>
      </c>
      <c r="O1323" s="27" t="s">
        <v>1445</v>
      </c>
      <c r="P1323" s="27" t="s">
        <v>1445</v>
      </c>
      <c r="Q1323" s="27" t="s">
        <v>237</v>
      </c>
      <c r="R1323" s="27" t="s">
        <v>2063</v>
      </c>
      <c r="S1323" s="1" t="s">
        <v>264</v>
      </c>
      <c r="T1323" s="29" t="s">
        <v>265</v>
      </c>
      <c r="U1323" s="30">
        <v>46255</v>
      </c>
      <c r="V1323" s="27" t="s">
        <v>2062</v>
      </c>
      <c r="W1323" s="27" t="s">
        <v>1497</v>
      </c>
    </row>
    <row r="1324" spans="1:23" ht="24" customHeight="1">
      <c r="A1324" s="27" t="str">
        <f t="shared" ca="1" si="20"/>
        <v>EVT-2026-1322</v>
      </c>
      <c r="B1324" s="27">
        <v>2026</v>
      </c>
      <c r="C1324" s="27" t="s">
        <v>107</v>
      </c>
      <c r="D1324" s="30">
        <v>46275</v>
      </c>
      <c r="E1324" s="27" t="s">
        <v>216</v>
      </c>
      <c r="F1324" s="27" t="s">
        <v>164</v>
      </c>
      <c r="G1324" s="27" t="s">
        <v>262</v>
      </c>
      <c r="H1324" s="27" t="s">
        <v>171</v>
      </c>
      <c r="I1324" s="27" t="s">
        <v>1863</v>
      </c>
      <c r="J1324" s="27" t="s">
        <v>134</v>
      </c>
      <c r="K1324" s="10">
        <v>0</v>
      </c>
      <c r="L1324" s="36" t="s">
        <v>263</v>
      </c>
      <c r="M1324" s="37" t="s">
        <v>269</v>
      </c>
      <c r="N1324" s="37" t="s">
        <v>270</v>
      </c>
      <c r="O1324" s="27"/>
      <c r="P1324" s="27"/>
      <c r="Q1324" s="27"/>
      <c r="R1324" s="27"/>
      <c r="S1324" s="2" t="s">
        <v>1859</v>
      </c>
      <c r="T1324" s="29" t="s">
        <v>265</v>
      </c>
      <c r="U1324" s="27"/>
      <c r="V1324" s="27" t="s">
        <v>2070</v>
      </c>
      <c r="W1324" s="27"/>
    </row>
    <row r="1325" spans="1:23" ht="24" customHeight="1">
      <c r="A1325" s="27" t="str">
        <f t="shared" ca="1" si="20"/>
        <v>EVT-2026-1323</v>
      </c>
      <c r="B1325" s="27">
        <v>2026</v>
      </c>
      <c r="C1325" s="27" t="s">
        <v>107</v>
      </c>
      <c r="D1325" s="30">
        <v>46275</v>
      </c>
      <c r="E1325" s="27" t="s">
        <v>216</v>
      </c>
      <c r="F1325" s="27" t="s">
        <v>164</v>
      </c>
      <c r="G1325" s="27" t="s">
        <v>228</v>
      </c>
      <c r="H1325" s="27" t="s">
        <v>2064</v>
      </c>
      <c r="I1325" s="27" t="s">
        <v>2065</v>
      </c>
      <c r="J1325" s="27" t="s">
        <v>152</v>
      </c>
      <c r="K1325" s="10">
        <v>1</v>
      </c>
      <c r="L1325" s="36" t="s">
        <v>263</v>
      </c>
      <c r="M1325" s="37" t="s">
        <v>269</v>
      </c>
      <c r="N1325" s="37" t="s">
        <v>270</v>
      </c>
      <c r="O1325" s="27" t="s">
        <v>382</v>
      </c>
      <c r="P1325" s="27" t="s">
        <v>2066</v>
      </c>
      <c r="Q1325" s="27" t="s">
        <v>378</v>
      </c>
      <c r="R1325" s="27" t="s">
        <v>1786</v>
      </c>
      <c r="S1325" s="2" t="s">
        <v>1859</v>
      </c>
      <c r="T1325" s="29" t="s">
        <v>265</v>
      </c>
      <c r="U1325" s="27" t="s">
        <v>1411</v>
      </c>
      <c r="V1325" s="27"/>
      <c r="W1325" s="27"/>
    </row>
    <row r="1326" spans="1:23" ht="24" customHeight="1">
      <c r="A1326" s="27" t="str">
        <f t="shared" ca="1" si="20"/>
        <v>EVT-2026-1324</v>
      </c>
      <c r="B1326" s="27">
        <v>2026</v>
      </c>
      <c r="C1326" s="27" t="s">
        <v>107</v>
      </c>
      <c r="D1326" s="30">
        <v>46275</v>
      </c>
      <c r="E1326" s="27" t="s">
        <v>216</v>
      </c>
      <c r="F1326" s="27" t="s">
        <v>164</v>
      </c>
      <c r="G1326" s="27" t="s">
        <v>228</v>
      </c>
      <c r="H1326" s="27" t="s">
        <v>1240</v>
      </c>
      <c r="I1326" s="27" t="s">
        <v>2072</v>
      </c>
      <c r="J1326" s="27" t="s">
        <v>177</v>
      </c>
      <c r="K1326" s="10">
        <v>30</v>
      </c>
      <c r="L1326" s="36" t="s">
        <v>263</v>
      </c>
      <c r="M1326" s="37" t="s">
        <v>275</v>
      </c>
      <c r="N1326" s="37" t="s">
        <v>270</v>
      </c>
      <c r="O1326" s="27" t="s">
        <v>1445</v>
      </c>
      <c r="P1326" s="27" t="s">
        <v>1445</v>
      </c>
      <c r="Q1326" s="27" t="s">
        <v>237</v>
      </c>
      <c r="R1326" s="27" t="s">
        <v>2063</v>
      </c>
      <c r="S1326" s="1" t="s">
        <v>264</v>
      </c>
      <c r="T1326" s="29" t="s">
        <v>265</v>
      </c>
      <c r="U1326" s="30">
        <v>46255</v>
      </c>
      <c r="V1326" s="27" t="s">
        <v>2062</v>
      </c>
      <c r="W1326" s="27" t="s">
        <v>1497</v>
      </c>
    </row>
    <row r="1327" spans="1:23" ht="24" customHeight="1">
      <c r="A1327" s="27" t="str">
        <f t="shared" ca="1" si="20"/>
        <v>EVT-2026-1325</v>
      </c>
      <c r="B1327" s="27">
        <v>2026</v>
      </c>
      <c r="C1327" s="27" t="s">
        <v>107</v>
      </c>
      <c r="D1327" s="30">
        <v>46276</v>
      </c>
      <c r="E1327" s="27" t="s">
        <v>220</v>
      </c>
      <c r="F1327" s="27" t="s">
        <v>164</v>
      </c>
      <c r="G1327" s="27" t="s">
        <v>262</v>
      </c>
      <c r="H1327" s="27" t="s">
        <v>171</v>
      </c>
      <c r="I1327" s="27" t="s">
        <v>1863</v>
      </c>
      <c r="J1327" s="27" t="s">
        <v>134</v>
      </c>
      <c r="K1327" s="10">
        <v>0</v>
      </c>
      <c r="L1327" s="36" t="s">
        <v>263</v>
      </c>
      <c r="M1327" s="37" t="s">
        <v>269</v>
      </c>
      <c r="N1327" s="37" t="s">
        <v>270</v>
      </c>
      <c r="O1327" s="27"/>
      <c r="P1327" s="27"/>
      <c r="Q1327" s="27"/>
      <c r="R1327" s="27"/>
      <c r="S1327" s="2" t="s">
        <v>1859</v>
      </c>
      <c r="T1327" s="29" t="s">
        <v>265</v>
      </c>
      <c r="U1327" s="27"/>
      <c r="V1327" s="27" t="s">
        <v>2070</v>
      </c>
      <c r="W1327" s="27"/>
    </row>
    <row r="1328" spans="1:23" ht="24" customHeight="1">
      <c r="A1328" s="27" t="str">
        <f t="shared" ca="1" si="20"/>
        <v>EVT-2026-1326</v>
      </c>
      <c r="B1328" s="27">
        <v>2026</v>
      </c>
      <c r="C1328" s="27" t="s">
        <v>107</v>
      </c>
      <c r="D1328" s="30">
        <v>46277</v>
      </c>
      <c r="E1328" s="27" t="s">
        <v>266</v>
      </c>
      <c r="F1328" s="27" t="s">
        <v>164</v>
      </c>
      <c r="G1328" s="27" t="s">
        <v>262</v>
      </c>
      <c r="H1328" s="27"/>
      <c r="I1328" s="27"/>
      <c r="J1328" s="27" t="s">
        <v>177</v>
      </c>
      <c r="K1328" s="10">
        <v>0</v>
      </c>
      <c r="L1328" s="36" t="s">
        <v>263</v>
      </c>
      <c r="M1328" s="37"/>
      <c r="N1328" s="37"/>
      <c r="O1328" s="27"/>
      <c r="P1328" s="27"/>
      <c r="Q1328" s="27"/>
      <c r="R1328" s="27"/>
      <c r="S1328" s="2" t="s">
        <v>1859</v>
      </c>
      <c r="T1328" s="29" t="s">
        <v>265</v>
      </c>
      <c r="U1328" s="27"/>
      <c r="V1328" s="27"/>
      <c r="W1328" s="27"/>
    </row>
    <row r="1329" spans="1:23" ht="24" customHeight="1">
      <c r="A1329" s="27" t="str">
        <f t="shared" ca="1" si="20"/>
        <v>EVT-2026-1327</v>
      </c>
      <c r="B1329" s="27">
        <v>2026</v>
      </c>
      <c r="C1329" s="27" t="s">
        <v>107</v>
      </c>
      <c r="D1329" s="30">
        <v>46278</v>
      </c>
      <c r="E1329" s="27" t="s">
        <v>267</v>
      </c>
      <c r="F1329" s="27" t="s">
        <v>164</v>
      </c>
      <c r="G1329" s="27" t="s">
        <v>262</v>
      </c>
      <c r="H1329" s="27"/>
      <c r="I1329" s="27"/>
      <c r="J1329" s="27" t="s">
        <v>177</v>
      </c>
      <c r="K1329" s="10">
        <v>0</v>
      </c>
      <c r="L1329" s="36" t="s">
        <v>263</v>
      </c>
      <c r="M1329" s="37"/>
      <c r="N1329" s="37"/>
      <c r="O1329" s="27"/>
      <c r="P1329" s="27"/>
      <c r="Q1329" s="27"/>
      <c r="R1329" s="27"/>
      <c r="S1329" s="2" t="s">
        <v>1859</v>
      </c>
      <c r="T1329" s="29" t="s">
        <v>265</v>
      </c>
      <c r="U1329" s="27"/>
      <c r="V1329" s="27"/>
      <c r="W1329" s="27"/>
    </row>
    <row r="1330" spans="1:23" ht="24" customHeight="1">
      <c r="A1330" s="27" t="str">
        <f t="shared" ca="1" si="20"/>
        <v>EVT-2026-1328</v>
      </c>
      <c r="B1330" s="27">
        <v>2026</v>
      </c>
      <c r="C1330" s="27" t="s">
        <v>107</v>
      </c>
      <c r="D1330" s="30">
        <v>46279</v>
      </c>
      <c r="E1330" s="27" t="s">
        <v>224</v>
      </c>
      <c r="F1330" s="27" t="s">
        <v>164</v>
      </c>
      <c r="G1330" s="27" t="s">
        <v>262</v>
      </c>
      <c r="H1330" s="27" t="s">
        <v>171</v>
      </c>
      <c r="I1330" s="27" t="s">
        <v>2067</v>
      </c>
      <c r="J1330" s="27" t="s">
        <v>139</v>
      </c>
      <c r="K1330" s="10">
        <v>0</v>
      </c>
      <c r="L1330" s="36" t="s">
        <v>263</v>
      </c>
      <c r="M1330" s="37" t="s">
        <v>269</v>
      </c>
      <c r="N1330" s="37" t="s">
        <v>270</v>
      </c>
      <c r="O1330" s="27"/>
      <c r="P1330" s="27"/>
      <c r="Q1330" s="27"/>
      <c r="R1330" s="27"/>
      <c r="S1330" s="2" t="s">
        <v>1859</v>
      </c>
      <c r="T1330" s="29" t="s">
        <v>265</v>
      </c>
      <c r="U1330" s="27"/>
      <c r="V1330" s="27"/>
      <c r="W1330" s="27"/>
    </row>
    <row r="1331" spans="1:23" ht="24" customHeight="1">
      <c r="A1331" s="27" t="str">
        <f t="shared" ca="1" si="20"/>
        <v>EVT-2026-1329</v>
      </c>
      <c r="B1331" s="27">
        <v>2026</v>
      </c>
      <c r="C1331" s="27" t="s">
        <v>107</v>
      </c>
      <c r="D1331" s="30">
        <v>46280</v>
      </c>
      <c r="E1331" s="27" t="s">
        <v>227</v>
      </c>
      <c r="F1331" s="27" t="s">
        <v>164</v>
      </c>
      <c r="G1331" s="27" t="s">
        <v>262</v>
      </c>
      <c r="H1331" s="27" t="s">
        <v>171</v>
      </c>
      <c r="I1331" s="27" t="s">
        <v>1863</v>
      </c>
      <c r="J1331" s="27" t="s">
        <v>134</v>
      </c>
      <c r="K1331" s="10">
        <v>0</v>
      </c>
      <c r="L1331" s="36" t="s">
        <v>263</v>
      </c>
      <c r="M1331" s="37" t="s">
        <v>269</v>
      </c>
      <c r="N1331" s="37" t="s">
        <v>270</v>
      </c>
      <c r="O1331" s="27"/>
      <c r="P1331" s="27"/>
      <c r="Q1331" s="27"/>
      <c r="R1331" s="27"/>
      <c r="S1331" s="2" t="s">
        <v>1859</v>
      </c>
      <c r="T1331" s="29" t="s">
        <v>265</v>
      </c>
      <c r="U1331" s="27"/>
      <c r="V1331" s="27" t="s">
        <v>2073</v>
      </c>
      <c r="W1331" s="27"/>
    </row>
    <row r="1332" spans="1:23" ht="24" customHeight="1">
      <c r="A1332" s="27" t="str">
        <f t="shared" ca="1" si="20"/>
        <v>EVT-2026-1330</v>
      </c>
      <c r="B1332" s="27">
        <v>2026</v>
      </c>
      <c r="C1332" s="27" t="s">
        <v>107</v>
      </c>
      <c r="D1332" s="30">
        <v>46281</v>
      </c>
      <c r="E1332" s="27" t="s">
        <v>201</v>
      </c>
      <c r="F1332" s="27" t="s">
        <v>164</v>
      </c>
      <c r="G1332" s="27" t="s">
        <v>202</v>
      </c>
      <c r="H1332" s="27" t="s">
        <v>2074</v>
      </c>
      <c r="I1332" s="27" t="s">
        <v>2075</v>
      </c>
      <c r="J1332" s="27" t="s">
        <v>177</v>
      </c>
      <c r="K1332" s="10">
        <v>30</v>
      </c>
      <c r="L1332" s="36" t="s">
        <v>263</v>
      </c>
      <c r="M1332" s="37" t="s">
        <v>275</v>
      </c>
      <c r="N1332" s="37" t="s">
        <v>270</v>
      </c>
      <c r="O1332" s="27" t="s">
        <v>1445</v>
      </c>
      <c r="P1332" s="27" t="s">
        <v>1445</v>
      </c>
      <c r="Q1332" s="27" t="s">
        <v>237</v>
      </c>
      <c r="R1332" s="27" t="s">
        <v>2063</v>
      </c>
      <c r="S1332" s="1" t="s">
        <v>264</v>
      </c>
      <c r="T1332" s="29" t="s">
        <v>265</v>
      </c>
      <c r="U1332" s="30">
        <v>46255</v>
      </c>
      <c r="V1332" s="27" t="s">
        <v>2062</v>
      </c>
      <c r="W1332" s="27" t="s">
        <v>1497</v>
      </c>
    </row>
    <row r="1333" spans="1:23" ht="24" customHeight="1">
      <c r="A1333" s="27" t="str">
        <f t="shared" ca="1" si="20"/>
        <v>EVT-2026-1331</v>
      </c>
      <c r="B1333" s="27">
        <v>2026</v>
      </c>
      <c r="C1333" s="27" t="s">
        <v>107</v>
      </c>
      <c r="D1333" s="30">
        <v>46281</v>
      </c>
      <c r="E1333" s="27" t="s">
        <v>201</v>
      </c>
      <c r="F1333" s="27" t="s">
        <v>164</v>
      </c>
      <c r="G1333" s="27" t="s">
        <v>262</v>
      </c>
      <c r="H1333" s="27" t="s">
        <v>171</v>
      </c>
      <c r="I1333" s="27" t="s">
        <v>1863</v>
      </c>
      <c r="J1333" s="27" t="s">
        <v>134</v>
      </c>
      <c r="K1333" s="10">
        <v>0</v>
      </c>
      <c r="L1333" s="36" t="s">
        <v>263</v>
      </c>
      <c r="M1333" s="37" t="s">
        <v>269</v>
      </c>
      <c r="N1333" s="37" t="s">
        <v>270</v>
      </c>
      <c r="O1333" s="27"/>
      <c r="P1333" s="27"/>
      <c r="Q1333" s="27"/>
      <c r="R1333" s="27"/>
      <c r="S1333" s="2" t="s">
        <v>1859</v>
      </c>
      <c r="T1333" s="29" t="s">
        <v>265</v>
      </c>
      <c r="U1333" s="27"/>
      <c r="V1333" s="27" t="s">
        <v>2073</v>
      </c>
      <c r="W1333" s="27"/>
    </row>
    <row r="1334" spans="1:23" ht="24" customHeight="1">
      <c r="A1334" s="27" t="str">
        <f t="shared" ca="1" si="20"/>
        <v>EVT-2026-1332</v>
      </c>
      <c r="B1334" s="27">
        <v>2026</v>
      </c>
      <c r="C1334" s="27" t="s">
        <v>107</v>
      </c>
      <c r="D1334" s="30">
        <v>46282</v>
      </c>
      <c r="E1334" s="27" t="s">
        <v>216</v>
      </c>
      <c r="F1334" s="27" t="s">
        <v>164</v>
      </c>
      <c r="G1334" s="27" t="s">
        <v>262</v>
      </c>
      <c r="H1334" s="27" t="s">
        <v>171</v>
      </c>
      <c r="I1334" s="27" t="s">
        <v>1863</v>
      </c>
      <c r="J1334" s="27" t="s">
        <v>134</v>
      </c>
      <c r="K1334" s="10">
        <v>0</v>
      </c>
      <c r="L1334" s="36" t="s">
        <v>263</v>
      </c>
      <c r="M1334" s="37" t="s">
        <v>269</v>
      </c>
      <c r="N1334" s="37" t="s">
        <v>270</v>
      </c>
      <c r="O1334" s="27"/>
      <c r="P1334" s="27"/>
      <c r="Q1334" s="27"/>
      <c r="R1334" s="27"/>
      <c r="S1334" s="2" t="s">
        <v>1859</v>
      </c>
      <c r="T1334" s="29" t="s">
        <v>265</v>
      </c>
      <c r="U1334" s="27"/>
      <c r="V1334" s="27" t="s">
        <v>2073</v>
      </c>
      <c r="W1334" s="27"/>
    </row>
    <row r="1335" spans="1:23" ht="24" customHeight="1">
      <c r="A1335" s="27" t="str">
        <f t="shared" ca="1" si="20"/>
        <v>EVT-2026-1333</v>
      </c>
      <c r="B1335" s="27">
        <v>2026</v>
      </c>
      <c r="C1335" s="27" t="s">
        <v>107</v>
      </c>
      <c r="D1335" s="30">
        <v>46283</v>
      </c>
      <c r="E1335" s="27" t="s">
        <v>220</v>
      </c>
      <c r="F1335" s="27" t="s">
        <v>164</v>
      </c>
      <c r="G1335" s="27" t="s">
        <v>262</v>
      </c>
      <c r="H1335" s="27" t="s">
        <v>171</v>
      </c>
      <c r="I1335" s="27" t="s">
        <v>1863</v>
      </c>
      <c r="J1335" s="27" t="s">
        <v>134</v>
      </c>
      <c r="K1335" s="10">
        <v>0</v>
      </c>
      <c r="L1335" s="36" t="s">
        <v>263</v>
      </c>
      <c r="M1335" s="37" t="s">
        <v>269</v>
      </c>
      <c r="N1335" s="37" t="s">
        <v>270</v>
      </c>
      <c r="O1335" s="27"/>
      <c r="P1335" s="27"/>
      <c r="Q1335" s="27"/>
      <c r="R1335" s="27"/>
      <c r="S1335" s="2" t="s">
        <v>1859</v>
      </c>
      <c r="T1335" s="29" t="s">
        <v>265</v>
      </c>
      <c r="U1335" s="27"/>
      <c r="V1335" s="27" t="s">
        <v>2073</v>
      </c>
      <c r="W1335" s="27"/>
    </row>
    <row r="1336" spans="1:23" ht="24" customHeight="1">
      <c r="A1336" s="27" t="str">
        <f t="shared" ca="1" si="20"/>
        <v>EVT-2026-1334</v>
      </c>
      <c r="B1336" s="27">
        <v>2026</v>
      </c>
      <c r="C1336" s="27" t="s">
        <v>107</v>
      </c>
      <c r="D1336" s="30">
        <v>46284</v>
      </c>
      <c r="E1336" s="27" t="s">
        <v>266</v>
      </c>
      <c r="F1336" s="27" t="s">
        <v>164</v>
      </c>
      <c r="G1336" s="27" t="s">
        <v>262</v>
      </c>
      <c r="H1336" s="27"/>
      <c r="I1336" s="27"/>
      <c r="J1336" s="27" t="s">
        <v>177</v>
      </c>
      <c r="K1336" s="10">
        <v>0</v>
      </c>
      <c r="L1336" s="36" t="s">
        <v>263</v>
      </c>
      <c r="M1336" s="37"/>
      <c r="N1336" s="37"/>
      <c r="O1336" s="27"/>
      <c r="P1336" s="27"/>
      <c r="Q1336" s="27"/>
      <c r="R1336" s="27"/>
      <c r="S1336" s="2" t="s">
        <v>1859</v>
      </c>
      <c r="T1336" s="29" t="s">
        <v>265</v>
      </c>
      <c r="U1336" s="27"/>
      <c r="V1336" s="27"/>
      <c r="W1336" s="27"/>
    </row>
    <row r="1337" spans="1:23" ht="24" customHeight="1">
      <c r="A1337" s="27" t="str">
        <f t="shared" ca="1" si="20"/>
        <v>EVT-2026-1335</v>
      </c>
      <c r="B1337" s="27">
        <v>2026</v>
      </c>
      <c r="C1337" s="27" t="s">
        <v>107</v>
      </c>
      <c r="D1337" s="30">
        <v>46285</v>
      </c>
      <c r="E1337" s="27" t="s">
        <v>267</v>
      </c>
      <c r="F1337" s="27" t="s">
        <v>164</v>
      </c>
      <c r="G1337" s="27" t="s">
        <v>262</v>
      </c>
      <c r="H1337" s="27"/>
      <c r="I1337" s="27"/>
      <c r="J1337" s="27" t="s">
        <v>177</v>
      </c>
      <c r="K1337" s="10">
        <v>0</v>
      </c>
      <c r="L1337" s="36" t="s">
        <v>263</v>
      </c>
      <c r="M1337" s="37"/>
      <c r="N1337" s="37"/>
      <c r="O1337" s="27" t="s">
        <v>2076</v>
      </c>
      <c r="P1337" s="27"/>
      <c r="Q1337" s="27"/>
      <c r="R1337" s="27"/>
      <c r="S1337" s="2" t="s">
        <v>1859</v>
      </c>
      <c r="T1337" s="29" t="s">
        <v>265</v>
      </c>
      <c r="U1337" s="27"/>
      <c r="V1337" s="27"/>
      <c r="W1337" s="27"/>
    </row>
    <row r="1338" spans="1:23" ht="24" customHeight="1">
      <c r="A1338" s="27" t="str">
        <f t="shared" ca="1" si="20"/>
        <v>EVT-2026-1336</v>
      </c>
      <c r="B1338" s="27">
        <v>2026</v>
      </c>
      <c r="C1338" s="27" t="s">
        <v>107</v>
      </c>
      <c r="D1338" s="30">
        <v>46286</v>
      </c>
      <c r="E1338" s="27" t="s">
        <v>224</v>
      </c>
      <c r="F1338" s="27" t="s">
        <v>164</v>
      </c>
      <c r="G1338" s="27" t="s">
        <v>262</v>
      </c>
      <c r="H1338" s="27" t="s">
        <v>171</v>
      </c>
      <c r="I1338" s="27" t="s">
        <v>2067</v>
      </c>
      <c r="J1338" s="27" t="s">
        <v>139</v>
      </c>
      <c r="K1338" s="10">
        <v>0</v>
      </c>
      <c r="L1338" s="36" t="s">
        <v>263</v>
      </c>
      <c r="M1338" s="37" t="s">
        <v>269</v>
      </c>
      <c r="N1338" s="37" t="s">
        <v>270</v>
      </c>
      <c r="O1338" s="27"/>
      <c r="P1338" s="27"/>
      <c r="Q1338" s="27"/>
      <c r="R1338" s="27"/>
      <c r="S1338" s="2" t="s">
        <v>1859</v>
      </c>
      <c r="T1338" s="29" t="s">
        <v>265</v>
      </c>
      <c r="U1338" s="27"/>
      <c r="V1338" s="27" t="s">
        <v>2073</v>
      </c>
      <c r="W1338" s="27"/>
    </row>
    <row r="1339" spans="1:23" ht="24" customHeight="1">
      <c r="A1339" s="27" t="str">
        <f t="shared" ca="1" si="20"/>
        <v>EVT-2026-1337</v>
      </c>
      <c r="B1339" s="27">
        <v>2026</v>
      </c>
      <c r="C1339" s="27" t="s">
        <v>107</v>
      </c>
      <c r="D1339" s="30">
        <v>46287</v>
      </c>
      <c r="E1339" s="27" t="s">
        <v>227</v>
      </c>
      <c r="F1339" s="27" t="s">
        <v>164</v>
      </c>
      <c r="G1339" s="27" t="s">
        <v>202</v>
      </c>
      <c r="H1339" s="27" t="s">
        <v>1186</v>
      </c>
      <c r="I1339" s="27" t="s">
        <v>2077</v>
      </c>
      <c r="J1339" s="27" t="s">
        <v>177</v>
      </c>
      <c r="K1339" s="10">
        <v>30</v>
      </c>
      <c r="L1339" s="36" t="s">
        <v>263</v>
      </c>
      <c r="M1339" s="37" t="s">
        <v>275</v>
      </c>
      <c r="N1339" s="37" t="s">
        <v>270</v>
      </c>
      <c r="O1339" s="27" t="s">
        <v>1445</v>
      </c>
      <c r="P1339" s="27" t="s">
        <v>1445</v>
      </c>
      <c r="Q1339" s="27" t="s">
        <v>237</v>
      </c>
      <c r="R1339" s="27" t="s">
        <v>2063</v>
      </c>
      <c r="S1339" s="1" t="s">
        <v>264</v>
      </c>
      <c r="T1339" s="29" t="s">
        <v>265</v>
      </c>
      <c r="U1339" s="30">
        <v>46255</v>
      </c>
      <c r="V1339" s="27" t="s">
        <v>2062</v>
      </c>
      <c r="W1339" s="27" t="s">
        <v>1497</v>
      </c>
    </row>
    <row r="1340" spans="1:23" ht="24" customHeight="1">
      <c r="A1340" s="27" t="str">
        <f t="shared" ca="1" si="20"/>
        <v>EVT-2026-1338</v>
      </c>
      <c r="B1340" s="27">
        <v>2026</v>
      </c>
      <c r="C1340" s="27" t="s">
        <v>107</v>
      </c>
      <c r="D1340" s="30">
        <v>46287</v>
      </c>
      <c r="E1340" s="27" t="s">
        <v>227</v>
      </c>
      <c r="F1340" s="27" t="s">
        <v>164</v>
      </c>
      <c r="G1340" s="27" t="s">
        <v>262</v>
      </c>
      <c r="H1340" s="27" t="s">
        <v>171</v>
      </c>
      <c r="I1340" s="27" t="s">
        <v>1863</v>
      </c>
      <c r="J1340" s="27" t="s">
        <v>134</v>
      </c>
      <c r="K1340" s="10">
        <v>0</v>
      </c>
      <c r="L1340" s="36" t="s">
        <v>263</v>
      </c>
      <c r="M1340" s="37" t="s">
        <v>269</v>
      </c>
      <c r="N1340" s="37" t="s">
        <v>270</v>
      </c>
      <c r="O1340" s="27"/>
      <c r="P1340" s="27"/>
      <c r="Q1340" s="27"/>
      <c r="R1340" s="27"/>
      <c r="S1340" s="2" t="s">
        <v>1859</v>
      </c>
      <c r="T1340" s="29" t="s">
        <v>265</v>
      </c>
      <c r="U1340" s="27"/>
      <c r="V1340" s="27" t="s">
        <v>2073</v>
      </c>
      <c r="W1340" s="27"/>
    </row>
    <row r="1341" spans="1:23" ht="24" customHeight="1">
      <c r="A1341" s="27" t="str">
        <f t="shared" ca="1" si="20"/>
        <v>EVT-2026-1339</v>
      </c>
      <c r="B1341" s="27">
        <v>2026</v>
      </c>
      <c r="C1341" s="27" t="s">
        <v>107</v>
      </c>
      <c r="D1341" s="30">
        <v>46288</v>
      </c>
      <c r="E1341" s="27" t="s">
        <v>201</v>
      </c>
      <c r="F1341" s="27" t="s">
        <v>164</v>
      </c>
      <c r="G1341" s="27" t="s">
        <v>262</v>
      </c>
      <c r="H1341" s="27" t="s">
        <v>171</v>
      </c>
      <c r="I1341" s="27" t="s">
        <v>1863</v>
      </c>
      <c r="J1341" s="27" t="s">
        <v>134</v>
      </c>
      <c r="K1341" s="10">
        <v>0</v>
      </c>
      <c r="L1341" s="36" t="s">
        <v>263</v>
      </c>
      <c r="M1341" s="37" t="s">
        <v>269</v>
      </c>
      <c r="N1341" s="37" t="s">
        <v>270</v>
      </c>
      <c r="O1341" s="27"/>
      <c r="P1341" s="27"/>
      <c r="Q1341" s="27"/>
      <c r="R1341" s="27"/>
      <c r="S1341" s="2" t="s">
        <v>1859</v>
      </c>
      <c r="T1341" s="29" t="s">
        <v>265</v>
      </c>
      <c r="U1341" s="27"/>
      <c r="V1341" s="27" t="s">
        <v>2073</v>
      </c>
      <c r="W1341" s="27"/>
    </row>
    <row r="1342" spans="1:23" ht="24" customHeight="1">
      <c r="A1342" s="27" t="str">
        <f t="shared" ca="1" si="20"/>
        <v>EVT-2026-1340</v>
      </c>
      <c r="B1342" s="27">
        <v>2026</v>
      </c>
      <c r="C1342" s="27" t="s">
        <v>107</v>
      </c>
      <c r="D1342" s="30">
        <v>46289</v>
      </c>
      <c r="E1342" s="27" t="s">
        <v>216</v>
      </c>
      <c r="F1342" s="27" t="s">
        <v>164</v>
      </c>
      <c r="G1342" s="27" t="s">
        <v>262</v>
      </c>
      <c r="H1342" s="27" t="s">
        <v>171</v>
      </c>
      <c r="I1342" s="27" t="s">
        <v>1863</v>
      </c>
      <c r="J1342" s="27" t="s">
        <v>134</v>
      </c>
      <c r="K1342" s="10">
        <v>0</v>
      </c>
      <c r="L1342" s="36" t="s">
        <v>263</v>
      </c>
      <c r="M1342" s="37" t="s">
        <v>269</v>
      </c>
      <c r="N1342" s="37" t="s">
        <v>270</v>
      </c>
      <c r="O1342" s="27"/>
      <c r="P1342" s="27"/>
      <c r="Q1342" s="27"/>
      <c r="R1342" s="27"/>
      <c r="S1342" s="2" t="s">
        <v>1859</v>
      </c>
      <c r="T1342" s="29" t="s">
        <v>265</v>
      </c>
      <c r="U1342" s="27"/>
      <c r="V1342" s="27" t="s">
        <v>2073</v>
      </c>
      <c r="W1342" s="27"/>
    </row>
    <row r="1343" spans="1:23" ht="24" customHeight="1">
      <c r="A1343" s="27" t="str">
        <f t="shared" ca="1" si="20"/>
        <v>EVT-2026-1341</v>
      </c>
      <c r="B1343" s="27">
        <v>2026</v>
      </c>
      <c r="C1343" s="27" t="s">
        <v>107</v>
      </c>
      <c r="D1343" s="30">
        <v>46289</v>
      </c>
      <c r="E1343" s="27" t="s">
        <v>216</v>
      </c>
      <c r="F1343" s="27" t="s">
        <v>164</v>
      </c>
      <c r="G1343" s="27" t="s">
        <v>202</v>
      </c>
      <c r="H1343" s="27" t="s">
        <v>1186</v>
      </c>
      <c r="I1343" s="27" t="s">
        <v>2078</v>
      </c>
      <c r="J1343" s="27" t="s">
        <v>177</v>
      </c>
      <c r="K1343" s="10">
        <v>30</v>
      </c>
      <c r="L1343" s="36" t="s">
        <v>263</v>
      </c>
      <c r="M1343" s="37" t="s">
        <v>275</v>
      </c>
      <c r="N1343" s="37" t="s">
        <v>270</v>
      </c>
      <c r="O1343" s="27" t="s">
        <v>1445</v>
      </c>
      <c r="P1343" s="27" t="s">
        <v>1445</v>
      </c>
      <c r="Q1343" s="27" t="s">
        <v>237</v>
      </c>
      <c r="R1343" s="27" t="s">
        <v>2063</v>
      </c>
      <c r="S1343" s="1" t="s">
        <v>264</v>
      </c>
      <c r="T1343" s="29" t="s">
        <v>265</v>
      </c>
      <c r="U1343" s="30">
        <v>46255</v>
      </c>
      <c r="V1343" s="27" t="s">
        <v>2062</v>
      </c>
      <c r="W1343" s="27" t="s">
        <v>1497</v>
      </c>
    </row>
    <row r="1344" spans="1:23" ht="24" customHeight="1">
      <c r="A1344" s="27" t="str">
        <f t="shared" ca="1" si="20"/>
        <v>EVT-2026-1342</v>
      </c>
      <c r="B1344" s="27">
        <v>2026</v>
      </c>
      <c r="C1344" s="27" t="s">
        <v>107</v>
      </c>
      <c r="D1344" s="30">
        <v>46290</v>
      </c>
      <c r="E1344" s="27" t="s">
        <v>220</v>
      </c>
      <c r="F1344" s="27" t="s">
        <v>164</v>
      </c>
      <c r="G1344" s="27" t="s">
        <v>262</v>
      </c>
      <c r="H1344" s="27" t="s">
        <v>171</v>
      </c>
      <c r="I1344" s="27" t="s">
        <v>1863</v>
      </c>
      <c r="J1344" s="27" t="s">
        <v>134</v>
      </c>
      <c r="K1344" s="10">
        <v>0</v>
      </c>
      <c r="L1344" s="36" t="s">
        <v>263</v>
      </c>
      <c r="M1344" s="37" t="s">
        <v>269</v>
      </c>
      <c r="N1344" s="37" t="s">
        <v>270</v>
      </c>
      <c r="O1344" s="27"/>
      <c r="P1344" s="27"/>
      <c r="Q1344" s="27"/>
      <c r="R1344" s="27"/>
      <c r="S1344" s="2" t="s">
        <v>1859</v>
      </c>
      <c r="T1344" s="29" t="s">
        <v>265</v>
      </c>
      <c r="U1344" s="27"/>
      <c r="V1344" s="27" t="s">
        <v>2073</v>
      </c>
      <c r="W1344" s="27"/>
    </row>
    <row r="1345" spans="1:23" ht="24" customHeight="1">
      <c r="A1345" s="27" t="str">
        <f t="shared" ca="1" si="20"/>
        <v>EVT-2026-1343</v>
      </c>
      <c r="B1345" s="27">
        <v>2026</v>
      </c>
      <c r="C1345" s="27" t="s">
        <v>107</v>
      </c>
      <c r="D1345" s="30">
        <v>46291</v>
      </c>
      <c r="E1345" s="27" t="s">
        <v>266</v>
      </c>
      <c r="F1345" s="27" t="s">
        <v>164</v>
      </c>
      <c r="G1345" s="27" t="s">
        <v>262</v>
      </c>
      <c r="H1345" s="27"/>
      <c r="I1345" s="27"/>
      <c r="J1345" s="27" t="s">
        <v>177</v>
      </c>
      <c r="K1345" s="10">
        <v>0</v>
      </c>
      <c r="L1345" s="36" t="s">
        <v>263</v>
      </c>
      <c r="M1345" s="37"/>
      <c r="N1345" s="37"/>
      <c r="O1345" s="27"/>
      <c r="P1345" s="27"/>
      <c r="Q1345" s="27"/>
      <c r="R1345" s="27"/>
      <c r="S1345" s="2" t="s">
        <v>1859</v>
      </c>
      <c r="T1345" s="29" t="s">
        <v>265</v>
      </c>
      <c r="U1345" s="27"/>
      <c r="V1345" s="27"/>
      <c r="W1345" s="27"/>
    </row>
    <row r="1346" spans="1:23" ht="24" customHeight="1">
      <c r="A1346" s="27" t="str">
        <f t="shared" ca="1" si="20"/>
        <v>EVT-2026-1344</v>
      </c>
      <c r="B1346" s="27">
        <v>2026</v>
      </c>
      <c r="C1346" s="27" t="s">
        <v>107</v>
      </c>
      <c r="D1346" s="30">
        <v>46292</v>
      </c>
      <c r="E1346" s="27" t="s">
        <v>267</v>
      </c>
      <c r="F1346" s="27" t="s">
        <v>164</v>
      </c>
      <c r="G1346" s="27" t="s">
        <v>262</v>
      </c>
      <c r="H1346" s="27"/>
      <c r="I1346" s="27"/>
      <c r="J1346" s="27" t="s">
        <v>177</v>
      </c>
      <c r="K1346" s="10">
        <v>0</v>
      </c>
      <c r="L1346" s="36" t="s">
        <v>263</v>
      </c>
      <c r="M1346" s="37"/>
      <c r="N1346" s="37"/>
      <c r="O1346" s="27"/>
      <c r="P1346" s="27"/>
      <c r="Q1346" s="27"/>
      <c r="R1346" s="27"/>
      <c r="S1346" s="2" t="s">
        <v>1859</v>
      </c>
      <c r="T1346" s="29" t="s">
        <v>265</v>
      </c>
      <c r="U1346" s="27"/>
      <c r="V1346" s="27"/>
      <c r="W1346" s="27"/>
    </row>
    <row r="1347" spans="1:23" ht="24" customHeight="1">
      <c r="A1347" s="27" t="str">
        <f t="shared" ref="A1347:A1410" ca="1" si="21">IF(OR(D1347&lt;&gt;"",H1347&lt;&gt;"",I1347&lt;&gt;"",Q1347&lt;&gt;"",S1347&lt;&gt;""), "EVT-" &amp; TEXT(B1347, "0000") &amp; "-" &amp; TEXT(COUNTIF(OFFSET($A$1, 1, 0, ROW()-2, 1), "EVT*") + 1, "0000"), "")</f>
        <v>EVT-2026-1345</v>
      </c>
      <c r="B1347" s="27">
        <v>2026</v>
      </c>
      <c r="C1347" s="27" t="s">
        <v>107</v>
      </c>
      <c r="D1347" s="30">
        <v>46293</v>
      </c>
      <c r="E1347" s="27" t="s">
        <v>224</v>
      </c>
      <c r="F1347" s="27" t="s">
        <v>164</v>
      </c>
      <c r="G1347" s="27" t="s">
        <v>262</v>
      </c>
      <c r="H1347" s="27" t="s">
        <v>171</v>
      </c>
      <c r="I1347" s="27" t="s">
        <v>2067</v>
      </c>
      <c r="J1347" s="27" t="s">
        <v>139</v>
      </c>
      <c r="K1347" s="10">
        <v>0</v>
      </c>
      <c r="L1347" s="36" t="s">
        <v>263</v>
      </c>
      <c r="M1347" s="37"/>
      <c r="N1347" s="37"/>
      <c r="O1347" s="27"/>
      <c r="P1347" s="27"/>
      <c r="Q1347" s="27"/>
      <c r="R1347" s="27"/>
      <c r="S1347" s="2" t="s">
        <v>1859</v>
      </c>
      <c r="T1347" s="29" t="s">
        <v>265</v>
      </c>
      <c r="U1347" s="27"/>
      <c r="V1347" s="27"/>
      <c r="W1347" s="27"/>
    </row>
    <row r="1348" spans="1:23" ht="24" customHeight="1">
      <c r="A1348" s="27" t="str">
        <f t="shared" ca="1" si="21"/>
        <v>EVT-2026-1346</v>
      </c>
      <c r="B1348" s="27">
        <v>2026</v>
      </c>
      <c r="C1348" s="27" t="s">
        <v>107</v>
      </c>
      <c r="D1348" s="30">
        <v>46294</v>
      </c>
      <c r="E1348" s="27" t="s">
        <v>227</v>
      </c>
      <c r="F1348" s="27" t="s">
        <v>164</v>
      </c>
      <c r="G1348" s="27" t="s">
        <v>262</v>
      </c>
      <c r="H1348" s="27" t="s">
        <v>171</v>
      </c>
      <c r="I1348" s="27" t="s">
        <v>1863</v>
      </c>
      <c r="J1348" s="27" t="s">
        <v>134</v>
      </c>
      <c r="K1348" s="10">
        <v>50</v>
      </c>
      <c r="L1348" s="36" t="s">
        <v>263</v>
      </c>
      <c r="M1348" s="37" t="s">
        <v>269</v>
      </c>
      <c r="N1348" s="37" t="s">
        <v>270</v>
      </c>
      <c r="O1348" s="27"/>
      <c r="P1348" s="27"/>
      <c r="Q1348" s="27"/>
      <c r="R1348" s="27"/>
      <c r="S1348" s="2" t="s">
        <v>1859</v>
      </c>
      <c r="T1348" s="29" t="s">
        <v>265</v>
      </c>
      <c r="U1348" s="27"/>
      <c r="V1348" s="27" t="s">
        <v>2073</v>
      </c>
      <c r="W1348" s="27"/>
    </row>
    <row r="1349" spans="1:23" ht="24" customHeight="1">
      <c r="A1349" s="27" t="str">
        <f t="shared" ca="1" si="21"/>
        <v>EVT-2026-1347</v>
      </c>
      <c r="B1349" s="27">
        <v>2026</v>
      </c>
      <c r="C1349" s="27" t="s">
        <v>107</v>
      </c>
      <c r="D1349" s="30">
        <v>46295</v>
      </c>
      <c r="E1349" s="27" t="s">
        <v>201</v>
      </c>
      <c r="F1349" s="27" t="s">
        <v>164</v>
      </c>
      <c r="G1349" s="27" t="s">
        <v>262</v>
      </c>
      <c r="H1349" s="27" t="s">
        <v>171</v>
      </c>
      <c r="I1349" s="27" t="s">
        <v>670</v>
      </c>
      <c r="J1349" s="27" t="s">
        <v>127</v>
      </c>
      <c r="K1349" s="10">
        <v>70</v>
      </c>
      <c r="L1349" s="36" t="s">
        <v>263</v>
      </c>
      <c r="M1349" s="37" t="s">
        <v>338</v>
      </c>
      <c r="N1349" s="37" t="s">
        <v>330</v>
      </c>
      <c r="O1349" s="27" t="s">
        <v>610</v>
      </c>
      <c r="P1349" s="27" t="s">
        <v>369</v>
      </c>
      <c r="Q1349" s="27" t="s">
        <v>671</v>
      </c>
      <c r="R1349" s="27"/>
      <c r="S1349" s="2" t="s">
        <v>1859</v>
      </c>
      <c r="T1349" s="29" t="s">
        <v>265</v>
      </c>
      <c r="U1349" s="30">
        <v>46069</v>
      </c>
      <c r="V1349" s="27" t="s">
        <v>298</v>
      </c>
      <c r="W1349" s="27"/>
    </row>
    <row r="1350" spans="1:23" ht="24" customHeight="1">
      <c r="A1350" s="27" t="str">
        <f t="shared" ca="1" si="21"/>
        <v>EVT-2026-1348</v>
      </c>
      <c r="B1350" s="27">
        <v>2026</v>
      </c>
      <c r="C1350" s="27" t="s">
        <v>107</v>
      </c>
      <c r="D1350" s="27"/>
      <c r="E1350" s="27"/>
      <c r="F1350" s="27" t="s">
        <v>164</v>
      </c>
      <c r="G1350" s="27" t="s">
        <v>262</v>
      </c>
      <c r="H1350" s="27"/>
      <c r="I1350" s="27"/>
      <c r="J1350" s="27" t="s">
        <v>177</v>
      </c>
      <c r="K1350" s="10">
        <v>0</v>
      </c>
      <c r="L1350" s="36" t="s">
        <v>263</v>
      </c>
      <c r="M1350" s="37"/>
      <c r="N1350" s="37"/>
      <c r="O1350" s="27"/>
      <c r="P1350" s="27"/>
      <c r="Q1350" s="27"/>
      <c r="R1350" s="27"/>
      <c r="S1350" s="2" t="s">
        <v>1859</v>
      </c>
      <c r="T1350" s="29" t="s">
        <v>265</v>
      </c>
      <c r="U1350" s="27"/>
      <c r="V1350" s="27"/>
      <c r="W1350" s="27"/>
    </row>
    <row r="1351" spans="1:23" ht="24" customHeight="1">
      <c r="A1351" s="27" t="str">
        <f t="shared" ca="1" si="21"/>
        <v>EVT-2026-1349</v>
      </c>
      <c r="B1351" s="27">
        <v>2026</v>
      </c>
      <c r="C1351" s="27" t="s">
        <v>107</v>
      </c>
      <c r="D1351" s="27"/>
      <c r="E1351" s="27"/>
      <c r="F1351" s="27" t="s">
        <v>164</v>
      </c>
      <c r="G1351" s="27" t="s">
        <v>262</v>
      </c>
      <c r="H1351" s="27"/>
      <c r="I1351" s="27"/>
      <c r="J1351" s="27" t="s">
        <v>177</v>
      </c>
      <c r="K1351" s="10">
        <v>0</v>
      </c>
      <c r="L1351" s="36" t="s">
        <v>263</v>
      </c>
      <c r="M1351" s="37"/>
      <c r="N1351" s="37"/>
      <c r="O1351" s="27"/>
      <c r="P1351" s="27"/>
      <c r="Q1351" s="27"/>
      <c r="R1351" s="27"/>
      <c r="S1351" s="2" t="s">
        <v>1859</v>
      </c>
      <c r="T1351" s="29" t="s">
        <v>265</v>
      </c>
      <c r="U1351" s="27"/>
      <c r="V1351" s="27"/>
      <c r="W1351" s="27"/>
    </row>
    <row r="1352" spans="1:23" ht="24" customHeight="1">
      <c r="A1352" s="27" t="str">
        <f t="shared" ca="1" si="21"/>
        <v>EVT-2026-1350</v>
      </c>
      <c r="B1352" s="27">
        <v>2026</v>
      </c>
      <c r="C1352" s="27" t="s">
        <v>107</v>
      </c>
      <c r="D1352" s="27"/>
      <c r="E1352" s="27"/>
      <c r="F1352" s="27" t="s">
        <v>164</v>
      </c>
      <c r="G1352" s="27" t="s">
        <v>262</v>
      </c>
      <c r="H1352" s="27"/>
      <c r="I1352" s="27"/>
      <c r="J1352" s="27" t="s">
        <v>177</v>
      </c>
      <c r="K1352" s="10">
        <v>0</v>
      </c>
      <c r="L1352" s="36" t="s">
        <v>263</v>
      </c>
      <c r="M1352" s="37"/>
      <c r="N1352" s="37"/>
      <c r="O1352" s="27"/>
      <c r="P1352" s="27"/>
      <c r="Q1352" s="27"/>
      <c r="R1352" s="27"/>
      <c r="S1352" s="2" t="s">
        <v>1859</v>
      </c>
      <c r="T1352" s="29" t="s">
        <v>265</v>
      </c>
      <c r="U1352" s="27"/>
      <c r="V1352" s="27"/>
      <c r="W1352" s="27"/>
    </row>
    <row r="1353" spans="1:23" ht="24" customHeight="1">
      <c r="A1353" s="27" t="str">
        <f t="shared" ca="1" si="21"/>
        <v>EVT-2026-1351</v>
      </c>
      <c r="B1353" s="27">
        <v>2026</v>
      </c>
      <c r="C1353" s="27" t="s">
        <v>107</v>
      </c>
      <c r="D1353" s="27"/>
      <c r="E1353" s="27"/>
      <c r="F1353" s="27" t="s">
        <v>164</v>
      </c>
      <c r="G1353" s="27" t="s">
        <v>262</v>
      </c>
      <c r="H1353" s="27"/>
      <c r="I1353" s="27"/>
      <c r="J1353" s="27" t="s">
        <v>177</v>
      </c>
      <c r="K1353" s="10">
        <v>0</v>
      </c>
      <c r="L1353" s="36" t="s">
        <v>263</v>
      </c>
      <c r="M1353" s="37"/>
      <c r="N1353" s="37"/>
      <c r="O1353" s="27"/>
      <c r="P1353" s="27"/>
      <c r="Q1353" s="27"/>
      <c r="R1353" s="27"/>
      <c r="S1353" s="2" t="s">
        <v>1859</v>
      </c>
      <c r="T1353" s="29" t="s">
        <v>265</v>
      </c>
      <c r="U1353" s="27"/>
      <c r="V1353" s="27"/>
      <c r="W1353" s="27"/>
    </row>
    <row r="1354" spans="1:23" ht="24" customHeight="1">
      <c r="A1354" s="27" t="str">
        <f t="shared" ca="1" si="21"/>
        <v>EVT-2026-1352</v>
      </c>
      <c r="B1354" s="27">
        <v>2026</v>
      </c>
      <c r="C1354" s="27" t="s">
        <v>107</v>
      </c>
      <c r="D1354" s="27"/>
      <c r="E1354" s="27"/>
      <c r="F1354" s="27" t="s">
        <v>164</v>
      </c>
      <c r="G1354" s="27" t="s">
        <v>262</v>
      </c>
      <c r="H1354" s="27"/>
      <c r="I1354" s="27"/>
      <c r="J1354" s="27" t="s">
        <v>177</v>
      </c>
      <c r="K1354" s="10">
        <v>0</v>
      </c>
      <c r="L1354" s="36" t="s">
        <v>263</v>
      </c>
      <c r="M1354" s="37"/>
      <c r="N1354" s="37"/>
      <c r="O1354" s="27"/>
      <c r="P1354" s="27"/>
      <c r="Q1354" s="27"/>
      <c r="R1354" s="27"/>
      <c r="S1354" s="2" t="s">
        <v>1859</v>
      </c>
      <c r="T1354" s="29" t="s">
        <v>265</v>
      </c>
      <c r="U1354" s="27"/>
      <c r="V1354" s="27"/>
      <c r="W1354" s="27"/>
    </row>
    <row r="1355" spans="1:23" ht="24" customHeight="1">
      <c r="A1355" s="27" t="str">
        <f t="shared" ca="1" si="21"/>
        <v>EVT-2026-1353</v>
      </c>
      <c r="B1355" s="27">
        <v>2026</v>
      </c>
      <c r="C1355" s="27" t="s">
        <v>107</v>
      </c>
      <c r="D1355" s="27"/>
      <c r="E1355" s="27"/>
      <c r="F1355" s="27" t="s">
        <v>164</v>
      </c>
      <c r="G1355" s="27" t="s">
        <v>262</v>
      </c>
      <c r="H1355" s="27"/>
      <c r="I1355" s="27"/>
      <c r="J1355" s="27" t="s">
        <v>177</v>
      </c>
      <c r="K1355" s="10">
        <v>0</v>
      </c>
      <c r="L1355" s="36" t="s">
        <v>263</v>
      </c>
      <c r="M1355" s="37"/>
      <c r="N1355" s="37"/>
      <c r="O1355" s="27"/>
      <c r="P1355" s="27"/>
      <c r="Q1355" s="27"/>
      <c r="R1355" s="27"/>
      <c r="S1355" s="2" t="s">
        <v>1859</v>
      </c>
      <c r="T1355" s="29" t="s">
        <v>265</v>
      </c>
      <c r="U1355" s="27"/>
      <c r="V1355" s="27"/>
      <c r="W1355" s="27"/>
    </row>
    <row r="1356" spans="1:23" ht="24" customHeight="1">
      <c r="A1356" s="27" t="str">
        <f t="shared" ca="1" si="21"/>
        <v>EVT-2026-1354</v>
      </c>
      <c r="B1356" s="27">
        <v>2026</v>
      </c>
      <c r="C1356" s="27" t="s">
        <v>107</v>
      </c>
      <c r="D1356" s="27"/>
      <c r="E1356" s="27"/>
      <c r="F1356" s="27" t="s">
        <v>164</v>
      </c>
      <c r="G1356" s="27" t="s">
        <v>262</v>
      </c>
      <c r="H1356" s="27"/>
      <c r="I1356" s="27"/>
      <c r="J1356" s="27" t="s">
        <v>177</v>
      </c>
      <c r="K1356" s="10">
        <v>0</v>
      </c>
      <c r="L1356" s="36" t="s">
        <v>263</v>
      </c>
      <c r="M1356" s="37"/>
      <c r="N1356" s="37"/>
      <c r="O1356" s="27"/>
      <c r="P1356" s="27"/>
      <c r="Q1356" s="27"/>
      <c r="R1356" s="27"/>
      <c r="S1356" s="2" t="s">
        <v>1859</v>
      </c>
      <c r="T1356" s="29" t="s">
        <v>265</v>
      </c>
      <c r="U1356" s="27"/>
      <c r="V1356" s="27"/>
      <c r="W1356" s="27"/>
    </row>
    <row r="1357" spans="1:23" ht="24" customHeight="1">
      <c r="A1357" s="27" t="str">
        <f t="shared" ca="1" si="21"/>
        <v>EVT-2026-1355</v>
      </c>
      <c r="B1357" s="27">
        <v>2026</v>
      </c>
      <c r="C1357" s="27" t="s">
        <v>107</v>
      </c>
      <c r="D1357" s="27"/>
      <c r="E1357" s="27"/>
      <c r="F1357" s="27" t="s">
        <v>164</v>
      </c>
      <c r="G1357" s="27" t="s">
        <v>262</v>
      </c>
      <c r="H1357" s="27"/>
      <c r="I1357" s="27"/>
      <c r="J1357" s="27" t="s">
        <v>177</v>
      </c>
      <c r="K1357" s="10">
        <v>0</v>
      </c>
      <c r="L1357" s="36" t="s">
        <v>263</v>
      </c>
      <c r="M1357" s="37"/>
      <c r="N1357" s="37"/>
      <c r="O1357" s="27"/>
      <c r="P1357" s="27"/>
      <c r="Q1357" s="27"/>
      <c r="R1357" s="27"/>
      <c r="S1357" s="2" t="s">
        <v>1859</v>
      </c>
      <c r="T1357" s="29" t="s">
        <v>265</v>
      </c>
      <c r="U1357" s="27"/>
      <c r="V1357" s="27"/>
      <c r="W1357" s="27"/>
    </row>
    <row r="1358" spans="1:23" ht="24" customHeight="1">
      <c r="A1358" s="27" t="str">
        <f t="shared" ca="1" si="21"/>
        <v>EVT-2026-1356</v>
      </c>
      <c r="B1358" s="27">
        <v>2026</v>
      </c>
      <c r="C1358" s="27" t="s">
        <v>107</v>
      </c>
      <c r="D1358" s="27"/>
      <c r="E1358" s="27"/>
      <c r="F1358" s="27" t="s">
        <v>164</v>
      </c>
      <c r="G1358" s="27" t="s">
        <v>262</v>
      </c>
      <c r="H1358" s="27"/>
      <c r="I1358" s="27"/>
      <c r="J1358" s="27" t="s">
        <v>177</v>
      </c>
      <c r="K1358" s="10">
        <v>0</v>
      </c>
      <c r="L1358" s="36" t="s">
        <v>263</v>
      </c>
      <c r="M1358" s="37"/>
      <c r="N1358" s="37"/>
      <c r="O1358" s="27"/>
      <c r="P1358" s="27"/>
      <c r="Q1358" s="27"/>
      <c r="R1358" s="27"/>
      <c r="S1358" s="2" t="s">
        <v>1859</v>
      </c>
      <c r="T1358" s="29" t="s">
        <v>265</v>
      </c>
      <c r="U1358" s="27"/>
      <c r="V1358" s="27"/>
      <c r="W1358" s="27"/>
    </row>
    <row r="1359" spans="1:23" ht="24" customHeight="1">
      <c r="A1359" s="27" t="str">
        <f t="shared" ca="1" si="21"/>
        <v>EVT-2026-1357</v>
      </c>
      <c r="B1359" s="27">
        <v>2026</v>
      </c>
      <c r="C1359" s="27" t="s">
        <v>107</v>
      </c>
      <c r="D1359" s="27"/>
      <c r="E1359" s="27"/>
      <c r="F1359" s="27" t="s">
        <v>164</v>
      </c>
      <c r="G1359" s="27" t="s">
        <v>262</v>
      </c>
      <c r="H1359" s="27"/>
      <c r="I1359" s="27"/>
      <c r="J1359" s="27" t="s">
        <v>177</v>
      </c>
      <c r="K1359" s="10">
        <v>0</v>
      </c>
      <c r="L1359" s="36" t="s">
        <v>263</v>
      </c>
      <c r="M1359" s="37"/>
      <c r="N1359" s="37"/>
      <c r="O1359" s="27"/>
      <c r="P1359" s="27"/>
      <c r="Q1359" s="27"/>
      <c r="R1359" s="27"/>
      <c r="S1359" s="2" t="s">
        <v>1859</v>
      </c>
      <c r="T1359" s="29" t="s">
        <v>265</v>
      </c>
      <c r="U1359" s="27"/>
      <c r="V1359" s="27"/>
      <c r="W1359" s="27"/>
    </row>
    <row r="1360" spans="1:23" ht="24" customHeight="1">
      <c r="A1360" s="27" t="str">
        <f t="shared" ca="1" si="21"/>
        <v>EVT-2026-1358</v>
      </c>
      <c r="B1360" s="27">
        <v>2026</v>
      </c>
      <c r="C1360" s="27" t="s">
        <v>107</v>
      </c>
      <c r="D1360" s="27"/>
      <c r="E1360" s="27"/>
      <c r="F1360" s="27" t="s">
        <v>164</v>
      </c>
      <c r="G1360" s="27" t="s">
        <v>262</v>
      </c>
      <c r="H1360" s="27"/>
      <c r="I1360" s="27"/>
      <c r="J1360" s="27" t="s">
        <v>177</v>
      </c>
      <c r="K1360" s="10">
        <v>0</v>
      </c>
      <c r="L1360" s="36" t="s">
        <v>263</v>
      </c>
      <c r="M1360" s="37"/>
      <c r="N1360" s="37"/>
      <c r="O1360" s="27"/>
      <c r="P1360" s="27"/>
      <c r="Q1360" s="27"/>
      <c r="R1360" s="27"/>
      <c r="S1360" s="2" t="s">
        <v>1859</v>
      </c>
      <c r="T1360" s="29" t="s">
        <v>265</v>
      </c>
      <c r="U1360" s="27"/>
      <c r="V1360" s="27"/>
      <c r="W1360" s="27"/>
    </row>
    <row r="1361" spans="1:23" ht="24" customHeight="1">
      <c r="A1361" s="27" t="str">
        <f t="shared" ca="1" si="21"/>
        <v>EVT-2026-1359</v>
      </c>
      <c r="B1361" s="27">
        <v>2026</v>
      </c>
      <c r="C1361" s="27" t="s">
        <v>107</v>
      </c>
      <c r="D1361" s="27"/>
      <c r="E1361" s="27"/>
      <c r="F1361" s="27" t="s">
        <v>164</v>
      </c>
      <c r="G1361" s="27" t="s">
        <v>262</v>
      </c>
      <c r="H1361" s="27"/>
      <c r="I1361" s="27"/>
      <c r="J1361" s="27" t="s">
        <v>177</v>
      </c>
      <c r="K1361" s="10">
        <v>0</v>
      </c>
      <c r="L1361" s="36" t="s">
        <v>263</v>
      </c>
      <c r="M1361" s="37"/>
      <c r="N1361" s="37"/>
      <c r="O1361" s="27"/>
      <c r="P1361" s="27"/>
      <c r="Q1361" s="27"/>
      <c r="R1361" s="27"/>
      <c r="S1361" s="2" t="s">
        <v>1859</v>
      </c>
      <c r="T1361" s="29" t="s">
        <v>265</v>
      </c>
      <c r="U1361" s="27"/>
      <c r="V1361" s="27"/>
      <c r="W1361" s="27"/>
    </row>
    <row r="1362" spans="1:23" ht="24" customHeight="1">
      <c r="A1362" s="27" t="str">
        <f t="shared" ca="1" si="21"/>
        <v>EVT-2026-1360</v>
      </c>
      <c r="B1362" s="27">
        <v>2026</v>
      </c>
      <c r="C1362" s="27" t="s">
        <v>107</v>
      </c>
      <c r="D1362" s="27"/>
      <c r="E1362" s="27"/>
      <c r="F1362" s="27" t="s">
        <v>164</v>
      </c>
      <c r="G1362" s="27" t="s">
        <v>262</v>
      </c>
      <c r="H1362" s="27"/>
      <c r="I1362" s="27"/>
      <c r="J1362" s="27" t="s">
        <v>177</v>
      </c>
      <c r="K1362" s="10">
        <v>0</v>
      </c>
      <c r="L1362" s="36" t="s">
        <v>263</v>
      </c>
      <c r="M1362" s="37"/>
      <c r="N1362" s="37"/>
      <c r="O1362" s="27"/>
      <c r="P1362" s="27"/>
      <c r="Q1362" s="27"/>
      <c r="R1362" s="27"/>
      <c r="S1362" s="2" t="s">
        <v>1859</v>
      </c>
      <c r="T1362" s="29" t="s">
        <v>265</v>
      </c>
      <c r="U1362" s="27"/>
      <c r="V1362" s="27"/>
      <c r="W1362" s="27"/>
    </row>
    <row r="1363" spans="1:23" ht="24" customHeight="1">
      <c r="A1363" s="27" t="str">
        <f t="shared" ca="1" si="21"/>
        <v>EVT-2026-1361</v>
      </c>
      <c r="B1363" s="27">
        <v>2026</v>
      </c>
      <c r="C1363" s="27" t="s">
        <v>107</v>
      </c>
      <c r="D1363" s="27"/>
      <c r="E1363" s="27"/>
      <c r="F1363" s="27" t="s">
        <v>164</v>
      </c>
      <c r="G1363" s="27" t="s">
        <v>262</v>
      </c>
      <c r="H1363" s="27"/>
      <c r="I1363" s="27"/>
      <c r="J1363" s="27" t="s">
        <v>177</v>
      </c>
      <c r="K1363" s="10">
        <v>0</v>
      </c>
      <c r="L1363" s="36" t="s">
        <v>263</v>
      </c>
      <c r="M1363" s="37"/>
      <c r="N1363" s="37"/>
      <c r="O1363" s="27"/>
      <c r="P1363" s="27"/>
      <c r="Q1363" s="27"/>
      <c r="R1363" s="27"/>
      <c r="S1363" s="2" t="s">
        <v>1859</v>
      </c>
      <c r="T1363" s="29" t="s">
        <v>265</v>
      </c>
      <c r="U1363" s="27"/>
      <c r="V1363" s="27"/>
      <c r="W1363" s="27"/>
    </row>
    <row r="1364" spans="1:23" ht="24" customHeight="1">
      <c r="A1364" s="27" t="str">
        <f t="shared" ca="1" si="21"/>
        <v>EVT-2026-1362</v>
      </c>
      <c r="B1364" s="27">
        <v>2026</v>
      </c>
      <c r="C1364" s="27" t="s">
        <v>107</v>
      </c>
      <c r="D1364" s="30">
        <v>46266</v>
      </c>
      <c r="E1364" s="27" t="s">
        <v>227</v>
      </c>
      <c r="F1364" s="27" t="s">
        <v>126</v>
      </c>
      <c r="G1364" s="27" t="s">
        <v>228</v>
      </c>
      <c r="H1364" s="27" t="s">
        <v>125</v>
      </c>
      <c r="I1364" s="27" t="s">
        <v>1868</v>
      </c>
      <c r="J1364" s="27" t="s">
        <v>139</v>
      </c>
      <c r="K1364" s="10">
        <v>50</v>
      </c>
      <c r="L1364" s="36" t="s">
        <v>263</v>
      </c>
      <c r="M1364" s="37" t="s">
        <v>309</v>
      </c>
      <c r="N1364" s="37" t="s">
        <v>270</v>
      </c>
      <c r="O1364" s="27"/>
      <c r="P1364" s="27"/>
      <c r="Q1364" s="27" t="s">
        <v>370</v>
      </c>
      <c r="R1364" s="27"/>
      <c r="S1364" s="2" t="s">
        <v>1859</v>
      </c>
      <c r="T1364" s="29" t="s">
        <v>265</v>
      </c>
      <c r="U1364" s="27"/>
      <c r="V1364" s="27" t="s">
        <v>1551</v>
      </c>
      <c r="W1364" s="27" t="s">
        <v>298</v>
      </c>
    </row>
    <row r="1365" spans="1:23" ht="24" customHeight="1">
      <c r="A1365" s="27" t="str">
        <f t="shared" ca="1" si="21"/>
        <v>EVT-2026-1363</v>
      </c>
      <c r="B1365" s="27">
        <v>2026</v>
      </c>
      <c r="C1365" s="27" t="s">
        <v>107</v>
      </c>
      <c r="D1365" s="30">
        <v>46266</v>
      </c>
      <c r="E1365" s="27" t="s">
        <v>227</v>
      </c>
      <c r="F1365" s="27" t="s">
        <v>126</v>
      </c>
      <c r="G1365" s="27" t="s">
        <v>202</v>
      </c>
      <c r="H1365" s="27" t="s">
        <v>736</v>
      </c>
      <c r="I1365" s="27" t="s">
        <v>203</v>
      </c>
      <c r="J1365" s="27" t="s">
        <v>134</v>
      </c>
      <c r="K1365" s="10">
        <v>55</v>
      </c>
      <c r="L1365" s="36" t="s">
        <v>263</v>
      </c>
      <c r="M1365" s="37"/>
      <c r="N1365" s="37"/>
      <c r="O1365" s="27"/>
      <c r="P1365" s="27"/>
      <c r="Q1365" s="27"/>
      <c r="R1365" s="27"/>
      <c r="S1365" s="2" t="s">
        <v>1859</v>
      </c>
      <c r="T1365" s="29" t="s">
        <v>265</v>
      </c>
      <c r="U1365" s="27"/>
      <c r="V1365" s="27"/>
      <c r="W1365" s="27" t="s">
        <v>2030</v>
      </c>
    </row>
    <row r="1366" spans="1:23" ht="24" customHeight="1">
      <c r="A1366" s="27" t="str">
        <f t="shared" ca="1" si="21"/>
        <v>EVT-2026-1364</v>
      </c>
      <c r="B1366" s="27">
        <v>2026</v>
      </c>
      <c r="C1366" s="27" t="s">
        <v>107</v>
      </c>
      <c r="D1366" s="30">
        <v>46266</v>
      </c>
      <c r="E1366" s="27" t="s">
        <v>227</v>
      </c>
      <c r="F1366" s="27" t="s">
        <v>126</v>
      </c>
      <c r="G1366" s="27" t="s">
        <v>1260</v>
      </c>
      <c r="H1366" s="27" t="s">
        <v>2018</v>
      </c>
      <c r="I1366" s="27" t="s">
        <v>203</v>
      </c>
      <c r="J1366" s="27" t="s">
        <v>134</v>
      </c>
      <c r="K1366" s="10">
        <v>25</v>
      </c>
      <c r="L1366" s="36" t="s">
        <v>263</v>
      </c>
      <c r="M1366" s="37" t="s">
        <v>269</v>
      </c>
      <c r="N1366" s="37" t="s">
        <v>270</v>
      </c>
      <c r="O1366" s="27"/>
      <c r="P1366" s="27"/>
      <c r="Q1366" s="27"/>
      <c r="R1366" s="27" t="s">
        <v>1688</v>
      </c>
      <c r="S1366" s="2" t="s">
        <v>1859</v>
      </c>
      <c r="T1366" s="29" t="s">
        <v>265</v>
      </c>
      <c r="U1366" s="30">
        <v>46218</v>
      </c>
      <c r="V1366" s="27" t="s">
        <v>2030</v>
      </c>
      <c r="W1366" s="27" t="s">
        <v>1497</v>
      </c>
    </row>
    <row r="1367" spans="1:23" ht="24" customHeight="1">
      <c r="A1367" s="27" t="str">
        <f t="shared" ca="1" si="21"/>
        <v>EVT-2026-1365</v>
      </c>
      <c r="B1367" s="27">
        <v>2026</v>
      </c>
      <c r="C1367" s="27" t="s">
        <v>107</v>
      </c>
      <c r="D1367" s="30">
        <v>46266</v>
      </c>
      <c r="E1367" s="27" t="s">
        <v>227</v>
      </c>
      <c r="F1367" s="27" t="s">
        <v>126</v>
      </c>
      <c r="G1367" s="27" t="s">
        <v>208</v>
      </c>
      <c r="H1367" s="27" t="s">
        <v>1366</v>
      </c>
      <c r="I1367" s="27" t="s">
        <v>217</v>
      </c>
      <c r="J1367" s="27" t="s">
        <v>145</v>
      </c>
      <c r="K1367" s="10">
        <v>50</v>
      </c>
      <c r="L1367" s="36" t="s">
        <v>263</v>
      </c>
      <c r="M1367" s="37" t="s">
        <v>309</v>
      </c>
      <c r="N1367" s="37" t="s">
        <v>296</v>
      </c>
      <c r="O1367" s="27"/>
      <c r="P1367" s="27"/>
      <c r="Q1367" s="27" t="s">
        <v>1510</v>
      </c>
      <c r="R1367" s="27"/>
      <c r="S1367" s="2" t="s">
        <v>1859</v>
      </c>
      <c r="T1367" s="29" t="s">
        <v>265</v>
      </c>
      <c r="U1367" s="27"/>
      <c r="V1367" s="27"/>
      <c r="W1367" s="27" t="s">
        <v>298</v>
      </c>
    </row>
    <row r="1368" spans="1:23" ht="24" customHeight="1">
      <c r="A1368" s="27" t="str">
        <f t="shared" ca="1" si="21"/>
        <v>EVT-2026-1366</v>
      </c>
      <c r="B1368" s="27">
        <v>2026</v>
      </c>
      <c r="C1368" s="27" t="s">
        <v>107</v>
      </c>
      <c r="D1368" s="30">
        <v>46267</v>
      </c>
      <c r="E1368" s="27" t="s">
        <v>201</v>
      </c>
      <c r="F1368" s="27" t="s">
        <v>126</v>
      </c>
      <c r="G1368" s="27" t="s">
        <v>1260</v>
      </c>
      <c r="H1368" s="27" t="s">
        <v>2018</v>
      </c>
      <c r="I1368" s="27" t="s">
        <v>203</v>
      </c>
      <c r="J1368" s="27" t="s">
        <v>134</v>
      </c>
      <c r="K1368" s="10">
        <v>25</v>
      </c>
      <c r="L1368" s="36" t="s">
        <v>263</v>
      </c>
      <c r="M1368" s="37" t="s">
        <v>269</v>
      </c>
      <c r="N1368" s="37" t="s">
        <v>270</v>
      </c>
      <c r="O1368" s="27"/>
      <c r="P1368" s="27"/>
      <c r="Q1368" s="27"/>
      <c r="R1368" s="27" t="s">
        <v>1688</v>
      </c>
      <c r="S1368" s="2" t="s">
        <v>1859</v>
      </c>
      <c r="T1368" s="29" t="s">
        <v>265</v>
      </c>
      <c r="U1368" s="30">
        <v>46218</v>
      </c>
      <c r="V1368" s="27" t="s">
        <v>2030</v>
      </c>
      <c r="W1368" s="27" t="s">
        <v>1497</v>
      </c>
    </row>
    <row r="1369" spans="1:23" ht="24" customHeight="1">
      <c r="A1369" s="27" t="str">
        <f t="shared" ca="1" si="21"/>
        <v>EVT-2026-1367</v>
      </c>
      <c r="B1369" s="27">
        <v>2026</v>
      </c>
      <c r="C1369" s="27" t="s">
        <v>107</v>
      </c>
      <c r="D1369" s="30">
        <v>46267</v>
      </c>
      <c r="E1369" s="27" t="s">
        <v>201</v>
      </c>
      <c r="F1369" s="27" t="s">
        <v>126</v>
      </c>
      <c r="G1369" s="27" t="s">
        <v>202</v>
      </c>
      <c r="H1369" s="27" t="s">
        <v>736</v>
      </c>
      <c r="I1369" s="27" t="s">
        <v>203</v>
      </c>
      <c r="J1369" s="27" t="s">
        <v>134</v>
      </c>
      <c r="K1369" s="10">
        <v>55</v>
      </c>
      <c r="L1369" s="36" t="s">
        <v>263</v>
      </c>
      <c r="M1369" s="37" t="s">
        <v>269</v>
      </c>
      <c r="N1369" s="37" t="s">
        <v>270</v>
      </c>
      <c r="O1369" s="27"/>
      <c r="P1369" s="27"/>
      <c r="Q1369" s="27"/>
      <c r="R1369" s="27"/>
      <c r="S1369" s="2" t="s">
        <v>1859</v>
      </c>
      <c r="T1369" s="29" t="s">
        <v>265</v>
      </c>
      <c r="U1369" s="27"/>
      <c r="V1369" s="27"/>
      <c r="W1369" s="27" t="s">
        <v>2030</v>
      </c>
    </row>
    <row r="1370" spans="1:23" ht="24" customHeight="1">
      <c r="A1370" s="27" t="str">
        <f t="shared" ca="1" si="21"/>
        <v>EVT-2026-1368</v>
      </c>
      <c r="B1370" s="27">
        <v>2026</v>
      </c>
      <c r="C1370" s="27" t="s">
        <v>107</v>
      </c>
      <c r="D1370" s="30">
        <v>46267</v>
      </c>
      <c r="E1370" s="27" t="s">
        <v>201</v>
      </c>
      <c r="F1370" s="27" t="s">
        <v>126</v>
      </c>
      <c r="G1370" s="27" t="s">
        <v>228</v>
      </c>
      <c r="H1370" s="27" t="s">
        <v>125</v>
      </c>
      <c r="I1370" s="27" t="s">
        <v>1868</v>
      </c>
      <c r="J1370" s="27" t="s">
        <v>139</v>
      </c>
      <c r="K1370" s="10">
        <v>50</v>
      </c>
      <c r="L1370" s="36" t="s">
        <v>263</v>
      </c>
      <c r="M1370" s="37" t="s">
        <v>309</v>
      </c>
      <c r="N1370" s="37" t="s">
        <v>270</v>
      </c>
      <c r="O1370" s="27"/>
      <c r="P1370" s="27"/>
      <c r="Q1370" s="27" t="s">
        <v>370</v>
      </c>
      <c r="R1370" s="27"/>
      <c r="S1370" s="2" t="s">
        <v>1859</v>
      </c>
      <c r="T1370" s="29" t="s">
        <v>265</v>
      </c>
      <c r="U1370" s="27"/>
      <c r="V1370" s="27" t="s">
        <v>1551</v>
      </c>
      <c r="W1370" s="27" t="s">
        <v>298</v>
      </c>
    </row>
    <row r="1371" spans="1:23" ht="24" customHeight="1">
      <c r="A1371" s="27" t="str">
        <f t="shared" ca="1" si="21"/>
        <v>EVT-2026-1369</v>
      </c>
      <c r="B1371" s="27">
        <v>2026</v>
      </c>
      <c r="C1371" s="27" t="s">
        <v>107</v>
      </c>
      <c r="D1371" s="30">
        <v>46267</v>
      </c>
      <c r="E1371" s="27" t="s">
        <v>201</v>
      </c>
      <c r="F1371" s="27" t="s">
        <v>126</v>
      </c>
      <c r="G1371" s="27" t="s">
        <v>208</v>
      </c>
      <c r="H1371" s="27" t="s">
        <v>1366</v>
      </c>
      <c r="I1371" s="27" t="s">
        <v>217</v>
      </c>
      <c r="J1371" s="27" t="s">
        <v>145</v>
      </c>
      <c r="K1371" s="10">
        <v>50</v>
      </c>
      <c r="L1371" s="36" t="s">
        <v>263</v>
      </c>
      <c r="M1371" s="37" t="s">
        <v>309</v>
      </c>
      <c r="N1371" s="37" t="s">
        <v>296</v>
      </c>
      <c r="O1371" s="27"/>
      <c r="P1371" s="27"/>
      <c r="Q1371" s="27" t="s">
        <v>1510</v>
      </c>
      <c r="R1371" s="27"/>
      <c r="S1371" s="2" t="s">
        <v>1859</v>
      </c>
      <c r="T1371" s="29" t="s">
        <v>265</v>
      </c>
      <c r="U1371" s="27"/>
      <c r="V1371" s="27"/>
      <c r="W1371" s="27" t="s">
        <v>298</v>
      </c>
    </row>
    <row r="1372" spans="1:23" ht="24" customHeight="1">
      <c r="A1372" s="27" t="str">
        <f t="shared" ca="1" si="21"/>
        <v>EVT-2026-1370</v>
      </c>
      <c r="B1372" s="27">
        <v>2026</v>
      </c>
      <c r="C1372" s="27" t="s">
        <v>107</v>
      </c>
      <c r="D1372" s="30">
        <v>46268</v>
      </c>
      <c r="E1372" s="27" t="s">
        <v>216</v>
      </c>
      <c r="F1372" s="27" t="s">
        <v>126</v>
      </c>
      <c r="G1372" s="27" t="s">
        <v>228</v>
      </c>
      <c r="H1372" s="27" t="s">
        <v>125</v>
      </c>
      <c r="I1372" s="27" t="s">
        <v>1868</v>
      </c>
      <c r="J1372" s="27" t="s">
        <v>139</v>
      </c>
      <c r="K1372" s="10">
        <v>50</v>
      </c>
      <c r="L1372" s="36" t="s">
        <v>263</v>
      </c>
      <c r="M1372" s="37" t="s">
        <v>309</v>
      </c>
      <c r="N1372" s="37" t="s">
        <v>270</v>
      </c>
      <c r="O1372" s="27"/>
      <c r="P1372" s="27"/>
      <c r="Q1372" s="27" t="s">
        <v>370</v>
      </c>
      <c r="R1372" s="27"/>
      <c r="S1372" s="2" t="s">
        <v>1859</v>
      </c>
      <c r="T1372" s="29" t="s">
        <v>265</v>
      </c>
      <c r="U1372" s="27"/>
      <c r="V1372" s="27" t="s">
        <v>1551</v>
      </c>
      <c r="W1372" s="27" t="s">
        <v>298</v>
      </c>
    </row>
    <row r="1373" spans="1:23" ht="24" customHeight="1">
      <c r="A1373" s="27" t="str">
        <f t="shared" ca="1" si="21"/>
        <v>EVT-2026-1371</v>
      </c>
      <c r="B1373" s="27">
        <v>2026</v>
      </c>
      <c r="C1373" s="27" t="s">
        <v>107</v>
      </c>
      <c r="D1373" s="30">
        <v>46268</v>
      </c>
      <c r="E1373" s="27" t="s">
        <v>216</v>
      </c>
      <c r="F1373" s="27" t="s">
        <v>126</v>
      </c>
      <c r="G1373" s="27" t="s">
        <v>202</v>
      </c>
      <c r="H1373" s="27" t="s">
        <v>1366</v>
      </c>
      <c r="I1373" s="27" t="s">
        <v>2079</v>
      </c>
      <c r="J1373" s="27" t="s">
        <v>158</v>
      </c>
      <c r="K1373" s="10">
        <v>30</v>
      </c>
      <c r="L1373" s="36" t="s">
        <v>263</v>
      </c>
      <c r="M1373" s="37" t="s">
        <v>350</v>
      </c>
      <c r="N1373" s="37" t="s">
        <v>289</v>
      </c>
      <c r="O1373" s="27" t="s">
        <v>1445</v>
      </c>
      <c r="P1373" s="27" t="s">
        <v>2080</v>
      </c>
      <c r="Q1373" s="27" t="s">
        <v>2081</v>
      </c>
      <c r="R1373" s="27" t="s">
        <v>2082</v>
      </c>
      <c r="S1373" s="2" t="s">
        <v>1859</v>
      </c>
      <c r="T1373" s="29" t="s">
        <v>265</v>
      </c>
      <c r="U1373" s="30">
        <v>46254</v>
      </c>
      <c r="V1373" s="27" t="s">
        <v>1313</v>
      </c>
      <c r="W1373" s="27" t="s">
        <v>1497</v>
      </c>
    </row>
    <row r="1374" spans="1:23" ht="24" customHeight="1">
      <c r="A1374" s="27" t="str">
        <f t="shared" ca="1" si="21"/>
        <v>EVT-2026-1372</v>
      </c>
      <c r="B1374" s="27">
        <v>2026</v>
      </c>
      <c r="C1374" s="27" t="s">
        <v>107</v>
      </c>
      <c r="D1374" s="30">
        <v>46268</v>
      </c>
      <c r="E1374" s="27" t="s">
        <v>216</v>
      </c>
      <c r="F1374" s="27" t="s">
        <v>126</v>
      </c>
      <c r="G1374" s="27" t="s">
        <v>228</v>
      </c>
      <c r="H1374" s="27" t="s">
        <v>125</v>
      </c>
      <c r="I1374" s="27" t="s">
        <v>2083</v>
      </c>
      <c r="J1374" s="27" t="s">
        <v>177</v>
      </c>
      <c r="K1374" s="10">
        <v>45</v>
      </c>
      <c r="L1374" s="36" t="s">
        <v>263</v>
      </c>
      <c r="M1374" s="37" t="s">
        <v>281</v>
      </c>
      <c r="N1374" s="37" t="s">
        <v>506</v>
      </c>
      <c r="O1374" s="27" t="s">
        <v>1445</v>
      </c>
      <c r="P1374" s="27" t="s">
        <v>1670</v>
      </c>
      <c r="Q1374" s="27" t="s">
        <v>1695</v>
      </c>
      <c r="R1374" s="27" t="s">
        <v>2084</v>
      </c>
      <c r="S1374" s="2" t="s">
        <v>1859</v>
      </c>
      <c r="T1374" s="29" t="s">
        <v>265</v>
      </c>
      <c r="U1374" s="30">
        <v>46245</v>
      </c>
      <c r="V1374" s="27" t="s">
        <v>2085</v>
      </c>
      <c r="W1374" s="27" t="s">
        <v>1497</v>
      </c>
    </row>
    <row r="1375" spans="1:23" ht="24" customHeight="1">
      <c r="A1375" s="27" t="str">
        <f t="shared" ca="1" si="21"/>
        <v>EVT-2026-1373</v>
      </c>
      <c r="B1375" s="27">
        <v>2026</v>
      </c>
      <c r="C1375" s="27" t="s">
        <v>107</v>
      </c>
      <c r="D1375" s="30">
        <v>46268</v>
      </c>
      <c r="E1375" s="27" t="s">
        <v>216</v>
      </c>
      <c r="F1375" s="27" t="s">
        <v>126</v>
      </c>
      <c r="G1375" s="27" t="s">
        <v>228</v>
      </c>
      <c r="H1375" s="27" t="s">
        <v>125</v>
      </c>
      <c r="I1375" s="27" t="s">
        <v>2086</v>
      </c>
      <c r="J1375" s="27" t="s">
        <v>152</v>
      </c>
      <c r="K1375" s="10">
        <v>60</v>
      </c>
      <c r="L1375" s="36" t="s">
        <v>263</v>
      </c>
      <c r="M1375" s="37" t="s">
        <v>295</v>
      </c>
      <c r="N1375" s="37" t="s">
        <v>290</v>
      </c>
      <c r="O1375" s="27" t="s">
        <v>382</v>
      </c>
      <c r="P1375" s="27" t="s">
        <v>1457</v>
      </c>
      <c r="Q1375" s="27" t="s">
        <v>1606</v>
      </c>
      <c r="R1375" s="27" t="s">
        <v>2087</v>
      </c>
      <c r="S1375" s="1" t="s">
        <v>264</v>
      </c>
      <c r="T1375" s="29" t="s">
        <v>265</v>
      </c>
      <c r="U1375" s="30">
        <v>46253</v>
      </c>
      <c r="V1375" s="27" t="s">
        <v>2088</v>
      </c>
      <c r="W1375" s="27" t="s">
        <v>1497</v>
      </c>
    </row>
    <row r="1376" spans="1:23" ht="24" customHeight="1">
      <c r="A1376" s="27" t="str">
        <f t="shared" ca="1" si="21"/>
        <v>EVT-2026-1374</v>
      </c>
      <c r="B1376" s="27">
        <v>2026</v>
      </c>
      <c r="C1376" s="27" t="s">
        <v>107</v>
      </c>
      <c r="D1376" s="30">
        <v>46268</v>
      </c>
      <c r="E1376" s="27" t="s">
        <v>216</v>
      </c>
      <c r="F1376" s="27" t="s">
        <v>126</v>
      </c>
      <c r="G1376" s="27" t="s">
        <v>202</v>
      </c>
      <c r="H1376" s="27" t="s">
        <v>736</v>
      </c>
      <c r="I1376" s="27" t="s">
        <v>203</v>
      </c>
      <c r="J1376" s="27" t="s">
        <v>134</v>
      </c>
      <c r="K1376" s="10">
        <v>55</v>
      </c>
      <c r="L1376" s="36" t="s">
        <v>263</v>
      </c>
      <c r="M1376" s="37" t="s">
        <v>269</v>
      </c>
      <c r="N1376" s="37" t="s">
        <v>270</v>
      </c>
      <c r="O1376" s="27"/>
      <c r="P1376" s="27"/>
      <c r="Q1376" s="27" t="s">
        <v>351</v>
      </c>
      <c r="R1376" s="27"/>
      <c r="S1376" s="2" t="s">
        <v>1859</v>
      </c>
      <c r="T1376" s="29" t="s">
        <v>265</v>
      </c>
      <c r="U1376" s="27"/>
      <c r="V1376" s="27"/>
      <c r="W1376" s="27" t="s">
        <v>2030</v>
      </c>
    </row>
    <row r="1377" spans="1:23" ht="24" customHeight="1">
      <c r="A1377" s="27" t="str">
        <f t="shared" ca="1" si="21"/>
        <v>EVT-2026-1375</v>
      </c>
      <c r="B1377" s="27">
        <v>2026</v>
      </c>
      <c r="C1377" s="27" t="s">
        <v>107</v>
      </c>
      <c r="D1377" s="30">
        <v>46268</v>
      </c>
      <c r="E1377" s="27" t="s">
        <v>216</v>
      </c>
      <c r="F1377" s="27" t="s">
        <v>126</v>
      </c>
      <c r="G1377" s="27" t="s">
        <v>1260</v>
      </c>
      <c r="H1377" s="27" t="s">
        <v>2018</v>
      </c>
      <c r="I1377" s="27" t="s">
        <v>203</v>
      </c>
      <c r="J1377" s="27" t="s">
        <v>134</v>
      </c>
      <c r="K1377" s="10">
        <v>25</v>
      </c>
      <c r="L1377" s="36" t="s">
        <v>263</v>
      </c>
      <c r="M1377" s="37" t="s">
        <v>269</v>
      </c>
      <c r="N1377" s="37" t="s">
        <v>270</v>
      </c>
      <c r="O1377" s="27"/>
      <c r="P1377" s="27"/>
      <c r="Q1377" s="27"/>
      <c r="R1377" s="27" t="s">
        <v>1688</v>
      </c>
      <c r="S1377" s="2" t="s">
        <v>1859</v>
      </c>
      <c r="T1377" s="29" t="s">
        <v>265</v>
      </c>
      <c r="U1377" s="30">
        <v>46218</v>
      </c>
      <c r="V1377" s="27" t="s">
        <v>2030</v>
      </c>
      <c r="W1377" s="27" t="s">
        <v>1497</v>
      </c>
    </row>
    <row r="1378" spans="1:23" ht="24" customHeight="1">
      <c r="A1378" s="27" t="str">
        <f t="shared" ca="1" si="21"/>
        <v>EVT-2026-1376</v>
      </c>
      <c r="B1378" s="27">
        <v>2026</v>
      </c>
      <c r="C1378" s="27" t="s">
        <v>107</v>
      </c>
      <c r="D1378" s="30">
        <v>46268</v>
      </c>
      <c r="E1378" s="27" t="s">
        <v>216</v>
      </c>
      <c r="F1378" s="27" t="s">
        <v>126</v>
      </c>
      <c r="G1378" s="27" t="s">
        <v>208</v>
      </c>
      <c r="H1378" s="27" t="s">
        <v>1366</v>
      </c>
      <c r="I1378" s="27" t="s">
        <v>217</v>
      </c>
      <c r="J1378" s="27" t="s">
        <v>145</v>
      </c>
      <c r="K1378" s="10">
        <v>50</v>
      </c>
      <c r="L1378" s="36" t="s">
        <v>263</v>
      </c>
      <c r="M1378" s="37" t="s">
        <v>309</v>
      </c>
      <c r="N1378" s="37" t="s">
        <v>296</v>
      </c>
      <c r="O1378" s="27"/>
      <c r="P1378" s="27"/>
      <c r="Q1378" s="27" t="s">
        <v>1510</v>
      </c>
      <c r="R1378" s="27"/>
      <c r="S1378" s="2" t="s">
        <v>1859</v>
      </c>
      <c r="T1378" s="29" t="s">
        <v>265</v>
      </c>
      <c r="U1378" s="27"/>
      <c r="V1378" s="27"/>
      <c r="W1378" s="27" t="s">
        <v>298</v>
      </c>
    </row>
    <row r="1379" spans="1:23" ht="24" customHeight="1">
      <c r="A1379" s="27" t="str">
        <f t="shared" ca="1" si="21"/>
        <v>EVT-2026-1377</v>
      </c>
      <c r="B1379" s="27">
        <v>2026</v>
      </c>
      <c r="C1379" s="27" t="s">
        <v>107</v>
      </c>
      <c r="D1379" s="30">
        <v>46268</v>
      </c>
      <c r="E1379" s="27" t="s">
        <v>216</v>
      </c>
      <c r="F1379" s="27" t="s">
        <v>126</v>
      </c>
      <c r="G1379" s="27" t="s">
        <v>202</v>
      </c>
      <c r="H1379" s="27" t="s">
        <v>239</v>
      </c>
      <c r="I1379" s="27" t="s">
        <v>2089</v>
      </c>
      <c r="J1379" s="27" t="s">
        <v>127</v>
      </c>
      <c r="K1379" s="10">
        <v>350</v>
      </c>
      <c r="L1379" s="38" t="s">
        <v>294</v>
      </c>
      <c r="M1379" s="37" t="s">
        <v>295</v>
      </c>
      <c r="N1379" s="37" t="s">
        <v>296</v>
      </c>
      <c r="O1379" s="27" t="s">
        <v>1445</v>
      </c>
      <c r="P1379" s="27"/>
      <c r="Q1379" s="27" t="s">
        <v>2090</v>
      </c>
      <c r="R1379" s="27"/>
      <c r="S1379" s="2" t="s">
        <v>1859</v>
      </c>
      <c r="T1379" s="29" t="s">
        <v>265</v>
      </c>
      <c r="U1379" s="30">
        <v>46190</v>
      </c>
      <c r="V1379" s="27"/>
      <c r="W1379" s="27" t="s">
        <v>298</v>
      </c>
    </row>
    <row r="1380" spans="1:23" ht="24" customHeight="1">
      <c r="A1380" s="27" t="str">
        <f t="shared" ca="1" si="21"/>
        <v>EVT-2026-1378</v>
      </c>
      <c r="B1380" s="27">
        <v>2026</v>
      </c>
      <c r="C1380" s="27" t="s">
        <v>107</v>
      </c>
      <c r="D1380" s="30">
        <v>46269</v>
      </c>
      <c r="E1380" s="27" t="s">
        <v>220</v>
      </c>
      <c r="F1380" s="27" t="s">
        <v>126</v>
      </c>
      <c r="G1380" s="27" t="s">
        <v>1260</v>
      </c>
      <c r="H1380" s="27" t="s">
        <v>2018</v>
      </c>
      <c r="I1380" s="27" t="s">
        <v>203</v>
      </c>
      <c r="J1380" s="27" t="s">
        <v>134</v>
      </c>
      <c r="K1380" s="10">
        <v>25</v>
      </c>
      <c r="L1380" s="36" t="s">
        <v>263</v>
      </c>
      <c r="M1380" s="37" t="s">
        <v>269</v>
      </c>
      <c r="N1380" s="37" t="s">
        <v>270</v>
      </c>
      <c r="O1380" s="27"/>
      <c r="P1380" s="27"/>
      <c r="Q1380" s="27"/>
      <c r="R1380" s="27" t="s">
        <v>1688</v>
      </c>
      <c r="S1380" s="2" t="s">
        <v>1859</v>
      </c>
      <c r="T1380" s="29" t="s">
        <v>265</v>
      </c>
      <c r="U1380" s="30">
        <v>46218</v>
      </c>
      <c r="V1380" s="27" t="s">
        <v>2030</v>
      </c>
      <c r="W1380" s="27" t="s">
        <v>1497</v>
      </c>
    </row>
    <row r="1381" spans="1:23" ht="24" customHeight="1">
      <c r="A1381" s="27" t="str">
        <f t="shared" ca="1" si="21"/>
        <v>EVT-2026-1379</v>
      </c>
      <c r="B1381" s="27">
        <v>2026</v>
      </c>
      <c r="C1381" s="27" t="s">
        <v>107</v>
      </c>
      <c r="D1381" s="30">
        <v>46269</v>
      </c>
      <c r="E1381" s="27" t="s">
        <v>220</v>
      </c>
      <c r="F1381" s="27" t="s">
        <v>126</v>
      </c>
      <c r="G1381" s="27" t="s">
        <v>202</v>
      </c>
      <c r="H1381" s="27" t="s">
        <v>736</v>
      </c>
      <c r="I1381" s="27" t="s">
        <v>203</v>
      </c>
      <c r="J1381" s="27" t="s">
        <v>134</v>
      </c>
      <c r="K1381" s="10">
        <v>55</v>
      </c>
      <c r="L1381" s="36" t="s">
        <v>263</v>
      </c>
      <c r="M1381" s="37" t="s">
        <v>269</v>
      </c>
      <c r="N1381" s="37" t="s">
        <v>270</v>
      </c>
      <c r="O1381" s="27"/>
      <c r="P1381" s="27"/>
      <c r="Q1381" s="27" t="s">
        <v>351</v>
      </c>
      <c r="R1381" s="27" t="s">
        <v>1688</v>
      </c>
      <c r="S1381" s="2" t="s">
        <v>1859</v>
      </c>
      <c r="T1381" s="29" t="s">
        <v>265</v>
      </c>
      <c r="U1381" s="27"/>
      <c r="V1381" s="27" t="s">
        <v>2030</v>
      </c>
      <c r="W1381" s="27" t="s">
        <v>1497</v>
      </c>
    </row>
    <row r="1382" spans="1:23" ht="24" customHeight="1">
      <c r="A1382" s="27" t="str">
        <f t="shared" ca="1" si="21"/>
        <v>EVT-2026-1380</v>
      </c>
      <c r="B1382" s="27">
        <v>2026</v>
      </c>
      <c r="C1382" s="27" t="s">
        <v>107</v>
      </c>
      <c r="D1382" s="30">
        <v>46269</v>
      </c>
      <c r="E1382" s="27" t="s">
        <v>220</v>
      </c>
      <c r="F1382" s="27" t="s">
        <v>126</v>
      </c>
      <c r="G1382" s="27" t="s">
        <v>228</v>
      </c>
      <c r="H1382" s="27" t="s">
        <v>125</v>
      </c>
      <c r="I1382" s="27" t="s">
        <v>1868</v>
      </c>
      <c r="J1382" s="27" t="s">
        <v>139</v>
      </c>
      <c r="K1382" s="10">
        <v>50</v>
      </c>
      <c r="L1382" s="36" t="s">
        <v>263</v>
      </c>
      <c r="M1382" s="37" t="s">
        <v>309</v>
      </c>
      <c r="N1382" s="37" t="s">
        <v>270</v>
      </c>
      <c r="O1382" s="27"/>
      <c r="P1382" s="27"/>
      <c r="Q1382" s="27" t="s">
        <v>370</v>
      </c>
      <c r="R1382" s="27"/>
      <c r="S1382" s="2" t="s">
        <v>1859</v>
      </c>
      <c r="T1382" s="29" t="s">
        <v>265</v>
      </c>
      <c r="U1382" s="27"/>
      <c r="V1382" s="27" t="s">
        <v>1551</v>
      </c>
      <c r="W1382" s="27" t="s">
        <v>298</v>
      </c>
    </row>
    <row r="1383" spans="1:23" ht="24" customHeight="1">
      <c r="A1383" s="27" t="str">
        <f t="shared" ca="1" si="21"/>
        <v>EVT-2026-1381</v>
      </c>
      <c r="B1383" s="27">
        <v>2026</v>
      </c>
      <c r="C1383" s="27" t="s">
        <v>107</v>
      </c>
      <c r="D1383" s="30">
        <v>46270</v>
      </c>
      <c r="E1383" s="27" t="s">
        <v>266</v>
      </c>
      <c r="F1383" s="27" t="s">
        <v>126</v>
      </c>
      <c r="G1383" s="27"/>
      <c r="H1383" s="27"/>
      <c r="I1383" s="27"/>
      <c r="J1383" s="27" t="s">
        <v>177</v>
      </c>
      <c r="K1383" s="10">
        <v>0</v>
      </c>
      <c r="L1383" s="36" t="s">
        <v>263</v>
      </c>
      <c r="M1383" s="37"/>
      <c r="N1383" s="37"/>
      <c r="O1383" s="27"/>
      <c r="P1383" s="27"/>
      <c r="Q1383" s="27"/>
      <c r="R1383" s="27"/>
      <c r="S1383" s="2" t="s">
        <v>1859</v>
      </c>
      <c r="T1383" s="29" t="s">
        <v>265</v>
      </c>
      <c r="U1383" s="27"/>
      <c r="V1383" s="27"/>
      <c r="W1383" s="27"/>
    </row>
    <row r="1384" spans="1:23" ht="24" customHeight="1">
      <c r="A1384" s="27" t="str">
        <f t="shared" ca="1" si="21"/>
        <v>EVT-2026-1382</v>
      </c>
      <c r="B1384" s="27">
        <v>2026</v>
      </c>
      <c r="C1384" s="27" t="s">
        <v>107</v>
      </c>
      <c r="D1384" s="30">
        <v>46271</v>
      </c>
      <c r="E1384" s="27" t="s">
        <v>267</v>
      </c>
      <c r="F1384" s="27" t="s">
        <v>126</v>
      </c>
      <c r="G1384" s="27"/>
      <c r="H1384" s="27"/>
      <c r="I1384" s="27"/>
      <c r="J1384" s="27" t="s">
        <v>177</v>
      </c>
      <c r="K1384" s="10">
        <v>0</v>
      </c>
      <c r="L1384" s="36" t="s">
        <v>263</v>
      </c>
      <c r="M1384" s="37"/>
      <c r="N1384" s="37"/>
      <c r="O1384" s="27"/>
      <c r="P1384" s="27"/>
      <c r="Q1384" s="27"/>
      <c r="R1384" s="27"/>
      <c r="S1384" s="2" t="s">
        <v>1859</v>
      </c>
      <c r="T1384" s="29" t="s">
        <v>265</v>
      </c>
      <c r="U1384" s="27"/>
      <c r="V1384" s="27"/>
      <c r="W1384" s="27"/>
    </row>
    <row r="1385" spans="1:23" ht="24" customHeight="1">
      <c r="A1385" s="27" t="str">
        <f t="shared" ca="1" si="21"/>
        <v>EVT-2026-1383</v>
      </c>
      <c r="B1385" s="27">
        <v>2026</v>
      </c>
      <c r="C1385" s="27" t="s">
        <v>107</v>
      </c>
      <c r="D1385" s="30">
        <v>46272</v>
      </c>
      <c r="E1385" s="27" t="s">
        <v>224</v>
      </c>
      <c r="F1385" s="27" t="s">
        <v>126</v>
      </c>
      <c r="G1385" s="27" t="s">
        <v>228</v>
      </c>
      <c r="H1385" s="27" t="s">
        <v>125</v>
      </c>
      <c r="I1385" s="27" t="s">
        <v>203</v>
      </c>
      <c r="J1385" s="27" t="s">
        <v>134</v>
      </c>
      <c r="K1385" s="10">
        <v>0</v>
      </c>
      <c r="L1385" s="36" t="s">
        <v>263</v>
      </c>
      <c r="M1385" s="37" t="s">
        <v>269</v>
      </c>
      <c r="N1385" s="37" t="s">
        <v>270</v>
      </c>
      <c r="O1385" s="27"/>
      <c r="P1385" s="27"/>
      <c r="Q1385" s="27" t="s">
        <v>351</v>
      </c>
      <c r="R1385" s="27" t="s">
        <v>2091</v>
      </c>
      <c r="S1385" s="2" t="s">
        <v>1859</v>
      </c>
      <c r="T1385" s="29" t="s">
        <v>265</v>
      </c>
      <c r="U1385" s="27"/>
      <c r="V1385" s="27" t="s">
        <v>2030</v>
      </c>
      <c r="W1385" s="27" t="s">
        <v>1497</v>
      </c>
    </row>
    <row r="1386" spans="1:23" ht="24" customHeight="1">
      <c r="A1386" s="27" t="str">
        <f t="shared" ca="1" si="21"/>
        <v>EVT-2026-1384</v>
      </c>
      <c r="B1386" s="27">
        <v>2026</v>
      </c>
      <c r="C1386" s="27" t="s">
        <v>107</v>
      </c>
      <c r="D1386" s="30">
        <v>46272</v>
      </c>
      <c r="E1386" s="27" t="s">
        <v>224</v>
      </c>
      <c r="F1386" s="27" t="s">
        <v>126</v>
      </c>
      <c r="G1386" s="27" t="s">
        <v>202</v>
      </c>
      <c r="H1386" s="27" t="s">
        <v>736</v>
      </c>
      <c r="I1386" s="27" t="s">
        <v>203</v>
      </c>
      <c r="J1386" s="27" t="s">
        <v>134</v>
      </c>
      <c r="K1386" s="10">
        <v>55</v>
      </c>
      <c r="L1386" s="36" t="s">
        <v>263</v>
      </c>
      <c r="M1386" s="37" t="s">
        <v>269</v>
      </c>
      <c r="N1386" s="37" t="s">
        <v>270</v>
      </c>
      <c r="O1386" s="27"/>
      <c r="P1386" s="27"/>
      <c r="Q1386" s="27" t="s">
        <v>351</v>
      </c>
      <c r="R1386" s="27" t="s">
        <v>1688</v>
      </c>
      <c r="S1386" s="2" t="s">
        <v>1859</v>
      </c>
      <c r="T1386" s="29" t="s">
        <v>265</v>
      </c>
      <c r="U1386" s="27"/>
      <c r="V1386" s="27" t="s">
        <v>2030</v>
      </c>
      <c r="W1386" s="27" t="s">
        <v>1497</v>
      </c>
    </row>
    <row r="1387" spans="1:23" ht="24" customHeight="1">
      <c r="A1387" s="27" t="str">
        <f t="shared" ca="1" si="21"/>
        <v>EVT-2026-1385</v>
      </c>
      <c r="B1387" s="27">
        <v>2026</v>
      </c>
      <c r="C1387" s="27" t="s">
        <v>107</v>
      </c>
      <c r="D1387" s="30">
        <v>46272</v>
      </c>
      <c r="E1387" s="27" t="s">
        <v>224</v>
      </c>
      <c r="F1387" s="27" t="s">
        <v>126</v>
      </c>
      <c r="G1387" s="27" t="s">
        <v>1260</v>
      </c>
      <c r="H1387" s="27" t="s">
        <v>2018</v>
      </c>
      <c r="I1387" s="27" t="s">
        <v>203</v>
      </c>
      <c r="J1387" s="27" t="s">
        <v>134</v>
      </c>
      <c r="K1387" s="10">
        <v>25</v>
      </c>
      <c r="L1387" s="36" t="s">
        <v>263</v>
      </c>
      <c r="M1387" s="37" t="s">
        <v>269</v>
      </c>
      <c r="N1387" s="37" t="s">
        <v>270</v>
      </c>
      <c r="O1387" s="27"/>
      <c r="P1387" s="27"/>
      <c r="Q1387" s="27"/>
      <c r="R1387" s="27" t="s">
        <v>1688</v>
      </c>
      <c r="S1387" s="2" t="s">
        <v>1859</v>
      </c>
      <c r="T1387" s="29" t="s">
        <v>265</v>
      </c>
      <c r="U1387" s="30">
        <v>46218</v>
      </c>
      <c r="V1387" s="27" t="s">
        <v>2030</v>
      </c>
      <c r="W1387" s="27" t="s">
        <v>1497</v>
      </c>
    </row>
    <row r="1388" spans="1:23" ht="24" customHeight="1">
      <c r="A1388" s="27" t="str">
        <f t="shared" ca="1" si="21"/>
        <v>EVT-2026-1386</v>
      </c>
      <c r="B1388" s="27">
        <v>2026</v>
      </c>
      <c r="C1388" s="27" t="s">
        <v>107</v>
      </c>
      <c r="D1388" s="30">
        <v>46273</v>
      </c>
      <c r="E1388" s="27" t="s">
        <v>227</v>
      </c>
      <c r="F1388" s="27" t="s">
        <v>126</v>
      </c>
      <c r="G1388" s="27" t="s">
        <v>228</v>
      </c>
      <c r="H1388" s="27" t="s">
        <v>2092</v>
      </c>
      <c r="I1388" s="27" t="s">
        <v>1589</v>
      </c>
      <c r="J1388" s="27" t="s">
        <v>127</v>
      </c>
      <c r="K1388" s="10">
        <v>160</v>
      </c>
      <c r="L1388" s="38" t="s">
        <v>294</v>
      </c>
      <c r="M1388" s="37" t="s">
        <v>295</v>
      </c>
      <c r="N1388" s="37" t="s">
        <v>296</v>
      </c>
      <c r="O1388" s="27" t="s">
        <v>1445</v>
      </c>
      <c r="P1388" s="27" t="s">
        <v>1829</v>
      </c>
      <c r="Q1388" s="27" t="s">
        <v>367</v>
      </c>
      <c r="R1388" s="27" t="s">
        <v>2093</v>
      </c>
      <c r="S1388" s="2" t="s">
        <v>1859</v>
      </c>
      <c r="T1388" s="29" t="s">
        <v>265</v>
      </c>
      <c r="U1388" s="30">
        <v>46255</v>
      </c>
      <c r="V1388" s="27" t="s">
        <v>2088</v>
      </c>
      <c r="W1388" s="27" t="s">
        <v>1497</v>
      </c>
    </row>
    <row r="1389" spans="1:23" ht="24" customHeight="1">
      <c r="A1389" s="27" t="str">
        <f t="shared" ca="1" si="21"/>
        <v>EVT-2026-1387</v>
      </c>
      <c r="B1389" s="27">
        <v>2026</v>
      </c>
      <c r="C1389" s="27" t="s">
        <v>107</v>
      </c>
      <c r="D1389" s="30">
        <v>46273</v>
      </c>
      <c r="E1389" s="27" t="s">
        <v>227</v>
      </c>
      <c r="F1389" s="27" t="s">
        <v>126</v>
      </c>
      <c r="G1389" s="27" t="s">
        <v>202</v>
      </c>
      <c r="H1389" s="27" t="s">
        <v>736</v>
      </c>
      <c r="I1389" s="27" t="s">
        <v>203</v>
      </c>
      <c r="J1389" s="27" t="s">
        <v>134</v>
      </c>
      <c r="K1389" s="10">
        <v>55</v>
      </c>
      <c r="L1389" s="36" t="s">
        <v>263</v>
      </c>
      <c r="M1389" s="37" t="s">
        <v>269</v>
      </c>
      <c r="N1389" s="37" t="s">
        <v>270</v>
      </c>
      <c r="O1389" s="27"/>
      <c r="P1389" s="27"/>
      <c r="Q1389" s="27" t="s">
        <v>351</v>
      </c>
      <c r="R1389" s="27" t="s">
        <v>1688</v>
      </c>
      <c r="S1389" s="2" t="s">
        <v>1859</v>
      </c>
      <c r="T1389" s="29" t="s">
        <v>265</v>
      </c>
      <c r="U1389" s="27"/>
      <c r="V1389" s="27" t="s">
        <v>2030</v>
      </c>
      <c r="W1389" s="27" t="s">
        <v>1497</v>
      </c>
    </row>
    <row r="1390" spans="1:23" ht="24" customHeight="1">
      <c r="A1390" s="27" t="str">
        <f t="shared" ca="1" si="21"/>
        <v>EVT-2026-1388</v>
      </c>
      <c r="B1390" s="27">
        <v>2026</v>
      </c>
      <c r="C1390" s="27" t="s">
        <v>107</v>
      </c>
      <c r="D1390" s="30">
        <v>46273</v>
      </c>
      <c r="E1390" s="27" t="s">
        <v>227</v>
      </c>
      <c r="F1390" s="27" t="s">
        <v>126</v>
      </c>
      <c r="G1390" s="27" t="s">
        <v>1260</v>
      </c>
      <c r="H1390" s="27" t="s">
        <v>2018</v>
      </c>
      <c r="I1390" s="27" t="s">
        <v>203</v>
      </c>
      <c r="J1390" s="27" t="s">
        <v>134</v>
      </c>
      <c r="K1390" s="10">
        <v>25</v>
      </c>
      <c r="L1390" s="36" t="s">
        <v>263</v>
      </c>
      <c r="M1390" s="37" t="s">
        <v>269</v>
      </c>
      <c r="N1390" s="37" t="s">
        <v>270</v>
      </c>
      <c r="O1390" s="27"/>
      <c r="P1390" s="27"/>
      <c r="Q1390" s="27"/>
      <c r="R1390" s="27" t="s">
        <v>1688</v>
      </c>
      <c r="S1390" s="2" t="s">
        <v>1859</v>
      </c>
      <c r="T1390" s="29" t="s">
        <v>265</v>
      </c>
      <c r="U1390" s="30">
        <v>46218</v>
      </c>
      <c r="V1390" s="27" t="s">
        <v>2030</v>
      </c>
      <c r="W1390" s="27" t="s">
        <v>1497</v>
      </c>
    </row>
    <row r="1391" spans="1:23" ht="24" customHeight="1">
      <c r="A1391" s="27" t="str">
        <f t="shared" ca="1" si="21"/>
        <v>EVT-2026-1389</v>
      </c>
      <c r="B1391" s="27">
        <v>2026</v>
      </c>
      <c r="C1391" s="27" t="s">
        <v>107</v>
      </c>
      <c r="D1391" s="30">
        <v>46273</v>
      </c>
      <c r="E1391" s="27" t="s">
        <v>227</v>
      </c>
      <c r="F1391" s="27" t="s">
        <v>126</v>
      </c>
      <c r="G1391" s="27" t="s">
        <v>208</v>
      </c>
      <c r="H1391" s="27" t="s">
        <v>1366</v>
      </c>
      <c r="I1391" s="27" t="s">
        <v>217</v>
      </c>
      <c r="J1391" s="27" t="s">
        <v>145</v>
      </c>
      <c r="K1391" s="10">
        <v>50</v>
      </c>
      <c r="L1391" s="36" t="s">
        <v>263</v>
      </c>
      <c r="M1391" s="37" t="s">
        <v>309</v>
      </c>
      <c r="N1391" s="37" t="s">
        <v>296</v>
      </c>
      <c r="O1391" s="27"/>
      <c r="P1391" s="27"/>
      <c r="Q1391" s="27" t="s">
        <v>1510</v>
      </c>
      <c r="R1391" s="27"/>
      <c r="S1391" s="2" t="s">
        <v>1859</v>
      </c>
      <c r="T1391" s="29" t="s">
        <v>265</v>
      </c>
      <c r="U1391" s="27"/>
      <c r="V1391" s="27"/>
      <c r="W1391" s="27" t="s">
        <v>298</v>
      </c>
    </row>
    <row r="1392" spans="1:23" ht="24" customHeight="1">
      <c r="A1392" s="27" t="str">
        <f t="shared" ca="1" si="21"/>
        <v>EVT-2026-1390</v>
      </c>
      <c r="B1392" s="27">
        <v>2026</v>
      </c>
      <c r="C1392" s="27" t="s">
        <v>107</v>
      </c>
      <c r="D1392" s="30">
        <v>46274</v>
      </c>
      <c r="E1392" s="27" t="s">
        <v>201</v>
      </c>
      <c r="F1392" s="27" t="s">
        <v>126</v>
      </c>
      <c r="G1392" s="27" t="s">
        <v>1260</v>
      </c>
      <c r="H1392" s="27" t="s">
        <v>2018</v>
      </c>
      <c r="I1392" s="27" t="s">
        <v>203</v>
      </c>
      <c r="J1392" s="27" t="s">
        <v>134</v>
      </c>
      <c r="K1392" s="10">
        <v>25</v>
      </c>
      <c r="L1392" s="36" t="s">
        <v>263</v>
      </c>
      <c r="M1392" s="37" t="s">
        <v>269</v>
      </c>
      <c r="N1392" s="37" t="s">
        <v>270</v>
      </c>
      <c r="O1392" s="27"/>
      <c r="P1392" s="27"/>
      <c r="Q1392" s="27"/>
      <c r="R1392" s="27" t="s">
        <v>1688</v>
      </c>
      <c r="S1392" s="2" t="s">
        <v>1859</v>
      </c>
      <c r="T1392" s="29" t="s">
        <v>265</v>
      </c>
      <c r="U1392" s="30">
        <v>46218</v>
      </c>
      <c r="V1392" s="27" t="s">
        <v>2030</v>
      </c>
      <c r="W1392" s="27" t="s">
        <v>1497</v>
      </c>
    </row>
    <row r="1393" spans="1:23" ht="24" customHeight="1">
      <c r="A1393" s="27" t="str">
        <f t="shared" ca="1" si="21"/>
        <v>EVT-2026-1391</v>
      </c>
      <c r="B1393" s="27">
        <v>2026</v>
      </c>
      <c r="C1393" s="27" t="s">
        <v>107</v>
      </c>
      <c r="D1393" s="30">
        <v>46274</v>
      </c>
      <c r="E1393" s="27" t="s">
        <v>201</v>
      </c>
      <c r="F1393" s="27" t="s">
        <v>126</v>
      </c>
      <c r="G1393" s="27" t="s">
        <v>202</v>
      </c>
      <c r="H1393" s="27" t="s">
        <v>736</v>
      </c>
      <c r="I1393" s="27" t="s">
        <v>203</v>
      </c>
      <c r="J1393" s="27" t="s">
        <v>134</v>
      </c>
      <c r="K1393" s="10">
        <v>55</v>
      </c>
      <c r="L1393" s="36" t="s">
        <v>263</v>
      </c>
      <c r="M1393" s="37" t="s">
        <v>269</v>
      </c>
      <c r="N1393" s="37" t="s">
        <v>270</v>
      </c>
      <c r="O1393" s="27"/>
      <c r="P1393" s="27"/>
      <c r="Q1393" s="27" t="s">
        <v>351</v>
      </c>
      <c r="R1393" s="27" t="s">
        <v>1688</v>
      </c>
      <c r="S1393" s="2" t="s">
        <v>1859</v>
      </c>
      <c r="T1393" s="29" t="s">
        <v>265</v>
      </c>
      <c r="U1393" s="27"/>
      <c r="V1393" s="27" t="s">
        <v>2030</v>
      </c>
      <c r="W1393" s="27" t="s">
        <v>1497</v>
      </c>
    </row>
    <row r="1394" spans="1:23" ht="24" customHeight="1">
      <c r="A1394" s="27" t="str">
        <f t="shared" ca="1" si="21"/>
        <v>EVT-2026-1392</v>
      </c>
      <c r="B1394" s="27">
        <v>2026</v>
      </c>
      <c r="C1394" s="27" t="s">
        <v>107</v>
      </c>
      <c r="D1394" s="30">
        <v>46274</v>
      </c>
      <c r="E1394" s="27" t="s">
        <v>201</v>
      </c>
      <c r="F1394" s="27" t="s">
        <v>126</v>
      </c>
      <c r="G1394" s="27" t="s">
        <v>208</v>
      </c>
      <c r="H1394" s="27" t="s">
        <v>1366</v>
      </c>
      <c r="I1394" s="27" t="s">
        <v>217</v>
      </c>
      <c r="J1394" s="27" t="s">
        <v>145</v>
      </c>
      <c r="K1394" s="10">
        <v>50</v>
      </c>
      <c r="L1394" s="36" t="s">
        <v>263</v>
      </c>
      <c r="M1394" s="37" t="s">
        <v>309</v>
      </c>
      <c r="N1394" s="37" t="s">
        <v>296</v>
      </c>
      <c r="O1394" s="27"/>
      <c r="P1394" s="27"/>
      <c r="Q1394" s="27" t="s">
        <v>1510</v>
      </c>
      <c r="R1394" s="27"/>
      <c r="S1394" s="2" t="s">
        <v>1859</v>
      </c>
      <c r="T1394" s="29" t="s">
        <v>265</v>
      </c>
      <c r="U1394" s="27"/>
      <c r="V1394" s="27"/>
      <c r="W1394" s="27" t="s">
        <v>298</v>
      </c>
    </row>
    <row r="1395" spans="1:23" ht="24" customHeight="1">
      <c r="A1395" s="27" t="str">
        <f t="shared" ca="1" si="21"/>
        <v>EVT-2026-1393</v>
      </c>
      <c r="B1395" s="27">
        <v>2026</v>
      </c>
      <c r="C1395" s="27" t="s">
        <v>107</v>
      </c>
      <c r="D1395" s="30">
        <v>46274</v>
      </c>
      <c r="E1395" s="27" t="s">
        <v>201</v>
      </c>
      <c r="F1395" s="27" t="s">
        <v>126</v>
      </c>
      <c r="G1395" s="27" t="s">
        <v>202</v>
      </c>
      <c r="H1395" s="27" t="s">
        <v>1366</v>
      </c>
      <c r="I1395" s="27" t="s">
        <v>2079</v>
      </c>
      <c r="J1395" s="27" t="s">
        <v>158</v>
      </c>
      <c r="K1395" s="10">
        <v>30</v>
      </c>
      <c r="L1395" s="36" t="s">
        <v>263</v>
      </c>
      <c r="M1395" s="37" t="s">
        <v>350</v>
      </c>
      <c r="N1395" s="37" t="s">
        <v>289</v>
      </c>
      <c r="O1395" s="27" t="s">
        <v>1445</v>
      </c>
      <c r="P1395" s="27" t="s">
        <v>2080</v>
      </c>
      <c r="Q1395" s="27" t="s">
        <v>2081</v>
      </c>
      <c r="R1395" s="27" t="s">
        <v>2082</v>
      </c>
      <c r="S1395" s="2" t="s">
        <v>1859</v>
      </c>
      <c r="T1395" s="29" t="s">
        <v>265</v>
      </c>
      <c r="U1395" s="30">
        <v>46254</v>
      </c>
      <c r="V1395" s="27" t="s">
        <v>1313</v>
      </c>
      <c r="W1395" s="27" t="s">
        <v>1497</v>
      </c>
    </row>
    <row r="1396" spans="1:23" ht="24" customHeight="1">
      <c r="A1396" s="27" t="str">
        <f t="shared" ca="1" si="21"/>
        <v>EVT-2026-1394</v>
      </c>
      <c r="B1396" s="27">
        <v>2026</v>
      </c>
      <c r="C1396" s="27" t="s">
        <v>107</v>
      </c>
      <c r="D1396" s="30">
        <v>46275</v>
      </c>
      <c r="E1396" s="27" t="s">
        <v>216</v>
      </c>
      <c r="F1396" s="27" t="s">
        <v>126</v>
      </c>
      <c r="G1396" s="27" t="s">
        <v>202</v>
      </c>
      <c r="H1396" s="27" t="s">
        <v>736</v>
      </c>
      <c r="I1396" s="27" t="s">
        <v>203</v>
      </c>
      <c r="J1396" s="27" t="s">
        <v>134</v>
      </c>
      <c r="K1396" s="10">
        <v>55</v>
      </c>
      <c r="L1396" s="36" t="s">
        <v>263</v>
      </c>
      <c r="M1396" s="37" t="s">
        <v>269</v>
      </c>
      <c r="N1396" s="37" t="s">
        <v>270</v>
      </c>
      <c r="O1396" s="27"/>
      <c r="P1396" s="27"/>
      <c r="Q1396" s="27"/>
      <c r="R1396" s="27" t="s">
        <v>1688</v>
      </c>
      <c r="S1396" s="2" t="s">
        <v>1859</v>
      </c>
      <c r="T1396" s="29" t="s">
        <v>265</v>
      </c>
      <c r="U1396" s="30">
        <v>46218</v>
      </c>
      <c r="V1396" s="27" t="s">
        <v>2030</v>
      </c>
      <c r="W1396" s="27" t="s">
        <v>1497</v>
      </c>
    </row>
    <row r="1397" spans="1:23" ht="24" customHeight="1">
      <c r="A1397" s="27" t="str">
        <f t="shared" ca="1" si="21"/>
        <v>EVT-2026-1395</v>
      </c>
      <c r="B1397" s="27">
        <v>2026</v>
      </c>
      <c r="C1397" s="27" t="s">
        <v>107</v>
      </c>
      <c r="D1397" s="30">
        <v>46275</v>
      </c>
      <c r="E1397" s="27" t="s">
        <v>216</v>
      </c>
      <c r="F1397" s="27" t="s">
        <v>126</v>
      </c>
      <c r="G1397" s="27" t="s">
        <v>1260</v>
      </c>
      <c r="H1397" s="27" t="s">
        <v>2018</v>
      </c>
      <c r="I1397" s="27" t="s">
        <v>203</v>
      </c>
      <c r="J1397" s="27" t="s">
        <v>134</v>
      </c>
      <c r="K1397" s="10">
        <v>25</v>
      </c>
      <c r="L1397" s="36" t="s">
        <v>263</v>
      </c>
      <c r="M1397" s="37" t="s">
        <v>269</v>
      </c>
      <c r="N1397" s="37" t="s">
        <v>270</v>
      </c>
      <c r="O1397" s="27"/>
      <c r="P1397" s="27"/>
      <c r="Q1397" s="27"/>
      <c r="R1397" s="27" t="s">
        <v>1688</v>
      </c>
      <c r="S1397" s="2" t="s">
        <v>1859</v>
      </c>
      <c r="T1397" s="29" t="s">
        <v>265</v>
      </c>
      <c r="U1397" s="30">
        <v>46218</v>
      </c>
      <c r="V1397" s="27" t="s">
        <v>2030</v>
      </c>
      <c r="W1397" s="27" t="s">
        <v>1497</v>
      </c>
    </row>
    <row r="1398" spans="1:23" ht="24" customHeight="1">
      <c r="A1398" s="27" t="str">
        <f t="shared" ca="1" si="21"/>
        <v>EVT-2026-1396</v>
      </c>
      <c r="B1398" s="27">
        <v>2026</v>
      </c>
      <c r="C1398" s="27" t="s">
        <v>107</v>
      </c>
      <c r="D1398" s="30">
        <v>46275</v>
      </c>
      <c r="E1398" s="27" t="s">
        <v>216</v>
      </c>
      <c r="F1398" s="27" t="s">
        <v>126</v>
      </c>
      <c r="G1398" s="27" t="s">
        <v>208</v>
      </c>
      <c r="H1398" s="27" t="s">
        <v>1366</v>
      </c>
      <c r="I1398" s="27" t="s">
        <v>217</v>
      </c>
      <c r="J1398" s="27" t="s">
        <v>145</v>
      </c>
      <c r="K1398" s="10">
        <v>50</v>
      </c>
      <c r="L1398" s="36" t="s">
        <v>263</v>
      </c>
      <c r="M1398" s="37" t="s">
        <v>309</v>
      </c>
      <c r="N1398" s="37" t="s">
        <v>296</v>
      </c>
      <c r="O1398" s="27"/>
      <c r="P1398" s="27"/>
      <c r="Q1398" s="27" t="s">
        <v>1510</v>
      </c>
      <c r="R1398" s="27"/>
      <c r="S1398" s="2" t="s">
        <v>1859</v>
      </c>
      <c r="T1398" s="29" t="s">
        <v>265</v>
      </c>
      <c r="U1398" s="27"/>
      <c r="V1398" s="27"/>
      <c r="W1398" s="27" t="s">
        <v>298</v>
      </c>
    </row>
    <row r="1399" spans="1:23" ht="24" customHeight="1">
      <c r="A1399" s="27" t="str">
        <f t="shared" ca="1" si="21"/>
        <v>EVT-2026-1397</v>
      </c>
      <c r="B1399" s="27">
        <v>2026</v>
      </c>
      <c r="C1399" s="27" t="s">
        <v>107</v>
      </c>
      <c r="D1399" s="30">
        <v>46276</v>
      </c>
      <c r="E1399" s="27" t="s">
        <v>220</v>
      </c>
      <c r="F1399" s="27" t="s">
        <v>126</v>
      </c>
      <c r="G1399" s="27" t="s">
        <v>1260</v>
      </c>
      <c r="H1399" s="27" t="s">
        <v>1366</v>
      </c>
      <c r="I1399" s="27" t="s">
        <v>203</v>
      </c>
      <c r="J1399" s="27" t="s">
        <v>134</v>
      </c>
      <c r="K1399" s="10">
        <v>25</v>
      </c>
      <c r="L1399" s="36" t="s">
        <v>263</v>
      </c>
      <c r="M1399" s="37" t="s">
        <v>269</v>
      </c>
      <c r="N1399" s="37" t="s">
        <v>270</v>
      </c>
      <c r="O1399" s="27"/>
      <c r="P1399" s="27"/>
      <c r="Q1399" s="27"/>
      <c r="R1399" s="27" t="s">
        <v>1688</v>
      </c>
      <c r="S1399" s="2" t="s">
        <v>1859</v>
      </c>
      <c r="T1399" s="29" t="s">
        <v>265</v>
      </c>
      <c r="U1399" s="30">
        <v>46218</v>
      </c>
      <c r="V1399" s="27" t="s">
        <v>2030</v>
      </c>
      <c r="W1399" s="27" t="s">
        <v>1497</v>
      </c>
    </row>
    <row r="1400" spans="1:23" ht="24" customHeight="1">
      <c r="A1400" s="27" t="str">
        <f t="shared" ca="1" si="21"/>
        <v>EVT-2026-1398</v>
      </c>
      <c r="B1400" s="27">
        <v>2026</v>
      </c>
      <c r="C1400" s="27" t="s">
        <v>107</v>
      </c>
      <c r="D1400" s="30">
        <v>46276</v>
      </c>
      <c r="E1400" s="27" t="s">
        <v>220</v>
      </c>
      <c r="F1400" s="27" t="s">
        <v>126</v>
      </c>
      <c r="G1400" s="27" t="s">
        <v>228</v>
      </c>
      <c r="H1400" s="27" t="s">
        <v>125</v>
      </c>
      <c r="I1400" s="27" t="s">
        <v>2094</v>
      </c>
      <c r="J1400" s="27" t="s">
        <v>177</v>
      </c>
      <c r="K1400" s="10">
        <v>100</v>
      </c>
      <c r="L1400" s="38" t="s">
        <v>294</v>
      </c>
      <c r="M1400" s="37" t="s">
        <v>309</v>
      </c>
      <c r="N1400" s="37" t="s">
        <v>296</v>
      </c>
      <c r="O1400" s="27" t="s">
        <v>2095</v>
      </c>
      <c r="P1400" s="27" t="s">
        <v>2096</v>
      </c>
      <c r="Q1400" s="27" t="s">
        <v>335</v>
      </c>
      <c r="R1400" s="27" t="s">
        <v>1759</v>
      </c>
      <c r="S1400" s="2" t="s">
        <v>1859</v>
      </c>
      <c r="T1400" s="29" t="s">
        <v>265</v>
      </c>
      <c r="U1400" s="30">
        <v>46252</v>
      </c>
      <c r="V1400" s="27"/>
      <c r="W1400" s="27" t="s">
        <v>298</v>
      </c>
    </row>
    <row r="1401" spans="1:23" ht="24" customHeight="1">
      <c r="A1401" s="27" t="str">
        <f t="shared" ca="1" si="21"/>
        <v>EVT-2026-1399</v>
      </c>
      <c r="B1401" s="27">
        <v>2026</v>
      </c>
      <c r="C1401" s="27" t="s">
        <v>107</v>
      </c>
      <c r="D1401" s="30">
        <v>46276</v>
      </c>
      <c r="E1401" s="27" t="s">
        <v>220</v>
      </c>
      <c r="F1401" s="27" t="s">
        <v>126</v>
      </c>
      <c r="G1401" s="27" t="s">
        <v>202</v>
      </c>
      <c r="H1401" s="27" t="s">
        <v>736</v>
      </c>
      <c r="I1401" s="27" t="s">
        <v>203</v>
      </c>
      <c r="J1401" s="27" t="s">
        <v>134</v>
      </c>
      <c r="K1401" s="10">
        <v>55</v>
      </c>
      <c r="L1401" s="36" t="s">
        <v>263</v>
      </c>
      <c r="M1401" s="37" t="s">
        <v>269</v>
      </c>
      <c r="N1401" s="37" t="s">
        <v>270</v>
      </c>
      <c r="O1401" s="27"/>
      <c r="P1401" s="27"/>
      <c r="Q1401" s="27"/>
      <c r="R1401" s="27" t="s">
        <v>1688</v>
      </c>
      <c r="S1401" s="2" t="s">
        <v>1859</v>
      </c>
      <c r="T1401" s="29" t="s">
        <v>265</v>
      </c>
      <c r="U1401" s="30">
        <v>46218</v>
      </c>
      <c r="V1401" s="27" t="s">
        <v>2030</v>
      </c>
      <c r="W1401" s="27" t="s">
        <v>1497</v>
      </c>
    </row>
    <row r="1402" spans="1:23" ht="24" customHeight="1">
      <c r="A1402" s="27" t="str">
        <f t="shared" ca="1" si="21"/>
        <v>EVT-2026-1400</v>
      </c>
      <c r="B1402" s="27">
        <v>2026</v>
      </c>
      <c r="C1402" s="27" t="s">
        <v>107</v>
      </c>
      <c r="D1402" s="30">
        <v>46277</v>
      </c>
      <c r="E1402" s="27" t="s">
        <v>266</v>
      </c>
      <c r="F1402" s="27" t="s">
        <v>126</v>
      </c>
      <c r="G1402" s="27"/>
      <c r="H1402" s="27"/>
      <c r="I1402" s="27"/>
      <c r="J1402" s="27" t="s">
        <v>177</v>
      </c>
      <c r="K1402" s="10">
        <v>0</v>
      </c>
      <c r="L1402" s="36" t="s">
        <v>263</v>
      </c>
      <c r="M1402" s="37"/>
      <c r="N1402" s="37"/>
      <c r="O1402" s="27"/>
      <c r="P1402" s="27"/>
      <c r="Q1402" s="27"/>
      <c r="R1402" s="27"/>
      <c r="S1402" s="2" t="s">
        <v>1859</v>
      </c>
      <c r="T1402" s="29" t="s">
        <v>265</v>
      </c>
      <c r="U1402" s="27"/>
      <c r="V1402" s="27"/>
      <c r="W1402" s="27"/>
    </row>
    <row r="1403" spans="1:23" ht="24" customHeight="1">
      <c r="A1403" s="27" t="str">
        <f t="shared" ca="1" si="21"/>
        <v>EVT-2026-1401</v>
      </c>
      <c r="B1403" s="27">
        <v>2026</v>
      </c>
      <c r="C1403" s="27" t="s">
        <v>107</v>
      </c>
      <c r="D1403" s="30">
        <v>46278</v>
      </c>
      <c r="E1403" s="27" t="s">
        <v>267</v>
      </c>
      <c r="F1403" s="27" t="s">
        <v>126</v>
      </c>
      <c r="G1403" s="27"/>
      <c r="H1403" s="27"/>
      <c r="I1403" s="27"/>
      <c r="J1403" s="27" t="s">
        <v>177</v>
      </c>
      <c r="K1403" s="10">
        <v>0</v>
      </c>
      <c r="L1403" s="36" t="s">
        <v>263</v>
      </c>
      <c r="M1403" s="37"/>
      <c r="N1403" s="37"/>
      <c r="O1403" s="27"/>
      <c r="P1403" s="27"/>
      <c r="Q1403" s="27"/>
      <c r="R1403" s="27"/>
      <c r="S1403" s="2" t="s">
        <v>1859</v>
      </c>
      <c r="T1403" s="29" t="s">
        <v>265</v>
      </c>
      <c r="U1403" s="27"/>
      <c r="V1403" s="27"/>
      <c r="W1403" s="27"/>
    </row>
    <row r="1404" spans="1:23" ht="24" customHeight="1">
      <c r="A1404" s="27" t="str">
        <f t="shared" ca="1" si="21"/>
        <v>EVT-2026-1402</v>
      </c>
      <c r="B1404" s="27">
        <v>2026</v>
      </c>
      <c r="C1404" s="27" t="s">
        <v>107</v>
      </c>
      <c r="D1404" s="30">
        <v>46279</v>
      </c>
      <c r="E1404" s="27" t="s">
        <v>224</v>
      </c>
      <c r="F1404" s="27" t="s">
        <v>126</v>
      </c>
      <c r="G1404" s="27" t="s">
        <v>202</v>
      </c>
      <c r="H1404" s="27" t="s">
        <v>736</v>
      </c>
      <c r="I1404" s="27" t="s">
        <v>203</v>
      </c>
      <c r="J1404" s="27" t="s">
        <v>134</v>
      </c>
      <c r="K1404" s="10">
        <v>55</v>
      </c>
      <c r="L1404" s="36" t="s">
        <v>263</v>
      </c>
      <c r="M1404" s="37" t="s">
        <v>269</v>
      </c>
      <c r="N1404" s="37" t="s">
        <v>270</v>
      </c>
      <c r="O1404" s="27"/>
      <c r="P1404" s="27"/>
      <c r="Q1404" s="27"/>
      <c r="R1404" s="27" t="s">
        <v>1688</v>
      </c>
      <c r="S1404" s="2" t="s">
        <v>1859</v>
      </c>
      <c r="T1404" s="29" t="s">
        <v>265</v>
      </c>
      <c r="U1404" s="30">
        <v>46218</v>
      </c>
      <c r="V1404" s="27" t="s">
        <v>2030</v>
      </c>
      <c r="W1404" s="27" t="s">
        <v>1497</v>
      </c>
    </row>
    <row r="1405" spans="1:23" ht="24" customHeight="1">
      <c r="A1405" s="27" t="str">
        <f t="shared" ca="1" si="21"/>
        <v>EVT-2026-1403</v>
      </c>
      <c r="B1405" s="27">
        <v>2026</v>
      </c>
      <c r="C1405" s="27" t="s">
        <v>107</v>
      </c>
      <c r="D1405" s="30">
        <v>46279</v>
      </c>
      <c r="E1405" s="27" t="s">
        <v>224</v>
      </c>
      <c r="F1405" s="27" t="s">
        <v>126</v>
      </c>
      <c r="G1405" s="27" t="s">
        <v>228</v>
      </c>
      <c r="H1405" s="27" t="s">
        <v>2092</v>
      </c>
      <c r="I1405" s="27" t="s">
        <v>203</v>
      </c>
      <c r="J1405" s="27" t="s">
        <v>134</v>
      </c>
      <c r="K1405" s="10">
        <v>50</v>
      </c>
      <c r="L1405" s="36" t="s">
        <v>263</v>
      </c>
      <c r="M1405" s="37" t="s">
        <v>269</v>
      </c>
      <c r="N1405" s="37" t="s">
        <v>270</v>
      </c>
      <c r="O1405" s="27"/>
      <c r="P1405" s="27"/>
      <c r="Q1405" s="27"/>
      <c r="R1405" s="27" t="s">
        <v>1688</v>
      </c>
      <c r="S1405" s="2" t="s">
        <v>1859</v>
      </c>
      <c r="T1405" s="29" t="s">
        <v>265</v>
      </c>
      <c r="U1405" s="27"/>
      <c r="V1405" s="27" t="s">
        <v>2030</v>
      </c>
      <c r="W1405" s="27" t="s">
        <v>1497</v>
      </c>
    </row>
    <row r="1406" spans="1:23" ht="24" customHeight="1">
      <c r="A1406" s="27" t="str">
        <f t="shared" ca="1" si="21"/>
        <v>EVT-2026-1404</v>
      </c>
      <c r="B1406" s="27">
        <v>2026</v>
      </c>
      <c r="C1406" s="27" t="s">
        <v>107</v>
      </c>
      <c r="D1406" s="30">
        <v>46279</v>
      </c>
      <c r="E1406" s="27" t="s">
        <v>224</v>
      </c>
      <c r="F1406" s="27" t="s">
        <v>126</v>
      </c>
      <c r="G1406" s="27" t="s">
        <v>1260</v>
      </c>
      <c r="H1406" s="27" t="s">
        <v>2018</v>
      </c>
      <c r="I1406" s="27" t="s">
        <v>203</v>
      </c>
      <c r="J1406" s="27" t="s">
        <v>134</v>
      </c>
      <c r="K1406" s="10">
        <v>25</v>
      </c>
      <c r="L1406" s="36" t="s">
        <v>263</v>
      </c>
      <c r="M1406" s="37" t="s">
        <v>269</v>
      </c>
      <c r="N1406" s="37" t="s">
        <v>270</v>
      </c>
      <c r="O1406" s="27"/>
      <c r="P1406" s="27"/>
      <c r="Q1406" s="27"/>
      <c r="R1406" s="27" t="s">
        <v>1688</v>
      </c>
      <c r="S1406" s="2" t="s">
        <v>1859</v>
      </c>
      <c r="T1406" s="29" t="s">
        <v>265</v>
      </c>
      <c r="U1406" s="30">
        <v>46218</v>
      </c>
      <c r="V1406" s="27" t="s">
        <v>2030</v>
      </c>
      <c r="W1406" s="27" t="s">
        <v>1497</v>
      </c>
    </row>
    <row r="1407" spans="1:23" ht="24" customHeight="1">
      <c r="A1407" s="27" t="str">
        <f t="shared" ca="1" si="21"/>
        <v>EVT-2026-1405</v>
      </c>
      <c r="B1407" s="27">
        <v>2026</v>
      </c>
      <c r="C1407" s="27" t="s">
        <v>107</v>
      </c>
      <c r="D1407" s="30">
        <v>46280</v>
      </c>
      <c r="E1407" s="27" t="s">
        <v>227</v>
      </c>
      <c r="F1407" s="27" t="s">
        <v>126</v>
      </c>
      <c r="G1407" s="27" t="s">
        <v>202</v>
      </c>
      <c r="H1407" s="27" t="s">
        <v>736</v>
      </c>
      <c r="I1407" s="27" t="s">
        <v>203</v>
      </c>
      <c r="J1407" s="27" t="s">
        <v>134</v>
      </c>
      <c r="K1407" s="10">
        <v>55</v>
      </c>
      <c r="L1407" s="36" t="s">
        <v>263</v>
      </c>
      <c r="M1407" s="37" t="s">
        <v>269</v>
      </c>
      <c r="N1407" s="37" t="s">
        <v>270</v>
      </c>
      <c r="O1407" s="27"/>
      <c r="P1407" s="27"/>
      <c r="Q1407" s="27"/>
      <c r="R1407" s="27" t="s">
        <v>1688</v>
      </c>
      <c r="S1407" s="2" t="s">
        <v>1859</v>
      </c>
      <c r="T1407" s="29" t="s">
        <v>265</v>
      </c>
      <c r="U1407" s="30">
        <v>46218</v>
      </c>
      <c r="V1407" s="27" t="s">
        <v>2030</v>
      </c>
      <c r="W1407" s="27" t="s">
        <v>1497</v>
      </c>
    </row>
    <row r="1408" spans="1:23" ht="24" customHeight="1">
      <c r="A1408" s="27" t="str">
        <f t="shared" ca="1" si="21"/>
        <v>EVT-2026-1406</v>
      </c>
      <c r="B1408" s="27">
        <v>2026</v>
      </c>
      <c r="C1408" s="27" t="s">
        <v>107</v>
      </c>
      <c r="D1408" s="30">
        <v>46280</v>
      </c>
      <c r="E1408" s="27" t="s">
        <v>227</v>
      </c>
      <c r="F1408" s="27" t="s">
        <v>126</v>
      </c>
      <c r="G1408" s="27" t="s">
        <v>1260</v>
      </c>
      <c r="H1408" s="27" t="s">
        <v>2018</v>
      </c>
      <c r="I1408" s="27" t="s">
        <v>203</v>
      </c>
      <c r="J1408" s="27" t="s">
        <v>134</v>
      </c>
      <c r="K1408" s="10">
        <v>25</v>
      </c>
      <c r="L1408" s="36" t="s">
        <v>263</v>
      </c>
      <c r="M1408" s="37" t="s">
        <v>269</v>
      </c>
      <c r="N1408" s="37" t="s">
        <v>270</v>
      </c>
      <c r="O1408" s="27"/>
      <c r="P1408" s="27"/>
      <c r="Q1408" s="27"/>
      <c r="R1408" s="27" t="s">
        <v>1688</v>
      </c>
      <c r="S1408" s="2" t="s">
        <v>1859</v>
      </c>
      <c r="T1408" s="29" t="s">
        <v>265</v>
      </c>
      <c r="U1408" s="30">
        <v>46218</v>
      </c>
      <c r="V1408" s="27" t="s">
        <v>2030</v>
      </c>
      <c r="W1408" s="27" t="s">
        <v>1497</v>
      </c>
    </row>
    <row r="1409" spans="1:23" ht="24" customHeight="1">
      <c r="A1409" s="27" t="str">
        <f t="shared" ca="1" si="21"/>
        <v>EVT-2026-1407</v>
      </c>
      <c r="B1409" s="27">
        <v>2026</v>
      </c>
      <c r="C1409" s="27" t="s">
        <v>107</v>
      </c>
      <c r="D1409" s="30">
        <v>46280</v>
      </c>
      <c r="E1409" s="27" t="s">
        <v>227</v>
      </c>
      <c r="F1409" s="27" t="s">
        <v>126</v>
      </c>
      <c r="G1409" s="27" t="s">
        <v>208</v>
      </c>
      <c r="H1409" s="27" t="s">
        <v>1366</v>
      </c>
      <c r="I1409" s="27" t="s">
        <v>217</v>
      </c>
      <c r="J1409" s="27" t="s">
        <v>145</v>
      </c>
      <c r="K1409" s="10">
        <v>50</v>
      </c>
      <c r="L1409" s="36" t="s">
        <v>263</v>
      </c>
      <c r="M1409" s="37" t="s">
        <v>309</v>
      </c>
      <c r="N1409" s="37" t="s">
        <v>296</v>
      </c>
      <c r="O1409" s="27"/>
      <c r="P1409" s="27"/>
      <c r="Q1409" s="27" t="s">
        <v>1080</v>
      </c>
      <c r="R1409" s="27"/>
      <c r="S1409" s="2" t="s">
        <v>1859</v>
      </c>
      <c r="T1409" s="29" t="s">
        <v>265</v>
      </c>
      <c r="U1409" s="27"/>
      <c r="V1409" s="27"/>
      <c r="W1409" s="27" t="s">
        <v>298</v>
      </c>
    </row>
    <row r="1410" spans="1:23" ht="24" customHeight="1">
      <c r="A1410" s="27" t="str">
        <f t="shared" ca="1" si="21"/>
        <v>EVT-2026-1408</v>
      </c>
      <c r="B1410" s="27">
        <v>2026</v>
      </c>
      <c r="C1410" s="27" t="s">
        <v>107</v>
      </c>
      <c r="D1410" s="30">
        <v>46281</v>
      </c>
      <c r="E1410" s="27" t="s">
        <v>201</v>
      </c>
      <c r="F1410" s="27" t="s">
        <v>126</v>
      </c>
      <c r="G1410" s="27"/>
      <c r="H1410" s="27" t="s">
        <v>2097</v>
      </c>
      <c r="I1410" s="27" t="s">
        <v>2098</v>
      </c>
      <c r="J1410" s="27" t="s">
        <v>127</v>
      </c>
      <c r="K1410" s="10">
        <v>50</v>
      </c>
      <c r="L1410" s="36" t="s">
        <v>263</v>
      </c>
      <c r="M1410" s="37" t="s">
        <v>274</v>
      </c>
      <c r="N1410" s="37" t="s">
        <v>429</v>
      </c>
      <c r="O1410" s="27"/>
      <c r="P1410" s="27"/>
      <c r="Q1410" s="27"/>
      <c r="R1410" s="27"/>
      <c r="S1410" s="2" t="s">
        <v>1859</v>
      </c>
      <c r="T1410" s="29" t="s">
        <v>265</v>
      </c>
      <c r="U1410" s="27"/>
      <c r="V1410" s="27"/>
      <c r="W1410" s="27" t="s">
        <v>1177</v>
      </c>
    </row>
    <row r="1411" spans="1:23" ht="24" customHeight="1">
      <c r="A1411" s="27" t="str">
        <f t="shared" ref="A1411:A1474" ca="1" si="22">IF(OR(D1411&lt;&gt;"",H1411&lt;&gt;"",I1411&lt;&gt;"",Q1411&lt;&gt;"",S1411&lt;&gt;""), "EVT-" &amp; TEXT(B1411, "0000") &amp; "-" &amp; TEXT(COUNTIF(OFFSET($A$1, 1, 0, ROW()-2, 1), "EVT*") + 1, "0000"), "")</f>
        <v>EVT-2026-1409</v>
      </c>
      <c r="B1411" s="27">
        <v>2026</v>
      </c>
      <c r="C1411" s="27" t="s">
        <v>107</v>
      </c>
      <c r="D1411" s="30">
        <v>46281</v>
      </c>
      <c r="E1411" s="27" t="s">
        <v>201</v>
      </c>
      <c r="F1411" s="27" t="s">
        <v>126</v>
      </c>
      <c r="G1411" s="27" t="s">
        <v>202</v>
      </c>
      <c r="H1411" s="27" t="s">
        <v>239</v>
      </c>
      <c r="I1411" s="27"/>
      <c r="J1411" s="27" t="s">
        <v>177</v>
      </c>
      <c r="K1411" s="10">
        <v>0</v>
      </c>
      <c r="L1411" s="36" t="s">
        <v>263</v>
      </c>
      <c r="M1411" s="37"/>
      <c r="N1411" s="37"/>
      <c r="O1411" s="27"/>
      <c r="P1411" s="27"/>
      <c r="Q1411" s="27"/>
      <c r="R1411" s="27"/>
      <c r="S1411" s="2" t="s">
        <v>1859</v>
      </c>
      <c r="T1411" s="29" t="s">
        <v>265</v>
      </c>
      <c r="U1411" s="27"/>
      <c r="V1411" s="27"/>
      <c r="W1411" s="27"/>
    </row>
    <row r="1412" spans="1:23" ht="24" customHeight="1">
      <c r="A1412" s="27" t="str">
        <f t="shared" ca="1" si="22"/>
        <v>EVT-2026-1410</v>
      </c>
      <c r="B1412" s="27">
        <v>2026</v>
      </c>
      <c r="C1412" s="27" t="s">
        <v>107</v>
      </c>
      <c r="D1412" s="30">
        <v>46281</v>
      </c>
      <c r="E1412" s="27" t="s">
        <v>201</v>
      </c>
      <c r="F1412" s="27" t="s">
        <v>126</v>
      </c>
      <c r="G1412" s="27" t="s">
        <v>1260</v>
      </c>
      <c r="H1412" s="27" t="s">
        <v>2097</v>
      </c>
      <c r="I1412" s="27" t="s">
        <v>203</v>
      </c>
      <c r="J1412" s="27" t="s">
        <v>134</v>
      </c>
      <c r="K1412" s="10">
        <v>25</v>
      </c>
      <c r="L1412" s="36" t="s">
        <v>263</v>
      </c>
      <c r="M1412" s="37" t="s">
        <v>269</v>
      </c>
      <c r="N1412" s="37" t="s">
        <v>270</v>
      </c>
      <c r="O1412" s="27"/>
      <c r="P1412" s="27"/>
      <c r="Q1412" s="27"/>
      <c r="R1412" s="27" t="s">
        <v>1688</v>
      </c>
      <c r="S1412" s="2" t="s">
        <v>1859</v>
      </c>
      <c r="T1412" s="29" t="s">
        <v>265</v>
      </c>
      <c r="U1412" s="30">
        <v>46218</v>
      </c>
      <c r="V1412" s="27" t="s">
        <v>2030</v>
      </c>
      <c r="W1412" s="27" t="s">
        <v>1497</v>
      </c>
    </row>
    <row r="1413" spans="1:23" ht="24" customHeight="1">
      <c r="A1413" s="27" t="str">
        <f t="shared" ca="1" si="22"/>
        <v>EVT-2026-1411</v>
      </c>
      <c r="B1413" s="27">
        <v>2026</v>
      </c>
      <c r="C1413" s="27" t="s">
        <v>107</v>
      </c>
      <c r="D1413" s="30">
        <v>46281</v>
      </c>
      <c r="E1413" s="27" t="s">
        <v>201</v>
      </c>
      <c r="F1413" s="27" t="s">
        <v>126</v>
      </c>
      <c r="G1413" s="27" t="s">
        <v>208</v>
      </c>
      <c r="H1413" s="27" t="s">
        <v>1366</v>
      </c>
      <c r="I1413" s="27" t="s">
        <v>217</v>
      </c>
      <c r="J1413" s="27" t="s">
        <v>145</v>
      </c>
      <c r="K1413" s="10">
        <v>50</v>
      </c>
      <c r="L1413" s="36" t="s">
        <v>263</v>
      </c>
      <c r="M1413" s="37" t="s">
        <v>309</v>
      </c>
      <c r="N1413" s="37" t="s">
        <v>296</v>
      </c>
      <c r="O1413" s="27"/>
      <c r="P1413" s="27"/>
      <c r="Q1413" s="27" t="s">
        <v>1080</v>
      </c>
      <c r="R1413" s="27"/>
      <c r="S1413" s="2" t="s">
        <v>1859</v>
      </c>
      <c r="T1413" s="29" t="s">
        <v>265</v>
      </c>
      <c r="U1413" s="27"/>
      <c r="V1413" s="27"/>
      <c r="W1413" s="27" t="s">
        <v>298</v>
      </c>
    </row>
    <row r="1414" spans="1:23" ht="24" customHeight="1">
      <c r="A1414" s="27" t="str">
        <f t="shared" ca="1" si="22"/>
        <v>EVT-2026-1412</v>
      </c>
      <c r="B1414" s="27">
        <v>2026</v>
      </c>
      <c r="C1414" s="27" t="s">
        <v>107</v>
      </c>
      <c r="D1414" s="30">
        <v>46282</v>
      </c>
      <c r="E1414" s="27" t="s">
        <v>216</v>
      </c>
      <c r="F1414" s="27" t="s">
        <v>126</v>
      </c>
      <c r="G1414" s="27"/>
      <c r="H1414" s="27"/>
      <c r="I1414" s="27"/>
      <c r="J1414" s="27" t="s">
        <v>177</v>
      </c>
      <c r="K1414" s="10">
        <v>0</v>
      </c>
      <c r="L1414" s="36" t="s">
        <v>263</v>
      </c>
      <c r="M1414" s="37"/>
      <c r="N1414" s="37"/>
      <c r="O1414" s="27"/>
      <c r="P1414" s="27"/>
      <c r="Q1414" s="27"/>
      <c r="R1414" s="27"/>
      <c r="S1414" s="2" t="s">
        <v>1859</v>
      </c>
      <c r="T1414" s="29" t="s">
        <v>265</v>
      </c>
      <c r="U1414" s="27"/>
      <c r="V1414" s="27"/>
      <c r="W1414" s="27"/>
    </row>
    <row r="1415" spans="1:23" ht="24" customHeight="1">
      <c r="A1415" s="27" t="str">
        <f t="shared" ca="1" si="22"/>
        <v>EVT-2026-1413</v>
      </c>
      <c r="B1415" s="27">
        <v>2026</v>
      </c>
      <c r="C1415" s="27" t="s">
        <v>107</v>
      </c>
      <c r="D1415" s="30">
        <v>46282</v>
      </c>
      <c r="E1415" s="27" t="s">
        <v>216</v>
      </c>
      <c r="F1415" s="27" t="s">
        <v>126</v>
      </c>
      <c r="G1415" s="27" t="s">
        <v>1260</v>
      </c>
      <c r="H1415" s="27" t="s">
        <v>2097</v>
      </c>
      <c r="I1415" s="27" t="s">
        <v>203</v>
      </c>
      <c r="J1415" s="27" t="s">
        <v>134</v>
      </c>
      <c r="K1415" s="10">
        <v>0</v>
      </c>
      <c r="L1415" s="36" t="s">
        <v>263</v>
      </c>
      <c r="M1415" s="37" t="s">
        <v>269</v>
      </c>
      <c r="N1415" s="37" t="s">
        <v>270</v>
      </c>
      <c r="O1415" s="27"/>
      <c r="P1415" s="27"/>
      <c r="Q1415" s="27"/>
      <c r="R1415" s="27" t="s">
        <v>1688</v>
      </c>
      <c r="S1415" s="2" t="s">
        <v>1859</v>
      </c>
      <c r="T1415" s="29" t="s">
        <v>265</v>
      </c>
      <c r="U1415" s="30">
        <v>46218</v>
      </c>
      <c r="V1415" s="27" t="s">
        <v>2030</v>
      </c>
      <c r="W1415" s="27" t="s">
        <v>1497</v>
      </c>
    </row>
    <row r="1416" spans="1:23" ht="24" customHeight="1">
      <c r="A1416" s="27" t="str">
        <f t="shared" ca="1" si="22"/>
        <v>EVT-2026-1414</v>
      </c>
      <c r="B1416" s="27">
        <v>2026</v>
      </c>
      <c r="C1416" s="27" t="s">
        <v>107</v>
      </c>
      <c r="D1416" s="30">
        <v>46282</v>
      </c>
      <c r="E1416" s="27" t="s">
        <v>216</v>
      </c>
      <c r="F1416" s="27" t="s">
        <v>126</v>
      </c>
      <c r="G1416" s="27" t="s">
        <v>228</v>
      </c>
      <c r="H1416" s="27" t="s">
        <v>125</v>
      </c>
      <c r="I1416" s="27" t="s">
        <v>1132</v>
      </c>
      <c r="J1416" s="27" t="s">
        <v>152</v>
      </c>
      <c r="K1416" s="10">
        <v>0</v>
      </c>
      <c r="L1416" s="36" t="s">
        <v>263</v>
      </c>
      <c r="M1416" s="37" t="s">
        <v>359</v>
      </c>
      <c r="N1416" s="37" t="s">
        <v>290</v>
      </c>
      <c r="O1416" s="27"/>
      <c r="P1416" s="27"/>
      <c r="Q1416" s="27" t="s">
        <v>367</v>
      </c>
      <c r="R1416" s="27"/>
      <c r="S1416" s="2" t="s">
        <v>1859</v>
      </c>
      <c r="T1416" s="29" t="s">
        <v>265</v>
      </c>
      <c r="U1416" s="27"/>
      <c r="V1416" s="27" t="s">
        <v>2099</v>
      </c>
      <c r="W1416" s="27" t="s">
        <v>298</v>
      </c>
    </row>
    <row r="1417" spans="1:23" ht="24" customHeight="1">
      <c r="A1417" s="27" t="str">
        <f t="shared" ca="1" si="22"/>
        <v>EVT-2026-1415</v>
      </c>
      <c r="B1417" s="27">
        <v>2026</v>
      </c>
      <c r="C1417" s="27" t="s">
        <v>107</v>
      </c>
      <c r="D1417" s="30">
        <v>46282</v>
      </c>
      <c r="E1417" s="27" t="s">
        <v>216</v>
      </c>
      <c r="F1417" s="27" t="s">
        <v>126</v>
      </c>
      <c r="G1417" s="27" t="s">
        <v>208</v>
      </c>
      <c r="H1417" s="27" t="s">
        <v>1366</v>
      </c>
      <c r="I1417" s="27" t="s">
        <v>217</v>
      </c>
      <c r="J1417" s="27" t="s">
        <v>145</v>
      </c>
      <c r="K1417" s="10">
        <v>50</v>
      </c>
      <c r="L1417" s="36" t="s">
        <v>263</v>
      </c>
      <c r="M1417" s="37" t="s">
        <v>309</v>
      </c>
      <c r="N1417" s="37" t="s">
        <v>296</v>
      </c>
      <c r="O1417" s="27"/>
      <c r="P1417" s="27"/>
      <c r="Q1417" s="27" t="s">
        <v>1080</v>
      </c>
      <c r="R1417" s="27"/>
      <c r="S1417" s="2" t="s">
        <v>1859</v>
      </c>
      <c r="T1417" s="29" t="s">
        <v>265</v>
      </c>
      <c r="U1417" s="27"/>
      <c r="V1417" s="27"/>
      <c r="W1417" s="27" t="s">
        <v>298</v>
      </c>
    </row>
    <row r="1418" spans="1:23" ht="24" customHeight="1">
      <c r="A1418" s="27" t="str">
        <f t="shared" ca="1" si="22"/>
        <v>EVT-2026-1416</v>
      </c>
      <c r="B1418" s="27">
        <v>2026</v>
      </c>
      <c r="C1418" s="27" t="s">
        <v>107</v>
      </c>
      <c r="D1418" s="30">
        <v>46282</v>
      </c>
      <c r="E1418" s="27" t="s">
        <v>216</v>
      </c>
      <c r="F1418" s="27" t="s">
        <v>126</v>
      </c>
      <c r="G1418" s="27" t="s">
        <v>228</v>
      </c>
      <c r="H1418" s="27" t="s">
        <v>125</v>
      </c>
      <c r="I1418" s="27" t="s">
        <v>2100</v>
      </c>
      <c r="J1418" s="27" t="s">
        <v>134</v>
      </c>
      <c r="K1418" s="10">
        <v>40</v>
      </c>
      <c r="L1418" s="36" t="s">
        <v>263</v>
      </c>
      <c r="M1418" s="37" t="s">
        <v>350</v>
      </c>
      <c r="N1418" s="37" t="s">
        <v>295</v>
      </c>
      <c r="O1418" s="27" t="s">
        <v>369</v>
      </c>
      <c r="P1418" s="27" t="s">
        <v>369</v>
      </c>
      <c r="Q1418" s="27" t="s">
        <v>2101</v>
      </c>
      <c r="R1418" s="27" t="s">
        <v>2102</v>
      </c>
      <c r="S1418" s="1" t="s">
        <v>264</v>
      </c>
      <c r="T1418" s="29" t="s">
        <v>265</v>
      </c>
      <c r="U1418" s="30">
        <v>46253</v>
      </c>
      <c r="V1418" s="27" t="s">
        <v>1673</v>
      </c>
      <c r="W1418" s="27" t="s">
        <v>1846</v>
      </c>
    </row>
    <row r="1419" spans="1:23" ht="24" customHeight="1">
      <c r="A1419" s="27" t="str">
        <f t="shared" ca="1" si="22"/>
        <v>EVT-2026-1417</v>
      </c>
      <c r="B1419" s="27">
        <v>2026</v>
      </c>
      <c r="C1419" s="27" t="s">
        <v>107</v>
      </c>
      <c r="D1419" s="30">
        <v>46283</v>
      </c>
      <c r="E1419" s="27" t="s">
        <v>220</v>
      </c>
      <c r="F1419" s="27" t="s">
        <v>126</v>
      </c>
      <c r="G1419" s="27" t="s">
        <v>1260</v>
      </c>
      <c r="H1419" s="27" t="s">
        <v>2097</v>
      </c>
      <c r="I1419" s="27" t="s">
        <v>203</v>
      </c>
      <c r="J1419" s="27" t="s">
        <v>134</v>
      </c>
      <c r="K1419" s="10">
        <v>25</v>
      </c>
      <c r="L1419" s="36" t="s">
        <v>263</v>
      </c>
      <c r="M1419" s="37" t="s">
        <v>269</v>
      </c>
      <c r="N1419" s="37" t="s">
        <v>270</v>
      </c>
      <c r="O1419" s="27"/>
      <c r="P1419" s="27"/>
      <c r="Q1419" s="27"/>
      <c r="R1419" s="27" t="s">
        <v>1688</v>
      </c>
      <c r="S1419" s="2" t="s">
        <v>1859</v>
      </c>
      <c r="T1419" s="29" t="s">
        <v>265</v>
      </c>
      <c r="U1419" s="30">
        <v>46218</v>
      </c>
      <c r="V1419" s="27" t="s">
        <v>2030</v>
      </c>
      <c r="W1419" s="27" t="s">
        <v>1497</v>
      </c>
    </row>
    <row r="1420" spans="1:23" ht="24" customHeight="1">
      <c r="A1420" s="27" t="str">
        <f t="shared" ca="1" si="22"/>
        <v>EVT-2026-1418</v>
      </c>
      <c r="B1420" s="27">
        <v>2026</v>
      </c>
      <c r="C1420" s="27" t="s">
        <v>107</v>
      </c>
      <c r="D1420" s="30">
        <v>46283</v>
      </c>
      <c r="E1420" s="27" t="s">
        <v>220</v>
      </c>
      <c r="F1420" s="27" t="s">
        <v>126</v>
      </c>
      <c r="G1420" s="27" t="s">
        <v>202</v>
      </c>
      <c r="H1420" s="27"/>
      <c r="I1420" s="27" t="s">
        <v>203</v>
      </c>
      <c r="J1420" s="27" t="s">
        <v>134</v>
      </c>
      <c r="K1420" s="10">
        <v>55</v>
      </c>
      <c r="L1420" s="36" t="s">
        <v>263</v>
      </c>
      <c r="M1420" s="37" t="s">
        <v>269</v>
      </c>
      <c r="N1420" s="37" t="s">
        <v>270</v>
      </c>
      <c r="O1420" s="27"/>
      <c r="P1420" s="27"/>
      <c r="Q1420" s="27"/>
      <c r="R1420" s="27" t="s">
        <v>1688</v>
      </c>
      <c r="S1420" s="2" t="s">
        <v>1859</v>
      </c>
      <c r="T1420" s="29" t="s">
        <v>265</v>
      </c>
      <c r="U1420" s="30">
        <v>46218</v>
      </c>
      <c r="V1420" s="27" t="s">
        <v>2030</v>
      </c>
      <c r="W1420" s="27" t="s">
        <v>1497</v>
      </c>
    </row>
    <row r="1421" spans="1:23" ht="24" customHeight="1">
      <c r="A1421" s="27" t="str">
        <f t="shared" ca="1" si="22"/>
        <v>EVT-2026-1419</v>
      </c>
      <c r="B1421" s="27">
        <v>2026</v>
      </c>
      <c r="C1421" s="27" t="s">
        <v>107</v>
      </c>
      <c r="D1421" s="30">
        <v>46284</v>
      </c>
      <c r="E1421" s="27" t="s">
        <v>266</v>
      </c>
      <c r="F1421" s="27" t="s">
        <v>126</v>
      </c>
      <c r="G1421" s="27"/>
      <c r="H1421" s="27"/>
      <c r="I1421" s="27"/>
      <c r="J1421" s="27" t="s">
        <v>177</v>
      </c>
      <c r="K1421" s="10">
        <v>0</v>
      </c>
      <c r="L1421" s="36" t="s">
        <v>263</v>
      </c>
      <c r="M1421" s="37"/>
      <c r="N1421" s="37"/>
      <c r="O1421" s="27"/>
      <c r="P1421" s="27"/>
      <c r="Q1421" s="27"/>
      <c r="R1421" s="27"/>
      <c r="S1421" s="2" t="s">
        <v>1859</v>
      </c>
      <c r="T1421" s="29" t="s">
        <v>265</v>
      </c>
      <c r="U1421" s="27"/>
      <c r="V1421" s="27"/>
      <c r="W1421" s="27"/>
    </row>
    <row r="1422" spans="1:23" ht="24" customHeight="1">
      <c r="A1422" s="27" t="str">
        <f t="shared" ca="1" si="22"/>
        <v>EVT-2026-1420</v>
      </c>
      <c r="B1422" s="27">
        <v>2026</v>
      </c>
      <c r="C1422" s="27" t="s">
        <v>107</v>
      </c>
      <c r="D1422" s="30">
        <v>46285</v>
      </c>
      <c r="E1422" s="27" t="s">
        <v>267</v>
      </c>
      <c r="F1422" s="27" t="s">
        <v>126</v>
      </c>
      <c r="G1422" s="27"/>
      <c r="H1422" s="27"/>
      <c r="I1422" s="27"/>
      <c r="J1422" s="27" t="s">
        <v>177</v>
      </c>
      <c r="K1422" s="10">
        <v>0</v>
      </c>
      <c r="L1422" s="36" t="s">
        <v>263</v>
      </c>
      <c r="M1422" s="37"/>
      <c r="N1422" s="37"/>
      <c r="O1422" s="27"/>
      <c r="P1422" s="27"/>
      <c r="Q1422" s="27"/>
      <c r="R1422" s="27"/>
      <c r="S1422" s="2" t="s">
        <v>1859</v>
      </c>
      <c r="T1422" s="29" t="s">
        <v>265</v>
      </c>
      <c r="U1422" s="27"/>
      <c r="V1422" s="27"/>
      <c r="W1422" s="27"/>
    </row>
    <row r="1423" spans="1:23" ht="24" customHeight="1">
      <c r="A1423" s="27" t="str">
        <f t="shared" ca="1" si="22"/>
        <v>EVT-2026-1421</v>
      </c>
      <c r="B1423" s="27">
        <v>2026</v>
      </c>
      <c r="C1423" s="27" t="s">
        <v>107</v>
      </c>
      <c r="D1423" s="30">
        <v>46286</v>
      </c>
      <c r="E1423" s="27" t="s">
        <v>224</v>
      </c>
      <c r="F1423" s="27" t="s">
        <v>126</v>
      </c>
      <c r="G1423" s="27" t="s">
        <v>228</v>
      </c>
      <c r="H1423" s="27" t="s">
        <v>125</v>
      </c>
      <c r="I1423" s="27" t="s">
        <v>203</v>
      </c>
      <c r="J1423" s="27" t="s">
        <v>134</v>
      </c>
      <c r="K1423" s="10">
        <v>50</v>
      </c>
      <c r="L1423" s="36" t="s">
        <v>263</v>
      </c>
      <c r="M1423" s="37" t="s">
        <v>269</v>
      </c>
      <c r="N1423" s="37" t="s">
        <v>270</v>
      </c>
      <c r="O1423" s="27"/>
      <c r="P1423" s="27"/>
      <c r="Q1423" s="27" t="s">
        <v>351</v>
      </c>
      <c r="R1423" s="27" t="s">
        <v>1688</v>
      </c>
      <c r="S1423" s="2" t="s">
        <v>1859</v>
      </c>
      <c r="T1423" s="29" t="s">
        <v>265</v>
      </c>
      <c r="U1423" s="27"/>
      <c r="V1423" s="27"/>
      <c r="W1423" s="27"/>
    </row>
    <row r="1424" spans="1:23" ht="24" customHeight="1">
      <c r="A1424" s="27" t="str">
        <f t="shared" ca="1" si="22"/>
        <v>EVT-2026-1422</v>
      </c>
      <c r="B1424" s="27">
        <v>2026</v>
      </c>
      <c r="C1424" s="27" t="s">
        <v>107</v>
      </c>
      <c r="D1424" s="30">
        <v>46286</v>
      </c>
      <c r="E1424" s="27" t="s">
        <v>224</v>
      </c>
      <c r="F1424" s="27" t="s">
        <v>126</v>
      </c>
      <c r="G1424" s="27" t="s">
        <v>202</v>
      </c>
      <c r="H1424" s="27" t="s">
        <v>736</v>
      </c>
      <c r="I1424" s="27" t="s">
        <v>203</v>
      </c>
      <c r="J1424" s="27" t="s">
        <v>134</v>
      </c>
      <c r="K1424" s="10">
        <v>55</v>
      </c>
      <c r="L1424" s="36" t="s">
        <v>263</v>
      </c>
      <c r="M1424" s="37" t="s">
        <v>269</v>
      </c>
      <c r="N1424" s="37" t="s">
        <v>270</v>
      </c>
      <c r="O1424" s="27"/>
      <c r="P1424" s="27"/>
      <c r="Q1424" s="27" t="s">
        <v>351</v>
      </c>
      <c r="R1424" s="27" t="s">
        <v>1688</v>
      </c>
      <c r="S1424" s="2" t="s">
        <v>1859</v>
      </c>
      <c r="T1424" s="29" t="s">
        <v>265</v>
      </c>
      <c r="U1424" s="30">
        <v>46218</v>
      </c>
      <c r="V1424" s="27" t="s">
        <v>2030</v>
      </c>
      <c r="W1424" s="27" t="s">
        <v>1497</v>
      </c>
    </row>
    <row r="1425" spans="1:23" ht="24" customHeight="1">
      <c r="A1425" s="27" t="str">
        <f t="shared" ca="1" si="22"/>
        <v>EVT-2026-1423</v>
      </c>
      <c r="B1425" s="27">
        <v>2026</v>
      </c>
      <c r="C1425" s="27" t="s">
        <v>107</v>
      </c>
      <c r="D1425" s="30">
        <v>46286</v>
      </c>
      <c r="E1425" s="27" t="s">
        <v>224</v>
      </c>
      <c r="F1425" s="27" t="s">
        <v>126</v>
      </c>
      <c r="G1425" s="27" t="s">
        <v>1260</v>
      </c>
      <c r="H1425" s="27" t="s">
        <v>2097</v>
      </c>
      <c r="I1425" s="27" t="s">
        <v>203</v>
      </c>
      <c r="J1425" s="27" t="s">
        <v>134</v>
      </c>
      <c r="K1425" s="10">
        <v>25</v>
      </c>
      <c r="L1425" s="36" t="s">
        <v>263</v>
      </c>
      <c r="M1425" s="37" t="s">
        <v>269</v>
      </c>
      <c r="N1425" s="37" t="s">
        <v>270</v>
      </c>
      <c r="O1425" s="27"/>
      <c r="P1425" s="27"/>
      <c r="Q1425" s="27" t="s">
        <v>351</v>
      </c>
      <c r="R1425" s="27" t="s">
        <v>1688</v>
      </c>
      <c r="S1425" s="2" t="s">
        <v>1859</v>
      </c>
      <c r="T1425" s="29" t="s">
        <v>265</v>
      </c>
      <c r="U1425" s="30">
        <v>46218</v>
      </c>
      <c r="V1425" s="27" t="s">
        <v>2030</v>
      </c>
      <c r="W1425" s="27" t="s">
        <v>1497</v>
      </c>
    </row>
    <row r="1426" spans="1:23" ht="24" customHeight="1">
      <c r="A1426" s="27" t="str">
        <f t="shared" ca="1" si="22"/>
        <v>EVT-2026-1424</v>
      </c>
      <c r="B1426" s="27">
        <v>2026</v>
      </c>
      <c r="C1426" s="27" t="s">
        <v>107</v>
      </c>
      <c r="D1426" s="30">
        <v>46287</v>
      </c>
      <c r="E1426" s="27" t="s">
        <v>227</v>
      </c>
      <c r="F1426" s="27" t="s">
        <v>126</v>
      </c>
      <c r="G1426" s="27" t="s">
        <v>1260</v>
      </c>
      <c r="H1426" s="27" t="s">
        <v>2097</v>
      </c>
      <c r="I1426" s="27" t="s">
        <v>203</v>
      </c>
      <c r="J1426" s="27" t="s">
        <v>134</v>
      </c>
      <c r="K1426" s="10">
        <v>25</v>
      </c>
      <c r="L1426" s="36" t="s">
        <v>263</v>
      </c>
      <c r="M1426" s="37" t="s">
        <v>269</v>
      </c>
      <c r="N1426" s="37" t="s">
        <v>270</v>
      </c>
      <c r="O1426" s="27"/>
      <c r="P1426" s="27"/>
      <c r="Q1426" s="27" t="s">
        <v>351</v>
      </c>
      <c r="R1426" s="27" t="s">
        <v>1688</v>
      </c>
      <c r="S1426" s="2" t="s">
        <v>1859</v>
      </c>
      <c r="T1426" s="29" t="s">
        <v>265</v>
      </c>
      <c r="U1426" s="30">
        <v>46218</v>
      </c>
      <c r="V1426" s="27" t="s">
        <v>2030</v>
      </c>
      <c r="W1426" s="27" t="s">
        <v>1497</v>
      </c>
    </row>
    <row r="1427" spans="1:23" ht="24" customHeight="1">
      <c r="A1427" s="27" t="str">
        <f t="shared" ca="1" si="22"/>
        <v>EVT-2026-1425</v>
      </c>
      <c r="B1427" s="27">
        <v>2026</v>
      </c>
      <c r="C1427" s="27" t="s">
        <v>107</v>
      </c>
      <c r="D1427" s="30">
        <v>46287</v>
      </c>
      <c r="E1427" s="27" t="s">
        <v>227</v>
      </c>
      <c r="F1427" s="27" t="s">
        <v>126</v>
      </c>
      <c r="G1427" s="27" t="s">
        <v>202</v>
      </c>
      <c r="H1427" s="27" t="s">
        <v>736</v>
      </c>
      <c r="I1427" s="27" t="s">
        <v>203</v>
      </c>
      <c r="J1427" s="27" t="s">
        <v>134</v>
      </c>
      <c r="K1427" s="10">
        <v>55</v>
      </c>
      <c r="L1427" s="36" t="s">
        <v>263</v>
      </c>
      <c r="M1427" s="37" t="s">
        <v>269</v>
      </c>
      <c r="N1427" s="37" t="s">
        <v>270</v>
      </c>
      <c r="O1427" s="27"/>
      <c r="P1427" s="27"/>
      <c r="Q1427" s="27" t="s">
        <v>351</v>
      </c>
      <c r="R1427" s="27" t="s">
        <v>1688</v>
      </c>
      <c r="S1427" s="2" t="s">
        <v>1859</v>
      </c>
      <c r="T1427" s="29" t="s">
        <v>265</v>
      </c>
      <c r="U1427" s="30">
        <v>46218</v>
      </c>
      <c r="V1427" s="27" t="s">
        <v>2030</v>
      </c>
      <c r="W1427" s="27" t="s">
        <v>1497</v>
      </c>
    </row>
    <row r="1428" spans="1:23" ht="24" customHeight="1">
      <c r="A1428" s="27" t="str">
        <f t="shared" ca="1" si="22"/>
        <v>EVT-2026-1426</v>
      </c>
      <c r="B1428" s="27">
        <v>2026</v>
      </c>
      <c r="C1428" s="27" t="s">
        <v>107</v>
      </c>
      <c r="D1428" s="30">
        <v>46287</v>
      </c>
      <c r="E1428" s="27" t="s">
        <v>227</v>
      </c>
      <c r="F1428" s="27" t="s">
        <v>126</v>
      </c>
      <c r="G1428" s="27" t="s">
        <v>208</v>
      </c>
      <c r="H1428" s="27" t="s">
        <v>1366</v>
      </c>
      <c r="I1428" s="27" t="s">
        <v>217</v>
      </c>
      <c r="J1428" s="27" t="s">
        <v>145</v>
      </c>
      <c r="K1428" s="10">
        <v>50</v>
      </c>
      <c r="L1428" s="36" t="s">
        <v>263</v>
      </c>
      <c r="M1428" s="37" t="s">
        <v>309</v>
      </c>
      <c r="N1428" s="37" t="s">
        <v>296</v>
      </c>
      <c r="O1428" s="27"/>
      <c r="P1428" s="27"/>
      <c r="Q1428" s="27" t="s">
        <v>1510</v>
      </c>
      <c r="R1428" s="27"/>
      <c r="S1428" s="2" t="s">
        <v>1859</v>
      </c>
      <c r="T1428" s="29" t="s">
        <v>265</v>
      </c>
      <c r="U1428" s="27"/>
      <c r="V1428" s="27"/>
      <c r="W1428" s="27" t="s">
        <v>298</v>
      </c>
    </row>
    <row r="1429" spans="1:23" ht="24" customHeight="1">
      <c r="A1429" s="27" t="str">
        <f t="shared" ca="1" si="22"/>
        <v>EVT-2026-1427</v>
      </c>
      <c r="B1429" s="27">
        <v>2026</v>
      </c>
      <c r="C1429" s="27" t="s">
        <v>107</v>
      </c>
      <c r="D1429" s="30">
        <v>46288</v>
      </c>
      <c r="E1429" s="27" t="s">
        <v>201</v>
      </c>
      <c r="F1429" s="27" t="s">
        <v>126</v>
      </c>
      <c r="G1429" s="27" t="s">
        <v>1260</v>
      </c>
      <c r="H1429" s="27" t="s">
        <v>2097</v>
      </c>
      <c r="I1429" s="27" t="s">
        <v>203</v>
      </c>
      <c r="J1429" s="27" t="s">
        <v>134</v>
      </c>
      <c r="K1429" s="10">
        <v>25</v>
      </c>
      <c r="L1429" s="36" t="s">
        <v>263</v>
      </c>
      <c r="M1429" s="37" t="s">
        <v>269</v>
      </c>
      <c r="N1429" s="37" t="s">
        <v>270</v>
      </c>
      <c r="O1429" s="27"/>
      <c r="P1429" s="27"/>
      <c r="Q1429" s="27"/>
      <c r="R1429" s="27" t="s">
        <v>1688</v>
      </c>
      <c r="S1429" s="2" t="s">
        <v>1859</v>
      </c>
      <c r="T1429" s="29" t="s">
        <v>265</v>
      </c>
      <c r="U1429" s="30">
        <v>46218</v>
      </c>
      <c r="V1429" s="27" t="s">
        <v>2030</v>
      </c>
      <c r="W1429" s="27" t="s">
        <v>1497</v>
      </c>
    </row>
    <row r="1430" spans="1:23" ht="24" customHeight="1">
      <c r="A1430" s="27" t="str">
        <f t="shared" ca="1" si="22"/>
        <v>EVT-2026-1428</v>
      </c>
      <c r="B1430" s="27">
        <v>2026</v>
      </c>
      <c r="C1430" s="27" t="s">
        <v>107</v>
      </c>
      <c r="D1430" s="30">
        <v>46288</v>
      </c>
      <c r="E1430" s="27" t="s">
        <v>201</v>
      </c>
      <c r="F1430" s="27" t="s">
        <v>126</v>
      </c>
      <c r="G1430" s="27" t="s">
        <v>202</v>
      </c>
      <c r="H1430" s="27" t="s">
        <v>736</v>
      </c>
      <c r="I1430" s="27" t="s">
        <v>203</v>
      </c>
      <c r="J1430" s="27" t="s">
        <v>134</v>
      </c>
      <c r="K1430" s="10">
        <v>55</v>
      </c>
      <c r="L1430" s="36" t="s">
        <v>263</v>
      </c>
      <c r="M1430" s="37" t="s">
        <v>269</v>
      </c>
      <c r="N1430" s="37" t="s">
        <v>270</v>
      </c>
      <c r="O1430" s="27"/>
      <c r="P1430" s="27"/>
      <c r="Q1430" s="27"/>
      <c r="R1430" s="27" t="s">
        <v>1688</v>
      </c>
      <c r="S1430" s="2" t="s">
        <v>1859</v>
      </c>
      <c r="T1430" s="29" t="s">
        <v>265</v>
      </c>
      <c r="U1430" s="30">
        <v>46218</v>
      </c>
      <c r="V1430" s="27" t="s">
        <v>2030</v>
      </c>
      <c r="W1430" s="27" t="s">
        <v>1497</v>
      </c>
    </row>
    <row r="1431" spans="1:23" ht="24" customHeight="1">
      <c r="A1431" s="27" t="str">
        <f t="shared" ca="1" si="22"/>
        <v>EVT-2026-1429</v>
      </c>
      <c r="B1431" s="27">
        <v>2026</v>
      </c>
      <c r="C1431" s="27" t="s">
        <v>107</v>
      </c>
      <c r="D1431" s="30">
        <v>46288</v>
      </c>
      <c r="E1431" s="27" t="s">
        <v>201</v>
      </c>
      <c r="F1431" s="27" t="s">
        <v>126</v>
      </c>
      <c r="G1431" s="27" t="s">
        <v>208</v>
      </c>
      <c r="H1431" s="27" t="s">
        <v>1366</v>
      </c>
      <c r="I1431" s="27" t="s">
        <v>217</v>
      </c>
      <c r="J1431" s="27" t="s">
        <v>145</v>
      </c>
      <c r="K1431" s="10">
        <v>50</v>
      </c>
      <c r="L1431" s="36" t="s">
        <v>263</v>
      </c>
      <c r="M1431" s="37" t="s">
        <v>309</v>
      </c>
      <c r="N1431" s="37" t="s">
        <v>296</v>
      </c>
      <c r="O1431" s="27"/>
      <c r="P1431" s="27"/>
      <c r="Q1431" s="27" t="s">
        <v>1510</v>
      </c>
      <c r="R1431" s="27"/>
      <c r="S1431" s="2" t="s">
        <v>1859</v>
      </c>
      <c r="T1431" s="29" t="s">
        <v>265</v>
      </c>
      <c r="U1431" s="27"/>
      <c r="V1431" s="27"/>
      <c r="W1431" s="27" t="s">
        <v>298</v>
      </c>
    </row>
    <row r="1432" spans="1:23" ht="24" customHeight="1">
      <c r="A1432" s="27" t="str">
        <f t="shared" ca="1" si="22"/>
        <v>EVT-2026-1430</v>
      </c>
      <c r="B1432" s="27">
        <v>2026</v>
      </c>
      <c r="C1432" s="27" t="s">
        <v>107</v>
      </c>
      <c r="D1432" s="30">
        <v>46289</v>
      </c>
      <c r="E1432" s="27" t="s">
        <v>216</v>
      </c>
      <c r="F1432" s="27" t="s">
        <v>126</v>
      </c>
      <c r="G1432" s="27" t="s">
        <v>202</v>
      </c>
      <c r="H1432" s="27" t="s">
        <v>736</v>
      </c>
      <c r="I1432" s="27" t="s">
        <v>203</v>
      </c>
      <c r="J1432" s="27" t="s">
        <v>134</v>
      </c>
      <c r="K1432" s="10">
        <v>55</v>
      </c>
      <c r="L1432" s="36" t="s">
        <v>263</v>
      </c>
      <c r="M1432" s="37" t="s">
        <v>269</v>
      </c>
      <c r="N1432" s="37" t="s">
        <v>270</v>
      </c>
      <c r="O1432" s="27"/>
      <c r="P1432" s="27"/>
      <c r="Q1432" s="27"/>
      <c r="R1432" s="27" t="s">
        <v>1688</v>
      </c>
      <c r="S1432" s="2" t="s">
        <v>1859</v>
      </c>
      <c r="T1432" s="29" t="s">
        <v>265</v>
      </c>
      <c r="U1432" s="30">
        <v>46218</v>
      </c>
      <c r="V1432" s="27" t="s">
        <v>2030</v>
      </c>
      <c r="W1432" s="27" t="s">
        <v>1497</v>
      </c>
    </row>
    <row r="1433" spans="1:23" ht="24" customHeight="1">
      <c r="A1433" s="27" t="str">
        <f t="shared" ca="1" si="22"/>
        <v>EVT-2026-1431</v>
      </c>
      <c r="B1433" s="27">
        <v>2026</v>
      </c>
      <c r="C1433" s="27" t="s">
        <v>107</v>
      </c>
      <c r="D1433" s="30">
        <v>46289</v>
      </c>
      <c r="E1433" s="27" t="s">
        <v>216</v>
      </c>
      <c r="F1433" s="27" t="s">
        <v>126</v>
      </c>
      <c r="G1433" s="27" t="s">
        <v>1260</v>
      </c>
      <c r="H1433" s="27" t="s">
        <v>2097</v>
      </c>
      <c r="I1433" s="27" t="s">
        <v>203</v>
      </c>
      <c r="J1433" s="27" t="s">
        <v>134</v>
      </c>
      <c r="K1433" s="10">
        <v>25</v>
      </c>
      <c r="L1433" s="36" t="s">
        <v>263</v>
      </c>
      <c r="M1433" s="37" t="s">
        <v>269</v>
      </c>
      <c r="N1433" s="37" t="s">
        <v>270</v>
      </c>
      <c r="O1433" s="27"/>
      <c r="P1433" s="27"/>
      <c r="Q1433" s="27"/>
      <c r="R1433" s="27" t="s">
        <v>1688</v>
      </c>
      <c r="S1433" s="2" t="s">
        <v>1859</v>
      </c>
      <c r="T1433" s="29" t="s">
        <v>265</v>
      </c>
      <c r="U1433" s="30">
        <v>46218</v>
      </c>
      <c r="V1433" s="27" t="s">
        <v>2030</v>
      </c>
      <c r="W1433" s="27" t="s">
        <v>1497</v>
      </c>
    </row>
    <row r="1434" spans="1:23" ht="24" customHeight="1">
      <c r="A1434" s="27" t="str">
        <f t="shared" ca="1" si="22"/>
        <v>EVT-2026-1432</v>
      </c>
      <c r="B1434" s="27">
        <v>2026</v>
      </c>
      <c r="C1434" s="27" t="s">
        <v>107</v>
      </c>
      <c r="D1434" s="30">
        <v>46289</v>
      </c>
      <c r="E1434" s="27" t="s">
        <v>216</v>
      </c>
      <c r="F1434" s="27" t="s">
        <v>126</v>
      </c>
      <c r="G1434" s="27" t="s">
        <v>228</v>
      </c>
      <c r="H1434" s="27" t="s">
        <v>125</v>
      </c>
      <c r="I1434" s="27" t="s">
        <v>2103</v>
      </c>
      <c r="J1434" s="27" t="s">
        <v>127</v>
      </c>
      <c r="K1434" s="10">
        <v>20</v>
      </c>
      <c r="L1434" s="36" t="s">
        <v>263</v>
      </c>
      <c r="M1434" s="37" t="s">
        <v>315</v>
      </c>
      <c r="N1434" s="37" t="s">
        <v>354</v>
      </c>
      <c r="O1434" s="27" t="s">
        <v>1445</v>
      </c>
      <c r="P1434" s="27" t="s">
        <v>1670</v>
      </c>
      <c r="Q1434" s="27" t="s">
        <v>367</v>
      </c>
      <c r="R1434" s="27" t="s">
        <v>2093</v>
      </c>
      <c r="S1434" s="2" t="s">
        <v>1859</v>
      </c>
      <c r="T1434" s="29" t="s">
        <v>265</v>
      </c>
      <c r="U1434" s="30">
        <v>46238</v>
      </c>
      <c r="V1434" s="27" t="s">
        <v>2104</v>
      </c>
      <c r="W1434" s="27" t="s">
        <v>1497</v>
      </c>
    </row>
    <row r="1435" spans="1:23" ht="24" customHeight="1">
      <c r="A1435" s="27" t="str">
        <f t="shared" ca="1" si="22"/>
        <v>EVT-2026-1433</v>
      </c>
      <c r="B1435" s="27">
        <v>2026</v>
      </c>
      <c r="C1435" s="27" t="s">
        <v>107</v>
      </c>
      <c r="D1435" s="30">
        <v>46289</v>
      </c>
      <c r="E1435" s="27" t="s">
        <v>216</v>
      </c>
      <c r="F1435" s="27" t="s">
        <v>126</v>
      </c>
      <c r="G1435" s="27" t="s">
        <v>228</v>
      </c>
      <c r="H1435" s="27" t="s">
        <v>125</v>
      </c>
      <c r="I1435" s="27" t="s">
        <v>658</v>
      </c>
      <c r="J1435" s="27" t="s">
        <v>152</v>
      </c>
      <c r="K1435" s="10">
        <v>60</v>
      </c>
      <c r="L1435" s="36" t="s">
        <v>263</v>
      </c>
      <c r="M1435" s="37" t="s">
        <v>295</v>
      </c>
      <c r="N1435" s="37" t="s">
        <v>270</v>
      </c>
      <c r="O1435" s="27"/>
      <c r="P1435" s="27"/>
      <c r="Q1435" s="27" t="s">
        <v>1163</v>
      </c>
      <c r="R1435" s="27"/>
      <c r="S1435" s="2" t="s">
        <v>1859</v>
      </c>
      <c r="T1435" s="29" t="s">
        <v>265</v>
      </c>
      <c r="U1435" s="27"/>
      <c r="V1435" s="27" t="s">
        <v>321</v>
      </c>
      <c r="W1435" s="27"/>
    </row>
    <row r="1436" spans="1:23" ht="24" customHeight="1">
      <c r="A1436" s="27" t="str">
        <f t="shared" ca="1" si="22"/>
        <v>EVT-2026-1434</v>
      </c>
      <c r="B1436" s="27">
        <v>2026</v>
      </c>
      <c r="C1436" s="27" t="s">
        <v>107</v>
      </c>
      <c r="D1436" s="30">
        <v>46289</v>
      </c>
      <c r="E1436" s="27" t="s">
        <v>216</v>
      </c>
      <c r="F1436" s="27" t="s">
        <v>126</v>
      </c>
      <c r="G1436" s="27" t="s">
        <v>208</v>
      </c>
      <c r="H1436" s="27" t="s">
        <v>1366</v>
      </c>
      <c r="I1436" s="27" t="s">
        <v>217</v>
      </c>
      <c r="J1436" s="27" t="s">
        <v>145</v>
      </c>
      <c r="K1436" s="10">
        <v>50</v>
      </c>
      <c r="L1436" s="36" t="s">
        <v>263</v>
      </c>
      <c r="M1436" s="37" t="s">
        <v>309</v>
      </c>
      <c r="N1436" s="37" t="s">
        <v>296</v>
      </c>
      <c r="O1436" s="27"/>
      <c r="P1436" s="27"/>
      <c r="Q1436" s="27" t="s">
        <v>1510</v>
      </c>
      <c r="R1436" s="27"/>
      <c r="S1436" s="2" t="s">
        <v>1859</v>
      </c>
      <c r="T1436" s="29" t="s">
        <v>265</v>
      </c>
      <c r="U1436" s="27"/>
      <c r="V1436" s="27" t="s">
        <v>298</v>
      </c>
      <c r="W1436" s="27"/>
    </row>
    <row r="1437" spans="1:23" ht="24" customHeight="1">
      <c r="A1437" s="27" t="str">
        <f t="shared" ca="1" si="22"/>
        <v>EVT-2026-1435</v>
      </c>
      <c r="B1437" s="27">
        <v>2026</v>
      </c>
      <c r="C1437" s="27" t="s">
        <v>107</v>
      </c>
      <c r="D1437" s="30">
        <v>46290</v>
      </c>
      <c r="E1437" s="27" t="s">
        <v>220</v>
      </c>
      <c r="F1437" s="27" t="s">
        <v>126</v>
      </c>
      <c r="G1437" s="27" t="s">
        <v>1260</v>
      </c>
      <c r="H1437" s="27" t="s">
        <v>2097</v>
      </c>
      <c r="I1437" s="27" t="s">
        <v>203</v>
      </c>
      <c r="J1437" s="27" t="s">
        <v>134</v>
      </c>
      <c r="K1437" s="10">
        <v>25</v>
      </c>
      <c r="L1437" s="36" t="s">
        <v>263</v>
      </c>
      <c r="M1437" s="37" t="s">
        <v>269</v>
      </c>
      <c r="N1437" s="37" t="s">
        <v>270</v>
      </c>
      <c r="O1437" s="27"/>
      <c r="P1437" s="27"/>
      <c r="Q1437" s="27" t="s">
        <v>351</v>
      </c>
      <c r="R1437" s="27" t="s">
        <v>1688</v>
      </c>
      <c r="S1437" s="2" t="s">
        <v>1859</v>
      </c>
      <c r="T1437" s="29" t="s">
        <v>265</v>
      </c>
      <c r="U1437" s="30">
        <v>46218</v>
      </c>
      <c r="V1437" s="27" t="s">
        <v>2030</v>
      </c>
      <c r="W1437" s="27" t="s">
        <v>1497</v>
      </c>
    </row>
    <row r="1438" spans="1:23" ht="24" customHeight="1">
      <c r="A1438" s="27" t="str">
        <f t="shared" ca="1" si="22"/>
        <v>EVT-2026-1436</v>
      </c>
      <c r="B1438" s="27">
        <v>2026</v>
      </c>
      <c r="C1438" s="27" t="s">
        <v>107</v>
      </c>
      <c r="D1438" s="30">
        <v>46290</v>
      </c>
      <c r="E1438" s="27" t="s">
        <v>220</v>
      </c>
      <c r="F1438" s="27" t="s">
        <v>126</v>
      </c>
      <c r="G1438" s="27" t="s">
        <v>202</v>
      </c>
      <c r="H1438" s="27" t="s">
        <v>1366</v>
      </c>
      <c r="I1438" s="27" t="s">
        <v>344</v>
      </c>
      <c r="J1438" s="27" t="s">
        <v>134</v>
      </c>
      <c r="K1438" s="10">
        <v>60</v>
      </c>
      <c r="L1438" s="36" t="s">
        <v>263</v>
      </c>
      <c r="M1438" s="37" t="s">
        <v>289</v>
      </c>
      <c r="N1438" s="37" t="s">
        <v>296</v>
      </c>
      <c r="O1438" s="27"/>
      <c r="P1438" s="27"/>
      <c r="Q1438" s="27" t="s">
        <v>379</v>
      </c>
      <c r="R1438" s="27" t="s">
        <v>1645</v>
      </c>
      <c r="S1438" s="2" t="s">
        <v>1859</v>
      </c>
      <c r="T1438" s="29" t="s">
        <v>265</v>
      </c>
      <c r="U1438" s="27"/>
      <c r="V1438" s="27"/>
      <c r="W1438" s="27" t="s">
        <v>2105</v>
      </c>
    </row>
    <row r="1439" spans="1:23" ht="24" customHeight="1">
      <c r="A1439" s="27" t="str">
        <f t="shared" ca="1" si="22"/>
        <v>EVT-2026-1437</v>
      </c>
      <c r="B1439" s="27">
        <v>2026</v>
      </c>
      <c r="C1439" s="27" t="s">
        <v>107</v>
      </c>
      <c r="D1439" s="30">
        <v>46290</v>
      </c>
      <c r="E1439" s="27" t="s">
        <v>220</v>
      </c>
      <c r="F1439" s="27" t="s">
        <v>126</v>
      </c>
      <c r="G1439" s="27" t="s">
        <v>202</v>
      </c>
      <c r="H1439" s="27" t="s">
        <v>736</v>
      </c>
      <c r="I1439" s="27" t="s">
        <v>203</v>
      </c>
      <c r="J1439" s="27" t="s">
        <v>134</v>
      </c>
      <c r="K1439" s="10">
        <v>55</v>
      </c>
      <c r="L1439" s="36" t="s">
        <v>263</v>
      </c>
      <c r="M1439" s="37" t="s">
        <v>269</v>
      </c>
      <c r="N1439" s="37" t="s">
        <v>270</v>
      </c>
      <c r="O1439" s="27"/>
      <c r="P1439" s="27"/>
      <c r="Q1439" s="27" t="s">
        <v>351</v>
      </c>
      <c r="R1439" s="27" t="s">
        <v>1688</v>
      </c>
      <c r="S1439" s="2" t="s">
        <v>1859</v>
      </c>
      <c r="T1439" s="29" t="s">
        <v>265</v>
      </c>
      <c r="U1439" s="30">
        <v>46218</v>
      </c>
      <c r="V1439" s="27" t="s">
        <v>2030</v>
      </c>
      <c r="W1439" s="27" t="s">
        <v>1497</v>
      </c>
    </row>
    <row r="1440" spans="1:23" ht="24" customHeight="1">
      <c r="A1440" s="27" t="str">
        <f t="shared" ca="1" si="22"/>
        <v>EVT-2026-1438</v>
      </c>
      <c r="B1440" s="27">
        <v>2026</v>
      </c>
      <c r="C1440" s="27" t="s">
        <v>107</v>
      </c>
      <c r="D1440" s="30">
        <v>46290</v>
      </c>
      <c r="E1440" s="27" t="s">
        <v>220</v>
      </c>
      <c r="F1440" s="27" t="s">
        <v>126</v>
      </c>
      <c r="G1440" s="27" t="s">
        <v>228</v>
      </c>
      <c r="H1440" s="27" t="s">
        <v>125</v>
      </c>
      <c r="I1440" s="27" t="s">
        <v>2051</v>
      </c>
      <c r="J1440" s="27" t="s">
        <v>177</v>
      </c>
      <c r="K1440" s="10">
        <v>60</v>
      </c>
      <c r="L1440" s="36" t="s">
        <v>263</v>
      </c>
      <c r="M1440" s="37" t="s">
        <v>350</v>
      </c>
      <c r="N1440" s="37" t="s">
        <v>295</v>
      </c>
      <c r="O1440" s="27" t="s">
        <v>1445</v>
      </c>
      <c r="P1440" s="27" t="s">
        <v>1670</v>
      </c>
      <c r="Q1440" s="27" t="s">
        <v>379</v>
      </c>
      <c r="R1440" s="27" t="s">
        <v>1645</v>
      </c>
      <c r="S1440" s="2" t="s">
        <v>1859</v>
      </c>
      <c r="T1440" s="29" t="s">
        <v>265</v>
      </c>
      <c r="U1440" s="30">
        <v>46234</v>
      </c>
      <c r="V1440" s="27" t="s">
        <v>2106</v>
      </c>
      <c r="W1440" s="27" t="s">
        <v>1497</v>
      </c>
    </row>
    <row r="1441" spans="1:23" ht="24" customHeight="1">
      <c r="A1441" s="27" t="str">
        <f t="shared" ca="1" si="22"/>
        <v>EVT-2026-1439</v>
      </c>
      <c r="B1441" s="27">
        <v>2026</v>
      </c>
      <c r="C1441" s="27" t="s">
        <v>107</v>
      </c>
      <c r="D1441" s="30">
        <v>46290</v>
      </c>
      <c r="E1441" s="27" t="s">
        <v>220</v>
      </c>
      <c r="F1441" s="27" t="s">
        <v>126</v>
      </c>
      <c r="G1441" s="27" t="s">
        <v>228</v>
      </c>
      <c r="H1441" s="27" t="s">
        <v>125</v>
      </c>
      <c r="I1441" s="27" t="s">
        <v>353</v>
      </c>
      <c r="J1441" s="27" t="s">
        <v>127</v>
      </c>
      <c r="K1441" s="10">
        <v>0</v>
      </c>
      <c r="L1441" s="36" t="s">
        <v>263</v>
      </c>
      <c r="M1441" s="37" t="s">
        <v>295</v>
      </c>
      <c r="N1441" s="37" t="s">
        <v>296</v>
      </c>
      <c r="O1441" s="27"/>
      <c r="P1441" s="27"/>
      <c r="Q1441" s="27" t="s">
        <v>425</v>
      </c>
      <c r="R1441" s="27"/>
      <c r="S1441" s="2" t="s">
        <v>1859</v>
      </c>
      <c r="T1441" s="29" t="s">
        <v>265</v>
      </c>
      <c r="U1441" s="27"/>
      <c r="V1441" s="27"/>
      <c r="W1441" s="27" t="s">
        <v>2030</v>
      </c>
    </row>
    <row r="1442" spans="1:23" ht="24" customHeight="1">
      <c r="A1442" s="27" t="str">
        <f t="shared" ca="1" si="22"/>
        <v>EVT-2026-1440</v>
      </c>
      <c r="B1442" s="27">
        <v>2026</v>
      </c>
      <c r="C1442" s="27" t="s">
        <v>107</v>
      </c>
      <c r="D1442" s="30">
        <v>46290</v>
      </c>
      <c r="E1442" s="27" t="s">
        <v>220</v>
      </c>
      <c r="F1442" s="27" t="s">
        <v>126</v>
      </c>
      <c r="G1442" s="27" t="s">
        <v>228</v>
      </c>
      <c r="H1442" s="27" t="s">
        <v>125</v>
      </c>
      <c r="I1442" s="27" t="s">
        <v>2094</v>
      </c>
      <c r="J1442" s="27" t="s">
        <v>177</v>
      </c>
      <c r="K1442" s="10">
        <v>100</v>
      </c>
      <c r="L1442" s="38" t="s">
        <v>294</v>
      </c>
      <c r="M1442" s="37" t="s">
        <v>274</v>
      </c>
      <c r="N1442" s="37" t="s">
        <v>553</v>
      </c>
      <c r="O1442" s="27" t="s">
        <v>2095</v>
      </c>
      <c r="P1442" s="27" t="s">
        <v>1670</v>
      </c>
      <c r="Q1442" s="27" t="s">
        <v>335</v>
      </c>
      <c r="R1442" s="27" t="s">
        <v>1759</v>
      </c>
      <c r="S1442" s="2" t="s">
        <v>1859</v>
      </c>
      <c r="T1442" s="29" t="s">
        <v>265</v>
      </c>
      <c r="U1442" s="30">
        <v>46253</v>
      </c>
      <c r="V1442" s="27" t="s">
        <v>1313</v>
      </c>
      <c r="W1442" s="27" t="s">
        <v>1846</v>
      </c>
    </row>
    <row r="1443" spans="1:23" ht="24" customHeight="1">
      <c r="A1443" s="27" t="str">
        <f t="shared" ca="1" si="22"/>
        <v>EVT-2026-1441</v>
      </c>
      <c r="B1443" s="27">
        <v>2026</v>
      </c>
      <c r="C1443" s="27" t="s">
        <v>107</v>
      </c>
      <c r="D1443" s="30">
        <v>46291</v>
      </c>
      <c r="E1443" s="27" t="s">
        <v>266</v>
      </c>
      <c r="F1443" s="27" t="s">
        <v>126</v>
      </c>
      <c r="G1443" s="27"/>
      <c r="H1443" s="27"/>
      <c r="I1443" s="27"/>
      <c r="J1443" s="27" t="s">
        <v>177</v>
      </c>
      <c r="K1443" s="10">
        <v>0</v>
      </c>
      <c r="L1443" s="36" t="s">
        <v>263</v>
      </c>
      <c r="M1443" s="37"/>
      <c r="N1443" s="37"/>
      <c r="O1443" s="27"/>
      <c r="P1443" s="27"/>
      <c r="Q1443" s="27"/>
      <c r="R1443" s="27"/>
      <c r="S1443" s="2" t="s">
        <v>1859</v>
      </c>
      <c r="T1443" s="29" t="s">
        <v>265</v>
      </c>
      <c r="U1443" s="27"/>
      <c r="V1443" s="27"/>
      <c r="W1443" s="27"/>
    </row>
    <row r="1444" spans="1:23" ht="24" customHeight="1">
      <c r="A1444" s="27" t="str">
        <f t="shared" ca="1" si="22"/>
        <v>EVT-2026-1442</v>
      </c>
      <c r="B1444" s="27">
        <v>2026</v>
      </c>
      <c r="C1444" s="27" t="s">
        <v>107</v>
      </c>
      <c r="D1444" s="30">
        <v>46292</v>
      </c>
      <c r="E1444" s="27" t="s">
        <v>267</v>
      </c>
      <c r="F1444" s="27" t="s">
        <v>126</v>
      </c>
      <c r="G1444" s="27"/>
      <c r="H1444" s="27"/>
      <c r="I1444" s="27"/>
      <c r="J1444" s="27" t="s">
        <v>177</v>
      </c>
      <c r="K1444" s="10">
        <v>0</v>
      </c>
      <c r="L1444" s="36" t="s">
        <v>263</v>
      </c>
      <c r="M1444" s="37"/>
      <c r="N1444" s="37"/>
      <c r="O1444" s="27"/>
      <c r="P1444" s="27"/>
      <c r="Q1444" s="27"/>
      <c r="R1444" s="27"/>
      <c r="S1444" s="2" t="s">
        <v>1859</v>
      </c>
      <c r="T1444" s="29" t="s">
        <v>265</v>
      </c>
      <c r="U1444" s="27"/>
      <c r="V1444" s="27"/>
      <c r="W1444" s="27"/>
    </row>
    <row r="1445" spans="1:23" ht="24" customHeight="1">
      <c r="A1445" s="27" t="str">
        <f t="shared" ca="1" si="22"/>
        <v>EVT-2026-1443</v>
      </c>
      <c r="B1445" s="27">
        <v>2026</v>
      </c>
      <c r="C1445" s="27" t="s">
        <v>107</v>
      </c>
      <c r="D1445" s="30">
        <v>46293</v>
      </c>
      <c r="E1445" s="27" t="s">
        <v>224</v>
      </c>
      <c r="F1445" s="27" t="s">
        <v>126</v>
      </c>
      <c r="G1445" s="27" t="s">
        <v>202</v>
      </c>
      <c r="H1445" s="27" t="s">
        <v>736</v>
      </c>
      <c r="I1445" s="27" t="s">
        <v>203</v>
      </c>
      <c r="J1445" s="27" t="s">
        <v>134</v>
      </c>
      <c r="K1445" s="10">
        <v>55</v>
      </c>
      <c r="L1445" s="36" t="s">
        <v>263</v>
      </c>
      <c r="M1445" s="37" t="s">
        <v>269</v>
      </c>
      <c r="N1445" s="37" t="s">
        <v>270</v>
      </c>
      <c r="O1445" s="27"/>
      <c r="P1445" s="27"/>
      <c r="Q1445" s="27"/>
      <c r="R1445" s="27" t="s">
        <v>1688</v>
      </c>
      <c r="S1445" s="2" t="s">
        <v>1859</v>
      </c>
      <c r="T1445" s="29" t="s">
        <v>265</v>
      </c>
      <c r="U1445" s="30">
        <v>46218</v>
      </c>
      <c r="V1445" s="27" t="s">
        <v>2030</v>
      </c>
      <c r="W1445" s="27" t="s">
        <v>1497</v>
      </c>
    </row>
    <row r="1446" spans="1:23" ht="24" customHeight="1">
      <c r="A1446" s="27" t="str">
        <f t="shared" ca="1" si="22"/>
        <v>EVT-2026-1444</v>
      </c>
      <c r="B1446" s="27">
        <v>2026</v>
      </c>
      <c r="C1446" s="27" t="s">
        <v>107</v>
      </c>
      <c r="D1446" s="30">
        <v>46293</v>
      </c>
      <c r="E1446" s="27" t="s">
        <v>224</v>
      </c>
      <c r="F1446" s="27" t="s">
        <v>126</v>
      </c>
      <c r="G1446" s="27" t="s">
        <v>228</v>
      </c>
      <c r="H1446" s="27" t="s">
        <v>125</v>
      </c>
      <c r="I1446" s="27" t="s">
        <v>203</v>
      </c>
      <c r="J1446" s="27" t="s">
        <v>134</v>
      </c>
      <c r="K1446" s="10">
        <v>50</v>
      </c>
      <c r="L1446" s="36" t="s">
        <v>263</v>
      </c>
      <c r="M1446" s="37" t="s">
        <v>269</v>
      </c>
      <c r="N1446" s="37" t="s">
        <v>270</v>
      </c>
      <c r="O1446" s="27"/>
      <c r="P1446" s="27"/>
      <c r="Q1446" s="27"/>
      <c r="R1446" s="27" t="s">
        <v>1688</v>
      </c>
      <c r="S1446" s="2" t="s">
        <v>1859</v>
      </c>
      <c r="T1446" s="29" t="s">
        <v>265</v>
      </c>
      <c r="U1446" s="30">
        <v>46218</v>
      </c>
      <c r="V1446" s="27" t="s">
        <v>2030</v>
      </c>
      <c r="W1446" s="27" t="s">
        <v>1497</v>
      </c>
    </row>
    <row r="1447" spans="1:23" ht="24" customHeight="1">
      <c r="A1447" s="27" t="str">
        <f t="shared" ca="1" si="22"/>
        <v>EVT-2026-1445</v>
      </c>
      <c r="B1447" s="27">
        <v>2026</v>
      </c>
      <c r="C1447" s="27" t="s">
        <v>107</v>
      </c>
      <c r="D1447" s="30">
        <v>46293</v>
      </c>
      <c r="E1447" s="27" t="s">
        <v>224</v>
      </c>
      <c r="F1447" s="27" t="s">
        <v>126</v>
      </c>
      <c r="G1447" s="27" t="s">
        <v>1260</v>
      </c>
      <c r="H1447" s="27" t="s">
        <v>2097</v>
      </c>
      <c r="I1447" s="27" t="s">
        <v>203</v>
      </c>
      <c r="J1447" s="27" t="s">
        <v>134</v>
      </c>
      <c r="K1447" s="10">
        <v>25</v>
      </c>
      <c r="L1447" s="36" t="s">
        <v>263</v>
      </c>
      <c r="M1447" s="37" t="s">
        <v>269</v>
      </c>
      <c r="N1447" s="37" t="s">
        <v>270</v>
      </c>
      <c r="O1447" s="27"/>
      <c r="P1447" s="27"/>
      <c r="Q1447" s="27"/>
      <c r="R1447" s="27" t="s">
        <v>1688</v>
      </c>
      <c r="S1447" s="2" t="s">
        <v>1859</v>
      </c>
      <c r="T1447" s="29" t="s">
        <v>265</v>
      </c>
      <c r="U1447" s="30">
        <v>46218</v>
      </c>
      <c r="V1447" s="27" t="s">
        <v>2030</v>
      </c>
      <c r="W1447" s="27" t="s">
        <v>1497</v>
      </c>
    </row>
    <row r="1448" spans="1:23" ht="24" customHeight="1">
      <c r="A1448" s="27" t="str">
        <f t="shared" ca="1" si="22"/>
        <v>EVT-2026-1446</v>
      </c>
      <c r="B1448" s="27">
        <v>2026</v>
      </c>
      <c r="C1448" s="27" t="s">
        <v>107</v>
      </c>
      <c r="D1448" s="30">
        <v>46293</v>
      </c>
      <c r="E1448" s="27" t="s">
        <v>224</v>
      </c>
      <c r="F1448" s="27" t="s">
        <v>126</v>
      </c>
      <c r="G1448" s="27" t="s">
        <v>202</v>
      </c>
      <c r="H1448" s="27" t="s">
        <v>239</v>
      </c>
      <c r="I1448" s="27" t="s">
        <v>2107</v>
      </c>
      <c r="J1448" s="27" t="s">
        <v>127</v>
      </c>
      <c r="K1448" s="10">
        <v>200</v>
      </c>
      <c r="L1448" s="38" t="s">
        <v>294</v>
      </c>
      <c r="M1448" s="37" t="s">
        <v>506</v>
      </c>
      <c r="N1448" s="37" t="s">
        <v>429</v>
      </c>
      <c r="O1448" s="27" t="s">
        <v>1445</v>
      </c>
      <c r="P1448" s="27" t="s">
        <v>1829</v>
      </c>
      <c r="Q1448" s="27" t="s">
        <v>379</v>
      </c>
      <c r="R1448" s="27" t="s">
        <v>1645</v>
      </c>
      <c r="S1448" s="1" t="s">
        <v>264</v>
      </c>
      <c r="T1448" s="29" t="s">
        <v>265</v>
      </c>
      <c r="U1448" s="30">
        <v>46252</v>
      </c>
      <c r="V1448" s="27" t="s">
        <v>1313</v>
      </c>
      <c r="W1448" s="27" t="s">
        <v>1497</v>
      </c>
    </row>
    <row r="1449" spans="1:23" ht="24" customHeight="1">
      <c r="A1449" s="27" t="str">
        <f t="shared" ca="1" si="22"/>
        <v>EVT-2026-1447</v>
      </c>
      <c r="B1449" s="27">
        <v>2026</v>
      </c>
      <c r="C1449" s="27" t="s">
        <v>107</v>
      </c>
      <c r="D1449" s="30">
        <v>46294</v>
      </c>
      <c r="E1449" s="27" t="s">
        <v>227</v>
      </c>
      <c r="F1449" s="27" t="s">
        <v>126</v>
      </c>
      <c r="G1449" s="27" t="s">
        <v>1260</v>
      </c>
      <c r="H1449" s="27" t="s">
        <v>2097</v>
      </c>
      <c r="I1449" s="27" t="s">
        <v>203</v>
      </c>
      <c r="J1449" s="27" t="s">
        <v>134</v>
      </c>
      <c r="K1449" s="10">
        <v>25</v>
      </c>
      <c r="L1449" s="36" t="s">
        <v>263</v>
      </c>
      <c r="M1449" s="37" t="s">
        <v>269</v>
      </c>
      <c r="N1449" s="37" t="s">
        <v>270</v>
      </c>
      <c r="O1449" s="27"/>
      <c r="P1449" s="27"/>
      <c r="Q1449" s="27"/>
      <c r="R1449" s="27" t="s">
        <v>1688</v>
      </c>
      <c r="S1449" s="2" t="s">
        <v>1859</v>
      </c>
      <c r="T1449" s="29" t="s">
        <v>265</v>
      </c>
      <c r="U1449" s="30">
        <v>46218</v>
      </c>
      <c r="V1449" s="27" t="s">
        <v>2030</v>
      </c>
      <c r="W1449" s="27" t="s">
        <v>1497</v>
      </c>
    </row>
    <row r="1450" spans="1:23" ht="24" customHeight="1">
      <c r="A1450" s="27" t="str">
        <f t="shared" ca="1" si="22"/>
        <v>EVT-2026-1448</v>
      </c>
      <c r="B1450" s="27">
        <v>2026</v>
      </c>
      <c r="C1450" s="27" t="s">
        <v>107</v>
      </c>
      <c r="D1450" s="30">
        <v>46294</v>
      </c>
      <c r="E1450" s="27" t="s">
        <v>227</v>
      </c>
      <c r="F1450" s="27" t="s">
        <v>126</v>
      </c>
      <c r="G1450" s="27" t="s">
        <v>202</v>
      </c>
      <c r="H1450" s="27" t="s">
        <v>736</v>
      </c>
      <c r="I1450" s="27" t="s">
        <v>203</v>
      </c>
      <c r="J1450" s="27" t="s">
        <v>134</v>
      </c>
      <c r="K1450" s="10">
        <v>55</v>
      </c>
      <c r="L1450" s="36" t="s">
        <v>263</v>
      </c>
      <c r="M1450" s="37" t="s">
        <v>269</v>
      </c>
      <c r="N1450" s="37" t="s">
        <v>270</v>
      </c>
      <c r="O1450" s="27"/>
      <c r="P1450" s="27"/>
      <c r="Q1450" s="27"/>
      <c r="R1450" s="27" t="s">
        <v>1688</v>
      </c>
      <c r="S1450" s="2" t="s">
        <v>1859</v>
      </c>
      <c r="T1450" s="29" t="s">
        <v>265</v>
      </c>
      <c r="U1450" s="30">
        <v>46218</v>
      </c>
      <c r="V1450" s="27" t="s">
        <v>2030</v>
      </c>
      <c r="W1450" s="27" t="s">
        <v>1497</v>
      </c>
    </row>
    <row r="1451" spans="1:23" ht="24" customHeight="1">
      <c r="A1451" s="27" t="str">
        <f t="shared" ca="1" si="22"/>
        <v>EVT-2026-1449</v>
      </c>
      <c r="B1451" s="27">
        <v>2026</v>
      </c>
      <c r="C1451" s="27" t="s">
        <v>107</v>
      </c>
      <c r="D1451" s="30">
        <v>46294</v>
      </c>
      <c r="E1451" s="27" t="s">
        <v>227</v>
      </c>
      <c r="F1451" s="27" t="s">
        <v>126</v>
      </c>
      <c r="G1451" s="27" t="s">
        <v>228</v>
      </c>
      <c r="H1451" s="27" t="s">
        <v>2092</v>
      </c>
      <c r="I1451" s="27" t="s">
        <v>2108</v>
      </c>
      <c r="J1451" s="27" t="s">
        <v>127</v>
      </c>
      <c r="K1451" s="10">
        <v>150</v>
      </c>
      <c r="L1451" s="38" t="s">
        <v>294</v>
      </c>
      <c r="M1451" s="37" t="s">
        <v>315</v>
      </c>
      <c r="N1451" s="37" t="s">
        <v>330</v>
      </c>
      <c r="O1451" s="27"/>
      <c r="P1451" s="27"/>
      <c r="Q1451" s="27" t="s">
        <v>378</v>
      </c>
      <c r="R1451" s="27"/>
      <c r="S1451" s="2" t="s">
        <v>1859</v>
      </c>
      <c r="T1451" s="29" t="s">
        <v>265</v>
      </c>
      <c r="U1451" s="27"/>
      <c r="V1451" s="27" t="s">
        <v>2109</v>
      </c>
      <c r="W1451" s="27" t="s">
        <v>298</v>
      </c>
    </row>
    <row r="1452" spans="1:23" ht="24" customHeight="1">
      <c r="A1452" s="27" t="str">
        <f t="shared" ca="1" si="22"/>
        <v>EVT-2026-1450</v>
      </c>
      <c r="B1452" s="27">
        <v>2026</v>
      </c>
      <c r="C1452" s="27" t="s">
        <v>107</v>
      </c>
      <c r="D1452" s="30">
        <v>46294</v>
      </c>
      <c r="E1452" s="27" t="s">
        <v>227</v>
      </c>
      <c r="F1452" s="27" t="s">
        <v>126</v>
      </c>
      <c r="G1452" s="27" t="s">
        <v>208</v>
      </c>
      <c r="H1452" s="27" t="s">
        <v>1366</v>
      </c>
      <c r="I1452" s="27" t="s">
        <v>217</v>
      </c>
      <c r="J1452" s="27" t="s">
        <v>145</v>
      </c>
      <c r="K1452" s="10">
        <v>50</v>
      </c>
      <c r="L1452" s="36" t="s">
        <v>263</v>
      </c>
      <c r="M1452" s="37" t="s">
        <v>309</v>
      </c>
      <c r="N1452" s="37" t="s">
        <v>296</v>
      </c>
      <c r="O1452" s="27"/>
      <c r="P1452" s="27"/>
      <c r="Q1452" s="27" t="s">
        <v>1510</v>
      </c>
      <c r="R1452" s="27"/>
      <c r="S1452" s="2" t="s">
        <v>1859</v>
      </c>
      <c r="T1452" s="29" t="s">
        <v>265</v>
      </c>
      <c r="U1452" s="27"/>
      <c r="V1452" s="27"/>
      <c r="W1452" s="27" t="s">
        <v>298</v>
      </c>
    </row>
    <row r="1453" spans="1:23" ht="24" customHeight="1">
      <c r="A1453" s="27" t="str">
        <f t="shared" ca="1" si="22"/>
        <v>EVT-2026-1451</v>
      </c>
      <c r="B1453" s="27">
        <v>2026</v>
      </c>
      <c r="C1453" s="27" t="s">
        <v>107</v>
      </c>
      <c r="D1453" s="30">
        <v>46295</v>
      </c>
      <c r="E1453" s="27" t="s">
        <v>201</v>
      </c>
      <c r="F1453" s="27" t="s">
        <v>126</v>
      </c>
      <c r="G1453" s="27" t="s">
        <v>202</v>
      </c>
      <c r="H1453" s="27" t="s">
        <v>736</v>
      </c>
      <c r="I1453" s="27" t="s">
        <v>203</v>
      </c>
      <c r="J1453" s="27" t="s">
        <v>134</v>
      </c>
      <c r="K1453" s="10">
        <v>55</v>
      </c>
      <c r="L1453" s="36" t="s">
        <v>263</v>
      </c>
      <c r="M1453" s="37" t="s">
        <v>269</v>
      </c>
      <c r="N1453" s="37" t="s">
        <v>270</v>
      </c>
      <c r="O1453" s="27"/>
      <c r="P1453" s="27"/>
      <c r="Q1453" s="27"/>
      <c r="R1453" s="27" t="s">
        <v>1688</v>
      </c>
      <c r="S1453" s="2" t="s">
        <v>1859</v>
      </c>
      <c r="T1453" s="29" t="s">
        <v>265</v>
      </c>
      <c r="U1453" s="30">
        <v>46218</v>
      </c>
      <c r="V1453" s="27" t="s">
        <v>2030</v>
      </c>
      <c r="W1453" s="27" t="s">
        <v>1497</v>
      </c>
    </row>
    <row r="1454" spans="1:23" ht="24" customHeight="1">
      <c r="A1454" s="27" t="str">
        <f t="shared" ca="1" si="22"/>
        <v>EVT-2026-1452</v>
      </c>
      <c r="B1454" s="27">
        <v>2026</v>
      </c>
      <c r="C1454" s="27" t="s">
        <v>107</v>
      </c>
      <c r="D1454" s="30">
        <v>46295</v>
      </c>
      <c r="E1454" s="27" t="s">
        <v>201</v>
      </c>
      <c r="F1454" s="27" t="s">
        <v>126</v>
      </c>
      <c r="G1454" s="27" t="s">
        <v>1260</v>
      </c>
      <c r="H1454" s="27" t="s">
        <v>2097</v>
      </c>
      <c r="I1454" s="27" t="s">
        <v>203</v>
      </c>
      <c r="J1454" s="27" t="s">
        <v>134</v>
      </c>
      <c r="K1454" s="10">
        <v>25</v>
      </c>
      <c r="L1454" s="36" t="s">
        <v>263</v>
      </c>
      <c r="M1454" s="37" t="s">
        <v>269</v>
      </c>
      <c r="N1454" s="37" t="s">
        <v>270</v>
      </c>
      <c r="O1454" s="27"/>
      <c r="P1454" s="27"/>
      <c r="Q1454" s="27"/>
      <c r="R1454" s="27" t="s">
        <v>1688</v>
      </c>
      <c r="S1454" s="2" t="s">
        <v>1859</v>
      </c>
      <c r="T1454" s="29" t="s">
        <v>265</v>
      </c>
      <c r="U1454" s="30">
        <v>46218</v>
      </c>
      <c r="V1454" s="27" t="s">
        <v>2030</v>
      </c>
      <c r="W1454" s="27" t="s">
        <v>1497</v>
      </c>
    </row>
    <row r="1455" spans="1:23" ht="24" customHeight="1">
      <c r="A1455" s="27" t="str">
        <f t="shared" ca="1" si="22"/>
        <v>EVT-2026-1453</v>
      </c>
      <c r="B1455" s="27">
        <v>2026</v>
      </c>
      <c r="C1455" s="27" t="s">
        <v>107</v>
      </c>
      <c r="D1455" s="30">
        <v>46295</v>
      </c>
      <c r="E1455" s="27" t="s">
        <v>201</v>
      </c>
      <c r="F1455" s="27" t="s">
        <v>126</v>
      </c>
      <c r="G1455" s="27" t="s">
        <v>228</v>
      </c>
      <c r="H1455" s="27" t="s">
        <v>125</v>
      </c>
      <c r="I1455" s="27" t="s">
        <v>2110</v>
      </c>
      <c r="J1455" s="27" t="s">
        <v>177</v>
      </c>
      <c r="K1455" s="10">
        <v>100</v>
      </c>
      <c r="L1455" s="38" t="s">
        <v>294</v>
      </c>
      <c r="M1455" s="37" t="s">
        <v>338</v>
      </c>
      <c r="N1455" s="37" t="s">
        <v>330</v>
      </c>
      <c r="O1455" s="27"/>
      <c r="P1455" s="27"/>
      <c r="Q1455" s="27" t="s">
        <v>2111</v>
      </c>
      <c r="R1455" s="27"/>
      <c r="S1455" s="2" t="s">
        <v>1859</v>
      </c>
      <c r="T1455" s="29" t="s">
        <v>265</v>
      </c>
      <c r="U1455" s="27"/>
      <c r="V1455" s="27" t="s">
        <v>2112</v>
      </c>
      <c r="W1455" s="27" t="s">
        <v>298</v>
      </c>
    </row>
    <row r="1456" spans="1:23" ht="24" customHeight="1">
      <c r="A1456" s="27" t="str">
        <f t="shared" ca="1" si="22"/>
        <v>EVT-2026-1454</v>
      </c>
      <c r="B1456" s="27">
        <v>2026</v>
      </c>
      <c r="C1456" s="27" t="s">
        <v>107</v>
      </c>
      <c r="D1456" s="30">
        <v>46295</v>
      </c>
      <c r="E1456" s="27" t="s">
        <v>201</v>
      </c>
      <c r="F1456" s="27" t="s">
        <v>126</v>
      </c>
      <c r="G1456" s="27" t="s">
        <v>228</v>
      </c>
      <c r="H1456" s="27" t="s">
        <v>125</v>
      </c>
      <c r="I1456" s="27" t="s">
        <v>2113</v>
      </c>
      <c r="J1456" s="27" t="s">
        <v>177</v>
      </c>
      <c r="K1456" s="10">
        <v>110</v>
      </c>
      <c r="L1456" s="38" t="s">
        <v>294</v>
      </c>
      <c r="M1456" s="37" t="s">
        <v>289</v>
      </c>
      <c r="N1456" s="37" t="s">
        <v>296</v>
      </c>
      <c r="O1456" s="27" t="s">
        <v>382</v>
      </c>
      <c r="P1456" s="27" t="s">
        <v>382</v>
      </c>
      <c r="Q1456" s="27" t="s">
        <v>583</v>
      </c>
      <c r="R1456" s="27" t="s">
        <v>1772</v>
      </c>
      <c r="S1456" s="2" t="s">
        <v>1859</v>
      </c>
      <c r="T1456" s="29" t="s">
        <v>265</v>
      </c>
      <c r="U1456" s="30">
        <v>46246</v>
      </c>
      <c r="V1456" s="27" t="s">
        <v>2114</v>
      </c>
      <c r="W1456" s="27" t="s">
        <v>1846</v>
      </c>
    </row>
    <row r="1457" spans="1:23" ht="24" customHeight="1">
      <c r="A1457" s="27" t="str">
        <f t="shared" ca="1" si="22"/>
        <v>EVT-2026-1455</v>
      </c>
      <c r="B1457" s="27">
        <v>2026</v>
      </c>
      <c r="C1457" s="27" t="s">
        <v>107</v>
      </c>
      <c r="D1457" s="30">
        <v>46295</v>
      </c>
      <c r="E1457" s="27" t="s">
        <v>201</v>
      </c>
      <c r="F1457" s="27" t="s">
        <v>126</v>
      </c>
      <c r="G1457" s="27" t="s">
        <v>208</v>
      </c>
      <c r="H1457" s="27" t="s">
        <v>1366</v>
      </c>
      <c r="I1457" s="27" t="s">
        <v>217</v>
      </c>
      <c r="J1457" s="27" t="s">
        <v>145</v>
      </c>
      <c r="K1457" s="10">
        <v>50</v>
      </c>
      <c r="L1457" s="36" t="s">
        <v>263</v>
      </c>
      <c r="M1457" s="37" t="s">
        <v>309</v>
      </c>
      <c r="N1457" s="37" t="s">
        <v>296</v>
      </c>
      <c r="O1457" s="27"/>
      <c r="P1457" s="27"/>
      <c r="Q1457" s="27" t="s">
        <v>1510</v>
      </c>
      <c r="R1457" s="27"/>
      <c r="S1457" s="2" t="s">
        <v>1859</v>
      </c>
      <c r="T1457" s="29" t="s">
        <v>265</v>
      </c>
      <c r="U1457" s="27"/>
      <c r="V1457" s="27"/>
      <c r="W1457" s="27" t="s">
        <v>298</v>
      </c>
    </row>
    <row r="1458" spans="1:23" ht="24" customHeight="1">
      <c r="A1458" s="27" t="str">
        <f t="shared" ca="1" si="22"/>
        <v>EVT-2026-1456</v>
      </c>
      <c r="B1458" s="27">
        <v>2026</v>
      </c>
      <c r="C1458" s="27" t="s">
        <v>108</v>
      </c>
      <c r="D1458" s="30">
        <v>46296</v>
      </c>
      <c r="E1458" s="27" t="s">
        <v>216</v>
      </c>
      <c r="F1458" s="27" t="s">
        <v>164</v>
      </c>
      <c r="G1458" s="27" t="s">
        <v>262</v>
      </c>
      <c r="H1458" s="27" t="s">
        <v>937</v>
      </c>
      <c r="I1458" s="27" t="s">
        <v>1863</v>
      </c>
      <c r="J1458" s="27" t="s">
        <v>134</v>
      </c>
      <c r="K1458" s="10">
        <v>0</v>
      </c>
      <c r="L1458" s="36" t="s">
        <v>263</v>
      </c>
      <c r="M1458" s="37" t="s">
        <v>269</v>
      </c>
      <c r="N1458" s="37" t="s">
        <v>270</v>
      </c>
      <c r="O1458" s="27"/>
      <c r="P1458" s="27"/>
      <c r="Q1458" s="27"/>
      <c r="R1458" s="27"/>
      <c r="S1458" s="2" t="s">
        <v>1859</v>
      </c>
      <c r="T1458" s="29" t="s">
        <v>265</v>
      </c>
      <c r="U1458" s="27"/>
      <c r="V1458" s="27"/>
      <c r="W1458" s="27" t="s">
        <v>2115</v>
      </c>
    </row>
    <row r="1459" spans="1:23" ht="24" customHeight="1">
      <c r="A1459" s="27" t="str">
        <f t="shared" ca="1" si="22"/>
        <v>EVT-2026-1457</v>
      </c>
      <c r="B1459" s="27">
        <v>2026</v>
      </c>
      <c r="C1459" s="27" t="s">
        <v>108</v>
      </c>
      <c r="D1459" s="30">
        <v>46297</v>
      </c>
      <c r="E1459" s="27" t="s">
        <v>220</v>
      </c>
      <c r="F1459" s="27" t="s">
        <v>164</v>
      </c>
      <c r="G1459" s="27" t="s">
        <v>262</v>
      </c>
      <c r="H1459" s="27"/>
      <c r="I1459" s="27"/>
      <c r="J1459" s="27" t="s">
        <v>177</v>
      </c>
      <c r="K1459" s="10">
        <v>0</v>
      </c>
      <c r="L1459" s="36" t="s">
        <v>263</v>
      </c>
      <c r="M1459" s="37"/>
      <c r="N1459" s="37"/>
      <c r="O1459" s="27"/>
      <c r="P1459" s="27"/>
      <c r="Q1459" s="27"/>
      <c r="R1459" s="27"/>
      <c r="S1459" s="2" t="s">
        <v>1859</v>
      </c>
      <c r="T1459" s="29" t="s">
        <v>265</v>
      </c>
      <c r="U1459" s="27"/>
      <c r="V1459" s="27"/>
      <c r="W1459" s="27"/>
    </row>
    <row r="1460" spans="1:23" ht="24" customHeight="1">
      <c r="A1460" s="27" t="str">
        <f t="shared" ca="1" si="22"/>
        <v>EVT-2026-1458</v>
      </c>
      <c r="B1460" s="27">
        <v>2026</v>
      </c>
      <c r="C1460" s="27" t="s">
        <v>108</v>
      </c>
      <c r="D1460" s="30">
        <v>46298</v>
      </c>
      <c r="E1460" s="27" t="s">
        <v>266</v>
      </c>
      <c r="F1460" s="27" t="s">
        <v>164</v>
      </c>
      <c r="G1460" s="27" t="s">
        <v>262</v>
      </c>
      <c r="H1460" s="27"/>
      <c r="I1460" s="27"/>
      <c r="J1460" s="27" t="s">
        <v>177</v>
      </c>
      <c r="K1460" s="10">
        <v>0</v>
      </c>
      <c r="L1460" s="36" t="s">
        <v>263</v>
      </c>
      <c r="M1460" s="37"/>
      <c r="N1460" s="37"/>
      <c r="O1460" s="27"/>
      <c r="P1460" s="27"/>
      <c r="Q1460" s="27"/>
      <c r="R1460" s="27"/>
      <c r="S1460" s="2" t="s">
        <v>1859</v>
      </c>
      <c r="T1460" s="29" t="s">
        <v>265</v>
      </c>
      <c r="U1460" s="27"/>
      <c r="V1460" s="27"/>
      <c r="W1460" s="27"/>
    </row>
    <row r="1461" spans="1:23" ht="24" customHeight="1">
      <c r="A1461" s="27" t="str">
        <f t="shared" ca="1" si="22"/>
        <v>EVT-2026-1459</v>
      </c>
      <c r="B1461" s="27">
        <v>2026</v>
      </c>
      <c r="C1461" s="27" t="s">
        <v>108</v>
      </c>
      <c r="D1461" s="30">
        <v>46299</v>
      </c>
      <c r="E1461" s="27" t="s">
        <v>267</v>
      </c>
      <c r="F1461" s="27" t="s">
        <v>164</v>
      </c>
      <c r="G1461" s="27" t="s">
        <v>262</v>
      </c>
      <c r="H1461" s="27"/>
      <c r="I1461" s="27"/>
      <c r="J1461" s="27" t="s">
        <v>177</v>
      </c>
      <c r="K1461" s="10">
        <v>0</v>
      </c>
      <c r="L1461" s="36" t="s">
        <v>263</v>
      </c>
      <c r="M1461" s="37"/>
      <c r="N1461" s="37"/>
      <c r="O1461" s="27"/>
      <c r="P1461" s="27"/>
      <c r="Q1461" s="27"/>
      <c r="R1461" s="27"/>
      <c r="S1461" s="2" t="s">
        <v>1859</v>
      </c>
      <c r="T1461" s="29" t="s">
        <v>265</v>
      </c>
      <c r="U1461" s="27"/>
      <c r="V1461" s="27"/>
      <c r="W1461" s="27"/>
    </row>
    <row r="1462" spans="1:23" ht="24" customHeight="1">
      <c r="A1462" s="27" t="str">
        <f t="shared" ca="1" si="22"/>
        <v>EVT-2026-1460</v>
      </c>
      <c r="B1462" s="27">
        <v>2026</v>
      </c>
      <c r="C1462" s="27" t="s">
        <v>108</v>
      </c>
      <c r="D1462" s="30">
        <v>46300</v>
      </c>
      <c r="E1462" s="27" t="s">
        <v>224</v>
      </c>
      <c r="F1462" s="27" t="s">
        <v>164</v>
      </c>
      <c r="G1462" s="27" t="s">
        <v>262</v>
      </c>
      <c r="H1462" s="27"/>
      <c r="I1462" s="27"/>
      <c r="J1462" s="27" t="s">
        <v>177</v>
      </c>
      <c r="K1462" s="10">
        <v>0</v>
      </c>
      <c r="L1462" s="36" t="s">
        <v>263</v>
      </c>
      <c r="M1462" s="37"/>
      <c r="N1462" s="37"/>
      <c r="O1462" s="27"/>
      <c r="P1462" s="27"/>
      <c r="Q1462" s="27"/>
      <c r="R1462" s="27"/>
      <c r="S1462" s="2" t="s">
        <v>1859</v>
      </c>
      <c r="T1462" s="29" t="s">
        <v>265</v>
      </c>
      <c r="U1462" s="27"/>
      <c r="V1462" s="27"/>
      <c r="W1462" s="27"/>
    </row>
    <row r="1463" spans="1:23" ht="24" customHeight="1">
      <c r="A1463" s="27" t="str">
        <f t="shared" ca="1" si="22"/>
        <v>EVT-2026-1461</v>
      </c>
      <c r="B1463" s="27">
        <v>2026</v>
      </c>
      <c r="C1463" s="27" t="s">
        <v>108</v>
      </c>
      <c r="D1463" s="30">
        <v>46301</v>
      </c>
      <c r="E1463" s="27" t="s">
        <v>227</v>
      </c>
      <c r="F1463" s="27" t="s">
        <v>164</v>
      </c>
      <c r="G1463" s="27" t="s">
        <v>262</v>
      </c>
      <c r="H1463" s="27"/>
      <c r="I1463" s="27"/>
      <c r="J1463" s="27" t="s">
        <v>177</v>
      </c>
      <c r="K1463" s="10">
        <v>0</v>
      </c>
      <c r="L1463" s="36" t="s">
        <v>263</v>
      </c>
      <c r="M1463" s="37"/>
      <c r="N1463" s="37"/>
      <c r="O1463" s="27"/>
      <c r="P1463" s="27"/>
      <c r="Q1463" s="27"/>
      <c r="R1463" s="27"/>
      <c r="S1463" s="2" t="s">
        <v>1859</v>
      </c>
      <c r="T1463" s="29" t="s">
        <v>265</v>
      </c>
      <c r="U1463" s="27"/>
      <c r="V1463" s="27"/>
      <c r="W1463" s="27"/>
    </row>
    <row r="1464" spans="1:23" ht="24" customHeight="1">
      <c r="A1464" s="27" t="str">
        <f t="shared" ca="1" si="22"/>
        <v>EVT-2026-1462</v>
      </c>
      <c r="B1464" s="27">
        <v>2026</v>
      </c>
      <c r="C1464" s="27" t="s">
        <v>108</v>
      </c>
      <c r="D1464" s="30">
        <v>46302</v>
      </c>
      <c r="E1464" s="27" t="s">
        <v>201</v>
      </c>
      <c r="F1464" s="27" t="s">
        <v>164</v>
      </c>
      <c r="G1464" s="27" t="s">
        <v>262</v>
      </c>
      <c r="H1464" s="27"/>
      <c r="I1464" s="27"/>
      <c r="J1464" s="27" t="s">
        <v>177</v>
      </c>
      <c r="K1464" s="10">
        <v>0</v>
      </c>
      <c r="L1464" s="36" t="s">
        <v>263</v>
      </c>
      <c r="M1464" s="37"/>
      <c r="N1464" s="37"/>
      <c r="O1464" s="27"/>
      <c r="P1464" s="27"/>
      <c r="Q1464" s="27"/>
      <c r="R1464" s="27"/>
      <c r="S1464" s="2" t="s">
        <v>1859</v>
      </c>
      <c r="T1464" s="29" t="s">
        <v>265</v>
      </c>
      <c r="U1464" s="27"/>
      <c r="V1464" s="27"/>
      <c r="W1464" s="27"/>
    </row>
    <row r="1465" spans="1:23" ht="24" customHeight="1">
      <c r="A1465" s="27" t="str">
        <f t="shared" ca="1" si="22"/>
        <v>EVT-2026-1463</v>
      </c>
      <c r="B1465" s="27">
        <v>2026</v>
      </c>
      <c r="C1465" s="27" t="s">
        <v>108</v>
      </c>
      <c r="D1465" s="30">
        <v>46303</v>
      </c>
      <c r="E1465" s="27" t="s">
        <v>216</v>
      </c>
      <c r="F1465" s="27" t="s">
        <v>164</v>
      </c>
      <c r="G1465" s="27" t="s">
        <v>262</v>
      </c>
      <c r="H1465" s="27" t="s">
        <v>2116</v>
      </c>
      <c r="I1465" s="27" t="s">
        <v>2117</v>
      </c>
      <c r="J1465" s="27" t="s">
        <v>134</v>
      </c>
      <c r="K1465" s="10">
        <v>60</v>
      </c>
      <c r="L1465" s="36" t="s">
        <v>263</v>
      </c>
      <c r="M1465" s="37" t="s">
        <v>315</v>
      </c>
      <c r="N1465" s="37" t="s">
        <v>1397</v>
      </c>
      <c r="O1465" s="27" t="s">
        <v>1445</v>
      </c>
      <c r="P1465" s="27" t="s">
        <v>1829</v>
      </c>
      <c r="Q1465" s="27" t="s">
        <v>2118</v>
      </c>
      <c r="R1465" s="27" t="s">
        <v>2118</v>
      </c>
      <c r="S1465" s="2" t="s">
        <v>1859</v>
      </c>
      <c r="T1465" s="29" t="s">
        <v>265</v>
      </c>
      <c r="U1465" s="30">
        <v>46244</v>
      </c>
      <c r="V1465" s="27" t="s">
        <v>1313</v>
      </c>
      <c r="W1465" s="27" t="s">
        <v>1497</v>
      </c>
    </row>
    <row r="1466" spans="1:23" ht="24" customHeight="1">
      <c r="A1466" s="27" t="str">
        <f t="shared" ca="1" si="22"/>
        <v>EVT-2026-1464</v>
      </c>
      <c r="B1466" s="27">
        <v>2026</v>
      </c>
      <c r="C1466" s="27" t="s">
        <v>108</v>
      </c>
      <c r="D1466" s="30">
        <v>46304</v>
      </c>
      <c r="E1466" s="27" t="s">
        <v>220</v>
      </c>
      <c r="F1466" s="27" t="s">
        <v>164</v>
      </c>
      <c r="G1466" s="27" t="s">
        <v>262</v>
      </c>
      <c r="H1466" s="27"/>
      <c r="I1466" s="27"/>
      <c r="J1466" s="27" t="s">
        <v>177</v>
      </c>
      <c r="K1466" s="10">
        <v>0</v>
      </c>
      <c r="L1466" s="36" t="s">
        <v>263</v>
      </c>
      <c r="M1466" s="37"/>
      <c r="N1466" s="37"/>
      <c r="O1466" s="27"/>
      <c r="P1466" s="27"/>
      <c r="Q1466" s="27"/>
      <c r="R1466" s="27"/>
      <c r="S1466" s="2" t="s">
        <v>1859</v>
      </c>
      <c r="T1466" s="29" t="s">
        <v>265</v>
      </c>
      <c r="U1466" s="27"/>
      <c r="V1466" s="27"/>
      <c r="W1466" s="27"/>
    </row>
    <row r="1467" spans="1:23" ht="24" customHeight="1">
      <c r="A1467" s="27" t="str">
        <f t="shared" ca="1" si="22"/>
        <v>EVT-2026-1465</v>
      </c>
      <c r="B1467" s="27">
        <v>2026</v>
      </c>
      <c r="C1467" s="27" t="s">
        <v>108</v>
      </c>
      <c r="D1467" s="30">
        <v>46305</v>
      </c>
      <c r="E1467" s="27" t="s">
        <v>266</v>
      </c>
      <c r="F1467" s="27" t="s">
        <v>164</v>
      </c>
      <c r="G1467" s="27" t="s">
        <v>262</v>
      </c>
      <c r="H1467" s="27"/>
      <c r="I1467" s="27"/>
      <c r="J1467" s="27" t="s">
        <v>177</v>
      </c>
      <c r="K1467" s="10">
        <v>0</v>
      </c>
      <c r="L1467" s="36" t="s">
        <v>263</v>
      </c>
      <c r="M1467" s="37"/>
      <c r="N1467" s="37"/>
      <c r="O1467" s="27"/>
      <c r="P1467" s="27"/>
      <c r="Q1467" s="27"/>
      <c r="R1467" s="27"/>
      <c r="S1467" s="2" t="s">
        <v>1859</v>
      </c>
      <c r="T1467" s="29" t="s">
        <v>265</v>
      </c>
      <c r="U1467" s="27"/>
      <c r="V1467" s="27"/>
      <c r="W1467" s="27"/>
    </row>
    <row r="1468" spans="1:23" ht="24" customHeight="1">
      <c r="A1468" s="27" t="str">
        <f t="shared" ca="1" si="22"/>
        <v>EVT-2026-1466</v>
      </c>
      <c r="B1468" s="27">
        <v>2026</v>
      </c>
      <c r="C1468" s="27" t="s">
        <v>108</v>
      </c>
      <c r="D1468" s="30">
        <v>46306</v>
      </c>
      <c r="E1468" s="27" t="s">
        <v>267</v>
      </c>
      <c r="F1468" s="27" t="s">
        <v>164</v>
      </c>
      <c r="G1468" s="27" t="s">
        <v>262</v>
      </c>
      <c r="H1468" s="27"/>
      <c r="I1468" s="27"/>
      <c r="J1468" s="27" t="s">
        <v>177</v>
      </c>
      <c r="K1468" s="10">
        <v>0</v>
      </c>
      <c r="L1468" s="36" t="s">
        <v>263</v>
      </c>
      <c r="M1468" s="37"/>
      <c r="N1468" s="37"/>
      <c r="O1468" s="27"/>
      <c r="P1468" s="27"/>
      <c r="Q1468" s="27"/>
      <c r="R1468" s="27"/>
      <c r="S1468" s="2" t="s">
        <v>1859</v>
      </c>
      <c r="T1468" s="29" t="s">
        <v>265</v>
      </c>
      <c r="U1468" s="27"/>
      <c r="V1468" s="27"/>
      <c r="W1468" s="27"/>
    </row>
    <row r="1469" spans="1:23" ht="24" customHeight="1">
      <c r="A1469" s="27" t="str">
        <f t="shared" ca="1" si="22"/>
        <v>EVT-2026-1467</v>
      </c>
      <c r="B1469" s="27">
        <v>2026</v>
      </c>
      <c r="C1469" s="27" t="s">
        <v>108</v>
      </c>
      <c r="D1469" s="30">
        <v>46307</v>
      </c>
      <c r="E1469" s="27" t="s">
        <v>224</v>
      </c>
      <c r="F1469" s="27" t="s">
        <v>164</v>
      </c>
      <c r="G1469" s="27" t="s">
        <v>262</v>
      </c>
      <c r="H1469" s="27"/>
      <c r="I1469" s="27"/>
      <c r="J1469" s="27" t="s">
        <v>177</v>
      </c>
      <c r="K1469" s="10">
        <v>0</v>
      </c>
      <c r="L1469" s="36" t="s">
        <v>263</v>
      </c>
      <c r="M1469" s="37"/>
      <c r="N1469" s="37"/>
      <c r="O1469" s="27"/>
      <c r="P1469" s="27"/>
      <c r="Q1469" s="27"/>
      <c r="R1469" s="27"/>
      <c r="S1469" s="2" t="s">
        <v>1859</v>
      </c>
      <c r="T1469" s="29" t="s">
        <v>265</v>
      </c>
      <c r="U1469" s="27"/>
      <c r="V1469" s="27"/>
      <c r="W1469" s="27"/>
    </row>
    <row r="1470" spans="1:23" ht="24" customHeight="1">
      <c r="A1470" s="27" t="str">
        <f t="shared" ca="1" si="22"/>
        <v>EVT-2026-1468</v>
      </c>
      <c r="B1470" s="27">
        <v>2026</v>
      </c>
      <c r="C1470" s="27" t="s">
        <v>108</v>
      </c>
      <c r="D1470" s="30">
        <v>46308</v>
      </c>
      <c r="E1470" s="27" t="s">
        <v>227</v>
      </c>
      <c r="F1470" s="27" t="s">
        <v>164</v>
      </c>
      <c r="G1470" s="27" t="s">
        <v>262</v>
      </c>
      <c r="H1470" s="27" t="s">
        <v>937</v>
      </c>
      <c r="I1470" s="27" t="s">
        <v>2119</v>
      </c>
      <c r="J1470" s="27" t="s">
        <v>177</v>
      </c>
      <c r="K1470" s="10">
        <v>25</v>
      </c>
      <c r="L1470" s="36" t="s">
        <v>263</v>
      </c>
      <c r="M1470" s="37" t="s">
        <v>315</v>
      </c>
      <c r="N1470" s="37" t="s">
        <v>354</v>
      </c>
      <c r="O1470" s="27"/>
      <c r="P1470" s="27"/>
      <c r="Q1470" s="27" t="s">
        <v>1203</v>
      </c>
      <c r="R1470" s="27"/>
      <c r="S1470" s="2" t="s">
        <v>1859</v>
      </c>
      <c r="T1470" s="29" t="s">
        <v>265</v>
      </c>
      <c r="U1470" s="27"/>
      <c r="V1470" s="27"/>
      <c r="W1470" s="27" t="s">
        <v>2120</v>
      </c>
    </row>
    <row r="1471" spans="1:23" ht="24" customHeight="1">
      <c r="A1471" s="27" t="str">
        <f t="shared" ca="1" si="22"/>
        <v>EVT-2026-1469</v>
      </c>
      <c r="B1471" s="27">
        <v>2026</v>
      </c>
      <c r="C1471" s="27" t="s">
        <v>108</v>
      </c>
      <c r="D1471" s="30">
        <v>46309</v>
      </c>
      <c r="E1471" s="27" t="s">
        <v>201</v>
      </c>
      <c r="F1471" s="27" t="s">
        <v>164</v>
      </c>
      <c r="G1471" s="27" t="s">
        <v>262</v>
      </c>
      <c r="H1471" s="27"/>
      <c r="I1471" s="27"/>
      <c r="J1471" s="27" t="s">
        <v>177</v>
      </c>
      <c r="K1471" s="10">
        <v>0</v>
      </c>
      <c r="L1471" s="36" t="s">
        <v>263</v>
      </c>
      <c r="M1471" s="37"/>
      <c r="N1471" s="37"/>
      <c r="O1471" s="27"/>
      <c r="P1471" s="27"/>
      <c r="Q1471" s="27"/>
      <c r="R1471" s="27"/>
      <c r="S1471" s="2" t="s">
        <v>1859</v>
      </c>
      <c r="T1471" s="29" t="s">
        <v>265</v>
      </c>
      <c r="U1471" s="27"/>
      <c r="V1471" s="27"/>
      <c r="W1471" s="27"/>
    </row>
    <row r="1472" spans="1:23" ht="24" customHeight="1">
      <c r="A1472" s="27" t="str">
        <f t="shared" ca="1" si="22"/>
        <v>EVT-2026-1470</v>
      </c>
      <c r="B1472" s="27">
        <v>2026</v>
      </c>
      <c r="C1472" s="27" t="s">
        <v>108</v>
      </c>
      <c r="D1472" s="30">
        <v>46310</v>
      </c>
      <c r="E1472" s="27" t="s">
        <v>216</v>
      </c>
      <c r="F1472" s="27" t="s">
        <v>164</v>
      </c>
      <c r="G1472" s="27" t="s">
        <v>262</v>
      </c>
      <c r="H1472" s="27"/>
      <c r="I1472" s="27"/>
      <c r="J1472" s="27" t="s">
        <v>177</v>
      </c>
      <c r="K1472" s="10">
        <v>0</v>
      </c>
      <c r="L1472" s="36" t="s">
        <v>263</v>
      </c>
      <c r="M1472" s="37"/>
      <c r="N1472" s="37"/>
      <c r="O1472" s="27"/>
      <c r="P1472" s="27"/>
      <c r="Q1472" s="27"/>
      <c r="R1472" s="27"/>
      <c r="S1472" s="2" t="s">
        <v>1859</v>
      </c>
      <c r="T1472" s="29" t="s">
        <v>265</v>
      </c>
      <c r="U1472" s="27"/>
      <c r="V1472" s="27"/>
      <c r="W1472" s="27"/>
    </row>
    <row r="1473" spans="1:23" ht="24" customHeight="1">
      <c r="A1473" s="27" t="str">
        <f t="shared" ca="1" si="22"/>
        <v>EVT-2026-1471</v>
      </c>
      <c r="B1473" s="27">
        <v>2026</v>
      </c>
      <c r="C1473" s="27" t="s">
        <v>108</v>
      </c>
      <c r="D1473" s="30">
        <v>46311</v>
      </c>
      <c r="E1473" s="27" t="s">
        <v>220</v>
      </c>
      <c r="F1473" s="27" t="s">
        <v>164</v>
      </c>
      <c r="G1473" s="27" t="s">
        <v>262</v>
      </c>
      <c r="H1473" s="27"/>
      <c r="I1473" s="27"/>
      <c r="J1473" s="27" t="s">
        <v>177</v>
      </c>
      <c r="K1473" s="10">
        <v>0</v>
      </c>
      <c r="L1473" s="36" t="s">
        <v>263</v>
      </c>
      <c r="M1473" s="37"/>
      <c r="N1473" s="37"/>
      <c r="O1473" s="27"/>
      <c r="P1473" s="27"/>
      <c r="Q1473" s="27"/>
      <c r="R1473" s="27"/>
      <c r="S1473" s="2" t="s">
        <v>1859</v>
      </c>
      <c r="T1473" s="29" t="s">
        <v>265</v>
      </c>
      <c r="U1473" s="27"/>
      <c r="V1473" s="27"/>
      <c r="W1473" s="27"/>
    </row>
    <row r="1474" spans="1:23" ht="24" customHeight="1">
      <c r="A1474" s="27" t="str">
        <f t="shared" ca="1" si="22"/>
        <v>EVT-2026-1472</v>
      </c>
      <c r="B1474" s="27">
        <v>2026</v>
      </c>
      <c r="C1474" s="27" t="s">
        <v>108</v>
      </c>
      <c r="D1474" s="30">
        <v>46312</v>
      </c>
      <c r="E1474" s="27" t="s">
        <v>266</v>
      </c>
      <c r="F1474" s="27" t="s">
        <v>164</v>
      </c>
      <c r="G1474" s="27" t="s">
        <v>262</v>
      </c>
      <c r="H1474" s="27"/>
      <c r="I1474" s="27"/>
      <c r="J1474" s="27" t="s">
        <v>177</v>
      </c>
      <c r="K1474" s="10">
        <v>0</v>
      </c>
      <c r="L1474" s="36" t="s">
        <v>263</v>
      </c>
      <c r="M1474" s="37"/>
      <c r="N1474" s="37"/>
      <c r="O1474" s="27"/>
      <c r="P1474" s="27"/>
      <c r="Q1474" s="27"/>
      <c r="R1474" s="27"/>
      <c r="S1474" s="2" t="s">
        <v>1859</v>
      </c>
      <c r="T1474" s="29" t="s">
        <v>265</v>
      </c>
      <c r="U1474" s="27"/>
      <c r="V1474" s="27"/>
      <c r="W1474" s="27"/>
    </row>
    <row r="1475" spans="1:23" ht="24" customHeight="1">
      <c r="A1475" s="27" t="str">
        <f t="shared" ref="A1475:A1538" ca="1" si="23">IF(OR(D1475&lt;&gt;"",H1475&lt;&gt;"",I1475&lt;&gt;"",Q1475&lt;&gt;"",S1475&lt;&gt;""), "EVT-" &amp; TEXT(B1475, "0000") &amp; "-" &amp; TEXT(COUNTIF(OFFSET($A$1, 1, 0, ROW()-2, 1), "EVT*") + 1, "0000"), "")</f>
        <v>EVT-2026-1473</v>
      </c>
      <c r="B1475" s="27">
        <v>2026</v>
      </c>
      <c r="C1475" s="27" t="s">
        <v>108</v>
      </c>
      <c r="D1475" s="30">
        <v>46313</v>
      </c>
      <c r="E1475" s="27" t="s">
        <v>267</v>
      </c>
      <c r="F1475" s="27" t="s">
        <v>164</v>
      </c>
      <c r="G1475" s="27" t="s">
        <v>262</v>
      </c>
      <c r="H1475" s="27"/>
      <c r="I1475" s="27"/>
      <c r="J1475" s="27" t="s">
        <v>177</v>
      </c>
      <c r="K1475" s="10">
        <v>0</v>
      </c>
      <c r="L1475" s="36" t="s">
        <v>263</v>
      </c>
      <c r="M1475" s="37"/>
      <c r="N1475" s="37"/>
      <c r="O1475" s="27"/>
      <c r="P1475" s="27"/>
      <c r="Q1475" s="27"/>
      <c r="R1475" s="27"/>
      <c r="S1475" s="2" t="s">
        <v>1859</v>
      </c>
      <c r="T1475" s="29" t="s">
        <v>265</v>
      </c>
      <c r="U1475" s="27"/>
      <c r="V1475" s="27"/>
      <c r="W1475" s="27"/>
    </row>
    <row r="1476" spans="1:23" ht="24" customHeight="1">
      <c r="A1476" s="27" t="str">
        <f t="shared" ca="1" si="23"/>
        <v>EVT-2026-1474</v>
      </c>
      <c r="B1476" s="27">
        <v>2026</v>
      </c>
      <c r="C1476" s="27" t="s">
        <v>108</v>
      </c>
      <c r="D1476" s="30">
        <v>46314</v>
      </c>
      <c r="E1476" s="27" t="s">
        <v>224</v>
      </c>
      <c r="F1476" s="27" t="s">
        <v>164</v>
      </c>
      <c r="G1476" s="27" t="s">
        <v>262</v>
      </c>
      <c r="H1476" s="27"/>
      <c r="I1476" s="27"/>
      <c r="J1476" s="27" t="s">
        <v>177</v>
      </c>
      <c r="K1476" s="10">
        <v>0</v>
      </c>
      <c r="L1476" s="36" t="s">
        <v>263</v>
      </c>
      <c r="M1476" s="37"/>
      <c r="N1476" s="37"/>
      <c r="O1476" s="27"/>
      <c r="P1476" s="27"/>
      <c r="Q1476" s="27"/>
      <c r="R1476" s="27"/>
      <c r="S1476" s="2" t="s">
        <v>1859</v>
      </c>
      <c r="T1476" s="29" t="s">
        <v>265</v>
      </c>
      <c r="U1476" s="27"/>
      <c r="V1476" s="27"/>
      <c r="W1476" s="27"/>
    </row>
    <row r="1477" spans="1:23" ht="24" customHeight="1">
      <c r="A1477" s="27" t="str">
        <f t="shared" ca="1" si="23"/>
        <v>EVT-2026-1475</v>
      </c>
      <c r="B1477" s="27">
        <v>2026</v>
      </c>
      <c r="C1477" s="27" t="s">
        <v>108</v>
      </c>
      <c r="D1477" s="30">
        <v>46315</v>
      </c>
      <c r="E1477" s="27" t="s">
        <v>227</v>
      </c>
      <c r="F1477" s="27" t="s">
        <v>164</v>
      </c>
      <c r="G1477" s="27" t="s">
        <v>262</v>
      </c>
      <c r="H1477" s="27"/>
      <c r="I1477" s="27"/>
      <c r="J1477" s="27" t="s">
        <v>177</v>
      </c>
      <c r="K1477" s="10">
        <v>0</v>
      </c>
      <c r="L1477" s="36" t="s">
        <v>263</v>
      </c>
      <c r="M1477" s="37"/>
      <c r="N1477" s="37"/>
      <c r="O1477" s="27"/>
      <c r="P1477" s="27"/>
      <c r="Q1477" s="27"/>
      <c r="R1477" s="27"/>
      <c r="S1477" s="2" t="s">
        <v>1859</v>
      </c>
      <c r="T1477" s="29" t="s">
        <v>265</v>
      </c>
      <c r="U1477" s="27"/>
      <c r="V1477" s="27"/>
      <c r="W1477" s="27"/>
    </row>
    <row r="1478" spans="1:23" ht="24" customHeight="1">
      <c r="A1478" s="27" t="str">
        <f t="shared" ca="1" si="23"/>
        <v>EVT-2026-1476</v>
      </c>
      <c r="B1478" s="27">
        <v>2026</v>
      </c>
      <c r="C1478" s="27" t="s">
        <v>108</v>
      </c>
      <c r="D1478" s="30">
        <v>46316</v>
      </c>
      <c r="E1478" s="27" t="s">
        <v>201</v>
      </c>
      <c r="F1478" s="27" t="s">
        <v>164</v>
      </c>
      <c r="G1478" s="27" t="s">
        <v>262</v>
      </c>
      <c r="H1478" s="27"/>
      <c r="I1478" s="27"/>
      <c r="J1478" s="27" t="s">
        <v>177</v>
      </c>
      <c r="K1478" s="10">
        <v>0</v>
      </c>
      <c r="L1478" s="36" t="s">
        <v>263</v>
      </c>
      <c r="M1478" s="37"/>
      <c r="N1478" s="37"/>
      <c r="O1478" s="27"/>
      <c r="P1478" s="27"/>
      <c r="Q1478" s="27"/>
      <c r="R1478" s="27"/>
      <c r="S1478" s="2" t="s">
        <v>1859</v>
      </c>
      <c r="T1478" s="29" t="s">
        <v>265</v>
      </c>
      <c r="U1478" s="27"/>
      <c r="V1478" s="27"/>
      <c r="W1478" s="27"/>
    </row>
    <row r="1479" spans="1:23" ht="24" customHeight="1">
      <c r="A1479" s="27" t="str">
        <f t="shared" ca="1" si="23"/>
        <v>EVT-2026-1477</v>
      </c>
      <c r="B1479" s="27">
        <v>2026</v>
      </c>
      <c r="C1479" s="27" t="s">
        <v>108</v>
      </c>
      <c r="D1479" s="30">
        <v>46317</v>
      </c>
      <c r="E1479" s="27" t="s">
        <v>216</v>
      </c>
      <c r="F1479" s="27" t="s">
        <v>164</v>
      </c>
      <c r="G1479" s="27" t="s">
        <v>262</v>
      </c>
      <c r="H1479" s="27"/>
      <c r="I1479" s="27"/>
      <c r="J1479" s="27" t="s">
        <v>177</v>
      </c>
      <c r="K1479" s="10">
        <v>0</v>
      </c>
      <c r="L1479" s="36" t="s">
        <v>263</v>
      </c>
      <c r="M1479" s="37"/>
      <c r="N1479" s="37"/>
      <c r="O1479" s="27"/>
      <c r="P1479" s="27"/>
      <c r="Q1479" s="27"/>
      <c r="R1479" s="27"/>
      <c r="S1479" s="2" t="s">
        <v>1859</v>
      </c>
      <c r="T1479" s="29" t="s">
        <v>265</v>
      </c>
      <c r="U1479" s="27"/>
      <c r="V1479" s="27"/>
      <c r="W1479" s="27"/>
    </row>
    <row r="1480" spans="1:23" ht="24" customHeight="1">
      <c r="A1480" s="27" t="str">
        <f t="shared" ca="1" si="23"/>
        <v>EVT-2026-1478</v>
      </c>
      <c r="B1480" s="27">
        <v>2026</v>
      </c>
      <c r="C1480" s="27" t="s">
        <v>108</v>
      </c>
      <c r="D1480" s="30">
        <v>46318</v>
      </c>
      <c r="E1480" s="27" t="s">
        <v>220</v>
      </c>
      <c r="F1480" s="27" t="s">
        <v>164</v>
      </c>
      <c r="G1480" s="27" t="s">
        <v>262</v>
      </c>
      <c r="H1480" s="27"/>
      <c r="I1480" s="27"/>
      <c r="J1480" s="27" t="s">
        <v>177</v>
      </c>
      <c r="K1480" s="10">
        <v>0</v>
      </c>
      <c r="L1480" s="36" t="s">
        <v>263</v>
      </c>
      <c r="M1480" s="37"/>
      <c r="N1480" s="37"/>
      <c r="O1480" s="27"/>
      <c r="P1480" s="27"/>
      <c r="Q1480" s="27"/>
      <c r="R1480" s="27"/>
      <c r="S1480" s="2" t="s">
        <v>1859</v>
      </c>
      <c r="T1480" s="29" t="s">
        <v>265</v>
      </c>
      <c r="U1480" s="27"/>
      <c r="V1480" s="27"/>
      <c r="W1480" s="27"/>
    </row>
    <row r="1481" spans="1:23" ht="24" customHeight="1">
      <c r="A1481" s="27" t="str">
        <f t="shared" ca="1" si="23"/>
        <v>EVT-2026-1479</v>
      </c>
      <c r="B1481" s="27">
        <v>2026</v>
      </c>
      <c r="C1481" s="27" t="s">
        <v>108</v>
      </c>
      <c r="D1481" s="30">
        <v>46319</v>
      </c>
      <c r="E1481" s="27" t="s">
        <v>266</v>
      </c>
      <c r="F1481" s="27" t="s">
        <v>164</v>
      </c>
      <c r="G1481" s="27" t="s">
        <v>262</v>
      </c>
      <c r="H1481" s="27"/>
      <c r="I1481" s="27"/>
      <c r="J1481" s="27" t="s">
        <v>177</v>
      </c>
      <c r="K1481" s="10">
        <v>0</v>
      </c>
      <c r="L1481" s="36" t="s">
        <v>263</v>
      </c>
      <c r="M1481" s="37"/>
      <c r="N1481" s="37"/>
      <c r="O1481" s="27"/>
      <c r="P1481" s="27"/>
      <c r="Q1481" s="27"/>
      <c r="R1481" s="27"/>
      <c r="S1481" s="2" t="s">
        <v>1859</v>
      </c>
      <c r="T1481" s="29" t="s">
        <v>265</v>
      </c>
      <c r="U1481" s="27"/>
      <c r="V1481" s="27"/>
      <c r="W1481" s="27"/>
    </row>
    <row r="1482" spans="1:23" ht="24" customHeight="1">
      <c r="A1482" s="27" t="str">
        <f t="shared" ca="1" si="23"/>
        <v>EVT-2026-1480</v>
      </c>
      <c r="B1482" s="27">
        <v>2026</v>
      </c>
      <c r="C1482" s="27" t="s">
        <v>108</v>
      </c>
      <c r="D1482" s="30">
        <v>46320</v>
      </c>
      <c r="E1482" s="27" t="s">
        <v>267</v>
      </c>
      <c r="F1482" s="27" t="s">
        <v>164</v>
      </c>
      <c r="G1482" s="27" t="s">
        <v>262</v>
      </c>
      <c r="H1482" s="27"/>
      <c r="I1482" s="27"/>
      <c r="J1482" s="27" t="s">
        <v>177</v>
      </c>
      <c r="K1482" s="10">
        <v>0</v>
      </c>
      <c r="L1482" s="36" t="s">
        <v>263</v>
      </c>
      <c r="M1482" s="37"/>
      <c r="N1482" s="37"/>
      <c r="O1482" s="27"/>
      <c r="P1482" s="27"/>
      <c r="Q1482" s="27"/>
      <c r="R1482" s="27"/>
      <c r="S1482" s="2" t="s">
        <v>1859</v>
      </c>
      <c r="T1482" s="29" t="s">
        <v>265</v>
      </c>
      <c r="U1482" s="27"/>
      <c r="V1482" s="27"/>
      <c r="W1482" s="27"/>
    </row>
    <row r="1483" spans="1:23" ht="24" customHeight="1">
      <c r="A1483" s="27" t="str">
        <f t="shared" ca="1" si="23"/>
        <v>EVT-2026-1481</v>
      </c>
      <c r="B1483" s="27">
        <v>2026</v>
      </c>
      <c r="C1483" s="27" t="s">
        <v>108</v>
      </c>
      <c r="D1483" s="30">
        <v>46321</v>
      </c>
      <c r="E1483" s="27" t="s">
        <v>224</v>
      </c>
      <c r="F1483" s="27" t="s">
        <v>164</v>
      </c>
      <c r="G1483" s="27" t="s">
        <v>262</v>
      </c>
      <c r="H1483" s="27"/>
      <c r="I1483" s="27"/>
      <c r="J1483" s="27" t="s">
        <v>177</v>
      </c>
      <c r="K1483" s="10">
        <v>0</v>
      </c>
      <c r="L1483" s="36" t="s">
        <v>263</v>
      </c>
      <c r="M1483" s="37"/>
      <c r="N1483" s="37"/>
      <c r="O1483" s="27"/>
      <c r="P1483" s="27"/>
      <c r="Q1483" s="27"/>
      <c r="R1483" s="27"/>
      <c r="S1483" s="2" t="s">
        <v>1859</v>
      </c>
      <c r="T1483" s="29" t="s">
        <v>265</v>
      </c>
      <c r="U1483" s="27"/>
      <c r="V1483" s="27"/>
      <c r="W1483" s="27"/>
    </row>
    <row r="1484" spans="1:23" ht="24" customHeight="1">
      <c r="A1484" s="27" t="str">
        <f t="shared" ca="1" si="23"/>
        <v>EVT-2026-1482</v>
      </c>
      <c r="B1484" s="27">
        <v>2026</v>
      </c>
      <c r="C1484" s="27" t="s">
        <v>108</v>
      </c>
      <c r="D1484" s="30">
        <v>46322</v>
      </c>
      <c r="E1484" s="27" t="s">
        <v>227</v>
      </c>
      <c r="F1484" s="27" t="s">
        <v>164</v>
      </c>
      <c r="G1484" s="27" t="s">
        <v>262</v>
      </c>
      <c r="H1484" s="27"/>
      <c r="I1484" s="27"/>
      <c r="J1484" s="27" t="s">
        <v>177</v>
      </c>
      <c r="K1484" s="10">
        <v>0</v>
      </c>
      <c r="L1484" s="36" t="s">
        <v>263</v>
      </c>
      <c r="M1484" s="37"/>
      <c r="N1484" s="37"/>
      <c r="O1484" s="27"/>
      <c r="P1484" s="27"/>
      <c r="Q1484" s="27"/>
      <c r="R1484" s="27"/>
      <c r="S1484" s="2" t="s">
        <v>1859</v>
      </c>
      <c r="T1484" s="29" t="s">
        <v>265</v>
      </c>
      <c r="U1484" s="27"/>
      <c r="V1484" s="27"/>
      <c r="W1484" s="27"/>
    </row>
    <row r="1485" spans="1:23" ht="24" customHeight="1">
      <c r="A1485" s="27" t="str">
        <f t="shared" ca="1" si="23"/>
        <v>EVT-2026-1483</v>
      </c>
      <c r="B1485" s="27">
        <v>2026</v>
      </c>
      <c r="C1485" s="27" t="s">
        <v>108</v>
      </c>
      <c r="D1485" s="30">
        <v>46323</v>
      </c>
      <c r="E1485" s="27" t="s">
        <v>201</v>
      </c>
      <c r="F1485" s="27" t="s">
        <v>164</v>
      </c>
      <c r="G1485" s="27" t="s">
        <v>262</v>
      </c>
      <c r="H1485" s="27"/>
      <c r="I1485" s="27"/>
      <c r="J1485" s="27" t="s">
        <v>177</v>
      </c>
      <c r="K1485" s="10">
        <v>0</v>
      </c>
      <c r="L1485" s="36" t="s">
        <v>263</v>
      </c>
      <c r="M1485" s="37"/>
      <c r="N1485" s="37"/>
      <c r="O1485" s="27"/>
      <c r="P1485" s="27"/>
      <c r="Q1485" s="27"/>
      <c r="R1485" s="27"/>
      <c r="S1485" s="2" t="s">
        <v>1859</v>
      </c>
      <c r="T1485" s="29" t="s">
        <v>265</v>
      </c>
      <c r="U1485" s="27"/>
      <c r="V1485" s="27"/>
      <c r="W1485" s="27"/>
    </row>
    <row r="1486" spans="1:23" ht="24" customHeight="1">
      <c r="A1486" s="27" t="str">
        <f t="shared" ca="1" si="23"/>
        <v>EVT-2026-1484</v>
      </c>
      <c r="B1486" s="27">
        <v>2026</v>
      </c>
      <c r="C1486" s="27" t="s">
        <v>108</v>
      </c>
      <c r="D1486" s="30">
        <v>46324</v>
      </c>
      <c r="E1486" s="27" t="s">
        <v>216</v>
      </c>
      <c r="F1486" s="27" t="s">
        <v>164</v>
      </c>
      <c r="G1486" s="27" t="s">
        <v>262</v>
      </c>
      <c r="H1486" s="27"/>
      <c r="I1486" s="27"/>
      <c r="J1486" s="27" t="s">
        <v>177</v>
      </c>
      <c r="K1486" s="10">
        <v>0</v>
      </c>
      <c r="L1486" s="36" t="s">
        <v>263</v>
      </c>
      <c r="M1486" s="37"/>
      <c r="N1486" s="37"/>
      <c r="O1486" s="27"/>
      <c r="P1486" s="27"/>
      <c r="Q1486" s="27"/>
      <c r="R1486" s="27"/>
      <c r="S1486" s="2" t="s">
        <v>1859</v>
      </c>
      <c r="T1486" s="29" t="s">
        <v>265</v>
      </c>
      <c r="U1486" s="27"/>
      <c r="V1486" s="27"/>
      <c r="W1486" s="27"/>
    </row>
    <row r="1487" spans="1:23" ht="24" customHeight="1">
      <c r="A1487" s="27" t="str">
        <f t="shared" ca="1" si="23"/>
        <v>EVT-2026-1485</v>
      </c>
      <c r="B1487" s="27">
        <v>2026</v>
      </c>
      <c r="C1487" s="27" t="s">
        <v>108</v>
      </c>
      <c r="D1487" s="30">
        <v>46325</v>
      </c>
      <c r="E1487" s="27" t="s">
        <v>220</v>
      </c>
      <c r="F1487" s="27" t="s">
        <v>164</v>
      </c>
      <c r="G1487" s="27" t="s">
        <v>262</v>
      </c>
      <c r="H1487" s="27"/>
      <c r="I1487" s="27"/>
      <c r="J1487" s="27" t="s">
        <v>177</v>
      </c>
      <c r="K1487" s="10">
        <v>0</v>
      </c>
      <c r="L1487" s="36" t="s">
        <v>263</v>
      </c>
      <c r="M1487" s="37"/>
      <c r="N1487" s="37"/>
      <c r="O1487" s="27"/>
      <c r="P1487" s="27"/>
      <c r="Q1487" s="27"/>
      <c r="R1487" s="27"/>
      <c r="S1487" s="2" t="s">
        <v>1859</v>
      </c>
      <c r="T1487" s="29" t="s">
        <v>265</v>
      </c>
      <c r="U1487" s="27"/>
      <c r="V1487" s="27"/>
      <c r="W1487" s="27"/>
    </row>
    <row r="1488" spans="1:23" ht="24" customHeight="1">
      <c r="A1488" s="27" t="str">
        <f t="shared" ca="1" si="23"/>
        <v>EVT-2026-1486</v>
      </c>
      <c r="B1488" s="27">
        <v>2026</v>
      </c>
      <c r="C1488" s="27" t="s">
        <v>108</v>
      </c>
      <c r="D1488" s="30">
        <v>46326</v>
      </c>
      <c r="E1488" s="27" t="s">
        <v>266</v>
      </c>
      <c r="F1488" s="27" t="s">
        <v>164</v>
      </c>
      <c r="G1488" s="27" t="s">
        <v>262</v>
      </c>
      <c r="H1488" s="27"/>
      <c r="I1488" s="27"/>
      <c r="J1488" s="27" t="s">
        <v>177</v>
      </c>
      <c r="K1488" s="10">
        <v>0</v>
      </c>
      <c r="L1488" s="36" t="s">
        <v>263</v>
      </c>
      <c r="M1488" s="37"/>
      <c r="N1488" s="37"/>
      <c r="O1488" s="27"/>
      <c r="P1488" s="27"/>
      <c r="Q1488" s="27"/>
      <c r="R1488" s="27"/>
      <c r="S1488" s="2" t="s">
        <v>1859</v>
      </c>
      <c r="T1488" s="29" t="s">
        <v>265</v>
      </c>
      <c r="U1488" s="27"/>
      <c r="V1488" s="27"/>
      <c r="W1488" s="27"/>
    </row>
    <row r="1489" spans="1:23" ht="24" customHeight="1">
      <c r="A1489" s="27" t="str">
        <f t="shared" ca="1" si="23"/>
        <v>EVT-2026-1487</v>
      </c>
      <c r="B1489" s="27">
        <v>2026</v>
      </c>
      <c r="C1489" s="27" t="s">
        <v>108</v>
      </c>
      <c r="D1489" s="27"/>
      <c r="E1489" s="27"/>
      <c r="F1489" s="27" t="s">
        <v>164</v>
      </c>
      <c r="G1489" s="27" t="s">
        <v>262</v>
      </c>
      <c r="H1489" s="27"/>
      <c r="I1489" s="27"/>
      <c r="J1489" s="27" t="s">
        <v>177</v>
      </c>
      <c r="K1489" s="10">
        <v>0</v>
      </c>
      <c r="L1489" s="36" t="s">
        <v>263</v>
      </c>
      <c r="M1489" s="37"/>
      <c r="N1489" s="37"/>
      <c r="O1489" s="27"/>
      <c r="P1489" s="27"/>
      <c r="Q1489" s="27"/>
      <c r="R1489" s="27"/>
      <c r="S1489" s="2" t="s">
        <v>1859</v>
      </c>
      <c r="T1489" s="29" t="s">
        <v>265</v>
      </c>
      <c r="U1489" s="27"/>
      <c r="V1489" s="27"/>
      <c r="W1489" s="27"/>
    </row>
    <row r="1490" spans="1:23" ht="24" customHeight="1">
      <c r="A1490" s="27" t="str">
        <f t="shared" ca="1" si="23"/>
        <v>EVT-2026-1488</v>
      </c>
      <c r="B1490" s="27">
        <v>2026</v>
      </c>
      <c r="C1490" s="27" t="s">
        <v>108</v>
      </c>
      <c r="D1490" s="27"/>
      <c r="E1490" s="27"/>
      <c r="F1490" s="27" t="s">
        <v>164</v>
      </c>
      <c r="G1490" s="27" t="s">
        <v>262</v>
      </c>
      <c r="H1490" s="27"/>
      <c r="I1490" s="27"/>
      <c r="J1490" s="27" t="s">
        <v>177</v>
      </c>
      <c r="K1490" s="10">
        <v>0</v>
      </c>
      <c r="L1490" s="36" t="s">
        <v>263</v>
      </c>
      <c r="M1490" s="37"/>
      <c r="N1490" s="37"/>
      <c r="O1490" s="27"/>
      <c r="P1490" s="27"/>
      <c r="Q1490" s="27"/>
      <c r="R1490" s="27"/>
      <c r="S1490" s="2" t="s">
        <v>1859</v>
      </c>
      <c r="T1490" s="29" t="s">
        <v>265</v>
      </c>
      <c r="U1490" s="27"/>
      <c r="V1490" s="27"/>
      <c r="W1490" s="27"/>
    </row>
    <row r="1491" spans="1:23" ht="24" customHeight="1">
      <c r="A1491" s="27" t="str">
        <f t="shared" ca="1" si="23"/>
        <v>EVT-2026-1489</v>
      </c>
      <c r="B1491" s="27">
        <v>2026</v>
      </c>
      <c r="C1491" s="27" t="s">
        <v>108</v>
      </c>
      <c r="D1491" s="27"/>
      <c r="E1491" s="27"/>
      <c r="F1491" s="27" t="s">
        <v>164</v>
      </c>
      <c r="G1491" s="27" t="s">
        <v>262</v>
      </c>
      <c r="H1491" s="27"/>
      <c r="I1491" s="27"/>
      <c r="J1491" s="27" t="s">
        <v>177</v>
      </c>
      <c r="K1491" s="10">
        <v>0</v>
      </c>
      <c r="L1491" s="36" t="s">
        <v>263</v>
      </c>
      <c r="M1491" s="37"/>
      <c r="N1491" s="37"/>
      <c r="O1491" s="27"/>
      <c r="P1491" s="27"/>
      <c r="Q1491" s="27"/>
      <c r="R1491" s="27"/>
      <c r="S1491" s="2" t="s">
        <v>1859</v>
      </c>
      <c r="T1491" s="29" t="s">
        <v>265</v>
      </c>
      <c r="U1491" s="27"/>
      <c r="V1491" s="27"/>
      <c r="W1491" s="27"/>
    </row>
    <row r="1492" spans="1:23" ht="24" customHeight="1">
      <c r="A1492" s="27" t="str">
        <f t="shared" ca="1" si="23"/>
        <v>EVT-2026-1490</v>
      </c>
      <c r="B1492" s="27">
        <v>2026</v>
      </c>
      <c r="C1492" s="27" t="s">
        <v>108</v>
      </c>
      <c r="D1492" s="27"/>
      <c r="E1492" s="27"/>
      <c r="F1492" s="27" t="s">
        <v>164</v>
      </c>
      <c r="G1492" s="27" t="s">
        <v>262</v>
      </c>
      <c r="H1492" s="27"/>
      <c r="I1492" s="27"/>
      <c r="J1492" s="27" t="s">
        <v>177</v>
      </c>
      <c r="K1492" s="10">
        <v>0</v>
      </c>
      <c r="L1492" s="36" t="s">
        <v>263</v>
      </c>
      <c r="M1492" s="37"/>
      <c r="N1492" s="37"/>
      <c r="O1492" s="27"/>
      <c r="P1492" s="27"/>
      <c r="Q1492" s="27"/>
      <c r="R1492" s="27"/>
      <c r="S1492" s="2" t="s">
        <v>1859</v>
      </c>
      <c r="T1492" s="29" t="s">
        <v>265</v>
      </c>
      <c r="U1492" s="27"/>
      <c r="V1492" s="27"/>
      <c r="W1492" s="27"/>
    </row>
    <row r="1493" spans="1:23" ht="24" customHeight="1">
      <c r="A1493" s="27" t="str">
        <f t="shared" ca="1" si="23"/>
        <v>EVT-2026-1491</v>
      </c>
      <c r="B1493" s="27">
        <v>2026</v>
      </c>
      <c r="C1493" s="27" t="s">
        <v>108</v>
      </c>
      <c r="D1493" s="27"/>
      <c r="E1493" s="27"/>
      <c r="F1493" s="27" t="s">
        <v>164</v>
      </c>
      <c r="G1493" s="27" t="s">
        <v>262</v>
      </c>
      <c r="H1493" s="27"/>
      <c r="I1493" s="27"/>
      <c r="J1493" s="27" t="s">
        <v>177</v>
      </c>
      <c r="K1493" s="10">
        <v>0</v>
      </c>
      <c r="L1493" s="36" t="s">
        <v>263</v>
      </c>
      <c r="M1493" s="37"/>
      <c r="N1493" s="37"/>
      <c r="O1493" s="27"/>
      <c r="P1493" s="27"/>
      <c r="Q1493" s="27"/>
      <c r="R1493" s="27"/>
      <c r="S1493" s="2" t="s">
        <v>1859</v>
      </c>
      <c r="T1493" s="29" t="s">
        <v>265</v>
      </c>
      <c r="U1493" s="27"/>
      <c r="V1493" s="27"/>
      <c r="W1493" s="27"/>
    </row>
    <row r="1494" spans="1:23" ht="24" customHeight="1">
      <c r="A1494" s="27" t="str">
        <f t="shared" ca="1" si="23"/>
        <v>EVT-2026-1492</v>
      </c>
      <c r="B1494" s="27">
        <v>2026</v>
      </c>
      <c r="C1494" s="27" t="s">
        <v>108</v>
      </c>
      <c r="D1494" s="27"/>
      <c r="E1494" s="27"/>
      <c r="F1494" s="27" t="s">
        <v>164</v>
      </c>
      <c r="G1494" s="27" t="s">
        <v>262</v>
      </c>
      <c r="H1494" s="27"/>
      <c r="I1494" s="27"/>
      <c r="J1494" s="27" t="s">
        <v>177</v>
      </c>
      <c r="K1494" s="10">
        <v>0</v>
      </c>
      <c r="L1494" s="36" t="s">
        <v>263</v>
      </c>
      <c r="M1494" s="37"/>
      <c r="N1494" s="37"/>
      <c r="O1494" s="27"/>
      <c r="P1494" s="27"/>
      <c r="Q1494" s="27"/>
      <c r="R1494" s="27"/>
      <c r="S1494" s="2" t="s">
        <v>1859</v>
      </c>
      <c r="T1494" s="29" t="s">
        <v>265</v>
      </c>
      <c r="U1494" s="27"/>
      <c r="V1494" s="27"/>
      <c r="W1494" s="27"/>
    </row>
    <row r="1495" spans="1:23" ht="24" customHeight="1">
      <c r="A1495" s="27" t="str">
        <f t="shared" ca="1" si="23"/>
        <v>EVT-2026-1493</v>
      </c>
      <c r="B1495" s="27">
        <v>2026</v>
      </c>
      <c r="C1495" s="27" t="s">
        <v>108</v>
      </c>
      <c r="D1495" s="27"/>
      <c r="E1495" s="27"/>
      <c r="F1495" s="27" t="s">
        <v>164</v>
      </c>
      <c r="G1495" s="27" t="s">
        <v>262</v>
      </c>
      <c r="H1495" s="27"/>
      <c r="I1495" s="27"/>
      <c r="J1495" s="27" t="s">
        <v>177</v>
      </c>
      <c r="K1495" s="10">
        <v>0</v>
      </c>
      <c r="L1495" s="36" t="s">
        <v>263</v>
      </c>
      <c r="M1495" s="37"/>
      <c r="N1495" s="37"/>
      <c r="O1495" s="27"/>
      <c r="P1495" s="27"/>
      <c r="Q1495" s="27"/>
      <c r="R1495" s="27"/>
      <c r="S1495" s="2" t="s">
        <v>1859</v>
      </c>
      <c r="T1495" s="29" t="s">
        <v>265</v>
      </c>
      <c r="U1495" s="27"/>
      <c r="V1495" s="27"/>
      <c r="W1495" s="27"/>
    </row>
    <row r="1496" spans="1:23" ht="24" customHeight="1">
      <c r="A1496" s="27" t="str">
        <f t="shared" ca="1" si="23"/>
        <v>EVT-2026-1494</v>
      </c>
      <c r="B1496" s="27">
        <v>2026</v>
      </c>
      <c r="C1496" s="27" t="s">
        <v>108</v>
      </c>
      <c r="D1496" s="27"/>
      <c r="E1496" s="27"/>
      <c r="F1496" s="27" t="s">
        <v>164</v>
      </c>
      <c r="G1496" s="27" t="s">
        <v>262</v>
      </c>
      <c r="H1496" s="27"/>
      <c r="I1496" s="27"/>
      <c r="J1496" s="27" t="s">
        <v>177</v>
      </c>
      <c r="K1496" s="10">
        <v>0</v>
      </c>
      <c r="L1496" s="36" t="s">
        <v>263</v>
      </c>
      <c r="M1496" s="37"/>
      <c r="N1496" s="37"/>
      <c r="O1496" s="27"/>
      <c r="P1496" s="27"/>
      <c r="Q1496" s="27"/>
      <c r="R1496" s="27"/>
      <c r="S1496" s="2" t="s">
        <v>1859</v>
      </c>
      <c r="T1496" s="29" t="s">
        <v>265</v>
      </c>
      <c r="U1496" s="27"/>
      <c r="V1496" s="27"/>
      <c r="W1496" s="27"/>
    </row>
    <row r="1497" spans="1:23" ht="24" customHeight="1">
      <c r="A1497" s="27" t="str">
        <f t="shared" ca="1" si="23"/>
        <v>EVT-2026-1495</v>
      </c>
      <c r="B1497" s="27">
        <v>2026</v>
      </c>
      <c r="C1497" s="27" t="s">
        <v>108</v>
      </c>
      <c r="D1497" s="27"/>
      <c r="E1497" s="27"/>
      <c r="F1497" s="27" t="s">
        <v>164</v>
      </c>
      <c r="G1497" s="27" t="s">
        <v>262</v>
      </c>
      <c r="H1497" s="27"/>
      <c r="I1497" s="27"/>
      <c r="J1497" s="27" t="s">
        <v>177</v>
      </c>
      <c r="K1497" s="10">
        <v>0</v>
      </c>
      <c r="L1497" s="36" t="s">
        <v>263</v>
      </c>
      <c r="M1497" s="37"/>
      <c r="N1497" s="37"/>
      <c r="O1497" s="27"/>
      <c r="P1497" s="27"/>
      <c r="Q1497" s="27"/>
      <c r="R1497" s="27"/>
      <c r="S1497" s="2" t="s">
        <v>1859</v>
      </c>
      <c r="T1497" s="29" t="s">
        <v>265</v>
      </c>
      <c r="U1497" s="27"/>
      <c r="V1497" s="27"/>
      <c r="W1497" s="27"/>
    </row>
    <row r="1498" spans="1:23" ht="24" customHeight="1">
      <c r="A1498" s="27" t="str">
        <f t="shared" ca="1" si="23"/>
        <v>EVT-2026-1496</v>
      </c>
      <c r="B1498" s="27">
        <v>2026</v>
      </c>
      <c r="C1498" s="27" t="s">
        <v>108</v>
      </c>
      <c r="D1498" s="27"/>
      <c r="E1498" s="27"/>
      <c r="F1498" s="27" t="s">
        <v>164</v>
      </c>
      <c r="G1498" s="27" t="s">
        <v>262</v>
      </c>
      <c r="H1498" s="27"/>
      <c r="I1498" s="27"/>
      <c r="J1498" s="27" t="s">
        <v>177</v>
      </c>
      <c r="K1498" s="10">
        <v>0</v>
      </c>
      <c r="L1498" s="36" t="s">
        <v>263</v>
      </c>
      <c r="M1498" s="37"/>
      <c r="N1498" s="37"/>
      <c r="O1498" s="27"/>
      <c r="P1498" s="27"/>
      <c r="Q1498" s="27"/>
      <c r="R1498" s="27"/>
      <c r="S1498" s="2" t="s">
        <v>1859</v>
      </c>
      <c r="T1498" s="29" t="s">
        <v>265</v>
      </c>
      <c r="U1498" s="27"/>
      <c r="V1498" s="27"/>
      <c r="W1498" s="27"/>
    </row>
    <row r="1499" spans="1:23" ht="24" customHeight="1">
      <c r="A1499" s="27" t="str">
        <f t="shared" ca="1" si="23"/>
        <v>EVT-2026-1497</v>
      </c>
      <c r="B1499" s="27">
        <v>2026</v>
      </c>
      <c r="C1499" s="27" t="s">
        <v>108</v>
      </c>
      <c r="D1499" s="27"/>
      <c r="E1499" s="27"/>
      <c r="F1499" s="27" t="s">
        <v>164</v>
      </c>
      <c r="G1499" s="27" t="s">
        <v>262</v>
      </c>
      <c r="H1499" s="27"/>
      <c r="I1499" s="27"/>
      <c r="J1499" s="27" t="s">
        <v>177</v>
      </c>
      <c r="K1499" s="10">
        <v>0</v>
      </c>
      <c r="L1499" s="36" t="s">
        <v>263</v>
      </c>
      <c r="M1499" s="37"/>
      <c r="N1499" s="37"/>
      <c r="O1499" s="27"/>
      <c r="P1499" s="27"/>
      <c r="Q1499" s="27"/>
      <c r="R1499" s="27"/>
      <c r="S1499" s="2" t="s">
        <v>1859</v>
      </c>
      <c r="T1499" s="29" t="s">
        <v>265</v>
      </c>
      <c r="U1499" s="27"/>
      <c r="V1499" s="27"/>
      <c r="W1499" s="27"/>
    </row>
    <row r="1500" spans="1:23" ht="24" customHeight="1">
      <c r="A1500" s="27" t="str">
        <f t="shared" ca="1" si="23"/>
        <v>EVT-2026-1498</v>
      </c>
      <c r="B1500" s="27">
        <v>2026</v>
      </c>
      <c r="C1500" s="27" t="s">
        <v>108</v>
      </c>
      <c r="D1500" s="27"/>
      <c r="E1500" s="27"/>
      <c r="F1500" s="27" t="s">
        <v>164</v>
      </c>
      <c r="G1500" s="27" t="s">
        <v>262</v>
      </c>
      <c r="H1500" s="27"/>
      <c r="I1500" s="27"/>
      <c r="J1500" s="27" t="s">
        <v>177</v>
      </c>
      <c r="K1500" s="10">
        <v>0</v>
      </c>
      <c r="L1500" s="36" t="s">
        <v>263</v>
      </c>
      <c r="M1500" s="37"/>
      <c r="N1500" s="37"/>
      <c r="O1500" s="27"/>
      <c r="P1500" s="27"/>
      <c r="Q1500" s="27"/>
      <c r="R1500" s="27"/>
      <c r="S1500" s="2" t="s">
        <v>1859</v>
      </c>
      <c r="T1500" s="29" t="s">
        <v>265</v>
      </c>
      <c r="U1500" s="27"/>
      <c r="V1500" s="27"/>
      <c r="W1500" s="27"/>
    </row>
    <row r="1501" spans="1:23" ht="24" customHeight="1">
      <c r="A1501" s="27" t="str">
        <f t="shared" ca="1" si="23"/>
        <v>EVT-2026-1499</v>
      </c>
      <c r="B1501" s="27">
        <v>2026</v>
      </c>
      <c r="C1501" s="27" t="s">
        <v>108</v>
      </c>
      <c r="D1501" s="27"/>
      <c r="E1501" s="27"/>
      <c r="F1501" s="27" t="s">
        <v>164</v>
      </c>
      <c r="G1501" s="27" t="s">
        <v>262</v>
      </c>
      <c r="H1501" s="27"/>
      <c r="I1501" s="27"/>
      <c r="J1501" s="27" t="s">
        <v>177</v>
      </c>
      <c r="K1501" s="10">
        <v>0</v>
      </c>
      <c r="L1501" s="36" t="s">
        <v>263</v>
      </c>
      <c r="M1501" s="37"/>
      <c r="N1501" s="37"/>
      <c r="O1501" s="27"/>
      <c r="P1501" s="27"/>
      <c r="Q1501" s="27"/>
      <c r="R1501" s="27"/>
      <c r="S1501" s="2" t="s">
        <v>1859</v>
      </c>
      <c r="T1501" s="29" t="s">
        <v>265</v>
      </c>
      <c r="U1501" s="27"/>
      <c r="V1501" s="27"/>
      <c r="W1501" s="27"/>
    </row>
    <row r="1502" spans="1:23" ht="24" customHeight="1">
      <c r="A1502" s="27" t="str">
        <f t="shared" ca="1" si="23"/>
        <v>EVT-2026-1500</v>
      </c>
      <c r="B1502" s="27">
        <v>2026</v>
      </c>
      <c r="C1502" s="27" t="s">
        <v>108</v>
      </c>
      <c r="D1502" s="27"/>
      <c r="E1502" s="27"/>
      <c r="F1502" s="27" t="s">
        <v>164</v>
      </c>
      <c r="G1502" s="27" t="s">
        <v>262</v>
      </c>
      <c r="H1502" s="27"/>
      <c r="I1502" s="27"/>
      <c r="J1502" s="27" t="s">
        <v>177</v>
      </c>
      <c r="K1502" s="10">
        <v>0</v>
      </c>
      <c r="L1502" s="36" t="s">
        <v>263</v>
      </c>
      <c r="M1502" s="37"/>
      <c r="N1502" s="37"/>
      <c r="O1502" s="27"/>
      <c r="P1502" s="27"/>
      <c r="Q1502" s="27"/>
      <c r="R1502" s="27"/>
      <c r="S1502" s="2" t="s">
        <v>1859</v>
      </c>
      <c r="T1502" s="29" t="s">
        <v>265</v>
      </c>
      <c r="U1502" s="27"/>
      <c r="V1502" s="27"/>
      <c r="W1502" s="27"/>
    </row>
    <row r="1503" spans="1:23" ht="24" customHeight="1">
      <c r="A1503" s="27" t="str">
        <f t="shared" ca="1" si="23"/>
        <v>EVT-2026-1501</v>
      </c>
      <c r="B1503" s="27">
        <v>2026</v>
      </c>
      <c r="C1503" s="27" t="s">
        <v>108</v>
      </c>
      <c r="D1503" s="27"/>
      <c r="E1503" s="27"/>
      <c r="F1503" s="27" t="s">
        <v>164</v>
      </c>
      <c r="G1503" s="27" t="s">
        <v>262</v>
      </c>
      <c r="H1503" s="27"/>
      <c r="I1503" s="27"/>
      <c r="J1503" s="27" t="s">
        <v>177</v>
      </c>
      <c r="K1503" s="10">
        <v>0</v>
      </c>
      <c r="L1503" s="36" t="s">
        <v>263</v>
      </c>
      <c r="M1503" s="37"/>
      <c r="N1503" s="37"/>
      <c r="O1503" s="27"/>
      <c r="P1503" s="27"/>
      <c r="Q1503" s="27"/>
      <c r="R1503" s="27"/>
      <c r="S1503" s="2" t="s">
        <v>1859</v>
      </c>
      <c r="T1503" s="29" t="s">
        <v>265</v>
      </c>
      <c r="U1503" s="27"/>
      <c r="V1503" s="27"/>
      <c r="W1503" s="27"/>
    </row>
    <row r="1504" spans="1:23" ht="24" customHeight="1">
      <c r="A1504" s="27" t="str">
        <f t="shared" ca="1" si="23"/>
        <v>EVT-2026-1502</v>
      </c>
      <c r="B1504" s="27">
        <v>2026</v>
      </c>
      <c r="C1504" s="27" t="s">
        <v>108</v>
      </c>
      <c r="D1504" s="27"/>
      <c r="E1504" s="27"/>
      <c r="F1504" s="27" t="s">
        <v>164</v>
      </c>
      <c r="G1504" s="27" t="s">
        <v>262</v>
      </c>
      <c r="H1504" s="27"/>
      <c r="I1504" s="27"/>
      <c r="J1504" s="27" t="s">
        <v>177</v>
      </c>
      <c r="K1504" s="10">
        <v>0</v>
      </c>
      <c r="L1504" s="36" t="s">
        <v>263</v>
      </c>
      <c r="M1504" s="37"/>
      <c r="N1504" s="37"/>
      <c r="O1504" s="27"/>
      <c r="P1504" s="27"/>
      <c r="Q1504" s="27"/>
      <c r="R1504" s="27"/>
      <c r="S1504" s="2" t="s">
        <v>1859</v>
      </c>
      <c r="T1504" s="29" t="s">
        <v>265</v>
      </c>
      <c r="U1504" s="27"/>
      <c r="V1504" s="27"/>
      <c r="W1504" s="27"/>
    </row>
    <row r="1505" spans="1:23" ht="24" customHeight="1">
      <c r="A1505" s="27" t="str">
        <f t="shared" ca="1" si="23"/>
        <v>EVT-2026-1503</v>
      </c>
      <c r="B1505" s="27">
        <v>2026</v>
      </c>
      <c r="C1505" s="27" t="s">
        <v>108</v>
      </c>
      <c r="D1505" s="27"/>
      <c r="E1505" s="27"/>
      <c r="F1505" s="27" t="s">
        <v>164</v>
      </c>
      <c r="G1505" s="27" t="s">
        <v>262</v>
      </c>
      <c r="H1505" s="27"/>
      <c r="I1505" s="27"/>
      <c r="J1505" s="27" t="s">
        <v>177</v>
      </c>
      <c r="K1505" s="10">
        <v>0</v>
      </c>
      <c r="L1505" s="36" t="s">
        <v>263</v>
      </c>
      <c r="M1505" s="37"/>
      <c r="N1505" s="37"/>
      <c r="O1505" s="27"/>
      <c r="P1505" s="27"/>
      <c r="Q1505" s="27"/>
      <c r="R1505" s="27"/>
      <c r="S1505" s="2" t="s">
        <v>1859</v>
      </c>
      <c r="T1505" s="29" t="s">
        <v>265</v>
      </c>
      <c r="U1505" s="27"/>
      <c r="V1505" s="27"/>
      <c r="W1505" s="27"/>
    </row>
    <row r="1506" spans="1:23" ht="24" customHeight="1">
      <c r="A1506" s="27" t="str">
        <f t="shared" ca="1" si="23"/>
        <v>EVT-2026-1504</v>
      </c>
      <c r="B1506" s="27">
        <v>2026</v>
      </c>
      <c r="C1506" s="27" t="s">
        <v>108</v>
      </c>
      <c r="D1506" s="30">
        <v>46296</v>
      </c>
      <c r="E1506" s="27" t="s">
        <v>216</v>
      </c>
      <c r="F1506" s="27" t="s">
        <v>126</v>
      </c>
      <c r="G1506" s="27" t="s">
        <v>202</v>
      </c>
      <c r="H1506" s="27" t="s">
        <v>736</v>
      </c>
      <c r="I1506" s="27" t="s">
        <v>203</v>
      </c>
      <c r="J1506" s="27" t="s">
        <v>134</v>
      </c>
      <c r="K1506" s="10">
        <v>55</v>
      </c>
      <c r="L1506" s="36" t="s">
        <v>263</v>
      </c>
      <c r="M1506" s="37" t="s">
        <v>269</v>
      </c>
      <c r="N1506" s="37" t="s">
        <v>270</v>
      </c>
      <c r="O1506" s="27"/>
      <c r="P1506" s="27"/>
      <c r="Q1506" s="27" t="s">
        <v>351</v>
      </c>
      <c r="R1506" s="27" t="s">
        <v>1688</v>
      </c>
      <c r="S1506" s="2" t="s">
        <v>1859</v>
      </c>
      <c r="T1506" s="29" t="s">
        <v>265</v>
      </c>
      <c r="U1506" s="30">
        <v>46218</v>
      </c>
      <c r="V1506" s="27" t="s">
        <v>2030</v>
      </c>
      <c r="W1506" s="27" t="s">
        <v>1497</v>
      </c>
    </row>
    <row r="1507" spans="1:23" ht="24" customHeight="1">
      <c r="A1507" s="27" t="str">
        <f t="shared" ca="1" si="23"/>
        <v>EVT-2026-1505</v>
      </c>
      <c r="B1507" s="27">
        <v>2026</v>
      </c>
      <c r="C1507" s="27" t="s">
        <v>108</v>
      </c>
      <c r="D1507" s="30">
        <v>46296</v>
      </c>
      <c r="E1507" s="27" t="s">
        <v>216</v>
      </c>
      <c r="F1507" s="27" t="s">
        <v>126</v>
      </c>
      <c r="G1507" s="27" t="s">
        <v>1260</v>
      </c>
      <c r="H1507" s="27" t="s">
        <v>1366</v>
      </c>
      <c r="I1507" s="27" t="s">
        <v>203</v>
      </c>
      <c r="J1507" s="27" t="s">
        <v>134</v>
      </c>
      <c r="K1507" s="10">
        <v>0</v>
      </c>
      <c r="L1507" s="36" t="s">
        <v>263</v>
      </c>
      <c r="M1507" s="37" t="s">
        <v>269</v>
      </c>
      <c r="N1507" s="37" t="s">
        <v>270</v>
      </c>
      <c r="O1507" s="27"/>
      <c r="P1507" s="27"/>
      <c r="Q1507" s="27"/>
      <c r="R1507" s="27"/>
      <c r="S1507" s="2" t="s">
        <v>1859</v>
      </c>
      <c r="T1507" s="29" t="s">
        <v>265</v>
      </c>
      <c r="U1507" s="27"/>
      <c r="V1507" s="27"/>
      <c r="W1507" s="27" t="s">
        <v>2030</v>
      </c>
    </row>
    <row r="1508" spans="1:23" ht="24" customHeight="1">
      <c r="A1508" s="27" t="str">
        <f t="shared" ca="1" si="23"/>
        <v>EVT-2026-1506</v>
      </c>
      <c r="B1508" s="27">
        <v>2026</v>
      </c>
      <c r="C1508" s="27" t="s">
        <v>108</v>
      </c>
      <c r="D1508" s="30">
        <v>46296</v>
      </c>
      <c r="E1508" s="27" t="s">
        <v>216</v>
      </c>
      <c r="F1508" s="27" t="s">
        <v>126</v>
      </c>
      <c r="G1508" s="27" t="s">
        <v>208</v>
      </c>
      <c r="H1508" s="27" t="s">
        <v>1366</v>
      </c>
      <c r="I1508" s="27" t="s">
        <v>217</v>
      </c>
      <c r="J1508" s="27" t="s">
        <v>145</v>
      </c>
      <c r="K1508" s="10">
        <v>50</v>
      </c>
      <c r="L1508" s="36" t="s">
        <v>263</v>
      </c>
      <c r="M1508" s="37" t="s">
        <v>309</v>
      </c>
      <c r="N1508" s="37" t="s">
        <v>296</v>
      </c>
      <c r="O1508" s="27"/>
      <c r="P1508" s="27"/>
      <c r="Q1508" s="27" t="s">
        <v>1510</v>
      </c>
      <c r="R1508" s="27"/>
      <c r="S1508" s="2" t="s">
        <v>1859</v>
      </c>
      <c r="T1508" s="29" t="s">
        <v>265</v>
      </c>
      <c r="U1508" s="27"/>
      <c r="V1508" s="27"/>
      <c r="W1508" s="27" t="s">
        <v>298</v>
      </c>
    </row>
    <row r="1509" spans="1:23" ht="24" customHeight="1">
      <c r="A1509" s="27" t="str">
        <f t="shared" ca="1" si="23"/>
        <v>EVT-2026-1507</v>
      </c>
      <c r="B1509" s="27">
        <v>2026</v>
      </c>
      <c r="C1509" s="27" t="s">
        <v>108</v>
      </c>
      <c r="D1509" s="30">
        <v>46297</v>
      </c>
      <c r="E1509" s="27" t="s">
        <v>220</v>
      </c>
      <c r="F1509" s="27" t="s">
        <v>126</v>
      </c>
      <c r="G1509" s="27"/>
      <c r="H1509" s="27"/>
      <c r="I1509" s="27"/>
      <c r="J1509" s="27" t="s">
        <v>177</v>
      </c>
      <c r="K1509" s="10">
        <v>0</v>
      </c>
      <c r="L1509" s="36" t="s">
        <v>263</v>
      </c>
      <c r="M1509" s="37"/>
      <c r="N1509" s="37"/>
      <c r="O1509" s="27"/>
      <c r="P1509" s="27"/>
      <c r="Q1509" s="27"/>
      <c r="R1509" s="27"/>
      <c r="S1509" s="2" t="s">
        <v>1859</v>
      </c>
      <c r="T1509" s="29" t="s">
        <v>265</v>
      </c>
      <c r="U1509" s="27"/>
      <c r="V1509" s="27"/>
      <c r="W1509" s="27"/>
    </row>
    <row r="1510" spans="1:23" ht="24" customHeight="1">
      <c r="A1510" s="27" t="str">
        <f t="shared" ca="1" si="23"/>
        <v>EVT-2026-1508</v>
      </c>
      <c r="B1510" s="27">
        <v>2026</v>
      </c>
      <c r="C1510" s="27" t="s">
        <v>108</v>
      </c>
      <c r="D1510" s="30">
        <v>46298</v>
      </c>
      <c r="E1510" s="27" t="s">
        <v>266</v>
      </c>
      <c r="F1510" s="27" t="s">
        <v>126</v>
      </c>
      <c r="G1510" s="27"/>
      <c r="H1510" s="27"/>
      <c r="I1510" s="27"/>
      <c r="J1510" s="27" t="s">
        <v>177</v>
      </c>
      <c r="K1510" s="10">
        <v>0</v>
      </c>
      <c r="L1510" s="36" t="s">
        <v>263</v>
      </c>
      <c r="M1510" s="37"/>
      <c r="N1510" s="37"/>
      <c r="O1510" s="27"/>
      <c r="P1510" s="27"/>
      <c r="Q1510" s="27"/>
      <c r="R1510" s="27"/>
      <c r="S1510" s="2" t="s">
        <v>1859</v>
      </c>
      <c r="T1510" s="29" t="s">
        <v>265</v>
      </c>
      <c r="U1510" s="27"/>
      <c r="V1510" s="27"/>
      <c r="W1510" s="27"/>
    </row>
    <row r="1511" spans="1:23" ht="24" customHeight="1">
      <c r="A1511" s="27" t="str">
        <f t="shared" ca="1" si="23"/>
        <v>EVT-2026-1509</v>
      </c>
      <c r="B1511" s="27">
        <v>2026</v>
      </c>
      <c r="C1511" s="27" t="s">
        <v>108</v>
      </c>
      <c r="D1511" s="30">
        <v>46299</v>
      </c>
      <c r="E1511" s="27" t="s">
        <v>267</v>
      </c>
      <c r="F1511" s="27" t="s">
        <v>126</v>
      </c>
      <c r="G1511" s="27"/>
      <c r="H1511" s="27"/>
      <c r="I1511" s="27"/>
      <c r="J1511" s="27" t="s">
        <v>177</v>
      </c>
      <c r="K1511" s="10">
        <v>0</v>
      </c>
      <c r="L1511" s="36" t="s">
        <v>263</v>
      </c>
      <c r="M1511" s="37"/>
      <c r="N1511" s="37"/>
      <c r="O1511" s="27"/>
      <c r="P1511" s="27"/>
      <c r="Q1511" s="27"/>
      <c r="R1511" s="27"/>
      <c r="S1511" s="2" t="s">
        <v>1859</v>
      </c>
      <c r="T1511" s="29" t="s">
        <v>265</v>
      </c>
      <c r="U1511" s="27"/>
      <c r="V1511" s="27"/>
      <c r="W1511" s="27"/>
    </row>
    <row r="1512" spans="1:23" ht="24" customHeight="1">
      <c r="A1512" s="27" t="str">
        <f t="shared" ca="1" si="23"/>
        <v>EVT-2026-1510</v>
      </c>
      <c r="B1512" s="27">
        <v>2026</v>
      </c>
      <c r="C1512" s="27" t="s">
        <v>108</v>
      </c>
      <c r="D1512" s="30">
        <v>46300</v>
      </c>
      <c r="E1512" s="27" t="s">
        <v>224</v>
      </c>
      <c r="F1512" s="27" t="s">
        <v>126</v>
      </c>
      <c r="G1512" s="27"/>
      <c r="H1512" s="27"/>
      <c r="I1512" s="27"/>
      <c r="J1512" s="27" t="s">
        <v>177</v>
      </c>
      <c r="K1512" s="10">
        <v>0</v>
      </c>
      <c r="L1512" s="36" t="s">
        <v>263</v>
      </c>
      <c r="M1512" s="37"/>
      <c r="N1512" s="37"/>
      <c r="O1512" s="27"/>
      <c r="P1512" s="27"/>
      <c r="Q1512" s="27"/>
      <c r="R1512" s="27"/>
      <c r="S1512" s="2" t="s">
        <v>1859</v>
      </c>
      <c r="T1512" s="29" t="s">
        <v>265</v>
      </c>
      <c r="U1512" s="27"/>
      <c r="V1512" s="27"/>
      <c r="W1512" s="27"/>
    </row>
    <row r="1513" spans="1:23" ht="24" customHeight="1">
      <c r="A1513" s="27" t="str">
        <f t="shared" ca="1" si="23"/>
        <v>EVT-2026-1511</v>
      </c>
      <c r="B1513" s="27">
        <v>2026</v>
      </c>
      <c r="C1513" s="27" t="s">
        <v>108</v>
      </c>
      <c r="D1513" s="30">
        <v>46301</v>
      </c>
      <c r="E1513" s="27" t="s">
        <v>227</v>
      </c>
      <c r="F1513" s="27" t="s">
        <v>126</v>
      </c>
      <c r="G1513" s="27"/>
      <c r="H1513" s="27"/>
      <c r="I1513" s="27"/>
      <c r="J1513" s="27" t="s">
        <v>177</v>
      </c>
      <c r="K1513" s="10">
        <v>0</v>
      </c>
      <c r="L1513" s="36" t="s">
        <v>263</v>
      </c>
      <c r="M1513" s="37"/>
      <c r="N1513" s="37"/>
      <c r="O1513" s="27"/>
      <c r="P1513" s="27"/>
      <c r="Q1513" s="27"/>
      <c r="R1513" s="27"/>
      <c r="S1513" s="2" t="s">
        <v>1859</v>
      </c>
      <c r="T1513" s="29" t="s">
        <v>265</v>
      </c>
      <c r="U1513" s="27"/>
      <c r="V1513" s="27"/>
      <c r="W1513" s="27"/>
    </row>
    <row r="1514" spans="1:23" ht="24" customHeight="1">
      <c r="A1514" s="27" t="str">
        <f t="shared" ca="1" si="23"/>
        <v>EVT-2026-1512</v>
      </c>
      <c r="B1514" s="27">
        <v>2026</v>
      </c>
      <c r="C1514" s="27" t="s">
        <v>108</v>
      </c>
      <c r="D1514" s="30">
        <v>46302</v>
      </c>
      <c r="E1514" s="27" t="s">
        <v>201</v>
      </c>
      <c r="F1514" s="27" t="s">
        <v>126</v>
      </c>
      <c r="G1514" s="27" t="s">
        <v>228</v>
      </c>
      <c r="H1514" s="27" t="s">
        <v>125</v>
      </c>
      <c r="I1514" s="27" t="s">
        <v>2121</v>
      </c>
      <c r="J1514" s="27" t="s">
        <v>127</v>
      </c>
      <c r="K1514" s="10">
        <v>0</v>
      </c>
      <c r="L1514" s="36" t="s">
        <v>263</v>
      </c>
      <c r="M1514" s="37" t="s">
        <v>295</v>
      </c>
      <c r="N1514" s="37" t="s">
        <v>296</v>
      </c>
      <c r="O1514" s="27"/>
      <c r="P1514" s="27"/>
      <c r="Q1514" s="27" t="s">
        <v>2122</v>
      </c>
      <c r="R1514" s="27" t="s">
        <v>2123</v>
      </c>
      <c r="S1514" s="2" t="s">
        <v>1859</v>
      </c>
      <c r="T1514" s="29" t="s">
        <v>265</v>
      </c>
      <c r="U1514" s="27"/>
      <c r="V1514" s="27"/>
      <c r="W1514" s="27"/>
    </row>
    <row r="1515" spans="1:23" ht="24" customHeight="1">
      <c r="A1515" s="27" t="str">
        <f t="shared" ca="1" si="23"/>
        <v>EVT-2026-1513</v>
      </c>
      <c r="B1515" s="27">
        <v>2026</v>
      </c>
      <c r="C1515" s="27" t="s">
        <v>108</v>
      </c>
      <c r="D1515" s="30">
        <v>46303</v>
      </c>
      <c r="E1515" s="27" t="s">
        <v>216</v>
      </c>
      <c r="F1515" s="27" t="s">
        <v>126</v>
      </c>
      <c r="G1515" s="27" t="s">
        <v>228</v>
      </c>
      <c r="H1515" s="27" t="s">
        <v>125</v>
      </c>
      <c r="I1515" s="27" t="s">
        <v>2124</v>
      </c>
      <c r="J1515" s="27" t="s">
        <v>127</v>
      </c>
      <c r="K1515" s="10">
        <v>45</v>
      </c>
      <c r="L1515" s="36" t="s">
        <v>263</v>
      </c>
      <c r="M1515" s="37" t="s">
        <v>274</v>
      </c>
      <c r="N1515" s="37" t="s">
        <v>331</v>
      </c>
      <c r="O1515" s="27" t="s">
        <v>1445</v>
      </c>
      <c r="P1515" s="27"/>
      <c r="Q1515" s="27" t="s">
        <v>1895</v>
      </c>
      <c r="R1515" s="27"/>
      <c r="S1515" s="2" t="s">
        <v>1859</v>
      </c>
      <c r="T1515" s="29" t="s">
        <v>265</v>
      </c>
      <c r="U1515" s="27"/>
      <c r="V1515" s="27"/>
      <c r="W1515" s="27" t="s">
        <v>1748</v>
      </c>
    </row>
    <row r="1516" spans="1:23" ht="24" customHeight="1">
      <c r="A1516" s="27" t="str">
        <f t="shared" ca="1" si="23"/>
        <v>EVT-2026-1514</v>
      </c>
      <c r="B1516" s="27">
        <v>2026</v>
      </c>
      <c r="C1516" s="27" t="s">
        <v>108</v>
      </c>
      <c r="D1516" s="30">
        <v>46303</v>
      </c>
      <c r="E1516" s="27" t="s">
        <v>216</v>
      </c>
      <c r="F1516" s="27" t="s">
        <v>126</v>
      </c>
      <c r="G1516" s="27" t="s">
        <v>208</v>
      </c>
      <c r="H1516" s="27" t="s">
        <v>1366</v>
      </c>
      <c r="I1516" s="27" t="s">
        <v>2125</v>
      </c>
      <c r="J1516" s="27" t="s">
        <v>127</v>
      </c>
      <c r="K1516" s="10">
        <v>20</v>
      </c>
      <c r="L1516" s="36" t="s">
        <v>263</v>
      </c>
      <c r="M1516" s="37" t="s">
        <v>281</v>
      </c>
      <c r="N1516" s="37" t="s">
        <v>429</v>
      </c>
      <c r="O1516" s="27" t="s">
        <v>1445</v>
      </c>
      <c r="P1516" s="27" t="s">
        <v>1670</v>
      </c>
      <c r="Q1516" s="27" t="s">
        <v>2126</v>
      </c>
      <c r="R1516" s="27" t="s">
        <v>213</v>
      </c>
      <c r="S1516" s="1" t="s">
        <v>264</v>
      </c>
      <c r="T1516" s="29" t="s">
        <v>265</v>
      </c>
      <c r="U1516" s="30">
        <v>46238</v>
      </c>
      <c r="V1516" s="27" t="s">
        <v>2127</v>
      </c>
      <c r="W1516" s="27" t="s">
        <v>1497</v>
      </c>
    </row>
    <row r="1517" spans="1:23" ht="24" customHeight="1">
      <c r="A1517" s="27" t="str">
        <f t="shared" ca="1" si="23"/>
        <v>EVT-2026-1515</v>
      </c>
      <c r="B1517" s="27">
        <v>2026</v>
      </c>
      <c r="C1517" s="27" t="s">
        <v>108</v>
      </c>
      <c r="D1517" s="30">
        <v>46303</v>
      </c>
      <c r="E1517" s="27" t="s">
        <v>216</v>
      </c>
      <c r="F1517" s="27" t="s">
        <v>126</v>
      </c>
      <c r="G1517" s="27"/>
      <c r="H1517" s="27"/>
      <c r="I1517" s="27"/>
      <c r="J1517" s="27" t="s">
        <v>177</v>
      </c>
      <c r="K1517" s="10">
        <v>0</v>
      </c>
      <c r="L1517" s="36" t="s">
        <v>263</v>
      </c>
      <c r="M1517" s="37"/>
      <c r="N1517" s="37"/>
      <c r="O1517" s="27"/>
      <c r="P1517" s="27"/>
      <c r="Q1517" s="27"/>
      <c r="R1517" s="27"/>
      <c r="S1517" s="2" t="s">
        <v>1859</v>
      </c>
      <c r="T1517" s="29" t="s">
        <v>265</v>
      </c>
      <c r="U1517" s="27"/>
      <c r="V1517" s="27"/>
      <c r="W1517" s="27"/>
    </row>
    <row r="1518" spans="1:23" ht="24" customHeight="1">
      <c r="A1518" s="27" t="str">
        <f t="shared" ca="1" si="23"/>
        <v>EVT-2026-1516</v>
      </c>
      <c r="B1518" s="27">
        <v>2026</v>
      </c>
      <c r="C1518" s="27" t="s">
        <v>108</v>
      </c>
      <c r="D1518" s="30">
        <v>46304</v>
      </c>
      <c r="E1518" s="27" t="s">
        <v>220</v>
      </c>
      <c r="F1518" s="27" t="s">
        <v>126</v>
      </c>
      <c r="G1518" s="27"/>
      <c r="H1518" s="27"/>
      <c r="I1518" s="27"/>
      <c r="J1518" s="27" t="s">
        <v>177</v>
      </c>
      <c r="K1518" s="10">
        <v>0</v>
      </c>
      <c r="L1518" s="36" t="s">
        <v>263</v>
      </c>
      <c r="M1518" s="37"/>
      <c r="N1518" s="37"/>
      <c r="O1518" s="27"/>
      <c r="P1518" s="27"/>
      <c r="Q1518" s="27"/>
      <c r="R1518" s="27"/>
      <c r="S1518" s="2" t="s">
        <v>1859</v>
      </c>
      <c r="T1518" s="29" t="s">
        <v>265</v>
      </c>
      <c r="U1518" s="27"/>
      <c r="V1518" s="27"/>
      <c r="W1518" s="27"/>
    </row>
    <row r="1519" spans="1:23" ht="24" customHeight="1">
      <c r="A1519" s="27" t="str">
        <f t="shared" ca="1" si="23"/>
        <v>EVT-2026-1517</v>
      </c>
      <c r="B1519" s="27">
        <v>2026</v>
      </c>
      <c r="C1519" s="27" t="s">
        <v>108</v>
      </c>
      <c r="D1519" s="30">
        <v>46306</v>
      </c>
      <c r="E1519" s="27" t="s">
        <v>267</v>
      </c>
      <c r="F1519" s="27" t="s">
        <v>126</v>
      </c>
      <c r="G1519" s="27"/>
      <c r="H1519" s="27"/>
      <c r="I1519" s="27"/>
      <c r="J1519" s="27" t="s">
        <v>177</v>
      </c>
      <c r="K1519" s="10">
        <v>0</v>
      </c>
      <c r="L1519" s="36" t="s">
        <v>263</v>
      </c>
      <c r="M1519" s="37"/>
      <c r="N1519" s="37"/>
      <c r="O1519" s="27"/>
      <c r="P1519" s="27"/>
      <c r="Q1519" s="27"/>
      <c r="R1519" s="27"/>
      <c r="S1519" s="2" t="s">
        <v>1859</v>
      </c>
      <c r="T1519" s="29" t="s">
        <v>265</v>
      </c>
      <c r="U1519" s="27"/>
      <c r="V1519" s="27"/>
      <c r="W1519" s="27"/>
    </row>
    <row r="1520" spans="1:23" ht="24" customHeight="1">
      <c r="A1520" s="27" t="str">
        <f t="shared" ca="1" si="23"/>
        <v>EVT-2026-1518</v>
      </c>
      <c r="B1520" s="27">
        <v>2026</v>
      </c>
      <c r="C1520" s="27" t="s">
        <v>108</v>
      </c>
      <c r="D1520" s="30">
        <v>46307</v>
      </c>
      <c r="E1520" s="27" t="s">
        <v>224</v>
      </c>
      <c r="F1520" s="27" t="s">
        <v>126</v>
      </c>
      <c r="G1520" s="27"/>
      <c r="H1520" s="27"/>
      <c r="I1520" s="27"/>
      <c r="J1520" s="27" t="s">
        <v>177</v>
      </c>
      <c r="K1520" s="10">
        <v>0</v>
      </c>
      <c r="L1520" s="36" t="s">
        <v>263</v>
      </c>
      <c r="M1520" s="37"/>
      <c r="N1520" s="37"/>
      <c r="O1520" s="27"/>
      <c r="P1520" s="27"/>
      <c r="Q1520" s="27"/>
      <c r="R1520" s="27"/>
      <c r="S1520" s="2" t="s">
        <v>1859</v>
      </c>
      <c r="T1520" s="29" t="s">
        <v>265</v>
      </c>
      <c r="U1520" s="27"/>
      <c r="V1520" s="27"/>
      <c r="W1520" s="27"/>
    </row>
    <row r="1521" spans="1:23" ht="24" customHeight="1">
      <c r="A1521" s="27" t="str">
        <f t="shared" ca="1" si="23"/>
        <v>EVT-2026-1519</v>
      </c>
      <c r="B1521" s="27">
        <v>2026</v>
      </c>
      <c r="C1521" s="27" t="s">
        <v>108</v>
      </c>
      <c r="D1521" s="30">
        <v>46308</v>
      </c>
      <c r="E1521" s="27" t="s">
        <v>227</v>
      </c>
      <c r="F1521" s="27" t="s">
        <v>126</v>
      </c>
      <c r="G1521" s="27" t="s">
        <v>228</v>
      </c>
      <c r="H1521" s="27" t="s">
        <v>125</v>
      </c>
      <c r="I1521" s="27" t="s">
        <v>2121</v>
      </c>
      <c r="J1521" s="27" t="s">
        <v>127</v>
      </c>
      <c r="K1521" s="10">
        <v>40</v>
      </c>
      <c r="L1521" s="36" t="s">
        <v>263</v>
      </c>
      <c r="M1521" s="37" t="s">
        <v>295</v>
      </c>
      <c r="N1521" s="37" t="s">
        <v>296</v>
      </c>
      <c r="O1521" s="27" t="s">
        <v>2128</v>
      </c>
      <c r="P1521" s="27" t="s">
        <v>1670</v>
      </c>
      <c r="Q1521" s="27" t="s">
        <v>2122</v>
      </c>
      <c r="R1521" s="27" t="s">
        <v>2123</v>
      </c>
      <c r="S1521" s="1" t="s">
        <v>264</v>
      </c>
      <c r="T1521" s="29" t="s">
        <v>265</v>
      </c>
      <c r="U1521" s="27"/>
      <c r="V1521" s="27" t="s">
        <v>2129</v>
      </c>
      <c r="W1521" s="27" t="s">
        <v>1497</v>
      </c>
    </row>
    <row r="1522" spans="1:23" ht="24" customHeight="1">
      <c r="A1522" s="27" t="str">
        <f t="shared" ca="1" si="23"/>
        <v>EVT-2026-1520</v>
      </c>
      <c r="B1522" s="27">
        <v>2026</v>
      </c>
      <c r="C1522" s="27" t="s">
        <v>108</v>
      </c>
      <c r="D1522" s="30">
        <v>46309</v>
      </c>
      <c r="E1522" s="27" t="s">
        <v>201</v>
      </c>
      <c r="F1522" s="27" t="s">
        <v>126</v>
      </c>
      <c r="G1522" s="27"/>
      <c r="H1522" s="27"/>
      <c r="I1522" s="27"/>
      <c r="J1522" s="27" t="s">
        <v>177</v>
      </c>
      <c r="K1522" s="10">
        <v>0</v>
      </c>
      <c r="L1522" s="36" t="s">
        <v>263</v>
      </c>
      <c r="M1522" s="37"/>
      <c r="N1522" s="37"/>
      <c r="O1522" s="27"/>
      <c r="P1522" s="27"/>
      <c r="Q1522" s="27"/>
      <c r="R1522" s="27"/>
      <c r="S1522" s="2" t="s">
        <v>1859</v>
      </c>
      <c r="T1522" s="29" t="s">
        <v>265</v>
      </c>
      <c r="U1522" s="27"/>
      <c r="V1522" s="27"/>
      <c r="W1522" s="27"/>
    </row>
    <row r="1523" spans="1:23" ht="24" customHeight="1">
      <c r="A1523" s="27" t="str">
        <f t="shared" ca="1" si="23"/>
        <v>EVT-2026-1521</v>
      </c>
      <c r="B1523" s="27">
        <v>2026</v>
      </c>
      <c r="C1523" s="27" t="s">
        <v>108</v>
      </c>
      <c r="D1523" s="30">
        <v>46310</v>
      </c>
      <c r="E1523" s="27" t="s">
        <v>216</v>
      </c>
      <c r="F1523" s="27" t="s">
        <v>126</v>
      </c>
      <c r="G1523" s="27"/>
      <c r="H1523" s="27"/>
      <c r="I1523" s="27"/>
      <c r="J1523" s="27" t="s">
        <v>177</v>
      </c>
      <c r="K1523" s="10">
        <v>0</v>
      </c>
      <c r="L1523" s="36" t="s">
        <v>263</v>
      </c>
      <c r="M1523" s="37"/>
      <c r="N1523" s="37"/>
      <c r="O1523" s="27"/>
      <c r="P1523" s="27"/>
      <c r="Q1523" s="27"/>
      <c r="R1523" s="27"/>
      <c r="S1523" s="2" t="s">
        <v>1859</v>
      </c>
      <c r="T1523" s="29" t="s">
        <v>265</v>
      </c>
      <c r="U1523" s="27"/>
      <c r="V1523" s="27"/>
      <c r="W1523" s="27"/>
    </row>
    <row r="1524" spans="1:23" ht="24" customHeight="1">
      <c r="A1524" s="27" t="str">
        <f t="shared" ca="1" si="23"/>
        <v>EVT-2026-1522</v>
      </c>
      <c r="B1524" s="27">
        <v>2026</v>
      </c>
      <c r="C1524" s="27" t="s">
        <v>108</v>
      </c>
      <c r="D1524" s="30">
        <v>46311</v>
      </c>
      <c r="E1524" s="27" t="s">
        <v>220</v>
      </c>
      <c r="F1524" s="27" t="s">
        <v>126</v>
      </c>
      <c r="G1524" s="27" t="s">
        <v>228</v>
      </c>
      <c r="H1524" s="27" t="s">
        <v>125</v>
      </c>
      <c r="I1524" s="27" t="s">
        <v>2130</v>
      </c>
      <c r="J1524" s="27" t="s">
        <v>177</v>
      </c>
      <c r="K1524" s="10">
        <v>8</v>
      </c>
      <c r="L1524" s="36" t="s">
        <v>263</v>
      </c>
      <c r="M1524" s="37" t="s">
        <v>269</v>
      </c>
      <c r="N1524" s="37" t="s">
        <v>270</v>
      </c>
      <c r="O1524" s="27" t="s">
        <v>382</v>
      </c>
      <c r="P1524" s="27" t="s">
        <v>382</v>
      </c>
      <c r="Q1524" s="27" t="s">
        <v>367</v>
      </c>
      <c r="R1524" s="27" t="s">
        <v>213</v>
      </c>
      <c r="S1524" s="2" t="s">
        <v>1859</v>
      </c>
      <c r="T1524" s="29" t="s">
        <v>265</v>
      </c>
      <c r="U1524" s="30">
        <v>46253</v>
      </c>
      <c r="V1524" s="27" t="s">
        <v>1717</v>
      </c>
      <c r="W1524" s="27" t="s">
        <v>1846</v>
      </c>
    </row>
    <row r="1525" spans="1:23" ht="24" customHeight="1">
      <c r="A1525" s="27" t="str">
        <f t="shared" ca="1" si="23"/>
        <v>EVT-2026-1523</v>
      </c>
      <c r="B1525" s="27">
        <v>2026</v>
      </c>
      <c r="C1525" s="27" t="s">
        <v>108</v>
      </c>
      <c r="D1525" s="30">
        <v>46312</v>
      </c>
      <c r="E1525" s="27" t="s">
        <v>266</v>
      </c>
      <c r="F1525" s="27" t="s">
        <v>126</v>
      </c>
      <c r="G1525" s="27"/>
      <c r="H1525" s="27"/>
      <c r="I1525" s="27"/>
      <c r="J1525" s="27" t="s">
        <v>177</v>
      </c>
      <c r="K1525" s="10">
        <v>0</v>
      </c>
      <c r="L1525" s="36" t="s">
        <v>263</v>
      </c>
      <c r="M1525" s="37"/>
      <c r="N1525" s="37"/>
      <c r="O1525" s="27"/>
      <c r="P1525" s="27"/>
      <c r="Q1525" s="27"/>
      <c r="R1525" s="27"/>
      <c r="S1525" s="2" t="s">
        <v>1859</v>
      </c>
      <c r="T1525" s="29" t="s">
        <v>265</v>
      </c>
      <c r="U1525" s="27"/>
      <c r="V1525" s="27"/>
      <c r="W1525" s="27"/>
    </row>
    <row r="1526" spans="1:23" ht="24" customHeight="1">
      <c r="A1526" s="27" t="str">
        <f t="shared" ca="1" si="23"/>
        <v>EVT-2026-1524</v>
      </c>
      <c r="B1526" s="27">
        <v>2026</v>
      </c>
      <c r="C1526" s="27" t="s">
        <v>108</v>
      </c>
      <c r="D1526" s="30">
        <v>46313</v>
      </c>
      <c r="E1526" s="27" t="s">
        <v>267</v>
      </c>
      <c r="F1526" s="27" t="s">
        <v>126</v>
      </c>
      <c r="G1526" s="27"/>
      <c r="H1526" s="27"/>
      <c r="I1526" s="27"/>
      <c r="J1526" s="27" t="s">
        <v>177</v>
      </c>
      <c r="K1526" s="10">
        <v>0</v>
      </c>
      <c r="L1526" s="36" t="s">
        <v>263</v>
      </c>
      <c r="M1526" s="37"/>
      <c r="N1526" s="37"/>
      <c r="O1526" s="27"/>
      <c r="P1526" s="27"/>
      <c r="Q1526" s="27"/>
      <c r="R1526" s="27"/>
      <c r="S1526" s="2" t="s">
        <v>1859</v>
      </c>
      <c r="T1526" s="29" t="s">
        <v>265</v>
      </c>
      <c r="U1526" s="27"/>
      <c r="V1526" s="27"/>
      <c r="W1526" s="27"/>
    </row>
    <row r="1527" spans="1:23" ht="24" customHeight="1">
      <c r="A1527" s="27" t="str">
        <f t="shared" ca="1" si="23"/>
        <v>EVT-2026-1525</v>
      </c>
      <c r="B1527" s="27">
        <v>2026</v>
      </c>
      <c r="C1527" s="27" t="s">
        <v>108</v>
      </c>
      <c r="D1527" s="30">
        <v>46314</v>
      </c>
      <c r="E1527" s="27" t="s">
        <v>224</v>
      </c>
      <c r="F1527" s="27" t="s">
        <v>126</v>
      </c>
      <c r="G1527" s="27"/>
      <c r="H1527" s="27"/>
      <c r="I1527" s="27"/>
      <c r="J1527" s="27" t="s">
        <v>177</v>
      </c>
      <c r="K1527" s="10">
        <v>0</v>
      </c>
      <c r="L1527" s="36" t="s">
        <v>263</v>
      </c>
      <c r="M1527" s="37"/>
      <c r="N1527" s="37"/>
      <c r="O1527" s="27"/>
      <c r="P1527" s="27"/>
      <c r="Q1527" s="27"/>
      <c r="R1527" s="27"/>
      <c r="S1527" s="2" t="s">
        <v>1859</v>
      </c>
      <c r="T1527" s="29" t="s">
        <v>265</v>
      </c>
      <c r="U1527" s="27"/>
      <c r="V1527" s="27"/>
      <c r="W1527" s="27"/>
    </row>
    <row r="1528" spans="1:23" ht="24" customHeight="1">
      <c r="A1528" s="27" t="str">
        <f t="shared" ca="1" si="23"/>
        <v>EVT-2026-1526</v>
      </c>
      <c r="B1528" s="27">
        <v>2026</v>
      </c>
      <c r="C1528" s="27" t="s">
        <v>108</v>
      </c>
      <c r="D1528" s="30">
        <v>46315</v>
      </c>
      <c r="E1528" s="27" t="s">
        <v>227</v>
      </c>
      <c r="F1528" s="27" t="s">
        <v>126</v>
      </c>
      <c r="G1528" s="27"/>
      <c r="H1528" s="27"/>
      <c r="I1528" s="27"/>
      <c r="J1528" s="27" t="s">
        <v>177</v>
      </c>
      <c r="K1528" s="10">
        <v>0</v>
      </c>
      <c r="L1528" s="36" t="s">
        <v>263</v>
      </c>
      <c r="M1528" s="37"/>
      <c r="N1528" s="37"/>
      <c r="O1528" s="27"/>
      <c r="P1528" s="27"/>
      <c r="Q1528" s="27"/>
      <c r="R1528" s="27"/>
      <c r="S1528" s="2" t="s">
        <v>1859</v>
      </c>
      <c r="T1528" s="29" t="s">
        <v>265</v>
      </c>
      <c r="U1528" s="27"/>
      <c r="V1528" s="27"/>
      <c r="W1528" s="27"/>
    </row>
    <row r="1529" spans="1:23" ht="24" customHeight="1">
      <c r="A1529" s="27" t="str">
        <f t="shared" ca="1" si="23"/>
        <v>EVT-2026-1527</v>
      </c>
      <c r="B1529" s="27">
        <v>2026</v>
      </c>
      <c r="C1529" s="27" t="s">
        <v>108</v>
      </c>
      <c r="D1529" s="30">
        <v>46316</v>
      </c>
      <c r="E1529" s="27" t="s">
        <v>201</v>
      </c>
      <c r="F1529" s="27" t="s">
        <v>126</v>
      </c>
      <c r="G1529" s="27"/>
      <c r="H1529" s="27"/>
      <c r="I1529" s="27"/>
      <c r="J1529" s="27" t="s">
        <v>177</v>
      </c>
      <c r="K1529" s="10">
        <v>0</v>
      </c>
      <c r="L1529" s="36" t="s">
        <v>263</v>
      </c>
      <c r="M1529" s="37"/>
      <c r="N1529" s="37"/>
      <c r="O1529" s="27"/>
      <c r="P1529" s="27"/>
      <c r="Q1529" s="27"/>
      <c r="R1529" s="27"/>
      <c r="S1529" s="2" t="s">
        <v>1859</v>
      </c>
      <c r="T1529" s="29" t="s">
        <v>265</v>
      </c>
      <c r="U1529" s="27"/>
      <c r="V1529" s="27"/>
      <c r="W1529" s="27"/>
    </row>
    <row r="1530" spans="1:23" ht="24" customHeight="1">
      <c r="A1530" s="27" t="str">
        <f t="shared" ca="1" si="23"/>
        <v>EVT-2026-1528</v>
      </c>
      <c r="B1530" s="27">
        <v>2026</v>
      </c>
      <c r="C1530" s="27" t="s">
        <v>108</v>
      </c>
      <c r="D1530" s="30">
        <v>46317</v>
      </c>
      <c r="E1530" s="27" t="s">
        <v>216</v>
      </c>
      <c r="F1530" s="27" t="s">
        <v>126</v>
      </c>
      <c r="G1530" s="27"/>
      <c r="H1530" s="27"/>
      <c r="I1530" s="27"/>
      <c r="J1530" s="27" t="s">
        <v>177</v>
      </c>
      <c r="K1530" s="10">
        <v>0</v>
      </c>
      <c r="L1530" s="36" t="s">
        <v>263</v>
      </c>
      <c r="M1530" s="37"/>
      <c r="N1530" s="37"/>
      <c r="O1530" s="27"/>
      <c r="P1530" s="27"/>
      <c r="Q1530" s="27"/>
      <c r="R1530" s="27"/>
      <c r="S1530" s="2" t="s">
        <v>1859</v>
      </c>
      <c r="T1530" s="29" t="s">
        <v>265</v>
      </c>
      <c r="U1530" s="27"/>
      <c r="V1530" s="27"/>
      <c r="W1530" s="27"/>
    </row>
    <row r="1531" spans="1:23" ht="24" customHeight="1">
      <c r="A1531" s="27" t="str">
        <f t="shared" ca="1" si="23"/>
        <v>EVT-2026-1529</v>
      </c>
      <c r="B1531" s="27">
        <v>2026</v>
      </c>
      <c r="C1531" s="27" t="s">
        <v>108</v>
      </c>
      <c r="D1531" s="30">
        <v>46318</v>
      </c>
      <c r="E1531" s="27" t="s">
        <v>220</v>
      </c>
      <c r="F1531" s="27" t="s">
        <v>126</v>
      </c>
      <c r="G1531" s="27"/>
      <c r="H1531" s="27"/>
      <c r="I1531" s="27"/>
      <c r="J1531" s="27" t="s">
        <v>177</v>
      </c>
      <c r="K1531" s="10">
        <v>0</v>
      </c>
      <c r="L1531" s="36" t="s">
        <v>263</v>
      </c>
      <c r="M1531" s="37"/>
      <c r="N1531" s="37"/>
      <c r="O1531" s="27"/>
      <c r="P1531" s="27"/>
      <c r="Q1531" s="27"/>
      <c r="R1531" s="27"/>
      <c r="S1531" s="2" t="s">
        <v>1859</v>
      </c>
      <c r="T1531" s="29" t="s">
        <v>265</v>
      </c>
      <c r="U1531" s="27"/>
      <c r="V1531" s="27"/>
      <c r="W1531" s="27"/>
    </row>
    <row r="1532" spans="1:23" ht="24" customHeight="1">
      <c r="A1532" s="27" t="str">
        <f t="shared" ca="1" si="23"/>
        <v>EVT-2026-1530</v>
      </c>
      <c r="B1532" s="27">
        <v>2026</v>
      </c>
      <c r="C1532" s="27" t="s">
        <v>108</v>
      </c>
      <c r="D1532" s="30">
        <v>46319</v>
      </c>
      <c r="E1532" s="27" t="s">
        <v>266</v>
      </c>
      <c r="F1532" s="27" t="s">
        <v>126</v>
      </c>
      <c r="G1532" s="27"/>
      <c r="H1532" s="27"/>
      <c r="I1532" s="27"/>
      <c r="J1532" s="27" t="s">
        <v>177</v>
      </c>
      <c r="K1532" s="10">
        <v>0</v>
      </c>
      <c r="L1532" s="36" t="s">
        <v>263</v>
      </c>
      <c r="M1532" s="37"/>
      <c r="N1532" s="37"/>
      <c r="O1532" s="27"/>
      <c r="P1532" s="27"/>
      <c r="Q1532" s="27"/>
      <c r="R1532" s="27"/>
      <c r="S1532" s="2" t="s">
        <v>1859</v>
      </c>
      <c r="T1532" s="29" t="s">
        <v>265</v>
      </c>
      <c r="U1532" s="27"/>
      <c r="V1532" s="27"/>
      <c r="W1532" s="27"/>
    </row>
    <row r="1533" spans="1:23" ht="24" customHeight="1">
      <c r="A1533" s="27" t="str">
        <f t="shared" ca="1" si="23"/>
        <v>EVT-2026-1531</v>
      </c>
      <c r="B1533" s="27">
        <v>2026</v>
      </c>
      <c r="C1533" s="27" t="s">
        <v>108</v>
      </c>
      <c r="D1533" s="30">
        <v>46320</v>
      </c>
      <c r="E1533" s="27" t="s">
        <v>267</v>
      </c>
      <c r="F1533" s="27" t="s">
        <v>126</v>
      </c>
      <c r="G1533" s="27"/>
      <c r="H1533" s="27"/>
      <c r="I1533" s="27"/>
      <c r="J1533" s="27" t="s">
        <v>177</v>
      </c>
      <c r="K1533" s="10">
        <v>0</v>
      </c>
      <c r="L1533" s="36" t="s">
        <v>263</v>
      </c>
      <c r="M1533" s="37"/>
      <c r="N1533" s="37"/>
      <c r="O1533" s="27"/>
      <c r="P1533" s="27"/>
      <c r="Q1533" s="27"/>
      <c r="R1533" s="27"/>
      <c r="S1533" s="2" t="s">
        <v>1859</v>
      </c>
      <c r="T1533" s="29" t="s">
        <v>265</v>
      </c>
      <c r="U1533" s="27"/>
      <c r="V1533" s="27"/>
      <c r="W1533" s="27"/>
    </row>
    <row r="1534" spans="1:23" ht="24" customHeight="1">
      <c r="A1534" s="27" t="str">
        <f t="shared" ca="1" si="23"/>
        <v>EVT-2026-1532</v>
      </c>
      <c r="B1534" s="27">
        <v>2026</v>
      </c>
      <c r="C1534" s="27" t="s">
        <v>108</v>
      </c>
      <c r="D1534" s="30">
        <v>46321</v>
      </c>
      <c r="E1534" s="27" t="s">
        <v>224</v>
      </c>
      <c r="F1534" s="27" t="s">
        <v>126</v>
      </c>
      <c r="G1534" s="27"/>
      <c r="H1534" s="27"/>
      <c r="I1534" s="27"/>
      <c r="J1534" s="27" t="s">
        <v>177</v>
      </c>
      <c r="K1534" s="10">
        <v>0</v>
      </c>
      <c r="L1534" s="36" t="s">
        <v>263</v>
      </c>
      <c r="M1534" s="37"/>
      <c r="N1534" s="37"/>
      <c r="O1534" s="27"/>
      <c r="P1534" s="27"/>
      <c r="Q1534" s="27"/>
      <c r="R1534" s="27"/>
      <c r="S1534" s="2" t="s">
        <v>1859</v>
      </c>
      <c r="T1534" s="29" t="s">
        <v>265</v>
      </c>
      <c r="U1534" s="27"/>
      <c r="V1534" s="27"/>
      <c r="W1534" s="27"/>
    </row>
    <row r="1535" spans="1:23" ht="24" customHeight="1">
      <c r="A1535" s="27" t="str">
        <f t="shared" ca="1" si="23"/>
        <v>EVT-2026-1533</v>
      </c>
      <c r="B1535" s="27">
        <v>2026</v>
      </c>
      <c r="C1535" s="27" t="s">
        <v>108</v>
      </c>
      <c r="D1535" s="30">
        <v>46322</v>
      </c>
      <c r="E1535" s="27" t="s">
        <v>227</v>
      </c>
      <c r="F1535" s="27" t="s">
        <v>126</v>
      </c>
      <c r="G1535" s="27"/>
      <c r="H1535" s="27"/>
      <c r="I1535" s="27"/>
      <c r="J1535" s="27" t="s">
        <v>177</v>
      </c>
      <c r="K1535" s="10">
        <v>0</v>
      </c>
      <c r="L1535" s="36" t="s">
        <v>263</v>
      </c>
      <c r="M1535" s="37"/>
      <c r="N1535" s="37"/>
      <c r="O1535" s="27"/>
      <c r="P1535" s="27"/>
      <c r="Q1535" s="27"/>
      <c r="R1535" s="27"/>
      <c r="S1535" s="2" t="s">
        <v>1859</v>
      </c>
      <c r="T1535" s="29" t="s">
        <v>265</v>
      </c>
      <c r="U1535" s="27"/>
      <c r="V1535" s="27"/>
      <c r="W1535" s="27"/>
    </row>
    <row r="1536" spans="1:23" ht="24" customHeight="1">
      <c r="A1536" s="27" t="str">
        <f t="shared" ca="1" si="23"/>
        <v>EVT-2026-1534</v>
      </c>
      <c r="B1536" s="27">
        <v>2026</v>
      </c>
      <c r="C1536" s="27" t="s">
        <v>108</v>
      </c>
      <c r="D1536" s="30">
        <v>46323</v>
      </c>
      <c r="E1536" s="27" t="s">
        <v>201</v>
      </c>
      <c r="F1536" s="27" t="s">
        <v>126</v>
      </c>
      <c r="G1536" s="27"/>
      <c r="H1536" s="27"/>
      <c r="I1536" s="27"/>
      <c r="J1536" s="27" t="s">
        <v>177</v>
      </c>
      <c r="K1536" s="10">
        <v>0</v>
      </c>
      <c r="L1536" s="36" t="s">
        <v>263</v>
      </c>
      <c r="M1536" s="37"/>
      <c r="N1536" s="37"/>
      <c r="O1536" s="27"/>
      <c r="P1536" s="27"/>
      <c r="Q1536" s="27"/>
      <c r="R1536" s="27"/>
      <c r="S1536" s="2" t="s">
        <v>1859</v>
      </c>
      <c r="T1536" s="29" t="s">
        <v>265</v>
      </c>
      <c r="U1536" s="27"/>
      <c r="V1536" s="27"/>
      <c r="W1536" s="27"/>
    </row>
    <row r="1537" spans="1:23" ht="24" customHeight="1">
      <c r="A1537" s="27" t="str">
        <f t="shared" ca="1" si="23"/>
        <v>EVT-2026-1535</v>
      </c>
      <c r="B1537" s="27">
        <v>2026</v>
      </c>
      <c r="C1537" s="27" t="s">
        <v>108</v>
      </c>
      <c r="D1537" s="30">
        <v>46324</v>
      </c>
      <c r="E1537" s="27" t="s">
        <v>216</v>
      </c>
      <c r="F1537" s="27" t="s">
        <v>126</v>
      </c>
      <c r="G1537" s="27"/>
      <c r="H1537" s="27"/>
      <c r="I1537" s="27"/>
      <c r="J1537" s="27" t="s">
        <v>177</v>
      </c>
      <c r="K1537" s="10">
        <v>0</v>
      </c>
      <c r="L1537" s="36" t="s">
        <v>263</v>
      </c>
      <c r="M1537" s="37"/>
      <c r="N1537" s="37"/>
      <c r="O1537" s="27"/>
      <c r="P1537" s="27"/>
      <c r="Q1537" s="27"/>
      <c r="R1537" s="27"/>
      <c r="S1537" s="2" t="s">
        <v>1859</v>
      </c>
      <c r="T1537" s="29" t="s">
        <v>265</v>
      </c>
      <c r="U1537" s="27"/>
      <c r="V1537" s="27"/>
      <c r="W1537" s="27"/>
    </row>
    <row r="1538" spans="1:23" ht="24" customHeight="1">
      <c r="A1538" s="27" t="str">
        <f t="shared" ca="1" si="23"/>
        <v>EVT-2026-1536</v>
      </c>
      <c r="B1538" s="27">
        <v>2026</v>
      </c>
      <c r="C1538" s="27" t="s">
        <v>108</v>
      </c>
      <c r="D1538" s="30">
        <v>46324</v>
      </c>
      <c r="E1538" s="27" t="s">
        <v>216</v>
      </c>
      <c r="F1538" s="27" t="s">
        <v>126</v>
      </c>
      <c r="G1538" s="27" t="s">
        <v>202</v>
      </c>
      <c r="H1538" s="27" t="s">
        <v>125</v>
      </c>
      <c r="I1538" s="27" t="s">
        <v>658</v>
      </c>
      <c r="J1538" s="27" t="s">
        <v>152</v>
      </c>
      <c r="K1538" s="10">
        <v>60</v>
      </c>
      <c r="L1538" s="36" t="s">
        <v>263</v>
      </c>
      <c r="M1538" s="37" t="s">
        <v>295</v>
      </c>
      <c r="N1538" s="37" t="s">
        <v>270</v>
      </c>
      <c r="O1538" s="27" t="s">
        <v>2131</v>
      </c>
      <c r="P1538" s="27"/>
      <c r="Q1538" s="27" t="s">
        <v>1163</v>
      </c>
      <c r="R1538" s="27"/>
      <c r="S1538" s="2" t="s">
        <v>1859</v>
      </c>
      <c r="T1538" s="29" t="s">
        <v>265</v>
      </c>
      <c r="U1538" s="27"/>
      <c r="V1538" s="27" t="s">
        <v>2132</v>
      </c>
      <c r="W1538" s="27" t="s">
        <v>321</v>
      </c>
    </row>
    <row r="1539" spans="1:23" ht="24" customHeight="1">
      <c r="A1539" s="27" t="str">
        <f t="shared" ref="A1539:A1602" ca="1" si="24">IF(OR(D1539&lt;&gt;"",H1539&lt;&gt;"",I1539&lt;&gt;"",Q1539&lt;&gt;"",S1539&lt;&gt;""), "EVT-" &amp; TEXT(B1539, "0000") &amp; "-" &amp; TEXT(COUNTIF(OFFSET($A$1, 1, 0, ROW()-2, 1), "EVT*") + 1, "0000"), "")</f>
        <v>EVT-2026-1537</v>
      </c>
      <c r="B1539" s="27">
        <v>2026</v>
      </c>
      <c r="C1539" s="27" t="s">
        <v>108</v>
      </c>
      <c r="D1539" s="30">
        <v>46325</v>
      </c>
      <c r="E1539" s="27" t="s">
        <v>220</v>
      </c>
      <c r="F1539" s="27" t="s">
        <v>126</v>
      </c>
      <c r="G1539" s="27"/>
      <c r="H1539" s="27"/>
      <c r="I1539" s="27"/>
      <c r="J1539" s="27" t="s">
        <v>177</v>
      </c>
      <c r="K1539" s="10">
        <v>0</v>
      </c>
      <c r="L1539" s="36" t="s">
        <v>263</v>
      </c>
      <c r="M1539" s="37"/>
      <c r="N1539" s="37"/>
      <c r="O1539" s="27"/>
      <c r="P1539" s="27"/>
      <c r="Q1539" s="27"/>
      <c r="R1539" s="27"/>
      <c r="S1539" s="2" t="s">
        <v>1859</v>
      </c>
      <c r="T1539" s="29" t="s">
        <v>265</v>
      </c>
      <c r="U1539" s="27"/>
      <c r="V1539" s="27"/>
      <c r="W1539" s="27"/>
    </row>
    <row r="1540" spans="1:23" ht="24" customHeight="1">
      <c r="A1540" s="27" t="str">
        <f t="shared" ca="1" si="24"/>
        <v>EVT-2026-1538</v>
      </c>
      <c r="B1540" s="27">
        <v>2026</v>
      </c>
      <c r="C1540" s="27" t="s">
        <v>108</v>
      </c>
      <c r="D1540" s="30">
        <v>46325</v>
      </c>
      <c r="E1540" s="27" t="s">
        <v>220</v>
      </c>
      <c r="F1540" s="27" t="s">
        <v>126</v>
      </c>
      <c r="G1540" s="27" t="s">
        <v>202</v>
      </c>
      <c r="H1540" s="27" t="s">
        <v>2133</v>
      </c>
      <c r="I1540" s="27" t="s">
        <v>344</v>
      </c>
      <c r="J1540" s="27" t="s">
        <v>134</v>
      </c>
      <c r="K1540" s="10">
        <v>60</v>
      </c>
      <c r="L1540" s="36" t="s">
        <v>263</v>
      </c>
      <c r="M1540" s="37" t="s">
        <v>289</v>
      </c>
      <c r="N1540" s="37" t="s">
        <v>296</v>
      </c>
      <c r="O1540" s="27"/>
      <c r="P1540" s="27"/>
      <c r="Q1540" s="27" t="s">
        <v>379</v>
      </c>
      <c r="R1540" s="27"/>
      <c r="S1540" s="2" t="s">
        <v>1859</v>
      </c>
      <c r="T1540" s="29" t="s">
        <v>265</v>
      </c>
      <c r="U1540" s="27"/>
      <c r="V1540" s="27"/>
      <c r="W1540" s="27" t="s">
        <v>2105</v>
      </c>
    </row>
    <row r="1541" spans="1:23" ht="24" customHeight="1">
      <c r="A1541" s="27" t="str">
        <f t="shared" ca="1" si="24"/>
        <v>EVT-2026-1539</v>
      </c>
      <c r="B1541" s="27">
        <v>2026</v>
      </c>
      <c r="C1541" s="27" t="s">
        <v>108</v>
      </c>
      <c r="D1541" s="30">
        <v>46325</v>
      </c>
      <c r="E1541" s="27" t="s">
        <v>220</v>
      </c>
      <c r="F1541" s="27" t="s">
        <v>126</v>
      </c>
      <c r="G1541" s="27" t="s">
        <v>228</v>
      </c>
      <c r="H1541" s="27" t="s">
        <v>1512</v>
      </c>
      <c r="I1541" s="27" t="s">
        <v>1801</v>
      </c>
      <c r="J1541" s="27" t="s">
        <v>139</v>
      </c>
      <c r="K1541" s="10">
        <v>50</v>
      </c>
      <c r="L1541" s="36" t="s">
        <v>263</v>
      </c>
      <c r="M1541" s="37" t="s">
        <v>295</v>
      </c>
      <c r="N1541" s="37" t="s">
        <v>270</v>
      </c>
      <c r="O1541" s="27" t="s">
        <v>382</v>
      </c>
      <c r="P1541" s="27"/>
      <c r="Q1541" s="27" t="s">
        <v>916</v>
      </c>
      <c r="R1541" s="27"/>
      <c r="S1541" s="2" t="s">
        <v>1859</v>
      </c>
      <c r="T1541" s="29" t="s">
        <v>265</v>
      </c>
      <c r="U1541" s="27"/>
      <c r="V1541" s="27" t="s">
        <v>1803</v>
      </c>
      <c r="W1541" s="27" t="s">
        <v>1177</v>
      </c>
    </row>
    <row r="1542" spans="1:23" ht="24" customHeight="1">
      <c r="A1542" s="27" t="str">
        <f t="shared" ca="1" si="24"/>
        <v>EVT-2026-1540</v>
      </c>
      <c r="B1542" s="27">
        <v>2026</v>
      </c>
      <c r="C1542" s="27" t="s">
        <v>108</v>
      </c>
      <c r="D1542" s="30">
        <v>46326</v>
      </c>
      <c r="E1542" s="27" t="s">
        <v>266</v>
      </c>
      <c r="F1542" s="27" t="s">
        <v>126</v>
      </c>
      <c r="G1542" s="27"/>
      <c r="H1542" s="27"/>
      <c r="I1542" s="27"/>
      <c r="J1542" s="27" t="s">
        <v>177</v>
      </c>
      <c r="K1542" s="10">
        <v>0</v>
      </c>
      <c r="L1542" s="36" t="s">
        <v>263</v>
      </c>
      <c r="M1542" s="37"/>
      <c r="N1542" s="37"/>
      <c r="O1542" s="27"/>
      <c r="P1542" s="27"/>
      <c r="Q1542" s="27"/>
      <c r="R1542" s="27"/>
      <c r="S1542" s="2" t="s">
        <v>1859</v>
      </c>
      <c r="T1542" s="29" t="s">
        <v>265</v>
      </c>
      <c r="U1542" s="27"/>
      <c r="V1542" s="27"/>
      <c r="W1542" s="27"/>
    </row>
    <row r="1543" spans="1:23" ht="24" customHeight="1">
      <c r="A1543" s="27" t="str">
        <f t="shared" ca="1" si="24"/>
        <v>EVT-2026-1541</v>
      </c>
      <c r="B1543" s="27">
        <v>2026</v>
      </c>
      <c r="C1543" s="27" t="s">
        <v>108</v>
      </c>
      <c r="D1543" s="27"/>
      <c r="E1543" s="27"/>
      <c r="F1543" s="27" t="s">
        <v>126</v>
      </c>
      <c r="G1543" s="27"/>
      <c r="H1543" s="27"/>
      <c r="I1543" s="27"/>
      <c r="J1543" s="27" t="s">
        <v>177</v>
      </c>
      <c r="K1543" s="10">
        <v>0</v>
      </c>
      <c r="L1543" s="36" t="s">
        <v>263</v>
      </c>
      <c r="M1543" s="37"/>
      <c r="N1543" s="37"/>
      <c r="O1543" s="27"/>
      <c r="P1543" s="27"/>
      <c r="Q1543" s="27"/>
      <c r="R1543" s="27"/>
      <c r="S1543" s="2" t="s">
        <v>1859</v>
      </c>
      <c r="T1543" s="29" t="s">
        <v>265</v>
      </c>
      <c r="U1543" s="27"/>
      <c r="V1543" s="27"/>
      <c r="W1543" s="27"/>
    </row>
    <row r="1544" spans="1:23" ht="24" customHeight="1">
      <c r="A1544" s="27" t="str">
        <f t="shared" ca="1" si="24"/>
        <v>EVT-2026-1542</v>
      </c>
      <c r="B1544" s="27">
        <v>2026</v>
      </c>
      <c r="C1544" s="27" t="s">
        <v>108</v>
      </c>
      <c r="D1544" s="27"/>
      <c r="E1544" s="27"/>
      <c r="F1544" s="27" t="s">
        <v>126</v>
      </c>
      <c r="G1544" s="27"/>
      <c r="H1544" s="27"/>
      <c r="I1544" s="27"/>
      <c r="J1544" s="27" t="s">
        <v>177</v>
      </c>
      <c r="K1544" s="10">
        <v>0</v>
      </c>
      <c r="L1544" s="36" t="s">
        <v>263</v>
      </c>
      <c r="M1544" s="37"/>
      <c r="N1544" s="37"/>
      <c r="O1544" s="27"/>
      <c r="P1544" s="27"/>
      <c r="Q1544" s="27"/>
      <c r="R1544" s="27"/>
      <c r="S1544" s="2" t="s">
        <v>1859</v>
      </c>
      <c r="T1544" s="29" t="s">
        <v>265</v>
      </c>
      <c r="U1544" s="27"/>
      <c r="V1544" s="27"/>
      <c r="W1544" s="27"/>
    </row>
    <row r="1545" spans="1:23" ht="24" customHeight="1">
      <c r="A1545" s="27" t="str">
        <f t="shared" ca="1" si="24"/>
        <v>EVT-2026-1543</v>
      </c>
      <c r="B1545" s="27">
        <v>2026</v>
      </c>
      <c r="C1545" s="27" t="s">
        <v>108</v>
      </c>
      <c r="D1545" s="27"/>
      <c r="E1545" s="27"/>
      <c r="F1545" s="27" t="s">
        <v>126</v>
      </c>
      <c r="G1545" s="27"/>
      <c r="H1545" s="27"/>
      <c r="I1545" s="27"/>
      <c r="J1545" s="27" t="s">
        <v>177</v>
      </c>
      <c r="K1545" s="10">
        <v>0</v>
      </c>
      <c r="L1545" s="36" t="s">
        <v>263</v>
      </c>
      <c r="M1545" s="37"/>
      <c r="N1545" s="37"/>
      <c r="O1545" s="27"/>
      <c r="P1545" s="27"/>
      <c r="Q1545" s="27"/>
      <c r="R1545" s="27"/>
      <c r="S1545" s="2" t="s">
        <v>1859</v>
      </c>
      <c r="T1545" s="29" t="s">
        <v>265</v>
      </c>
      <c r="U1545" s="27"/>
      <c r="V1545" s="27"/>
      <c r="W1545" s="27"/>
    </row>
    <row r="1546" spans="1:23" ht="24" customHeight="1">
      <c r="A1546" s="27" t="str">
        <f t="shared" ca="1" si="24"/>
        <v>EVT-2026-1544</v>
      </c>
      <c r="B1546" s="27">
        <v>2026</v>
      </c>
      <c r="C1546" s="27" t="s">
        <v>108</v>
      </c>
      <c r="D1546" s="27"/>
      <c r="E1546" s="27"/>
      <c r="F1546" s="27" t="s">
        <v>126</v>
      </c>
      <c r="G1546" s="27"/>
      <c r="H1546" s="27"/>
      <c r="I1546" s="27"/>
      <c r="J1546" s="27" t="s">
        <v>177</v>
      </c>
      <c r="K1546" s="10">
        <v>0</v>
      </c>
      <c r="L1546" s="36" t="s">
        <v>263</v>
      </c>
      <c r="M1546" s="37"/>
      <c r="N1546" s="37"/>
      <c r="O1546" s="27"/>
      <c r="P1546" s="27"/>
      <c r="Q1546" s="27"/>
      <c r="R1546" s="27"/>
      <c r="S1546" s="2" t="s">
        <v>1859</v>
      </c>
      <c r="T1546" s="29" t="s">
        <v>265</v>
      </c>
      <c r="U1546" s="27"/>
      <c r="V1546" s="27"/>
      <c r="W1546" s="27"/>
    </row>
    <row r="1547" spans="1:23" ht="24" customHeight="1">
      <c r="A1547" s="27" t="str">
        <f t="shared" ca="1" si="24"/>
        <v>EVT-2026-1545</v>
      </c>
      <c r="B1547" s="27">
        <v>2026</v>
      </c>
      <c r="C1547" s="27" t="s">
        <v>108</v>
      </c>
      <c r="D1547" s="27"/>
      <c r="E1547" s="27"/>
      <c r="F1547" s="27" t="s">
        <v>126</v>
      </c>
      <c r="G1547" s="27"/>
      <c r="H1547" s="27"/>
      <c r="I1547" s="27"/>
      <c r="J1547" s="27" t="s">
        <v>177</v>
      </c>
      <c r="K1547" s="10">
        <v>0</v>
      </c>
      <c r="L1547" s="36" t="s">
        <v>263</v>
      </c>
      <c r="M1547" s="37"/>
      <c r="N1547" s="37"/>
      <c r="O1547" s="27"/>
      <c r="P1547" s="27"/>
      <c r="Q1547" s="27"/>
      <c r="R1547" s="27"/>
      <c r="S1547" s="2" t="s">
        <v>1859</v>
      </c>
      <c r="T1547" s="29" t="s">
        <v>265</v>
      </c>
      <c r="U1547" s="27"/>
      <c r="V1547" s="27"/>
      <c r="W1547" s="27"/>
    </row>
    <row r="1548" spans="1:23" ht="24" customHeight="1">
      <c r="A1548" s="27" t="str">
        <f t="shared" ca="1" si="24"/>
        <v>EVT-2026-1546</v>
      </c>
      <c r="B1548" s="27">
        <v>2026</v>
      </c>
      <c r="C1548" s="27" t="s">
        <v>108</v>
      </c>
      <c r="D1548" s="27"/>
      <c r="E1548" s="27"/>
      <c r="F1548" s="27" t="s">
        <v>126</v>
      </c>
      <c r="G1548" s="27"/>
      <c r="H1548" s="27"/>
      <c r="I1548" s="27"/>
      <c r="J1548" s="27" t="s">
        <v>177</v>
      </c>
      <c r="K1548" s="10">
        <v>0</v>
      </c>
      <c r="L1548" s="36" t="s">
        <v>263</v>
      </c>
      <c r="M1548" s="37"/>
      <c r="N1548" s="37"/>
      <c r="O1548" s="27"/>
      <c r="P1548" s="27"/>
      <c r="Q1548" s="27"/>
      <c r="R1548" s="27"/>
      <c r="S1548" s="2" t="s">
        <v>1859</v>
      </c>
      <c r="T1548" s="29" t="s">
        <v>265</v>
      </c>
      <c r="U1548" s="27"/>
      <c r="V1548" s="27"/>
      <c r="W1548" s="27"/>
    </row>
    <row r="1549" spans="1:23" ht="24" customHeight="1">
      <c r="A1549" s="27" t="str">
        <f t="shared" ca="1" si="24"/>
        <v>EVT-2026-1547</v>
      </c>
      <c r="B1549" s="27">
        <v>2026</v>
      </c>
      <c r="C1549" s="27" t="s">
        <v>108</v>
      </c>
      <c r="D1549" s="27"/>
      <c r="E1549" s="27"/>
      <c r="F1549" s="27" t="s">
        <v>126</v>
      </c>
      <c r="G1549" s="27"/>
      <c r="H1549" s="27"/>
      <c r="I1549" s="27"/>
      <c r="J1549" s="27" t="s">
        <v>177</v>
      </c>
      <c r="K1549" s="10">
        <v>0</v>
      </c>
      <c r="L1549" s="36" t="s">
        <v>263</v>
      </c>
      <c r="M1549" s="37"/>
      <c r="N1549" s="37"/>
      <c r="O1549" s="27"/>
      <c r="P1549" s="27"/>
      <c r="Q1549" s="27"/>
      <c r="R1549" s="27"/>
      <c r="S1549" s="2" t="s">
        <v>1859</v>
      </c>
      <c r="T1549" s="29" t="s">
        <v>265</v>
      </c>
      <c r="U1549" s="27"/>
      <c r="V1549" s="27"/>
      <c r="W1549" s="27"/>
    </row>
    <row r="1550" spans="1:23" ht="24" customHeight="1">
      <c r="A1550" s="27" t="str">
        <f t="shared" ca="1" si="24"/>
        <v>EVT-2026-1548</v>
      </c>
      <c r="B1550" s="27">
        <v>2026</v>
      </c>
      <c r="C1550" s="27" t="s">
        <v>108</v>
      </c>
      <c r="D1550" s="27"/>
      <c r="E1550" s="27"/>
      <c r="F1550" s="27" t="s">
        <v>126</v>
      </c>
      <c r="G1550" s="27"/>
      <c r="H1550" s="27"/>
      <c r="I1550" s="27"/>
      <c r="J1550" s="27" t="s">
        <v>177</v>
      </c>
      <c r="K1550" s="10">
        <v>0</v>
      </c>
      <c r="L1550" s="36" t="s">
        <v>263</v>
      </c>
      <c r="M1550" s="37"/>
      <c r="N1550" s="37"/>
      <c r="O1550" s="27"/>
      <c r="P1550" s="27"/>
      <c r="Q1550" s="27"/>
      <c r="R1550" s="27"/>
      <c r="S1550" s="2" t="s">
        <v>1859</v>
      </c>
      <c r="T1550" s="29" t="s">
        <v>265</v>
      </c>
      <c r="U1550" s="27"/>
      <c r="V1550" s="27"/>
      <c r="W1550" s="27"/>
    </row>
    <row r="1551" spans="1:23" ht="24" customHeight="1">
      <c r="A1551" s="27" t="str">
        <f t="shared" ca="1" si="24"/>
        <v>EVT-2026-1549</v>
      </c>
      <c r="B1551" s="27">
        <v>2026</v>
      </c>
      <c r="C1551" s="27" t="s">
        <v>108</v>
      </c>
      <c r="D1551" s="27"/>
      <c r="E1551" s="27"/>
      <c r="F1551" s="27" t="s">
        <v>126</v>
      </c>
      <c r="G1551" s="27"/>
      <c r="H1551" s="27"/>
      <c r="I1551" s="27"/>
      <c r="J1551" s="27" t="s">
        <v>177</v>
      </c>
      <c r="K1551" s="10">
        <v>0</v>
      </c>
      <c r="L1551" s="36" t="s">
        <v>263</v>
      </c>
      <c r="M1551" s="37"/>
      <c r="N1551" s="37"/>
      <c r="O1551" s="27"/>
      <c r="P1551" s="27"/>
      <c r="Q1551" s="27"/>
      <c r="R1551" s="27"/>
      <c r="S1551" s="2" t="s">
        <v>1859</v>
      </c>
      <c r="T1551" s="29" t="s">
        <v>265</v>
      </c>
      <c r="U1551" s="27"/>
      <c r="V1551" s="27"/>
      <c r="W1551" s="27"/>
    </row>
    <row r="1552" spans="1:23" ht="24" customHeight="1">
      <c r="A1552" s="27" t="str">
        <f t="shared" ca="1" si="24"/>
        <v>EVT-2026-1550</v>
      </c>
      <c r="B1552" s="27">
        <v>2026</v>
      </c>
      <c r="C1552" s="27" t="s">
        <v>108</v>
      </c>
      <c r="D1552" s="27"/>
      <c r="E1552" s="27"/>
      <c r="F1552" s="27" t="s">
        <v>126</v>
      </c>
      <c r="G1552" s="27"/>
      <c r="H1552" s="27"/>
      <c r="I1552" s="27"/>
      <c r="J1552" s="27" t="s">
        <v>177</v>
      </c>
      <c r="K1552" s="10">
        <v>0</v>
      </c>
      <c r="L1552" s="36" t="s">
        <v>263</v>
      </c>
      <c r="M1552" s="37"/>
      <c r="N1552" s="37"/>
      <c r="O1552" s="27"/>
      <c r="P1552" s="27"/>
      <c r="Q1552" s="27"/>
      <c r="R1552" s="27"/>
      <c r="S1552" s="2" t="s">
        <v>1859</v>
      </c>
      <c r="T1552" s="29" t="s">
        <v>265</v>
      </c>
      <c r="U1552" s="27"/>
      <c r="V1552" s="27"/>
      <c r="W1552" s="27"/>
    </row>
    <row r="1553" spans="1:23" ht="24" customHeight="1">
      <c r="A1553" s="27" t="str">
        <f t="shared" ca="1" si="24"/>
        <v>EVT-2026-1551</v>
      </c>
      <c r="B1553" s="27">
        <v>2026</v>
      </c>
      <c r="C1553" s="27" t="s">
        <v>108</v>
      </c>
      <c r="D1553" s="27"/>
      <c r="E1553" s="27"/>
      <c r="F1553" s="27" t="s">
        <v>126</v>
      </c>
      <c r="G1553" s="27"/>
      <c r="H1553" s="27"/>
      <c r="I1553" s="27"/>
      <c r="J1553" s="27" t="s">
        <v>177</v>
      </c>
      <c r="K1553" s="10">
        <v>0</v>
      </c>
      <c r="L1553" s="36" t="s">
        <v>263</v>
      </c>
      <c r="M1553" s="37"/>
      <c r="N1553" s="37"/>
      <c r="O1553" s="27"/>
      <c r="P1553" s="27"/>
      <c r="Q1553" s="27"/>
      <c r="R1553" s="27"/>
      <c r="S1553" s="2" t="s">
        <v>1859</v>
      </c>
      <c r="T1553" s="29" t="s">
        <v>265</v>
      </c>
      <c r="U1553" s="27"/>
      <c r="V1553" s="27"/>
      <c r="W1553" s="27"/>
    </row>
    <row r="1554" spans="1:23" ht="24" customHeight="1">
      <c r="A1554" s="27" t="str">
        <f t="shared" ca="1" si="24"/>
        <v>EVT-2026-1552</v>
      </c>
      <c r="B1554" s="27">
        <v>2026</v>
      </c>
      <c r="C1554" s="27" t="s">
        <v>109</v>
      </c>
      <c r="D1554" s="30">
        <v>46327</v>
      </c>
      <c r="E1554" s="27" t="s">
        <v>267</v>
      </c>
      <c r="F1554" s="27" t="s">
        <v>164</v>
      </c>
      <c r="G1554" s="27" t="s">
        <v>262</v>
      </c>
      <c r="H1554" s="27"/>
      <c r="I1554" s="27"/>
      <c r="J1554" s="27" t="s">
        <v>177</v>
      </c>
      <c r="K1554" s="10">
        <v>0</v>
      </c>
      <c r="L1554" s="36" t="s">
        <v>263</v>
      </c>
      <c r="M1554" s="37"/>
      <c r="N1554" s="37"/>
      <c r="O1554" s="27"/>
      <c r="P1554" s="27"/>
      <c r="Q1554" s="27"/>
      <c r="R1554" s="27"/>
      <c r="S1554" s="2" t="s">
        <v>1859</v>
      </c>
      <c r="T1554" s="29" t="s">
        <v>265</v>
      </c>
      <c r="U1554" s="27"/>
      <c r="V1554" s="27"/>
      <c r="W1554" s="27"/>
    </row>
    <row r="1555" spans="1:23" ht="24" customHeight="1">
      <c r="A1555" s="27" t="str">
        <f t="shared" ca="1" si="24"/>
        <v>EVT-2026-1553</v>
      </c>
      <c r="B1555" s="27">
        <v>2026</v>
      </c>
      <c r="C1555" s="27" t="s">
        <v>109</v>
      </c>
      <c r="D1555" s="30">
        <v>46328</v>
      </c>
      <c r="E1555" s="27" t="s">
        <v>224</v>
      </c>
      <c r="F1555" s="27" t="s">
        <v>164</v>
      </c>
      <c r="G1555" s="27" t="s">
        <v>262</v>
      </c>
      <c r="H1555" s="27"/>
      <c r="I1555" s="27"/>
      <c r="J1555" s="27" t="s">
        <v>177</v>
      </c>
      <c r="K1555" s="10">
        <v>0</v>
      </c>
      <c r="L1555" s="36" t="s">
        <v>263</v>
      </c>
      <c r="M1555" s="37"/>
      <c r="N1555" s="37"/>
      <c r="O1555" s="27"/>
      <c r="P1555" s="27"/>
      <c r="Q1555" s="27"/>
      <c r="R1555" s="27"/>
      <c r="S1555" s="2" t="s">
        <v>1859</v>
      </c>
      <c r="T1555" s="29" t="s">
        <v>265</v>
      </c>
      <c r="U1555" s="27"/>
      <c r="V1555" s="27"/>
      <c r="W1555" s="27"/>
    </row>
    <row r="1556" spans="1:23" ht="24" customHeight="1">
      <c r="A1556" s="27" t="str">
        <f t="shared" ca="1" si="24"/>
        <v>EVT-2026-1554</v>
      </c>
      <c r="B1556" s="27">
        <v>2026</v>
      </c>
      <c r="C1556" s="27" t="s">
        <v>109</v>
      </c>
      <c r="D1556" s="30">
        <v>46329</v>
      </c>
      <c r="E1556" s="27" t="s">
        <v>227</v>
      </c>
      <c r="F1556" s="27" t="s">
        <v>164</v>
      </c>
      <c r="G1556" s="27" t="s">
        <v>262</v>
      </c>
      <c r="H1556" s="27"/>
      <c r="I1556" s="27"/>
      <c r="J1556" s="27" t="s">
        <v>177</v>
      </c>
      <c r="K1556" s="10">
        <v>0</v>
      </c>
      <c r="L1556" s="36" t="s">
        <v>263</v>
      </c>
      <c r="M1556" s="37"/>
      <c r="N1556" s="37"/>
      <c r="O1556" s="27"/>
      <c r="P1556" s="27"/>
      <c r="Q1556" s="27"/>
      <c r="R1556" s="27"/>
      <c r="S1556" s="2" t="s">
        <v>1859</v>
      </c>
      <c r="T1556" s="29" t="s">
        <v>265</v>
      </c>
      <c r="U1556" s="27"/>
      <c r="V1556" s="27"/>
      <c r="W1556" s="27"/>
    </row>
    <row r="1557" spans="1:23" ht="24" customHeight="1">
      <c r="A1557" s="27" t="str">
        <f t="shared" ca="1" si="24"/>
        <v>EVT-2026-1555</v>
      </c>
      <c r="B1557" s="27">
        <v>2026</v>
      </c>
      <c r="C1557" s="27" t="s">
        <v>109</v>
      </c>
      <c r="D1557" s="30">
        <v>46330</v>
      </c>
      <c r="E1557" s="27" t="s">
        <v>201</v>
      </c>
      <c r="F1557" s="27" t="s">
        <v>164</v>
      </c>
      <c r="G1557" s="27" t="s">
        <v>262</v>
      </c>
      <c r="H1557" s="27"/>
      <c r="I1557" s="27"/>
      <c r="J1557" s="27" t="s">
        <v>177</v>
      </c>
      <c r="K1557" s="10">
        <v>0</v>
      </c>
      <c r="L1557" s="36" t="s">
        <v>263</v>
      </c>
      <c r="M1557" s="37"/>
      <c r="N1557" s="37"/>
      <c r="O1557" s="27"/>
      <c r="P1557" s="27"/>
      <c r="Q1557" s="27"/>
      <c r="R1557" s="27"/>
      <c r="S1557" s="2" t="s">
        <v>1859</v>
      </c>
      <c r="T1557" s="29" t="s">
        <v>265</v>
      </c>
      <c r="U1557" s="27"/>
      <c r="V1557" s="27"/>
      <c r="W1557" s="27"/>
    </row>
    <row r="1558" spans="1:23" ht="24" customHeight="1">
      <c r="A1558" s="27" t="str">
        <f t="shared" ca="1" si="24"/>
        <v>EVT-2026-1556</v>
      </c>
      <c r="B1558" s="27">
        <v>2026</v>
      </c>
      <c r="C1558" s="27" t="s">
        <v>109</v>
      </c>
      <c r="D1558" s="30">
        <v>46331</v>
      </c>
      <c r="E1558" s="27" t="s">
        <v>216</v>
      </c>
      <c r="F1558" s="27" t="s">
        <v>164</v>
      </c>
      <c r="G1558" s="27" t="s">
        <v>262</v>
      </c>
      <c r="H1558" s="27"/>
      <c r="I1558" s="27"/>
      <c r="J1558" s="27" t="s">
        <v>177</v>
      </c>
      <c r="K1558" s="10">
        <v>0</v>
      </c>
      <c r="L1558" s="36" t="s">
        <v>263</v>
      </c>
      <c r="M1558" s="37"/>
      <c r="N1558" s="37"/>
      <c r="O1558" s="27"/>
      <c r="P1558" s="27"/>
      <c r="Q1558" s="27"/>
      <c r="R1558" s="27"/>
      <c r="S1558" s="2" t="s">
        <v>1859</v>
      </c>
      <c r="T1558" s="29" t="s">
        <v>265</v>
      </c>
      <c r="U1558" s="27"/>
      <c r="V1558" s="27"/>
      <c r="W1558" s="27"/>
    </row>
    <row r="1559" spans="1:23" ht="24" customHeight="1">
      <c r="A1559" s="27" t="str">
        <f t="shared" ca="1" si="24"/>
        <v>EVT-2026-1557</v>
      </c>
      <c r="B1559" s="27">
        <v>2026</v>
      </c>
      <c r="C1559" s="27" t="s">
        <v>109</v>
      </c>
      <c r="D1559" s="30">
        <v>46332</v>
      </c>
      <c r="E1559" s="27" t="s">
        <v>220</v>
      </c>
      <c r="F1559" s="27" t="s">
        <v>164</v>
      </c>
      <c r="G1559" s="27" t="s">
        <v>262</v>
      </c>
      <c r="H1559" s="27"/>
      <c r="I1559" s="27"/>
      <c r="J1559" s="27" t="s">
        <v>177</v>
      </c>
      <c r="K1559" s="10">
        <v>0</v>
      </c>
      <c r="L1559" s="36" t="s">
        <v>263</v>
      </c>
      <c r="M1559" s="37"/>
      <c r="N1559" s="37"/>
      <c r="O1559" s="27"/>
      <c r="P1559" s="27"/>
      <c r="Q1559" s="27"/>
      <c r="R1559" s="27"/>
      <c r="S1559" s="2" t="s">
        <v>1859</v>
      </c>
      <c r="T1559" s="29" t="s">
        <v>265</v>
      </c>
      <c r="U1559" s="27"/>
      <c r="V1559" s="27"/>
      <c r="W1559" s="27"/>
    </row>
    <row r="1560" spans="1:23" ht="24" customHeight="1">
      <c r="A1560" s="27" t="str">
        <f t="shared" ca="1" si="24"/>
        <v>EVT-2026-1558</v>
      </c>
      <c r="B1560" s="27">
        <v>2026</v>
      </c>
      <c r="C1560" s="27" t="s">
        <v>109</v>
      </c>
      <c r="D1560" s="30">
        <v>46333</v>
      </c>
      <c r="E1560" s="27" t="s">
        <v>266</v>
      </c>
      <c r="F1560" s="27" t="s">
        <v>164</v>
      </c>
      <c r="G1560" s="27" t="s">
        <v>262</v>
      </c>
      <c r="H1560" s="27"/>
      <c r="I1560" s="27"/>
      <c r="J1560" s="27" t="s">
        <v>177</v>
      </c>
      <c r="K1560" s="10">
        <v>0</v>
      </c>
      <c r="L1560" s="36" t="s">
        <v>263</v>
      </c>
      <c r="M1560" s="37"/>
      <c r="N1560" s="37"/>
      <c r="O1560" s="27"/>
      <c r="P1560" s="27"/>
      <c r="Q1560" s="27"/>
      <c r="R1560" s="27"/>
      <c r="S1560" s="2" t="s">
        <v>1859</v>
      </c>
      <c r="T1560" s="29" t="s">
        <v>265</v>
      </c>
      <c r="U1560" s="27"/>
      <c r="V1560" s="27"/>
      <c r="W1560" s="27"/>
    </row>
    <row r="1561" spans="1:23" ht="24" customHeight="1">
      <c r="A1561" s="27" t="str">
        <f t="shared" ca="1" si="24"/>
        <v>EVT-2026-1559</v>
      </c>
      <c r="B1561" s="27">
        <v>2026</v>
      </c>
      <c r="C1561" s="27" t="s">
        <v>109</v>
      </c>
      <c r="D1561" s="30">
        <v>46334</v>
      </c>
      <c r="E1561" s="27" t="s">
        <v>267</v>
      </c>
      <c r="F1561" s="27" t="s">
        <v>164</v>
      </c>
      <c r="G1561" s="27" t="s">
        <v>262</v>
      </c>
      <c r="H1561" s="27"/>
      <c r="I1561" s="27"/>
      <c r="J1561" s="27" t="s">
        <v>177</v>
      </c>
      <c r="K1561" s="10">
        <v>0</v>
      </c>
      <c r="L1561" s="36" t="s">
        <v>263</v>
      </c>
      <c r="M1561" s="37"/>
      <c r="N1561" s="37"/>
      <c r="O1561" s="27"/>
      <c r="P1561" s="27"/>
      <c r="Q1561" s="27"/>
      <c r="R1561" s="27"/>
      <c r="S1561" s="2" t="s">
        <v>1859</v>
      </c>
      <c r="T1561" s="29" t="s">
        <v>265</v>
      </c>
      <c r="U1561" s="27"/>
      <c r="V1561" s="27"/>
      <c r="W1561" s="27"/>
    </row>
    <row r="1562" spans="1:23" ht="24" customHeight="1">
      <c r="A1562" s="27" t="str">
        <f t="shared" ca="1" si="24"/>
        <v>EVT-2026-1560</v>
      </c>
      <c r="B1562" s="27">
        <v>2026</v>
      </c>
      <c r="C1562" s="27" t="s">
        <v>109</v>
      </c>
      <c r="D1562" s="30">
        <v>46335</v>
      </c>
      <c r="E1562" s="27" t="s">
        <v>224</v>
      </c>
      <c r="F1562" s="27" t="s">
        <v>164</v>
      </c>
      <c r="G1562" s="27" t="s">
        <v>262</v>
      </c>
      <c r="H1562" s="27"/>
      <c r="I1562" s="27"/>
      <c r="J1562" s="27" t="s">
        <v>177</v>
      </c>
      <c r="K1562" s="10">
        <v>0</v>
      </c>
      <c r="L1562" s="36" t="s">
        <v>263</v>
      </c>
      <c r="M1562" s="37"/>
      <c r="N1562" s="37"/>
      <c r="O1562" s="27"/>
      <c r="P1562" s="27"/>
      <c r="Q1562" s="27"/>
      <c r="R1562" s="27"/>
      <c r="S1562" s="2" t="s">
        <v>1859</v>
      </c>
      <c r="T1562" s="29" t="s">
        <v>265</v>
      </c>
      <c r="U1562" s="27"/>
      <c r="V1562" s="27"/>
      <c r="W1562" s="27"/>
    </row>
    <row r="1563" spans="1:23" ht="24" customHeight="1">
      <c r="A1563" s="27" t="str">
        <f t="shared" ca="1" si="24"/>
        <v>EVT-2026-1561</v>
      </c>
      <c r="B1563" s="27">
        <v>2026</v>
      </c>
      <c r="C1563" s="27" t="s">
        <v>109</v>
      </c>
      <c r="D1563" s="30">
        <v>46336</v>
      </c>
      <c r="E1563" s="27" t="s">
        <v>227</v>
      </c>
      <c r="F1563" s="27" t="s">
        <v>164</v>
      </c>
      <c r="G1563" s="27" t="s">
        <v>262</v>
      </c>
      <c r="H1563" s="27"/>
      <c r="I1563" s="27"/>
      <c r="J1563" s="27" t="s">
        <v>177</v>
      </c>
      <c r="K1563" s="10">
        <v>0</v>
      </c>
      <c r="L1563" s="36" t="s">
        <v>263</v>
      </c>
      <c r="M1563" s="37"/>
      <c r="N1563" s="37"/>
      <c r="O1563" s="27"/>
      <c r="P1563" s="27"/>
      <c r="Q1563" s="27"/>
      <c r="R1563" s="27"/>
      <c r="S1563" s="2" t="s">
        <v>1859</v>
      </c>
      <c r="T1563" s="29" t="s">
        <v>265</v>
      </c>
      <c r="U1563" s="27"/>
      <c r="V1563" s="27"/>
      <c r="W1563" s="27"/>
    </row>
    <row r="1564" spans="1:23" ht="24" customHeight="1">
      <c r="A1564" s="27" t="str">
        <f t="shared" ca="1" si="24"/>
        <v>EVT-2026-1562</v>
      </c>
      <c r="B1564" s="27">
        <v>2026</v>
      </c>
      <c r="C1564" s="27" t="s">
        <v>109</v>
      </c>
      <c r="D1564" s="30">
        <v>46337</v>
      </c>
      <c r="E1564" s="27" t="s">
        <v>201</v>
      </c>
      <c r="F1564" s="27" t="s">
        <v>164</v>
      </c>
      <c r="G1564" s="27" t="s">
        <v>262</v>
      </c>
      <c r="H1564" s="27"/>
      <c r="I1564" s="27"/>
      <c r="J1564" s="27" t="s">
        <v>177</v>
      </c>
      <c r="K1564" s="10">
        <v>0</v>
      </c>
      <c r="L1564" s="36" t="s">
        <v>263</v>
      </c>
      <c r="M1564" s="37"/>
      <c r="N1564" s="37"/>
      <c r="O1564" s="27"/>
      <c r="P1564" s="27"/>
      <c r="Q1564" s="27"/>
      <c r="R1564" s="27"/>
      <c r="S1564" s="2" t="s">
        <v>1859</v>
      </c>
      <c r="T1564" s="29" t="s">
        <v>265</v>
      </c>
      <c r="U1564" s="27"/>
      <c r="V1564" s="27"/>
      <c r="W1564" s="27"/>
    </row>
    <row r="1565" spans="1:23" ht="24" customHeight="1">
      <c r="A1565" s="27" t="str">
        <f t="shared" ca="1" si="24"/>
        <v>EVT-2026-1563</v>
      </c>
      <c r="B1565" s="27">
        <v>2026</v>
      </c>
      <c r="C1565" s="27" t="s">
        <v>109</v>
      </c>
      <c r="D1565" s="30">
        <v>46338</v>
      </c>
      <c r="E1565" s="27" t="s">
        <v>216</v>
      </c>
      <c r="F1565" s="27" t="s">
        <v>164</v>
      </c>
      <c r="G1565" s="27" t="s">
        <v>262</v>
      </c>
      <c r="H1565" s="27"/>
      <c r="I1565" s="27"/>
      <c r="J1565" s="27" t="s">
        <v>177</v>
      </c>
      <c r="K1565" s="10">
        <v>0</v>
      </c>
      <c r="L1565" s="36" t="s">
        <v>263</v>
      </c>
      <c r="M1565" s="37"/>
      <c r="N1565" s="37"/>
      <c r="O1565" s="27"/>
      <c r="P1565" s="27"/>
      <c r="Q1565" s="27"/>
      <c r="R1565" s="27"/>
      <c r="S1565" s="2" t="s">
        <v>1859</v>
      </c>
      <c r="T1565" s="29" t="s">
        <v>265</v>
      </c>
      <c r="U1565" s="27"/>
      <c r="V1565" s="27"/>
      <c r="W1565" s="27"/>
    </row>
    <row r="1566" spans="1:23" ht="24" customHeight="1">
      <c r="A1566" s="27" t="str">
        <f t="shared" ca="1" si="24"/>
        <v>EVT-2026-1564</v>
      </c>
      <c r="B1566" s="27">
        <v>2026</v>
      </c>
      <c r="C1566" s="27" t="s">
        <v>109</v>
      </c>
      <c r="D1566" s="30">
        <v>46339</v>
      </c>
      <c r="E1566" s="27" t="s">
        <v>220</v>
      </c>
      <c r="F1566" s="27" t="s">
        <v>164</v>
      </c>
      <c r="G1566" s="27" t="s">
        <v>262</v>
      </c>
      <c r="H1566" s="27"/>
      <c r="I1566" s="27"/>
      <c r="J1566" s="27" t="s">
        <v>177</v>
      </c>
      <c r="K1566" s="10">
        <v>0</v>
      </c>
      <c r="L1566" s="36" t="s">
        <v>263</v>
      </c>
      <c r="M1566" s="37"/>
      <c r="N1566" s="37"/>
      <c r="O1566" s="27"/>
      <c r="P1566" s="27"/>
      <c r="Q1566" s="27"/>
      <c r="R1566" s="27"/>
      <c r="S1566" s="2" t="s">
        <v>1859</v>
      </c>
      <c r="T1566" s="29" t="s">
        <v>265</v>
      </c>
      <c r="U1566" s="27"/>
      <c r="V1566" s="27"/>
      <c r="W1566" s="27"/>
    </row>
    <row r="1567" spans="1:23" ht="24" customHeight="1">
      <c r="A1567" s="27" t="str">
        <f t="shared" ca="1" si="24"/>
        <v>EVT-2026-1565</v>
      </c>
      <c r="B1567" s="27">
        <v>2026</v>
      </c>
      <c r="C1567" s="27" t="s">
        <v>109</v>
      </c>
      <c r="D1567" s="30">
        <v>46340</v>
      </c>
      <c r="E1567" s="27" t="s">
        <v>266</v>
      </c>
      <c r="F1567" s="27" t="s">
        <v>164</v>
      </c>
      <c r="G1567" s="27" t="s">
        <v>262</v>
      </c>
      <c r="H1567" s="27"/>
      <c r="I1567" s="27"/>
      <c r="J1567" s="27" t="s">
        <v>177</v>
      </c>
      <c r="K1567" s="10">
        <v>0</v>
      </c>
      <c r="L1567" s="36" t="s">
        <v>263</v>
      </c>
      <c r="M1567" s="37"/>
      <c r="N1567" s="37"/>
      <c r="O1567" s="27"/>
      <c r="P1567" s="27"/>
      <c r="Q1567" s="27"/>
      <c r="R1567" s="27"/>
      <c r="S1567" s="2" t="s">
        <v>1859</v>
      </c>
      <c r="T1567" s="29" t="s">
        <v>265</v>
      </c>
      <c r="U1567" s="27"/>
      <c r="V1567" s="27"/>
      <c r="W1567" s="27"/>
    </row>
    <row r="1568" spans="1:23" ht="24" customHeight="1">
      <c r="A1568" s="27" t="str">
        <f t="shared" ca="1" si="24"/>
        <v>EVT-2026-1566</v>
      </c>
      <c r="B1568" s="27">
        <v>2026</v>
      </c>
      <c r="C1568" s="27" t="s">
        <v>109</v>
      </c>
      <c r="D1568" s="30">
        <v>46341</v>
      </c>
      <c r="E1568" s="27" t="s">
        <v>267</v>
      </c>
      <c r="F1568" s="27" t="s">
        <v>164</v>
      </c>
      <c r="G1568" s="27" t="s">
        <v>262</v>
      </c>
      <c r="H1568" s="27"/>
      <c r="I1568" s="27"/>
      <c r="J1568" s="27" t="s">
        <v>177</v>
      </c>
      <c r="K1568" s="10">
        <v>0</v>
      </c>
      <c r="L1568" s="36" t="s">
        <v>263</v>
      </c>
      <c r="M1568" s="37"/>
      <c r="N1568" s="37"/>
      <c r="O1568" s="27"/>
      <c r="P1568" s="27"/>
      <c r="Q1568" s="27"/>
      <c r="R1568" s="27"/>
      <c r="S1568" s="2" t="s">
        <v>1859</v>
      </c>
      <c r="T1568" s="29" t="s">
        <v>265</v>
      </c>
      <c r="U1568" s="27"/>
      <c r="V1568" s="27"/>
      <c r="W1568" s="27"/>
    </row>
    <row r="1569" spans="1:23" ht="24" customHeight="1">
      <c r="A1569" s="27" t="str">
        <f t="shared" ca="1" si="24"/>
        <v>EVT-2026-1567</v>
      </c>
      <c r="B1569" s="27">
        <v>2026</v>
      </c>
      <c r="C1569" s="27" t="s">
        <v>109</v>
      </c>
      <c r="D1569" s="30">
        <v>46342</v>
      </c>
      <c r="E1569" s="27" t="s">
        <v>224</v>
      </c>
      <c r="F1569" s="27" t="s">
        <v>164</v>
      </c>
      <c r="G1569" s="27" t="s">
        <v>262</v>
      </c>
      <c r="H1569" s="27"/>
      <c r="I1569" s="27"/>
      <c r="J1569" s="27" t="s">
        <v>177</v>
      </c>
      <c r="K1569" s="10">
        <v>0</v>
      </c>
      <c r="L1569" s="36" t="s">
        <v>263</v>
      </c>
      <c r="M1569" s="37"/>
      <c r="N1569" s="37"/>
      <c r="O1569" s="27"/>
      <c r="P1569" s="27"/>
      <c r="Q1569" s="27"/>
      <c r="R1569" s="27"/>
      <c r="S1569" s="2" t="s">
        <v>1859</v>
      </c>
      <c r="T1569" s="29" t="s">
        <v>265</v>
      </c>
      <c r="U1569" s="27"/>
      <c r="V1569" s="27"/>
      <c r="W1569" s="27"/>
    </row>
    <row r="1570" spans="1:23" ht="24" customHeight="1">
      <c r="A1570" s="27" t="str">
        <f t="shared" ca="1" si="24"/>
        <v>EVT-2026-1568</v>
      </c>
      <c r="B1570" s="27">
        <v>2026</v>
      </c>
      <c r="C1570" s="27" t="s">
        <v>109</v>
      </c>
      <c r="D1570" s="30">
        <v>46343</v>
      </c>
      <c r="E1570" s="27" t="s">
        <v>227</v>
      </c>
      <c r="F1570" s="27" t="s">
        <v>164</v>
      </c>
      <c r="G1570" s="27" t="s">
        <v>262</v>
      </c>
      <c r="H1570" s="27"/>
      <c r="I1570" s="27"/>
      <c r="J1570" s="27" t="s">
        <v>177</v>
      </c>
      <c r="K1570" s="10">
        <v>0</v>
      </c>
      <c r="L1570" s="36" t="s">
        <v>263</v>
      </c>
      <c r="M1570" s="37"/>
      <c r="N1570" s="37"/>
      <c r="O1570" s="27"/>
      <c r="P1570" s="27"/>
      <c r="Q1570" s="27"/>
      <c r="R1570" s="27"/>
      <c r="S1570" s="2" t="s">
        <v>1859</v>
      </c>
      <c r="T1570" s="29" t="s">
        <v>265</v>
      </c>
      <c r="U1570" s="27"/>
      <c r="V1570" s="27"/>
      <c r="W1570" s="27"/>
    </row>
    <row r="1571" spans="1:23" ht="24" customHeight="1">
      <c r="A1571" s="27" t="str">
        <f t="shared" ca="1" si="24"/>
        <v>EVT-2026-1569</v>
      </c>
      <c r="B1571" s="27">
        <v>2026</v>
      </c>
      <c r="C1571" s="27" t="s">
        <v>109</v>
      </c>
      <c r="D1571" s="30">
        <v>46344</v>
      </c>
      <c r="E1571" s="27" t="s">
        <v>201</v>
      </c>
      <c r="F1571" s="27" t="s">
        <v>164</v>
      </c>
      <c r="G1571" s="27" t="s">
        <v>262</v>
      </c>
      <c r="H1571" s="27"/>
      <c r="I1571" s="27"/>
      <c r="J1571" s="27" t="s">
        <v>177</v>
      </c>
      <c r="K1571" s="10">
        <v>0</v>
      </c>
      <c r="L1571" s="36" t="s">
        <v>263</v>
      </c>
      <c r="M1571" s="37"/>
      <c r="N1571" s="37"/>
      <c r="O1571" s="27"/>
      <c r="P1571" s="27"/>
      <c r="Q1571" s="27"/>
      <c r="R1571" s="27"/>
      <c r="S1571" s="2" t="s">
        <v>1859</v>
      </c>
      <c r="T1571" s="29" t="s">
        <v>265</v>
      </c>
      <c r="U1571" s="27"/>
      <c r="V1571" s="27"/>
      <c r="W1571" s="27"/>
    </row>
    <row r="1572" spans="1:23" ht="24" customHeight="1">
      <c r="A1572" s="27" t="str">
        <f t="shared" ca="1" si="24"/>
        <v>EVT-2026-1570</v>
      </c>
      <c r="B1572" s="27">
        <v>2026</v>
      </c>
      <c r="C1572" s="27" t="s">
        <v>109</v>
      </c>
      <c r="D1572" s="30">
        <v>46345</v>
      </c>
      <c r="E1572" s="27" t="s">
        <v>216</v>
      </c>
      <c r="F1572" s="27" t="s">
        <v>164</v>
      </c>
      <c r="G1572" s="27" t="s">
        <v>262</v>
      </c>
      <c r="H1572" s="27"/>
      <c r="I1572" s="27"/>
      <c r="J1572" s="27" t="s">
        <v>177</v>
      </c>
      <c r="K1572" s="10">
        <v>0</v>
      </c>
      <c r="L1572" s="36" t="s">
        <v>263</v>
      </c>
      <c r="M1572" s="37"/>
      <c r="N1572" s="37"/>
      <c r="O1572" s="27"/>
      <c r="P1572" s="27"/>
      <c r="Q1572" s="27"/>
      <c r="R1572" s="27"/>
      <c r="S1572" s="2" t="s">
        <v>1859</v>
      </c>
      <c r="T1572" s="29" t="s">
        <v>265</v>
      </c>
      <c r="U1572" s="27"/>
      <c r="V1572" s="27"/>
      <c r="W1572" s="27"/>
    </row>
    <row r="1573" spans="1:23" ht="24" customHeight="1">
      <c r="A1573" s="27" t="str">
        <f t="shared" ca="1" si="24"/>
        <v>EVT-2026-1571</v>
      </c>
      <c r="B1573" s="27">
        <v>2026</v>
      </c>
      <c r="C1573" s="27" t="s">
        <v>109</v>
      </c>
      <c r="D1573" s="30">
        <v>46346</v>
      </c>
      <c r="E1573" s="27" t="s">
        <v>220</v>
      </c>
      <c r="F1573" s="27" t="s">
        <v>164</v>
      </c>
      <c r="G1573" s="27" t="s">
        <v>262</v>
      </c>
      <c r="H1573" s="27"/>
      <c r="I1573" s="27"/>
      <c r="J1573" s="27" t="s">
        <v>177</v>
      </c>
      <c r="K1573" s="10">
        <v>0</v>
      </c>
      <c r="L1573" s="36" t="s">
        <v>263</v>
      </c>
      <c r="M1573" s="37"/>
      <c r="N1573" s="37"/>
      <c r="O1573" s="27"/>
      <c r="P1573" s="27"/>
      <c r="Q1573" s="27"/>
      <c r="R1573" s="27"/>
      <c r="S1573" s="2" t="s">
        <v>1859</v>
      </c>
      <c r="T1573" s="29" t="s">
        <v>265</v>
      </c>
      <c r="U1573" s="27"/>
      <c r="V1573" s="27"/>
      <c r="W1573" s="27"/>
    </row>
    <row r="1574" spans="1:23" ht="24" customHeight="1">
      <c r="A1574" s="27" t="str">
        <f t="shared" ca="1" si="24"/>
        <v>EVT-2026-1572</v>
      </c>
      <c r="B1574" s="27">
        <v>2026</v>
      </c>
      <c r="C1574" s="27" t="s">
        <v>109</v>
      </c>
      <c r="D1574" s="30">
        <v>46347</v>
      </c>
      <c r="E1574" s="27" t="s">
        <v>266</v>
      </c>
      <c r="F1574" s="27" t="s">
        <v>164</v>
      </c>
      <c r="G1574" s="27" t="s">
        <v>262</v>
      </c>
      <c r="H1574" s="27"/>
      <c r="I1574" s="27"/>
      <c r="J1574" s="27" t="s">
        <v>177</v>
      </c>
      <c r="K1574" s="10">
        <v>0</v>
      </c>
      <c r="L1574" s="36" t="s">
        <v>263</v>
      </c>
      <c r="M1574" s="37"/>
      <c r="N1574" s="37"/>
      <c r="O1574" s="27"/>
      <c r="P1574" s="27"/>
      <c r="Q1574" s="27"/>
      <c r="R1574" s="27"/>
      <c r="S1574" s="2" t="s">
        <v>1859</v>
      </c>
      <c r="T1574" s="29" t="s">
        <v>265</v>
      </c>
      <c r="U1574" s="27"/>
      <c r="V1574" s="27"/>
      <c r="W1574" s="27"/>
    </row>
    <row r="1575" spans="1:23" ht="24" customHeight="1">
      <c r="A1575" s="27" t="str">
        <f t="shared" ca="1" si="24"/>
        <v>EVT-2026-1573</v>
      </c>
      <c r="B1575" s="27">
        <v>2026</v>
      </c>
      <c r="C1575" s="27" t="s">
        <v>109</v>
      </c>
      <c r="D1575" s="30">
        <v>46348</v>
      </c>
      <c r="E1575" s="27" t="s">
        <v>267</v>
      </c>
      <c r="F1575" s="27" t="s">
        <v>164</v>
      </c>
      <c r="G1575" s="27" t="s">
        <v>262</v>
      </c>
      <c r="H1575" s="27"/>
      <c r="I1575" s="27"/>
      <c r="J1575" s="27" t="s">
        <v>177</v>
      </c>
      <c r="K1575" s="10">
        <v>0</v>
      </c>
      <c r="L1575" s="36" t="s">
        <v>263</v>
      </c>
      <c r="M1575" s="37"/>
      <c r="N1575" s="37"/>
      <c r="O1575" s="27"/>
      <c r="P1575" s="27"/>
      <c r="Q1575" s="27"/>
      <c r="R1575" s="27"/>
      <c r="S1575" s="2" t="s">
        <v>1859</v>
      </c>
      <c r="T1575" s="29" t="s">
        <v>265</v>
      </c>
      <c r="U1575" s="27"/>
      <c r="V1575" s="27"/>
      <c r="W1575" s="27"/>
    </row>
    <row r="1576" spans="1:23" ht="24" customHeight="1">
      <c r="A1576" s="27" t="str">
        <f t="shared" ca="1" si="24"/>
        <v>EVT-2026-1574</v>
      </c>
      <c r="B1576" s="27">
        <v>2026</v>
      </c>
      <c r="C1576" s="27" t="s">
        <v>109</v>
      </c>
      <c r="D1576" s="30">
        <v>46349</v>
      </c>
      <c r="E1576" s="27" t="s">
        <v>224</v>
      </c>
      <c r="F1576" s="27" t="s">
        <v>164</v>
      </c>
      <c r="G1576" s="27" t="s">
        <v>262</v>
      </c>
      <c r="H1576" s="27"/>
      <c r="I1576" s="27"/>
      <c r="J1576" s="27" t="s">
        <v>177</v>
      </c>
      <c r="K1576" s="10">
        <v>0</v>
      </c>
      <c r="L1576" s="36" t="s">
        <v>263</v>
      </c>
      <c r="M1576" s="37"/>
      <c r="N1576" s="37"/>
      <c r="O1576" s="27"/>
      <c r="P1576" s="27"/>
      <c r="Q1576" s="27"/>
      <c r="R1576" s="27"/>
      <c r="S1576" s="2" t="s">
        <v>1859</v>
      </c>
      <c r="T1576" s="29" t="s">
        <v>265</v>
      </c>
      <c r="U1576" s="27"/>
      <c r="V1576" s="27"/>
      <c r="W1576" s="27"/>
    </row>
    <row r="1577" spans="1:23" ht="24" customHeight="1">
      <c r="A1577" s="27" t="str">
        <f t="shared" ca="1" si="24"/>
        <v>EVT-2026-1575</v>
      </c>
      <c r="B1577" s="27">
        <v>2026</v>
      </c>
      <c r="C1577" s="27" t="s">
        <v>109</v>
      </c>
      <c r="D1577" s="30">
        <v>46350</v>
      </c>
      <c r="E1577" s="27" t="s">
        <v>227</v>
      </c>
      <c r="F1577" s="27" t="s">
        <v>164</v>
      </c>
      <c r="G1577" s="27" t="s">
        <v>262</v>
      </c>
      <c r="H1577" s="27"/>
      <c r="I1577" s="27"/>
      <c r="J1577" s="27" t="s">
        <v>177</v>
      </c>
      <c r="K1577" s="10">
        <v>0</v>
      </c>
      <c r="L1577" s="36" t="s">
        <v>263</v>
      </c>
      <c r="M1577" s="37"/>
      <c r="N1577" s="37"/>
      <c r="O1577" s="27"/>
      <c r="P1577" s="27"/>
      <c r="Q1577" s="27"/>
      <c r="R1577" s="27"/>
      <c r="S1577" s="2" t="s">
        <v>1859</v>
      </c>
      <c r="T1577" s="29" t="s">
        <v>265</v>
      </c>
      <c r="U1577" s="27"/>
      <c r="V1577" s="27"/>
      <c r="W1577" s="27"/>
    </row>
    <row r="1578" spans="1:23" ht="24" customHeight="1">
      <c r="A1578" s="27" t="str">
        <f t="shared" ca="1" si="24"/>
        <v>EVT-2026-1576</v>
      </c>
      <c r="B1578" s="27">
        <v>2026</v>
      </c>
      <c r="C1578" s="27" t="s">
        <v>109</v>
      </c>
      <c r="D1578" s="30">
        <v>46351</v>
      </c>
      <c r="E1578" s="27" t="s">
        <v>201</v>
      </c>
      <c r="F1578" s="27" t="s">
        <v>164</v>
      </c>
      <c r="G1578" s="27" t="s">
        <v>262</v>
      </c>
      <c r="H1578" s="27"/>
      <c r="I1578" s="27"/>
      <c r="J1578" s="27" t="s">
        <v>177</v>
      </c>
      <c r="K1578" s="10">
        <v>0</v>
      </c>
      <c r="L1578" s="36" t="s">
        <v>263</v>
      </c>
      <c r="M1578" s="37"/>
      <c r="N1578" s="37"/>
      <c r="O1578" s="27"/>
      <c r="P1578" s="27"/>
      <c r="Q1578" s="27"/>
      <c r="R1578" s="27"/>
      <c r="S1578" s="2" t="s">
        <v>1859</v>
      </c>
      <c r="T1578" s="29" t="s">
        <v>265</v>
      </c>
      <c r="U1578" s="27"/>
      <c r="V1578" s="27"/>
      <c r="W1578" s="27"/>
    </row>
    <row r="1579" spans="1:23" ht="24" customHeight="1">
      <c r="A1579" s="27" t="str">
        <f t="shared" ca="1" si="24"/>
        <v>EVT-2026-1577</v>
      </c>
      <c r="B1579" s="27">
        <v>2026</v>
      </c>
      <c r="C1579" s="27" t="s">
        <v>109</v>
      </c>
      <c r="D1579" s="30">
        <v>46352</v>
      </c>
      <c r="E1579" s="27" t="s">
        <v>216</v>
      </c>
      <c r="F1579" s="27" t="s">
        <v>164</v>
      </c>
      <c r="G1579" s="27" t="s">
        <v>262</v>
      </c>
      <c r="H1579" s="27"/>
      <c r="I1579" s="27"/>
      <c r="J1579" s="27" t="s">
        <v>177</v>
      </c>
      <c r="K1579" s="10">
        <v>0</v>
      </c>
      <c r="L1579" s="36" t="s">
        <v>263</v>
      </c>
      <c r="M1579" s="37"/>
      <c r="N1579" s="37"/>
      <c r="O1579" s="27"/>
      <c r="P1579" s="27"/>
      <c r="Q1579" s="27"/>
      <c r="R1579" s="27"/>
      <c r="S1579" s="2" t="s">
        <v>1859</v>
      </c>
      <c r="T1579" s="29" t="s">
        <v>265</v>
      </c>
      <c r="U1579" s="27"/>
      <c r="V1579" s="27"/>
      <c r="W1579" s="27"/>
    </row>
    <row r="1580" spans="1:23" ht="24" customHeight="1">
      <c r="A1580" s="27" t="str">
        <f t="shared" ca="1" si="24"/>
        <v>EVT-2026-1578</v>
      </c>
      <c r="B1580" s="27">
        <v>2026</v>
      </c>
      <c r="C1580" s="27" t="s">
        <v>109</v>
      </c>
      <c r="D1580" s="30">
        <v>46353</v>
      </c>
      <c r="E1580" s="27" t="s">
        <v>220</v>
      </c>
      <c r="F1580" s="27" t="s">
        <v>164</v>
      </c>
      <c r="G1580" s="27" t="s">
        <v>262</v>
      </c>
      <c r="H1580" s="27"/>
      <c r="I1580" s="27"/>
      <c r="J1580" s="27" t="s">
        <v>177</v>
      </c>
      <c r="K1580" s="10">
        <v>0</v>
      </c>
      <c r="L1580" s="36" t="s">
        <v>263</v>
      </c>
      <c r="M1580" s="37"/>
      <c r="N1580" s="37"/>
      <c r="O1580" s="27"/>
      <c r="P1580" s="27"/>
      <c r="Q1580" s="27"/>
      <c r="R1580" s="27"/>
      <c r="S1580" s="2" t="s">
        <v>1859</v>
      </c>
      <c r="T1580" s="29" t="s">
        <v>265</v>
      </c>
      <c r="U1580" s="27"/>
      <c r="V1580" s="27"/>
      <c r="W1580" s="27"/>
    </row>
    <row r="1581" spans="1:23" ht="24" customHeight="1">
      <c r="A1581" s="27" t="str">
        <f t="shared" ca="1" si="24"/>
        <v>EVT-2026-1579</v>
      </c>
      <c r="B1581" s="27">
        <v>2026</v>
      </c>
      <c r="C1581" s="27" t="s">
        <v>109</v>
      </c>
      <c r="D1581" s="30">
        <v>46354</v>
      </c>
      <c r="E1581" s="27" t="s">
        <v>266</v>
      </c>
      <c r="F1581" s="27" t="s">
        <v>164</v>
      </c>
      <c r="G1581" s="27" t="s">
        <v>262</v>
      </c>
      <c r="H1581" s="27"/>
      <c r="I1581" s="27"/>
      <c r="J1581" s="27" t="s">
        <v>177</v>
      </c>
      <c r="K1581" s="10">
        <v>0</v>
      </c>
      <c r="L1581" s="36" t="s">
        <v>263</v>
      </c>
      <c r="M1581" s="37"/>
      <c r="N1581" s="37"/>
      <c r="O1581" s="27"/>
      <c r="P1581" s="27"/>
      <c r="Q1581" s="27"/>
      <c r="R1581" s="27"/>
      <c r="S1581" s="2" t="s">
        <v>1859</v>
      </c>
      <c r="T1581" s="29" t="s">
        <v>265</v>
      </c>
      <c r="U1581" s="27"/>
      <c r="V1581" s="27"/>
      <c r="W1581" s="27"/>
    </row>
    <row r="1582" spans="1:23" ht="24" customHeight="1">
      <c r="A1582" s="27" t="str">
        <f t="shared" ca="1" si="24"/>
        <v>EVT-2026-1580</v>
      </c>
      <c r="B1582" s="27">
        <v>2026</v>
      </c>
      <c r="C1582" s="27" t="s">
        <v>109</v>
      </c>
      <c r="D1582" s="30">
        <v>46355</v>
      </c>
      <c r="E1582" s="27" t="s">
        <v>267</v>
      </c>
      <c r="F1582" s="27" t="s">
        <v>164</v>
      </c>
      <c r="G1582" s="27" t="s">
        <v>262</v>
      </c>
      <c r="H1582" s="27"/>
      <c r="I1582" s="27"/>
      <c r="J1582" s="27" t="s">
        <v>177</v>
      </c>
      <c r="K1582" s="10">
        <v>0</v>
      </c>
      <c r="L1582" s="36" t="s">
        <v>263</v>
      </c>
      <c r="M1582" s="37"/>
      <c r="N1582" s="37"/>
      <c r="O1582" s="27"/>
      <c r="P1582" s="27"/>
      <c r="Q1582" s="27"/>
      <c r="R1582" s="27"/>
      <c r="S1582" s="2" t="s">
        <v>1859</v>
      </c>
      <c r="T1582" s="29" t="s">
        <v>265</v>
      </c>
      <c r="U1582" s="27"/>
      <c r="V1582" s="27"/>
      <c r="W1582" s="27"/>
    </row>
    <row r="1583" spans="1:23" ht="24" customHeight="1">
      <c r="A1583" s="27" t="str">
        <f t="shared" ca="1" si="24"/>
        <v>EVT-2026-1581</v>
      </c>
      <c r="B1583" s="27">
        <v>2026</v>
      </c>
      <c r="C1583" s="27" t="s">
        <v>109</v>
      </c>
      <c r="D1583" s="30">
        <v>46356</v>
      </c>
      <c r="E1583" s="27" t="s">
        <v>224</v>
      </c>
      <c r="F1583" s="27" t="s">
        <v>164</v>
      </c>
      <c r="G1583" s="27" t="s">
        <v>262</v>
      </c>
      <c r="H1583" s="27" t="s">
        <v>2134</v>
      </c>
      <c r="I1583" s="27"/>
      <c r="J1583" s="27" t="s">
        <v>177</v>
      </c>
      <c r="K1583" s="10">
        <v>200</v>
      </c>
      <c r="L1583" s="38" t="s">
        <v>294</v>
      </c>
      <c r="M1583" s="37" t="s">
        <v>338</v>
      </c>
      <c r="N1583" s="37" t="s">
        <v>330</v>
      </c>
      <c r="O1583" s="27"/>
      <c r="P1583" s="27"/>
      <c r="Q1583" s="27"/>
      <c r="R1583" s="27"/>
      <c r="S1583" s="2" t="s">
        <v>1859</v>
      </c>
      <c r="T1583" s="29" t="s">
        <v>265</v>
      </c>
      <c r="U1583" s="27"/>
      <c r="V1583" s="27" t="s">
        <v>2135</v>
      </c>
      <c r="W1583" s="27"/>
    </row>
    <row r="1584" spans="1:23" ht="24" customHeight="1">
      <c r="A1584" s="27" t="str">
        <f t="shared" ca="1" si="24"/>
        <v>EVT-2026-1582</v>
      </c>
      <c r="B1584" s="27">
        <v>2026</v>
      </c>
      <c r="C1584" s="27" t="s">
        <v>109</v>
      </c>
      <c r="D1584" s="27"/>
      <c r="E1584" s="27"/>
      <c r="F1584" s="27" t="s">
        <v>164</v>
      </c>
      <c r="G1584" s="27" t="s">
        <v>262</v>
      </c>
      <c r="H1584" s="27"/>
      <c r="I1584" s="27"/>
      <c r="J1584" s="27" t="s">
        <v>177</v>
      </c>
      <c r="K1584" s="10">
        <v>0</v>
      </c>
      <c r="L1584" s="36" t="s">
        <v>263</v>
      </c>
      <c r="M1584" s="37"/>
      <c r="N1584" s="37"/>
      <c r="O1584" s="27"/>
      <c r="P1584" s="27"/>
      <c r="Q1584" s="27"/>
      <c r="R1584" s="27"/>
      <c r="S1584" s="2" t="s">
        <v>1859</v>
      </c>
      <c r="T1584" s="29" t="s">
        <v>265</v>
      </c>
      <c r="U1584" s="27"/>
      <c r="V1584" s="27"/>
      <c r="W1584" s="27"/>
    </row>
    <row r="1585" spans="1:23" ht="24" customHeight="1">
      <c r="A1585" s="27" t="str">
        <f t="shared" ca="1" si="24"/>
        <v>EVT-2026-1583</v>
      </c>
      <c r="B1585" s="27">
        <v>2026</v>
      </c>
      <c r="C1585" s="27" t="s">
        <v>109</v>
      </c>
      <c r="D1585" s="27"/>
      <c r="E1585" s="27"/>
      <c r="F1585" s="27" t="s">
        <v>164</v>
      </c>
      <c r="G1585" s="27" t="s">
        <v>262</v>
      </c>
      <c r="H1585" s="27"/>
      <c r="I1585" s="27"/>
      <c r="J1585" s="27" t="s">
        <v>177</v>
      </c>
      <c r="K1585" s="10">
        <v>0</v>
      </c>
      <c r="L1585" s="36" t="s">
        <v>263</v>
      </c>
      <c r="M1585" s="37"/>
      <c r="N1585" s="37"/>
      <c r="O1585" s="27"/>
      <c r="P1585" s="27"/>
      <c r="Q1585" s="27"/>
      <c r="R1585" s="27"/>
      <c r="S1585" s="2" t="s">
        <v>1859</v>
      </c>
      <c r="T1585" s="29" t="s">
        <v>265</v>
      </c>
      <c r="U1585" s="27"/>
      <c r="V1585" s="27"/>
      <c r="W1585" s="27"/>
    </row>
    <row r="1586" spans="1:23" ht="24" customHeight="1">
      <c r="A1586" s="27" t="str">
        <f t="shared" ca="1" si="24"/>
        <v>EVT-2026-1584</v>
      </c>
      <c r="B1586" s="27">
        <v>2026</v>
      </c>
      <c r="C1586" s="27" t="s">
        <v>109</v>
      </c>
      <c r="D1586" s="27"/>
      <c r="E1586" s="27"/>
      <c r="F1586" s="27" t="s">
        <v>164</v>
      </c>
      <c r="G1586" s="27" t="s">
        <v>262</v>
      </c>
      <c r="H1586" s="27"/>
      <c r="I1586" s="27"/>
      <c r="J1586" s="27" t="s">
        <v>177</v>
      </c>
      <c r="K1586" s="10">
        <v>0</v>
      </c>
      <c r="L1586" s="36" t="s">
        <v>263</v>
      </c>
      <c r="M1586" s="37"/>
      <c r="N1586" s="37"/>
      <c r="O1586" s="27"/>
      <c r="P1586" s="27"/>
      <c r="Q1586" s="27"/>
      <c r="R1586" s="27"/>
      <c r="S1586" s="2" t="s">
        <v>1859</v>
      </c>
      <c r="T1586" s="29" t="s">
        <v>265</v>
      </c>
      <c r="U1586" s="27"/>
      <c r="V1586" s="27"/>
      <c r="W1586" s="27"/>
    </row>
    <row r="1587" spans="1:23" ht="24" customHeight="1">
      <c r="A1587" s="27" t="str">
        <f t="shared" ca="1" si="24"/>
        <v>EVT-2026-1585</v>
      </c>
      <c r="B1587" s="27">
        <v>2026</v>
      </c>
      <c r="C1587" s="27" t="s">
        <v>109</v>
      </c>
      <c r="D1587" s="27"/>
      <c r="E1587" s="27"/>
      <c r="F1587" s="27" t="s">
        <v>164</v>
      </c>
      <c r="G1587" s="27" t="s">
        <v>262</v>
      </c>
      <c r="H1587" s="27"/>
      <c r="I1587" s="27"/>
      <c r="J1587" s="27" t="s">
        <v>177</v>
      </c>
      <c r="K1587" s="10">
        <v>0</v>
      </c>
      <c r="L1587" s="36" t="s">
        <v>263</v>
      </c>
      <c r="M1587" s="37"/>
      <c r="N1587" s="37"/>
      <c r="O1587" s="27"/>
      <c r="P1587" s="27"/>
      <c r="Q1587" s="27"/>
      <c r="R1587" s="27"/>
      <c r="S1587" s="2" t="s">
        <v>1859</v>
      </c>
      <c r="T1587" s="29" t="s">
        <v>265</v>
      </c>
      <c r="U1587" s="27"/>
      <c r="V1587" s="27"/>
      <c r="W1587" s="27"/>
    </row>
    <row r="1588" spans="1:23" ht="24" customHeight="1">
      <c r="A1588" s="27" t="str">
        <f t="shared" ca="1" si="24"/>
        <v>EVT-2026-1586</v>
      </c>
      <c r="B1588" s="27">
        <v>2026</v>
      </c>
      <c r="C1588" s="27" t="s">
        <v>109</v>
      </c>
      <c r="D1588" s="27"/>
      <c r="E1588" s="27"/>
      <c r="F1588" s="27" t="s">
        <v>164</v>
      </c>
      <c r="G1588" s="27" t="s">
        <v>262</v>
      </c>
      <c r="H1588" s="27"/>
      <c r="I1588" s="27"/>
      <c r="J1588" s="27" t="s">
        <v>177</v>
      </c>
      <c r="K1588" s="10">
        <v>0</v>
      </c>
      <c r="L1588" s="36" t="s">
        <v>263</v>
      </c>
      <c r="M1588" s="37"/>
      <c r="N1588" s="37"/>
      <c r="O1588" s="27"/>
      <c r="P1588" s="27"/>
      <c r="Q1588" s="27"/>
      <c r="R1588" s="27"/>
      <c r="S1588" s="2" t="s">
        <v>1859</v>
      </c>
      <c r="T1588" s="29" t="s">
        <v>265</v>
      </c>
      <c r="U1588" s="27"/>
      <c r="V1588" s="27"/>
      <c r="W1588" s="27"/>
    </row>
    <row r="1589" spans="1:23" ht="24" customHeight="1">
      <c r="A1589" s="27" t="str">
        <f t="shared" ca="1" si="24"/>
        <v>EVT-2026-1587</v>
      </c>
      <c r="B1589" s="27">
        <v>2026</v>
      </c>
      <c r="C1589" s="27" t="s">
        <v>109</v>
      </c>
      <c r="D1589" s="27"/>
      <c r="E1589" s="27"/>
      <c r="F1589" s="27" t="s">
        <v>164</v>
      </c>
      <c r="G1589" s="27" t="s">
        <v>262</v>
      </c>
      <c r="H1589" s="27"/>
      <c r="I1589" s="27"/>
      <c r="J1589" s="27" t="s">
        <v>177</v>
      </c>
      <c r="K1589" s="10">
        <v>0</v>
      </c>
      <c r="L1589" s="36" t="s">
        <v>263</v>
      </c>
      <c r="M1589" s="37"/>
      <c r="N1589" s="37"/>
      <c r="O1589" s="27"/>
      <c r="P1589" s="27"/>
      <c r="Q1589" s="27"/>
      <c r="R1589" s="27"/>
      <c r="S1589" s="2" t="s">
        <v>1859</v>
      </c>
      <c r="T1589" s="29" t="s">
        <v>265</v>
      </c>
      <c r="U1589" s="27"/>
      <c r="V1589" s="27"/>
      <c r="W1589" s="27"/>
    </row>
    <row r="1590" spans="1:23" ht="24" customHeight="1">
      <c r="A1590" s="27" t="str">
        <f t="shared" ca="1" si="24"/>
        <v>EVT-2026-1588</v>
      </c>
      <c r="B1590" s="27">
        <v>2026</v>
      </c>
      <c r="C1590" s="27" t="s">
        <v>109</v>
      </c>
      <c r="D1590" s="27"/>
      <c r="E1590" s="27"/>
      <c r="F1590" s="27" t="s">
        <v>164</v>
      </c>
      <c r="G1590" s="27" t="s">
        <v>262</v>
      </c>
      <c r="H1590" s="27"/>
      <c r="I1590" s="27"/>
      <c r="J1590" s="27" t="s">
        <v>177</v>
      </c>
      <c r="K1590" s="10">
        <v>0</v>
      </c>
      <c r="L1590" s="36" t="s">
        <v>263</v>
      </c>
      <c r="M1590" s="37"/>
      <c r="N1590" s="37"/>
      <c r="O1590" s="27"/>
      <c r="P1590" s="27"/>
      <c r="Q1590" s="27"/>
      <c r="R1590" s="27"/>
      <c r="S1590" s="2" t="s">
        <v>1859</v>
      </c>
      <c r="T1590" s="29" t="s">
        <v>265</v>
      </c>
      <c r="U1590" s="27"/>
      <c r="V1590" s="27"/>
      <c r="W1590" s="27"/>
    </row>
    <row r="1591" spans="1:23" ht="24" customHeight="1">
      <c r="A1591" s="27" t="str">
        <f t="shared" ca="1" si="24"/>
        <v>EVT-2026-1589</v>
      </c>
      <c r="B1591" s="27">
        <v>2026</v>
      </c>
      <c r="C1591" s="27" t="s">
        <v>109</v>
      </c>
      <c r="D1591" s="27"/>
      <c r="E1591" s="27"/>
      <c r="F1591" s="27" t="s">
        <v>164</v>
      </c>
      <c r="G1591" s="27" t="s">
        <v>262</v>
      </c>
      <c r="H1591" s="27"/>
      <c r="I1591" s="27"/>
      <c r="J1591" s="27" t="s">
        <v>177</v>
      </c>
      <c r="K1591" s="10">
        <v>0</v>
      </c>
      <c r="L1591" s="36" t="s">
        <v>263</v>
      </c>
      <c r="M1591" s="37"/>
      <c r="N1591" s="37"/>
      <c r="O1591" s="27"/>
      <c r="P1591" s="27"/>
      <c r="Q1591" s="27"/>
      <c r="R1591" s="27"/>
      <c r="S1591" s="2" t="s">
        <v>1859</v>
      </c>
      <c r="T1591" s="29" t="s">
        <v>265</v>
      </c>
      <c r="U1591" s="27"/>
      <c r="V1591" s="27"/>
      <c r="W1591" s="27"/>
    </row>
    <row r="1592" spans="1:23" ht="24" customHeight="1">
      <c r="A1592" s="27" t="str">
        <f t="shared" ca="1" si="24"/>
        <v>EVT-2026-1590</v>
      </c>
      <c r="B1592" s="27">
        <v>2026</v>
      </c>
      <c r="C1592" s="27" t="s">
        <v>109</v>
      </c>
      <c r="D1592" s="27"/>
      <c r="E1592" s="27"/>
      <c r="F1592" s="27" t="s">
        <v>164</v>
      </c>
      <c r="G1592" s="27" t="s">
        <v>262</v>
      </c>
      <c r="H1592" s="27"/>
      <c r="I1592" s="27"/>
      <c r="J1592" s="27" t="s">
        <v>177</v>
      </c>
      <c r="K1592" s="10">
        <v>0</v>
      </c>
      <c r="L1592" s="36" t="s">
        <v>263</v>
      </c>
      <c r="M1592" s="37"/>
      <c r="N1592" s="37"/>
      <c r="O1592" s="27"/>
      <c r="P1592" s="27"/>
      <c r="Q1592" s="27"/>
      <c r="R1592" s="27"/>
      <c r="S1592" s="2" t="s">
        <v>1859</v>
      </c>
      <c r="T1592" s="29" t="s">
        <v>265</v>
      </c>
      <c r="U1592" s="27"/>
      <c r="V1592" s="27"/>
      <c r="W1592" s="27"/>
    </row>
    <row r="1593" spans="1:23" ht="24" customHeight="1">
      <c r="A1593" s="27" t="str">
        <f t="shared" ca="1" si="24"/>
        <v>EVT-2026-1591</v>
      </c>
      <c r="B1593" s="27">
        <v>2026</v>
      </c>
      <c r="C1593" s="27" t="s">
        <v>109</v>
      </c>
      <c r="D1593" s="27"/>
      <c r="E1593" s="27"/>
      <c r="F1593" s="27" t="s">
        <v>164</v>
      </c>
      <c r="G1593" s="27" t="s">
        <v>262</v>
      </c>
      <c r="H1593" s="27"/>
      <c r="I1593" s="27"/>
      <c r="J1593" s="27" t="s">
        <v>177</v>
      </c>
      <c r="K1593" s="10">
        <v>0</v>
      </c>
      <c r="L1593" s="36" t="s">
        <v>263</v>
      </c>
      <c r="M1593" s="37"/>
      <c r="N1593" s="37"/>
      <c r="O1593" s="27"/>
      <c r="P1593" s="27"/>
      <c r="Q1593" s="27"/>
      <c r="R1593" s="27"/>
      <c r="S1593" s="2" t="s">
        <v>1859</v>
      </c>
      <c r="T1593" s="29" t="s">
        <v>265</v>
      </c>
      <c r="U1593" s="27"/>
      <c r="V1593" s="27"/>
      <c r="W1593" s="27"/>
    </row>
    <row r="1594" spans="1:23" ht="24" customHeight="1">
      <c r="A1594" s="27" t="str">
        <f t="shared" ca="1" si="24"/>
        <v>EVT-2026-1592</v>
      </c>
      <c r="B1594" s="27">
        <v>2026</v>
      </c>
      <c r="C1594" s="27" t="s">
        <v>109</v>
      </c>
      <c r="D1594" s="27"/>
      <c r="E1594" s="27"/>
      <c r="F1594" s="27" t="s">
        <v>164</v>
      </c>
      <c r="G1594" s="27" t="s">
        <v>262</v>
      </c>
      <c r="H1594" s="27"/>
      <c r="I1594" s="27"/>
      <c r="J1594" s="27" t="s">
        <v>177</v>
      </c>
      <c r="K1594" s="10">
        <v>0</v>
      </c>
      <c r="L1594" s="36" t="s">
        <v>263</v>
      </c>
      <c r="M1594" s="37"/>
      <c r="N1594" s="37"/>
      <c r="O1594" s="27"/>
      <c r="P1594" s="27"/>
      <c r="Q1594" s="27"/>
      <c r="R1594" s="27"/>
      <c r="S1594" s="2" t="s">
        <v>1859</v>
      </c>
      <c r="T1594" s="29" t="s">
        <v>265</v>
      </c>
      <c r="U1594" s="27"/>
      <c r="V1594" s="27"/>
      <c r="W1594" s="27"/>
    </row>
    <row r="1595" spans="1:23" ht="24" customHeight="1">
      <c r="A1595" s="27" t="str">
        <f t="shared" ca="1" si="24"/>
        <v>EVT-2026-1593</v>
      </c>
      <c r="B1595" s="27">
        <v>2026</v>
      </c>
      <c r="C1595" s="27" t="s">
        <v>109</v>
      </c>
      <c r="D1595" s="27"/>
      <c r="E1595" s="27"/>
      <c r="F1595" s="27" t="s">
        <v>164</v>
      </c>
      <c r="G1595" s="27" t="s">
        <v>262</v>
      </c>
      <c r="H1595" s="27"/>
      <c r="I1595" s="27"/>
      <c r="J1595" s="27" t="s">
        <v>177</v>
      </c>
      <c r="K1595" s="10">
        <v>0</v>
      </c>
      <c r="L1595" s="36" t="s">
        <v>263</v>
      </c>
      <c r="M1595" s="37"/>
      <c r="N1595" s="37"/>
      <c r="O1595" s="27"/>
      <c r="P1595" s="27"/>
      <c r="Q1595" s="27"/>
      <c r="R1595" s="27"/>
      <c r="S1595" s="2" t="s">
        <v>1859</v>
      </c>
      <c r="T1595" s="29" t="s">
        <v>265</v>
      </c>
      <c r="U1595" s="27"/>
      <c r="V1595" s="27"/>
      <c r="W1595" s="27"/>
    </row>
    <row r="1596" spans="1:23" ht="24" customHeight="1">
      <c r="A1596" s="27" t="str">
        <f t="shared" ca="1" si="24"/>
        <v>EVT-2026-1594</v>
      </c>
      <c r="B1596" s="27">
        <v>2026</v>
      </c>
      <c r="C1596" s="27" t="s">
        <v>109</v>
      </c>
      <c r="D1596" s="27"/>
      <c r="E1596" s="27"/>
      <c r="F1596" s="27" t="s">
        <v>164</v>
      </c>
      <c r="G1596" s="27" t="s">
        <v>262</v>
      </c>
      <c r="H1596" s="27"/>
      <c r="I1596" s="27"/>
      <c r="J1596" s="27" t="s">
        <v>177</v>
      </c>
      <c r="K1596" s="10">
        <v>0</v>
      </c>
      <c r="L1596" s="36" t="s">
        <v>263</v>
      </c>
      <c r="M1596" s="37"/>
      <c r="N1596" s="37"/>
      <c r="O1596" s="27"/>
      <c r="P1596" s="27"/>
      <c r="Q1596" s="27"/>
      <c r="R1596" s="27"/>
      <c r="S1596" s="2" t="s">
        <v>1859</v>
      </c>
      <c r="T1596" s="29" t="s">
        <v>265</v>
      </c>
      <c r="U1596" s="27"/>
      <c r="V1596" s="27"/>
      <c r="W1596" s="27"/>
    </row>
    <row r="1597" spans="1:23" ht="24" customHeight="1">
      <c r="A1597" s="27" t="str">
        <f t="shared" ca="1" si="24"/>
        <v>EVT-2026-1595</v>
      </c>
      <c r="B1597" s="27">
        <v>2026</v>
      </c>
      <c r="C1597" s="27" t="s">
        <v>109</v>
      </c>
      <c r="D1597" s="27"/>
      <c r="E1597" s="27"/>
      <c r="F1597" s="27" t="s">
        <v>164</v>
      </c>
      <c r="G1597" s="27" t="s">
        <v>262</v>
      </c>
      <c r="H1597" s="27"/>
      <c r="I1597" s="27"/>
      <c r="J1597" s="27" t="s">
        <v>177</v>
      </c>
      <c r="K1597" s="10">
        <v>0</v>
      </c>
      <c r="L1597" s="36" t="s">
        <v>263</v>
      </c>
      <c r="M1597" s="37"/>
      <c r="N1597" s="37"/>
      <c r="O1597" s="27"/>
      <c r="P1597" s="27"/>
      <c r="Q1597" s="27"/>
      <c r="R1597" s="27"/>
      <c r="S1597" s="2" t="s">
        <v>1859</v>
      </c>
      <c r="T1597" s="29" t="s">
        <v>265</v>
      </c>
      <c r="U1597" s="27"/>
      <c r="V1597" s="27"/>
      <c r="W1597" s="27"/>
    </row>
    <row r="1598" spans="1:23" ht="24" customHeight="1">
      <c r="A1598" s="27" t="str">
        <f t="shared" ca="1" si="24"/>
        <v>EVT-2026-1596</v>
      </c>
      <c r="B1598" s="27">
        <v>2026</v>
      </c>
      <c r="C1598" s="27" t="s">
        <v>109</v>
      </c>
      <c r="D1598" s="27"/>
      <c r="E1598" s="27"/>
      <c r="F1598" s="27" t="s">
        <v>164</v>
      </c>
      <c r="G1598" s="27" t="s">
        <v>262</v>
      </c>
      <c r="H1598" s="27"/>
      <c r="I1598" s="27"/>
      <c r="J1598" s="27" t="s">
        <v>177</v>
      </c>
      <c r="K1598" s="10">
        <v>0</v>
      </c>
      <c r="L1598" s="36" t="s">
        <v>263</v>
      </c>
      <c r="M1598" s="37"/>
      <c r="N1598" s="37"/>
      <c r="O1598" s="27"/>
      <c r="P1598" s="27"/>
      <c r="Q1598" s="27"/>
      <c r="R1598" s="27"/>
      <c r="S1598" s="2" t="s">
        <v>1859</v>
      </c>
      <c r="T1598" s="29" t="s">
        <v>265</v>
      </c>
      <c r="U1598" s="27"/>
      <c r="V1598" s="27"/>
      <c r="W1598" s="27"/>
    </row>
    <row r="1599" spans="1:23" ht="24" customHeight="1">
      <c r="A1599" s="27" t="str">
        <f t="shared" ca="1" si="24"/>
        <v>EVT-2026-1597</v>
      </c>
      <c r="B1599" s="27">
        <v>2026</v>
      </c>
      <c r="C1599" s="27" t="s">
        <v>109</v>
      </c>
      <c r="D1599" s="27"/>
      <c r="E1599" s="27"/>
      <c r="F1599" s="27" t="s">
        <v>164</v>
      </c>
      <c r="G1599" s="27" t="s">
        <v>262</v>
      </c>
      <c r="H1599" s="27"/>
      <c r="I1599" s="27"/>
      <c r="J1599" s="27" t="s">
        <v>177</v>
      </c>
      <c r="K1599" s="10">
        <v>0</v>
      </c>
      <c r="L1599" s="36" t="s">
        <v>263</v>
      </c>
      <c r="M1599" s="37"/>
      <c r="N1599" s="37"/>
      <c r="O1599" s="27"/>
      <c r="P1599" s="27"/>
      <c r="Q1599" s="27"/>
      <c r="R1599" s="27"/>
      <c r="S1599" s="2" t="s">
        <v>1859</v>
      </c>
      <c r="T1599" s="29" t="s">
        <v>265</v>
      </c>
      <c r="U1599" s="27"/>
      <c r="V1599" s="27"/>
      <c r="W1599" s="27"/>
    </row>
    <row r="1600" spans="1:23" ht="24" customHeight="1">
      <c r="A1600" s="27" t="str">
        <f t="shared" ca="1" si="24"/>
        <v>EVT-2026-1598</v>
      </c>
      <c r="B1600" s="27">
        <v>2026</v>
      </c>
      <c r="C1600" s="27" t="s">
        <v>109</v>
      </c>
      <c r="D1600" s="27"/>
      <c r="E1600" s="27"/>
      <c r="F1600" s="27" t="s">
        <v>164</v>
      </c>
      <c r="G1600" s="27" t="s">
        <v>262</v>
      </c>
      <c r="H1600" s="27"/>
      <c r="I1600" s="27"/>
      <c r="J1600" s="27" t="s">
        <v>177</v>
      </c>
      <c r="K1600" s="10">
        <v>0</v>
      </c>
      <c r="L1600" s="36" t="s">
        <v>263</v>
      </c>
      <c r="M1600" s="37"/>
      <c r="N1600" s="37"/>
      <c r="O1600" s="27"/>
      <c r="P1600" s="27"/>
      <c r="Q1600" s="27"/>
      <c r="R1600" s="27"/>
      <c r="S1600" s="2" t="s">
        <v>1859</v>
      </c>
      <c r="T1600" s="29" t="s">
        <v>265</v>
      </c>
      <c r="U1600" s="27"/>
      <c r="V1600" s="27"/>
      <c r="W1600" s="27"/>
    </row>
    <row r="1601" spans="1:23" ht="24" customHeight="1">
      <c r="A1601" s="27" t="str">
        <f t="shared" ca="1" si="24"/>
        <v>EVT-2026-1599</v>
      </c>
      <c r="B1601" s="27">
        <v>2026</v>
      </c>
      <c r="C1601" s="27" t="s">
        <v>109</v>
      </c>
      <c r="D1601" s="27"/>
      <c r="E1601" s="27"/>
      <c r="F1601" s="27" t="s">
        <v>164</v>
      </c>
      <c r="G1601" s="27" t="s">
        <v>262</v>
      </c>
      <c r="H1601" s="27"/>
      <c r="I1601" s="27"/>
      <c r="J1601" s="27" t="s">
        <v>177</v>
      </c>
      <c r="K1601" s="10">
        <v>0</v>
      </c>
      <c r="L1601" s="36" t="s">
        <v>263</v>
      </c>
      <c r="M1601" s="37"/>
      <c r="N1601" s="37"/>
      <c r="O1601" s="27"/>
      <c r="P1601" s="27"/>
      <c r="Q1601" s="27"/>
      <c r="R1601" s="27"/>
      <c r="S1601" s="2" t="s">
        <v>1859</v>
      </c>
      <c r="T1601" s="29" t="s">
        <v>265</v>
      </c>
      <c r="U1601" s="27"/>
      <c r="V1601" s="27"/>
      <c r="W1601" s="27"/>
    </row>
    <row r="1602" spans="1:23" ht="24" customHeight="1">
      <c r="A1602" s="27" t="str">
        <f t="shared" ca="1" si="24"/>
        <v>EVT-2026-1600</v>
      </c>
      <c r="B1602" s="27">
        <v>2026</v>
      </c>
      <c r="C1602" s="27" t="s">
        <v>109</v>
      </c>
      <c r="D1602" s="30">
        <v>46327</v>
      </c>
      <c r="E1602" s="27" t="s">
        <v>267</v>
      </c>
      <c r="F1602" s="27" t="s">
        <v>126</v>
      </c>
      <c r="G1602" s="27"/>
      <c r="H1602" s="27"/>
      <c r="I1602" s="27"/>
      <c r="J1602" s="27" t="s">
        <v>177</v>
      </c>
      <c r="K1602" s="10">
        <v>0</v>
      </c>
      <c r="L1602" s="36" t="s">
        <v>263</v>
      </c>
      <c r="M1602" s="37"/>
      <c r="N1602" s="37"/>
      <c r="O1602" s="27"/>
      <c r="P1602" s="27"/>
      <c r="Q1602" s="27"/>
      <c r="R1602" s="27"/>
      <c r="S1602" s="2" t="s">
        <v>1859</v>
      </c>
      <c r="T1602" s="29" t="s">
        <v>265</v>
      </c>
      <c r="U1602" s="27"/>
      <c r="V1602" s="27"/>
      <c r="W1602" s="27"/>
    </row>
    <row r="1603" spans="1:23" ht="24" customHeight="1">
      <c r="A1603" s="27" t="str">
        <f t="shared" ref="A1603:A1666" ca="1" si="25">IF(OR(D1603&lt;&gt;"",H1603&lt;&gt;"",I1603&lt;&gt;"",Q1603&lt;&gt;"",S1603&lt;&gt;""), "EVT-" &amp; TEXT(B1603, "0000") &amp; "-" &amp; TEXT(COUNTIF(OFFSET($A$1, 1, 0, ROW()-2, 1), "EVT*") + 1, "0000"), "")</f>
        <v>EVT-2026-1601</v>
      </c>
      <c r="B1603" s="27">
        <v>2026</v>
      </c>
      <c r="C1603" s="27" t="s">
        <v>109</v>
      </c>
      <c r="D1603" s="30">
        <v>46328</v>
      </c>
      <c r="E1603" s="27" t="s">
        <v>224</v>
      </c>
      <c r="F1603" s="27" t="s">
        <v>126</v>
      </c>
      <c r="G1603" s="27"/>
      <c r="H1603" s="27"/>
      <c r="I1603" s="27"/>
      <c r="J1603" s="27" t="s">
        <v>177</v>
      </c>
      <c r="K1603" s="10">
        <v>0</v>
      </c>
      <c r="L1603" s="36" t="s">
        <v>263</v>
      </c>
      <c r="M1603" s="37"/>
      <c r="N1603" s="37"/>
      <c r="O1603" s="27"/>
      <c r="P1603" s="27"/>
      <c r="Q1603" s="27"/>
      <c r="R1603" s="27"/>
      <c r="S1603" s="2" t="s">
        <v>1859</v>
      </c>
      <c r="T1603" s="29" t="s">
        <v>265</v>
      </c>
      <c r="U1603" s="27"/>
      <c r="V1603" s="27"/>
      <c r="W1603" s="27"/>
    </row>
    <row r="1604" spans="1:23" ht="24" customHeight="1">
      <c r="A1604" s="27" t="str">
        <f t="shared" ca="1" si="25"/>
        <v>EVT-2026-1602</v>
      </c>
      <c r="B1604" s="27">
        <v>2026</v>
      </c>
      <c r="C1604" s="27" t="s">
        <v>109</v>
      </c>
      <c r="D1604" s="30">
        <v>46329</v>
      </c>
      <c r="E1604" s="27" t="s">
        <v>227</v>
      </c>
      <c r="F1604" s="27" t="s">
        <v>126</v>
      </c>
      <c r="G1604" s="27"/>
      <c r="H1604" s="27"/>
      <c r="I1604" s="27"/>
      <c r="J1604" s="27" t="s">
        <v>177</v>
      </c>
      <c r="K1604" s="10">
        <v>0</v>
      </c>
      <c r="L1604" s="36" t="s">
        <v>263</v>
      </c>
      <c r="M1604" s="37"/>
      <c r="N1604" s="37"/>
      <c r="O1604" s="27"/>
      <c r="P1604" s="27"/>
      <c r="Q1604" s="27"/>
      <c r="R1604" s="27"/>
      <c r="S1604" s="2" t="s">
        <v>1859</v>
      </c>
      <c r="T1604" s="29" t="s">
        <v>265</v>
      </c>
      <c r="U1604" s="27"/>
      <c r="V1604" s="27"/>
      <c r="W1604" s="27"/>
    </row>
    <row r="1605" spans="1:23" ht="24" customHeight="1">
      <c r="A1605" s="27" t="str">
        <f t="shared" ca="1" si="25"/>
        <v>EVT-2026-1603</v>
      </c>
      <c r="B1605" s="27">
        <v>2026</v>
      </c>
      <c r="C1605" s="27" t="s">
        <v>109</v>
      </c>
      <c r="D1605" s="30">
        <v>46330</v>
      </c>
      <c r="E1605" s="27" t="s">
        <v>201</v>
      </c>
      <c r="F1605" s="27" t="s">
        <v>126</v>
      </c>
      <c r="G1605" s="27"/>
      <c r="H1605" s="27"/>
      <c r="I1605" s="27"/>
      <c r="J1605" s="27" t="s">
        <v>177</v>
      </c>
      <c r="K1605" s="10">
        <v>0</v>
      </c>
      <c r="L1605" s="36" t="s">
        <v>263</v>
      </c>
      <c r="M1605" s="37"/>
      <c r="N1605" s="37"/>
      <c r="O1605" s="27"/>
      <c r="P1605" s="27"/>
      <c r="Q1605" s="27"/>
      <c r="R1605" s="27"/>
      <c r="S1605" s="2" t="s">
        <v>1859</v>
      </c>
      <c r="T1605" s="29" t="s">
        <v>265</v>
      </c>
      <c r="U1605" s="27"/>
      <c r="V1605" s="27"/>
      <c r="W1605" s="27"/>
    </row>
    <row r="1606" spans="1:23" ht="24" customHeight="1">
      <c r="A1606" s="27" t="str">
        <f t="shared" ca="1" si="25"/>
        <v>EVT-2026-1604</v>
      </c>
      <c r="B1606" s="27">
        <v>2026</v>
      </c>
      <c r="C1606" s="27" t="s">
        <v>109</v>
      </c>
      <c r="D1606" s="30">
        <v>46331</v>
      </c>
      <c r="E1606" s="27" t="s">
        <v>216</v>
      </c>
      <c r="F1606" s="27" t="s">
        <v>126</v>
      </c>
      <c r="G1606" s="27"/>
      <c r="H1606" s="27"/>
      <c r="I1606" s="27"/>
      <c r="J1606" s="27" t="s">
        <v>177</v>
      </c>
      <c r="K1606" s="10">
        <v>0</v>
      </c>
      <c r="L1606" s="36" t="s">
        <v>263</v>
      </c>
      <c r="M1606" s="37"/>
      <c r="N1606" s="37"/>
      <c r="O1606" s="27"/>
      <c r="P1606" s="27"/>
      <c r="Q1606" s="27"/>
      <c r="R1606" s="27"/>
      <c r="S1606" s="2" t="s">
        <v>1859</v>
      </c>
      <c r="T1606" s="29" t="s">
        <v>265</v>
      </c>
      <c r="U1606" s="27"/>
      <c r="V1606" s="27"/>
      <c r="W1606" s="27"/>
    </row>
    <row r="1607" spans="1:23" ht="24" customHeight="1">
      <c r="A1607" s="27" t="str">
        <f t="shared" ca="1" si="25"/>
        <v>EVT-2026-1605</v>
      </c>
      <c r="B1607" s="27">
        <v>2026</v>
      </c>
      <c r="C1607" s="27" t="s">
        <v>109</v>
      </c>
      <c r="D1607" s="30">
        <v>46332</v>
      </c>
      <c r="E1607" s="27" t="s">
        <v>220</v>
      </c>
      <c r="F1607" s="27" t="s">
        <v>126</v>
      </c>
      <c r="G1607" s="27"/>
      <c r="H1607" s="27"/>
      <c r="I1607" s="27"/>
      <c r="J1607" s="27" t="s">
        <v>177</v>
      </c>
      <c r="K1607" s="10">
        <v>0</v>
      </c>
      <c r="L1607" s="36" t="s">
        <v>263</v>
      </c>
      <c r="M1607" s="37"/>
      <c r="N1607" s="37"/>
      <c r="O1607" s="27"/>
      <c r="P1607" s="27"/>
      <c r="Q1607" s="27"/>
      <c r="R1607" s="27"/>
      <c r="S1607" s="2" t="s">
        <v>1859</v>
      </c>
      <c r="T1607" s="29" t="s">
        <v>265</v>
      </c>
      <c r="U1607" s="27"/>
      <c r="V1607" s="27"/>
      <c r="W1607" s="27"/>
    </row>
    <row r="1608" spans="1:23" ht="24" customHeight="1">
      <c r="A1608" s="27" t="str">
        <f t="shared" ca="1" si="25"/>
        <v>EVT-2026-1606</v>
      </c>
      <c r="B1608" s="27">
        <v>2026</v>
      </c>
      <c r="C1608" s="27" t="s">
        <v>109</v>
      </c>
      <c r="D1608" s="30">
        <v>46333</v>
      </c>
      <c r="E1608" s="27" t="s">
        <v>266</v>
      </c>
      <c r="F1608" s="27" t="s">
        <v>126</v>
      </c>
      <c r="G1608" s="27"/>
      <c r="H1608" s="27"/>
      <c r="I1608" s="27"/>
      <c r="J1608" s="27" t="s">
        <v>177</v>
      </c>
      <c r="K1608" s="10">
        <v>0</v>
      </c>
      <c r="L1608" s="36" t="s">
        <v>263</v>
      </c>
      <c r="M1608" s="37"/>
      <c r="N1608" s="37"/>
      <c r="O1608" s="27"/>
      <c r="P1608" s="27"/>
      <c r="Q1608" s="27"/>
      <c r="R1608" s="27"/>
      <c r="S1608" s="2" t="s">
        <v>1859</v>
      </c>
      <c r="T1608" s="29" t="s">
        <v>265</v>
      </c>
      <c r="U1608" s="27"/>
      <c r="V1608" s="27"/>
      <c r="W1608" s="27"/>
    </row>
    <row r="1609" spans="1:23" ht="24" customHeight="1">
      <c r="A1609" s="27" t="str">
        <f t="shared" ca="1" si="25"/>
        <v>EVT-2026-1607</v>
      </c>
      <c r="B1609" s="27">
        <v>2026</v>
      </c>
      <c r="C1609" s="27" t="s">
        <v>109</v>
      </c>
      <c r="D1609" s="30">
        <v>46334</v>
      </c>
      <c r="E1609" s="27" t="s">
        <v>267</v>
      </c>
      <c r="F1609" s="27" t="s">
        <v>126</v>
      </c>
      <c r="G1609" s="27"/>
      <c r="H1609" s="27"/>
      <c r="I1609" s="27"/>
      <c r="J1609" s="27" t="s">
        <v>177</v>
      </c>
      <c r="K1609" s="10">
        <v>0</v>
      </c>
      <c r="L1609" s="36" t="s">
        <v>263</v>
      </c>
      <c r="M1609" s="37"/>
      <c r="N1609" s="37"/>
      <c r="O1609" s="27"/>
      <c r="P1609" s="27"/>
      <c r="Q1609" s="27"/>
      <c r="R1609" s="27"/>
      <c r="S1609" s="2" t="s">
        <v>1859</v>
      </c>
      <c r="T1609" s="29" t="s">
        <v>265</v>
      </c>
      <c r="U1609" s="27"/>
      <c r="V1609" s="27"/>
      <c r="W1609" s="27"/>
    </row>
    <row r="1610" spans="1:23" ht="24" customHeight="1">
      <c r="A1610" s="27" t="str">
        <f t="shared" ca="1" si="25"/>
        <v>EVT-2026-1608</v>
      </c>
      <c r="B1610" s="27">
        <v>2026</v>
      </c>
      <c r="C1610" s="27" t="s">
        <v>109</v>
      </c>
      <c r="D1610" s="30">
        <v>46335</v>
      </c>
      <c r="E1610" s="27" t="s">
        <v>224</v>
      </c>
      <c r="F1610" s="27" t="s">
        <v>126</v>
      </c>
      <c r="G1610" s="27"/>
      <c r="H1610" s="27"/>
      <c r="I1610" s="27"/>
      <c r="J1610" s="27" t="s">
        <v>177</v>
      </c>
      <c r="K1610" s="10">
        <v>0</v>
      </c>
      <c r="L1610" s="36" t="s">
        <v>263</v>
      </c>
      <c r="M1610" s="37"/>
      <c r="N1610" s="37"/>
      <c r="O1610" s="27"/>
      <c r="P1610" s="27"/>
      <c r="Q1610" s="27"/>
      <c r="R1610" s="27"/>
      <c r="S1610" s="2" t="s">
        <v>1859</v>
      </c>
      <c r="T1610" s="29" t="s">
        <v>265</v>
      </c>
      <c r="U1610" s="27"/>
      <c r="V1610" s="27"/>
      <c r="W1610" s="27"/>
    </row>
    <row r="1611" spans="1:23" ht="24" customHeight="1">
      <c r="A1611" s="27" t="str">
        <f t="shared" ca="1" si="25"/>
        <v>EVT-2026-1609</v>
      </c>
      <c r="B1611" s="27">
        <v>2026</v>
      </c>
      <c r="C1611" s="27" t="s">
        <v>109</v>
      </c>
      <c r="D1611" s="30">
        <v>46336</v>
      </c>
      <c r="E1611" s="27" t="s">
        <v>227</v>
      </c>
      <c r="F1611" s="27" t="s">
        <v>126</v>
      </c>
      <c r="G1611" s="27" t="s">
        <v>348</v>
      </c>
      <c r="H1611" s="27" t="s">
        <v>208</v>
      </c>
      <c r="I1611" s="27" t="s">
        <v>812</v>
      </c>
      <c r="J1611" s="27" t="s">
        <v>127</v>
      </c>
      <c r="K1611" s="10">
        <v>75</v>
      </c>
      <c r="L1611" s="36" t="s">
        <v>263</v>
      </c>
      <c r="M1611" s="37" t="s">
        <v>338</v>
      </c>
      <c r="N1611" s="37" t="s">
        <v>429</v>
      </c>
      <c r="O1611" s="27"/>
      <c r="P1611" s="27"/>
      <c r="Q1611" s="27" t="s">
        <v>378</v>
      </c>
      <c r="R1611" s="27"/>
      <c r="S1611" s="2" t="s">
        <v>1859</v>
      </c>
      <c r="T1611" s="29" t="s">
        <v>265</v>
      </c>
      <c r="U1611" s="30">
        <v>46049</v>
      </c>
      <c r="V1611" s="27" t="s">
        <v>813</v>
      </c>
      <c r="W1611" s="27"/>
    </row>
    <row r="1612" spans="1:23" ht="24" customHeight="1">
      <c r="A1612" s="27" t="str">
        <f t="shared" ca="1" si="25"/>
        <v>EVT-2026-1610</v>
      </c>
      <c r="B1612" s="27">
        <v>2026</v>
      </c>
      <c r="C1612" s="27" t="s">
        <v>109</v>
      </c>
      <c r="D1612" s="30">
        <v>46337</v>
      </c>
      <c r="E1612" s="27" t="s">
        <v>201</v>
      </c>
      <c r="F1612" s="27" t="s">
        <v>126</v>
      </c>
      <c r="G1612" s="27"/>
      <c r="H1612" s="27"/>
      <c r="I1612" s="27"/>
      <c r="J1612" s="27" t="s">
        <v>177</v>
      </c>
      <c r="K1612" s="10">
        <v>0</v>
      </c>
      <c r="L1612" s="36" t="s">
        <v>263</v>
      </c>
      <c r="M1612" s="37"/>
      <c r="N1612" s="37"/>
      <c r="O1612" s="27"/>
      <c r="P1612" s="27"/>
      <c r="Q1612" s="27"/>
      <c r="R1612" s="27"/>
      <c r="S1612" s="2" t="s">
        <v>1859</v>
      </c>
      <c r="T1612" s="29" t="s">
        <v>265</v>
      </c>
      <c r="U1612" s="27"/>
      <c r="V1612" s="27"/>
      <c r="W1612" s="27"/>
    </row>
    <row r="1613" spans="1:23" ht="24" customHeight="1">
      <c r="A1613" s="27" t="str">
        <f t="shared" ca="1" si="25"/>
        <v>EVT-2026-1611</v>
      </c>
      <c r="B1613" s="27">
        <v>2026</v>
      </c>
      <c r="C1613" s="27" t="s">
        <v>109</v>
      </c>
      <c r="D1613" s="30">
        <v>46338</v>
      </c>
      <c r="E1613" s="27" t="s">
        <v>216</v>
      </c>
      <c r="F1613" s="27" t="s">
        <v>126</v>
      </c>
      <c r="G1613" s="27"/>
      <c r="H1613" s="27"/>
      <c r="I1613" s="27"/>
      <c r="J1613" s="27" t="s">
        <v>177</v>
      </c>
      <c r="K1613" s="10">
        <v>0</v>
      </c>
      <c r="L1613" s="36" t="s">
        <v>263</v>
      </c>
      <c r="M1613" s="37"/>
      <c r="N1613" s="37"/>
      <c r="O1613" s="27"/>
      <c r="P1613" s="27"/>
      <c r="Q1613" s="27"/>
      <c r="R1613" s="27"/>
      <c r="S1613" s="2" t="s">
        <v>1859</v>
      </c>
      <c r="T1613" s="29" t="s">
        <v>265</v>
      </c>
      <c r="U1613" s="27"/>
      <c r="V1613" s="27"/>
      <c r="W1613" s="27"/>
    </row>
    <row r="1614" spans="1:23" ht="24" customHeight="1">
      <c r="A1614" s="27" t="str">
        <f t="shared" ca="1" si="25"/>
        <v>EVT-2026-1612</v>
      </c>
      <c r="B1614" s="27">
        <v>2026</v>
      </c>
      <c r="C1614" s="27" t="s">
        <v>109</v>
      </c>
      <c r="D1614" s="30">
        <v>46339</v>
      </c>
      <c r="E1614" s="27" t="s">
        <v>220</v>
      </c>
      <c r="F1614" s="27" t="s">
        <v>126</v>
      </c>
      <c r="G1614" s="27"/>
      <c r="H1614" s="27"/>
      <c r="I1614" s="27"/>
      <c r="J1614" s="27" t="s">
        <v>177</v>
      </c>
      <c r="K1614" s="10">
        <v>0</v>
      </c>
      <c r="L1614" s="36" t="s">
        <v>263</v>
      </c>
      <c r="M1614" s="37"/>
      <c r="N1614" s="37"/>
      <c r="O1614" s="27"/>
      <c r="P1614" s="27"/>
      <c r="Q1614" s="27"/>
      <c r="R1614" s="27"/>
      <c r="S1614" s="2" t="s">
        <v>1859</v>
      </c>
      <c r="T1614" s="29" t="s">
        <v>265</v>
      </c>
      <c r="U1614" s="27"/>
      <c r="V1614" s="27"/>
      <c r="W1614" s="27"/>
    </row>
    <row r="1615" spans="1:23" ht="24" customHeight="1">
      <c r="A1615" s="27" t="str">
        <f t="shared" ca="1" si="25"/>
        <v>EVT-2026-1613</v>
      </c>
      <c r="B1615" s="27">
        <v>2026</v>
      </c>
      <c r="C1615" s="27" t="s">
        <v>109</v>
      </c>
      <c r="D1615" s="30">
        <v>46340</v>
      </c>
      <c r="E1615" s="27" t="s">
        <v>266</v>
      </c>
      <c r="F1615" s="27" t="s">
        <v>126</v>
      </c>
      <c r="G1615" s="27"/>
      <c r="H1615" s="27"/>
      <c r="I1615" s="27"/>
      <c r="J1615" s="27" t="s">
        <v>177</v>
      </c>
      <c r="K1615" s="10">
        <v>0</v>
      </c>
      <c r="L1615" s="36" t="s">
        <v>263</v>
      </c>
      <c r="M1615" s="37"/>
      <c r="N1615" s="37"/>
      <c r="O1615" s="27"/>
      <c r="P1615" s="27"/>
      <c r="Q1615" s="27"/>
      <c r="R1615" s="27"/>
      <c r="S1615" s="2" t="s">
        <v>1859</v>
      </c>
      <c r="T1615" s="29" t="s">
        <v>265</v>
      </c>
      <c r="U1615" s="27"/>
      <c r="V1615" s="27"/>
      <c r="W1615" s="27"/>
    </row>
    <row r="1616" spans="1:23" ht="24" customHeight="1">
      <c r="A1616" s="27" t="str">
        <f t="shared" ca="1" si="25"/>
        <v>EVT-2026-1614</v>
      </c>
      <c r="B1616" s="27">
        <v>2026</v>
      </c>
      <c r="C1616" s="27" t="s">
        <v>109</v>
      </c>
      <c r="D1616" s="30">
        <v>46341</v>
      </c>
      <c r="E1616" s="27" t="s">
        <v>267</v>
      </c>
      <c r="F1616" s="27" t="s">
        <v>126</v>
      </c>
      <c r="G1616" s="27"/>
      <c r="H1616" s="27"/>
      <c r="I1616" s="27"/>
      <c r="J1616" s="27" t="s">
        <v>177</v>
      </c>
      <c r="K1616" s="10">
        <v>0</v>
      </c>
      <c r="L1616" s="36" t="s">
        <v>263</v>
      </c>
      <c r="M1616" s="37"/>
      <c r="N1616" s="37"/>
      <c r="O1616" s="27"/>
      <c r="P1616" s="27"/>
      <c r="Q1616" s="27"/>
      <c r="R1616" s="27"/>
      <c r="S1616" s="2" t="s">
        <v>1859</v>
      </c>
      <c r="T1616" s="29" t="s">
        <v>265</v>
      </c>
      <c r="U1616" s="27"/>
      <c r="V1616" s="27"/>
      <c r="W1616" s="27"/>
    </row>
    <row r="1617" spans="1:23" ht="24" customHeight="1">
      <c r="A1617" s="27" t="str">
        <f t="shared" ca="1" si="25"/>
        <v>EVT-2026-1615</v>
      </c>
      <c r="B1617" s="27">
        <v>2026</v>
      </c>
      <c r="C1617" s="27" t="s">
        <v>109</v>
      </c>
      <c r="D1617" s="30">
        <v>46342</v>
      </c>
      <c r="E1617" s="27" t="s">
        <v>224</v>
      </c>
      <c r="F1617" s="27" t="s">
        <v>126</v>
      </c>
      <c r="G1617" s="27"/>
      <c r="H1617" s="27"/>
      <c r="I1617" s="27"/>
      <c r="J1617" s="27" t="s">
        <v>177</v>
      </c>
      <c r="K1617" s="10">
        <v>0</v>
      </c>
      <c r="L1617" s="36" t="s">
        <v>263</v>
      </c>
      <c r="M1617" s="37"/>
      <c r="N1617" s="37"/>
      <c r="O1617" s="27"/>
      <c r="P1617" s="27"/>
      <c r="Q1617" s="27"/>
      <c r="R1617" s="27"/>
      <c r="S1617" s="2" t="s">
        <v>1859</v>
      </c>
      <c r="T1617" s="29" t="s">
        <v>265</v>
      </c>
      <c r="U1617" s="27"/>
      <c r="V1617" s="27"/>
      <c r="W1617" s="27"/>
    </row>
    <row r="1618" spans="1:23" ht="24" customHeight="1">
      <c r="A1618" s="27" t="str">
        <f t="shared" ca="1" si="25"/>
        <v>EVT-2026-1616</v>
      </c>
      <c r="B1618" s="27">
        <v>2026</v>
      </c>
      <c r="C1618" s="27" t="s">
        <v>109</v>
      </c>
      <c r="D1618" s="30">
        <v>46343</v>
      </c>
      <c r="E1618" s="27" t="s">
        <v>227</v>
      </c>
      <c r="F1618" s="27" t="s">
        <v>126</v>
      </c>
      <c r="G1618" s="27"/>
      <c r="H1618" s="27"/>
      <c r="I1618" s="27"/>
      <c r="J1618" s="27" t="s">
        <v>177</v>
      </c>
      <c r="K1618" s="10">
        <v>0</v>
      </c>
      <c r="L1618" s="36" t="s">
        <v>263</v>
      </c>
      <c r="M1618" s="37"/>
      <c r="N1618" s="37"/>
      <c r="O1618" s="27"/>
      <c r="P1618" s="27"/>
      <c r="Q1618" s="27"/>
      <c r="R1618" s="27"/>
      <c r="S1618" s="2" t="s">
        <v>1859</v>
      </c>
      <c r="T1618" s="29" t="s">
        <v>265</v>
      </c>
      <c r="U1618" s="27"/>
      <c r="V1618" s="27"/>
      <c r="W1618" s="27"/>
    </row>
    <row r="1619" spans="1:23" ht="24" customHeight="1">
      <c r="A1619" s="27" t="str">
        <f t="shared" ca="1" si="25"/>
        <v>EVT-2026-1617</v>
      </c>
      <c r="B1619" s="27">
        <v>2026</v>
      </c>
      <c r="C1619" s="27" t="s">
        <v>109</v>
      </c>
      <c r="D1619" s="30">
        <v>46344</v>
      </c>
      <c r="E1619" s="27" t="s">
        <v>201</v>
      </c>
      <c r="F1619" s="27" t="s">
        <v>126</v>
      </c>
      <c r="G1619" s="27"/>
      <c r="H1619" s="27"/>
      <c r="I1619" s="27"/>
      <c r="J1619" s="27" t="s">
        <v>177</v>
      </c>
      <c r="K1619" s="10">
        <v>0</v>
      </c>
      <c r="L1619" s="36" t="s">
        <v>263</v>
      </c>
      <c r="M1619" s="37"/>
      <c r="N1619" s="37"/>
      <c r="O1619" s="27"/>
      <c r="P1619" s="27"/>
      <c r="Q1619" s="27"/>
      <c r="R1619" s="27"/>
      <c r="S1619" s="2" t="s">
        <v>1859</v>
      </c>
      <c r="T1619" s="29" t="s">
        <v>265</v>
      </c>
      <c r="U1619" s="27"/>
      <c r="V1619" s="27"/>
      <c r="W1619" s="27"/>
    </row>
    <row r="1620" spans="1:23" ht="24" customHeight="1">
      <c r="A1620" s="27" t="str">
        <f t="shared" ca="1" si="25"/>
        <v>EVT-2026-1618</v>
      </c>
      <c r="B1620" s="27">
        <v>2026</v>
      </c>
      <c r="C1620" s="27" t="s">
        <v>109</v>
      </c>
      <c r="D1620" s="30">
        <v>46345</v>
      </c>
      <c r="E1620" s="27" t="s">
        <v>216</v>
      </c>
      <c r="F1620" s="27" t="s">
        <v>126</v>
      </c>
      <c r="G1620" s="27"/>
      <c r="H1620" s="27"/>
      <c r="I1620" s="27"/>
      <c r="J1620" s="27" t="s">
        <v>177</v>
      </c>
      <c r="K1620" s="10">
        <v>0</v>
      </c>
      <c r="L1620" s="36" t="s">
        <v>263</v>
      </c>
      <c r="M1620" s="37"/>
      <c r="N1620" s="37"/>
      <c r="O1620" s="27"/>
      <c r="P1620" s="27"/>
      <c r="Q1620" s="27"/>
      <c r="R1620" s="27"/>
      <c r="S1620" s="2" t="s">
        <v>1859</v>
      </c>
      <c r="T1620" s="29" t="s">
        <v>265</v>
      </c>
      <c r="U1620" s="27"/>
      <c r="V1620" s="27"/>
      <c r="W1620" s="27"/>
    </row>
    <row r="1621" spans="1:23" ht="24" customHeight="1">
      <c r="A1621" s="27" t="str">
        <f t="shared" ca="1" si="25"/>
        <v>EVT-2026-1619</v>
      </c>
      <c r="B1621" s="27">
        <v>2026</v>
      </c>
      <c r="C1621" s="27" t="s">
        <v>109</v>
      </c>
      <c r="D1621" s="30">
        <v>46346</v>
      </c>
      <c r="E1621" s="27" t="s">
        <v>220</v>
      </c>
      <c r="F1621" s="27" t="s">
        <v>126</v>
      </c>
      <c r="G1621" s="27"/>
      <c r="H1621" s="27"/>
      <c r="I1621" s="27"/>
      <c r="J1621" s="27" t="s">
        <v>177</v>
      </c>
      <c r="K1621" s="10">
        <v>0</v>
      </c>
      <c r="L1621" s="36" t="s">
        <v>263</v>
      </c>
      <c r="M1621" s="37"/>
      <c r="N1621" s="37"/>
      <c r="O1621" s="27"/>
      <c r="P1621" s="27"/>
      <c r="Q1621" s="27"/>
      <c r="R1621" s="27"/>
      <c r="S1621" s="2" t="s">
        <v>1859</v>
      </c>
      <c r="T1621" s="29" t="s">
        <v>265</v>
      </c>
      <c r="U1621" s="27"/>
      <c r="V1621" s="27"/>
      <c r="W1621" s="27"/>
    </row>
    <row r="1622" spans="1:23" ht="24" customHeight="1">
      <c r="A1622" s="27" t="str">
        <f t="shared" ca="1" si="25"/>
        <v>EVT-2026-1620</v>
      </c>
      <c r="B1622" s="27">
        <v>2026</v>
      </c>
      <c r="C1622" s="27" t="s">
        <v>109</v>
      </c>
      <c r="D1622" s="30">
        <v>46347</v>
      </c>
      <c r="E1622" s="27" t="s">
        <v>266</v>
      </c>
      <c r="F1622" s="27" t="s">
        <v>126</v>
      </c>
      <c r="G1622" s="27"/>
      <c r="H1622" s="27"/>
      <c r="I1622" s="27"/>
      <c r="J1622" s="27" t="s">
        <v>177</v>
      </c>
      <c r="K1622" s="10">
        <v>0</v>
      </c>
      <c r="L1622" s="36" t="s">
        <v>263</v>
      </c>
      <c r="M1622" s="37"/>
      <c r="N1622" s="37"/>
      <c r="O1622" s="27"/>
      <c r="P1622" s="27"/>
      <c r="Q1622" s="27"/>
      <c r="R1622" s="27"/>
      <c r="S1622" s="2" t="s">
        <v>1859</v>
      </c>
      <c r="T1622" s="29" t="s">
        <v>265</v>
      </c>
      <c r="U1622" s="27"/>
      <c r="V1622" s="27"/>
      <c r="W1622" s="27"/>
    </row>
    <row r="1623" spans="1:23" ht="24" customHeight="1">
      <c r="A1623" s="27" t="str">
        <f t="shared" ca="1" si="25"/>
        <v>EVT-2026-1621</v>
      </c>
      <c r="B1623" s="27">
        <v>2026</v>
      </c>
      <c r="C1623" s="27" t="s">
        <v>109</v>
      </c>
      <c r="D1623" s="30">
        <v>46348</v>
      </c>
      <c r="E1623" s="27" t="s">
        <v>267</v>
      </c>
      <c r="F1623" s="27" t="s">
        <v>126</v>
      </c>
      <c r="G1623" s="27"/>
      <c r="H1623" s="27"/>
      <c r="I1623" s="27"/>
      <c r="J1623" s="27" t="s">
        <v>177</v>
      </c>
      <c r="K1623" s="10">
        <v>0</v>
      </c>
      <c r="L1623" s="36" t="s">
        <v>263</v>
      </c>
      <c r="M1623" s="37"/>
      <c r="N1623" s="37"/>
      <c r="O1623" s="27"/>
      <c r="P1623" s="27"/>
      <c r="Q1623" s="27"/>
      <c r="R1623" s="27"/>
      <c r="S1623" s="2" t="s">
        <v>1859</v>
      </c>
      <c r="T1623" s="29" t="s">
        <v>265</v>
      </c>
      <c r="U1623" s="27"/>
      <c r="V1623" s="27"/>
      <c r="W1623" s="27"/>
    </row>
    <row r="1624" spans="1:23" ht="24" customHeight="1">
      <c r="A1624" s="27" t="str">
        <f t="shared" ca="1" si="25"/>
        <v>EVT-2026-1622</v>
      </c>
      <c r="B1624" s="27">
        <v>2026</v>
      </c>
      <c r="C1624" s="27" t="s">
        <v>109</v>
      </c>
      <c r="D1624" s="30">
        <v>46349</v>
      </c>
      <c r="E1624" s="27" t="s">
        <v>224</v>
      </c>
      <c r="F1624" s="27" t="s">
        <v>126</v>
      </c>
      <c r="G1624" s="27"/>
      <c r="H1624" s="27"/>
      <c r="I1624" s="27"/>
      <c r="J1624" s="27" t="s">
        <v>177</v>
      </c>
      <c r="K1624" s="10">
        <v>0</v>
      </c>
      <c r="L1624" s="36" t="s">
        <v>263</v>
      </c>
      <c r="M1624" s="37"/>
      <c r="N1624" s="37"/>
      <c r="O1624" s="27"/>
      <c r="P1624" s="27"/>
      <c r="Q1624" s="27"/>
      <c r="R1624" s="27"/>
      <c r="S1624" s="2" t="s">
        <v>1859</v>
      </c>
      <c r="T1624" s="29" t="s">
        <v>265</v>
      </c>
      <c r="U1624" s="27"/>
      <c r="V1624" s="27"/>
      <c r="W1624" s="27"/>
    </row>
    <row r="1625" spans="1:23" ht="24" customHeight="1">
      <c r="A1625" s="27" t="str">
        <f t="shared" ca="1" si="25"/>
        <v>EVT-2026-1623</v>
      </c>
      <c r="B1625" s="27">
        <v>2026</v>
      </c>
      <c r="C1625" s="27" t="s">
        <v>109</v>
      </c>
      <c r="D1625" s="30">
        <v>46350</v>
      </c>
      <c r="E1625" s="27" t="s">
        <v>227</v>
      </c>
      <c r="F1625" s="27" t="s">
        <v>126</v>
      </c>
      <c r="G1625" s="27"/>
      <c r="H1625" s="27"/>
      <c r="I1625" s="27"/>
      <c r="J1625" s="27" t="s">
        <v>177</v>
      </c>
      <c r="K1625" s="10">
        <v>0</v>
      </c>
      <c r="L1625" s="36" t="s">
        <v>263</v>
      </c>
      <c r="M1625" s="37"/>
      <c r="N1625" s="37"/>
      <c r="O1625" s="27"/>
      <c r="P1625" s="27"/>
      <c r="Q1625" s="27"/>
      <c r="R1625" s="27"/>
      <c r="S1625" s="2" t="s">
        <v>1859</v>
      </c>
      <c r="T1625" s="29" t="s">
        <v>265</v>
      </c>
      <c r="U1625" s="27"/>
      <c r="V1625" s="27"/>
      <c r="W1625" s="27"/>
    </row>
    <row r="1626" spans="1:23" ht="24" customHeight="1">
      <c r="A1626" s="27" t="str">
        <f t="shared" ca="1" si="25"/>
        <v>EVT-2026-1624</v>
      </c>
      <c r="B1626" s="27">
        <v>2026</v>
      </c>
      <c r="C1626" s="27" t="s">
        <v>109</v>
      </c>
      <c r="D1626" s="30">
        <v>46351</v>
      </c>
      <c r="E1626" s="27" t="s">
        <v>201</v>
      </c>
      <c r="F1626" s="27" t="s">
        <v>126</v>
      </c>
      <c r="G1626" s="27"/>
      <c r="H1626" s="27"/>
      <c r="I1626" s="27"/>
      <c r="J1626" s="27" t="s">
        <v>177</v>
      </c>
      <c r="K1626" s="10">
        <v>0</v>
      </c>
      <c r="L1626" s="36" t="s">
        <v>263</v>
      </c>
      <c r="M1626" s="37"/>
      <c r="N1626" s="37"/>
      <c r="O1626" s="27"/>
      <c r="P1626" s="27"/>
      <c r="Q1626" s="27"/>
      <c r="R1626" s="27"/>
      <c r="S1626" s="2" t="s">
        <v>1859</v>
      </c>
      <c r="T1626" s="29" t="s">
        <v>265</v>
      </c>
      <c r="U1626" s="27"/>
      <c r="V1626" s="27"/>
      <c r="W1626" s="27"/>
    </row>
    <row r="1627" spans="1:23" ht="24" customHeight="1">
      <c r="A1627" s="27" t="str">
        <f t="shared" ca="1" si="25"/>
        <v>EVT-2026-1625</v>
      </c>
      <c r="B1627" s="27">
        <v>2026</v>
      </c>
      <c r="C1627" s="27" t="s">
        <v>109</v>
      </c>
      <c r="D1627" s="30">
        <v>46352</v>
      </c>
      <c r="E1627" s="27" t="s">
        <v>216</v>
      </c>
      <c r="F1627" s="27" t="s">
        <v>126</v>
      </c>
      <c r="G1627" s="27" t="s">
        <v>1512</v>
      </c>
      <c r="H1627" s="27" t="s">
        <v>228</v>
      </c>
      <c r="I1627" s="27" t="s">
        <v>658</v>
      </c>
      <c r="J1627" s="27" t="s">
        <v>152</v>
      </c>
      <c r="K1627" s="10">
        <v>60</v>
      </c>
      <c r="L1627" s="36" t="s">
        <v>263</v>
      </c>
      <c r="M1627" s="37" t="s">
        <v>295</v>
      </c>
      <c r="N1627" s="37" t="s">
        <v>270</v>
      </c>
      <c r="O1627" s="27" t="s">
        <v>2136</v>
      </c>
      <c r="P1627" s="27"/>
      <c r="Q1627" s="27" t="s">
        <v>1163</v>
      </c>
      <c r="R1627" s="27"/>
      <c r="S1627" s="2" t="s">
        <v>1859</v>
      </c>
      <c r="T1627" s="29" t="s">
        <v>265</v>
      </c>
      <c r="U1627" s="27"/>
      <c r="V1627" s="27" t="s">
        <v>298</v>
      </c>
      <c r="W1627" s="27"/>
    </row>
    <row r="1628" spans="1:23" ht="24" customHeight="1">
      <c r="A1628" s="27" t="str">
        <f t="shared" ca="1" si="25"/>
        <v>EVT-2026-1626</v>
      </c>
      <c r="B1628" s="27">
        <v>2026</v>
      </c>
      <c r="C1628" s="27" t="s">
        <v>109</v>
      </c>
      <c r="D1628" s="30">
        <v>46353</v>
      </c>
      <c r="E1628" s="27" t="s">
        <v>220</v>
      </c>
      <c r="F1628" s="27" t="s">
        <v>126</v>
      </c>
      <c r="G1628" s="27"/>
      <c r="H1628" s="27"/>
      <c r="I1628" s="27"/>
      <c r="J1628" s="27" t="s">
        <v>177</v>
      </c>
      <c r="K1628" s="10">
        <v>0</v>
      </c>
      <c r="L1628" s="36" t="s">
        <v>263</v>
      </c>
      <c r="M1628" s="37"/>
      <c r="N1628" s="37"/>
      <c r="O1628" s="27"/>
      <c r="P1628" s="27"/>
      <c r="Q1628" s="27"/>
      <c r="R1628" s="27"/>
      <c r="S1628" s="2" t="s">
        <v>1859</v>
      </c>
      <c r="T1628" s="29" t="s">
        <v>265</v>
      </c>
      <c r="U1628" s="27"/>
      <c r="V1628" s="27"/>
      <c r="W1628" s="27"/>
    </row>
    <row r="1629" spans="1:23" ht="24" customHeight="1">
      <c r="A1629" s="27" t="str">
        <f t="shared" ca="1" si="25"/>
        <v>EVT-2026-1627</v>
      </c>
      <c r="B1629" s="27">
        <v>2026</v>
      </c>
      <c r="C1629" s="27" t="s">
        <v>109</v>
      </c>
      <c r="D1629" s="30">
        <v>46353</v>
      </c>
      <c r="E1629" s="27" t="s">
        <v>220</v>
      </c>
      <c r="F1629" s="27" t="s">
        <v>126</v>
      </c>
      <c r="G1629" s="27" t="s">
        <v>1512</v>
      </c>
      <c r="H1629" s="27" t="s">
        <v>228</v>
      </c>
      <c r="I1629" s="27" t="s">
        <v>1801</v>
      </c>
      <c r="J1629" s="27" t="s">
        <v>139</v>
      </c>
      <c r="K1629" s="10">
        <v>50</v>
      </c>
      <c r="L1629" s="36" t="s">
        <v>263</v>
      </c>
      <c r="M1629" s="37" t="s">
        <v>295</v>
      </c>
      <c r="N1629" s="37" t="s">
        <v>270</v>
      </c>
      <c r="O1629" s="27" t="s">
        <v>382</v>
      </c>
      <c r="P1629" s="27"/>
      <c r="Q1629" s="27" t="s">
        <v>916</v>
      </c>
      <c r="R1629" s="27"/>
      <c r="S1629" s="2" t="s">
        <v>1859</v>
      </c>
      <c r="T1629" s="29" t="s">
        <v>265</v>
      </c>
      <c r="U1629" s="27"/>
      <c r="V1629" s="27" t="s">
        <v>1803</v>
      </c>
      <c r="W1629" s="27" t="s">
        <v>1177</v>
      </c>
    </row>
    <row r="1630" spans="1:23" ht="24" customHeight="1">
      <c r="A1630" s="27" t="str">
        <f t="shared" ca="1" si="25"/>
        <v>EVT-2026-1628</v>
      </c>
      <c r="B1630" s="27">
        <v>2026</v>
      </c>
      <c r="C1630" s="27" t="s">
        <v>109</v>
      </c>
      <c r="D1630" s="30">
        <v>46354</v>
      </c>
      <c r="E1630" s="27" t="s">
        <v>266</v>
      </c>
      <c r="F1630" s="27" t="s">
        <v>126</v>
      </c>
      <c r="G1630" s="27"/>
      <c r="H1630" s="27"/>
      <c r="I1630" s="27"/>
      <c r="J1630" s="27" t="s">
        <v>177</v>
      </c>
      <c r="K1630" s="10">
        <v>0</v>
      </c>
      <c r="L1630" s="36" t="s">
        <v>263</v>
      </c>
      <c r="M1630" s="37"/>
      <c r="N1630" s="37"/>
      <c r="O1630" s="27"/>
      <c r="P1630" s="27"/>
      <c r="Q1630" s="27"/>
      <c r="R1630" s="27"/>
      <c r="S1630" s="2" t="s">
        <v>1859</v>
      </c>
      <c r="T1630" s="29" t="s">
        <v>265</v>
      </c>
      <c r="U1630" s="27"/>
      <c r="V1630" s="27"/>
      <c r="W1630" s="27"/>
    </row>
    <row r="1631" spans="1:23" ht="24" customHeight="1">
      <c r="A1631" s="27" t="str">
        <f t="shared" ca="1" si="25"/>
        <v>EVT-2026-1629</v>
      </c>
      <c r="B1631" s="27">
        <v>2026</v>
      </c>
      <c r="C1631" s="27" t="s">
        <v>109</v>
      </c>
      <c r="D1631" s="30">
        <v>46355</v>
      </c>
      <c r="E1631" s="27" t="s">
        <v>267</v>
      </c>
      <c r="F1631" s="27" t="s">
        <v>126</v>
      </c>
      <c r="G1631" s="27"/>
      <c r="H1631" s="27"/>
      <c r="I1631" s="27"/>
      <c r="J1631" s="27" t="s">
        <v>177</v>
      </c>
      <c r="K1631" s="10">
        <v>0</v>
      </c>
      <c r="L1631" s="36" t="s">
        <v>263</v>
      </c>
      <c r="M1631" s="37"/>
      <c r="N1631" s="37"/>
      <c r="O1631" s="27"/>
      <c r="P1631" s="27"/>
      <c r="Q1631" s="27"/>
      <c r="R1631" s="27"/>
      <c r="S1631" s="2" t="s">
        <v>1859</v>
      </c>
      <c r="T1631" s="29" t="s">
        <v>265</v>
      </c>
      <c r="U1631" s="27"/>
      <c r="V1631" s="27"/>
      <c r="W1631" s="27"/>
    </row>
    <row r="1632" spans="1:23" ht="24" customHeight="1">
      <c r="A1632" s="27" t="str">
        <f t="shared" ca="1" si="25"/>
        <v>EVT-2026-1630</v>
      </c>
      <c r="B1632" s="27">
        <v>2026</v>
      </c>
      <c r="C1632" s="27" t="s">
        <v>109</v>
      </c>
      <c r="D1632" s="30">
        <v>46356</v>
      </c>
      <c r="E1632" s="27" t="s">
        <v>224</v>
      </c>
      <c r="F1632" s="27" t="s">
        <v>126</v>
      </c>
      <c r="G1632" s="27" t="s">
        <v>1512</v>
      </c>
      <c r="H1632" s="27" t="s">
        <v>228</v>
      </c>
      <c r="I1632" s="27" t="s">
        <v>337</v>
      </c>
      <c r="J1632" s="27" t="s">
        <v>127</v>
      </c>
      <c r="K1632" s="10">
        <v>190</v>
      </c>
      <c r="L1632" s="38" t="s">
        <v>294</v>
      </c>
      <c r="M1632" s="37" t="s">
        <v>338</v>
      </c>
      <c r="N1632" s="37" t="s">
        <v>330</v>
      </c>
      <c r="O1632" s="27"/>
      <c r="P1632" s="27"/>
      <c r="Q1632" s="27" t="s">
        <v>811</v>
      </c>
      <c r="R1632" s="27"/>
      <c r="S1632" s="2" t="s">
        <v>1859</v>
      </c>
      <c r="T1632" s="29" t="s">
        <v>265</v>
      </c>
      <c r="U1632" s="27"/>
      <c r="V1632" s="27" t="s">
        <v>1858</v>
      </c>
      <c r="W1632" s="27"/>
    </row>
    <row r="1633" spans="1:23" ht="24" customHeight="1">
      <c r="A1633" s="27" t="str">
        <f t="shared" ca="1" si="25"/>
        <v>EVT-2026-1631</v>
      </c>
      <c r="B1633" s="27">
        <v>2026</v>
      </c>
      <c r="C1633" s="27" t="s">
        <v>109</v>
      </c>
      <c r="D1633" s="30">
        <v>46356</v>
      </c>
      <c r="E1633" s="27" t="s">
        <v>224</v>
      </c>
      <c r="F1633" s="27" t="s">
        <v>126</v>
      </c>
      <c r="G1633" s="27" t="s">
        <v>1134</v>
      </c>
      <c r="H1633" s="27" t="s">
        <v>202</v>
      </c>
      <c r="I1633" s="27" t="s">
        <v>337</v>
      </c>
      <c r="J1633" s="27" t="s">
        <v>127</v>
      </c>
      <c r="K1633" s="10">
        <v>190</v>
      </c>
      <c r="L1633" s="38" t="s">
        <v>294</v>
      </c>
      <c r="M1633" s="37" t="s">
        <v>338</v>
      </c>
      <c r="N1633" s="37" t="s">
        <v>330</v>
      </c>
      <c r="O1633" s="27"/>
      <c r="P1633" s="27"/>
      <c r="Q1633" s="27" t="s">
        <v>811</v>
      </c>
      <c r="R1633" s="27"/>
      <c r="S1633" s="2" t="s">
        <v>1859</v>
      </c>
      <c r="T1633" s="29" t="s">
        <v>265</v>
      </c>
      <c r="U1633" s="27"/>
      <c r="V1633" s="27" t="s">
        <v>1858</v>
      </c>
      <c r="W1633" s="27"/>
    </row>
    <row r="1634" spans="1:23" ht="24" customHeight="1">
      <c r="A1634" s="27" t="str">
        <f t="shared" ca="1" si="25"/>
        <v>EVT-2026-1632</v>
      </c>
      <c r="B1634" s="27">
        <v>2026</v>
      </c>
      <c r="C1634" s="27" t="s">
        <v>109</v>
      </c>
      <c r="D1634" s="27"/>
      <c r="E1634" s="27"/>
      <c r="F1634" s="27" t="s">
        <v>126</v>
      </c>
      <c r="G1634" s="27"/>
      <c r="H1634" s="27"/>
      <c r="I1634" s="27"/>
      <c r="J1634" s="27" t="s">
        <v>177</v>
      </c>
      <c r="K1634" s="10">
        <v>0</v>
      </c>
      <c r="L1634" s="36" t="s">
        <v>263</v>
      </c>
      <c r="M1634" s="37"/>
      <c r="N1634" s="37"/>
      <c r="O1634" s="27"/>
      <c r="P1634" s="27"/>
      <c r="Q1634" s="27"/>
      <c r="R1634" s="27"/>
      <c r="S1634" s="2" t="s">
        <v>1859</v>
      </c>
      <c r="T1634" s="29" t="s">
        <v>265</v>
      </c>
      <c r="U1634" s="27"/>
      <c r="V1634" s="27"/>
      <c r="W1634" s="27"/>
    </row>
    <row r="1635" spans="1:23" ht="24" customHeight="1">
      <c r="A1635" s="27" t="str">
        <f t="shared" ca="1" si="25"/>
        <v>EVT-2026-1633</v>
      </c>
      <c r="B1635" s="27">
        <v>2026</v>
      </c>
      <c r="C1635" s="27" t="s">
        <v>109</v>
      </c>
      <c r="D1635" s="27"/>
      <c r="E1635" s="27"/>
      <c r="F1635" s="27" t="s">
        <v>126</v>
      </c>
      <c r="G1635" s="27"/>
      <c r="H1635" s="27"/>
      <c r="I1635" s="27"/>
      <c r="J1635" s="27" t="s">
        <v>177</v>
      </c>
      <c r="K1635" s="10">
        <v>0</v>
      </c>
      <c r="L1635" s="36" t="s">
        <v>263</v>
      </c>
      <c r="M1635" s="37"/>
      <c r="N1635" s="37"/>
      <c r="O1635" s="27"/>
      <c r="P1635" s="27"/>
      <c r="Q1635" s="27"/>
      <c r="R1635" s="27"/>
      <c r="S1635" s="2" t="s">
        <v>1859</v>
      </c>
      <c r="T1635" s="29" t="s">
        <v>265</v>
      </c>
      <c r="U1635" s="27"/>
      <c r="V1635" s="27"/>
      <c r="W1635" s="27"/>
    </row>
    <row r="1636" spans="1:23" ht="24" customHeight="1">
      <c r="A1636" s="27" t="str">
        <f t="shared" ca="1" si="25"/>
        <v>EVT-2026-1634</v>
      </c>
      <c r="B1636" s="27">
        <v>2026</v>
      </c>
      <c r="C1636" s="27" t="s">
        <v>109</v>
      </c>
      <c r="D1636" s="27"/>
      <c r="E1636" s="27"/>
      <c r="F1636" s="27" t="s">
        <v>126</v>
      </c>
      <c r="G1636" s="27"/>
      <c r="H1636" s="27"/>
      <c r="I1636" s="27"/>
      <c r="J1636" s="27" t="s">
        <v>177</v>
      </c>
      <c r="K1636" s="10">
        <v>0</v>
      </c>
      <c r="L1636" s="36" t="s">
        <v>263</v>
      </c>
      <c r="M1636" s="37"/>
      <c r="N1636" s="37"/>
      <c r="O1636" s="27"/>
      <c r="P1636" s="27"/>
      <c r="Q1636" s="27"/>
      <c r="R1636" s="27"/>
      <c r="S1636" s="2" t="s">
        <v>1859</v>
      </c>
      <c r="T1636" s="29" t="s">
        <v>265</v>
      </c>
      <c r="U1636" s="27"/>
      <c r="V1636" s="27"/>
      <c r="W1636" s="27"/>
    </row>
    <row r="1637" spans="1:23" ht="24" customHeight="1">
      <c r="A1637" s="27" t="str">
        <f t="shared" ca="1" si="25"/>
        <v>EVT-2026-1635</v>
      </c>
      <c r="B1637" s="27">
        <v>2026</v>
      </c>
      <c r="C1637" s="27" t="s">
        <v>109</v>
      </c>
      <c r="D1637" s="27"/>
      <c r="E1637" s="27"/>
      <c r="F1637" s="27" t="s">
        <v>126</v>
      </c>
      <c r="G1637" s="27"/>
      <c r="H1637" s="27"/>
      <c r="I1637" s="27"/>
      <c r="J1637" s="27" t="s">
        <v>177</v>
      </c>
      <c r="K1637" s="10">
        <v>0</v>
      </c>
      <c r="L1637" s="36" t="s">
        <v>263</v>
      </c>
      <c r="M1637" s="37"/>
      <c r="N1637" s="37"/>
      <c r="O1637" s="27"/>
      <c r="P1637" s="27"/>
      <c r="Q1637" s="27"/>
      <c r="R1637" s="27"/>
      <c r="S1637" s="2" t="s">
        <v>1859</v>
      </c>
      <c r="T1637" s="29" t="s">
        <v>265</v>
      </c>
      <c r="U1637" s="27"/>
      <c r="V1637" s="27"/>
      <c r="W1637" s="27"/>
    </row>
    <row r="1638" spans="1:23" ht="24" customHeight="1">
      <c r="A1638" s="27" t="str">
        <f t="shared" ca="1" si="25"/>
        <v>EVT-2026-1636</v>
      </c>
      <c r="B1638" s="27">
        <v>2026</v>
      </c>
      <c r="C1638" s="27" t="s">
        <v>109</v>
      </c>
      <c r="D1638" s="27"/>
      <c r="E1638" s="27"/>
      <c r="F1638" s="27" t="s">
        <v>126</v>
      </c>
      <c r="G1638" s="27"/>
      <c r="H1638" s="27"/>
      <c r="I1638" s="27"/>
      <c r="J1638" s="27" t="s">
        <v>177</v>
      </c>
      <c r="K1638" s="10">
        <v>0</v>
      </c>
      <c r="L1638" s="36" t="s">
        <v>263</v>
      </c>
      <c r="M1638" s="37"/>
      <c r="N1638" s="37"/>
      <c r="O1638" s="27"/>
      <c r="P1638" s="27"/>
      <c r="Q1638" s="27"/>
      <c r="R1638" s="27"/>
      <c r="S1638" s="2" t="s">
        <v>1859</v>
      </c>
      <c r="T1638" s="29" t="s">
        <v>265</v>
      </c>
      <c r="U1638" s="27"/>
      <c r="V1638" s="27"/>
      <c r="W1638" s="27"/>
    </row>
    <row r="1639" spans="1:23" ht="24" customHeight="1">
      <c r="A1639" s="27" t="str">
        <f t="shared" ca="1" si="25"/>
        <v>EVT-2026-1637</v>
      </c>
      <c r="B1639" s="27">
        <v>2026</v>
      </c>
      <c r="C1639" s="27" t="s">
        <v>109</v>
      </c>
      <c r="D1639" s="27"/>
      <c r="E1639" s="27"/>
      <c r="F1639" s="27" t="s">
        <v>126</v>
      </c>
      <c r="G1639" s="27"/>
      <c r="H1639" s="27"/>
      <c r="I1639" s="27"/>
      <c r="J1639" s="27" t="s">
        <v>177</v>
      </c>
      <c r="K1639" s="10">
        <v>0</v>
      </c>
      <c r="L1639" s="36" t="s">
        <v>263</v>
      </c>
      <c r="M1639" s="37"/>
      <c r="N1639" s="37"/>
      <c r="O1639" s="27"/>
      <c r="P1639" s="27"/>
      <c r="Q1639" s="27"/>
      <c r="R1639" s="27"/>
      <c r="S1639" s="2" t="s">
        <v>1859</v>
      </c>
      <c r="T1639" s="29" t="s">
        <v>265</v>
      </c>
      <c r="U1639" s="27"/>
      <c r="V1639" s="27"/>
      <c r="W1639" s="27"/>
    </row>
    <row r="1640" spans="1:23" ht="24" customHeight="1">
      <c r="A1640" s="27" t="str">
        <f t="shared" ca="1" si="25"/>
        <v>EVT-2026-1638</v>
      </c>
      <c r="B1640" s="27">
        <v>2026</v>
      </c>
      <c r="C1640" s="27" t="s">
        <v>109</v>
      </c>
      <c r="D1640" s="27"/>
      <c r="E1640" s="27"/>
      <c r="F1640" s="27" t="s">
        <v>126</v>
      </c>
      <c r="G1640" s="27"/>
      <c r="H1640" s="27"/>
      <c r="I1640" s="27"/>
      <c r="J1640" s="27" t="s">
        <v>177</v>
      </c>
      <c r="K1640" s="10">
        <v>0</v>
      </c>
      <c r="L1640" s="36" t="s">
        <v>263</v>
      </c>
      <c r="M1640" s="37"/>
      <c r="N1640" s="37"/>
      <c r="O1640" s="27"/>
      <c r="P1640" s="27"/>
      <c r="Q1640" s="27"/>
      <c r="R1640" s="27"/>
      <c r="S1640" s="2" t="s">
        <v>1859</v>
      </c>
      <c r="T1640" s="29" t="s">
        <v>265</v>
      </c>
      <c r="U1640" s="27"/>
      <c r="V1640" s="27"/>
      <c r="W1640" s="27"/>
    </row>
    <row r="1641" spans="1:23" ht="24" customHeight="1">
      <c r="A1641" s="27" t="str">
        <f t="shared" ca="1" si="25"/>
        <v>EVT-2026-1639</v>
      </c>
      <c r="B1641" s="27">
        <v>2026</v>
      </c>
      <c r="C1641" s="27" t="s">
        <v>109</v>
      </c>
      <c r="D1641" s="27"/>
      <c r="E1641" s="27"/>
      <c r="F1641" s="27" t="s">
        <v>126</v>
      </c>
      <c r="G1641" s="27"/>
      <c r="H1641" s="27"/>
      <c r="I1641" s="27"/>
      <c r="J1641" s="27" t="s">
        <v>177</v>
      </c>
      <c r="K1641" s="10">
        <v>0</v>
      </c>
      <c r="L1641" s="36" t="s">
        <v>263</v>
      </c>
      <c r="M1641" s="37"/>
      <c r="N1641" s="37"/>
      <c r="O1641" s="27"/>
      <c r="P1641" s="27"/>
      <c r="Q1641" s="27"/>
      <c r="R1641" s="27"/>
      <c r="S1641" s="2" t="s">
        <v>1859</v>
      </c>
      <c r="T1641" s="29" t="s">
        <v>265</v>
      </c>
      <c r="U1641" s="27"/>
      <c r="V1641" s="27"/>
      <c r="W1641" s="27"/>
    </row>
    <row r="1642" spans="1:23" ht="24" customHeight="1">
      <c r="A1642" s="27" t="str">
        <f t="shared" ca="1" si="25"/>
        <v>EVT-2026-1640</v>
      </c>
      <c r="B1642" s="27">
        <v>2026</v>
      </c>
      <c r="C1642" s="27" t="s">
        <v>109</v>
      </c>
      <c r="D1642" s="27"/>
      <c r="E1642" s="27"/>
      <c r="F1642" s="27" t="s">
        <v>126</v>
      </c>
      <c r="G1642" s="27"/>
      <c r="H1642" s="27"/>
      <c r="I1642" s="27"/>
      <c r="J1642" s="27" t="s">
        <v>177</v>
      </c>
      <c r="K1642" s="10">
        <v>0</v>
      </c>
      <c r="L1642" s="36" t="s">
        <v>263</v>
      </c>
      <c r="M1642" s="37"/>
      <c r="N1642" s="37"/>
      <c r="O1642" s="27"/>
      <c r="P1642" s="27"/>
      <c r="Q1642" s="27"/>
      <c r="R1642" s="27"/>
      <c r="S1642" s="2" t="s">
        <v>1859</v>
      </c>
      <c r="T1642" s="29" t="s">
        <v>265</v>
      </c>
      <c r="U1642" s="27"/>
      <c r="V1642" s="27"/>
      <c r="W1642" s="27"/>
    </row>
    <row r="1643" spans="1:23" ht="24" customHeight="1">
      <c r="A1643" s="27" t="str">
        <f t="shared" ca="1" si="25"/>
        <v>EVT-2026-1641</v>
      </c>
      <c r="B1643" s="27">
        <v>2026</v>
      </c>
      <c r="C1643" s="27" t="s">
        <v>109</v>
      </c>
      <c r="D1643" s="27"/>
      <c r="E1643" s="27"/>
      <c r="F1643" s="27" t="s">
        <v>126</v>
      </c>
      <c r="G1643" s="27"/>
      <c r="H1643" s="27"/>
      <c r="I1643" s="27"/>
      <c r="J1643" s="27" t="s">
        <v>177</v>
      </c>
      <c r="K1643" s="10">
        <v>0</v>
      </c>
      <c r="L1643" s="36" t="s">
        <v>263</v>
      </c>
      <c r="M1643" s="37"/>
      <c r="N1643" s="37"/>
      <c r="O1643" s="27"/>
      <c r="P1643" s="27"/>
      <c r="Q1643" s="27"/>
      <c r="R1643" s="27"/>
      <c r="S1643" s="2" t="s">
        <v>1859</v>
      </c>
      <c r="T1643" s="29" t="s">
        <v>265</v>
      </c>
      <c r="U1643" s="27"/>
      <c r="V1643" s="27"/>
      <c r="W1643" s="27"/>
    </row>
    <row r="1644" spans="1:23" ht="24" customHeight="1">
      <c r="A1644" s="27" t="str">
        <f t="shared" ca="1" si="25"/>
        <v>EVT-2026-1642</v>
      </c>
      <c r="B1644" s="27">
        <v>2026</v>
      </c>
      <c r="C1644" s="27" t="s">
        <v>109</v>
      </c>
      <c r="D1644" s="27"/>
      <c r="E1644" s="27"/>
      <c r="F1644" s="27" t="s">
        <v>126</v>
      </c>
      <c r="G1644" s="27"/>
      <c r="H1644" s="27"/>
      <c r="I1644" s="27"/>
      <c r="J1644" s="27" t="s">
        <v>177</v>
      </c>
      <c r="K1644" s="10">
        <v>0</v>
      </c>
      <c r="L1644" s="36" t="s">
        <v>263</v>
      </c>
      <c r="M1644" s="37"/>
      <c r="N1644" s="37"/>
      <c r="O1644" s="27"/>
      <c r="P1644" s="27"/>
      <c r="Q1644" s="27"/>
      <c r="R1644" s="27"/>
      <c r="S1644" s="2" t="s">
        <v>1859</v>
      </c>
      <c r="T1644" s="29" t="s">
        <v>265</v>
      </c>
      <c r="U1644" s="27"/>
      <c r="V1644" s="27"/>
      <c r="W1644" s="27"/>
    </row>
    <row r="1645" spans="1:23" ht="24" customHeight="1">
      <c r="A1645" s="27" t="str">
        <f t="shared" ca="1" si="25"/>
        <v>EVT-2026-1643</v>
      </c>
      <c r="B1645" s="27">
        <v>2026</v>
      </c>
      <c r="C1645" s="27" t="s">
        <v>109</v>
      </c>
      <c r="D1645" s="27"/>
      <c r="E1645" s="27"/>
      <c r="F1645" s="27" t="s">
        <v>126</v>
      </c>
      <c r="G1645" s="27"/>
      <c r="H1645" s="27"/>
      <c r="I1645" s="27"/>
      <c r="J1645" s="27" t="s">
        <v>177</v>
      </c>
      <c r="K1645" s="10">
        <v>0</v>
      </c>
      <c r="L1645" s="36" t="s">
        <v>263</v>
      </c>
      <c r="M1645" s="37"/>
      <c r="N1645" s="37"/>
      <c r="O1645" s="27"/>
      <c r="P1645" s="27"/>
      <c r="Q1645" s="27"/>
      <c r="R1645" s="27"/>
      <c r="S1645" s="2" t="s">
        <v>1859</v>
      </c>
      <c r="T1645" s="29" t="s">
        <v>265</v>
      </c>
      <c r="U1645" s="27"/>
      <c r="V1645" s="27"/>
      <c r="W1645" s="27"/>
    </row>
    <row r="1646" spans="1:23" ht="24" customHeight="1">
      <c r="A1646" s="27" t="str">
        <f t="shared" ca="1" si="25"/>
        <v>EVT-2026-1644</v>
      </c>
      <c r="B1646" s="27">
        <v>2026</v>
      </c>
      <c r="C1646" s="27" t="s">
        <v>109</v>
      </c>
      <c r="D1646" s="27"/>
      <c r="E1646" s="27"/>
      <c r="F1646" s="27" t="s">
        <v>126</v>
      </c>
      <c r="G1646" s="27"/>
      <c r="H1646" s="27"/>
      <c r="I1646" s="27"/>
      <c r="J1646" s="27" t="s">
        <v>177</v>
      </c>
      <c r="K1646" s="10">
        <v>0</v>
      </c>
      <c r="L1646" s="36" t="s">
        <v>263</v>
      </c>
      <c r="M1646" s="37"/>
      <c r="N1646" s="37"/>
      <c r="O1646" s="27"/>
      <c r="P1646" s="27"/>
      <c r="Q1646" s="27"/>
      <c r="R1646" s="27"/>
      <c r="S1646" s="2" t="s">
        <v>1859</v>
      </c>
      <c r="T1646" s="29" t="s">
        <v>265</v>
      </c>
      <c r="U1646" s="27"/>
      <c r="V1646" s="27"/>
      <c r="W1646" s="27"/>
    </row>
    <row r="1647" spans="1:23" ht="24" customHeight="1">
      <c r="A1647" s="27" t="str">
        <f t="shared" ca="1" si="25"/>
        <v>EVT-2026-1645</v>
      </c>
      <c r="B1647" s="27">
        <v>2026</v>
      </c>
      <c r="C1647" s="27" t="s">
        <v>109</v>
      </c>
      <c r="D1647" s="27"/>
      <c r="E1647" s="27"/>
      <c r="F1647" s="27" t="s">
        <v>126</v>
      </c>
      <c r="G1647" s="27"/>
      <c r="H1647" s="27"/>
      <c r="I1647" s="27"/>
      <c r="J1647" s="27" t="s">
        <v>177</v>
      </c>
      <c r="K1647" s="10">
        <v>0</v>
      </c>
      <c r="L1647" s="36" t="s">
        <v>263</v>
      </c>
      <c r="M1647" s="37"/>
      <c r="N1647" s="37"/>
      <c r="O1647" s="27"/>
      <c r="P1647" s="27"/>
      <c r="Q1647" s="27"/>
      <c r="R1647" s="27"/>
      <c r="S1647" s="2" t="s">
        <v>1859</v>
      </c>
      <c r="T1647" s="29" t="s">
        <v>265</v>
      </c>
      <c r="U1647" s="27"/>
      <c r="V1647" s="27"/>
      <c r="W1647" s="27"/>
    </row>
    <row r="1648" spans="1:23" ht="24" customHeight="1">
      <c r="A1648" s="27" t="str">
        <f t="shared" ca="1" si="25"/>
        <v>EVT-2026-1646</v>
      </c>
      <c r="B1648" s="27">
        <v>2026</v>
      </c>
      <c r="C1648" s="27" t="s">
        <v>109</v>
      </c>
      <c r="D1648" s="27"/>
      <c r="E1648" s="27"/>
      <c r="F1648" s="27" t="s">
        <v>126</v>
      </c>
      <c r="G1648" s="27"/>
      <c r="H1648" s="27"/>
      <c r="I1648" s="27"/>
      <c r="J1648" s="27" t="s">
        <v>177</v>
      </c>
      <c r="K1648" s="10">
        <v>0</v>
      </c>
      <c r="L1648" s="36" t="s">
        <v>263</v>
      </c>
      <c r="M1648" s="37"/>
      <c r="N1648" s="37"/>
      <c r="O1648" s="27"/>
      <c r="P1648" s="27"/>
      <c r="Q1648" s="27"/>
      <c r="R1648" s="27"/>
      <c r="S1648" s="2" t="s">
        <v>1859</v>
      </c>
      <c r="T1648" s="29" t="s">
        <v>265</v>
      </c>
      <c r="U1648" s="27"/>
      <c r="V1648" s="27"/>
      <c r="W1648" s="27"/>
    </row>
    <row r="1649" spans="1:23" ht="24" customHeight="1">
      <c r="A1649" s="27" t="str">
        <f t="shared" ca="1" si="25"/>
        <v>EVT-2026-1647</v>
      </c>
      <c r="B1649" s="27">
        <v>2026</v>
      </c>
      <c r="C1649" s="27" t="s">
        <v>109</v>
      </c>
      <c r="D1649" s="27"/>
      <c r="E1649" s="27"/>
      <c r="F1649" s="27" t="s">
        <v>126</v>
      </c>
      <c r="G1649" s="27"/>
      <c r="H1649" s="27"/>
      <c r="I1649" s="27"/>
      <c r="J1649" s="27" t="s">
        <v>177</v>
      </c>
      <c r="K1649" s="10">
        <v>0</v>
      </c>
      <c r="L1649" s="36" t="s">
        <v>263</v>
      </c>
      <c r="M1649" s="37"/>
      <c r="N1649" s="37"/>
      <c r="O1649" s="27"/>
      <c r="P1649" s="27"/>
      <c r="Q1649" s="27"/>
      <c r="R1649" s="27"/>
      <c r="S1649" s="2" t="s">
        <v>1859</v>
      </c>
      <c r="T1649" s="29" t="s">
        <v>265</v>
      </c>
      <c r="U1649" s="27"/>
      <c r="V1649" s="27"/>
      <c r="W1649" s="27"/>
    </row>
    <row r="1650" spans="1:23" ht="24" customHeight="1">
      <c r="A1650" s="27" t="str">
        <f t="shared" ca="1" si="25"/>
        <v>EVT-2026-1648</v>
      </c>
      <c r="B1650" s="27">
        <v>2026</v>
      </c>
      <c r="C1650" s="27" t="s">
        <v>110</v>
      </c>
      <c r="D1650" s="30">
        <v>46357</v>
      </c>
      <c r="E1650" s="27" t="s">
        <v>227</v>
      </c>
      <c r="F1650" s="27" t="s">
        <v>164</v>
      </c>
      <c r="G1650" s="27" t="s">
        <v>262</v>
      </c>
      <c r="H1650" s="27"/>
      <c r="I1650" s="27"/>
      <c r="J1650" s="27" t="s">
        <v>177</v>
      </c>
      <c r="K1650" s="10">
        <v>0</v>
      </c>
      <c r="L1650" s="36" t="s">
        <v>263</v>
      </c>
      <c r="M1650" s="37"/>
      <c r="N1650" s="37"/>
      <c r="O1650" s="27"/>
      <c r="P1650" s="27"/>
      <c r="Q1650" s="27"/>
      <c r="R1650" s="27"/>
      <c r="S1650" s="2" t="s">
        <v>1859</v>
      </c>
      <c r="T1650" s="29" t="s">
        <v>265</v>
      </c>
      <c r="U1650" s="27"/>
      <c r="V1650" s="27"/>
      <c r="W1650" s="27"/>
    </row>
    <row r="1651" spans="1:23" ht="24" customHeight="1">
      <c r="A1651" s="27" t="str">
        <f t="shared" ca="1" si="25"/>
        <v>EVT-2026-1649</v>
      </c>
      <c r="B1651" s="27">
        <v>2026</v>
      </c>
      <c r="C1651" s="27" t="s">
        <v>110</v>
      </c>
      <c r="D1651" s="30">
        <v>46358</v>
      </c>
      <c r="E1651" s="27" t="s">
        <v>201</v>
      </c>
      <c r="F1651" s="27" t="s">
        <v>164</v>
      </c>
      <c r="G1651" s="27" t="s">
        <v>262</v>
      </c>
      <c r="H1651" s="27"/>
      <c r="I1651" s="27"/>
      <c r="J1651" s="27" t="s">
        <v>177</v>
      </c>
      <c r="K1651" s="10">
        <v>0</v>
      </c>
      <c r="L1651" s="36" t="s">
        <v>263</v>
      </c>
      <c r="M1651" s="37"/>
      <c r="N1651" s="37"/>
      <c r="O1651" s="27"/>
      <c r="P1651" s="27"/>
      <c r="Q1651" s="27"/>
      <c r="R1651" s="27"/>
      <c r="S1651" s="2" t="s">
        <v>1859</v>
      </c>
      <c r="T1651" s="29" t="s">
        <v>265</v>
      </c>
      <c r="U1651" s="27"/>
      <c r="V1651" s="27"/>
      <c r="W1651" s="27"/>
    </row>
    <row r="1652" spans="1:23" ht="24" customHeight="1">
      <c r="A1652" s="27" t="str">
        <f t="shared" ca="1" si="25"/>
        <v>EVT-2026-1650</v>
      </c>
      <c r="B1652" s="27">
        <v>2026</v>
      </c>
      <c r="C1652" s="27" t="s">
        <v>110</v>
      </c>
      <c r="D1652" s="30">
        <v>46359</v>
      </c>
      <c r="E1652" s="27" t="s">
        <v>216</v>
      </c>
      <c r="F1652" s="27" t="s">
        <v>164</v>
      </c>
      <c r="G1652" s="27" t="s">
        <v>262</v>
      </c>
      <c r="H1652" s="27"/>
      <c r="I1652" s="27"/>
      <c r="J1652" s="27" t="s">
        <v>177</v>
      </c>
      <c r="K1652" s="10">
        <v>0</v>
      </c>
      <c r="L1652" s="36" t="s">
        <v>263</v>
      </c>
      <c r="M1652" s="37"/>
      <c r="N1652" s="37"/>
      <c r="O1652" s="27"/>
      <c r="P1652" s="27"/>
      <c r="Q1652" s="27"/>
      <c r="R1652" s="27"/>
      <c r="S1652" s="2" t="s">
        <v>1859</v>
      </c>
      <c r="T1652" s="29" t="s">
        <v>265</v>
      </c>
      <c r="U1652" s="27"/>
      <c r="V1652" s="27"/>
      <c r="W1652" s="27"/>
    </row>
    <row r="1653" spans="1:23" ht="24" customHeight="1">
      <c r="A1653" s="27" t="str">
        <f t="shared" ca="1" si="25"/>
        <v>EVT-2026-1651</v>
      </c>
      <c r="B1653" s="27">
        <v>2026</v>
      </c>
      <c r="C1653" s="27" t="s">
        <v>110</v>
      </c>
      <c r="D1653" s="30">
        <v>46360</v>
      </c>
      <c r="E1653" s="27" t="s">
        <v>220</v>
      </c>
      <c r="F1653" s="27" t="s">
        <v>164</v>
      </c>
      <c r="G1653" s="27" t="s">
        <v>262</v>
      </c>
      <c r="H1653" s="27"/>
      <c r="I1653" s="27"/>
      <c r="J1653" s="27" t="s">
        <v>177</v>
      </c>
      <c r="K1653" s="10">
        <v>0</v>
      </c>
      <c r="L1653" s="36" t="s">
        <v>263</v>
      </c>
      <c r="M1653" s="37"/>
      <c r="N1653" s="37"/>
      <c r="O1653" s="27"/>
      <c r="P1653" s="27"/>
      <c r="Q1653" s="27"/>
      <c r="R1653" s="27"/>
      <c r="S1653" s="2" t="s">
        <v>1859</v>
      </c>
      <c r="T1653" s="29" t="s">
        <v>265</v>
      </c>
      <c r="U1653" s="27"/>
      <c r="V1653" s="27"/>
      <c r="W1653" s="27"/>
    </row>
    <row r="1654" spans="1:23" ht="24" customHeight="1">
      <c r="A1654" s="27" t="str">
        <f t="shared" ca="1" si="25"/>
        <v>EVT-2026-1652</v>
      </c>
      <c r="B1654" s="27">
        <v>2026</v>
      </c>
      <c r="C1654" s="27" t="s">
        <v>110</v>
      </c>
      <c r="D1654" s="30">
        <v>46361</v>
      </c>
      <c r="E1654" s="27" t="s">
        <v>266</v>
      </c>
      <c r="F1654" s="27" t="s">
        <v>164</v>
      </c>
      <c r="G1654" s="27" t="s">
        <v>262</v>
      </c>
      <c r="H1654" s="27"/>
      <c r="I1654" s="27"/>
      <c r="J1654" s="27" t="s">
        <v>177</v>
      </c>
      <c r="K1654" s="10">
        <v>0</v>
      </c>
      <c r="L1654" s="36" t="s">
        <v>263</v>
      </c>
      <c r="M1654" s="37"/>
      <c r="N1654" s="37"/>
      <c r="O1654" s="27"/>
      <c r="P1654" s="27"/>
      <c r="Q1654" s="27"/>
      <c r="R1654" s="27"/>
      <c r="S1654" s="2" t="s">
        <v>1859</v>
      </c>
      <c r="T1654" s="29" t="s">
        <v>265</v>
      </c>
      <c r="U1654" s="27"/>
      <c r="V1654" s="27"/>
      <c r="W1654" s="27"/>
    </row>
    <row r="1655" spans="1:23" ht="24" customHeight="1">
      <c r="A1655" s="27" t="str">
        <f t="shared" ca="1" si="25"/>
        <v>EVT-2026-1653</v>
      </c>
      <c r="B1655" s="27">
        <v>2026</v>
      </c>
      <c r="C1655" s="27" t="s">
        <v>110</v>
      </c>
      <c r="D1655" s="30">
        <v>46362</v>
      </c>
      <c r="E1655" s="27" t="s">
        <v>267</v>
      </c>
      <c r="F1655" s="27" t="s">
        <v>164</v>
      </c>
      <c r="G1655" s="27" t="s">
        <v>262</v>
      </c>
      <c r="H1655" s="27"/>
      <c r="I1655" s="27"/>
      <c r="J1655" s="27" t="s">
        <v>177</v>
      </c>
      <c r="K1655" s="10">
        <v>0</v>
      </c>
      <c r="L1655" s="36" t="s">
        <v>263</v>
      </c>
      <c r="M1655" s="37"/>
      <c r="N1655" s="37"/>
      <c r="O1655" s="27"/>
      <c r="P1655" s="27"/>
      <c r="Q1655" s="27"/>
      <c r="R1655" s="27"/>
      <c r="S1655" s="2" t="s">
        <v>1859</v>
      </c>
      <c r="T1655" s="29" t="s">
        <v>265</v>
      </c>
      <c r="U1655" s="27"/>
      <c r="V1655" s="27"/>
      <c r="W1655" s="27"/>
    </row>
    <row r="1656" spans="1:23" ht="24" customHeight="1">
      <c r="A1656" s="27" t="str">
        <f t="shared" ca="1" si="25"/>
        <v>EVT-2026-1654</v>
      </c>
      <c r="B1656" s="27">
        <v>2026</v>
      </c>
      <c r="C1656" s="27" t="s">
        <v>110</v>
      </c>
      <c r="D1656" s="30">
        <v>46363</v>
      </c>
      <c r="E1656" s="27" t="s">
        <v>224</v>
      </c>
      <c r="F1656" s="27" t="s">
        <v>164</v>
      </c>
      <c r="G1656" s="27" t="s">
        <v>262</v>
      </c>
      <c r="H1656" s="27"/>
      <c r="I1656" s="27"/>
      <c r="J1656" s="27" t="s">
        <v>177</v>
      </c>
      <c r="K1656" s="10">
        <v>0</v>
      </c>
      <c r="L1656" s="36" t="s">
        <v>263</v>
      </c>
      <c r="M1656" s="37"/>
      <c r="N1656" s="37"/>
      <c r="O1656" s="27"/>
      <c r="P1656" s="27"/>
      <c r="Q1656" s="27"/>
      <c r="R1656" s="27"/>
      <c r="S1656" s="2" t="s">
        <v>1859</v>
      </c>
      <c r="T1656" s="29" t="s">
        <v>265</v>
      </c>
      <c r="U1656" s="27"/>
      <c r="V1656" s="27"/>
      <c r="W1656" s="27"/>
    </row>
    <row r="1657" spans="1:23" ht="24" customHeight="1">
      <c r="A1657" s="27" t="str">
        <f t="shared" ca="1" si="25"/>
        <v>EVT-2026-1655</v>
      </c>
      <c r="B1657" s="27">
        <v>2026</v>
      </c>
      <c r="C1657" s="27" t="s">
        <v>110</v>
      </c>
      <c r="D1657" s="30">
        <v>46364</v>
      </c>
      <c r="E1657" s="27" t="s">
        <v>227</v>
      </c>
      <c r="F1657" s="27" t="s">
        <v>164</v>
      </c>
      <c r="G1657" s="27" t="s">
        <v>262</v>
      </c>
      <c r="H1657" s="27"/>
      <c r="I1657" s="27"/>
      <c r="J1657" s="27" t="s">
        <v>177</v>
      </c>
      <c r="K1657" s="10">
        <v>0</v>
      </c>
      <c r="L1657" s="36" t="s">
        <v>263</v>
      </c>
      <c r="M1657" s="37"/>
      <c r="N1657" s="37"/>
      <c r="O1657" s="27"/>
      <c r="P1657" s="27"/>
      <c r="Q1657" s="27"/>
      <c r="R1657" s="27"/>
      <c r="S1657" s="2" t="s">
        <v>1859</v>
      </c>
      <c r="T1657" s="29" t="s">
        <v>265</v>
      </c>
      <c r="U1657" s="27"/>
      <c r="V1657" s="27"/>
      <c r="W1657" s="27"/>
    </row>
    <row r="1658" spans="1:23" ht="24" customHeight="1">
      <c r="A1658" s="27" t="str">
        <f t="shared" ca="1" si="25"/>
        <v>EVT-2026-1656</v>
      </c>
      <c r="B1658" s="27">
        <v>2026</v>
      </c>
      <c r="C1658" s="27" t="s">
        <v>110</v>
      </c>
      <c r="D1658" s="30">
        <v>46365</v>
      </c>
      <c r="E1658" s="27" t="s">
        <v>201</v>
      </c>
      <c r="F1658" s="27" t="s">
        <v>164</v>
      </c>
      <c r="G1658" s="27" t="s">
        <v>262</v>
      </c>
      <c r="H1658" s="27"/>
      <c r="I1658" s="27"/>
      <c r="J1658" s="27" t="s">
        <v>177</v>
      </c>
      <c r="K1658" s="10">
        <v>0</v>
      </c>
      <c r="L1658" s="36" t="s">
        <v>263</v>
      </c>
      <c r="M1658" s="37"/>
      <c r="N1658" s="37"/>
      <c r="O1658" s="27"/>
      <c r="P1658" s="27"/>
      <c r="Q1658" s="27"/>
      <c r="R1658" s="27"/>
      <c r="S1658" s="2" t="s">
        <v>1859</v>
      </c>
      <c r="T1658" s="29" t="s">
        <v>265</v>
      </c>
      <c r="U1658" s="27"/>
      <c r="V1658" s="27"/>
      <c r="W1658" s="27"/>
    </row>
    <row r="1659" spans="1:23" ht="24" customHeight="1">
      <c r="A1659" s="27" t="str">
        <f t="shared" ca="1" si="25"/>
        <v>EVT-2026-1657</v>
      </c>
      <c r="B1659" s="27">
        <v>2026</v>
      </c>
      <c r="C1659" s="27" t="s">
        <v>110</v>
      </c>
      <c r="D1659" s="30">
        <v>46366</v>
      </c>
      <c r="E1659" s="27" t="s">
        <v>216</v>
      </c>
      <c r="F1659" s="27" t="s">
        <v>164</v>
      </c>
      <c r="G1659" s="27" t="s">
        <v>262</v>
      </c>
      <c r="H1659" s="27"/>
      <c r="I1659" s="27"/>
      <c r="J1659" s="27" t="s">
        <v>177</v>
      </c>
      <c r="K1659" s="10">
        <v>0</v>
      </c>
      <c r="L1659" s="36" t="s">
        <v>263</v>
      </c>
      <c r="M1659" s="37"/>
      <c r="N1659" s="37"/>
      <c r="O1659" s="27"/>
      <c r="P1659" s="27"/>
      <c r="Q1659" s="27"/>
      <c r="R1659" s="27"/>
      <c r="S1659" s="2" t="s">
        <v>1859</v>
      </c>
      <c r="T1659" s="29" t="s">
        <v>265</v>
      </c>
      <c r="U1659" s="27"/>
      <c r="V1659" s="27"/>
      <c r="W1659" s="27"/>
    </row>
    <row r="1660" spans="1:23" ht="24" customHeight="1">
      <c r="A1660" s="27" t="str">
        <f t="shared" ca="1" si="25"/>
        <v>EVT-2026-1658</v>
      </c>
      <c r="B1660" s="27">
        <v>2026</v>
      </c>
      <c r="C1660" s="27" t="s">
        <v>110</v>
      </c>
      <c r="D1660" s="30">
        <v>46367</v>
      </c>
      <c r="E1660" s="27" t="s">
        <v>220</v>
      </c>
      <c r="F1660" s="27" t="s">
        <v>164</v>
      </c>
      <c r="G1660" s="27" t="s">
        <v>262</v>
      </c>
      <c r="H1660" s="27"/>
      <c r="I1660" s="27"/>
      <c r="J1660" s="27" t="s">
        <v>177</v>
      </c>
      <c r="K1660" s="10">
        <v>0</v>
      </c>
      <c r="L1660" s="36" t="s">
        <v>263</v>
      </c>
      <c r="M1660" s="37"/>
      <c r="N1660" s="37"/>
      <c r="O1660" s="27"/>
      <c r="P1660" s="27"/>
      <c r="Q1660" s="27"/>
      <c r="R1660" s="27"/>
      <c r="S1660" s="2" t="s">
        <v>1859</v>
      </c>
      <c r="T1660" s="29" t="s">
        <v>265</v>
      </c>
      <c r="U1660" s="27"/>
      <c r="V1660" s="27"/>
      <c r="W1660" s="27"/>
    </row>
    <row r="1661" spans="1:23" ht="24" customHeight="1">
      <c r="A1661" s="27" t="str">
        <f t="shared" ca="1" si="25"/>
        <v>EVT-2026-1659</v>
      </c>
      <c r="B1661" s="27">
        <v>2026</v>
      </c>
      <c r="C1661" s="27" t="s">
        <v>110</v>
      </c>
      <c r="D1661" s="30">
        <v>46368</v>
      </c>
      <c r="E1661" s="27" t="s">
        <v>266</v>
      </c>
      <c r="F1661" s="27" t="s">
        <v>164</v>
      </c>
      <c r="G1661" s="27" t="s">
        <v>262</v>
      </c>
      <c r="H1661" s="27"/>
      <c r="I1661" s="27"/>
      <c r="J1661" s="27" t="s">
        <v>177</v>
      </c>
      <c r="K1661" s="10">
        <v>0</v>
      </c>
      <c r="L1661" s="36" t="s">
        <v>263</v>
      </c>
      <c r="M1661" s="37"/>
      <c r="N1661" s="37"/>
      <c r="O1661" s="27"/>
      <c r="P1661" s="27"/>
      <c r="Q1661" s="27"/>
      <c r="R1661" s="27"/>
      <c r="S1661" s="2" t="s">
        <v>1859</v>
      </c>
      <c r="T1661" s="29" t="s">
        <v>265</v>
      </c>
      <c r="U1661" s="27"/>
      <c r="V1661" s="27"/>
      <c r="W1661" s="27"/>
    </row>
    <row r="1662" spans="1:23" ht="24" customHeight="1">
      <c r="A1662" s="27" t="str">
        <f t="shared" ca="1" si="25"/>
        <v>EVT-2026-1660</v>
      </c>
      <c r="B1662" s="27">
        <v>2026</v>
      </c>
      <c r="C1662" s="27" t="s">
        <v>110</v>
      </c>
      <c r="D1662" s="30">
        <v>46369</v>
      </c>
      <c r="E1662" s="27" t="s">
        <v>267</v>
      </c>
      <c r="F1662" s="27" t="s">
        <v>164</v>
      </c>
      <c r="G1662" s="27" t="s">
        <v>262</v>
      </c>
      <c r="H1662" s="27"/>
      <c r="I1662" s="27"/>
      <c r="J1662" s="27" t="s">
        <v>177</v>
      </c>
      <c r="K1662" s="10">
        <v>0</v>
      </c>
      <c r="L1662" s="36" t="s">
        <v>263</v>
      </c>
      <c r="M1662" s="37"/>
      <c r="N1662" s="37"/>
      <c r="O1662" s="27"/>
      <c r="P1662" s="27"/>
      <c r="Q1662" s="27"/>
      <c r="R1662" s="27"/>
      <c r="S1662" s="2" t="s">
        <v>1859</v>
      </c>
      <c r="T1662" s="29" t="s">
        <v>265</v>
      </c>
      <c r="U1662" s="27"/>
      <c r="V1662" s="27"/>
      <c r="W1662" s="27"/>
    </row>
    <row r="1663" spans="1:23" ht="24" customHeight="1">
      <c r="A1663" s="27" t="str">
        <f t="shared" ca="1" si="25"/>
        <v>EVT-2026-1661</v>
      </c>
      <c r="B1663" s="27">
        <v>2026</v>
      </c>
      <c r="C1663" s="27" t="s">
        <v>110</v>
      </c>
      <c r="D1663" s="30">
        <v>46370</v>
      </c>
      <c r="E1663" s="27" t="s">
        <v>224</v>
      </c>
      <c r="F1663" s="27" t="s">
        <v>164</v>
      </c>
      <c r="G1663" s="27" t="s">
        <v>262</v>
      </c>
      <c r="H1663" s="27"/>
      <c r="I1663" s="27"/>
      <c r="J1663" s="27" t="s">
        <v>177</v>
      </c>
      <c r="K1663" s="10">
        <v>0</v>
      </c>
      <c r="L1663" s="36" t="s">
        <v>263</v>
      </c>
      <c r="M1663" s="37"/>
      <c r="N1663" s="37"/>
      <c r="O1663" s="27"/>
      <c r="P1663" s="27"/>
      <c r="Q1663" s="27"/>
      <c r="R1663" s="27"/>
      <c r="S1663" s="2" t="s">
        <v>1859</v>
      </c>
      <c r="T1663" s="29" t="s">
        <v>265</v>
      </c>
      <c r="U1663" s="27"/>
      <c r="V1663" s="27"/>
      <c r="W1663" s="27"/>
    </row>
    <row r="1664" spans="1:23" ht="24" customHeight="1">
      <c r="A1664" s="27" t="str">
        <f t="shared" ca="1" si="25"/>
        <v>EVT-2026-1662</v>
      </c>
      <c r="B1664" s="27">
        <v>2026</v>
      </c>
      <c r="C1664" s="27" t="s">
        <v>110</v>
      </c>
      <c r="D1664" s="30">
        <v>46371</v>
      </c>
      <c r="E1664" s="27" t="s">
        <v>227</v>
      </c>
      <c r="F1664" s="27" t="s">
        <v>164</v>
      </c>
      <c r="G1664" s="27" t="s">
        <v>262</v>
      </c>
      <c r="H1664" s="27"/>
      <c r="I1664" s="27"/>
      <c r="J1664" s="27" t="s">
        <v>177</v>
      </c>
      <c r="K1664" s="10">
        <v>0</v>
      </c>
      <c r="L1664" s="36" t="s">
        <v>263</v>
      </c>
      <c r="M1664" s="37"/>
      <c r="N1664" s="37"/>
      <c r="O1664" s="27"/>
      <c r="P1664" s="27"/>
      <c r="Q1664" s="27"/>
      <c r="R1664" s="27"/>
      <c r="S1664" s="2" t="s">
        <v>1859</v>
      </c>
      <c r="T1664" s="29" t="s">
        <v>265</v>
      </c>
      <c r="U1664" s="27"/>
      <c r="V1664" s="27"/>
      <c r="W1664" s="27"/>
    </row>
    <row r="1665" spans="1:23" ht="24" customHeight="1">
      <c r="A1665" s="27" t="str">
        <f t="shared" ca="1" si="25"/>
        <v>EVT-2026-1663</v>
      </c>
      <c r="B1665" s="27">
        <v>2026</v>
      </c>
      <c r="C1665" s="27" t="s">
        <v>110</v>
      </c>
      <c r="D1665" s="30">
        <v>46372</v>
      </c>
      <c r="E1665" s="27" t="s">
        <v>201</v>
      </c>
      <c r="F1665" s="27" t="s">
        <v>164</v>
      </c>
      <c r="G1665" s="27" t="s">
        <v>262</v>
      </c>
      <c r="H1665" s="27"/>
      <c r="I1665" s="27"/>
      <c r="J1665" s="27" t="s">
        <v>177</v>
      </c>
      <c r="K1665" s="10">
        <v>0</v>
      </c>
      <c r="L1665" s="36" t="s">
        <v>263</v>
      </c>
      <c r="M1665" s="37"/>
      <c r="N1665" s="37"/>
      <c r="O1665" s="27"/>
      <c r="P1665" s="27"/>
      <c r="Q1665" s="27"/>
      <c r="R1665" s="27"/>
      <c r="S1665" s="2" t="s">
        <v>1859</v>
      </c>
      <c r="T1665" s="29" t="s">
        <v>265</v>
      </c>
      <c r="U1665" s="27"/>
      <c r="V1665" s="27"/>
      <c r="W1665" s="27"/>
    </row>
    <row r="1666" spans="1:23" ht="24" customHeight="1">
      <c r="A1666" s="27" t="str">
        <f t="shared" ca="1" si="25"/>
        <v>EVT-2026-1664</v>
      </c>
      <c r="B1666" s="27">
        <v>2026</v>
      </c>
      <c r="C1666" s="27" t="s">
        <v>110</v>
      </c>
      <c r="D1666" s="30">
        <v>46373</v>
      </c>
      <c r="E1666" s="27" t="s">
        <v>216</v>
      </c>
      <c r="F1666" s="27" t="s">
        <v>164</v>
      </c>
      <c r="G1666" s="27" t="s">
        <v>262</v>
      </c>
      <c r="H1666" s="27"/>
      <c r="I1666" s="27"/>
      <c r="J1666" s="27" t="s">
        <v>177</v>
      </c>
      <c r="K1666" s="10">
        <v>0</v>
      </c>
      <c r="L1666" s="36" t="s">
        <v>263</v>
      </c>
      <c r="M1666" s="37"/>
      <c r="N1666" s="37"/>
      <c r="O1666" s="27"/>
      <c r="P1666" s="27"/>
      <c r="Q1666" s="27"/>
      <c r="R1666" s="27"/>
      <c r="S1666" s="2" t="s">
        <v>1859</v>
      </c>
      <c r="T1666" s="29" t="s">
        <v>265</v>
      </c>
      <c r="U1666" s="27"/>
      <c r="V1666" s="27"/>
      <c r="W1666" s="27"/>
    </row>
    <row r="1667" spans="1:23" ht="24" customHeight="1">
      <c r="A1667" s="27" t="str">
        <f t="shared" ref="A1667:A1730" ca="1" si="26">IF(OR(D1667&lt;&gt;"",H1667&lt;&gt;"",I1667&lt;&gt;"",Q1667&lt;&gt;"",S1667&lt;&gt;""), "EVT-" &amp; TEXT(B1667, "0000") &amp; "-" &amp; TEXT(COUNTIF(OFFSET($A$1, 1, 0, ROW()-2, 1), "EVT*") + 1, "0000"), "")</f>
        <v>EVT-2026-1665</v>
      </c>
      <c r="B1667" s="27">
        <v>2026</v>
      </c>
      <c r="C1667" s="27" t="s">
        <v>110</v>
      </c>
      <c r="D1667" s="30">
        <v>46374</v>
      </c>
      <c r="E1667" s="27" t="s">
        <v>220</v>
      </c>
      <c r="F1667" s="27" t="s">
        <v>164</v>
      </c>
      <c r="G1667" s="27" t="s">
        <v>262</v>
      </c>
      <c r="H1667" s="27"/>
      <c r="I1667" s="27"/>
      <c r="J1667" s="27" t="s">
        <v>177</v>
      </c>
      <c r="K1667" s="10">
        <v>0</v>
      </c>
      <c r="L1667" s="36" t="s">
        <v>263</v>
      </c>
      <c r="M1667" s="37"/>
      <c r="N1667" s="37"/>
      <c r="O1667" s="27"/>
      <c r="P1667" s="27"/>
      <c r="Q1667" s="27"/>
      <c r="R1667" s="27"/>
      <c r="S1667" s="2" t="s">
        <v>1859</v>
      </c>
      <c r="T1667" s="29" t="s">
        <v>265</v>
      </c>
      <c r="U1667" s="27"/>
      <c r="V1667" s="27"/>
      <c r="W1667" s="27"/>
    </row>
    <row r="1668" spans="1:23" ht="24" customHeight="1">
      <c r="A1668" s="27" t="str">
        <f t="shared" ca="1" si="26"/>
        <v>EVT-2026-1666</v>
      </c>
      <c r="B1668" s="27">
        <v>2026</v>
      </c>
      <c r="C1668" s="27" t="s">
        <v>110</v>
      </c>
      <c r="D1668" s="30">
        <v>46375</v>
      </c>
      <c r="E1668" s="27" t="s">
        <v>266</v>
      </c>
      <c r="F1668" s="27" t="s">
        <v>164</v>
      </c>
      <c r="G1668" s="27" t="s">
        <v>262</v>
      </c>
      <c r="H1668" s="27"/>
      <c r="I1668" s="27"/>
      <c r="J1668" s="27" t="s">
        <v>177</v>
      </c>
      <c r="K1668" s="10">
        <v>0</v>
      </c>
      <c r="L1668" s="36" t="s">
        <v>263</v>
      </c>
      <c r="M1668" s="37"/>
      <c r="N1668" s="37"/>
      <c r="O1668" s="27"/>
      <c r="P1668" s="27"/>
      <c r="Q1668" s="27"/>
      <c r="R1668" s="27"/>
      <c r="S1668" s="2" t="s">
        <v>1859</v>
      </c>
      <c r="T1668" s="29" t="s">
        <v>265</v>
      </c>
      <c r="U1668" s="27"/>
      <c r="V1668" s="27"/>
      <c r="W1668" s="27"/>
    </row>
    <row r="1669" spans="1:23" ht="24" customHeight="1">
      <c r="A1669" s="27" t="str">
        <f t="shared" ca="1" si="26"/>
        <v>EVT-2026-1667</v>
      </c>
      <c r="B1669" s="27">
        <v>2026</v>
      </c>
      <c r="C1669" s="27" t="s">
        <v>110</v>
      </c>
      <c r="D1669" s="30">
        <v>46376</v>
      </c>
      <c r="E1669" s="27" t="s">
        <v>267</v>
      </c>
      <c r="F1669" s="27" t="s">
        <v>164</v>
      </c>
      <c r="G1669" s="27" t="s">
        <v>262</v>
      </c>
      <c r="H1669" s="27"/>
      <c r="I1669" s="27"/>
      <c r="J1669" s="27" t="s">
        <v>177</v>
      </c>
      <c r="K1669" s="10">
        <v>0</v>
      </c>
      <c r="L1669" s="36" t="s">
        <v>263</v>
      </c>
      <c r="M1669" s="37"/>
      <c r="N1669" s="37"/>
      <c r="O1669" s="27"/>
      <c r="P1669" s="27"/>
      <c r="Q1669" s="27"/>
      <c r="R1669" s="27"/>
      <c r="S1669" s="2" t="s">
        <v>1859</v>
      </c>
      <c r="T1669" s="29" t="s">
        <v>265</v>
      </c>
      <c r="U1669" s="27"/>
      <c r="V1669" s="27"/>
      <c r="W1669" s="27"/>
    </row>
    <row r="1670" spans="1:23" ht="24" customHeight="1">
      <c r="A1670" s="27" t="str">
        <f t="shared" ca="1" si="26"/>
        <v>EVT-2026-1668</v>
      </c>
      <c r="B1670" s="27">
        <v>2026</v>
      </c>
      <c r="C1670" s="27" t="s">
        <v>110</v>
      </c>
      <c r="D1670" s="30">
        <v>46377</v>
      </c>
      <c r="E1670" s="27" t="s">
        <v>224</v>
      </c>
      <c r="F1670" s="27" t="s">
        <v>164</v>
      </c>
      <c r="G1670" s="27" t="s">
        <v>262</v>
      </c>
      <c r="H1670" s="27"/>
      <c r="I1670" s="27"/>
      <c r="J1670" s="27" t="s">
        <v>177</v>
      </c>
      <c r="K1670" s="10">
        <v>0</v>
      </c>
      <c r="L1670" s="36" t="s">
        <v>263</v>
      </c>
      <c r="M1670" s="37"/>
      <c r="N1670" s="37"/>
      <c r="O1670" s="27"/>
      <c r="P1670" s="27"/>
      <c r="Q1670" s="27"/>
      <c r="R1670" s="27"/>
      <c r="S1670" s="2" t="s">
        <v>1859</v>
      </c>
      <c r="T1670" s="29" t="s">
        <v>265</v>
      </c>
      <c r="U1670" s="27"/>
      <c r="V1670" s="27"/>
      <c r="W1670" s="27"/>
    </row>
    <row r="1671" spans="1:23" ht="24" customHeight="1">
      <c r="A1671" s="27" t="str">
        <f t="shared" ca="1" si="26"/>
        <v>EVT-2026-1669</v>
      </c>
      <c r="B1671" s="27">
        <v>2026</v>
      </c>
      <c r="C1671" s="27" t="s">
        <v>110</v>
      </c>
      <c r="D1671" s="30">
        <v>46378</v>
      </c>
      <c r="E1671" s="27" t="s">
        <v>227</v>
      </c>
      <c r="F1671" s="27" t="s">
        <v>164</v>
      </c>
      <c r="G1671" s="27" t="s">
        <v>262</v>
      </c>
      <c r="H1671" s="27"/>
      <c r="I1671" s="27"/>
      <c r="J1671" s="27" t="s">
        <v>177</v>
      </c>
      <c r="K1671" s="10">
        <v>0</v>
      </c>
      <c r="L1671" s="36" t="s">
        <v>263</v>
      </c>
      <c r="M1671" s="37"/>
      <c r="N1671" s="37"/>
      <c r="O1671" s="27"/>
      <c r="P1671" s="27"/>
      <c r="Q1671" s="27"/>
      <c r="R1671" s="27"/>
      <c r="S1671" s="2" t="s">
        <v>1859</v>
      </c>
      <c r="T1671" s="29" t="s">
        <v>265</v>
      </c>
      <c r="U1671" s="27"/>
      <c r="V1671" s="27"/>
      <c r="W1671" s="27"/>
    </row>
    <row r="1672" spans="1:23" ht="24" customHeight="1">
      <c r="A1672" s="27" t="str">
        <f t="shared" ca="1" si="26"/>
        <v>EVT-2026-1670</v>
      </c>
      <c r="B1672" s="27">
        <v>2026</v>
      </c>
      <c r="C1672" s="27" t="s">
        <v>110</v>
      </c>
      <c r="D1672" s="30">
        <v>46379</v>
      </c>
      <c r="E1672" s="27" t="s">
        <v>201</v>
      </c>
      <c r="F1672" s="27" t="s">
        <v>164</v>
      </c>
      <c r="G1672" s="27" t="s">
        <v>262</v>
      </c>
      <c r="H1672" s="27"/>
      <c r="I1672" s="27"/>
      <c r="J1672" s="27" t="s">
        <v>177</v>
      </c>
      <c r="K1672" s="10">
        <v>0</v>
      </c>
      <c r="L1672" s="36" t="s">
        <v>263</v>
      </c>
      <c r="M1672" s="37"/>
      <c r="N1672" s="37"/>
      <c r="O1672" s="27"/>
      <c r="P1672" s="27"/>
      <c r="Q1672" s="27"/>
      <c r="R1672" s="27"/>
      <c r="S1672" s="2" t="s">
        <v>1859</v>
      </c>
      <c r="T1672" s="29" t="s">
        <v>265</v>
      </c>
      <c r="U1672" s="27"/>
      <c r="V1672" s="27"/>
      <c r="W1672" s="27"/>
    </row>
    <row r="1673" spans="1:23" ht="24" customHeight="1">
      <c r="A1673" s="27" t="str">
        <f t="shared" ca="1" si="26"/>
        <v>EVT-2026-1671</v>
      </c>
      <c r="B1673" s="27">
        <v>2026</v>
      </c>
      <c r="C1673" s="27" t="s">
        <v>110</v>
      </c>
      <c r="D1673" s="30">
        <v>46380</v>
      </c>
      <c r="E1673" s="27" t="s">
        <v>216</v>
      </c>
      <c r="F1673" s="27" t="s">
        <v>164</v>
      </c>
      <c r="G1673" s="27" t="s">
        <v>262</v>
      </c>
      <c r="H1673" s="27"/>
      <c r="I1673" s="27"/>
      <c r="J1673" s="27" t="s">
        <v>177</v>
      </c>
      <c r="K1673" s="10">
        <v>0</v>
      </c>
      <c r="L1673" s="36" t="s">
        <v>263</v>
      </c>
      <c r="M1673" s="37"/>
      <c r="N1673" s="37"/>
      <c r="O1673" s="27"/>
      <c r="P1673" s="27"/>
      <c r="Q1673" s="27"/>
      <c r="R1673" s="27"/>
      <c r="S1673" s="2" t="s">
        <v>1859</v>
      </c>
      <c r="T1673" s="29" t="s">
        <v>265</v>
      </c>
      <c r="U1673" s="27"/>
      <c r="V1673" s="27"/>
      <c r="W1673" s="27"/>
    </row>
    <row r="1674" spans="1:23" ht="24" customHeight="1">
      <c r="A1674" s="27" t="str">
        <f t="shared" ca="1" si="26"/>
        <v>EVT-2026-1672</v>
      </c>
      <c r="B1674" s="27">
        <v>2026</v>
      </c>
      <c r="C1674" s="27" t="s">
        <v>110</v>
      </c>
      <c r="D1674" s="30">
        <v>46381</v>
      </c>
      <c r="E1674" s="27" t="s">
        <v>220</v>
      </c>
      <c r="F1674" s="27" t="s">
        <v>164</v>
      </c>
      <c r="G1674" s="27" t="s">
        <v>262</v>
      </c>
      <c r="H1674" s="27" t="s">
        <v>125</v>
      </c>
      <c r="I1674" s="27" t="s">
        <v>2137</v>
      </c>
      <c r="J1674" s="27" t="s">
        <v>177</v>
      </c>
      <c r="K1674" s="10">
        <v>50</v>
      </c>
      <c r="L1674" s="36" t="s">
        <v>263</v>
      </c>
      <c r="M1674" s="37" t="s">
        <v>295</v>
      </c>
      <c r="N1674" s="37" t="s">
        <v>270</v>
      </c>
      <c r="O1674" s="27" t="s">
        <v>382</v>
      </c>
      <c r="P1674" s="27" t="s">
        <v>382</v>
      </c>
      <c r="Q1674" s="27" t="s">
        <v>916</v>
      </c>
      <c r="R1674" s="27"/>
      <c r="S1674" s="2" t="s">
        <v>1859</v>
      </c>
      <c r="T1674" s="29" t="s">
        <v>265</v>
      </c>
      <c r="U1674" s="30">
        <v>46226</v>
      </c>
      <c r="V1674" s="27"/>
      <c r="W1674" s="27" t="s">
        <v>1803</v>
      </c>
    </row>
    <row r="1675" spans="1:23" ht="24" customHeight="1">
      <c r="A1675" s="27" t="str">
        <f t="shared" ca="1" si="26"/>
        <v>EVT-2026-1673</v>
      </c>
      <c r="B1675" s="27">
        <v>2026</v>
      </c>
      <c r="C1675" s="27" t="s">
        <v>110</v>
      </c>
      <c r="D1675" s="30">
        <v>46382</v>
      </c>
      <c r="E1675" s="27" t="s">
        <v>266</v>
      </c>
      <c r="F1675" s="27" t="s">
        <v>164</v>
      </c>
      <c r="G1675" s="27" t="s">
        <v>262</v>
      </c>
      <c r="H1675" s="27"/>
      <c r="I1675" s="27"/>
      <c r="J1675" s="27" t="s">
        <v>177</v>
      </c>
      <c r="K1675" s="10">
        <v>0</v>
      </c>
      <c r="L1675" s="36" t="s">
        <v>263</v>
      </c>
      <c r="M1675" s="37"/>
      <c r="N1675" s="37"/>
      <c r="O1675" s="27"/>
      <c r="P1675" s="27"/>
      <c r="Q1675" s="27"/>
      <c r="R1675" s="27"/>
      <c r="S1675" s="2" t="s">
        <v>1859</v>
      </c>
      <c r="T1675" s="29" t="s">
        <v>265</v>
      </c>
      <c r="U1675" s="27"/>
      <c r="V1675" s="27"/>
      <c r="W1675" s="27"/>
    </row>
    <row r="1676" spans="1:23" ht="24" customHeight="1">
      <c r="A1676" s="27" t="str">
        <f t="shared" ca="1" si="26"/>
        <v>EVT-2026-1674</v>
      </c>
      <c r="B1676" s="27">
        <v>2026</v>
      </c>
      <c r="C1676" s="27" t="s">
        <v>110</v>
      </c>
      <c r="D1676" s="30">
        <v>46383</v>
      </c>
      <c r="E1676" s="27" t="s">
        <v>267</v>
      </c>
      <c r="F1676" s="27" t="s">
        <v>164</v>
      </c>
      <c r="G1676" s="27" t="s">
        <v>262</v>
      </c>
      <c r="H1676" s="27"/>
      <c r="I1676" s="27"/>
      <c r="J1676" s="27" t="s">
        <v>177</v>
      </c>
      <c r="K1676" s="10">
        <v>0</v>
      </c>
      <c r="L1676" s="36" t="s">
        <v>263</v>
      </c>
      <c r="M1676" s="37"/>
      <c r="N1676" s="37"/>
      <c r="O1676" s="27"/>
      <c r="P1676" s="27"/>
      <c r="Q1676" s="27"/>
      <c r="R1676" s="27"/>
      <c r="S1676" s="2" t="s">
        <v>1859</v>
      </c>
      <c r="T1676" s="29" t="s">
        <v>265</v>
      </c>
      <c r="U1676" s="27"/>
      <c r="V1676" s="27"/>
      <c r="W1676" s="27"/>
    </row>
    <row r="1677" spans="1:23" ht="24" customHeight="1">
      <c r="A1677" s="27" t="str">
        <f t="shared" ca="1" si="26"/>
        <v>EVT-2026-1675</v>
      </c>
      <c r="B1677" s="27">
        <v>2026</v>
      </c>
      <c r="C1677" s="27" t="s">
        <v>110</v>
      </c>
      <c r="D1677" s="30">
        <v>46384</v>
      </c>
      <c r="E1677" s="27" t="s">
        <v>224</v>
      </c>
      <c r="F1677" s="27" t="s">
        <v>164</v>
      </c>
      <c r="G1677" s="27" t="s">
        <v>262</v>
      </c>
      <c r="H1677" s="27"/>
      <c r="I1677" s="27"/>
      <c r="J1677" s="27" t="s">
        <v>177</v>
      </c>
      <c r="K1677" s="10">
        <v>0</v>
      </c>
      <c r="L1677" s="36" t="s">
        <v>263</v>
      </c>
      <c r="M1677" s="37"/>
      <c r="N1677" s="37"/>
      <c r="O1677" s="27"/>
      <c r="P1677" s="27"/>
      <c r="Q1677" s="27"/>
      <c r="R1677" s="27"/>
      <c r="S1677" s="2" t="s">
        <v>1859</v>
      </c>
      <c r="T1677" s="29" t="s">
        <v>265</v>
      </c>
      <c r="U1677" s="27"/>
      <c r="V1677" s="27"/>
      <c r="W1677" s="27"/>
    </row>
    <row r="1678" spans="1:23" ht="24" customHeight="1">
      <c r="A1678" s="27" t="str">
        <f t="shared" ca="1" si="26"/>
        <v>EVT-2026-1676</v>
      </c>
      <c r="B1678" s="27">
        <v>2026</v>
      </c>
      <c r="C1678" s="27" t="s">
        <v>110</v>
      </c>
      <c r="D1678" s="30">
        <v>46385</v>
      </c>
      <c r="E1678" s="27" t="s">
        <v>227</v>
      </c>
      <c r="F1678" s="27" t="s">
        <v>164</v>
      </c>
      <c r="G1678" s="27" t="s">
        <v>262</v>
      </c>
      <c r="H1678" s="27"/>
      <c r="I1678" s="27"/>
      <c r="J1678" s="27" t="s">
        <v>177</v>
      </c>
      <c r="K1678" s="10">
        <v>0</v>
      </c>
      <c r="L1678" s="36" t="s">
        <v>263</v>
      </c>
      <c r="M1678" s="37"/>
      <c r="N1678" s="37"/>
      <c r="O1678" s="27"/>
      <c r="P1678" s="27"/>
      <c r="Q1678" s="27"/>
      <c r="R1678" s="27"/>
      <c r="S1678" s="2" t="s">
        <v>1859</v>
      </c>
      <c r="T1678" s="29" t="s">
        <v>265</v>
      </c>
      <c r="U1678" s="27"/>
      <c r="V1678" s="27"/>
      <c r="W1678" s="27"/>
    </row>
    <row r="1679" spans="1:23" ht="24" customHeight="1">
      <c r="A1679" s="27" t="str">
        <f t="shared" ca="1" si="26"/>
        <v>EVT-2026-1677</v>
      </c>
      <c r="B1679" s="27">
        <v>2026</v>
      </c>
      <c r="C1679" s="27" t="s">
        <v>110</v>
      </c>
      <c r="D1679" s="30">
        <v>46386</v>
      </c>
      <c r="E1679" s="27" t="s">
        <v>201</v>
      </c>
      <c r="F1679" s="27" t="s">
        <v>164</v>
      </c>
      <c r="G1679" s="27" t="s">
        <v>262</v>
      </c>
      <c r="H1679" s="27"/>
      <c r="I1679" s="27"/>
      <c r="J1679" s="27" t="s">
        <v>177</v>
      </c>
      <c r="K1679" s="10">
        <v>0</v>
      </c>
      <c r="L1679" s="36" t="s">
        <v>263</v>
      </c>
      <c r="M1679" s="37"/>
      <c r="N1679" s="37"/>
      <c r="O1679" s="27"/>
      <c r="P1679" s="27"/>
      <c r="Q1679" s="27"/>
      <c r="R1679" s="27"/>
      <c r="S1679" s="2" t="s">
        <v>1859</v>
      </c>
      <c r="T1679" s="29" t="s">
        <v>265</v>
      </c>
      <c r="U1679" s="27"/>
      <c r="V1679" s="27"/>
      <c r="W1679" s="27"/>
    </row>
    <row r="1680" spans="1:23" ht="24" customHeight="1">
      <c r="A1680" s="27" t="str">
        <f t="shared" ca="1" si="26"/>
        <v>EVT-2026-1678</v>
      </c>
      <c r="B1680" s="27">
        <v>2026</v>
      </c>
      <c r="C1680" s="27" t="s">
        <v>110</v>
      </c>
      <c r="D1680" s="30">
        <v>46387</v>
      </c>
      <c r="E1680" s="27" t="s">
        <v>216</v>
      </c>
      <c r="F1680" s="27" t="s">
        <v>164</v>
      </c>
      <c r="G1680" s="27" t="s">
        <v>262</v>
      </c>
      <c r="H1680" s="27"/>
      <c r="I1680" s="27"/>
      <c r="J1680" s="27" t="s">
        <v>177</v>
      </c>
      <c r="K1680" s="10">
        <v>0</v>
      </c>
      <c r="L1680" s="36" t="s">
        <v>263</v>
      </c>
      <c r="M1680" s="37"/>
      <c r="N1680" s="37"/>
      <c r="O1680" s="27"/>
      <c r="P1680" s="27"/>
      <c r="Q1680" s="27"/>
      <c r="R1680" s="27"/>
      <c r="S1680" s="2" t="s">
        <v>1859</v>
      </c>
      <c r="T1680" s="29" t="s">
        <v>265</v>
      </c>
      <c r="U1680" s="27"/>
      <c r="V1680" s="27"/>
      <c r="W1680" s="27"/>
    </row>
    <row r="1681" spans="1:23" ht="24" customHeight="1">
      <c r="A1681" s="27" t="str">
        <f t="shared" ca="1" si="26"/>
        <v>EVT-2026-1679</v>
      </c>
      <c r="B1681" s="27">
        <v>2026</v>
      </c>
      <c r="C1681" s="27" t="s">
        <v>110</v>
      </c>
      <c r="D1681" s="27"/>
      <c r="E1681" s="27"/>
      <c r="F1681" s="27" t="s">
        <v>164</v>
      </c>
      <c r="G1681" s="27" t="s">
        <v>262</v>
      </c>
      <c r="H1681" s="27"/>
      <c r="I1681" s="27"/>
      <c r="J1681" s="27" t="s">
        <v>177</v>
      </c>
      <c r="K1681" s="10">
        <v>0</v>
      </c>
      <c r="L1681" s="36" t="s">
        <v>263</v>
      </c>
      <c r="M1681" s="37"/>
      <c r="N1681" s="37"/>
      <c r="O1681" s="27"/>
      <c r="P1681" s="27"/>
      <c r="Q1681" s="27"/>
      <c r="R1681" s="27"/>
      <c r="S1681" s="2" t="s">
        <v>1859</v>
      </c>
      <c r="T1681" s="29" t="s">
        <v>265</v>
      </c>
      <c r="U1681" s="27"/>
      <c r="V1681" s="27"/>
      <c r="W1681" s="27"/>
    </row>
    <row r="1682" spans="1:23" ht="24" customHeight="1">
      <c r="A1682" s="27" t="str">
        <f t="shared" ca="1" si="26"/>
        <v>EVT-2026-1680</v>
      </c>
      <c r="B1682" s="27">
        <v>2026</v>
      </c>
      <c r="C1682" s="27" t="s">
        <v>110</v>
      </c>
      <c r="D1682" s="27"/>
      <c r="E1682" s="27"/>
      <c r="F1682" s="27" t="s">
        <v>164</v>
      </c>
      <c r="G1682" s="27" t="s">
        <v>262</v>
      </c>
      <c r="H1682" s="27"/>
      <c r="I1682" s="27"/>
      <c r="J1682" s="27" t="s">
        <v>177</v>
      </c>
      <c r="K1682" s="10">
        <v>0</v>
      </c>
      <c r="L1682" s="36" t="s">
        <v>263</v>
      </c>
      <c r="M1682" s="37"/>
      <c r="N1682" s="37"/>
      <c r="O1682" s="27"/>
      <c r="P1682" s="27"/>
      <c r="Q1682" s="27"/>
      <c r="R1682" s="27"/>
      <c r="S1682" s="2" t="s">
        <v>1859</v>
      </c>
      <c r="T1682" s="29" t="s">
        <v>265</v>
      </c>
      <c r="U1682" s="27"/>
      <c r="V1682" s="27"/>
      <c r="W1682" s="27"/>
    </row>
    <row r="1683" spans="1:23" ht="24" customHeight="1">
      <c r="A1683" s="27" t="str">
        <f t="shared" ca="1" si="26"/>
        <v>EVT-2026-1681</v>
      </c>
      <c r="B1683" s="27">
        <v>2026</v>
      </c>
      <c r="C1683" s="27" t="s">
        <v>110</v>
      </c>
      <c r="D1683" s="27"/>
      <c r="E1683" s="27"/>
      <c r="F1683" s="27" t="s">
        <v>164</v>
      </c>
      <c r="G1683" s="27" t="s">
        <v>262</v>
      </c>
      <c r="H1683" s="27"/>
      <c r="I1683" s="27"/>
      <c r="J1683" s="27" t="s">
        <v>177</v>
      </c>
      <c r="K1683" s="10">
        <v>0</v>
      </c>
      <c r="L1683" s="36" t="s">
        <v>263</v>
      </c>
      <c r="M1683" s="37"/>
      <c r="N1683" s="37"/>
      <c r="O1683" s="27"/>
      <c r="P1683" s="27"/>
      <c r="Q1683" s="27"/>
      <c r="R1683" s="27"/>
      <c r="S1683" s="2" t="s">
        <v>1859</v>
      </c>
      <c r="T1683" s="29" t="s">
        <v>265</v>
      </c>
      <c r="U1683" s="27"/>
      <c r="V1683" s="27"/>
      <c r="W1683" s="27"/>
    </row>
    <row r="1684" spans="1:23" ht="24" customHeight="1">
      <c r="A1684" s="27" t="str">
        <f t="shared" ca="1" si="26"/>
        <v>EVT-2026-1682</v>
      </c>
      <c r="B1684" s="27">
        <v>2026</v>
      </c>
      <c r="C1684" s="27" t="s">
        <v>110</v>
      </c>
      <c r="D1684" s="27"/>
      <c r="E1684" s="27"/>
      <c r="F1684" s="27" t="s">
        <v>164</v>
      </c>
      <c r="G1684" s="27" t="s">
        <v>262</v>
      </c>
      <c r="H1684" s="27"/>
      <c r="I1684" s="27"/>
      <c r="J1684" s="27" t="s">
        <v>177</v>
      </c>
      <c r="K1684" s="10">
        <v>0</v>
      </c>
      <c r="L1684" s="36" t="s">
        <v>263</v>
      </c>
      <c r="M1684" s="37"/>
      <c r="N1684" s="37"/>
      <c r="O1684" s="27"/>
      <c r="P1684" s="27"/>
      <c r="Q1684" s="27"/>
      <c r="R1684" s="27"/>
      <c r="S1684" s="2" t="s">
        <v>1859</v>
      </c>
      <c r="T1684" s="29" t="s">
        <v>265</v>
      </c>
      <c r="U1684" s="27"/>
      <c r="V1684" s="27"/>
      <c r="W1684" s="27"/>
    </row>
    <row r="1685" spans="1:23" ht="24" customHeight="1">
      <c r="A1685" s="27" t="str">
        <f t="shared" ca="1" si="26"/>
        <v>EVT-2026-1683</v>
      </c>
      <c r="B1685" s="27">
        <v>2026</v>
      </c>
      <c r="C1685" s="27" t="s">
        <v>110</v>
      </c>
      <c r="D1685" s="27"/>
      <c r="E1685" s="27"/>
      <c r="F1685" s="27" t="s">
        <v>164</v>
      </c>
      <c r="G1685" s="27" t="s">
        <v>262</v>
      </c>
      <c r="H1685" s="27"/>
      <c r="I1685" s="27"/>
      <c r="J1685" s="27" t="s">
        <v>177</v>
      </c>
      <c r="K1685" s="10">
        <v>0</v>
      </c>
      <c r="L1685" s="36" t="s">
        <v>263</v>
      </c>
      <c r="M1685" s="37"/>
      <c r="N1685" s="37"/>
      <c r="O1685" s="27"/>
      <c r="P1685" s="27"/>
      <c r="Q1685" s="27"/>
      <c r="R1685" s="27"/>
      <c r="S1685" s="2" t="s">
        <v>1859</v>
      </c>
      <c r="T1685" s="29" t="s">
        <v>265</v>
      </c>
      <c r="U1685" s="27"/>
      <c r="V1685" s="27"/>
      <c r="W1685" s="27"/>
    </row>
    <row r="1686" spans="1:23" ht="24" customHeight="1">
      <c r="A1686" s="27" t="str">
        <f t="shared" ca="1" si="26"/>
        <v>EVT-2026-1684</v>
      </c>
      <c r="B1686" s="27">
        <v>2026</v>
      </c>
      <c r="C1686" s="27" t="s">
        <v>110</v>
      </c>
      <c r="D1686" s="27"/>
      <c r="E1686" s="27"/>
      <c r="F1686" s="27" t="s">
        <v>164</v>
      </c>
      <c r="G1686" s="27" t="s">
        <v>262</v>
      </c>
      <c r="H1686" s="27"/>
      <c r="I1686" s="27"/>
      <c r="J1686" s="27" t="s">
        <v>177</v>
      </c>
      <c r="K1686" s="10">
        <v>0</v>
      </c>
      <c r="L1686" s="36" t="s">
        <v>263</v>
      </c>
      <c r="M1686" s="37"/>
      <c r="N1686" s="37"/>
      <c r="O1686" s="27"/>
      <c r="P1686" s="27"/>
      <c r="Q1686" s="27"/>
      <c r="R1686" s="27"/>
      <c r="S1686" s="2" t="s">
        <v>1859</v>
      </c>
      <c r="T1686" s="29" t="s">
        <v>265</v>
      </c>
      <c r="U1686" s="27"/>
      <c r="V1686" s="27"/>
      <c r="W1686" s="27"/>
    </row>
    <row r="1687" spans="1:23" ht="24" customHeight="1">
      <c r="A1687" s="27" t="str">
        <f t="shared" ca="1" si="26"/>
        <v>EVT-2026-1685</v>
      </c>
      <c r="B1687" s="27">
        <v>2026</v>
      </c>
      <c r="C1687" s="27" t="s">
        <v>110</v>
      </c>
      <c r="D1687" s="27"/>
      <c r="E1687" s="27"/>
      <c r="F1687" s="27" t="s">
        <v>164</v>
      </c>
      <c r="G1687" s="27" t="s">
        <v>262</v>
      </c>
      <c r="H1687" s="27"/>
      <c r="I1687" s="27"/>
      <c r="J1687" s="27" t="s">
        <v>177</v>
      </c>
      <c r="K1687" s="10">
        <v>0</v>
      </c>
      <c r="L1687" s="36" t="s">
        <v>263</v>
      </c>
      <c r="M1687" s="37"/>
      <c r="N1687" s="37"/>
      <c r="O1687" s="27"/>
      <c r="P1687" s="27"/>
      <c r="Q1687" s="27"/>
      <c r="R1687" s="27"/>
      <c r="S1687" s="2" t="s">
        <v>1859</v>
      </c>
      <c r="T1687" s="29" t="s">
        <v>265</v>
      </c>
      <c r="U1687" s="27"/>
      <c r="V1687" s="27"/>
      <c r="W1687" s="27"/>
    </row>
    <row r="1688" spans="1:23" ht="24" customHeight="1">
      <c r="A1688" s="27" t="str">
        <f t="shared" ca="1" si="26"/>
        <v>EVT-2026-1686</v>
      </c>
      <c r="B1688" s="27">
        <v>2026</v>
      </c>
      <c r="C1688" s="27" t="s">
        <v>110</v>
      </c>
      <c r="D1688" s="27"/>
      <c r="E1688" s="27"/>
      <c r="F1688" s="27" t="s">
        <v>164</v>
      </c>
      <c r="G1688" s="27" t="s">
        <v>262</v>
      </c>
      <c r="H1688" s="27"/>
      <c r="I1688" s="27"/>
      <c r="J1688" s="27" t="s">
        <v>177</v>
      </c>
      <c r="K1688" s="10">
        <v>0</v>
      </c>
      <c r="L1688" s="36" t="s">
        <v>263</v>
      </c>
      <c r="M1688" s="37"/>
      <c r="N1688" s="37"/>
      <c r="O1688" s="27"/>
      <c r="P1688" s="27"/>
      <c r="Q1688" s="27"/>
      <c r="R1688" s="27"/>
      <c r="S1688" s="2" t="s">
        <v>1859</v>
      </c>
      <c r="T1688" s="29" t="s">
        <v>265</v>
      </c>
      <c r="U1688" s="27"/>
      <c r="V1688" s="27"/>
      <c r="W1688" s="27"/>
    </row>
    <row r="1689" spans="1:23" ht="24" customHeight="1">
      <c r="A1689" s="27" t="str">
        <f t="shared" ca="1" si="26"/>
        <v>EVT-2026-1687</v>
      </c>
      <c r="B1689" s="27">
        <v>2026</v>
      </c>
      <c r="C1689" s="27" t="s">
        <v>110</v>
      </c>
      <c r="D1689" s="27"/>
      <c r="E1689" s="27"/>
      <c r="F1689" s="27" t="s">
        <v>164</v>
      </c>
      <c r="G1689" s="27" t="s">
        <v>262</v>
      </c>
      <c r="H1689" s="27"/>
      <c r="I1689" s="27"/>
      <c r="J1689" s="27" t="s">
        <v>177</v>
      </c>
      <c r="K1689" s="10">
        <v>0</v>
      </c>
      <c r="L1689" s="36" t="s">
        <v>263</v>
      </c>
      <c r="M1689" s="37"/>
      <c r="N1689" s="37"/>
      <c r="O1689" s="27"/>
      <c r="P1689" s="27"/>
      <c r="Q1689" s="27"/>
      <c r="R1689" s="27"/>
      <c r="S1689" s="2" t="s">
        <v>1859</v>
      </c>
      <c r="T1689" s="29" t="s">
        <v>265</v>
      </c>
      <c r="U1689" s="27"/>
      <c r="V1689" s="27"/>
      <c r="W1689" s="27"/>
    </row>
    <row r="1690" spans="1:23" ht="24" customHeight="1">
      <c r="A1690" s="27" t="str">
        <f t="shared" ca="1" si="26"/>
        <v>EVT-2026-1688</v>
      </c>
      <c r="B1690" s="27">
        <v>2026</v>
      </c>
      <c r="C1690" s="27" t="s">
        <v>110</v>
      </c>
      <c r="D1690" s="27"/>
      <c r="E1690" s="27"/>
      <c r="F1690" s="27" t="s">
        <v>164</v>
      </c>
      <c r="G1690" s="27" t="s">
        <v>262</v>
      </c>
      <c r="H1690" s="27"/>
      <c r="I1690" s="27"/>
      <c r="J1690" s="27" t="s">
        <v>177</v>
      </c>
      <c r="K1690" s="10">
        <v>0</v>
      </c>
      <c r="L1690" s="36" t="s">
        <v>263</v>
      </c>
      <c r="M1690" s="37"/>
      <c r="N1690" s="37"/>
      <c r="O1690" s="27"/>
      <c r="P1690" s="27"/>
      <c r="Q1690" s="27"/>
      <c r="R1690" s="27"/>
      <c r="S1690" s="2" t="s">
        <v>1859</v>
      </c>
      <c r="T1690" s="29" t="s">
        <v>265</v>
      </c>
      <c r="U1690" s="27"/>
      <c r="V1690" s="27"/>
      <c r="W1690" s="27"/>
    </row>
    <row r="1691" spans="1:23" ht="24" customHeight="1">
      <c r="A1691" s="27" t="str">
        <f t="shared" ca="1" si="26"/>
        <v>EVT-2026-1689</v>
      </c>
      <c r="B1691" s="27">
        <v>2026</v>
      </c>
      <c r="C1691" s="27" t="s">
        <v>110</v>
      </c>
      <c r="D1691" s="27"/>
      <c r="E1691" s="27"/>
      <c r="F1691" s="27" t="s">
        <v>164</v>
      </c>
      <c r="G1691" s="27" t="s">
        <v>262</v>
      </c>
      <c r="H1691" s="27"/>
      <c r="I1691" s="27"/>
      <c r="J1691" s="27" t="s">
        <v>177</v>
      </c>
      <c r="K1691" s="10">
        <v>0</v>
      </c>
      <c r="L1691" s="36" t="s">
        <v>263</v>
      </c>
      <c r="M1691" s="37"/>
      <c r="N1691" s="37"/>
      <c r="O1691" s="27"/>
      <c r="P1691" s="27"/>
      <c r="Q1691" s="27"/>
      <c r="R1691" s="27"/>
      <c r="S1691" s="2" t="s">
        <v>1859</v>
      </c>
      <c r="T1691" s="29" t="s">
        <v>265</v>
      </c>
      <c r="U1691" s="27"/>
      <c r="V1691" s="27"/>
      <c r="W1691" s="27"/>
    </row>
    <row r="1692" spans="1:23" ht="24" customHeight="1">
      <c r="A1692" s="27" t="str">
        <f t="shared" ca="1" si="26"/>
        <v>EVT-2026-1690</v>
      </c>
      <c r="B1692" s="27">
        <v>2026</v>
      </c>
      <c r="C1692" s="27" t="s">
        <v>110</v>
      </c>
      <c r="D1692" s="27"/>
      <c r="E1692" s="27"/>
      <c r="F1692" s="27" t="s">
        <v>164</v>
      </c>
      <c r="G1692" s="27" t="s">
        <v>262</v>
      </c>
      <c r="H1692" s="27"/>
      <c r="I1692" s="27"/>
      <c r="J1692" s="27" t="s">
        <v>177</v>
      </c>
      <c r="K1692" s="10">
        <v>0</v>
      </c>
      <c r="L1692" s="36" t="s">
        <v>263</v>
      </c>
      <c r="M1692" s="37"/>
      <c r="N1692" s="37"/>
      <c r="O1692" s="27"/>
      <c r="P1692" s="27"/>
      <c r="Q1692" s="27"/>
      <c r="R1692" s="27"/>
      <c r="S1692" s="2" t="s">
        <v>1859</v>
      </c>
      <c r="T1692" s="29" t="s">
        <v>265</v>
      </c>
      <c r="U1692" s="27"/>
      <c r="V1692" s="27"/>
      <c r="W1692" s="27"/>
    </row>
    <row r="1693" spans="1:23" ht="24" customHeight="1">
      <c r="A1693" s="27" t="str">
        <f t="shared" ca="1" si="26"/>
        <v>EVT-2026-1691</v>
      </c>
      <c r="B1693" s="27">
        <v>2026</v>
      </c>
      <c r="C1693" s="27" t="s">
        <v>110</v>
      </c>
      <c r="D1693" s="27"/>
      <c r="E1693" s="27"/>
      <c r="F1693" s="27" t="s">
        <v>164</v>
      </c>
      <c r="G1693" s="27" t="s">
        <v>262</v>
      </c>
      <c r="H1693" s="27"/>
      <c r="I1693" s="27"/>
      <c r="J1693" s="27" t="s">
        <v>177</v>
      </c>
      <c r="K1693" s="10">
        <v>0</v>
      </c>
      <c r="L1693" s="36" t="s">
        <v>263</v>
      </c>
      <c r="M1693" s="37"/>
      <c r="N1693" s="37"/>
      <c r="O1693" s="27"/>
      <c r="P1693" s="27"/>
      <c r="Q1693" s="27"/>
      <c r="R1693" s="27"/>
      <c r="S1693" s="2" t="s">
        <v>1859</v>
      </c>
      <c r="T1693" s="29" t="s">
        <v>265</v>
      </c>
      <c r="U1693" s="27"/>
      <c r="V1693" s="27"/>
      <c r="W1693" s="27"/>
    </row>
    <row r="1694" spans="1:23" ht="24" customHeight="1">
      <c r="A1694" s="27" t="str">
        <f t="shared" ca="1" si="26"/>
        <v>EVT-2026-1692</v>
      </c>
      <c r="B1694" s="27">
        <v>2026</v>
      </c>
      <c r="C1694" s="27" t="s">
        <v>110</v>
      </c>
      <c r="D1694" s="27"/>
      <c r="E1694" s="27"/>
      <c r="F1694" s="27" t="s">
        <v>164</v>
      </c>
      <c r="G1694" s="27" t="s">
        <v>262</v>
      </c>
      <c r="H1694" s="27"/>
      <c r="I1694" s="27"/>
      <c r="J1694" s="27" t="s">
        <v>177</v>
      </c>
      <c r="K1694" s="10">
        <v>0</v>
      </c>
      <c r="L1694" s="36" t="s">
        <v>263</v>
      </c>
      <c r="M1694" s="37"/>
      <c r="N1694" s="37"/>
      <c r="O1694" s="27"/>
      <c r="P1694" s="27"/>
      <c r="Q1694" s="27"/>
      <c r="R1694" s="27"/>
      <c r="S1694" s="2" t="s">
        <v>1859</v>
      </c>
      <c r="T1694" s="29" t="s">
        <v>265</v>
      </c>
      <c r="U1694" s="27"/>
      <c r="V1694" s="27"/>
      <c r="W1694" s="27"/>
    </row>
    <row r="1695" spans="1:23" ht="24" customHeight="1">
      <c r="A1695" s="27" t="str">
        <f t="shared" ca="1" si="26"/>
        <v>EVT-2026-1693</v>
      </c>
      <c r="B1695" s="27">
        <v>2026</v>
      </c>
      <c r="C1695" s="27" t="s">
        <v>110</v>
      </c>
      <c r="D1695" s="27"/>
      <c r="E1695" s="27"/>
      <c r="F1695" s="27" t="s">
        <v>164</v>
      </c>
      <c r="G1695" s="27" t="s">
        <v>262</v>
      </c>
      <c r="H1695" s="27"/>
      <c r="I1695" s="27"/>
      <c r="J1695" s="27" t="s">
        <v>177</v>
      </c>
      <c r="K1695" s="10">
        <v>0</v>
      </c>
      <c r="L1695" s="36" t="s">
        <v>263</v>
      </c>
      <c r="M1695" s="37"/>
      <c r="N1695" s="37"/>
      <c r="O1695" s="27"/>
      <c r="P1695" s="27"/>
      <c r="Q1695" s="27"/>
      <c r="R1695" s="27"/>
      <c r="S1695" s="2" t="s">
        <v>1859</v>
      </c>
      <c r="T1695" s="29" t="s">
        <v>265</v>
      </c>
      <c r="U1695" s="27"/>
      <c r="V1695" s="27"/>
      <c r="W1695" s="27"/>
    </row>
    <row r="1696" spans="1:23" ht="24" customHeight="1">
      <c r="A1696" s="27" t="str">
        <f t="shared" ca="1" si="26"/>
        <v>EVT-2026-1694</v>
      </c>
      <c r="B1696" s="27">
        <v>2026</v>
      </c>
      <c r="C1696" s="27" t="s">
        <v>110</v>
      </c>
      <c r="D1696" s="27"/>
      <c r="E1696" s="27"/>
      <c r="F1696" s="27" t="s">
        <v>164</v>
      </c>
      <c r="G1696" s="27" t="s">
        <v>262</v>
      </c>
      <c r="H1696" s="27"/>
      <c r="I1696" s="27"/>
      <c r="J1696" s="27" t="s">
        <v>177</v>
      </c>
      <c r="K1696" s="10">
        <v>0</v>
      </c>
      <c r="L1696" s="36" t="s">
        <v>263</v>
      </c>
      <c r="M1696" s="37"/>
      <c r="N1696" s="37"/>
      <c r="O1696" s="27"/>
      <c r="P1696" s="27"/>
      <c r="Q1696" s="27"/>
      <c r="R1696" s="27"/>
      <c r="S1696" s="2" t="s">
        <v>1859</v>
      </c>
      <c r="T1696" s="29" t="s">
        <v>265</v>
      </c>
      <c r="U1696" s="27"/>
      <c r="V1696" s="27"/>
      <c r="W1696" s="27"/>
    </row>
    <row r="1697" spans="1:23" ht="24" customHeight="1">
      <c r="A1697" s="27" t="str">
        <f t="shared" ca="1" si="26"/>
        <v>EVT-2026-1695</v>
      </c>
      <c r="B1697" s="27">
        <v>2026</v>
      </c>
      <c r="C1697" s="27" t="s">
        <v>110</v>
      </c>
      <c r="D1697" s="27"/>
      <c r="E1697" s="27"/>
      <c r="F1697" s="27" t="s">
        <v>164</v>
      </c>
      <c r="G1697" s="27" t="s">
        <v>262</v>
      </c>
      <c r="H1697" s="27"/>
      <c r="I1697" s="27"/>
      <c r="J1697" s="27" t="s">
        <v>177</v>
      </c>
      <c r="K1697" s="10">
        <v>0</v>
      </c>
      <c r="L1697" s="36" t="s">
        <v>263</v>
      </c>
      <c r="M1697" s="37"/>
      <c r="N1697" s="37"/>
      <c r="O1697" s="27"/>
      <c r="P1697" s="27"/>
      <c r="Q1697" s="27"/>
      <c r="R1697" s="27"/>
      <c r="S1697" s="2" t="s">
        <v>1859</v>
      </c>
      <c r="T1697" s="29" t="s">
        <v>265</v>
      </c>
      <c r="U1697" s="27"/>
      <c r="V1697" s="27"/>
      <c r="W1697" s="27"/>
    </row>
    <row r="1698" spans="1:23" ht="24" customHeight="1">
      <c r="A1698" s="27" t="str">
        <f t="shared" ca="1" si="26"/>
        <v>EVT-2026-1696</v>
      </c>
      <c r="B1698" s="27">
        <v>2026</v>
      </c>
      <c r="C1698" s="27" t="s">
        <v>110</v>
      </c>
      <c r="D1698" s="30">
        <v>46357</v>
      </c>
      <c r="E1698" s="27" t="s">
        <v>227</v>
      </c>
      <c r="F1698" s="27" t="s">
        <v>126</v>
      </c>
      <c r="G1698" s="27"/>
      <c r="H1698" s="27"/>
      <c r="I1698" s="27"/>
      <c r="J1698" s="27" t="s">
        <v>177</v>
      </c>
      <c r="K1698" s="10">
        <v>0</v>
      </c>
      <c r="L1698" s="36" t="s">
        <v>263</v>
      </c>
      <c r="M1698" s="37"/>
      <c r="N1698" s="37"/>
      <c r="O1698" s="27"/>
      <c r="P1698" s="27"/>
      <c r="Q1698" s="27"/>
      <c r="R1698" s="27"/>
      <c r="S1698" s="2" t="s">
        <v>1859</v>
      </c>
      <c r="T1698" s="29" t="s">
        <v>265</v>
      </c>
      <c r="U1698" s="27"/>
      <c r="V1698" s="27"/>
      <c r="W1698" s="27"/>
    </row>
    <row r="1699" spans="1:23" ht="24" customHeight="1">
      <c r="A1699" s="27" t="str">
        <f t="shared" ca="1" si="26"/>
        <v>EVT-2026-1697</v>
      </c>
      <c r="B1699" s="27">
        <v>2026</v>
      </c>
      <c r="C1699" s="27" t="s">
        <v>110</v>
      </c>
      <c r="D1699" s="30">
        <v>46358</v>
      </c>
      <c r="E1699" s="27" t="s">
        <v>201</v>
      </c>
      <c r="F1699" s="27" t="s">
        <v>126</v>
      </c>
      <c r="G1699" s="27"/>
      <c r="H1699" s="27"/>
      <c r="I1699" s="27"/>
      <c r="J1699" s="27" t="s">
        <v>177</v>
      </c>
      <c r="K1699" s="10">
        <v>0</v>
      </c>
      <c r="L1699" s="36" t="s">
        <v>263</v>
      </c>
      <c r="M1699" s="37"/>
      <c r="N1699" s="37"/>
      <c r="O1699" s="27"/>
      <c r="P1699" s="27"/>
      <c r="Q1699" s="27"/>
      <c r="R1699" s="27"/>
      <c r="S1699" s="2" t="s">
        <v>1859</v>
      </c>
      <c r="T1699" s="29" t="s">
        <v>265</v>
      </c>
      <c r="U1699" s="27"/>
      <c r="V1699" s="27"/>
      <c r="W1699" s="27"/>
    </row>
    <row r="1700" spans="1:23" ht="24" customHeight="1">
      <c r="A1700" s="27" t="str">
        <f t="shared" ca="1" si="26"/>
        <v>EVT-2026-1698</v>
      </c>
      <c r="B1700" s="27">
        <v>2026</v>
      </c>
      <c r="C1700" s="27" t="s">
        <v>110</v>
      </c>
      <c r="D1700" s="30">
        <v>46359</v>
      </c>
      <c r="E1700" s="27" t="s">
        <v>216</v>
      </c>
      <c r="F1700" s="27" t="s">
        <v>126</v>
      </c>
      <c r="G1700" s="27"/>
      <c r="H1700" s="27"/>
      <c r="I1700" s="27"/>
      <c r="J1700" s="27" t="s">
        <v>177</v>
      </c>
      <c r="K1700" s="10">
        <v>0</v>
      </c>
      <c r="L1700" s="36" t="s">
        <v>263</v>
      </c>
      <c r="M1700" s="37"/>
      <c r="N1700" s="37"/>
      <c r="O1700" s="27"/>
      <c r="P1700" s="27"/>
      <c r="Q1700" s="27"/>
      <c r="R1700" s="27"/>
      <c r="S1700" s="2" t="s">
        <v>1859</v>
      </c>
      <c r="T1700" s="29" t="s">
        <v>265</v>
      </c>
      <c r="U1700" s="27"/>
      <c r="V1700" s="27"/>
      <c r="W1700" s="27"/>
    </row>
    <row r="1701" spans="1:23" ht="24" customHeight="1">
      <c r="A1701" s="27" t="str">
        <f t="shared" ca="1" si="26"/>
        <v>EVT-2026-1699</v>
      </c>
      <c r="B1701" s="27">
        <v>2026</v>
      </c>
      <c r="C1701" s="27" t="s">
        <v>110</v>
      </c>
      <c r="D1701" s="30">
        <v>46360</v>
      </c>
      <c r="E1701" s="27" t="s">
        <v>220</v>
      </c>
      <c r="F1701" s="27" t="s">
        <v>126</v>
      </c>
      <c r="G1701" s="27"/>
      <c r="H1701" s="27"/>
      <c r="I1701" s="27"/>
      <c r="J1701" s="27" t="s">
        <v>177</v>
      </c>
      <c r="K1701" s="10">
        <v>0</v>
      </c>
      <c r="L1701" s="36" t="s">
        <v>263</v>
      </c>
      <c r="M1701" s="37"/>
      <c r="N1701" s="37"/>
      <c r="O1701" s="27"/>
      <c r="P1701" s="27"/>
      <c r="Q1701" s="27"/>
      <c r="R1701" s="27"/>
      <c r="S1701" s="2" t="s">
        <v>1859</v>
      </c>
      <c r="T1701" s="29" t="s">
        <v>265</v>
      </c>
      <c r="U1701" s="27"/>
      <c r="V1701" s="27"/>
      <c r="W1701" s="27"/>
    </row>
    <row r="1702" spans="1:23" ht="24" customHeight="1">
      <c r="A1702" s="27" t="str">
        <f t="shared" ca="1" si="26"/>
        <v>EVT-2026-1700</v>
      </c>
      <c r="B1702" s="27">
        <v>2026</v>
      </c>
      <c r="C1702" s="27" t="s">
        <v>110</v>
      </c>
      <c r="D1702" s="30">
        <v>46361</v>
      </c>
      <c r="E1702" s="27" t="s">
        <v>266</v>
      </c>
      <c r="F1702" s="27" t="s">
        <v>126</v>
      </c>
      <c r="G1702" s="27"/>
      <c r="H1702" s="27"/>
      <c r="I1702" s="27"/>
      <c r="J1702" s="27" t="s">
        <v>177</v>
      </c>
      <c r="K1702" s="10">
        <v>0</v>
      </c>
      <c r="L1702" s="36" t="s">
        <v>263</v>
      </c>
      <c r="M1702" s="37"/>
      <c r="N1702" s="37"/>
      <c r="O1702" s="27"/>
      <c r="P1702" s="27"/>
      <c r="Q1702" s="27"/>
      <c r="R1702" s="27"/>
      <c r="S1702" s="2" t="s">
        <v>1859</v>
      </c>
      <c r="T1702" s="29" t="s">
        <v>265</v>
      </c>
      <c r="U1702" s="27"/>
      <c r="V1702" s="27"/>
      <c r="W1702" s="27"/>
    </row>
    <row r="1703" spans="1:23" ht="24" customHeight="1">
      <c r="A1703" s="27" t="str">
        <f t="shared" ca="1" si="26"/>
        <v>EVT-2026-1701</v>
      </c>
      <c r="B1703" s="27">
        <v>2026</v>
      </c>
      <c r="C1703" s="27" t="s">
        <v>110</v>
      </c>
      <c r="D1703" s="30">
        <v>46362</v>
      </c>
      <c r="E1703" s="27" t="s">
        <v>267</v>
      </c>
      <c r="F1703" s="27" t="s">
        <v>126</v>
      </c>
      <c r="G1703" s="27"/>
      <c r="H1703" s="27"/>
      <c r="I1703" s="27"/>
      <c r="J1703" s="27" t="s">
        <v>177</v>
      </c>
      <c r="K1703" s="10">
        <v>0</v>
      </c>
      <c r="L1703" s="36" t="s">
        <v>263</v>
      </c>
      <c r="M1703" s="37"/>
      <c r="N1703" s="37"/>
      <c r="O1703" s="27"/>
      <c r="P1703" s="27"/>
      <c r="Q1703" s="27"/>
      <c r="R1703" s="27"/>
      <c r="S1703" s="2" t="s">
        <v>1859</v>
      </c>
      <c r="T1703" s="29" t="s">
        <v>265</v>
      </c>
      <c r="U1703" s="27"/>
      <c r="V1703" s="27"/>
      <c r="W1703" s="27"/>
    </row>
    <row r="1704" spans="1:23" ht="24" customHeight="1">
      <c r="A1704" s="27" t="str">
        <f t="shared" ca="1" si="26"/>
        <v>EVT-2026-1702</v>
      </c>
      <c r="B1704" s="27">
        <v>2026</v>
      </c>
      <c r="C1704" s="27" t="s">
        <v>110</v>
      </c>
      <c r="D1704" s="30">
        <v>46363</v>
      </c>
      <c r="E1704" s="27" t="s">
        <v>224</v>
      </c>
      <c r="F1704" s="27" t="s">
        <v>126</v>
      </c>
      <c r="G1704" s="27"/>
      <c r="H1704" s="27"/>
      <c r="I1704" s="27"/>
      <c r="J1704" s="27" t="s">
        <v>177</v>
      </c>
      <c r="K1704" s="10">
        <v>0</v>
      </c>
      <c r="L1704" s="36" t="s">
        <v>263</v>
      </c>
      <c r="M1704" s="37"/>
      <c r="N1704" s="37"/>
      <c r="O1704" s="27"/>
      <c r="P1704" s="27"/>
      <c r="Q1704" s="27"/>
      <c r="R1704" s="27"/>
      <c r="S1704" s="2" t="s">
        <v>1859</v>
      </c>
      <c r="T1704" s="29" t="s">
        <v>265</v>
      </c>
      <c r="U1704" s="27"/>
      <c r="V1704" s="27"/>
      <c r="W1704" s="27"/>
    </row>
    <row r="1705" spans="1:23" ht="24" customHeight="1">
      <c r="A1705" s="27" t="str">
        <f t="shared" ca="1" si="26"/>
        <v>EVT-2026-1703</v>
      </c>
      <c r="B1705" s="27">
        <v>2026</v>
      </c>
      <c r="C1705" s="27" t="s">
        <v>110</v>
      </c>
      <c r="D1705" s="30">
        <v>46364</v>
      </c>
      <c r="E1705" s="27" t="s">
        <v>227</v>
      </c>
      <c r="F1705" s="27" t="s">
        <v>126</v>
      </c>
      <c r="G1705" s="27"/>
      <c r="H1705" s="27"/>
      <c r="I1705" s="27"/>
      <c r="J1705" s="27" t="s">
        <v>177</v>
      </c>
      <c r="K1705" s="10">
        <v>0</v>
      </c>
      <c r="L1705" s="36" t="s">
        <v>263</v>
      </c>
      <c r="M1705" s="37"/>
      <c r="N1705" s="37"/>
      <c r="O1705" s="27"/>
      <c r="P1705" s="27"/>
      <c r="Q1705" s="27"/>
      <c r="R1705" s="27"/>
      <c r="S1705" s="2" t="s">
        <v>1859</v>
      </c>
      <c r="T1705" s="29" t="s">
        <v>265</v>
      </c>
      <c r="U1705" s="27"/>
      <c r="V1705" s="27"/>
      <c r="W1705" s="27"/>
    </row>
    <row r="1706" spans="1:23" ht="24" customHeight="1">
      <c r="A1706" s="27" t="str">
        <f t="shared" ca="1" si="26"/>
        <v>EVT-2026-1704</v>
      </c>
      <c r="B1706" s="27">
        <v>2026</v>
      </c>
      <c r="C1706" s="27" t="s">
        <v>110</v>
      </c>
      <c r="D1706" s="30">
        <v>46365</v>
      </c>
      <c r="E1706" s="27" t="s">
        <v>201</v>
      </c>
      <c r="F1706" s="27" t="s">
        <v>126</v>
      </c>
      <c r="G1706" s="27"/>
      <c r="H1706" s="27"/>
      <c r="I1706" s="27"/>
      <c r="J1706" s="27" t="s">
        <v>177</v>
      </c>
      <c r="K1706" s="10">
        <v>0</v>
      </c>
      <c r="L1706" s="36" t="s">
        <v>263</v>
      </c>
      <c r="M1706" s="37"/>
      <c r="N1706" s="37"/>
      <c r="O1706" s="27"/>
      <c r="P1706" s="27"/>
      <c r="Q1706" s="27"/>
      <c r="R1706" s="27"/>
      <c r="S1706" s="2" t="s">
        <v>1859</v>
      </c>
      <c r="T1706" s="29" t="s">
        <v>265</v>
      </c>
      <c r="U1706" s="27"/>
      <c r="V1706" s="27"/>
      <c r="W1706" s="27"/>
    </row>
    <row r="1707" spans="1:23" ht="24" customHeight="1">
      <c r="A1707" s="27" t="str">
        <f t="shared" ca="1" si="26"/>
        <v>EVT-2026-1705</v>
      </c>
      <c r="B1707" s="27">
        <v>2026</v>
      </c>
      <c r="C1707" s="27" t="s">
        <v>110</v>
      </c>
      <c r="D1707" s="30">
        <v>46366</v>
      </c>
      <c r="E1707" s="27" t="s">
        <v>216</v>
      </c>
      <c r="F1707" s="27" t="s">
        <v>126</v>
      </c>
      <c r="G1707" s="27"/>
      <c r="H1707" s="27"/>
      <c r="I1707" s="27"/>
      <c r="J1707" s="27" t="s">
        <v>177</v>
      </c>
      <c r="K1707" s="10">
        <v>0</v>
      </c>
      <c r="L1707" s="36" t="s">
        <v>263</v>
      </c>
      <c r="M1707" s="37"/>
      <c r="N1707" s="37"/>
      <c r="O1707" s="27"/>
      <c r="P1707" s="27"/>
      <c r="Q1707" s="27"/>
      <c r="R1707" s="27"/>
      <c r="S1707" s="2" t="s">
        <v>1859</v>
      </c>
      <c r="T1707" s="29" t="s">
        <v>265</v>
      </c>
      <c r="U1707" s="27"/>
      <c r="V1707" s="27"/>
      <c r="W1707" s="27"/>
    </row>
    <row r="1708" spans="1:23" ht="24" customHeight="1">
      <c r="A1708" s="27" t="str">
        <f t="shared" ca="1" si="26"/>
        <v>EVT-2026-1706</v>
      </c>
      <c r="B1708" s="27">
        <v>2026</v>
      </c>
      <c r="C1708" s="27" t="s">
        <v>110</v>
      </c>
      <c r="D1708" s="30">
        <v>46367</v>
      </c>
      <c r="E1708" s="27" t="s">
        <v>220</v>
      </c>
      <c r="F1708" s="27" t="s">
        <v>126</v>
      </c>
      <c r="G1708" s="27"/>
      <c r="H1708" s="27"/>
      <c r="I1708" s="27"/>
      <c r="J1708" s="27" t="s">
        <v>177</v>
      </c>
      <c r="K1708" s="10">
        <v>0</v>
      </c>
      <c r="L1708" s="36" t="s">
        <v>263</v>
      </c>
      <c r="M1708" s="37"/>
      <c r="N1708" s="37"/>
      <c r="O1708" s="27"/>
      <c r="P1708" s="27"/>
      <c r="Q1708" s="27"/>
      <c r="R1708" s="27"/>
      <c r="S1708" s="2" t="s">
        <v>1859</v>
      </c>
      <c r="T1708" s="29" t="s">
        <v>265</v>
      </c>
      <c r="U1708" s="27"/>
      <c r="V1708" s="27"/>
      <c r="W1708" s="27"/>
    </row>
    <row r="1709" spans="1:23" ht="24" customHeight="1">
      <c r="A1709" s="27" t="str">
        <f t="shared" ca="1" si="26"/>
        <v>EVT-2026-1707</v>
      </c>
      <c r="B1709" s="27">
        <v>2026</v>
      </c>
      <c r="C1709" s="27" t="s">
        <v>110</v>
      </c>
      <c r="D1709" s="30">
        <v>46368</v>
      </c>
      <c r="E1709" s="27" t="s">
        <v>266</v>
      </c>
      <c r="F1709" s="27" t="s">
        <v>126</v>
      </c>
      <c r="G1709" s="27"/>
      <c r="H1709" s="27"/>
      <c r="I1709" s="27"/>
      <c r="J1709" s="27" t="s">
        <v>177</v>
      </c>
      <c r="K1709" s="10">
        <v>0</v>
      </c>
      <c r="L1709" s="36" t="s">
        <v>263</v>
      </c>
      <c r="M1709" s="37"/>
      <c r="N1709" s="37"/>
      <c r="O1709" s="27"/>
      <c r="P1709" s="27"/>
      <c r="Q1709" s="27"/>
      <c r="R1709" s="27"/>
      <c r="S1709" s="2" t="s">
        <v>1859</v>
      </c>
      <c r="T1709" s="29" t="s">
        <v>265</v>
      </c>
      <c r="U1709" s="27"/>
      <c r="V1709" s="27"/>
      <c r="W1709" s="27"/>
    </row>
    <row r="1710" spans="1:23" ht="24" customHeight="1">
      <c r="A1710" s="27" t="str">
        <f t="shared" ca="1" si="26"/>
        <v>EVT-2026-1708</v>
      </c>
      <c r="B1710" s="27">
        <v>2026</v>
      </c>
      <c r="C1710" s="27" t="s">
        <v>110</v>
      </c>
      <c r="D1710" s="30">
        <v>46369</v>
      </c>
      <c r="E1710" s="27" t="s">
        <v>267</v>
      </c>
      <c r="F1710" s="27" t="s">
        <v>126</v>
      </c>
      <c r="G1710" s="27"/>
      <c r="H1710" s="27"/>
      <c r="I1710" s="27"/>
      <c r="J1710" s="27" t="s">
        <v>177</v>
      </c>
      <c r="K1710" s="10">
        <v>0</v>
      </c>
      <c r="L1710" s="36" t="s">
        <v>263</v>
      </c>
      <c r="M1710" s="37"/>
      <c r="N1710" s="37"/>
      <c r="O1710" s="27"/>
      <c r="P1710" s="27"/>
      <c r="Q1710" s="27"/>
      <c r="R1710" s="27"/>
      <c r="S1710" s="2" t="s">
        <v>1859</v>
      </c>
      <c r="T1710" s="29" t="s">
        <v>265</v>
      </c>
      <c r="U1710" s="27"/>
      <c r="V1710" s="27"/>
      <c r="W1710" s="27"/>
    </row>
    <row r="1711" spans="1:23" ht="24" customHeight="1">
      <c r="A1711" s="27" t="str">
        <f t="shared" ca="1" si="26"/>
        <v>EVT-2026-1709</v>
      </c>
      <c r="B1711" s="27">
        <v>2026</v>
      </c>
      <c r="C1711" s="27" t="s">
        <v>110</v>
      </c>
      <c r="D1711" s="30">
        <v>46370</v>
      </c>
      <c r="E1711" s="27" t="s">
        <v>224</v>
      </c>
      <c r="F1711" s="27" t="s">
        <v>126</v>
      </c>
      <c r="G1711" s="27"/>
      <c r="H1711" s="27"/>
      <c r="I1711" s="27"/>
      <c r="J1711" s="27" t="s">
        <v>177</v>
      </c>
      <c r="K1711" s="10">
        <v>0</v>
      </c>
      <c r="L1711" s="36" t="s">
        <v>263</v>
      </c>
      <c r="M1711" s="37"/>
      <c r="N1711" s="37"/>
      <c r="O1711" s="27"/>
      <c r="P1711" s="27"/>
      <c r="Q1711" s="27"/>
      <c r="R1711" s="27"/>
      <c r="S1711" s="2" t="s">
        <v>1859</v>
      </c>
      <c r="T1711" s="29" t="s">
        <v>265</v>
      </c>
      <c r="U1711" s="27"/>
      <c r="V1711" s="27"/>
      <c r="W1711" s="27"/>
    </row>
    <row r="1712" spans="1:23" ht="24" customHeight="1">
      <c r="A1712" s="27" t="str">
        <f t="shared" ca="1" si="26"/>
        <v>EVT-2026-1710</v>
      </c>
      <c r="B1712" s="27">
        <v>2026</v>
      </c>
      <c r="C1712" s="27" t="s">
        <v>110</v>
      </c>
      <c r="D1712" s="30">
        <v>46371</v>
      </c>
      <c r="E1712" s="27" t="s">
        <v>227</v>
      </c>
      <c r="F1712" s="27" t="s">
        <v>126</v>
      </c>
      <c r="G1712" s="27"/>
      <c r="H1712" s="27"/>
      <c r="I1712" s="27"/>
      <c r="J1712" s="27" t="s">
        <v>177</v>
      </c>
      <c r="K1712" s="10">
        <v>0</v>
      </c>
      <c r="L1712" s="36" t="s">
        <v>263</v>
      </c>
      <c r="M1712" s="37"/>
      <c r="N1712" s="37"/>
      <c r="O1712" s="27"/>
      <c r="P1712" s="27"/>
      <c r="Q1712" s="27"/>
      <c r="R1712" s="27"/>
      <c r="S1712" s="2" t="s">
        <v>1859</v>
      </c>
      <c r="T1712" s="29" t="s">
        <v>265</v>
      </c>
      <c r="U1712" s="27"/>
      <c r="V1712" s="27"/>
      <c r="W1712" s="27"/>
    </row>
    <row r="1713" spans="1:23" ht="24" customHeight="1">
      <c r="A1713" s="27" t="str">
        <f t="shared" ca="1" si="26"/>
        <v>EVT-2026-1711</v>
      </c>
      <c r="B1713" s="27">
        <v>2026</v>
      </c>
      <c r="C1713" s="27" t="s">
        <v>110</v>
      </c>
      <c r="D1713" s="30">
        <v>46372</v>
      </c>
      <c r="E1713" s="27" t="s">
        <v>201</v>
      </c>
      <c r="F1713" s="27" t="s">
        <v>126</v>
      </c>
      <c r="G1713" s="27"/>
      <c r="H1713" s="27"/>
      <c r="I1713" s="27"/>
      <c r="J1713" s="27" t="s">
        <v>177</v>
      </c>
      <c r="K1713" s="10">
        <v>0</v>
      </c>
      <c r="L1713" s="36" t="s">
        <v>263</v>
      </c>
      <c r="M1713" s="37"/>
      <c r="N1713" s="37"/>
      <c r="O1713" s="27"/>
      <c r="P1713" s="27"/>
      <c r="Q1713" s="27"/>
      <c r="R1713" s="27"/>
      <c r="S1713" s="2" t="s">
        <v>1859</v>
      </c>
      <c r="T1713" s="29" t="s">
        <v>265</v>
      </c>
      <c r="U1713" s="27"/>
      <c r="V1713" s="27"/>
      <c r="W1713" s="27"/>
    </row>
    <row r="1714" spans="1:23" ht="24" customHeight="1">
      <c r="A1714" s="27" t="str">
        <f t="shared" ca="1" si="26"/>
        <v>EVT-2026-1712</v>
      </c>
      <c r="B1714" s="27">
        <v>2026</v>
      </c>
      <c r="C1714" s="27" t="s">
        <v>110</v>
      </c>
      <c r="D1714" s="30">
        <v>46373</v>
      </c>
      <c r="E1714" s="27" t="s">
        <v>216</v>
      </c>
      <c r="F1714" s="27" t="s">
        <v>126</v>
      </c>
      <c r="G1714" s="27"/>
      <c r="H1714" s="27"/>
      <c r="I1714" s="27"/>
      <c r="J1714" s="27" t="s">
        <v>177</v>
      </c>
      <c r="K1714" s="10">
        <v>0</v>
      </c>
      <c r="L1714" s="36" t="s">
        <v>263</v>
      </c>
      <c r="M1714" s="37"/>
      <c r="N1714" s="37"/>
      <c r="O1714" s="27"/>
      <c r="P1714" s="27"/>
      <c r="Q1714" s="27"/>
      <c r="R1714" s="27"/>
      <c r="S1714" s="2" t="s">
        <v>1859</v>
      </c>
      <c r="T1714" s="29" t="s">
        <v>265</v>
      </c>
      <c r="U1714" s="27"/>
      <c r="V1714" s="27"/>
      <c r="W1714" s="27"/>
    </row>
    <row r="1715" spans="1:23" ht="24" customHeight="1">
      <c r="A1715" s="27" t="str">
        <f t="shared" ca="1" si="26"/>
        <v>EVT-2026-1713</v>
      </c>
      <c r="B1715" s="27">
        <v>2026</v>
      </c>
      <c r="C1715" s="27" t="s">
        <v>110</v>
      </c>
      <c r="D1715" s="30">
        <v>46374</v>
      </c>
      <c r="E1715" s="27" t="s">
        <v>220</v>
      </c>
      <c r="F1715" s="27" t="s">
        <v>126</v>
      </c>
      <c r="G1715" s="27"/>
      <c r="H1715" s="27"/>
      <c r="I1715" s="27"/>
      <c r="J1715" s="27" t="s">
        <v>177</v>
      </c>
      <c r="K1715" s="10">
        <v>0</v>
      </c>
      <c r="L1715" s="36" t="s">
        <v>263</v>
      </c>
      <c r="M1715" s="37"/>
      <c r="N1715" s="37"/>
      <c r="O1715" s="27"/>
      <c r="P1715" s="27"/>
      <c r="Q1715" s="27"/>
      <c r="R1715" s="27"/>
      <c r="S1715" s="2" t="s">
        <v>1859</v>
      </c>
      <c r="T1715" s="29" t="s">
        <v>265</v>
      </c>
      <c r="U1715" s="27"/>
      <c r="V1715" s="27"/>
      <c r="W1715" s="27"/>
    </row>
    <row r="1716" spans="1:23" ht="24" customHeight="1">
      <c r="A1716" s="27" t="str">
        <f t="shared" ca="1" si="26"/>
        <v>EVT-2026-1714</v>
      </c>
      <c r="B1716" s="27">
        <v>2026</v>
      </c>
      <c r="C1716" s="27" t="s">
        <v>110</v>
      </c>
      <c r="D1716" s="30">
        <v>46375</v>
      </c>
      <c r="E1716" s="27" t="s">
        <v>266</v>
      </c>
      <c r="F1716" s="27" t="s">
        <v>126</v>
      </c>
      <c r="G1716" s="27"/>
      <c r="H1716" s="27"/>
      <c r="I1716" s="27"/>
      <c r="J1716" s="27" t="s">
        <v>177</v>
      </c>
      <c r="K1716" s="10">
        <v>0</v>
      </c>
      <c r="L1716" s="36" t="s">
        <v>263</v>
      </c>
      <c r="M1716" s="37"/>
      <c r="N1716" s="37"/>
      <c r="O1716" s="27"/>
      <c r="P1716" s="27"/>
      <c r="Q1716" s="27"/>
      <c r="R1716" s="27"/>
      <c r="S1716" s="2" t="s">
        <v>1859</v>
      </c>
      <c r="T1716" s="29" t="s">
        <v>265</v>
      </c>
      <c r="U1716" s="27"/>
      <c r="V1716" s="27"/>
      <c r="W1716" s="27"/>
    </row>
    <row r="1717" spans="1:23" ht="24" customHeight="1">
      <c r="A1717" s="27" t="str">
        <f t="shared" ca="1" si="26"/>
        <v>EVT-2026-1715</v>
      </c>
      <c r="B1717" s="27">
        <v>2026</v>
      </c>
      <c r="C1717" s="27" t="s">
        <v>110</v>
      </c>
      <c r="D1717" s="30">
        <v>46376</v>
      </c>
      <c r="E1717" s="27" t="s">
        <v>267</v>
      </c>
      <c r="F1717" s="27" t="s">
        <v>126</v>
      </c>
      <c r="G1717" s="27"/>
      <c r="H1717" s="27"/>
      <c r="I1717" s="27"/>
      <c r="J1717" s="27" t="s">
        <v>177</v>
      </c>
      <c r="K1717" s="10">
        <v>0</v>
      </c>
      <c r="L1717" s="36" t="s">
        <v>263</v>
      </c>
      <c r="M1717" s="37"/>
      <c r="N1717" s="37"/>
      <c r="O1717" s="27"/>
      <c r="P1717" s="27"/>
      <c r="Q1717" s="27"/>
      <c r="R1717" s="27"/>
      <c r="S1717" s="2" t="s">
        <v>1859</v>
      </c>
      <c r="T1717" s="29" t="s">
        <v>265</v>
      </c>
      <c r="U1717" s="27"/>
      <c r="V1717" s="27"/>
      <c r="W1717" s="27"/>
    </row>
    <row r="1718" spans="1:23" ht="24" customHeight="1">
      <c r="A1718" s="27" t="str">
        <f t="shared" ca="1" si="26"/>
        <v>EVT-2026-1716</v>
      </c>
      <c r="B1718" s="27">
        <v>2026</v>
      </c>
      <c r="C1718" s="27" t="s">
        <v>110</v>
      </c>
      <c r="D1718" s="30">
        <v>46377</v>
      </c>
      <c r="E1718" s="27" t="s">
        <v>224</v>
      </c>
      <c r="F1718" s="27" t="s">
        <v>126</v>
      </c>
      <c r="G1718" s="27"/>
      <c r="H1718" s="27"/>
      <c r="I1718" s="27"/>
      <c r="J1718" s="27" t="s">
        <v>177</v>
      </c>
      <c r="K1718" s="10">
        <v>0</v>
      </c>
      <c r="L1718" s="36" t="s">
        <v>263</v>
      </c>
      <c r="M1718" s="37"/>
      <c r="N1718" s="37"/>
      <c r="O1718" s="27"/>
      <c r="P1718" s="27"/>
      <c r="Q1718" s="27"/>
      <c r="R1718" s="27"/>
      <c r="S1718" s="2" t="s">
        <v>1859</v>
      </c>
      <c r="T1718" s="29" t="s">
        <v>265</v>
      </c>
      <c r="U1718" s="27"/>
      <c r="V1718" s="27"/>
      <c r="W1718" s="27"/>
    </row>
    <row r="1719" spans="1:23" ht="24" customHeight="1">
      <c r="A1719" s="27" t="str">
        <f t="shared" ca="1" si="26"/>
        <v>EVT-2026-1717</v>
      </c>
      <c r="B1719" s="27">
        <v>2026</v>
      </c>
      <c r="C1719" s="27" t="s">
        <v>110</v>
      </c>
      <c r="D1719" s="30">
        <v>46378</v>
      </c>
      <c r="E1719" s="27" t="s">
        <v>227</v>
      </c>
      <c r="F1719" s="27" t="s">
        <v>126</v>
      </c>
      <c r="G1719" s="27"/>
      <c r="H1719" s="27"/>
      <c r="I1719" s="27"/>
      <c r="J1719" s="27" t="s">
        <v>177</v>
      </c>
      <c r="K1719" s="10">
        <v>0</v>
      </c>
      <c r="L1719" s="36" t="s">
        <v>263</v>
      </c>
      <c r="M1719" s="37"/>
      <c r="N1719" s="37"/>
      <c r="O1719" s="27"/>
      <c r="P1719" s="27"/>
      <c r="Q1719" s="27"/>
      <c r="R1719" s="27"/>
      <c r="S1719" s="2" t="s">
        <v>1859</v>
      </c>
      <c r="T1719" s="29" t="s">
        <v>265</v>
      </c>
      <c r="U1719" s="27"/>
      <c r="V1719" s="27"/>
      <c r="W1719" s="27"/>
    </row>
    <row r="1720" spans="1:23" ht="24" customHeight="1">
      <c r="A1720" s="27" t="str">
        <f t="shared" ca="1" si="26"/>
        <v>EVT-2026-1718</v>
      </c>
      <c r="B1720" s="27">
        <v>2026</v>
      </c>
      <c r="C1720" s="27" t="s">
        <v>110</v>
      </c>
      <c r="D1720" s="30">
        <v>46379</v>
      </c>
      <c r="E1720" s="27" t="s">
        <v>201</v>
      </c>
      <c r="F1720" s="27" t="s">
        <v>126</v>
      </c>
      <c r="G1720" s="27"/>
      <c r="H1720" s="27"/>
      <c r="I1720" s="27"/>
      <c r="J1720" s="27" t="s">
        <v>177</v>
      </c>
      <c r="K1720" s="10">
        <v>0</v>
      </c>
      <c r="L1720" s="36" t="s">
        <v>263</v>
      </c>
      <c r="M1720" s="37"/>
      <c r="N1720" s="37"/>
      <c r="O1720" s="27"/>
      <c r="P1720" s="27"/>
      <c r="Q1720" s="27"/>
      <c r="R1720" s="27"/>
      <c r="S1720" s="2" t="s">
        <v>1859</v>
      </c>
      <c r="T1720" s="29" t="s">
        <v>265</v>
      </c>
      <c r="U1720" s="27"/>
      <c r="V1720" s="27"/>
      <c r="W1720" s="27"/>
    </row>
    <row r="1721" spans="1:23" ht="24" customHeight="1">
      <c r="A1721" s="27" t="str">
        <f t="shared" ca="1" si="26"/>
        <v>EVT-2026-1719</v>
      </c>
      <c r="B1721" s="27">
        <v>2026</v>
      </c>
      <c r="C1721" s="27" t="s">
        <v>110</v>
      </c>
      <c r="D1721" s="30">
        <v>46380</v>
      </c>
      <c r="E1721" s="27" t="s">
        <v>216</v>
      </c>
      <c r="F1721" s="27" t="s">
        <v>126</v>
      </c>
      <c r="G1721" s="27"/>
      <c r="H1721" s="27"/>
      <c r="I1721" s="27"/>
      <c r="J1721" s="27" t="s">
        <v>177</v>
      </c>
      <c r="K1721" s="10">
        <v>0</v>
      </c>
      <c r="L1721" s="36" t="s">
        <v>263</v>
      </c>
      <c r="M1721" s="37"/>
      <c r="N1721" s="37"/>
      <c r="O1721" s="27"/>
      <c r="P1721" s="27"/>
      <c r="Q1721" s="27"/>
      <c r="R1721" s="27"/>
      <c r="S1721" s="2" t="s">
        <v>1859</v>
      </c>
      <c r="T1721" s="29" t="s">
        <v>265</v>
      </c>
      <c r="U1721" s="27"/>
      <c r="V1721" s="27"/>
      <c r="W1721" s="27"/>
    </row>
    <row r="1722" spans="1:23" ht="24" customHeight="1">
      <c r="A1722" s="27" t="str">
        <f t="shared" ca="1" si="26"/>
        <v>EVT-2026-1720</v>
      </c>
      <c r="B1722" s="27">
        <v>2026</v>
      </c>
      <c r="C1722" s="27" t="s">
        <v>110</v>
      </c>
      <c r="D1722" s="30">
        <v>46381</v>
      </c>
      <c r="E1722" s="27" t="s">
        <v>220</v>
      </c>
      <c r="F1722" s="27" t="s">
        <v>126</v>
      </c>
      <c r="G1722" s="27" t="s">
        <v>125</v>
      </c>
      <c r="H1722" s="27" t="s">
        <v>228</v>
      </c>
      <c r="I1722" s="27" t="s">
        <v>658</v>
      </c>
      <c r="J1722" s="27" t="s">
        <v>152</v>
      </c>
      <c r="K1722" s="10">
        <v>60</v>
      </c>
      <c r="L1722" s="36" t="s">
        <v>263</v>
      </c>
      <c r="M1722" s="37" t="s">
        <v>295</v>
      </c>
      <c r="N1722" s="37" t="s">
        <v>270</v>
      </c>
      <c r="O1722" s="27" t="s">
        <v>2131</v>
      </c>
      <c r="P1722" s="27"/>
      <c r="Q1722" s="27" t="s">
        <v>1163</v>
      </c>
      <c r="R1722" s="27"/>
      <c r="S1722" s="2" t="s">
        <v>1859</v>
      </c>
      <c r="T1722" s="29" t="s">
        <v>265</v>
      </c>
      <c r="U1722" s="27"/>
      <c r="V1722" s="27" t="s">
        <v>298</v>
      </c>
      <c r="W1722" s="27"/>
    </row>
    <row r="1723" spans="1:23" ht="24" customHeight="1">
      <c r="A1723" s="27" t="str">
        <f t="shared" ca="1" si="26"/>
        <v>EVT-2026-1721</v>
      </c>
      <c r="B1723" s="27">
        <v>2026</v>
      </c>
      <c r="C1723" s="27" t="s">
        <v>110</v>
      </c>
      <c r="D1723" s="30">
        <v>46382</v>
      </c>
      <c r="E1723" s="27" t="s">
        <v>266</v>
      </c>
      <c r="F1723" s="27" t="s">
        <v>126</v>
      </c>
      <c r="G1723" s="27"/>
      <c r="H1723" s="27"/>
      <c r="I1723" s="27"/>
      <c r="J1723" s="27" t="s">
        <v>177</v>
      </c>
      <c r="K1723" s="10">
        <v>0</v>
      </c>
      <c r="L1723" s="36" t="s">
        <v>263</v>
      </c>
      <c r="M1723" s="37"/>
      <c r="N1723" s="37"/>
      <c r="O1723" s="27"/>
      <c r="P1723" s="27"/>
      <c r="Q1723" s="27"/>
      <c r="R1723" s="27"/>
      <c r="S1723" s="2" t="s">
        <v>1859</v>
      </c>
      <c r="T1723" s="29" t="s">
        <v>265</v>
      </c>
      <c r="U1723" s="27"/>
      <c r="V1723" s="27"/>
      <c r="W1723" s="27"/>
    </row>
    <row r="1724" spans="1:23" ht="24" customHeight="1">
      <c r="A1724" s="27" t="str">
        <f t="shared" ca="1" si="26"/>
        <v>EVT-2026-1722</v>
      </c>
      <c r="B1724" s="27">
        <v>2026</v>
      </c>
      <c r="C1724" s="27" t="s">
        <v>110</v>
      </c>
      <c r="D1724" s="30">
        <v>46383</v>
      </c>
      <c r="E1724" s="27" t="s">
        <v>267</v>
      </c>
      <c r="F1724" s="27" t="s">
        <v>126</v>
      </c>
      <c r="G1724" s="27"/>
      <c r="H1724" s="27"/>
      <c r="I1724" s="27"/>
      <c r="J1724" s="27" t="s">
        <v>177</v>
      </c>
      <c r="K1724" s="10">
        <v>0</v>
      </c>
      <c r="L1724" s="36" t="s">
        <v>263</v>
      </c>
      <c r="M1724" s="37"/>
      <c r="N1724" s="37"/>
      <c r="O1724" s="27"/>
      <c r="P1724" s="27"/>
      <c r="Q1724" s="27"/>
      <c r="R1724" s="27"/>
      <c r="S1724" s="2" t="s">
        <v>1859</v>
      </c>
      <c r="T1724" s="29" t="s">
        <v>265</v>
      </c>
      <c r="U1724" s="27"/>
      <c r="V1724" s="27"/>
      <c r="W1724" s="27"/>
    </row>
    <row r="1725" spans="1:23" ht="24" customHeight="1">
      <c r="A1725" s="27" t="str">
        <f t="shared" ca="1" si="26"/>
        <v>EVT-2026-1723</v>
      </c>
      <c r="B1725" s="27">
        <v>2026</v>
      </c>
      <c r="C1725" s="27" t="s">
        <v>110</v>
      </c>
      <c r="D1725" s="30">
        <v>46384</v>
      </c>
      <c r="E1725" s="27" t="s">
        <v>224</v>
      </c>
      <c r="F1725" s="27" t="s">
        <v>126</v>
      </c>
      <c r="G1725" s="27"/>
      <c r="H1725" s="27"/>
      <c r="I1725" s="27"/>
      <c r="J1725" s="27" t="s">
        <v>177</v>
      </c>
      <c r="K1725" s="10">
        <v>0</v>
      </c>
      <c r="L1725" s="36" t="s">
        <v>263</v>
      </c>
      <c r="M1725" s="37"/>
      <c r="N1725" s="37"/>
      <c r="O1725" s="27"/>
      <c r="P1725" s="27"/>
      <c r="Q1725" s="27"/>
      <c r="R1725" s="27"/>
      <c r="S1725" s="2" t="s">
        <v>1859</v>
      </c>
      <c r="T1725" s="29" t="s">
        <v>265</v>
      </c>
      <c r="U1725" s="27"/>
      <c r="V1725" s="27"/>
      <c r="W1725" s="27"/>
    </row>
    <row r="1726" spans="1:23" ht="24" customHeight="1">
      <c r="A1726" s="27" t="str">
        <f t="shared" ca="1" si="26"/>
        <v>EVT-2026-1724</v>
      </c>
      <c r="B1726" s="27">
        <v>2026</v>
      </c>
      <c r="C1726" s="27" t="s">
        <v>110</v>
      </c>
      <c r="D1726" s="30">
        <v>46385</v>
      </c>
      <c r="E1726" s="27" t="s">
        <v>227</v>
      </c>
      <c r="F1726" s="27" t="s">
        <v>126</v>
      </c>
      <c r="G1726" s="27"/>
      <c r="H1726" s="27"/>
      <c r="I1726" s="27"/>
      <c r="J1726" s="27" t="s">
        <v>177</v>
      </c>
      <c r="K1726" s="10">
        <v>0</v>
      </c>
      <c r="L1726" s="36" t="s">
        <v>263</v>
      </c>
      <c r="M1726" s="37"/>
      <c r="N1726" s="37"/>
      <c r="O1726" s="27"/>
      <c r="P1726" s="27"/>
      <c r="Q1726" s="27"/>
      <c r="R1726" s="27"/>
      <c r="S1726" s="2" t="s">
        <v>1859</v>
      </c>
      <c r="T1726" s="29" t="s">
        <v>265</v>
      </c>
      <c r="U1726" s="27"/>
      <c r="V1726" s="27"/>
      <c r="W1726" s="27"/>
    </row>
    <row r="1727" spans="1:23" ht="24" customHeight="1">
      <c r="A1727" s="27" t="str">
        <f t="shared" ca="1" si="26"/>
        <v>EVT-2026-1725</v>
      </c>
      <c r="B1727" s="27">
        <v>2026</v>
      </c>
      <c r="C1727" s="27" t="s">
        <v>110</v>
      </c>
      <c r="D1727" s="30">
        <v>46386</v>
      </c>
      <c r="E1727" s="27" t="s">
        <v>201</v>
      </c>
      <c r="F1727" s="27" t="s">
        <v>126</v>
      </c>
      <c r="G1727" s="27"/>
      <c r="H1727" s="27"/>
      <c r="I1727" s="27"/>
      <c r="J1727" s="27" t="s">
        <v>177</v>
      </c>
      <c r="K1727" s="10">
        <v>0</v>
      </c>
      <c r="L1727" s="36" t="s">
        <v>263</v>
      </c>
      <c r="M1727" s="37"/>
      <c r="N1727" s="37"/>
      <c r="O1727" s="27"/>
      <c r="P1727" s="27"/>
      <c r="Q1727" s="27"/>
      <c r="R1727" s="27"/>
      <c r="S1727" s="2" t="s">
        <v>1859</v>
      </c>
      <c r="T1727" s="29" t="s">
        <v>265</v>
      </c>
      <c r="U1727" s="27"/>
      <c r="V1727" s="27"/>
      <c r="W1727" s="27"/>
    </row>
    <row r="1728" spans="1:23" ht="24" customHeight="1">
      <c r="A1728" s="27" t="str">
        <f t="shared" ca="1" si="26"/>
        <v>EVT-2026-1726</v>
      </c>
      <c r="B1728" s="27">
        <v>2026</v>
      </c>
      <c r="C1728" s="27" t="s">
        <v>110</v>
      </c>
      <c r="D1728" s="30">
        <v>46387</v>
      </c>
      <c r="E1728" s="27" t="s">
        <v>216</v>
      </c>
      <c r="F1728" s="27" t="s">
        <v>126</v>
      </c>
      <c r="G1728" s="27"/>
      <c r="H1728" s="27"/>
      <c r="I1728" s="27"/>
      <c r="J1728" s="27" t="s">
        <v>177</v>
      </c>
      <c r="K1728" s="10">
        <v>0</v>
      </c>
      <c r="L1728" s="36" t="s">
        <v>263</v>
      </c>
      <c r="M1728" s="37"/>
      <c r="N1728" s="37"/>
      <c r="O1728" s="27"/>
      <c r="P1728" s="27"/>
      <c r="Q1728" s="27"/>
      <c r="R1728" s="27"/>
      <c r="S1728" s="2" t="s">
        <v>1859</v>
      </c>
      <c r="T1728" s="29" t="s">
        <v>265</v>
      </c>
      <c r="U1728" s="27"/>
      <c r="V1728" s="27"/>
      <c r="W1728" s="27"/>
    </row>
    <row r="1729" spans="1:23" ht="24" customHeight="1">
      <c r="A1729" s="27" t="str">
        <f t="shared" ca="1" si="26"/>
        <v>EVT-2026-1727</v>
      </c>
      <c r="B1729" s="27">
        <v>2026</v>
      </c>
      <c r="C1729" s="27" t="s">
        <v>110</v>
      </c>
      <c r="D1729" s="27"/>
      <c r="E1729" s="27"/>
      <c r="F1729" s="27" t="s">
        <v>126</v>
      </c>
      <c r="G1729" s="27"/>
      <c r="H1729" s="27"/>
      <c r="I1729" s="27"/>
      <c r="J1729" s="27" t="s">
        <v>177</v>
      </c>
      <c r="K1729" s="10">
        <v>0</v>
      </c>
      <c r="L1729" s="36" t="s">
        <v>263</v>
      </c>
      <c r="M1729" s="37"/>
      <c r="N1729" s="37"/>
      <c r="O1729" s="27"/>
      <c r="P1729" s="27"/>
      <c r="Q1729" s="27"/>
      <c r="R1729" s="27"/>
      <c r="S1729" s="2" t="s">
        <v>1859</v>
      </c>
      <c r="T1729" s="29" t="s">
        <v>265</v>
      </c>
      <c r="U1729" s="27"/>
      <c r="V1729" s="27"/>
      <c r="W1729" s="27"/>
    </row>
    <row r="1730" spans="1:23" ht="24" customHeight="1">
      <c r="A1730" s="27" t="str">
        <f t="shared" ca="1" si="26"/>
        <v>EVT-2026-1728</v>
      </c>
      <c r="B1730" s="27">
        <v>2026</v>
      </c>
      <c r="C1730" s="27" t="s">
        <v>110</v>
      </c>
      <c r="D1730" s="27"/>
      <c r="E1730" s="27"/>
      <c r="F1730" s="27" t="s">
        <v>126</v>
      </c>
      <c r="G1730" s="27"/>
      <c r="H1730" s="27"/>
      <c r="I1730" s="27"/>
      <c r="J1730" s="27" t="s">
        <v>177</v>
      </c>
      <c r="K1730" s="10">
        <v>0</v>
      </c>
      <c r="L1730" s="36" t="s">
        <v>263</v>
      </c>
      <c r="M1730" s="37"/>
      <c r="N1730" s="37"/>
      <c r="O1730" s="27"/>
      <c r="P1730" s="27"/>
      <c r="Q1730" s="27"/>
      <c r="R1730" s="27"/>
      <c r="S1730" s="2" t="s">
        <v>1859</v>
      </c>
      <c r="T1730" s="29" t="s">
        <v>265</v>
      </c>
      <c r="U1730" s="27"/>
      <c r="V1730" s="27"/>
      <c r="W1730" s="27"/>
    </row>
    <row r="1731" spans="1:23" ht="24" customHeight="1">
      <c r="A1731" s="27" t="str">
        <f t="shared" ref="A1731:A1794" ca="1" si="27">IF(OR(D1731&lt;&gt;"",H1731&lt;&gt;"",I1731&lt;&gt;"",Q1731&lt;&gt;"",S1731&lt;&gt;""), "EVT-" &amp; TEXT(B1731, "0000") &amp; "-" &amp; TEXT(COUNTIF(OFFSET($A$1, 1, 0, ROW()-2, 1), "EVT*") + 1, "0000"), "")</f>
        <v>EVT-2026-1729</v>
      </c>
      <c r="B1731" s="27">
        <v>2026</v>
      </c>
      <c r="C1731" s="27" t="s">
        <v>110</v>
      </c>
      <c r="D1731" s="27"/>
      <c r="E1731" s="27"/>
      <c r="F1731" s="27" t="s">
        <v>126</v>
      </c>
      <c r="G1731" s="27"/>
      <c r="H1731" s="27"/>
      <c r="I1731" s="27"/>
      <c r="J1731" s="27" t="s">
        <v>177</v>
      </c>
      <c r="K1731" s="10">
        <v>0</v>
      </c>
      <c r="L1731" s="36" t="s">
        <v>263</v>
      </c>
      <c r="M1731" s="37"/>
      <c r="N1731" s="37"/>
      <c r="O1731" s="27"/>
      <c r="P1731" s="27"/>
      <c r="Q1731" s="27"/>
      <c r="R1731" s="27"/>
      <c r="S1731" s="2" t="s">
        <v>1859</v>
      </c>
      <c r="T1731" s="29" t="s">
        <v>265</v>
      </c>
      <c r="U1731" s="27"/>
      <c r="V1731" s="27"/>
      <c r="W1731" s="27"/>
    </row>
    <row r="1732" spans="1:23" ht="24" customHeight="1">
      <c r="A1732" s="27" t="str">
        <f t="shared" ca="1" si="27"/>
        <v>EVT-2026-1730</v>
      </c>
      <c r="B1732" s="27">
        <v>2026</v>
      </c>
      <c r="C1732" s="27" t="s">
        <v>110</v>
      </c>
      <c r="D1732" s="27"/>
      <c r="E1732" s="27"/>
      <c r="F1732" s="27" t="s">
        <v>126</v>
      </c>
      <c r="G1732" s="27"/>
      <c r="H1732" s="27"/>
      <c r="I1732" s="27"/>
      <c r="J1732" s="27" t="s">
        <v>177</v>
      </c>
      <c r="K1732" s="10">
        <v>0</v>
      </c>
      <c r="L1732" s="36" t="s">
        <v>263</v>
      </c>
      <c r="M1732" s="37"/>
      <c r="N1732" s="37"/>
      <c r="O1732" s="27"/>
      <c r="P1732" s="27"/>
      <c r="Q1732" s="27"/>
      <c r="R1732" s="27"/>
      <c r="S1732" s="2" t="s">
        <v>1859</v>
      </c>
      <c r="T1732" s="29" t="s">
        <v>265</v>
      </c>
      <c r="U1732" s="27"/>
      <c r="V1732" s="27"/>
      <c r="W1732" s="27"/>
    </row>
    <row r="1733" spans="1:23" ht="24" customHeight="1">
      <c r="A1733" s="27" t="str">
        <f t="shared" ca="1" si="27"/>
        <v>EVT-2026-1731</v>
      </c>
      <c r="B1733" s="27">
        <v>2026</v>
      </c>
      <c r="C1733" s="27" t="s">
        <v>110</v>
      </c>
      <c r="D1733" s="27"/>
      <c r="E1733" s="27"/>
      <c r="F1733" s="27" t="s">
        <v>126</v>
      </c>
      <c r="G1733" s="27"/>
      <c r="H1733" s="27"/>
      <c r="I1733" s="27"/>
      <c r="J1733" s="27" t="s">
        <v>177</v>
      </c>
      <c r="K1733" s="10">
        <v>0</v>
      </c>
      <c r="L1733" s="36" t="s">
        <v>263</v>
      </c>
      <c r="M1733" s="37"/>
      <c r="N1733" s="37"/>
      <c r="O1733" s="27"/>
      <c r="P1733" s="27"/>
      <c r="Q1733" s="27"/>
      <c r="R1733" s="27"/>
      <c r="S1733" s="2" t="s">
        <v>1859</v>
      </c>
      <c r="T1733" s="29" t="s">
        <v>265</v>
      </c>
      <c r="U1733" s="27"/>
      <c r="V1733" s="27"/>
      <c r="W1733" s="27"/>
    </row>
    <row r="1734" spans="1:23" ht="24" customHeight="1">
      <c r="A1734" s="27" t="str">
        <f t="shared" ca="1" si="27"/>
        <v>EVT-2026-1732</v>
      </c>
      <c r="B1734" s="27">
        <v>2026</v>
      </c>
      <c r="C1734" s="27" t="s">
        <v>110</v>
      </c>
      <c r="D1734" s="27"/>
      <c r="E1734" s="27"/>
      <c r="F1734" s="27" t="s">
        <v>126</v>
      </c>
      <c r="G1734" s="27"/>
      <c r="H1734" s="27"/>
      <c r="I1734" s="27"/>
      <c r="J1734" s="27" t="s">
        <v>177</v>
      </c>
      <c r="K1734" s="10">
        <v>0</v>
      </c>
      <c r="L1734" s="36" t="s">
        <v>263</v>
      </c>
      <c r="M1734" s="37"/>
      <c r="N1734" s="37"/>
      <c r="O1734" s="27"/>
      <c r="P1734" s="27"/>
      <c r="Q1734" s="27"/>
      <c r="R1734" s="27"/>
      <c r="S1734" s="2" t="s">
        <v>1859</v>
      </c>
      <c r="T1734" s="29" t="s">
        <v>265</v>
      </c>
      <c r="U1734" s="27"/>
      <c r="V1734" s="27"/>
      <c r="W1734" s="27"/>
    </row>
    <row r="1735" spans="1:23" ht="24" customHeight="1">
      <c r="A1735" s="27" t="str">
        <f t="shared" ca="1" si="27"/>
        <v>EVT-2026-1733</v>
      </c>
      <c r="B1735" s="27">
        <v>2026</v>
      </c>
      <c r="C1735" s="27" t="s">
        <v>110</v>
      </c>
      <c r="D1735" s="27"/>
      <c r="E1735" s="27"/>
      <c r="F1735" s="27" t="s">
        <v>126</v>
      </c>
      <c r="G1735" s="27"/>
      <c r="H1735" s="27"/>
      <c r="I1735" s="27"/>
      <c r="J1735" s="27" t="s">
        <v>177</v>
      </c>
      <c r="K1735" s="10">
        <v>0</v>
      </c>
      <c r="L1735" s="36" t="s">
        <v>263</v>
      </c>
      <c r="M1735" s="37"/>
      <c r="N1735" s="37"/>
      <c r="O1735" s="27"/>
      <c r="P1735" s="27"/>
      <c r="Q1735" s="27"/>
      <c r="R1735" s="27"/>
      <c r="S1735" s="2" t="s">
        <v>1859</v>
      </c>
      <c r="T1735" s="29" t="s">
        <v>265</v>
      </c>
      <c r="U1735" s="27"/>
      <c r="V1735" s="27"/>
      <c r="W1735" s="27"/>
    </row>
    <row r="1736" spans="1:23" ht="24" customHeight="1">
      <c r="A1736" s="27" t="str">
        <f t="shared" ca="1" si="27"/>
        <v>EVT-2026-1734</v>
      </c>
      <c r="B1736" s="27">
        <v>2026</v>
      </c>
      <c r="C1736" s="27" t="s">
        <v>110</v>
      </c>
      <c r="D1736" s="27"/>
      <c r="E1736" s="27"/>
      <c r="F1736" s="27" t="s">
        <v>126</v>
      </c>
      <c r="G1736" s="27"/>
      <c r="H1736" s="27"/>
      <c r="I1736" s="27"/>
      <c r="J1736" s="27" t="s">
        <v>177</v>
      </c>
      <c r="K1736" s="10">
        <v>0</v>
      </c>
      <c r="L1736" s="36" t="s">
        <v>263</v>
      </c>
      <c r="M1736" s="37"/>
      <c r="N1736" s="37"/>
      <c r="O1736" s="27"/>
      <c r="P1736" s="27"/>
      <c r="Q1736" s="27"/>
      <c r="R1736" s="27"/>
      <c r="S1736" s="2" t="s">
        <v>1859</v>
      </c>
      <c r="T1736" s="29" t="s">
        <v>265</v>
      </c>
      <c r="U1736" s="27"/>
      <c r="V1736" s="27"/>
      <c r="W1736" s="27"/>
    </row>
    <row r="1737" spans="1:23" ht="24" customHeight="1">
      <c r="A1737" s="27" t="str">
        <f t="shared" ca="1" si="27"/>
        <v>EVT-2026-1735</v>
      </c>
      <c r="B1737" s="27">
        <v>2026</v>
      </c>
      <c r="C1737" s="27" t="s">
        <v>110</v>
      </c>
      <c r="D1737" s="27"/>
      <c r="E1737" s="27"/>
      <c r="F1737" s="27" t="s">
        <v>126</v>
      </c>
      <c r="G1737" s="27"/>
      <c r="H1737" s="27"/>
      <c r="I1737" s="27"/>
      <c r="J1737" s="27" t="s">
        <v>177</v>
      </c>
      <c r="K1737" s="10">
        <v>0</v>
      </c>
      <c r="L1737" s="36" t="s">
        <v>263</v>
      </c>
      <c r="M1737" s="37"/>
      <c r="N1737" s="37"/>
      <c r="O1737" s="27"/>
      <c r="P1737" s="27"/>
      <c r="Q1737" s="27"/>
      <c r="R1737" s="27"/>
      <c r="S1737" s="2" t="s">
        <v>1859</v>
      </c>
      <c r="T1737" s="29" t="s">
        <v>265</v>
      </c>
      <c r="U1737" s="27"/>
      <c r="V1737" s="27"/>
      <c r="W1737" s="27"/>
    </row>
    <row r="1738" spans="1:23" ht="24" customHeight="1">
      <c r="A1738" s="27" t="str">
        <f t="shared" ca="1" si="27"/>
        <v>EVT-2026-1736</v>
      </c>
      <c r="B1738" s="27">
        <v>2026</v>
      </c>
      <c r="C1738" s="27" t="s">
        <v>110</v>
      </c>
      <c r="D1738" s="27"/>
      <c r="E1738" s="27"/>
      <c r="F1738" s="27" t="s">
        <v>126</v>
      </c>
      <c r="G1738" s="27"/>
      <c r="H1738" s="27"/>
      <c r="I1738" s="27"/>
      <c r="J1738" s="27" t="s">
        <v>177</v>
      </c>
      <c r="K1738" s="10">
        <v>0</v>
      </c>
      <c r="L1738" s="36" t="s">
        <v>263</v>
      </c>
      <c r="M1738" s="37"/>
      <c r="N1738" s="37"/>
      <c r="O1738" s="27"/>
      <c r="P1738" s="27"/>
      <c r="Q1738" s="27"/>
      <c r="R1738" s="27"/>
      <c r="S1738" s="2" t="s">
        <v>1859</v>
      </c>
      <c r="T1738" s="29" t="s">
        <v>265</v>
      </c>
      <c r="U1738" s="27"/>
      <c r="V1738" s="27"/>
      <c r="W1738" s="27"/>
    </row>
    <row r="1739" spans="1:23" ht="24" customHeight="1">
      <c r="A1739" s="27" t="str">
        <f t="shared" ca="1" si="27"/>
        <v>EVT-2026-1737</v>
      </c>
      <c r="B1739" s="27">
        <v>2026</v>
      </c>
      <c r="C1739" s="27" t="s">
        <v>110</v>
      </c>
      <c r="D1739" s="27"/>
      <c r="E1739" s="27"/>
      <c r="F1739" s="27" t="s">
        <v>126</v>
      </c>
      <c r="G1739" s="27"/>
      <c r="H1739" s="27"/>
      <c r="I1739" s="27"/>
      <c r="J1739" s="27" t="s">
        <v>177</v>
      </c>
      <c r="K1739" s="10">
        <v>0</v>
      </c>
      <c r="L1739" s="36" t="s">
        <v>263</v>
      </c>
      <c r="M1739" s="37"/>
      <c r="N1739" s="37"/>
      <c r="O1739" s="27"/>
      <c r="P1739" s="27"/>
      <c r="Q1739" s="27"/>
      <c r="R1739" s="27"/>
      <c r="S1739" s="2" t="s">
        <v>1859</v>
      </c>
      <c r="T1739" s="29" t="s">
        <v>265</v>
      </c>
      <c r="U1739" s="27"/>
      <c r="V1739" s="27"/>
      <c r="W1739" s="27"/>
    </row>
    <row r="1740" spans="1:23" ht="24" customHeight="1">
      <c r="A1740" s="27" t="str">
        <f t="shared" ca="1" si="27"/>
        <v>EVT-2026-1738</v>
      </c>
      <c r="B1740" s="27">
        <v>2026</v>
      </c>
      <c r="C1740" s="27" t="s">
        <v>110</v>
      </c>
      <c r="D1740" s="27"/>
      <c r="E1740" s="27"/>
      <c r="F1740" s="27" t="s">
        <v>126</v>
      </c>
      <c r="G1740" s="27"/>
      <c r="H1740" s="27"/>
      <c r="I1740" s="27"/>
      <c r="J1740" s="27" t="s">
        <v>177</v>
      </c>
      <c r="K1740" s="10">
        <v>0</v>
      </c>
      <c r="L1740" s="36" t="s">
        <v>263</v>
      </c>
      <c r="M1740" s="37"/>
      <c r="N1740" s="37"/>
      <c r="O1740" s="27"/>
      <c r="P1740" s="27"/>
      <c r="Q1740" s="27"/>
      <c r="R1740" s="27"/>
      <c r="S1740" s="2" t="s">
        <v>1859</v>
      </c>
      <c r="T1740" s="29" t="s">
        <v>265</v>
      </c>
      <c r="U1740" s="27"/>
      <c r="V1740" s="27"/>
      <c r="W1740" s="27"/>
    </row>
    <row r="1741" spans="1:23" ht="24" customHeight="1">
      <c r="A1741" s="27" t="str">
        <f t="shared" ca="1" si="27"/>
        <v>EVT-2026-1739</v>
      </c>
      <c r="B1741" s="27">
        <v>2026</v>
      </c>
      <c r="C1741" s="27" t="s">
        <v>110</v>
      </c>
      <c r="D1741" s="27"/>
      <c r="E1741" s="27"/>
      <c r="F1741" s="27" t="s">
        <v>126</v>
      </c>
      <c r="G1741" s="27"/>
      <c r="H1741" s="27"/>
      <c r="I1741" s="27"/>
      <c r="J1741" s="27" t="s">
        <v>177</v>
      </c>
      <c r="K1741" s="10">
        <v>0</v>
      </c>
      <c r="L1741" s="36" t="s">
        <v>263</v>
      </c>
      <c r="M1741" s="37"/>
      <c r="N1741" s="37"/>
      <c r="O1741" s="27"/>
      <c r="P1741" s="27"/>
      <c r="Q1741" s="27"/>
      <c r="R1741" s="27"/>
      <c r="S1741" s="2" t="s">
        <v>1859</v>
      </c>
      <c r="T1741" s="29" t="s">
        <v>265</v>
      </c>
      <c r="U1741" s="27"/>
      <c r="V1741" s="27"/>
      <c r="W1741" s="27"/>
    </row>
    <row r="1742" spans="1:23" ht="24" customHeight="1">
      <c r="A1742" s="27" t="str">
        <f t="shared" ca="1" si="27"/>
        <v>EVT-2026-1740</v>
      </c>
      <c r="B1742" s="27">
        <v>2026</v>
      </c>
      <c r="C1742" s="27" t="s">
        <v>110</v>
      </c>
      <c r="D1742" s="27"/>
      <c r="E1742" s="27"/>
      <c r="F1742" s="27" t="s">
        <v>126</v>
      </c>
      <c r="G1742" s="27"/>
      <c r="H1742" s="27"/>
      <c r="I1742" s="27"/>
      <c r="J1742" s="27" t="s">
        <v>177</v>
      </c>
      <c r="K1742" s="10">
        <v>0</v>
      </c>
      <c r="L1742" s="36" t="s">
        <v>263</v>
      </c>
      <c r="M1742" s="37"/>
      <c r="N1742" s="37"/>
      <c r="O1742" s="27"/>
      <c r="P1742" s="27"/>
      <c r="Q1742" s="27"/>
      <c r="R1742" s="27"/>
      <c r="S1742" s="2" t="s">
        <v>1859</v>
      </c>
      <c r="T1742" s="29" t="s">
        <v>265</v>
      </c>
      <c r="U1742" s="27"/>
      <c r="V1742" s="27"/>
      <c r="W1742" s="27"/>
    </row>
    <row r="1743" spans="1:23" ht="24" customHeight="1">
      <c r="A1743" s="27" t="str">
        <f t="shared" ca="1" si="27"/>
        <v>EVT-2026-1741</v>
      </c>
      <c r="B1743" s="27">
        <v>2026</v>
      </c>
      <c r="C1743" s="27" t="s">
        <v>110</v>
      </c>
      <c r="D1743" s="27"/>
      <c r="E1743" s="27"/>
      <c r="F1743" s="27" t="s">
        <v>126</v>
      </c>
      <c r="G1743" s="27"/>
      <c r="H1743" s="27"/>
      <c r="I1743" s="27"/>
      <c r="J1743" s="27" t="s">
        <v>177</v>
      </c>
      <c r="K1743" s="10">
        <v>0</v>
      </c>
      <c r="L1743" s="36" t="s">
        <v>263</v>
      </c>
      <c r="M1743" s="37"/>
      <c r="N1743" s="37"/>
      <c r="O1743" s="27"/>
      <c r="P1743" s="27"/>
      <c r="Q1743" s="27"/>
      <c r="R1743" s="27"/>
      <c r="S1743" s="2" t="s">
        <v>1859</v>
      </c>
      <c r="T1743" s="29" t="s">
        <v>265</v>
      </c>
      <c r="U1743" s="27"/>
      <c r="V1743" s="27"/>
      <c r="W1743" s="27"/>
    </row>
    <row r="1744" spans="1:23" ht="24" customHeight="1">
      <c r="A1744" s="27" t="str">
        <f t="shared" ca="1" si="27"/>
        <v>EVT-2026-1742</v>
      </c>
      <c r="B1744" s="27">
        <v>2026</v>
      </c>
      <c r="C1744" s="27" t="s">
        <v>110</v>
      </c>
      <c r="D1744" s="27"/>
      <c r="E1744" s="27"/>
      <c r="F1744" s="27" t="s">
        <v>126</v>
      </c>
      <c r="G1744" s="27"/>
      <c r="H1744" s="27"/>
      <c r="I1744" s="27"/>
      <c r="J1744" s="27" t="s">
        <v>177</v>
      </c>
      <c r="K1744" s="10">
        <v>0</v>
      </c>
      <c r="L1744" s="36" t="s">
        <v>263</v>
      </c>
      <c r="M1744" s="37"/>
      <c r="N1744" s="37"/>
      <c r="O1744" s="27"/>
      <c r="P1744" s="27"/>
      <c r="Q1744" s="27"/>
      <c r="R1744" s="27"/>
      <c r="S1744" s="2" t="s">
        <v>1859</v>
      </c>
      <c r="T1744" s="29" t="s">
        <v>265</v>
      </c>
      <c r="U1744" s="27"/>
      <c r="V1744" s="27"/>
      <c r="W1744" s="27"/>
    </row>
    <row r="1745" spans="1:23" ht="24" customHeight="1">
      <c r="A1745" s="27" t="str">
        <f t="shared" ca="1" si="27"/>
        <v>EVT-2026-1743</v>
      </c>
      <c r="B1745" s="27">
        <v>2026</v>
      </c>
      <c r="C1745" s="27" t="s">
        <v>110</v>
      </c>
      <c r="D1745" s="27"/>
      <c r="E1745" s="27"/>
      <c r="F1745" s="27" t="s">
        <v>126</v>
      </c>
      <c r="G1745" s="27"/>
      <c r="H1745" s="27"/>
      <c r="I1745" s="27"/>
      <c r="J1745" s="27" t="s">
        <v>177</v>
      </c>
      <c r="K1745" s="10">
        <v>0</v>
      </c>
      <c r="L1745" s="36" t="s">
        <v>263</v>
      </c>
      <c r="M1745" s="37"/>
      <c r="N1745" s="37"/>
      <c r="O1745" s="27"/>
      <c r="P1745" s="27"/>
      <c r="Q1745" s="27"/>
      <c r="R1745" s="27"/>
      <c r="S1745" s="2" t="s">
        <v>1859</v>
      </c>
      <c r="T1745" s="29" t="s">
        <v>265</v>
      </c>
      <c r="U1745" s="27"/>
      <c r="V1745" s="27"/>
      <c r="W1745" s="27"/>
    </row>
    <row r="1746" spans="1:23" ht="24" customHeight="1">
      <c r="A1746" s="27" t="str">
        <f t="shared" ca="1" si="27"/>
        <v>EVT-2027-1744</v>
      </c>
      <c r="B1746" s="27">
        <v>2027</v>
      </c>
      <c r="C1746" s="27" t="s">
        <v>85</v>
      </c>
      <c r="D1746" s="30">
        <v>46388</v>
      </c>
      <c r="E1746" s="27" t="s">
        <v>220</v>
      </c>
      <c r="F1746" s="27" t="s">
        <v>126</v>
      </c>
      <c r="G1746" s="27"/>
      <c r="H1746" s="27"/>
      <c r="I1746" s="27"/>
      <c r="J1746" s="27" t="s">
        <v>177</v>
      </c>
      <c r="K1746" s="10">
        <v>0</v>
      </c>
      <c r="L1746" s="36" t="s">
        <v>263</v>
      </c>
      <c r="M1746" s="37"/>
      <c r="N1746" s="37"/>
      <c r="O1746" s="27"/>
      <c r="P1746" s="27"/>
      <c r="Q1746" s="27"/>
      <c r="R1746" s="27"/>
      <c r="S1746" s="2" t="s">
        <v>1859</v>
      </c>
      <c r="T1746" s="29" t="s">
        <v>265</v>
      </c>
      <c r="U1746" s="27"/>
      <c r="V1746" s="27"/>
      <c r="W1746" s="27"/>
    </row>
    <row r="1747" spans="1:23" ht="24" customHeight="1">
      <c r="A1747" s="27" t="str">
        <f t="shared" ca="1" si="27"/>
        <v>EVT-2027-1745</v>
      </c>
      <c r="B1747" s="27">
        <v>2027</v>
      </c>
      <c r="C1747" s="27" t="s">
        <v>85</v>
      </c>
      <c r="D1747" s="30">
        <v>46389</v>
      </c>
      <c r="E1747" s="27" t="s">
        <v>266</v>
      </c>
      <c r="F1747" s="27" t="s">
        <v>126</v>
      </c>
      <c r="G1747" s="27"/>
      <c r="H1747" s="27"/>
      <c r="I1747" s="27"/>
      <c r="J1747" s="27" t="s">
        <v>177</v>
      </c>
      <c r="K1747" s="10">
        <v>0</v>
      </c>
      <c r="L1747" s="36" t="s">
        <v>263</v>
      </c>
      <c r="M1747" s="37"/>
      <c r="N1747" s="37"/>
      <c r="O1747" s="27"/>
      <c r="P1747" s="27"/>
      <c r="Q1747" s="27"/>
      <c r="R1747" s="27"/>
      <c r="S1747" s="2" t="s">
        <v>1859</v>
      </c>
      <c r="T1747" s="29" t="s">
        <v>265</v>
      </c>
      <c r="U1747" s="27"/>
      <c r="V1747" s="27"/>
      <c r="W1747" s="27"/>
    </row>
    <row r="1748" spans="1:23" ht="24" customHeight="1">
      <c r="A1748" s="27" t="str">
        <f t="shared" ca="1" si="27"/>
        <v>EVT-2027-1746</v>
      </c>
      <c r="B1748" s="27">
        <v>2027</v>
      </c>
      <c r="C1748" s="27" t="s">
        <v>85</v>
      </c>
      <c r="D1748" s="30">
        <v>46390</v>
      </c>
      <c r="E1748" s="27" t="s">
        <v>267</v>
      </c>
      <c r="F1748" s="27" t="s">
        <v>126</v>
      </c>
      <c r="G1748" s="27"/>
      <c r="H1748" s="27"/>
      <c r="I1748" s="27"/>
      <c r="J1748" s="27" t="s">
        <v>177</v>
      </c>
      <c r="K1748" s="10">
        <v>0</v>
      </c>
      <c r="L1748" s="36" t="s">
        <v>263</v>
      </c>
      <c r="M1748" s="37"/>
      <c r="N1748" s="37"/>
      <c r="O1748" s="27"/>
      <c r="P1748" s="27"/>
      <c r="Q1748" s="27"/>
      <c r="R1748" s="27"/>
      <c r="S1748" s="2" t="s">
        <v>1859</v>
      </c>
      <c r="T1748" s="29" t="s">
        <v>265</v>
      </c>
      <c r="U1748" s="27"/>
      <c r="V1748" s="27"/>
      <c r="W1748" s="27"/>
    </row>
    <row r="1749" spans="1:23" ht="24" customHeight="1">
      <c r="A1749" s="27" t="str">
        <f t="shared" ca="1" si="27"/>
        <v>EVT-2027-1747</v>
      </c>
      <c r="B1749" s="27">
        <v>2027</v>
      </c>
      <c r="C1749" s="27" t="s">
        <v>85</v>
      </c>
      <c r="D1749" s="30">
        <v>46391</v>
      </c>
      <c r="E1749" s="27" t="s">
        <v>224</v>
      </c>
      <c r="F1749" s="27" t="s">
        <v>126</v>
      </c>
      <c r="G1749" s="27"/>
      <c r="H1749" s="27"/>
      <c r="I1749" s="27"/>
      <c r="J1749" s="27" t="s">
        <v>177</v>
      </c>
      <c r="K1749" s="10">
        <v>0</v>
      </c>
      <c r="L1749" s="36" t="s">
        <v>263</v>
      </c>
      <c r="M1749" s="37"/>
      <c r="N1749" s="37"/>
      <c r="O1749" s="27"/>
      <c r="P1749" s="27"/>
      <c r="Q1749" s="27"/>
      <c r="R1749" s="27"/>
      <c r="S1749" s="2" t="s">
        <v>1859</v>
      </c>
      <c r="T1749" s="29" t="s">
        <v>265</v>
      </c>
      <c r="U1749" s="27"/>
      <c r="V1749" s="27"/>
      <c r="W1749" s="27"/>
    </row>
    <row r="1750" spans="1:23" ht="24" customHeight="1">
      <c r="A1750" s="27" t="str">
        <f t="shared" ca="1" si="27"/>
        <v>EVT-2027-1748</v>
      </c>
      <c r="B1750" s="27">
        <v>2027</v>
      </c>
      <c r="C1750" s="27" t="s">
        <v>85</v>
      </c>
      <c r="D1750" s="30">
        <v>46392</v>
      </c>
      <c r="E1750" s="27" t="s">
        <v>227</v>
      </c>
      <c r="F1750" s="27" t="s">
        <v>126</v>
      </c>
      <c r="G1750" s="27"/>
      <c r="H1750" s="27"/>
      <c r="I1750" s="27"/>
      <c r="J1750" s="27" t="s">
        <v>177</v>
      </c>
      <c r="K1750" s="10">
        <v>0</v>
      </c>
      <c r="L1750" s="36" t="s">
        <v>263</v>
      </c>
      <c r="M1750" s="37"/>
      <c r="N1750" s="37"/>
      <c r="O1750" s="27"/>
      <c r="P1750" s="27"/>
      <c r="Q1750" s="27"/>
      <c r="R1750" s="27"/>
      <c r="S1750" s="2" t="s">
        <v>1859</v>
      </c>
      <c r="T1750" s="29" t="s">
        <v>265</v>
      </c>
      <c r="U1750" s="27"/>
      <c r="V1750" s="27"/>
      <c r="W1750" s="27"/>
    </row>
    <row r="1751" spans="1:23" ht="24" customHeight="1">
      <c r="A1751" s="27" t="str">
        <f t="shared" ca="1" si="27"/>
        <v>EVT-2027-1749</v>
      </c>
      <c r="B1751" s="27">
        <v>2027</v>
      </c>
      <c r="C1751" s="27" t="s">
        <v>85</v>
      </c>
      <c r="D1751" s="30">
        <v>46393</v>
      </c>
      <c r="E1751" s="27" t="s">
        <v>201</v>
      </c>
      <c r="F1751" s="27" t="s">
        <v>126</v>
      </c>
      <c r="G1751" s="27"/>
      <c r="H1751" s="27"/>
      <c r="I1751" s="27"/>
      <c r="J1751" s="27" t="s">
        <v>177</v>
      </c>
      <c r="K1751" s="10">
        <v>0</v>
      </c>
      <c r="L1751" s="36" t="s">
        <v>263</v>
      </c>
      <c r="M1751" s="37"/>
      <c r="N1751" s="37"/>
      <c r="O1751" s="27"/>
      <c r="P1751" s="27"/>
      <c r="Q1751" s="27"/>
      <c r="R1751" s="27"/>
      <c r="S1751" s="2" t="s">
        <v>1859</v>
      </c>
      <c r="T1751" s="29" t="s">
        <v>265</v>
      </c>
      <c r="U1751" s="27"/>
      <c r="V1751" s="27"/>
      <c r="W1751" s="27"/>
    </row>
    <row r="1752" spans="1:23" ht="24" customHeight="1">
      <c r="A1752" s="27" t="str">
        <f t="shared" ca="1" si="27"/>
        <v>EVT-2027-1750</v>
      </c>
      <c r="B1752" s="27">
        <v>2027</v>
      </c>
      <c r="C1752" s="27" t="s">
        <v>85</v>
      </c>
      <c r="D1752" s="30">
        <v>46394</v>
      </c>
      <c r="E1752" s="27" t="s">
        <v>216</v>
      </c>
      <c r="F1752" s="27" t="s">
        <v>126</v>
      </c>
      <c r="G1752" s="27"/>
      <c r="H1752" s="27"/>
      <c r="I1752" s="27"/>
      <c r="J1752" s="27" t="s">
        <v>177</v>
      </c>
      <c r="K1752" s="10">
        <v>0</v>
      </c>
      <c r="L1752" s="36" t="s">
        <v>263</v>
      </c>
      <c r="M1752" s="37"/>
      <c r="N1752" s="37"/>
      <c r="O1752" s="27"/>
      <c r="P1752" s="27"/>
      <c r="Q1752" s="27"/>
      <c r="R1752" s="27"/>
      <c r="S1752" s="2" t="s">
        <v>1859</v>
      </c>
      <c r="T1752" s="29" t="s">
        <v>265</v>
      </c>
      <c r="U1752" s="27"/>
      <c r="V1752" s="27"/>
      <c r="W1752" s="27"/>
    </row>
    <row r="1753" spans="1:23" ht="24" customHeight="1">
      <c r="A1753" s="27" t="str">
        <f t="shared" ca="1" si="27"/>
        <v>EVT-2027-1751</v>
      </c>
      <c r="B1753" s="27">
        <v>2027</v>
      </c>
      <c r="C1753" s="27" t="s">
        <v>85</v>
      </c>
      <c r="D1753" s="30">
        <v>46395</v>
      </c>
      <c r="E1753" s="27" t="s">
        <v>220</v>
      </c>
      <c r="F1753" s="27" t="s">
        <v>126</v>
      </c>
      <c r="G1753" s="27"/>
      <c r="H1753" s="27"/>
      <c r="I1753" s="27"/>
      <c r="J1753" s="27" t="s">
        <v>177</v>
      </c>
      <c r="K1753" s="10">
        <v>0</v>
      </c>
      <c r="L1753" s="36" t="s">
        <v>263</v>
      </c>
      <c r="M1753" s="37"/>
      <c r="N1753" s="37"/>
      <c r="O1753" s="27"/>
      <c r="P1753" s="27"/>
      <c r="Q1753" s="27"/>
      <c r="R1753" s="27"/>
      <c r="S1753" s="2" t="s">
        <v>1859</v>
      </c>
      <c r="T1753" s="29" t="s">
        <v>265</v>
      </c>
      <c r="U1753" s="27"/>
      <c r="V1753" s="27"/>
      <c r="W1753" s="27"/>
    </row>
    <row r="1754" spans="1:23" ht="24" customHeight="1">
      <c r="A1754" s="27" t="str">
        <f t="shared" ca="1" si="27"/>
        <v>EVT-2027-1752</v>
      </c>
      <c r="B1754" s="27">
        <v>2027</v>
      </c>
      <c r="C1754" s="27" t="s">
        <v>85</v>
      </c>
      <c r="D1754" s="30">
        <v>46396</v>
      </c>
      <c r="E1754" s="27" t="s">
        <v>266</v>
      </c>
      <c r="F1754" s="27" t="s">
        <v>126</v>
      </c>
      <c r="G1754" s="27"/>
      <c r="H1754" s="27"/>
      <c r="I1754" s="27"/>
      <c r="J1754" s="27" t="s">
        <v>177</v>
      </c>
      <c r="K1754" s="10">
        <v>0</v>
      </c>
      <c r="L1754" s="36" t="s">
        <v>263</v>
      </c>
      <c r="M1754" s="37"/>
      <c r="N1754" s="37"/>
      <c r="O1754" s="27"/>
      <c r="P1754" s="27"/>
      <c r="Q1754" s="27"/>
      <c r="R1754" s="27"/>
      <c r="S1754" s="2" t="s">
        <v>1859</v>
      </c>
      <c r="T1754" s="29" t="s">
        <v>265</v>
      </c>
      <c r="U1754" s="27"/>
      <c r="V1754" s="27"/>
      <c r="W1754" s="27"/>
    </row>
    <row r="1755" spans="1:23" ht="24" customHeight="1">
      <c r="A1755" s="27" t="str">
        <f t="shared" ca="1" si="27"/>
        <v>EVT-2027-1753</v>
      </c>
      <c r="B1755" s="27">
        <v>2027</v>
      </c>
      <c r="C1755" s="27" t="s">
        <v>85</v>
      </c>
      <c r="D1755" s="30">
        <v>46397</v>
      </c>
      <c r="E1755" s="27" t="s">
        <v>267</v>
      </c>
      <c r="F1755" s="27" t="s">
        <v>126</v>
      </c>
      <c r="G1755" s="27"/>
      <c r="H1755" s="27"/>
      <c r="I1755" s="27"/>
      <c r="J1755" s="27" t="s">
        <v>177</v>
      </c>
      <c r="K1755" s="10">
        <v>0</v>
      </c>
      <c r="L1755" s="36" t="s">
        <v>263</v>
      </c>
      <c r="M1755" s="37"/>
      <c r="N1755" s="37"/>
      <c r="O1755" s="27"/>
      <c r="P1755" s="27"/>
      <c r="Q1755" s="27"/>
      <c r="R1755" s="27"/>
      <c r="S1755" s="2" t="s">
        <v>1859</v>
      </c>
      <c r="T1755" s="29" t="s">
        <v>265</v>
      </c>
      <c r="U1755" s="27"/>
      <c r="V1755" s="27"/>
      <c r="W1755" s="27"/>
    </row>
    <row r="1756" spans="1:23" ht="24" customHeight="1">
      <c r="A1756" s="27" t="str">
        <f t="shared" ca="1" si="27"/>
        <v>EVT-2027-1754</v>
      </c>
      <c r="B1756" s="27">
        <v>2027</v>
      </c>
      <c r="C1756" s="27" t="s">
        <v>85</v>
      </c>
      <c r="D1756" s="30">
        <v>46398</v>
      </c>
      <c r="E1756" s="27" t="s">
        <v>224</v>
      </c>
      <c r="F1756" s="27" t="s">
        <v>126</v>
      </c>
      <c r="G1756" s="27"/>
      <c r="H1756" s="27"/>
      <c r="I1756" s="27"/>
      <c r="J1756" s="27" t="s">
        <v>177</v>
      </c>
      <c r="K1756" s="10">
        <v>0</v>
      </c>
      <c r="L1756" s="36" t="s">
        <v>263</v>
      </c>
      <c r="M1756" s="37"/>
      <c r="N1756" s="37"/>
      <c r="O1756" s="27"/>
      <c r="P1756" s="27"/>
      <c r="Q1756" s="27"/>
      <c r="R1756" s="27"/>
      <c r="S1756" s="2" t="s">
        <v>1859</v>
      </c>
      <c r="T1756" s="29" t="s">
        <v>265</v>
      </c>
      <c r="U1756" s="27"/>
      <c r="V1756" s="27"/>
      <c r="W1756" s="27"/>
    </row>
    <row r="1757" spans="1:23" ht="24" customHeight="1">
      <c r="A1757" s="27" t="str">
        <f t="shared" ca="1" si="27"/>
        <v>EVT-2027-1755</v>
      </c>
      <c r="B1757" s="27">
        <v>2027</v>
      </c>
      <c r="C1757" s="27" t="s">
        <v>85</v>
      </c>
      <c r="D1757" s="30">
        <v>46399</v>
      </c>
      <c r="E1757" s="27" t="s">
        <v>227</v>
      </c>
      <c r="F1757" s="27" t="s">
        <v>126</v>
      </c>
      <c r="G1757" s="27"/>
      <c r="H1757" s="27"/>
      <c r="I1757" s="27"/>
      <c r="J1757" s="27" t="s">
        <v>177</v>
      </c>
      <c r="K1757" s="10">
        <v>0</v>
      </c>
      <c r="L1757" s="36" t="s">
        <v>263</v>
      </c>
      <c r="M1757" s="37"/>
      <c r="N1757" s="37"/>
      <c r="O1757" s="27"/>
      <c r="P1757" s="27"/>
      <c r="Q1757" s="27"/>
      <c r="R1757" s="27"/>
      <c r="S1757" s="2" t="s">
        <v>1859</v>
      </c>
      <c r="T1757" s="29" t="s">
        <v>265</v>
      </c>
      <c r="U1757" s="27"/>
      <c r="V1757" s="27"/>
      <c r="W1757" s="27"/>
    </row>
    <row r="1758" spans="1:23" ht="24" customHeight="1">
      <c r="A1758" s="27" t="str">
        <f t="shared" ca="1" si="27"/>
        <v>EVT-2027-1756</v>
      </c>
      <c r="B1758" s="27">
        <v>2027</v>
      </c>
      <c r="C1758" s="27" t="s">
        <v>85</v>
      </c>
      <c r="D1758" s="30">
        <v>46400</v>
      </c>
      <c r="E1758" s="27" t="s">
        <v>201</v>
      </c>
      <c r="F1758" s="27" t="s">
        <v>126</v>
      </c>
      <c r="G1758" s="27"/>
      <c r="H1758" s="27"/>
      <c r="I1758" s="27"/>
      <c r="J1758" s="27" t="s">
        <v>177</v>
      </c>
      <c r="K1758" s="10">
        <v>0</v>
      </c>
      <c r="L1758" s="36" t="s">
        <v>263</v>
      </c>
      <c r="M1758" s="37"/>
      <c r="N1758" s="37"/>
      <c r="O1758" s="27"/>
      <c r="P1758" s="27"/>
      <c r="Q1758" s="27"/>
      <c r="R1758" s="27"/>
      <c r="S1758" s="2" t="s">
        <v>1859</v>
      </c>
      <c r="T1758" s="29" t="s">
        <v>265</v>
      </c>
      <c r="U1758" s="27"/>
      <c r="V1758" s="27"/>
      <c r="W1758" s="27"/>
    </row>
    <row r="1759" spans="1:23" ht="24" customHeight="1">
      <c r="A1759" s="27" t="str">
        <f t="shared" ca="1" si="27"/>
        <v>EVT-2027-1757</v>
      </c>
      <c r="B1759" s="27">
        <v>2027</v>
      </c>
      <c r="C1759" s="27" t="s">
        <v>85</v>
      </c>
      <c r="D1759" s="30">
        <v>46401</v>
      </c>
      <c r="E1759" s="27" t="s">
        <v>216</v>
      </c>
      <c r="F1759" s="27" t="s">
        <v>126</v>
      </c>
      <c r="G1759" s="27"/>
      <c r="H1759" s="27"/>
      <c r="I1759" s="27"/>
      <c r="J1759" s="27" t="s">
        <v>177</v>
      </c>
      <c r="K1759" s="10">
        <v>0</v>
      </c>
      <c r="L1759" s="36" t="s">
        <v>263</v>
      </c>
      <c r="M1759" s="37"/>
      <c r="N1759" s="37"/>
      <c r="O1759" s="27"/>
      <c r="P1759" s="27"/>
      <c r="Q1759" s="27"/>
      <c r="R1759" s="27"/>
      <c r="S1759" s="2" t="s">
        <v>1859</v>
      </c>
      <c r="T1759" s="29" t="s">
        <v>265</v>
      </c>
      <c r="U1759" s="27"/>
      <c r="V1759" s="27"/>
      <c r="W1759" s="27"/>
    </row>
    <row r="1760" spans="1:23" ht="24" customHeight="1">
      <c r="A1760" s="27" t="str">
        <f t="shared" ca="1" si="27"/>
        <v>EVT-2027-1758</v>
      </c>
      <c r="B1760" s="27">
        <v>2027</v>
      </c>
      <c r="C1760" s="27" t="s">
        <v>85</v>
      </c>
      <c r="D1760" s="30">
        <v>46402</v>
      </c>
      <c r="E1760" s="27" t="s">
        <v>220</v>
      </c>
      <c r="F1760" s="27" t="s">
        <v>126</v>
      </c>
      <c r="G1760" s="27"/>
      <c r="H1760" s="27"/>
      <c r="I1760" s="27"/>
      <c r="J1760" s="27" t="s">
        <v>177</v>
      </c>
      <c r="K1760" s="10">
        <v>0</v>
      </c>
      <c r="L1760" s="36" t="s">
        <v>263</v>
      </c>
      <c r="M1760" s="37"/>
      <c r="N1760" s="37"/>
      <c r="O1760" s="27"/>
      <c r="P1760" s="27"/>
      <c r="Q1760" s="27"/>
      <c r="R1760" s="27"/>
      <c r="S1760" s="2" t="s">
        <v>1859</v>
      </c>
      <c r="T1760" s="29" t="s">
        <v>265</v>
      </c>
      <c r="U1760" s="27"/>
      <c r="V1760" s="27"/>
      <c r="W1760" s="27"/>
    </row>
    <row r="1761" spans="1:23" ht="24" customHeight="1">
      <c r="A1761" s="27" t="str">
        <f t="shared" ca="1" si="27"/>
        <v>EVT-2027-1759</v>
      </c>
      <c r="B1761" s="27">
        <v>2027</v>
      </c>
      <c r="C1761" s="27" t="s">
        <v>85</v>
      </c>
      <c r="D1761" s="30">
        <v>46403</v>
      </c>
      <c r="E1761" s="27" t="s">
        <v>266</v>
      </c>
      <c r="F1761" s="27" t="s">
        <v>126</v>
      </c>
      <c r="G1761" s="27"/>
      <c r="H1761" s="27"/>
      <c r="I1761" s="27"/>
      <c r="J1761" s="27" t="s">
        <v>177</v>
      </c>
      <c r="K1761" s="10">
        <v>0</v>
      </c>
      <c r="L1761" s="36" t="s">
        <v>263</v>
      </c>
      <c r="M1761" s="37"/>
      <c r="N1761" s="37"/>
      <c r="O1761" s="27"/>
      <c r="P1761" s="27"/>
      <c r="Q1761" s="27"/>
      <c r="R1761" s="27"/>
      <c r="S1761" s="2" t="s">
        <v>1859</v>
      </c>
      <c r="T1761" s="29" t="s">
        <v>265</v>
      </c>
      <c r="U1761" s="27"/>
      <c r="V1761" s="27"/>
      <c r="W1761" s="27"/>
    </row>
    <row r="1762" spans="1:23" ht="24" customHeight="1">
      <c r="A1762" s="27" t="str">
        <f t="shared" ca="1" si="27"/>
        <v>EVT-2027-1760</v>
      </c>
      <c r="B1762" s="27">
        <v>2027</v>
      </c>
      <c r="C1762" s="27" t="s">
        <v>85</v>
      </c>
      <c r="D1762" s="30">
        <v>46404</v>
      </c>
      <c r="E1762" s="27" t="s">
        <v>267</v>
      </c>
      <c r="F1762" s="27" t="s">
        <v>126</v>
      </c>
      <c r="G1762" s="27"/>
      <c r="H1762" s="27"/>
      <c r="I1762" s="27"/>
      <c r="J1762" s="27" t="s">
        <v>177</v>
      </c>
      <c r="K1762" s="10">
        <v>0</v>
      </c>
      <c r="L1762" s="36" t="s">
        <v>263</v>
      </c>
      <c r="M1762" s="37"/>
      <c r="N1762" s="37"/>
      <c r="O1762" s="27"/>
      <c r="P1762" s="27"/>
      <c r="Q1762" s="27"/>
      <c r="R1762" s="27"/>
      <c r="S1762" s="2" t="s">
        <v>1859</v>
      </c>
      <c r="T1762" s="29" t="s">
        <v>265</v>
      </c>
      <c r="U1762" s="27"/>
      <c r="V1762" s="27"/>
      <c r="W1762" s="27"/>
    </row>
    <row r="1763" spans="1:23" ht="24" customHeight="1">
      <c r="A1763" s="27" t="str">
        <f t="shared" ca="1" si="27"/>
        <v>EVT-2027-1761</v>
      </c>
      <c r="B1763" s="27">
        <v>2027</v>
      </c>
      <c r="C1763" s="27" t="s">
        <v>85</v>
      </c>
      <c r="D1763" s="30">
        <v>46405</v>
      </c>
      <c r="E1763" s="27" t="s">
        <v>224</v>
      </c>
      <c r="F1763" s="27" t="s">
        <v>126</v>
      </c>
      <c r="G1763" s="27"/>
      <c r="H1763" s="27"/>
      <c r="I1763" s="27"/>
      <c r="J1763" s="27" t="s">
        <v>177</v>
      </c>
      <c r="K1763" s="10">
        <v>0</v>
      </c>
      <c r="L1763" s="36" t="s">
        <v>263</v>
      </c>
      <c r="M1763" s="37"/>
      <c r="N1763" s="37"/>
      <c r="O1763" s="27"/>
      <c r="P1763" s="27"/>
      <c r="Q1763" s="27"/>
      <c r="R1763" s="27"/>
      <c r="S1763" s="2" t="s">
        <v>1859</v>
      </c>
      <c r="T1763" s="29" t="s">
        <v>265</v>
      </c>
      <c r="U1763" s="27"/>
      <c r="V1763" s="27"/>
      <c r="W1763" s="27"/>
    </row>
    <row r="1764" spans="1:23" ht="24" customHeight="1">
      <c r="A1764" s="27" t="str">
        <f t="shared" ca="1" si="27"/>
        <v>EVT-2027-1762</v>
      </c>
      <c r="B1764" s="27">
        <v>2027</v>
      </c>
      <c r="C1764" s="27" t="s">
        <v>85</v>
      </c>
      <c r="D1764" s="30">
        <v>46406</v>
      </c>
      <c r="E1764" s="27" t="s">
        <v>227</v>
      </c>
      <c r="F1764" s="27" t="s">
        <v>126</v>
      </c>
      <c r="G1764" s="27"/>
      <c r="H1764" s="27"/>
      <c r="I1764" s="27"/>
      <c r="J1764" s="27" t="s">
        <v>177</v>
      </c>
      <c r="K1764" s="10">
        <v>0</v>
      </c>
      <c r="L1764" s="36" t="s">
        <v>263</v>
      </c>
      <c r="M1764" s="37"/>
      <c r="N1764" s="37"/>
      <c r="O1764" s="27"/>
      <c r="P1764" s="27"/>
      <c r="Q1764" s="27"/>
      <c r="R1764" s="27"/>
      <c r="S1764" s="2" t="s">
        <v>1859</v>
      </c>
      <c r="T1764" s="29" t="s">
        <v>265</v>
      </c>
      <c r="U1764" s="27"/>
      <c r="V1764" s="27"/>
      <c r="W1764" s="27"/>
    </row>
    <row r="1765" spans="1:23" ht="24" customHeight="1">
      <c r="A1765" s="27" t="str">
        <f t="shared" ca="1" si="27"/>
        <v>EVT-2027-1763</v>
      </c>
      <c r="B1765" s="27">
        <v>2027</v>
      </c>
      <c r="C1765" s="27" t="s">
        <v>85</v>
      </c>
      <c r="D1765" s="30">
        <v>46407</v>
      </c>
      <c r="E1765" s="27" t="s">
        <v>201</v>
      </c>
      <c r="F1765" s="27" t="s">
        <v>126</v>
      </c>
      <c r="G1765" s="27"/>
      <c r="H1765" s="27"/>
      <c r="I1765" s="27"/>
      <c r="J1765" s="27" t="s">
        <v>177</v>
      </c>
      <c r="K1765" s="10">
        <v>0</v>
      </c>
      <c r="L1765" s="36" t="s">
        <v>263</v>
      </c>
      <c r="M1765" s="37"/>
      <c r="N1765" s="37"/>
      <c r="O1765" s="27"/>
      <c r="P1765" s="27"/>
      <c r="Q1765" s="27"/>
      <c r="R1765" s="27"/>
      <c r="S1765" s="2" t="s">
        <v>1859</v>
      </c>
      <c r="T1765" s="29" t="s">
        <v>265</v>
      </c>
      <c r="U1765" s="27"/>
      <c r="V1765" s="27"/>
      <c r="W1765" s="27"/>
    </row>
    <row r="1766" spans="1:23" ht="24" customHeight="1">
      <c r="A1766" s="27" t="str">
        <f t="shared" ca="1" si="27"/>
        <v>EVT-2027-1764</v>
      </c>
      <c r="B1766" s="27">
        <v>2027</v>
      </c>
      <c r="C1766" s="27" t="s">
        <v>85</v>
      </c>
      <c r="D1766" s="30">
        <v>46408</v>
      </c>
      <c r="E1766" s="27" t="s">
        <v>216</v>
      </c>
      <c r="F1766" s="27" t="s">
        <v>126</v>
      </c>
      <c r="G1766" s="27"/>
      <c r="H1766" s="27"/>
      <c r="I1766" s="27"/>
      <c r="J1766" s="27" t="s">
        <v>177</v>
      </c>
      <c r="K1766" s="10">
        <v>0</v>
      </c>
      <c r="L1766" s="36" t="s">
        <v>263</v>
      </c>
      <c r="M1766" s="37"/>
      <c r="N1766" s="37"/>
      <c r="O1766" s="27"/>
      <c r="P1766" s="27"/>
      <c r="Q1766" s="27"/>
      <c r="R1766" s="27"/>
      <c r="S1766" s="2" t="s">
        <v>1859</v>
      </c>
      <c r="T1766" s="29" t="s">
        <v>265</v>
      </c>
      <c r="U1766" s="27"/>
      <c r="V1766" s="27"/>
      <c r="W1766" s="27"/>
    </row>
    <row r="1767" spans="1:23" ht="24" customHeight="1">
      <c r="A1767" s="27" t="str">
        <f t="shared" ca="1" si="27"/>
        <v>EVT-2027-1765</v>
      </c>
      <c r="B1767" s="27">
        <v>2027</v>
      </c>
      <c r="C1767" s="27" t="s">
        <v>85</v>
      </c>
      <c r="D1767" s="30">
        <v>46409</v>
      </c>
      <c r="E1767" s="27" t="s">
        <v>220</v>
      </c>
      <c r="F1767" s="27" t="s">
        <v>126</v>
      </c>
      <c r="G1767" s="27"/>
      <c r="H1767" s="27"/>
      <c r="I1767" s="27"/>
      <c r="J1767" s="27" t="s">
        <v>177</v>
      </c>
      <c r="K1767" s="10">
        <v>0</v>
      </c>
      <c r="L1767" s="36" t="s">
        <v>263</v>
      </c>
      <c r="M1767" s="37"/>
      <c r="N1767" s="37"/>
      <c r="O1767" s="27"/>
      <c r="P1767" s="27"/>
      <c r="Q1767" s="27"/>
      <c r="R1767" s="27"/>
      <c r="S1767" s="2" t="s">
        <v>1859</v>
      </c>
      <c r="T1767" s="29" t="s">
        <v>265</v>
      </c>
      <c r="U1767" s="27"/>
      <c r="V1767" s="27"/>
      <c r="W1767" s="27"/>
    </row>
    <row r="1768" spans="1:23" ht="24" customHeight="1">
      <c r="A1768" s="27" t="str">
        <f t="shared" ca="1" si="27"/>
        <v>EVT-2027-1766</v>
      </c>
      <c r="B1768" s="27">
        <v>2027</v>
      </c>
      <c r="C1768" s="27" t="s">
        <v>85</v>
      </c>
      <c r="D1768" s="30">
        <v>46410</v>
      </c>
      <c r="E1768" s="27" t="s">
        <v>266</v>
      </c>
      <c r="F1768" s="27" t="s">
        <v>126</v>
      </c>
      <c r="G1768" s="27"/>
      <c r="H1768" s="27"/>
      <c r="I1768" s="27"/>
      <c r="J1768" s="27" t="s">
        <v>177</v>
      </c>
      <c r="K1768" s="10">
        <v>0</v>
      </c>
      <c r="L1768" s="36" t="s">
        <v>263</v>
      </c>
      <c r="M1768" s="37"/>
      <c r="N1768" s="37"/>
      <c r="O1768" s="27"/>
      <c r="P1768" s="27"/>
      <c r="Q1768" s="27"/>
      <c r="R1768" s="27"/>
      <c r="S1768" s="2" t="s">
        <v>1859</v>
      </c>
      <c r="T1768" s="29" t="s">
        <v>265</v>
      </c>
      <c r="U1768" s="27"/>
      <c r="V1768" s="27"/>
      <c r="W1768" s="27"/>
    </row>
    <row r="1769" spans="1:23" ht="24" customHeight="1">
      <c r="A1769" s="27" t="str">
        <f t="shared" ca="1" si="27"/>
        <v>EVT-2027-1767</v>
      </c>
      <c r="B1769" s="27">
        <v>2027</v>
      </c>
      <c r="C1769" s="27" t="s">
        <v>85</v>
      </c>
      <c r="D1769" s="30">
        <v>46411</v>
      </c>
      <c r="E1769" s="27" t="s">
        <v>267</v>
      </c>
      <c r="F1769" s="27" t="s">
        <v>126</v>
      </c>
      <c r="G1769" s="27"/>
      <c r="H1769" s="27"/>
      <c r="I1769" s="27"/>
      <c r="J1769" s="27" t="s">
        <v>177</v>
      </c>
      <c r="K1769" s="10">
        <v>0</v>
      </c>
      <c r="L1769" s="36" t="s">
        <v>263</v>
      </c>
      <c r="M1769" s="37"/>
      <c r="N1769" s="37"/>
      <c r="O1769" s="27"/>
      <c r="P1769" s="27"/>
      <c r="Q1769" s="27"/>
      <c r="R1769" s="27"/>
      <c r="S1769" s="2" t="s">
        <v>1859</v>
      </c>
      <c r="T1769" s="29" t="s">
        <v>265</v>
      </c>
      <c r="U1769" s="27"/>
      <c r="V1769" s="27"/>
      <c r="W1769" s="27"/>
    </row>
    <row r="1770" spans="1:23" ht="24" customHeight="1">
      <c r="A1770" s="27" t="str">
        <f t="shared" ca="1" si="27"/>
        <v>EVT-2027-1768</v>
      </c>
      <c r="B1770" s="27">
        <v>2027</v>
      </c>
      <c r="C1770" s="27" t="s">
        <v>85</v>
      </c>
      <c r="D1770" s="30">
        <v>46413</v>
      </c>
      <c r="E1770" s="27" t="s">
        <v>227</v>
      </c>
      <c r="F1770" s="27" t="s">
        <v>126</v>
      </c>
      <c r="G1770" s="27"/>
      <c r="H1770" s="27"/>
      <c r="I1770" s="27"/>
      <c r="J1770" s="27" t="s">
        <v>177</v>
      </c>
      <c r="K1770" s="10">
        <v>0</v>
      </c>
      <c r="L1770" s="36" t="s">
        <v>263</v>
      </c>
      <c r="M1770" s="37"/>
      <c r="N1770" s="37"/>
      <c r="O1770" s="27"/>
      <c r="P1770" s="27"/>
      <c r="Q1770" s="27"/>
      <c r="R1770" s="27"/>
      <c r="S1770" s="2" t="s">
        <v>1859</v>
      </c>
      <c r="T1770" s="29" t="s">
        <v>265</v>
      </c>
      <c r="U1770" s="27"/>
      <c r="V1770" s="27"/>
      <c r="W1770" s="27"/>
    </row>
    <row r="1771" spans="1:23" ht="24" customHeight="1">
      <c r="A1771" s="27" t="str">
        <f t="shared" ca="1" si="27"/>
        <v>EVT-2027-1769</v>
      </c>
      <c r="B1771" s="27">
        <v>2027</v>
      </c>
      <c r="C1771" s="27" t="s">
        <v>85</v>
      </c>
      <c r="D1771" s="30">
        <v>46414</v>
      </c>
      <c r="E1771" s="27" t="s">
        <v>201</v>
      </c>
      <c r="F1771" s="27" t="s">
        <v>126</v>
      </c>
      <c r="G1771" s="27"/>
      <c r="H1771" s="27"/>
      <c r="I1771" s="27"/>
      <c r="J1771" s="27" t="s">
        <v>177</v>
      </c>
      <c r="K1771" s="10">
        <v>0</v>
      </c>
      <c r="L1771" s="36" t="s">
        <v>263</v>
      </c>
      <c r="M1771" s="37"/>
      <c r="N1771" s="37"/>
      <c r="O1771" s="27"/>
      <c r="P1771" s="27"/>
      <c r="Q1771" s="27"/>
      <c r="R1771" s="27"/>
      <c r="S1771" s="2" t="s">
        <v>1859</v>
      </c>
      <c r="T1771" s="29" t="s">
        <v>265</v>
      </c>
      <c r="U1771" s="27"/>
      <c r="V1771" s="27"/>
      <c r="W1771" s="27"/>
    </row>
    <row r="1772" spans="1:23" ht="24" customHeight="1">
      <c r="A1772" s="27" t="str">
        <f t="shared" ca="1" si="27"/>
        <v>EVT-2027-1770</v>
      </c>
      <c r="B1772" s="27">
        <v>2027</v>
      </c>
      <c r="C1772" s="27" t="s">
        <v>85</v>
      </c>
      <c r="D1772" s="30">
        <v>46415</v>
      </c>
      <c r="E1772" s="27" t="s">
        <v>216</v>
      </c>
      <c r="F1772" s="27" t="s">
        <v>126</v>
      </c>
      <c r="G1772" s="27"/>
      <c r="H1772" s="27"/>
      <c r="I1772" s="27"/>
      <c r="J1772" s="27" t="s">
        <v>177</v>
      </c>
      <c r="K1772" s="10">
        <v>0</v>
      </c>
      <c r="L1772" s="36" t="s">
        <v>263</v>
      </c>
      <c r="M1772" s="37"/>
      <c r="N1772" s="37"/>
      <c r="O1772" s="27"/>
      <c r="P1772" s="27"/>
      <c r="Q1772" s="27"/>
      <c r="R1772" s="27"/>
      <c r="S1772" s="2" t="s">
        <v>1859</v>
      </c>
      <c r="T1772" s="29" t="s">
        <v>265</v>
      </c>
      <c r="U1772" s="27"/>
      <c r="V1772" s="27"/>
      <c r="W1772" s="27"/>
    </row>
    <row r="1773" spans="1:23" ht="24" customHeight="1">
      <c r="A1773" s="27" t="str">
        <f t="shared" ca="1" si="27"/>
        <v>EVT-2027-1771</v>
      </c>
      <c r="B1773" s="27">
        <v>2027</v>
      </c>
      <c r="C1773" s="27" t="s">
        <v>85</v>
      </c>
      <c r="D1773" s="30">
        <v>46416</v>
      </c>
      <c r="E1773" s="27" t="s">
        <v>220</v>
      </c>
      <c r="F1773" s="27" t="s">
        <v>126</v>
      </c>
      <c r="G1773" s="27" t="s">
        <v>228</v>
      </c>
      <c r="H1773" s="27" t="s">
        <v>1512</v>
      </c>
      <c r="I1773" s="27" t="s">
        <v>1801</v>
      </c>
      <c r="J1773" s="27" t="s">
        <v>139</v>
      </c>
      <c r="K1773" s="10">
        <v>50</v>
      </c>
      <c r="L1773" s="36" t="s">
        <v>263</v>
      </c>
      <c r="M1773" s="37" t="s">
        <v>295</v>
      </c>
      <c r="N1773" s="37" t="s">
        <v>270</v>
      </c>
      <c r="O1773" s="27" t="s">
        <v>382</v>
      </c>
      <c r="P1773" s="27"/>
      <c r="Q1773" s="27" t="s">
        <v>916</v>
      </c>
      <c r="R1773" s="27"/>
      <c r="S1773" s="2" t="s">
        <v>1859</v>
      </c>
      <c r="T1773" s="29" t="s">
        <v>265</v>
      </c>
      <c r="U1773" s="27"/>
      <c r="V1773" s="27" t="s">
        <v>1803</v>
      </c>
      <c r="W1773" s="27" t="s">
        <v>1177</v>
      </c>
    </row>
    <row r="1774" spans="1:23" ht="24" customHeight="1">
      <c r="A1774" s="27" t="str">
        <f t="shared" ca="1" si="27"/>
        <v>EVT-2027-1772</v>
      </c>
      <c r="B1774" s="27">
        <v>2027</v>
      </c>
      <c r="C1774" s="27" t="s">
        <v>85</v>
      </c>
      <c r="D1774" s="30">
        <v>46417</v>
      </c>
      <c r="E1774" s="27" t="s">
        <v>266</v>
      </c>
      <c r="F1774" s="27" t="s">
        <v>126</v>
      </c>
      <c r="G1774" s="27"/>
      <c r="H1774" s="27"/>
      <c r="I1774" s="27"/>
      <c r="J1774" s="27" t="s">
        <v>177</v>
      </c>
      <c r="K1774" s="10">
        <v>0</v>
      </c>
      <c r="L1774" s="36" t="s">
        <v>263</v>
      </c>
      <c r="M1774" s="37"/>
      <c r="N1774" s="37"/>
      <c r="O1774" s="27"/>
      <c r="P1774" s="27"/>
      <c r="Q1774" s="27"/>
      <c r="R1774" s="27"/>
      <c r="S1774" s="2" t="s">
        <v>1859</v>
      </c>
      <c r="T1774" s="29" t="s">
        <v>265</v>
      </c>
      <c r="U1774" s="27"/>
      <c r="V1774" s="27"/>
      <c r="W1774" s="27"/>
    </row>
    <row r="1775" spans="1:23" ht="24" customHeight="1">
      <c r="A1775" s="27" t="str">
        <f t="shared" ca="1" si="27"/>
        <v>EVT-2027-1773</v>
      </c>
      <c r="B1775" s="27">
        <v>2027</v>
      </c>
      <c r="C1775" s="27" t="s">
        <v>85</v>
      </c>
      <c r="D1775" s="30">
        <v>46418</v>
      </c>
      <c r="E1775" s="27" t="s">
        <v>267</v>
      </c>
      <c r="F1775" s="27" t="s">
        <v>126</v>
      </c>
      <c r="G1775" s="27"/>
      <c r="H1775" s="27"/>
      <c r="I1775" s="27"/>
      <c r="J1775" s="27" t="s">
        <v>177</v>
      </c>
      <c r="K1775" s="10">
        <v>0</v>
      </c>
      <c r="L1775" s="36" t="s">
        <v>263</v>
      </c>
      <c r="M1775" s="37"/>
      <c r="N1775" s="37"/>
      <c r="O1775" s="27"/>
      <c r="P1775" s="27"/>
      <c r="Q1775" s="27"/>
      <c r="R1775" s="27"/>
      <c r="S1775" s="2" t="s">
        <v>1859</v>
      </c>
      <c r="T1775" s="29" t="s">
        <v>265</v>
      </c>
      <c r="U1775" s="27"/>
      <c r="V1775" s="27"/>
      <c r="W1775" s="27"/>
    </row>
    <row r="1776" spans="1:23" ht="24" customHeight="1">
      <c r="A1776" s="27" t="str">
        <f t="shared" ca="1" si="27"/>
        <v>EVT-2027-1774</v>
      </c>
      <c r="B1776" s="27">
        <v>2027</v>
      </c>
      <c r="C1776" s="27" t="s">
        <v>85</v>
      </c>
      <c r="D1776" s="27"/>
      <c r="E1776" s="27"/>
      <c r="F1776" s="27" t="s">
        <v>126</v>
      </c>
      <c r="G1776" s="27"/>
      <c r="H1776" s="27"/>
      <c r="I1776" s="27"/>
      <c r="J1776" s="27" t="s">
        <v>177</v>
      </c>
      <c r="K1776" s="10">
        <v>0</v>
      </c>
      <c r="L1776" s="36" t="s">
        <v>263</v>
      </c>
      <c r="M1776" s="37"/>
      <c r="N1776" s="37"/>
      <c r="O1776" s="27"/>
      <c r="P1776" s="27"/>
      <c r="Q1776" s="27"/>
      <c r="R1776" s="27"/>
      <c r="S1776" s="1" t="s">
        <v>264</v>
      </c>
      <c r="T1776" s="29" t="s">
        <v>265</v>
      </c>
      <c r="U1776" s="27"/>
      <c r="V1776" s="27"/>
      <c r="W1776" s="27"/>
    </row>
    <row r="1777" spans="1:23" ht="24" customHeight="1">
      <c r="A1777" s="27" t="str">
        <f t="shared" ca="1" si="27"/>
        <v>EVT-2027-1775</v>
      </c>
      <c r="B1777" s="27">
        <v>2027</v>
      </c>
      <c r="C1777" s="27" t="s">
        <v>85</v>
      </c>
      <c r="D1777" s="27"/>
      <c r="E1777" s="27"/>
      <c r="F1777" s="27" t="s">
        <v>126</v>
      </c>
      <c r="G1777" s="27"/>
      <c r="H1777" s="27"/>
      <c r="I1777" s="27"/>
      <c r="J1777" s="27" t="s">
        <v>177</v>
      </c>
      <c r="K1777" s="10">
        <v>0</v>
      </c>
      <c r="L1777" s="36" t="s">
        <v>263</v>
      </c>
      <c r="M1777" s="37"/>
      <c r="N1777" s="37"/>
      <c r="O1777" s="27"/>
      <c r="P1777" s="27"/>
      <c r="Q1777" s="27"/>
      <c r="R1777" s="27"/>
      <c r="S1777" s="1" t="s">
        <v>264</v>
      </c>
      <c r="T1777" s="29" t="s">
        <v>265</v>
      </c>
      <c r="U1777" s="27"/>
      <c r="V1777" s="27"/>
      <c r="W1777" s="27"/>
    </row>
    <row r="1778" spans="1:23" ht="24" customHeight="1">
      <c r="A1778" s="27" t="str">
        <f t="shared" ca="1" si="27"/>
        <v>EVT-2027-1776</v>
      </c>
      <c r="B1778" s="27">
        <v>2027</v>
      </c>
      <c r="C1778" s="27" t="s">
        <v>85</v>
      </c>
      <c r="D1778" s="27"/>
      <c r="E1778" s="27"/>
      <c r="F1778" s="27" t="s">
        <v>126</v>
      </c>
      <c r="G1778" s="27"/>
      <c r="H1778" s="27"/>
      <c r="I1778" s="27"/>
      <c r="J1778" s="27" t="s">
        <v>177</v>
      </c>
      <c r="K1778" s="10">
        <v>0</v>
      </c>
      <c r="L1778" s="36" t="s">
        <v>263</v>
      </c>
      <c r="M1778" s="37"/>
      <c r="N1778" s="37"/>
      <c r="O1778" s="27"/>
      <c r="P1778" s="27"/>
      <c r="Q1778" s="27"/>
      <c r="R1778" s="27"/>
      <c r="S1778" s="1" t="s">
        <v>264</v>
      </c>
      <c r="T1778" s="29" t="s">
        <v>265</v>
      </c>
      <c r="U1778" s="27"/>
      <c r="V1778" s="27"/>
      <c r="W1778" s="27"/>
    </row>
    <row r="1779" spans="1:23" ht="24" customHeight="1">
      <c r="A1779" s="27" t="str">
        <f t="shared" ca="1" si="27"/>
        <v>EVT-2027-1777</v>
      </c>
      <c r="B1779" s="27">
        <v>2027</v>
      </c>
      <c r="C1779" s="27" t="s">
        <v>85</v>
      </c>
      <c r="D1779" s="27"/>
      <c r="E1779" s="27"/>
      <c r="F1779" s="27" t="s">
        <v>126</v>
      </c>
      <c r="G1779" s="27"/>
      <c r="H1779" s="27"/>
      <c r="I1779" s="27"/>
      <c r="J1779" s="27" t="s">
        <v>177</v>
      </c>
      <c r="K1779" s="10">
        <v>0</v>
      </c>
      <c r="L1779" s="36" t="s">
        <v>263</v>
      </c>
      <c r="M1779" s="37"/>
      <c r="N1779" s="37"/>
      <c r="O1779" s="27"/>
      <c r="P1779" s="27"/>
      <c r="Q1779" s="27"/>
      <c r="R1779" s="27"/>
      <c r="S1779" s="1" t="s">
        <v>264</v>
      </c>
      <c r="T1779" s="29" t="s">
        <v>265</v>
      </c>
      <c r="U1779" s="27"/>
      <c r="V1779" s="27"/>
      <c r="W1779" s="27"/>
    </row>
    <row r="1780" spans="1:23" ht="24" customHeight="1">
      <c r="A1780" s="27" t="str">
        <f t="shared" ca="1" si="27"/>
        <v>EVT-2027-1778</v>
      </c>
      <c r="B1780" s="27">
        <v>2027</v>
      </c>
      <c r="C1780" s="27" t="s">
        <v>85</v>
      </c>
      <c r="D1780" s="27"/>
      <c r="E1780" s="27"/>
      <c r="F1780" s="27" t="s">
        <v>126</v>
      </c>
      <c r="G1780" s="27"/>
      <c r="H1780" s="27"/>
      <c r="I1780" s="27"/>
      <c r="J1780" s="27" t="s">
        <v>177</v>
      </c>
      <c r="K1780" s="10">
        <v>0</v>
      </c>
      <c r="L1780" s="36" t="s">
        <v>263</v>
      </c>
      <c r="M1780" s="37"/>
      <c r="N1780" s="37"/>
      <c r="O1780" s="27"/>
      <c r="P1780" s="27"/>
      <c r="Q1780" s="27"/>
      <c r="R1780" s="27"/>
      <c r="S1780" s="1" t="s">
        <v>264</v>
      </c>
      <c r="T1780" s="29" t="s">
        <v>265</v>
      </c>
      <c r="U1780" s="27"/>
      <c r="V1780" s="27"/>
      <c r="W1780" s="27"/>
    </row>
    <row r="1781" spans="1:23" ht="24" customHeight="1">
      <c r="A1781" s="27" t="str">
        <f t="shared" ca="1" si="27"/>
        <v>EVT-2027-1779</v>
      </c>
      <c r="B1781" s="27">
        <v>2027</v>
      </c>
      <c r="C1781" s="27" t="s">
        <v>85</v>
      </c>
      <c r="D1781" s="27"/>
      <c r="E1781" s="27"/>
      <c r="F1781" s="27" t="s">
        <v>126</v>
      </c>
      <c r="G1781" s="27"/>
      <c r="H1781" s="27"/>
      <c r="I1781" s="27"/>
      <c r="J1781" s="27" t="s">
        <v>177</v>
      </c>
      <c r="K1781" s="10">
        <v>0</v>
      </c>
      <c r="L1781" s="36" t="s">
        <v>263</v>
      </c>
      <c r="M1781" s="37"/>
      <c r="N1781" s="37"/>
      <c r="O1781" s="27"/>
      <c r="P1781" s="27"/>
      <c r="Q1781" s="27"/>
      <c r="R1781" s="27"/>
      <c r="S1781" s="1" t="s">
        <v>264</v>
      </c>
      <c r="T1781" s="29" t="s">
        <v>265</v>
      </c>
      <c r="U1781" s="27"/>
      <c r="V1781" s="27"/>
      <c r="W1781" s="27"/>
    </row>
    <row r="1782" spans="1:23" ht="24" customHeight="1">
      <c r="A1782" s="27" t="str">
        <f t="shared" ca="1" si="27"/>
        <v>EVT-2027-1780</v>
      </c>
      <c r="B1782" s="27">
        <v>2027</v>
      </c>
      <c r="C1782" s="27" t="s">
        <v>85</v>
      </c>
      <c r="D1782" s="27"/>
      <c r="E1782" s="27"/>
      <c r="F1782" s="27" t="s">
        <v>126</v>
      </c>
      <c r="G1782" s="27"/>
      <c r="H1782" s="27"/>
      <c r="I1782" s="27"/>
      <c r="J1782" s="27" t="s">
        <v>177</v>
      </c>
      <c r="K1782" s="10">
        <v>0</v>
      </c>
      <c r="L1782" s="36" t="s">
        <v>263</v>
      </c>
      <c r="M1782" s="37"/>
      <c r="N1782" s="37"/>
      <c r="O1782" s="27"/>
      <c r="P1782" s="27"/>
      <c r="Q1782" s="27"/>
      <c r="R1782" s="27"/>
      <c r="S1782" s="1" t="s">
        <v>264</v>
      </c>
      <c r="T1782" s="29" t="s">
        <v>265</v>
      </c>
      <c r="U1782" s="27"/>
      <c r="V1782" s="27"/>
      <c r="W1782" s="27"/>
    </row>
    <row r="1783" spans="1:23" ht="24" customHeight="1">
      <c r="A1783" s="27" t="str">
        <f t="shared" ca="1" si="27"/>
        <v>EVT-2027-1781</v>
      </c>
      <c r="B1783" s="27">
        <v>2027</v>
      </c>
      <c r="C1783" s="27" t="s">
        <v>85</v>
      </c>
      <c r="D1783" s="27"/>
      <c r="E1783" s="27"/>
      <c r="F1783" s="27" t="s">
        <v>126</v>
      </c>
      <c r="G1783" s="27"/>
      <c r="H1783" s="27"/>
      <c r="I1783" s="27"/>
      <c r="J1783" s="27" t="s">
        <v>177</v>
      </c>
      <c r="K1783" s="10">
        <v>0</v>
      </c>
      <c r="L1783" s="36" t="s">
        <v>263</v>
      </c>
      <c r="M1783" s="37"/>
      <c r="N1783" s="37"/>
      <c r="O1783" s="27"/>
      <c r="P1783" s="27"/>
      <c r="Q1783" s="27"/>
      <c r="R1783" s="27"/>
      <c r="S1783" s="1" t="s">
        <v>264</v>
      </c>
      <c r="T1783" s="29" t="s">
        <v>265</v>
      </c>
      <c r="U1783" s="27"/>
      <c r="V1783" s="27"/>
      <c r="W1783" s="27"/>
    </row>
    <row r="1784" spans="1:23" ht="24" customHeight="1">
      <c r="A1784" s="27" t="str">
        <f t="shared" ca="1" si="27"/>
        <v>EVT-2027-1782</v>
      </c>
      <c r="B1784" s="27">
        <v>2027</v>
      </c>
      <c r="C1784" s="27" t="s">
        <v>91</v>
      </c>
      <c r="D1784" s="30">
        <v>46419</v>
      </c>
      <c r="E1784" s="27" t="s">
        <v>224</v>
      </c>
      <c r="F1784" s="27" t="s">
        <v>126</v>
      </c>
      <c r="G1784" s="27"/>
      <c r="H1784" s="27"/>
      <c r="I1784" s="27"/>
      <c r="J1784" s="27" t="s">
        <v>177</v>
      </c>
      <c r="K1784" s="10">
        <v>0</v>
      </c>
      <c r="L1784" s="36" t="s">
        <v>263</v>
      </c>
      <c r="M1784" s="37"/>
      <c r="N1784" s="37"/>
      <c r="O1784" s="27"/>
      <c r="P1784" s="27"/>
      <c r="Q1784" s="27"/>
      <c r="R1784" s="27"/>
      <c r="S1784" s="2" t="s">
        <v>1859</v>
      </c>
      <c r="T1784" s="29" t="s">
        <v>265</v>
      </c>
      <c r="U1784" s="27"/>
      <c r="V1784" s="27"/>
      <c r="W1784" s="27"/>
    </row>
    <row r="1785" spans="1:23" ht="24" customHeight="1">
      <c r="A1785" s="27" t="str">
        <f t="shared" ca="1" si="27"/>
        <v>EVT-2027-1783</v>
      </c>
      <c r="B1785" s="27">
        <v>2027</v>
      </c>
      <c r="C1785" s="27" t="s">
        <v>91</v>
      </c>
      <c r="D1785" s="30">
        <v>46420</v>
      </c>
      <c r="E1785" s="27" t="s">
        <v>227</v>
      </c>
      <c r="F1785" s="27" t="s">
        <v>126</v>
      </c>
      <c r="G1785" s="27"/>
      <c r="H1785" s="27"/>
      <c r="I1785" s="27"/>
      <c r="J1785" s="27" t="s">
        <v>177</v>
      </c>
      <c r="K1785" s="10">
        <v>0</v>
      </c>
      <c r="L1785" s="36" t="s">
        <v>263</v>
      </c>
      <c r="M1785" s="37"/>
      <c r="N1785" s="37"/>
      <c r="O1785" s="27"/>
      <c r="P1785" s="27"/>
      <c r="Q1785" s="27"/>
      <c r="R1785" s="27"/>
      <c r="S1785" s="2" t="s">
        <v>1859</v>
      </c>
      <c r="T1785" s="29" t="s">
        <v>265</v>
      </c>
      <c r="U1785" s="27"/>
      <c r="V1785" s="27"/>
      <c r="W1785" s="27"/>
    </row>
    <row r="1786" spans="1:23" ht="24" customHeight="1">
      <c r="A1786" s="27" t="str">
        <f t="shared" ca="1" si="27"/>
        <v>EVT-2027-1784</v>
      </c>
      <c r="B1786" s="27">
        <v>2027</v>
      </c>
      <c r="C1786" s="27" t="s">
        <v>91</v>
      </c>
      <c r="D1786" s="30">
        <v>46421</v>
      </c>
      <c r="E1786" s="27" t="s">
        <v>201</v>
      </c>
      <c r="F1786" s="27" t="s">
        <v>126</v>
      </c>
      <c r="G1786" s="27"/>
      <c r="H1786" s="27"/>
      <c r="I1786" s="27"/>
      <c r="J1786" s="27" t="s">
        <v>177</v>
      </c>
      <c r="K1786" s="10">
        <v>0</v>
      </c>
      <c r="L1786" s="36" t="s">
        <v>263</v>
      </c>
      <c r="M1786" s="37"/>
      <c r="N1786" s="37"/>
      <c r="O1786" s="27"/>
      <c r="P1786" s="27"/>
      <c r="Q1786" s="27"/>
      <c r="R1786" s="27"/>
      <c r="S1786" s="2" t="s">
        <v>1859</v>
      </c>
      <c r="T1786" s="29" t="s">
        <v>265</v>
      </c>
      <c r="U1786" s="27"/>
      <c r="V1786" s="27"/>
      <c r="W1786" s="27"/>
    </row>
    <row r="1787" spans="1:23" ht="24" customHeight="1">
      <c r="A1787" s="27" t="str">
        <f t="shared" ca="1" si="27"/>
        <v>EVT-2027-1785</v>
      </c>
      <c r="B1787" s="27">
        <v>2027</v>
      </c>
      <c r="C1787" s="27" t="s">
        <v>91</v>
      </c>
      <c r="D1787" s="30">
        <v>46422</v>
      </c>
      <c r="E1787" s="27" t="s">
        <v>216</v>
      </c>
      <c r="F1787" s="27" t="s">
        <v>126</v>
      </c>
      <c r="G1787" s="27"/>
      <c r="H1787" s="27"/>
      <c r="I1787" s="27"/>
      <c r="J1787" s="27" t="s">
        <v>177</v>
      </c>
      <c r="K1787" s="10">
        <v>0</v>
      </c>
      <c r="L1787" s="36" t="s">
        <v>263</v>
      </c>
      <c r="M1787" s="37"/>
      <c r="N1787" s="37"/>
      <c r="O1787" s="27"/>
      <c r="P1787" s="27"/>
      <c r="Q1787" s="27"/>
      <c r="R1787" s="27"/>
      <c r="S1787" s="2" t="s">
        <v>1859</v>
      </c>
      <c r="T1787" s="29" t="s">
        <v>265</v>
      </c>
      <c r="U1787" s="27"/>
      <c r="V1787" s="27"/>
      <c r="W1787" s="27"/>
    </row>
    <row r="1788" spans="1:23" ht="24" customHeight="1">
      <c r="A1788" s="27" t="str">
        <f t="shared" ca="1" si="27"/>
        <v>EVT-2027-1786</v>
      </c>
      <c r="B1788" s="27">
        <v>2027</v>
      </c>
      <c r="C1788" s="27" t="s">
        <v>91</v>
      </c>
      <c r="D1788" s="30">
        <v>46423</v>
      </c>
      <c r="E1788" s="27" t="s">
        <v>220</v>
      </c>
      <c r="F1788" s="27" t="s">
        <v>126</v>
      </c>
      <c r="G1788" s="27"/>
      <c r="H1788" s="27"/>
      <c r="I1788" s="27"/>
      <c r="J1788" s="27" t="s">
        <v>177</v>
      </c>
      <c r="K1788" s="10">
        <v>0</v>
      </c>
      <c r="L1788" s="36" t="s">
        <v>263</v>
      </c>
      <c r="M1788" s="37"/>
      <c r="N1788" s="37"/>
      <c r="O1788" s="27"/>
      <c r="P1788" s="27"/>
      <c r="Q1788" s="27"/>
      <c r="R1788" s="27"/>
      <c r="S1788" s="2" t="s">
        <v>1859</v>
      </c>
      <c r="T1788" s="29" t="s">
        <v>265</v>
      </c>
      <c r="U1788" s="27"/>
      <c r="V1788" s="27"/>
      <c r="W1788" s="27"/>
    </row>
    <row r="1789" spans="1:23" ht="24" customHeight="1">
      <c r="A1789" s="27" t="str">
        <f t="shared" ca="1" si="27"/>
        <v>EVT-2027-1787</v>
      </c>
      <c r="B1789" s="27">
        <v>2027</v>
      </c>
      <c r="C1789" s="27" t="s">
        <v>91</v>
      </c>
      <c r="D1789" s="30">
        <v>46424</v>
      </c>
      <c r="E1789" s="27" t="s">
        <v>266</v>
      </c>
      <c r="F1789" s="27" t="s">
        <v>126</v>
      </c>
      <c r="G1789" s="27"/>
      <c r="H1789" s="27"/>
      <c r="I1789" s="27"/>
      <c r="J1789" s="27" t="s">
        <v>177</v>
      </c>
      <c r="K1789" s="10">
        <v>0</v>
      </c>
      <c r="L1789" s="36" t="s">
        <v>263</v>
      </c>
      <c r="M1789" s="37"/>
      <c r="N1789" s="37"/>
      <c r="O1789" s="27"/>
      <c r="P1789" s="27"/>
      <c r="Q1789" s="27"/>
      <c r="R1789" s="27"/>
      <c r="S1789" s="2" t="s">
        <v>1859</v>
      </c>
      <c r="T1789" s="29" t="s">
        <v>265</v>
      </c>
      <c r="U1789" s="27"/>
      <c r="V1789" s="27"/>
      <c r="W1789" s="27"/>
    </row>
    <row r="1790" spans="1:23" ht="24" customHeight="1">
      <c r="A1790" s="27" t="str">
        <f t="shared" ca="1" si="27"/>
        <v>EVT-2027-1788</v>
      </c>
      <c r="B1790" s="27">
        <v>2027</v>
      </c>
      <c r="C1790" s="27" t="s">
        <v>91</v>
      </c>
      <c r="D1790" s="30">
        <v>46425</v>
      </c>
      <c r="E1790" s="27" t="s">
        <v>267</v>
      </c>
      <c r="F1790" s="27" t="s">
        <v>126</v>
      </c>
      <c r="G1790" s="27"/>
      <c r="H1790" s="27"/>
      <c r="I1790" s="27"/>
      <c r="J1790" s="27" t="s">
        <v>177</v>
      </c>
      <c r="K1790" s="10">
        <v>0</v>
      </c>
      <c r="L1790" s="36" t="s">
        <v>263</v>
      </c>
      <c r="M1790" s="37"/>
      <c r="N1790" s="37"/>
      <c r="O1790" s="27"/>
      <c r="P1790" s="27"/>
      <c r="Q1790" s="27"/>
      <c r="R1790" s="27"/>
      <c r="S1790" s="2" t="s">
        <v>1859</v>
      </c>
      <c r="T1790" s="29" t="s">
        <v>265</v>
      </c>
      <c r="U1790" s="27"/>
      <c r="V1790" s="27"/>
      <c r="W1790" s="27"/>
    </row>
    <row r="1791" spans="1:23" ht="24" customHeight="1">
      <c r="A1791" s="27" t="str">
        <f t="shared" ca="1" si="27"/>
        <v>EVT-2027-1789</v>
      </c>
      <c r="B1791" s="27">
        <v>2027</v>
      </c>
      <c r="C1791" s="27" t="s">
        <v>91</v>
      </c>
      <c r="D1791" s="30">
        <v>46426</v>
      </c>
      <c r="E1791" s="27" t="s">
        <v>224</v>
      </c>
      <c r="F1791" s="27" t="s">
        <v>126</v>
      </c>
      <c r="G1791" s="27"/>
      <c r="H1791" s="27"/>
      <c r="I1791" s="27"/>
      <c r="J1791" s="27" t="s">
        <v>177</v>
      </c>
      <c r="K1791" s="10">
        <v>0</v>
      </c>
      <c r="L1791" s="36" t="s">
        <v>263</v>
      </c>
      <c r="M1791" s="37"/>
      <c r="N1791" s="37"/>
      <c r="O1791" s="27"/>
      <c r="P1791" s="27"/>
      <c r="Q1791" s="27"/>
      <c r="R1791" s="27"/>
      <c r="S1791" s="2" t="s">
        <v>1859</v>
      </c>
      <c r="T1791" s="29" t="s">
        <v>265</v>
      </c>
      <c r="U1791" s="27"/>
      <c r="V1791" s="27"/>
      <c r="W1791" s="27"/>
    </row>
    <row r="1792" spans="1:23" ht="24" customHeight="1">
      <c r="A1792" s="27" t="str">
        <f t="shared" ca="1" si="27"/>
        <v>EVT-2027-1790</v>
      </c>
      <c r="B1792" s="27">
        <v>2027</v>
      </c>
      <c r="C1792" s="27" t="s">
        <v>91</v>
      </c>
      <c r="D1792" s="30">
        <v>46427</v>
      </c>
      <c r="E1792" s="27" t="s">
        <v>227</v>
      </c>
      <c r="F1792" s="27" t="s">
        <v>126</v>
      </c>
      <c r="G1792" s="27"/>
      <c r="H1792" s="27"/>
      <c r="I1792" s="27"/>
      <c r="J1792" s="27" t="s">
        <v>177</v>
      </c>
      <c r="K1792" s="10">
        <v>0</v>
      </c>
      <c r="L1792" s="36" t="s">
        <v>263</v>
      </c>
      <c r="M1792" s="37"/>
      <c r="N1792" s="37"/>
      <c r="O1792" s="27"/>
      <c r="P1792" s="27"/>
      <c r="Q1792" s="27"/>
      <c r="R1792" s="27"/>
      <c r="S1792" s="2" t="s">
        <v>1859</v>
      </c>
      <c r="T1792" s="29" t="s">
        <v>265</v>
      </c>
      <c r="U1792" s="27"/>
      <c r="V1792" s="27"/>
      <c r="W1792" s="27"/>
    </row>
    <row r="1793" spans="1:23" ht="24" customHeight="1">
      <c r="A1793" s="27" t="str">
        <f t="shared" ca="1" si="27"/>
        <v>EVT-2027-1791</v>
      </c>
      <c r="B1793" s="27">
        <v>2027</v>
      </c>
      <c r="C1793" s="27" t="s">
        <v>91</v>
      </c>
      <c r="D1793" s="30">
        <v>46428</v>
      </c>
      <c r="E1793" s="27" t="s">
        <v>201</v>
      </c>
      <c r="F1793" s="27" t="s">
        <v>126</v>
      </c>
      <c r="G1793" s="27"/>
      <c r="H1793" s="27"/>
      <c r="I1793" s="27"/>
      <c r="J1793" s="27" t="s">
        <v>177</v>
      </c>
      <c r="K1793" s="10">
        <v>0</v>
      </c>
      <c r="L1793" s="36" t="s">
        <v>263</v>
      </c>
      <c r="M1793" s="37"/>
      <c r="N1793" s="37"/>
      <c r="O1793" s="27"/>
      <c r="P1793" s="27"/>
      <c r="Q1793" s="27"/>
      <c r="R1793" s="27"/>
      <c r="S1793" s="2" t="s">
        <v>1859</v>
      </c>
      <c r="T1793" s="29" t="s">
        <v>265</v>
      </c>
      <c r="U1793" s="27"/>
      <c r="V1793" s="27"/>
      <c r="W1793" s="27"/>
    </row>
    <row r="1794" spans="1:23" ht="24" customHeight="1">
      <c r="A1794" s="27" t="str">
        <f t="shared" ca="1" si="27"/>
        <v>EVT-2027-1792</v>
      </c>
      <c r="B1794" s="27">
        <v>2027</v>
      </c>
      <c r="C1794" s="27" t="s">
        <v>91</v>
      </c>
      <c r="D1794" s="30">
        <v>46429</v>
      </c>
      <c r="E1794" s="27" t="s">
        <v>216</v>
      </c>
      <c r="F1794" s="27" t="s">
        <v>126</v>
      </c>
      <c r="G1794" s="27"/>
      <c r="H1794" s="27"/>
      <c r="I1794" s="27"/>
      <c r="J1794" s="27" t="s">
        <v>177</v>
      </c>
      <c r="K1794" s="10">
        <v>0</v>
      </c>
      <c r="L1794" s="36" t="s">
        <v>263</v>
      </c>
      <c r="M1794" s="37"/>
      <c r="N1794" s="37"/>
      <c r="O1794" s="27"/>
      <c r="P1794" s="27"/>
      <c r="Q1794" s="27"/>
      <c r="R1794" s="27"/>
      <c r="S1794" s="2" t="s">
        <v>1859</v>
      </c>
      <c r="T1794" s="29" t="s">
        <v>265</v>
      </c>
      <c r="U1794" s="27"/>
      <c r="V1794" s="27"/>
      <c r="W1794" s="27"/>
    </row>
    <row r="1795" spans="1:23" ht="24" customHeight="1">
      <c r="A1795" s="27" t="str">
        <f t="shared" ref="A1795:A1858" ca="1" si="28">IF(OR(D1795&lt;&gt;"",H1795&lt;&gt;"",I1795&lt;&gt;"",Q1795&lt;&gt;"",S1795&lt;&gt;""), "EVT-" &amp; TEXT(B1795, "0000") &amp; "-" &amp; TEXT(COUNTIF(OFFSET($A$1, 1, 0, ROW()-2, 1), "EVT*") + 1, "0000"), "")</f>
        <v>EVT-2027-1793</v>
      </c>
      <c r="B1795" s="27">
        <v>2027</v>
      </c>
      <c r="C1795" s="27" t="s">
        <v>91</v>
      </c>
      <c r="D1795" s="30">
        <v>46430</v>
      </c>
      <c r="E1795" s="27" t="s">
        <v>220</v>
      </c>
      <c r="F1795" s="27" t="s">
        <v>126</v>
      </c>
      <c r="G1795" s="27"/>
      <c r="H1795" s="27"/>
      <c r="I1795" s="27"/>
      <c r="J1795" s="27" t="s">
        <v>177</v>
      </c>
      <c r="K1795" s="10">
        <v>0</v>
      </c>
      <c r="L1795" s="36" t="s">
        <v>263</v>
      </c>
      <c r="M1795" s="37"/>
      <c r="N1795" s="37"/>
      <c r="O1795" s="27"/>
      <c r="P1795" s="27"/>
      <c r="Q1795" s="27"/>
      <c r="R1795" s="27"/>
      <c r="S1795" s="2" t="s">
        <v>1859</v>
      </c>
      <c r="T1795" s="29" t="s">
        <v>265</v>
      </c>
      <c r="U1795" s="27"/>
      <c r="V1795" s="27"/>
      <c r="W1795" s="27"/>
    </row>
    <row r="1796" spans="1:23" ht="24" customHeight="1">
      <c r="A1796" s="27" t="str">
        <f t="shared" ca="1" si="28"/>
        <v>EVT-2027-1794</v>
      </c>
      <c r="B1796" s="27">
        <v>2027</v>
      </c>
      <c r="C1796" s="27" t="s">
        <v>91</v>
      </c>
      <c r="D1796" s="30">
        <v>46431</v>
      </c>
      <c r="E1796" s="27" t="s">
        <v>266</v>
      </c>
      <c r="F1796" s="27" t="s">
        <v>126</v>
      </c>
      <c r="G1796" s="27"/>
      <c r="H1796" s="27"/>
      <c r="I1796" s="27"/>
      <c r="J1796" s="27" t="s">
        <v>177</v>
      </c>
      <c r="K1796" s="10">
        <v>0</v>
      </c>
      <c r="L1796" s="36" t="s">
        <v>263</v>
      </c>
      <c r="M1796" s="37"/>
      <c r="N1796" s="37"/>
      <c r="O1796" s="27"/>
      <c r="P1796" s="27"/>
      <c r="Q1796" s="27"/>
      <c r="R1796" s="27"/>
      <c r="S1796" s="2" t="s">
        <v>1859</v>
      </c>
      <c r="T1796" s="29" t="s">
        <v>265</v>
      </c>
      <c r="U1796" s="27"/>
      <c r="V1796" s="27"/>
      <c r="W1796" s="27"/>
    </row>
    <row r="1797" spans="1:23" ht="24" customHeight="1">
      <c r="A1797" s="27" t="str">
        <f t="shared" ca="1" si="28"/>
        <v>EVT-2027-1795</v>
      </c>
      <c r="B1797" s="27">
        <v>2027</v>
      </c>
      <c r="C1797" s="27" t="s">
        <v>91</v>
      </c>
      <c r="D1797" s="30">
        <v>46432</v>
      </c>
      <c r="E1797" s="27" t="s">
        <v>267</v>
      </c>
      <c r="F1797" s="27" t="s">
        <v>126</v>
      </c>
      <c r="G1797" s="27"/>
      <c r="H1797" s="27"/>
      <c r="I1797" s="27"/>
      <c r="J1797" s="27" t="s">
        <v>177</v>
      </c>
      <c r="K1797" s="10">
        <v>0</v>
      </c>
      <c r="L1797" s="36" t="s">
        <v>263</v>
      </c>
      <c r="M1797" s="37"/>
      <c r="N1797" s="37"/>
      <c r="O1797" s="27"/>
      <c r="P1797" s="27"/>
      <c r="Q1797" s="27"/>
      <c r="R1797" s="27"/>
      <c r="S1797" s="2" t="s">
        <v>1859</v>
      </c>
      <c r="T1797" s="29" t="s">
        <v>265</v>
      </c>
      <c r="U1797" s="27"/>
      <c r="V1797" s="27"/>
      <c r="W1797" s="27"/>
    </row>
    <row r="1798" spans="1:23" ht="24" customHeight="1">
      <c r="A1798" s="27" t="str">
        <f t="shared" ca="1" si="28"/>
        <v>EVT-2027-1796</v>
      </c>
      <c r="B1798" s="27">
        <v>2027</v>
      </c>
      <c r="C1798" s="27" t="s">
        <v>91</v>
      </c>
      <c r="D1798" s="30">
        <v>46433</v>
      </c>
      <c r="E1798" s="27" t="s">
        <v>224</v>
      </c>
      <c r="F1798" s="27" t="s">
        <v>126</v>
      </c>
      <c r="G1798" s="27"/>
      <c r="H1798" s="27"/>
      <c r="I1798" s="27"/>
      <c r="J1798" s="27" t="s">
        <v>177</v>
      </c>
      <c r="K1798" s="10">
        <v>0</v>
      </c>
      <c r="L1798" s="36" t="s">
        <v>263</v>
      </c>
      <c r="M1798" s="37"/>
      <c r="N1798" s="37"/>
      <c r="O1798" s="27"/>
      <c r="P1798" s="27"/>
      <c r="Q1798" s="27"/>
      <c r="R1798" s="27"/>
      <c r="S1798" s="2" t="s">
        <v>1859</v>
      </c>
      <c r="T1798" s="29" t="s">
        <v>265</v>
      </c>
      <c r="U1798" s="27"/>
      <c r="V1798" s="27"/>
      <c r="W1798" s="27"/>
    </row>
    <row r="1799" spans="1:23" ht="24" customHeight="1">
      <c r="A1799" s="27" t="str">
        <f t="shared" ca="1" si="28"/>
        <v>EVT-2027-1797</v>
      </c>
      <c r="B1799" s="27">
        <v>2027</v>
      </c>
      <c r="C1799" s="27" t="s">
        <v>91</v>
      </c>
      <c r="D1799" s="30">
        <v>46434</v>
      </c>
      <c r="E1799" s="27" t="s">
        <v>227</v>
      </c>
      <c r="F1799" s="27" t="s">
        <v>126</v>
      </c>
      <c r="G1799" s="27"/>
      <c r="H1799" s="27"/>
      <c r="I1799" s="27"/>
      <c r="J1799" s="27" t="s">
        <v>177</v>
      </c>
      <c r="K1799" s="10">
        <v>0</v>
      </c>
      <c r="L1799" s="36" t="s">
        <v>263</v>
      </c>
      <c r="M1799" s="37"/>
      <c r="N1799" s="37"/>
      <c r="O1799" s="27"/>
      <c r="P1799" s="27"/>
      <c r="Q1799" s="27"/>
      <c r="R1799" s="27"/>
      <c r="S1799" s="2" t="s">
        <v>1859</v>
      </c>
      <c r="T1799" s="29" t="s">
        <v>265</v>
      </c>
      <c r="U1799" s="27"/>
      <c r="V1799" s="27"/>
      <c r="W1799" s="27"/>
    </row>
    <row r="1800" spans="1:23" ht="24" customHeight="1">
      <c r="A1800" s="27" t="str">
        <f t="shared" ca="1" si="28"/>
        <v>EVT-2027-1798</v>
      </c>
      <c r="B1800" s="27">
        <v>2027</v>
      </c>
      <c r="C1800" s="27" t="s">
        <v>91</v>
      </c>
      <c r="D1800" s="30">
        <v>46435</v>
      </c>
      <c r="E1800" s="27" t="s">
        <v>201</v>
      </c>
      <c r="F1800" s="27" t="s">
        <v>126</v>
      </c>
      <c r="G1800" s="27"/>
      <c r="H1800" s="27"/>
      <c r="I1800" s="27"/>
      <c r="J1800" s="27" t="s">
        <v>177</v>
      </c>
      <c r="K1800" s="10">
        <v>0</v>
      </c>
      <c r="L1800" s="36" t="s">
        <v>263</v>
      </c>
      <c r="M1800" s="37"/>
      <c r="N1800" s="37"/>
      <c r="O1800" s="27"/>
      <c r="P1800" s="27"/>
      <c r="Q1800" s="27"/>
      <c r="R1800" s="27"/>
      <c r="S1800" s="2" t="s">
        <v>1859</v>
      </c>
      <c r="T1800" s="29" t="s">
        <v>265</v>
      </c>
      <c r="U1800" s="27"/>
      <c r="V1800" s="27"/>
      <c r="W1800" s="27"/>
    </row>
    <row r="1801" spans="1:23" ht="24" customHeight="1">
      <c r="A1801" s="27" t="str">
        <f t="shared" ca="1" si="28"/>
        <v>EVT-2027-1799</v>
      </c>
      <c r="B1801" s="27">
        <v>2027</v>
      </c>
      <c r="C1801" s="27" t="s">
        <v>91</v>
      </c>
      <c r="D1801" s="30">
        <v>46436</v>
      </c>
      <c r="E1801" s="27" t="s">
        <v>216</v>
      </c>
      <c r="F1801" s="27" t="s">
        <v>126</v>
      </c>
      <c r="G1801" s="27"/>
      <c r="H1801" s="27"/>
      <c r="I1801" s="27"/>
      <c r="J1801" s="27" t="s">
        <v>177</v>
      </c>
      <c r="K1801" s="10">
        <v>0</v>
      </c>
      <c r="L1801" s="36" t="s">
        <v>263</v>
      </c>
      <c r="M1801" s="37"/>
      <c r="N1801" s="37"/>
      <c r="O1801" s="27"/>
      <c r="P1801" s="27"/>
      <c r="Q1801" s="27"/>
      <c r="R1801" s="27"/>
      <c r="S1801" s="2" t="s">
        <v>1859</v>
      </c>
      <c r="T1801" s="29" t="s">
        <v>265</v>
      </c>
      <c r="U1801" s="27"/>
      <c r="V1801" s="27"/>
      <c r="W1801" s="27"/>
    </row>
    <row r="1802" spans="1:23" ht="24" customHeight="1">
      <c r="A1802" s="27" t="str">
        <f t="shared" ca="1" si="28"/>
        <v>EVT-2027-1800</v>
      </c>
      <c r="B1802" s="27">
        <v>2027</v>
      </c>
      <c r="C1802" s="27" t="s">
        <v>91</v>
      </c>
      <c r="D1802" s="30">
        <v>46437</v>
      </c>
      <c r="E1802" s="27" t="s">
        <v>220</v>
      </c>
      <c r="F1802" s="27" t="s">
        <v>126</v>
      </c>
      <c r="G1802" s="27"/>
      <c r="H1802" s="27"/>
      <c r="I1802" s="27"/>
      <c r="J1802" s="27" t="s">
        <v>177</v>
      </c>
      <c r="K1802" s="10">
        <v>0</v>
      </c>
      <c r="L1802" s="36" t="s">
        <v>263</v>
      </c>
      <c r="M1802" s="37"/>
      <c r="N1802" s="37"/>
      <c r="O1802" s="27"/>
      <c r="P1802" s="27"/>
      <c r="Q1802" s="27"/>
      <c r="R1802" s="27"/>
      <c r="S1802" s="2" t="s">
        <v>1859</v>
      </c>
      <c r="T1802" s="29" t="s">
        <v>265</v>
      </c>
      <c r="U1802" s="27"/>
      <c r="V1802" s="27"/>
      <c r="W1802" s="27"/>
    </row>
    <row r="1803" spans="1:23" ht="24" customHeight="1">
      <c r="A1803" s="27" t="str">
        <f t="shared" ca="1" si="28"/>
        <v>EVT-2027-1801</v>
      </c>
      <c r="B1803" s="27">
        <v>2027</v>
      </c>
      <c r="C1803" s="27" t="s">
        <v>91</v>
      </c>
      <c r="D1803" s="30">
        <v>46438</v>
      </c>
      <c r="E1803" s="27" t="s">
        <v>266</v>
      </c>
      <c r="F1803" s="27" t="s">
        <v>126</v>
      </c>
      <c r="G1803" s="27"/>
      <c r="H1803" s="27"/>
      <c r="I1803" s="27"/>
      <c r="J1803" s="27" t="s">
        <v>177</v>
      </c>
      <c r="K1803" s="10">
        <v>0</v>
      </c>
      <c r="L1803" s="36" t="s">
        <v>263</v>
      </c>
      <c r="M1803" s="37"/>
      <c r="N1803" s="37"/>
      <c r="O1803" s="27"/>
      <c r="P1803" s="27"/>
      <c r="Q1803" s="27"/>
      <c r="R1803" s="27"/>
      <c r="S1803" s="2" t="s">
        <v>1859</v>
      </c>
      <c r="T1803" s="29" t="s">
        <v>265</v>
      </c>
      <c r="U1803" s="27"/>
      <c r="V1803" s="27"/>
      <c r="W1803" s="27"/>
    </row>
    <row r="1804" spans="1:23" ht="24" customHeight="1">
      <c r="A1804" s="27" t="str">
        <f t="shared" ca="1" si="28"/>
        <v>EVT-2027-1802</v>
      </c>
      <c r="B1804" s="27">
        <v>2027</v>
      </c>
      <c r="C1804" s="27" t="s">
        <v>91</v>
      </c>
      <c r="D1804" s="30">
        <v>46439</v>
      </c>
      <c r="E1804" s="27" t="s">
        <v>267</v>
      </c>
      <c r="F1804" s="27" t="s">
        <v>126</v>
      </c>
      <c r="G1804" s="27"/>
      <c r="H1804" s="27"/>
      <c r="I1804" s="27"/>
      <c r="J1804" s="27" t="s">
        <v>177</v>
      </c>
      <c r="K1804" s="10">
        <v>0</v>
      </c>
      <c r="L1804" s="36" t="s">
        <v>263</v>
      </c>
      <c r="M1804" s="37"/>
      <c r="N1804" s="37"/>
      <c r="O1804" s="27"/>
      <c r="P1804" s="27"/>
      <c r="Q1804" s="27"/>
      <c r="R1804" s="27"/>
      <c r="S1804" s="2" t="s">
        <v>1859</v>
      </c>
      <c r="T1804" s="29" t="s">
        <v>265</v>
      </c>
      <c r="U1804" s="27"/>
      <c r="V1804" s="27"/>
      <c r="W1804" s="27"/>
    </row>
    <row r="1805" spans="1:23" ht="24" customHeight="1">
      <c r="A1805" s="27" t="str">
        <f t="shared" ca="1" si="28"/>
        <v>EVT-2027-1803</v>
      </c>
      <c r="B1805" s="27">
        <v>2027</v>
      </c>
      <c r="C1805" s="27" t="s">
        <v>91</v>
      </c>
      <c r="D1805" s="30">
        <v>46440</v>
      </c>
      <c r="E1805" s="27" t="s">
        <v>224</v>
      </c>
      <c r="F1805" s="27" t="s">
        <v>126</v>
      </c>
      <c r="G1805" s="27"/>
      <c r="H1805" s="27"/>
      <c r="I1805" s="27"/>
      <c r="J1805" s="27" t="s">
        <v>177</v>
      </c>
      <c r="K1805" s="10">
        <v>0</v>
      </c>
      <c r="L1805" s="36" t="s">
        <v>263</v>
      </c>
      <c r="M1805" s="37"/>
      <c r="N1805" s="37"/>
      <c r="O1805" s="27"/>
      <c r="P1805" s="27"/>
      <c r="Q1805" s="27"/>
      <c r="R1805" s="27"/>
      <c r="S1805" s="2" t="s">
        <v>1859</v>
      </c>
      <c r="T1805" s="29" t="s">
        <v>265</v>
      </c>
      <c r="U1805" s="27"/>
      <c r="V1805" s="27"/>
      <c r="W1805" s="27"/>
    </row>
    <row r="1806" spans="1:23" ht="24" customHeight="1">
      <c r="A1806" s="27" t="str">
        <f t="shared" ca="1" si="28"/>
        <v>EVT-2027-1804</v>
      </c>
      <c r="B1806" s="27">
        <v>2027</v>
      </c>
      <c r="C1806" s="27" t="s">
        <v>91</v>
      </c>
      <c r="D1806" s="30">
        <v>46441</v>
      </c>
      <c r="E1806" s="27" t="s">
        <v>227</v>
      </c>
      <c r="F1806" s="27" t="s">
        <v>126</v>
      </c>
      <c r="G1806" s="27"/>
      <c r="H1806" s="27"/>
      <c r="I1806" s="27"/>
      <c r="J1806" s="27" t="s">
        <v>177</v>
      </c>
      <c r="K1806" s="10">
        <v>0</v>
      </c>
      <c r="L1806" s="36" t="s">
        <v>263</v>
      </c>
      <c r="M1806" s="37"/>
      <c r="N1806" s="37"/>
      <c r="O1806" s="27"/>
      <c r="P1806" s="27"/>
      <c r="Q1806" s="27"/>
      <c r="R1806" s="27"/>
      <c r="S1806" s="2" t="s">
        <v>1859</v>
      </c>
      <c r="T1806" s="29" t="s">
        <v>265</v>
      </c>
      <c r="U1806" s="27"/>
      <c r="V1806" s="27"/>
      <c r="W1806" s="27"/>
    </row>
    <row r="1807" spans="1:23" ht="24" customHeight="1">
      <c r="A1807" s="27" t="str">
        <f t="shared" ca="1" si="28"/>
        <v>EVT-2027-1805</v>
      </c>
      <c r="B1807" s="27">
        <v>2027</v>
      </c>
      <c r="C1807" s="27" t="s">
        <v>91</v>
      </c>
      <c r="D1807" s="30">
        <v>46442</v>
      </c>
      <c r="E1807" s="27" t="s">
        <v>201</v>
      </c>
      <c r="F1807" s="27" t="s">
        <v>126</v>
      </c>
      <c r="G1807" s="27"/>
      <c r="H1807" s="27"/>
      <c r="I1807" s="27"/>
      <c r="J1807" s="27" t="s">
        <v>177</v>
      </c>
      <c r="K1807" s="10">
        <v>0</v>
      </c>
      <c r="L1807" s="36" t="s">
        <v>263</v>
      </c>
      <c r="M1807" s="37"/>
      <c r="N1807" s="37"/>
      <c r="O1807" s="27"/>
      <c r="P1807" s="27"/>
      <c r="Q1807" s="27"/>
      <c r="R1807" s="27"/>
      <c r="S1807" s="2" t="s">
        <v>1859</v>
      </c>
      <c r="T1807" s="29" t="s">
        <v>265</v>
      </c>
      <c r="U1807" s="27"/>
      <c r="V1807" s="27"/>
      <c r="W1807" s="27"/>
    </row>
    <row r="1808" spans="1:23" ht="24" customHeight="1">
      <c r="A1808" s="27" t="str">
        <f t="shared" ca="1" si="28"/>
        <v>EVT-2027-1806</v>
      </c>
      <c r="B1808" s="27">
        <v>2027</v>
      </c>
      <c r="C1808" s="27" t="s">
        <v>91</v>
      </c>
      <c r="D1808" s="30">
        <v>46444</v>
      </c>
      <c r="E1808" s="27" t="s">
        <v>220</v>
      </c>
      <c r="F1808" s="27" t="s">
        <v>126</v>
      </c>
      <c r="G1808" s="27" t="s">
        <v>228</v>
      </c>
      <c r="H1808" s="27" t="s">
        <v>1512</v>
      </c>
      <c r="I1808" s="27" t="s">
        <v>1801</v>
      </c>
      <c r="J1808" s="27" t="s">
        <v>139</v>
      </c>
      <c r="K1808" s="10">
        <v>50</v>
      </c>
      <c r="L1808" s="36" t="s">
        <v>263</v>
      </c>
      <c r="M1808" s="37" t="s">
        <v>295</v>
      </c>
      <c r="N1808" s="37" t="s">
        <v>270</v>
      </c>
      <c r="O1808" s="27" t="s">
        <v>382</v>
      </c>
      <c r="P1808" s="27"/>
      <c r="Q1808" s="27" t="s">
        <v>916</v>
      </c>
      <c r="R1808" s="27"/>
      <c r="S1808" s="2" t="s">
        <v>1859</v>
      </c>
      <c r="T1808" s="29" t="s">
        <v>265</v>
      </c>
      <c r="U1808" s="27"/>
      <c r="V1808" s="27" t="s">
        <v>1803</v>
      </c>
      <c r="W1808" s="27" t="s">
        <v>1177</v>
      </c>
    </row>
    <row r="1809" spans="1:23" ht="24" customHeight="1">
      <c r="A1809" s="27" t="str">
        <f t="shared" ca="1" si="28"/>
        <v>EVT-2027-1807</v>
      </c>
      <c r="B1809" s="27">
        <v>2027</v>
      </c>
      <c r="C1809" s="27" t="s">
        <v>91</v>
      </c>
      <c r="D1809" s="30">
        <v>46445</v>
      </c>
      <c r="E1809" s="27" t="s">
        <v>266</v>
      </c>
      <c r="F1809" s="27" t="s">
        <v>126</v>
      </c>
      <c r="G1809" s="27"/>
      <c r="H1809" s="27"/>
      <c r="I1809" s="27"/>
      <c r="J1809" s="27" t="s">
        <v>177</v>
      </c>
      <c r="K1809" s="10">
        <v>0</v>
      </c>
      <c r="L1809" s="36" t="s">
        <v>263</v>
      </c>
      <c r="M1809" s="37"/>
      <c r="N1809" s="37"/>
      <c r="O1809" s="27"/>
      <c r="P1809" s="27"/>
      <c r="Q1809" s="27"/>
      <c r="R1809" s="27"/>
      <c r="S1809" s="2" t="s">
        <v>1859</v>
      </c>
      <c r="T1809" s="29" t="s">
        <v>265</v>
      </c>
      <c r="U1809" s="27"/>
      <c r="V1809" s="27"/>
      <c r="W1809" s="27"/>
    </row>
    <row r="1810" spans="1:23" ht="24" customHeight="1">
      <c r="A1810" s="27" t="str">
        <f t="shared" ca="1" si="28"/>
        <v>EVT-2027-1808</v>
      </c>
      <c r="B1810" s="27">
        <v>2027</v>
      </c>
      <c r="C1810" s="27" t="s">
        <v>91</v>
      </c>
      <c r="D1810" s="30">
        <v>46446</v>
      </c>
      <c r="E1810" s="27" t="s">
        <v>267</v>
      </c>
      <c r="F1810" s="27" t="s">
        <v>126</v>
      </c>
      <c r="G1810" s="27"/>
      <c r="H1810" s="27"/>
      <c r="I1810" s="27"/>
      <c r="J1810" s="27" t="s">
        <v>177</v>
      </c>
      <c r="K1810" s="10">
        <v>0</v>
      </c>
      <c r="L1810" s="36" t="s">
        <v>263</v>
      </c>
      <c r="M1810" s="37"/>
      <c r="N1810" s="37"/>
      <c r="O1810" s="27"/>
      <c r="P1810" s="27"/>
      <c r="Q1810" s="27"/>
      <c r="R1810" s="27"/>
      <c r="S1810" s="2" t="s">
        <v>1859</v>
      </c>
      <c r="T1810" s="29" t="s">
        <v>265</v>
      </c>
      <c r="U1810" s="27"/>
      <c r="V1810" s="27"/>
      <c r="W1810" s="27"/>
    </row>
    <row r="1811" spans="1:23" ht="24" customHeight="1">
      <c r="A1811" s="27" t="str">
        <f t="shared" ca="1" si="28"/>
        <v>EVT-2027-1809</v>
      </c>
      <c r="B1811" s="27">
        <v>2027</v>
      </c>
      <c r="C1811" s="27" t="s">
        <v>91</v>
      </c>
      <c r="D1811" s="30">
        <v>46446</v>
      </c>
      <c r="E1811" s="27" t="s">
        <v>267</v>
      </c>
      <c r="F1811" s="27" t="s">
        <v>126</v>
      </c>
      <c r="G1811" s="27"/>
      <c r="H1811" s="27"/>
      <c r="I1811" s="27"/>
      <c r="J1811" s="27" t="s">
        <v>177</v>
      </c>
      <c r="K1811" s="10">
        <v>0</v>
      </c>
      <c r="L1811" s="36" t="s">
        <v>263</v>
      </c>
      <c r="M1811" s="37"/>
      <c r="N1811" s="37"/>
      <c r="O1811" s="27"/>
      <c r="P1811" s="27"/>
      <c r="Q1811" s="27"/>
      <c r="R1811" s="27"/>
      <c r="S1811" s="2" t="s">
        <v>1859</v>
      </c>
      <c r="T1811" s="29" t="s">
        <v>265</v>
      </c>
      <c r="U1811" s="27"/>
      <c r="V1811" s="27"/>
      <c r="W1811" s="27"/>
    </row>
    <row r="1812" spans="1:23" ht="24" customHeight="1">
      <c r="A1812" s="27" t="str">
        <f t="shared" ca="1" si="28"/>
        <v>EVT-2027-1810</v>
      </c>
      <c r="B1812" s="27">
        <v>2027</v>
      </c>
      <c r="C1812" s="27" t="s">
        <v>91</v>
      </c>
      <c r="D1812" s="30">
        <v>46446</v>
      </c>
      <c r="E1812" s="27" t="s">
        <v>267</v>
      </c>
      <c r="F1812" s="27" t="s">
        <v>126</v>
      </c>
      <c r="G1812" s="27"/>
      <c r="H1812" s="27"/>
      <c r="I1812" s="27"/>
      <c r="J1812" s="27" t="s">
        <v>177</v>
      </c>
      <c r="K1812" s="10">
        <v>0</v>
      </c>
      <c r="L1812" s="36" t="s">
        <v>263</v>
      </c>
      <c r="M1812" s="37"/>
      <c r="N1812" s="37"/>
      <c r="O1812" s="27"/>
      <c r="P1812" s="27"/>
      <c r="Q1812" s="27"/>
      <c r="R1812" s="27"/>
      <c r="S1812" s="2" t="s">
        <v>1859</v>
      </c>
      <c r="T1812" s="29" t="s">
        <v>265</v>
      </c>
      <c r="U1812" s="27"/>
      <c r="V1812" s="27"/>
      <c r="W1812" s="27"/>
    </row>
    <row r="1813" spans="1:23" ht="24" customHeight="1">
      <c r="A1813" s="27" t="str">
        <f t="shared" ca="1" si="28"/>
        <v>EVT-2027-1811</v>
      </c>
      <c r="B1813" s="27">
        <v>2027</v>
      </c>
      <c r="C1813" s="27" t="s">
        <v>91</v>
      </c>
      <c r="D1813" s="30">
        <v>46446</v>
      </c>
      <c r="E1813" s="27" t="s">
        <v>267</v>
      </c>
      <c r="F1813" s="27" t="s">
        <v>126</v>
      </c>
      <c r="G1813" s="27"/>
      <c r="H1813" s="27"/>
      <c r="I1813" s="27"/>
      <c r="J1813" s="27" t="s">
        <v>177</v>
      </c>
      <c r="K1813" s="10">
        <v>0</v>
      </c>
      <c r="L1813" s="36" t="s">
        <v>263</v>
      </c>
      <c r="M1813" s="37"/>
      <c r="N1813" s="37"/>
      <c r="O1813" s="27"/>
      <c r="P1813" s="27"/>
      <c r="Q1813" s="27"/>
      <c r="R1813" s="27"/>
      <c r="S1813" s="2" t="s">
        <v>1859</v>
      </c>
      <c r="T1813" s="29" t="s">
        <v>265</v>
      </c>
      <c r="U1813" s="27"/>
      <c r="V1813" s="27"/>
      <c r="W1813" s="27"/>
    </row>
    <row r="1814" spans="1:23" ht="24" customHeight="1">
      <c r="A1814" s="27" t="str">
        <f t="shared" ca="1" si="28"/>
        <v>EVT-2027-1812</v>
      </c>
      <c r="B1814" s="27">
        <v>2027</v>
      </c>
      <c r="C1814" s="27" t="s">
        <v>91</v>
      </c>
      <c r="D1814" s="27"/>
      <c r="E1814" s="27"/>
      <c r="F1814" s="27" t="s">
        <v>126</v>
      </c>
      <c r="G1814" s="27"/>
      <c r="H1814" s="27"/>
      <c r="I1814" s="27"/>
      <c r="J1814" s="27" t="s">
        <v>177</v>
      </c>
      <c r="K1814" s="10">
        <v>0</v>
      </c>
      <c r="L1814" s="36" t="s">
        <v>263</v>
      </c>
      <c r="M1814" s="37"/>
      <c r="N1814" s="37"/>
      <c r="O1814" s="27"/>
      <c r="P1814" s="27"/>
      <c r="Q1814" s="27"/>
      <c r="R1814" s="27"/>
      <c r="S1814" s="1" t="s">
        <v>264</v>
      </c>
      <c r="T1814" s="29" t="s">
        <v>265</v>
      </c>
      <c r="U1814" s="27"/>
      <c r="V1814" s="27"/>
      <c r="W1814" s="27"/>
    </row>
    <row r="1815" spans="1:23" ht="24" customHeight="1">
      <c r="A1815" s="27" t="str">
        <f t="shared" ca="1" si="28"/>
        <v>EVT-2027-1813</v>
      </c>
      <c r="B1815" s="27">
        <v>2027</v>
      </c>
      <c r="C1815" s="27" t="s">
        <v>91</v>
      </c>
      <c r="D1815" s="27"/>
      <c r="E1815" s="27"/>
      <c r="F1815" s="27" t="s">
        <v>126</v>
      </c>
      <c r="G1815" s="27"/>
      <c r="H1815" s="27"/>
      <c r="I1815" s="27"/>
      <c r="J1815" s="27" t="s">
        <v>177</v>
      </c>
      <c r="K1815" s="10">
        <v>0</v>
      </c>
      <c r="L1815" s="36" t="s">
        <v>263</v>
      </c>
      <c r="M1815" s="37"/>
      <c r="N1815" s="37"/>
      <c r="O1815" s="27"/>
      <c r="P1815" s="27"/>
      <c r="Q1815" s="27"/>
      <c r="R1815" s="27"/>
      <c r="S1815" s="1" t="s">
        <v>264</v>
      </c>
      <c r="T1815" s="29" t="s">
        <v>265</v>
      </c>
      <c r="U1815" s="27"/>
      <c r="V1815" s="27"/>
      <c r="W1815" s="27"/>
    </row>
    <row r="1816" spans="1:23" ht="24" customHeight="1">
      <c r="A1816" s="27" t="str">
        <f t="shared" ca="1" si="28"/>
        <v>EVT-2027-1814</v>
      </c>
      <c r="B1816" s="27">
        <v>2027</v>
      </c>
      <c r="C1816" s="27" t="s">
        <v>91</v>
      </c>
      <c r="D1816" s="27"/>
      <c r="E1816" s="27"/>
      <c r="F1816" s="27" t="s">
        <v>126</v>
      </c>
      <c r="G1816" s="27"/>
      <c r="H1816" s="27"/>
      <c r="I1816" s="27"/>
      <c r="J1816" s="27" t="s">
        <v>177</v>
      </c>
      <c r="K1816" s="10">
        <v>0</v>
      </c>
      <c r="L1816" s="36" t="s">
        <v>263</v>
      </c>
      <c r="M1816" s="37"/>
      <c r="N1816" s="37"/>
      <c r="O1816" s="27"/>
      <c r="P1816" s="27"/>
      <c r="Q1816" s="27"/>
      <c r="R1816" s="27"/>
      <c r="S1816" s="1" t="s">
        <v>264</v>
      </c>
      <c r="T1816" s="29" t="s">
        <v>265</v>
      </c>
      <c r="U1816" s="27"/>
      <c r="V1816" s="27"/>
      <c r="W1816" s="27"/>
    </row>
    <row r="1817" spans="1:23" ht="24" customHeight="1">
      <c r="A1817" s="27" t="str">
        <f t="shared" ca="1" si="28"/>
        <v>EVT-2027-1815</v>
      </c>
      <c r="B1817" s="27">
        <v>2027</v>
      </c>
      <c r="C1817" s="27" t="s">
        <v>91</v>
      </c>
      <c r="D1817" s="27"/>
      <c r="E1817" s="27"/>
      <c r="F1817" s="27" t="s">
        <v>126</v>
      </c>
      <c r="G1817" s="27"/>
      <c r="H1817" s="27"/>
      <c r="I1817" s="27"/>
      <c r="J1817" s="27" t="s">
        <v>177</v>
      </c>
      <c r="K1817" s="10">
        <v>0</v>
      </c>
      <c r="L1817" s="36" t="s">
        <v>263</v>
      </c>
      <c r="M1817" s="37"/>
      <c r="N1817" s="37"/>
      <c r="O1817" s="27"/>
      <c r="P1817" s="27"/>
      <c r="Q1817" s="27"/>
      <c r="R1817" s="27"/>
      <c r="S1817" s="1" t="s">
        <v>264</v>
      </c>
      <c r="T1817" s="29" t="s">
        <v>265</v>
      </c>
      <c r="U1817" s="27"/>
      <c r="V1817" s="27"/>
      <c r="W1817" s="27"/>
    </row>
    <row r="1818" spans="1:23" ht="24" customHeight="1">
      <c r="A1818" s="27" t="str">
        <f t="shared" ca="1" si="28"/>
        <v>EVT-2027-1816</v>
      </c>
      <c r="B1818" s="27">
        <v>2027</v>
      </c>
      <c r="C1818" s="27" t="s">
        <v>91</v>
      </c>
      <c r="D1818" s="27"/>
      <c r="E1818" s="27"/>
      <c r="F1818" s="27" t="s">
        <v>126</v>
      </c>
      <c r="G1818" s="27"/>
      <c r="H1818" s="27"/>
      <c r="I1818" s="27"/>
      <c r="J1818" s="27" t="s">
        <v>177</v>
      </c>
      <c r="K1818" s="10">
        <v>0</v>
      </c>
      <c r="L1818" s="36" t="s">
        <v>263</v>
      </c>
      <c r="M1818" s="37"/>
      <c r="N1818" s="37"/>
      <c r="O1818" s="27"/>
      <c r="P1818" s="27"/>
      <c r="Q1818" s="27"/>
      <c r="R1818" s="27"/>
      <c r="S1818" s="1" t="s">
        <v>264</v>
      </c>
      <c r="T1818" s="29" t="s">
        <v>265</v>
      </c>
      <c r="U1818" s="27"/>
      <c r="V1818" s="27"/>
      <c r="W1818" s="27"/>
    </row>
    <row r="1819" spans="1:23" ht="24" customHeight="1">
      <c r="A1819" s="27" t="str">
        <f t="shared" ca="1" si="28"/>
        <v>EVT-2027-1817</v>
      </c>
      <c r="B1819" s="27">
        <v>2027</v>
      </c>
      <c r="C1819" s="27" t="s">
        <v>91</v>
      </c>
      <c r="D1819" s="27"/>
      <c r="E1819" s="27"/>
      <c r="F1819" s="27" t="s">
        <v>126</v>
      </c>
      <c r="G1819" s="27"/>
      <c r="H1819" s="27"/>
      <c r="I1819" s="27"/>
      <c r="J1819" s="27" t="s">
        <v>177</v>
      </c>
      <c r="K1819" s="10">
        <v>0</v>
      </c>
      <c r="L1819" s="36" t="s">
        <v>263</v>
      </c>
      <c r="M1819" s="37"/>
      <c r="N1819" s="37"/>
      <c r="O1819" s="27"/>
      <c r="P1819" s="27"/>
      <c r="Q1819" s="27"/>
      <c r="R1819" s="27"/>
      <c r="S1819" s="1" t="s">
        <v>264</v>
      </c>
      <c r="T1819" s="29" t="s">
        <v>265</v>
      </c>
      <c r="U1819" s="27"/>
      <c r="V1819" s="27"/>
      <c r="W1819" s="27"/>
    </row>
    <row r="1820" spans="1:23" ht="24" customHeight="1">
      <c r="A1820" s="27" t="str">
        <f t="shared" ca="1" si="28"/>
        <v>EVT-2027-1818</v>
      </c>
      <c r="B1820" s="27">
        <v>2027</v>
      </c>
      <c r="C1820" s="27" t="s">
        <v>91</v>
      </c>
      <c r="D1820" s="27"/>
      <c r="E1820" s="27"/>
      <c r="F1820" s="27" t="s">
        <v>126</v>
      </c>
      <c r="G1820" s="27"/>
      <c r="H1820" s="27"/>
      <c r="I1820" s="27"/>
      <c r="J1820" s="27" t="s">
        <v>177</v>
      </c>
      <c r="K1820" s="10">
        <v>0</v>
      </c>
      <c r="L1820" s="36" t="s">
        <v>263</v>
      </c>
      <c r="M1820" s="37"/>
      <c r="N1820" s="37"/>
      <c r="O1820" s="27"/>
      <c r="P1820" s="27"/>
      <c r="Q1820" s="27"/>
      <c r="R1820" s="27"/>
      <c r="S1820" s="1" t="s">
        <v>264</v>
      </c>
      <c r="T1820" s="29" t="s">
        <v>265</v>
      </c>
      <c r="U1820" s="27"/>
      <c r="V1820" s="27"/>
      <c r="W1820" s="27"/>
    </row>
    <row r="1821" spans="1:23" ht="24" customHeight="1">
      <c r="A1821" s="27" t="str">
        <f t="shared" ca="1" si="28"/>
        <v>EVT-2027-1819</v>
      </c>
      <c r="B1821" s="27">
        <v>2027</v>
      </c>
      <c r="C1821" s="27" t="s">
        <v>91</v>
      </c>
      <c r="D1821" s="27"/>
      <c r="E1821" s="27"/>
      <c r="F1821" s="27" t="s">
        <v>126</v>
      </c>
      <c r="G1821" s="27"/>
      <c r="H1821" s="27"/>
      <c r="I1821" s="27"/>
      <c r="J1821" s="27" t="s">
        <v>177</v>
      </c>
      <c r="K1821" s="10">
        <v>0</v>
      </c>
      <c r="L1821" s="36" t="s">
        <v>263</v>
      </c>
      <c r="M1821" s="37"/>
      <c r="N1821" s="37"/>
      <c r="O1821" s="27"/>
      <c r="P1821" s="27"/>
      <c r="Q1821" s="27"/>
      <c r="R1821" s="27"/>
      <c r="S1821" s="1" t="s">
        <v>264</v>
      </c>
      <c r="T1821" s="29" t="s">
        <v>265</v>
      </c>
      <c r="U1821" s="27"/>
      <c r="V1821" s="27"/>
      <c r="W1821" s="27"/>
    </row>
    <row r="1822" spans="1:23" ht="24" customHeight="1">
      <c r="A1822" s="27" t="str">
        <f t="shared" ca="1" si="28"/>
        <v>EVT-2027-1820</v>
      </c>
      <c r="B1822" s="27">
        <v>2027</v>
      </c>
      <c r="C1822" s="27" t="s">
        <v>92</v>
      </c>
      <c r="D1822" s="30">
        <v>46447</v>
      </c>
      <c r="E1822" s="27" t="s">
        <v>224</v>
      </c>
      <c r="F1822" s="27" t="s">
        <v>126</v>
      </c>
      <c r="G1822" s="27"/>
      <c r="H1822" s="27"/>
      <c r="I1822" s="27"/>
      <c r="J1822" s="27" t="s">
        <v>177</v>
      </c>
      <c r="K1822" s="10">
        <v>0</v>
      </c>
      <c r="L1822" s="36" t="s">
        <v>263</v>
      </c>
      <c r="M1822" s="37"/>
      <c r="N1822" s="37"/>
      <c r="O1822" s="27"/>
      <c r="P1822" s="27"/>
      <c r="Q1822" s="27"/>
      <c r="R1822" s="27"/>
      <c r="S1822" s="2" t="s">
        <v>1859</v>
      </c>
      <c r="T1822" s="29" t="s">
        <v>265</v>
      </c>
      <c r="U1822" s="27"/>
      <c r="V1822" s="27"/>
      <c r="W1822" s="27"/>
    </row>
    <row r="1823" spans="1:23" ht="24" customHeight="1">
      <c r="A1823" s="27" t="str">
        <f t="shared" ca="1" si="28"/>
        <v>EVT-2027-1821</v>
      </c>
      <c r="B1823" s="27">
        <v>2027</v>
      </c>
      <c r="C1823" s="27" t="s">
        <v>92</v>
      </c>
      <c r="D1823" s="30">
        <v>46448</v>
      </c>
      <c r="E1823" s="27" t="s">
        <v>227</v>
      </c>
      <c r="F1823" s="27" t="s">
        <v>126</v>
      </c>
      <c r="G1823" s="27"/>
      <c r="H1823" s="27"/>
      <c r="I1823" s="27"/>
      <c r="J1823" s="27" t="s">
        <v>177</v>
      </c>
      <c r="K1823" s="10">
        <v>0</v>
      </c>
      <c r="L1823" s="36" t="s">
        <v>263</v>
      </c>
      <c r="M1823" s="37"/>
      <c r="N1823" s="37"/>
      <c r="O1823" s="27"/>
      <c r="P1823" s="27"/>
      <c r="Q1823" s="27"/>
      <c r="R1823" s="27"/>
      <c r="S1823" s="2" t="s">
        <v>1859</v>
      </c>
      <c r="T1823" s="29" t="s">
        <v>265</v>
      </c>
      <c r="U1823" s="27"/>
      <c r="V1823" s="27"/>
      <c r="W1823" s="27"/>
    </row>
    <row r="1824" spans="1:23" ht="24" customHeight="1">
      <c r="A1824" s="27" t="str">
        <f t="shared" ca="1" si="28"/>
        <v>EVT-2027-1822</v>
      </c>
      <c r="B1824" s="27">
        <v>2027</v>
      </c>
      <c r="C1824" s="27" t="s">
        <v>92</v>
      </c>
      <c r="D1824" s="30">
        <v>46449</v>
      </c>
      <c r="E1824" s="27" t="s">
        <v>201</v>
      </c>
      <c r="F1824" s="27" t="s">
        <v>126</v>
      </c>
      <c r="G1824" s="27"/>
      <c r="H1824" s="27"/>
      <c r="I1824" s="27"/>
      <c r="J1824" s="27" t="s">
        <v>177</v>
      </c>
      <c r="K1824" s="10">
        <v>0</v>
      </c>
      <c r="L1824" s="36" t="s">
        <v>263</v>
      </c>
      <c r="M1824" s="37"/>
      <c r="N1824" s="37"/>
      <c r="O1824" s="27"/>
      <c r="P1824" s="27"/>
      <c r="Q1824" s="27"/>
      <c r="R1824" s="27"/>
      <c r="S1824" s="2" t="s">
        <v>1859</v>
      </c>
      <c r="T1824" s="29" t="s">
        <v>265</v>
      </c>
      <c r="U1824" s="27"/>
      <c r="V1824" s="27"/>
      <c r="W1824" s="27"/>
    </row>
    <row r="1825" spans="1:23" ht="24" customHeight="1">
      <c r="A1825" s="27" t="str">
        <f t="shared" ca="1" si="28"/>
        <v>EVT-2027-1823</v>
      </c>
      <c r="B1825" s="27">
        <v>2027</v>
      </c>
      <c r="C1825" s="27" t="s">
        <v>92</v>
      </c>
      <c r="D1825" s="30">
        <v>46450</v>
      </c>
      <c r="E1825" s="27" t="s">
        <v>216</v>
      </c>
      <c r="F1825" s="27" t="s">
        <v>126</v>
      </c>
      <c r="G1825" s="27"/>
      <c r="H1825" s="27"/>
      <c r="I1825" s="27"/>
      <c r="J1825" s="27" t="s">
        <v>177</v>
      </c>
      <c r="K1825" s="10">
        <v>0</v>
      </c>
      <c r="L1825" s="36" t="s">
        <v>263</v>
      </c>
      <c r="M1825" s="37"/>
      <c r="N1825" s="37"/>
      <c r="O1825" s="27"/>
      <c r="P1825" s="27"/>
      <c r="Q1825" s="27"/>
      <c r="R1825" s="27"/>
      <c r="S1825" s="2" t="s">
        <v>1859</v>
      </c>
      <c r="T1825" s="29" t="s">
        <v>265</v>
      </c>
      <c r="U1825" s="27"/>
      <c r="V1825" s="27"/>
      <c r="W1825" s="27"/>
    </row>
    <row r="1826" spans="1:23" ht="24" customHeight="1">
      <c r="A1826" s="27" t="str">
        <f t="shared" ca="1" si="28"/>
        <v>EVT-2027-1824</v>
      </c>
      <c r="B1826" s="27">
        <v>2027</v>
      </c>
      <c r="C1826" s="27" t="s">
        <v>92</v>
      </c>
      <c r="D1826" s="30">
        <v>46451</v>
      </c>
      <c r="E1826" s="27" t="s">
        <v>220</v>
      </c>
      <c r="F1826" s="27" t="s">
        <v>126</v>
      </c>
      <c r="G1826" s="27"/>
      <c r="H1826" s="27"/>
      <c r="I1826" s="27"/>
      <c r="J1826" s="27" t="s">
        <v>177</v>
      </c>
      <c r="K1826" s="10">
        <v>0</v>
      </c>
      <c r="L1826" s="36" t="s">
        <v>263</v>
      </c>
      <c r="M1826" s="37"/>
      <c r="N1826" s="37"/>
      <c r="O1826" s="27"/>
      <c r="P1826" s="27"/>
      <c r="Q1826" s="27"/>
      <c r="R1826" s="27"/>
      <c r="S1826" s="2" t="s">
        <v>1859</v>
      </c>
      <c r="T1826" s="29" t="s">
        <v>265</v>
      </c>
      <c r="U1826" s="27"/>
      <c r="V1826" s="27"/>
      <c r="W1826" s="27"/>
    </row>
    <row r="1827" spans="1:23" ht="24" customHeight="1">
      <c r="A1827" s="27" t="str">
        <f t="shared" ca="1" si="28"/>
        <v>EVT-2027-1825</v>
      </c>
      <c r="B1827" s="27">
        <v>2027</v>
      </c>
      <c r="C1827" s="27" t="s">
        <v>92</v>
      </c>
      <c r="D1827" s="30">
        <v>46452</v>
      </c>
      <c r="E1827" s="27" t="s">
        <v>266</v>
      </c>
      <c r="F1827" s="27" t="s">
        <v>126</v>
      </c>
      <c r="G1827" s="27"/>
      <c r="H1827" s="27"/>
      <c r="I1827" s="27"/>
      <c r="J1827" s="27" t="s">
        <v>177</v>
      </c>
      <c r="K1827" s="10">
        <v>0</v>
      </c>
      <c r="L1827" s="36" t="s">
        <v>263</v>
      </c>
      <c r="M1827" s="37"/>
      <c r="N1827" s="37"/>
      <c r="O1827" s="27"/>
      <c r="P1827" s="27"/>
      <c r="Q1827" s="27"/>
      <c r="R1827" s="27"/>
      <c r="S1827" s="2" t="s">
        <v>1859</v>
      </c>
      <c r="T1827" s="29" t="s">
        <v>265</v>
      </c>
      <c r="U1827" s="27"/>
      <c r="V1827" s="27"/>
      <c r="W1827" s="27"/>
    </row>
    <row r="1828" spans="1:23" ht="24" customHeight="1">
      <c r="A1828" s="27" t="str">
        <f t="shared" ca="1" si="28"/>
        <v>EVT-2027-1826</v>
      </c>
      <c r="B1828" s="27">
        <v>2027</v>
      </c>
      <c r="C1828" s="27" t="s">
        <v>92</v>
      </c>
      <c r="D1828" s="30">
        <v>46453</v>
      </c>
      <c r="E1828" s="27" t="s">
        <v>267</v>
      </c>
      <c r="F1828" s="27" t="s">
        <v>126</v>
      </c>
      <c r="G1828" s="27"/>
      <c r="H1828" s="27"/>
      <c r="I1828" s="27"/>
      <c r="J1828" s="27" t="s">
        <v>177</v>
      </c>
      <c r="K1828" s="10">
        <v>0</v>
      </c>
      <c r="L1828" s="36" t="s">
        <v>263</v>
      </c>
      <c r="M1828" s="37"/>
      <c r="N1828" s="37"/>
      <c r="O1828" s="27"/>
      <c r="P1828" s="27"/>
      <c r="Q1828" s="27"/>
      <c r="R1828" s="27"/>
      <c r="S1828" s="2" t="s">
        <v>1859</v>
      </c>
      <c r="T1828" s="29" t="s">
        <v>265</v>
      </c>
      <c r="U1828" s="27"/>
      <c r="V1828" s="27"/>
      <c r="W1828" s="27"/>
    </row>
    <row r="1829" spans="1:23" ht="24" customHeight="1">
      <c r="A1829" s="27" t="str">
        <f t="shared" ca="1" si="28"/>
        <v>EVT-2027-1827</v>
      </c>
      <c r="B1829" s="27">
        <v>2027</v>
      </c>
      <c r="C1829" s="27" t="s">
        <v>92</v>
      </c>
      <c r="D1829" s="30">
        <v>46454</v>
      </c>
      <c r="E1829" s="27" t="s">
        <v>224</v>
      </c>
      <c r="F1829" s="27" t="s">
        <v>126</v>
      </c>
      <c r="G1829" s="27"/>
      <c r="H1829" s="27"/>
      <c r="I1829" s="27"/>
      <c r="J1829" s="27" t="s">
        <v>177</v>
      </c>
      <c r="K1829" s="10">
        <v>0</v>
      </c>
      <c r="L1829" s="36" t="s">
        <v>263</v>
      </c>
      <c r="M1829" s="37"/>
      <c r="N1829" s="37"/>
      <c r="O1829" s="27"/>
      <c r="P1829" s="27"/>
      <c r="Q1829" s="27"/>
      <c r="R1829" s="27"/>
      <c r="S1829" s="2" t="s">
        <v>1859</v>
      </c>
      <c r="T1829" s="29" t="s">
        <v>265</v>
      </c>
      <c r="U1829" s="27"/>
      <c r="V1829" s="27"/>
      <c r="W1829" s="27"/>
    </row>
    <row r="1830" spans="1:23" ht="24" customHeight="1">
      <c r="A1830" s="27" t="str">
        <f t="shared" ca="1" si="28"/>
        <v>EVT-2027-1828</v>
      </c>
      <c r="B1830" s="27">
        <v>2027</v>
      </c>
      <c r="C1830" s="27" t="s">
        <v>92</v>
      </c>
      <c r="D1830" s="30">
        <v>46455</v>
      </c>
      <c r="E1830" s="27" t="s">
        <v>227</v>
      </c>
      <c r="F1830" s="27" t="s">
        <v>126</v>
      </c>
      <c r="G1830" s="27"/>
      <c r="H1830" s="27"/>
      <c r="I1830" s="27"/>
      <c r="J1830" s="27" t="s">
        <v>177</v>
      </c>
      <c r="K1830" s="10">
        <v>0</v>
      </c>
      <c r="L1830" s="36" t="s">
        <v>263</v>
      </c>
      <c r="M1830" s="37"/>
      <c r="N1830" s="37"/>
      <c r="O1830" s="27"/>
      <c r="P1830" s="27"/>
      <c r="Q1830" s="27"/>
      <c r="R1830" s="27"/>
      <c r="S1830" s="2" t="s">
        <v>1859</v>
      </c>
      <c r="T1830" s="29" t="s">
        <v>265</v>
      </c>
      <c r="U1830" s="27"/>
      <c r="V1830" s="27"/>
      <c r="W1830" s="27"/>
    </row>
    <row r="1831" spans="1:23" ht="24" customHeight="1">
      <c r="A1831" s="27" t="str">
        <f t="shared" ca="1" si="28"/>
        <v>EVT-2027-1829</v>
      </c>
      <c r="B1831" s="27">
        <v>2027</v>
      </c>
      <c r="C1831" s="27" t="s">
        <v>92</v>
      </c>
      <c r="D1831" s="30">
        <v>46456</v>
      </c>
      <c r="E1831" s="27" t="s">
        <v>201</v>
      </c>
      <c r="F1831" s="27" t="s">
        <v>126</v>
      </c>
      <c r="G1831" s="27"/>
      <c r="H1831" s="27"/>
      <c r="I1831" s="27"/>
      <c r="J1831" s="27" t="s">
        <v>177</v>
      </c>
      <c r="K1831" s="10">
        <v>0</v>
      </c>
      <c r="L1831" s="36" t="s">
        <v>263</v>
      </c>
      <c r="M1831" s="37"/>
      <c r="N1831" s="37"/>
      <c r="O1831" s="27"/>
      <c r="P1831" s="27"/>
      <c r="Q1831" s="27"/>
      <c r="R1831" s="27"/>
      <c r="S1831" s="2" t="s">
        <v>1859</v>
      </c>
      <c r="T1831" s="29" t="s">
        <v>265</v>
      </c>
      <c r="U1831" s="27"/>
      <c r="V1831" s="27"/>
      <c r="W1831" s="27"/>
    </row>
    <row r="1832" spans="1:23" ht="24" customHeight="1">
      <c r="A1832" s="27" t="str">
        <f t="shared" ca="1" si="28"/>
        <v>EVT-2027-1830</v>
      </c>
      <c r="B1832" s="27">
        <v>2027</v>
      </c>
      <c r="C1832" s="27" t="s">
        <v>92</v>
      </c>
      <c r="D1832" s="30">
        <v>46457</v>
      </c>
      <c r="E1832" s="27" t="s">
        <v>216</v>
      </c>
      <c r="F1832" s="27" t="s">
        <v>126</v>
      </c>
      <c r="G1832" s="27"/>
      <c r="H1832" s="27"/>
      <c r="I1832" s="27"/>
      <c r="J1832" s="27" t="s">
        <v>177</v>
      </c>
      <c r="K1832" s="10">
        <v>0</v>
      </c>
      <c r="L1832" s="36" t="s">
        <v>263</v>
      </c>
      <c r="M1832" s="37"/>
      <c r="N1832" s="37"/>
      <c r="O1832" s="27"/>
      <c r="P1832" s="27"/>
      <c r="Q1832" s="27"/>
      <c r="R1832" s="27"/>
      <c r="S1832" s="2" t="s">
        <v>1859</v>
      </c>
      <c r="T1832" s="29" t="s">
        <v>265</v>
      </c>
      <c r="U1832" s="27"/>
      <c r="V1832" s="27"/>
      <c r="W1832" s="27"/>
    </row>
    <row r="1833" spans="1:23" ht="24" customHeight="1">
      <c r="A1833" s="27" t="str">
        <f t="shared" ca="1" si="28"/>
        <v>EVT-2027-1831</v>
      </c>
      <c r="B1833" s="27">
        <v>2027</v>
      </c>
      <c r="C1833" s="27" t="s">
        <v>92</v>
      </c>
      <c r="D1833" s="30">
        <v>46458</v>
      </c>
      <c r="E1833" s="27" t="s">
        <v>220</v>
      </c>
      <c r="F1833" s="27" t="s">
        <v>126</v>
      </c>
      <c r="G1833" s="27"/>
      <c r="H1833" s="27"/>
      <c r="I1833" s="27"/>
      <c r="J1833" s="27" t="s">
        <v>177</v>
      </c>
      <c r="K1833" s="10">
        <v>0</v>
      </c>
      <c r="L1833" s="36" t="s">
        <v>263</v>
      </c>
      <c r="M1833" s="37"/>
      <c r="N1833" s="37"/>
      <c r="O1833" s="27"/>
      <c r="P1833" s="27"/>
      <c r="Q1833" s="27"/>
      <c r="R1833" s="27"/>
      <c r="S1833" s="2" t="s">
        <v>1859</v>
      </c>
      <c r="T1833" s="29" t="s">
        <v>265</v>
      </c>
      <c r="U1833" s="27"/>
      <c r="V1833" s="27"/>
      <c r="W1833" s="27"/>
    </row>
    <row r="1834" spans="1:23" ht="24" customHeight="1">
      <c r="A1834" s="27" t="str">
        <f t="shared" ca="1" si="28"/>
        <v>EVT-2027-1832</v>
      </c>
      <c r="B1834" s="27">
        <v>2027</v>
      </c>
      <c r="C1834" s="27" t="s">
        <v>92</v>
      </c>
      <c r="D1834" s="30">
        <v>46459</v>
      </c>
      <c r="E1834" s="27" t="s">
        <v>266</v>
      </c>
      <c r="F1834" s="27" t="s">
        <v>126</v>
      </c>
      <c r="G1834" s="27"/>
      <c r="H1834" s="27"/>
      <c r="I1834" s="27"/>
      <c r="J1834" s="27" t="s">
        <v>177</v>
      </c>
      <c r="K1834" s="10">
        <v>0</v>
      </c>
      <c r="L1834" s="36" t="s">
        <v>263</v>
      </c>
      <c r="M1834" s="37"/>
      <c r="N1834" s="37"/>
      <c r="O1834" s="27"/>
      <c r="P1834" s="27"/>
      <c r="Q1834" s="27"/>
      <c r="R1834" s="27"/>
      <c r="S1834" s="2" t="s">
        <v>1859</v>
      </c>
      <c r="T1834" s="29" t="s">
        <v>265</v>
      </c>
      <c r="U1834" s="27"/>
      <c r="V1834" s="27"/>
      <c r="W1834" s="27"/>
    </row>
    <row r="1835" spans="1:23" ht="24" customHeight="1">
      <c r="A1835" s="27" t="str">
        <f t="shared" ca="1" si="28"/>
        <v>EVT-2027-1833</v>
      </c>
      <c r="B1835" s="27">
        <v>2027</v>
      </c>
      <c r="C1835" s="27" t="s">
        <v>92</v>
      </c>
      <c r="D1835" s="30">
        <v>46460</v>
      </c>
      <c r="E1835" s="27" t="s">
        <v>267</v>
      </c>
      <c r="F1835" s="27" t="s">
        <v>126</v>
      </c>
      <c r="G1835" s="27"/>
      <c r="H1835" s="27"/>
      <c r="I1835" s="27"/>
      <c r="J1835" s="27" t="s">
        <v>177</v>
      </c>
      <c r="K1835" s="10">
        <v>0</v>
      </c>
      <c r="L1835" s="36" t="s">
        <v>263</v>
      </c>
      <c r="M1835" s="37"/>
      <c r="N1835" s="37"/>
      <c r="O1835" s="27"/>
      <c r="P1835" s="27"/>
      <c r="Q1835" s="27"/>
      <c r="R1835" s="27"/>
      <c r="S1835" s="2" t="s">
        <v>1859</v>
      </c>
      <c r="T1835" s="29" t="s">
        <v>265</v>
      </c>
      <c r="U1835" s="27"/>
      <c r="V1835" s="27"/>
      <c r="W1835" s="27"/>
    </row>
    <row r="1836" spans="1:23" ht="24" customHeight="1">
      <c r="A1836" s="27" t="str">
        <f t="shared" ca="1" si="28"/>
        <v>EVT-2027-1834</v>
      </c>
      <c r="B1836" s="27">
        <v>2027</v>
      </c>
      <c r="C1836" s="27" t="s">
        <v>92</v>
      </c>
      <c r="D1836" s="30">
        <v>46461</v>
      </c>
      <c r="E1836" s="27" t="s">
        <v>224</v>
      </c>
      <c r="F1836" s="27" t="s">
        <v>126</v>
      </c>
      <c r="G1836" s="27"/>
      <c r="H1836" s="27"/>
      <c r="I1836" s="27"/>
      <c r="J1836" s="27" t="s">
        <v>177</v>
      </c>
      <c r="K1836" s="10">
        <v>0</v>
      </c>
      <c r="L1836" s="36" t="s">
        <v>263</v>
      </c>
      <c r="M1836" s="37"/>
      <c r="N1836" s="37"/>
      <c r="O1836" s="27"/>
      <c r="P1836" s="27"/>
      <c r="Q1836" s="27"/>
      <c r="R1836" s="27"/>
      <c r="S1836" s="2" t="s">
        <v>1859</v>
      </c>
      <c r="T1836" s="29" t="s">
        <v>265</v>
      </c>
      <c r="U1836" s="27"/>
      <c r="V1836" s="27"/>
      <c r="W1836" s="27"/>
    </row>
    <row r="1837" spans="1:23" ht="24" customHeight="1">
      <c r="A1837" s="27" t="str">
        <f t="shared" ca="1" si="28"/>
        <v>EVT-2027-1835</v>
      </c>
      <c r="B1837" s="27">
        <v>2027</v>
      </c>
      <c r="C1837" s="27" t="s">
        <v>92</v>
      </c>
      <c r="D1837" s="30">
        <v>46462</v>
      </c>
      <c r="E1837" s="27" t="s">
        <v>227</v>
      </c>
      <c r="F1837" s="27" t="s">
        <v>126</v>
      </c>
      <c r="G1837" s="27"/>
      <c r="H1837" s="27"/>
      <c r="I1837" s="27"/>
      <c r="J1837" s="27" t="s">
        <v>177</v>
      </c>
      <c r="K1837" s="10">
        <v>0</v>
      </c>
      <c r="L1837" s="36" t="s">
        <v>263</v>
      </c>
      <c r="M1837" s="37"/>
      <c r="N1837" s="37"/>
      <c r="O1837" s="27"/>
      <c r="P1837" s="27"/>
      <c r="Q1837" s="27"/>
      <c r="R1837" s="27"/>
      <c r="S1837" s="2" t="s">
        <v>1859</v>
      </c>
      <c r="T1837" s="29" t="s">
        <v>265</v>
      </c>
      <c r="U1837" s="27"/>
      <c r="V1837" s="27"/>
      <c r="W1837" s="27"/>
    </row>
    <row r="1838" spans="1:23" ht="24" customHeight="1">
      <c r="A1838" s="27" t="str">
        <f t="shared" ca="1" si="28"/>
        <v>EVT-2027-1836</v>
      </c>
      <c r="B1838" s="27">
        <v>2027</v>
      </c>
      <c r="C1838" s="27" t="s">
        <v>92</v>
      </c>
      <c r="D1838" s="30">
        <v>46463</v>
      </c>
      <c r="E1838" s="27" t="s">
        <v>201</v>
      </c>
      <c r="F1838" s="27" t="s">
        <v>126</v>
      </c>
      <c r="G1838" s="27"/>
      <c r="H1838" s="27"/>
      <c r="I1838" s="27"/>
      <c r="J1838" s="27" t="s">
        <v>177</v>
      </c>
      <c r="K1838" s="10">
        <v>0</v>
      </c>
      <c r="L1838" s="36" t="s">
        <v>263</v>
      </c>
      <c r="M1838" s="37"/>
      <c r="N1838" s="37"/>
      <c r="O1838" s="27"/>
      <c r="P1838" s="27"/>
      <c r="Q1838" s="27"/>
      <c r="R1838" s="27"/>
      <c r="S1838" s="2" t="s">
        <v>1859</v>
      </c>
      <c r="T1838" s="29" t="s">
        <v>265</v>
      </c>
      <c r="U1838" s="27"/>
      <c r="V1838" s="27"/>
      <c r="W1838" s="27"/>
    </row>
    <row r="1839" spans="1:23" ht="24" customHeight="1">
      <c r="A1839" s="27" t="str">
        <f t="shared" ca="1" si="28"/>
        <v>EVT-2027-1837</v>
      </c>
      <c r="B1839" s="27">
        <v>2027</v>
      </c>
      <c r="C1839" s="27" t="s">
        <v>92</v>
      </c>
      <c r="D1839" s="30">
        <v>46464</v>
      </c>
      <c r="E1839" s="27" t="s">
        <v>216</v>
      </c>
      <c r="F1839" s="27" t="s">
        <v>126</v>
      </c>
      <c r="G1839" s="27"/>
      <c r="H1839" s="27"/>
      <c r="I1839" s="27"/>
      <c r="J1839" s="27" t="s">
        <v>177</v>
      </c>
      <c r="K1839" s="10">
        <v>0</v>
      </c>
      <c r="L1839" s="36" t="s">
        <v>263</v>
      </c>
      <c r="M1839" s="37"/>
      <c r="N1839" s="37"/>
      <c r="O1839" s="27"/>
      <c r="P1839" s="27"/>
      <c r="Q1839" s="27"/>
      <c r="R1839" s="27"/>
      <c r="S1839" s="2" t="s">
        <v>1859</v>
      </c>
      <c r="T1839" s="29" t="s">
        <v>265</v>
      </c>
      <c r="U1839" s="27"/>
      <c r="V1839" s="27"/>
      <c r="W1839" s="27"/>
    </row>
    <row r="1840" spans="1:23" ht="24" customHeight="1">
      <c r="A1840" s="27" t="str">
        <f t="shared" ca="1" si="28"/>
        <v>EVT-2027-1838</v>
      </c>
      <c r="B1840" s="27">
        <v>2027</v>
      </c>
      <c r="C1840" s="27" t="s">
        <v>92</v>
      </c>
      <c r="D1840" s="30">
        <v>46465</v>
      </c>
      <c r="E1840" s="27" t="s">
        <v>220</v>
      </c>
      <c r="F1840" s="27" t="s">
        <v>126</v>
      </c>
      <c r="G1840" s="27"/>
      <c r="H1840" s="27"/>
      <c r="I1840" s="27"/>
      <c r="J1840" s="27" t="s">
        <v>177</v>
      </c>
      <c r="K1840" s="10">
        <v>0</v>
      </c>
      <c r="L1840" s="36" t="s">
        <v>263</v>
      </c>
      <c r="M1840" s="37"/>
      <c r="N1840" s="37"/>
      <c r="O1840" s="27"/>
      <c r="P1840" s="27"/>
      <c r="Q1840" s="27"/>
      <c r="R1840" s="27"/>
      <c r="S1840" s="2" t="s">
        <v>1859</v>
      </c>
      <c r="T1840" s="29" t="s">
        <v>265</v>
      </c>
      <c r="U1840" s="27"/>
      <c r="V1840" s="27"/>
      <c r="W1840" s="27"/>
    </row>
    <row r="1841" spans="1:23" ht="24" customHeight="1">
      <c r="A1841" s="27" t="str">
        <f t="shared" ca="1" si="28"/>
        <v>EVT-2027-1839</v>
      </c>
      <c r="B1841" s="27">
        <v>2027</v>
      </c>
      <c r="C1841" s="27" t="s">
        <v>92</v>
      </c>
      <c r="D1841" s="30">
        <v>46466</v>
      </c>
      <c r="E1841" s="27" t="s">
        <v>266</v>
      </c>
      <c r="F1841" s="27" t="s">
        <v>126</v>
      </c>
      <c r="G1841" s="27"/>
      <c r="H1841" s="27"/>
      <c r="I1841" s="27"/>
      <c r="J1841" s="27" t="s">
        <v>177</v>
      </c>
      <c r="K1841" s="10">
        <v>0</v>
      </c>
      <c r="L1841" s="36" t="s">
        <v>263</v>
      </c>
      <c r="M1841" s="37"/>
      <c r="N1841" s="37"/>
      <c r="O1841" s="27"/>
      <c r="P1841" s="27"/>
      <c r="Q1841" s="27"/>
      <c r="R1841" s="27"/>
      <c r="S1841" s="2" t="s">
        <v>1859</v>
      </c>
      <c r="T1841" s="29" t="s">
        <v>265</v>
      </c>
      <c r="U1841" s="27"/>
      <c r="V1841" s="27"/>
      <c r="W1841" s="27"/>
    </row>
    <row r="1842" spans="1:23" ht="24" customHeight="1">
      <c r="A1842" s="27" t="str">
        <f t="shared" ca="1" si="28"/>
        <v>EVT-2027-1840</v>
      </c>
      <c r="B1842" s="27">
        <v>2027</v>
      </c>
      <c r="C1842" s="27" t="s">
        <v>92</v>
      </c>
      <c r="D1842" s="30">
        <v>46467</v>
      </c>
      <c r="E1842" s="27" t="s">
        <v>267</v>
      </c>
      <c r="F1842" s="27" t="s">
        <v>126</v>
      </c>
      <c r="G1842" s="27"/>
      <c r="H1842" s="27"/>
      <c r="I1842" s="27"/>
      <c r="J1842" s="27" t="s">
        <v>177</v>
      </c>
      <c r="K1842" s="10">
        <v>0</v>
      </c>
      <c r="L1842" s="36" t="s">
        <v>263</v>
      </c>
      <c r="M1842" s="37"/>
      <c r="N1842" s="37"/>
      <c r="O1842" s="27"/>
      <c r="P1842" s="27"/>
      <c r="Q1842" s="27"/>
      <c r="R1842" s="27"/>
      <c r="S1842" s="2" t="s">
        <v>1859</v>
      </c>
      <c r="T1842" s="29" t="s">
        <v>265</v>
      </c>
      <c r="U1842" s="27"/>
      <c r="V1842" s="27"/>
      <c r="W1842" s="27"/>
    </row>
    <row r="1843" spans="1:23" ht="24" customHeight="1">
      <c r="A1843" s="27" t="str">
        <f t="shared" ca="1" si="28"/>
        <v>EVT-2027-1841</v>
      </c>
      <c r="B1843" s="27">
        <v>2027</v>
      </c>
      <c r="C1843" s="27" t="s">
        <v>92</v>
      </c>
      <c r="D1843" s="30">
        <v>46468</v>
      </c>
      <c r="E1843" s="27" t="s">
        <v>224</v>
      </c>
      <c r="F1843" s="27" t="s">
        <v>126</v>
      </c>
      <c r="G1843" s="27"/>
      <c r="H1843" s="27"/>
      <c r="I1843" s="27"/>
      <c r="J1843" s="27" t="s">
        <v>177</v>
      </c>
      <c r="K1843" s="10">
        <v>0</v>
      </c>
      <c r="L1843" s="36" t="s">
        <v>263</v>
      </c>
      <c r="M1843" s="37"/>
      <c r="N1843" s="37"/>
      <c r="O1843" s="27"/>
      <c r="P1843" s="27"/>
      <c r="Q1843" s="27"/>
      <c r="R1843" s="27"/>
      <c r="S1843" s="2" t="s">
        <v>1859</v>
      </c>
      <c r="T1843" s="29" t="s">
        <v>265</v>
      </c>
      <c r="U1843" s="27"/>
      <c r="V1843" s="27"/>
      <c r="W1843" s="27"/>
    </row>
    <row r="1844" spans="1:23" ht="24" customHeight="1">
      <c r="A1844" s="27" t="str">
        <f t="shared" ca="1" si="28"/>
        <v>EVT-2027-1842</v>
      </c>
      <c r="B1844" s="27">
        <v>2027</v>
      </c>
      <c r="C1844" s="27" t="s">
        <v>92</v>
      </c>
      <c r="D1844" s="30">
        <v>46469</v>
      </c>
      <c r="E1844" s="27" t="s">
        <v>227</v>
      </c>
      <c r="F1844" s="27" t="s">
        <v>126</v>
      </c>
      <c r="G1844" s="27"/>
      <c r="H1844" s="27"/>
      <c r="I1844" s="27"/>
      <c r="J1844" s="27" t="s">
        <v>177</v>
      </c>
      <c r="K1844" s="10">
        <v>0</v>
      </c>
      <c r="L1844" s="36" t="s">
        <v>263</v>
      </c>
      <c r="M1844" s="37"/>
      <c r="N1844" s="37"/>
      <c r="O1844" s="27"/>
      <c r="P1844" s="27"/>
      <c r="Q1844" s="27"/>
      <c r="R1844" s="27"/>
      <c r="S1844" s="2" t="s">
        <v>1859</v>
      </c>
      <c r="T1844" s="29" t="s">
        <v>265</v>
      </c>
      <c r="U1844" s="27"/>
      <c r="V1844" s="27"/>
      <c r="W1844" s="27"/>
    </row>
    <row r="1845" spans="1:23" ht="24" customHeight="1">
      <c r="A1845" s="27" t="str">
        <f t="shared" ca="1" si="28"/>
        <v>EVT-2027-1843</v>
      </c>
      <c r="B1845" s="27">
        <v>2027</v>
      </c>
      <c r="C1845" s="27" t="s">
        <v>92</v>
      </c>
      <c r="D1845" s="30">
        <v>46470</v>
      </c>
      <c r="E1845" s="27" t="s">
        <v>201</v>
      </c>
      <c r="F1845" s="27" t="s">
        <v>126</v>
      </c>
      <c r="G1845" s="27"/>
      <c r="H1845" s="27"/>
      <c r="I1845" s="27"/>
      <c r="J1845" s="27" t="s">
        <v>177</v>
      </c>
      <c r="K1845" s="10">
        <v>0</v>
      </c>
      <c r="L1845" s="36" t="s">
        <v>263</v>
      </c>
      <c r="M1845" s="37"/>
      <c r="N1845" s="37"/>
      <c r="O1845" s="27"/>
      <c r="P1845" s="27"/>
      <c r="Q1845" s="27"/>
      <c r="R1845" s="27"/>
      <c r="S1845" s="2" t="s">
        <v>1859</v>
      </c>
      <c r="T1845" s="29" t="s">
        <v>265</v>
      </c>
      <c r="U1845" s="27"/>
      <c r="V1845" s="27"/>
      <c r="W1845" s="27"/>
    </row>
    <row r="1846" spans="1:23" ht="24" customHeight="1">
      <c r="A1846" s="27" t="str">
        <f t="shared" ca="1" si="28"/>
        <v>EVT-2027-1844</v>
      </c>
      <c r="B1846" s="27">
        <v>2027</v>
      </c>
      <c r="C1846" s="27" t="s">
        <v>92</v>
      </c>
      <c r="D1846" s="30">
        <v>46472</v>
      </c>
      <c r="E1846" s="27" t="s">
        <v>220</v>
      </c>
      <c r="F1846" s="27" t="s">
        <v>126</v>
      </c>
      <c r="G1846" s="27" t="s">
        <v>228</v>
      </c>
      <c r="H1846" s="27" t="s">
        <v>1512</v>
      </c>
      <c r="I1846" s="27" t="s">
        <v>1801</v>
      </c>
      <c r="J1846" s="27" t="s">
        <v>139</v>
      </c>
      <c r="K1846" s="10">
        <v>50</v>
      </c>
      <c r="L1846" s="36" t="s">
        <v>263</v>
      </c>
      <c r="M1846" s="37" t="s">
        <v>295</v>
      </c>
      <c r="N1846" s="37" t="s">
        <v>270</v>
      </c>
      <c r="O1846" s="27" t="s">
        <v>382</v>
      </c>
      <c r="P1846" s="27"/>
      <c r="Q1846" s="27" t="s">
        <v>916</v>
      </c>
      <c r="R1846" s="27"/>
      <c r="S1846" s="2" t="s">
        <v>1859</v>
      </c>
      <c r="T1846" s="29" t="s">
        <v>265</v>
      </c>
      <c r="U1846" s="27"/>
      <c r="V1846" s="27" t="s">
        <v>1803</v>
      </c>
      <c r="W1846" s="27" t="s">
        <v>1177</v>
      </c>
    </row>
    <row r="1847" spans="1:23" ht="24" customHeight="1">
      <c r="A1847" s="27" t="str">
        <f t="shared" ca="1" si="28"/>
        <v>EVT-2027-1845</v>
      </c>
      <c r="B1847" s="27">
        <v>2027</v>
      </c>
      <c r="C1847" s="27" t="s">
        <v>92</v>
      </c>
      <c r="D1847" s="30">
        <v>46473</v>
      </c>
      <c r="E1847" s="27" t="s">
        <v>266</v>
      </c>
      <c r="F1847" s="27" t="s">
        <v>126</v>
      </c>
      <c r="G1847" s="27"/>
      <c r="H1847" s="27"/>
      <c r="I1847" s="27"/>
      <c r="J1847" s="27" t="s">
        <v>177</v>
      </c>
      <c r="K1847" s="10">
        <v>0</v>
      </c>
      <c r="L1847" s="36" t="s">
        <v>263</v>
      </c>
      <c r="M1847" s="37"/>
      <c r="N1847" s="37"/>
      <c r="O1847" s="27"/>
      <c r="P1847" s="27"/>
      <c r="Q1847" s="27"/>
      <c r="R1847" s="27"/>
      <c r="S1847" s="2" t="s">
        <v>1859</v>
      </c>
      <c r="T1847" s="29" t="s">
        <v>265</v>
      </c>
      <c r="U1847" s="27"/>
      <c r="V1847" s="27"/>
      <c r="W1847" s="27"/>
    </row>
    <row r="1848" spans="1:23" ht="24" customHeight="1">
      <c r="A1848" s="27" t="str">
        <f t="shared" ca="1" si="28"/>
        <v>EVT-2027-1846</v>
      </c>
      <c r="B1848" s="27">
        <v>2027</v>
      </c>
      <c r="C1848" s="27" t="s">
        <v>92</v>
      </c>
      <c r="D1848" s="30">
        <v>46474</v>
      </c>
      <c r="E1848" s="27" t="s">
        <v>267</v>
      </c>
      <c r="F1848" s="27" t="s">
        <v>126</v>
      </c>
      <c r="G1848" s="27"/>
      <c r="H1848" s="27"/>
      <c r="I1848" s="27"/>
      <c r="J1848" s="27" t="s">
        <v>177</v>
      </c>
      <c r="K1848" s="10">
        <v>0</v>
      </c>
      <c r="L1848" s="36" t="s">
        <v>263</v>
      </c>
      <c r="M1848" s="37"/>
      <c r="N1848" s="37"/>
      <c r="O1848" s="27"/>
      <c r="P1848" s="27"/>
      <c r="Q1848" s="27"/>
      <c r="R1848" s="27"/>
      <c r="S1848" s="2" t="s">
        <v>1859</v>
      </c>
      <c r="T1848" s="29" t="s">
        <v>265</v>
      </c>
      <c r="U1848" s="27"/>
      <c r="V1848" s="27"/>
      <c r="W1848" s="27"/>
    </row>
    <row r="1849" spans="1:23" ht="24" customHeight="1">
      <c r="A1849" s="27" t="str">
        <f t="shared" ca="1" si="28"/>
        <v>EVT-2027-1847</v>
      </c>
      <c r="B1849" s="27">
        <v>2027</v>
      </c>
      <c r="C1849" s="27" t="s">
        <v>92</v>
      </c>
      <c r="D1849" s="30">
        <v>46475</v>
      </c>
      <c r="E1849" s="27" t="s">
        <v>224</v>
      </c>
      <c r="F1849" s="27" t="s">
        <v>126</v>
      </c>
      <c r="G1849" s="27"/>
      <c r="H1849" s="27"/>
      <c r="I1849" s="27"/>
      <c r="J1849" s="27" t="s">
        <v>177</v>
      </c>
      <c r="K1849" s="10">
        <v>0</v>
      </c>
      <c r="L1849" s="36" t="s">
        <v>263</v>
      </c>
      <c r="M1849" s="37"/>
      <c r="N1849" s="37"/>
      <c r="O1849" s="27"/>
      <c r="P1849" s="27"/>
      <c r="Q1849" s="27"/>
      <c r="R1849" s="27"/>
      <c r="S1849" s="2" t="s">
        <v>1859</v>
      </c>
      <c r="T1849" s="29" t="s">
        <v>265</v>
      </c>
      <c r="U1849" s="27"/>
      <c r="V1849" s="27"/>
      <c r="W1849" s="27"/>
    </row>
    <row r="1850" spans="1:23" ht="24" customHeight="1">
      <c r="A1850" s="27" t="str">
        <f t="shared" ca="1" si="28"/>
        <v>EVT-2027-1848</v>
      </c>
      <c r="B1850" s="27">
        <v>2027</v>
      </c>
      <c r="C1850" s="27" t="s">
        <v>92</v>
      </c>
      <c r="D1850" s="30">
        <v>46476</v>
      </c>
      <c r="E1850" s="27" t="s">
        <v>227</v>
      </c>
      <c r="F1850" s="27" t="s">
        <v>126</v>
      </c>
      <c r="G1850" s="27"/>
      <c r="H1850" s="27"/>
      <c r="I1850" s="27"/>
      <c r="J1850" s="27" t="s">
        <v>177</v>
      </c>
      <c r="K1850" s="10">
        <v>0</v>
      </c>
      <c r="L1850" s="36" t="s">
        <v>263</v>
      </c>
      <c r="M1850" s="37"/>
      <c r="N1850" s="37"/>
      <c r="O1850" s="27"/>
      <c r="P1850" s="27"/>
      <c r="Q1850" s="27"/>
      <c r="R1850" s="27"/>
      <c r="S1850" s="2" t="s">
        <v>1859</v>
      </c>
      <c r="T1850" s="29" t="s">
        <v>265</v>
      </c>
      <c r="U1850" s="27"/>
      <c r="V1850" s="27"/>
      <c r="W1850" s="27"/>
    </row>
    <row r="1851" spans="1:23" ht="24" customHeight="1">
      <c r="A1851" s="27" t="str">
        <f t="shared" ca="1" si="28"/>
        <v>EVT-2027-1849</v>
      </c>
      <c r="B1851" s="27">
        <v>2027</v>
      </c>
      <c r="C1851" s="27" t="s">
        <v>92</v>
      </c>
      <c r="D1851" s="30">
        <v>46477</v>
      </c>
      <c r="E1851" s="27" t="s">
        <v>201</v>
      </c>
      <c r="F1851" s="27" t="s">
        <v>126</v>
      </c>
      <c r="G1851" s="27"/>
      <c r="H1851" s="27"/>
      <c r="I1851" s="27"/>
      <c r="J1851" s="27" t="s">
        <v>177</v>
      </c>
      <c r="K1851" s="10">
        <v>0</v>
      </c>
      <c r="L1851" s="36" t="s">
        <v>263</v>
      </c>
      <c r="M1851" s="37"/>
      <c r="N1851" s="37"/>
      <c r="O1851" s="27"/>
      <c r="P1851" s="27"/>
      <c r="Q1851" s="27"/>
      <c r="R1851" s="27"/>
      <c r="S1851" s="2" t="s">
        <v>1859</v>
      </c>
      <c r="T1851" s="29" t="s">
        <v>265</v>
      </c>
      <c r="U1851" s="27"/>
      <c r="V1851" s="27"/>
      <c r="W1851" s="27"/>
    </row>
    <row r="1852" spans="1:23" ht="24" customHeight="1">
      <c r="A1852" s="27" t="str">
        <f t="shared" ca="1" si="28"/>
        <v>EVT-2027-1850</v>
      </c>
      <c r="B1852" s="27">
        <v>2027</v>
      </c>
      <c r="C1852" s="27" t="s">
        <v>92</v>
      </c>
      <c r="D1852" s="27"/>
      <c r="E1852" s="27"/>
      <c r="F1852" s="27" t="s">
        <v>126</v>
      </c>
      <c r="G1852" s="27"/>
      <c r="H1852" s="27"/>
      <c r="I1852" s="27"/>
      <c r="J1852" s="27" t="s">
        <v>177</v>
      </c>
      <c r="K1852" s="10">
        <v>0</v>
      </c>
      <c r="L1852" s="36" t="s">
        <v>263</v>
      </c>
      <c r="M1852" s="37"/>
      <c r="N1852" s="37"/>
      <c r="O1852" s="27"/>
      <c r="P1852" s="27"/>
      <c r="Q1852" s="27"/>
      <c r="R1852" s="27"/>
      <c r="S1852" s="1" t="s">
        <v>264</v>
      </c>
      <c r="T1852" s="29" t="s">
        <v>265</v>
      </c>
      <c r="U1852" s="27"/>
      <c r="V1852" s="27"/>
      <c r="W1852" s="27"/>
    </row>
    <row r="1853" spans="1:23" ht="24" customHeight="1">
      <c r="A1853" s="27" t="str">
        <f t="shared" ca="1" si="28"/>
        <v>EVT-2027-1851</v>
      </c>
      <c r="B1853" s="27">
        <v>2027</v>
      </c>
      <c r="C1853" s="27" t="s">
        <v>92</v>
      </c>
      <c r="D1853" s="27"/>
      <c r="E1853" s="27"/>
      <c r="F1853" s="27" t="s">
        <v>126</v>
      </c>
      <c r="G1853" s="27"/>
      <c r="H1853" s="27"/>
      <c r="I1853" s="27"/>
      <c r="J1853" s="27" t="s">
        <v>177</v>
      </c>
      <c r="K1853" s="10">
        <v>0</v>
      </c>
      <c r="L1853" s="36" t="s">
        <v>263</v>
      </c>
      <c r="M1853" s="37"/>
      <c r="N1853" s="37"/>
      <c r="O1853" s="27"/>
      <c r="P1853" s="27"/>
      <c r="Q1853" s="27"/>
      <c r="R1853" s="27"/>
      <c r="S1853" s="1" t="s">
        <v>264</v>
      </c>
      <c r="T1853" s="29" t="s">
        <v>265</v>
      </c>
      <c r="U1853" s="27"/>
      <c r="V1853" s="27"/>
      <c r="W1853" s="27"/>
    </row>
    <row r="1854" spans="1:23" ht="24" customHeight="1">
      <c r="A1854" s="27" t="str">
        <f t="shared" ca="1" si="28"/>
        <v>EVT-2027-1852</v>
      </c>
      <c r="B1854" s="27">
        <v>2027</v>
      </c>
      <c r="C1854" s="27" t="s">
        <v>92</v>
      </c>
      <c r="D1854" s="27"/>
      <c r="E1854" s="27"/>
      <c r="F1854" s="27" t="s">
        <v>126</v>
      </c>
      <c r="G1854" s="27"/>
      <c r="H1854" s="27"/>
      <c r="I1854" s="27"/>
      <c r="J1854" s="27" t="s">
        <v>177</v>
      </c>
      <c r="K1854" s="10">
        <v>0</v>
      </c>
      <c r="L1854" s="36" t="s">
        <v>263</v>
      </c>
      <c r="M1854" s="37"/>
      <c r="N1854" s="37"/>
      <c r="O1854" s="27"/>
      <c r="P1854" s="27"/>
      <c r="Q1854" s="27"/>
      <c r="R1854" s="27"/>
      <c r="S1854" s="1" t="s">
        <v>264</v>
      </c>
      <c r="T1854" s="29" t="s">
        <v>265</v>
      </c>
      <c r="U1854" s="27"/>
      <c r="V1854" s="27"/>
      <c r="W1854" s="27"/>
    </row>
    <row r="1855" spans="1:23" ht="24" customHeight="1">
      <c r="A1855" s="27" t="str">
        <f t="shared" ca="1" si="28"/>
        <v>EVT-2027-1853</v>
      </c>
      <c r="B1855" s="27">
        <v>2027</v>
      </c>
      <c r="C1855" s="27" t="s">
        <v>92</v>
      </c>
      <c r="D1855" s="27"/>
      <c r="E1855" s="27"/>
      <c r="F1855" s="27" t="s">
        <v>126</v>
      </c>
      <c r="G1855" s="27"/>
      <c r="H1855" s="27"/>
      <c r="I1855" s="27"/>
      <c r="J1855" s="27" t="s">
        <v>177</v>
      </c>
      <c r="K1855" s="10">
        <v>0</v>
      </c>
      <c r="L1855" s="36" t="s">
        <v>263</v>
      </c>
      <c r="M1855" s="37"/>
      <c r="N1855" s="37"/>
      <c r="O1855" s="27"/>
      <c r="P1855" s="27"/>
      <c r="Q1855" s="27"/>
      <c r="R1855" s="27"/>
      <c r="S1855" s="1" t="s">
        <v>264</v>
      </c>
      <c r="T1855" s="29" t="s">
        <v>265</v>
      </c>
      <c r="U1855" s="27"/>
      <c r="V1855" s="27"/>
      <c r="W1855" s="27"/>
    </row>
    <row r="1856" spans="1:23" ht="24" customHeight="1">
      <c r="A1856" s="27" t="str">
        <f t="shared" ca="1" si="28"/>
        <v>EVT-2027-1854</v>
      </c>
      <c r="B1856" s="27">
        <v>2027</v>
      </c>
      <c r="C1856" s="27" t="s">
        <v>92</v>
      </c>
      <c r="D1856" s="27"/>
      <c r="E1856" s="27"/>
      <c r="F1856" s="27" t="s">
        <v>126</v>
      </c>
      <c r="G1856" s="27"/>
      <c r="H1856" s="27"/>
      <c r="I1856" s="27"/>
      <c r="J1856" s="27" t="s">
        <v>177</v>
      </c>
      <c r="K1856" s="10">
        <v>0</v>
      </c>
      <c r="L1856" s="36" t="s">
        <v>263</v>
      </c>
      <c r="M1856" s="37"/>
      <c r="N1856" s="37"/>
      <c r="O1856" s="27"/>
      <c r="P1856" s="27"/>
      <c r="Q1856" s="27"/>
      <c r="R1856" s="27"/>
      <c r="S1856" s="1" t="s">
        <v>264</v>
      </c>
      <c r="T1856" s="29" t="s">
        <v>265</v>
      </c>
      <c r="U1856" s="27"/>
      <c r="V1856" s="27"/>
      <c r="W1856" s="27"/>
    </row>
    <row r="1857" spans="1:23" ht="24" customHeight="1">
      <c r="A1857" s="27" t="str">
        <f t="shared" ca="1" si="28"/>
        <v>EVT-2027-1855</v>
      </c>
      <c r="B1857" s="27">
        <v>2027</v>
      </c>
      <c r="C1857" s="27" t="s">
        <v>92</v>
      </c>
      <c r="D1857" s="27"/>
      <c r="E1857" s="27"/>
      <c r="F1857" s="27" t="s">
        <v>126</v>
      </c>
      <c r="G1857" s="27"/>
      <c r="H1857" s="27"/>
      <c r="I1857" s="27"/>
      <c r="J1857" s="27" t="s">
        <v>177</v>
      </c>
      <c r="K1857" s="10">
        <v>0</v>
      </c>
      <c r="L1857" s="36" t="s">
        <v>263</v>
      </c>
      <c r="M1857" s="37"/>
      <c r="N1857" s="37"/>
      <c r="O1857" s="27"/>
      <c r="P1857" s="27"/>
      <c r="Q1857" s="27"/>
      <c r="R1857" s="27"/>
      <c r="S1857" s="1" t="s">
        <v>264</v>
      </c>
      <c r="T1857" s="29" t="s">
        <v>265</v>
      </c>
      <c r="U1857" s="27"/>
      <c r="V1857" s="27"/>
      <c r="W1857" s="27"/>
    </row>
    <row r="1858" spans="1:23" ht="24" customHeight="1">
      <c r="A1858" s="27" t="str">
        <f t="shared" ca="1" si="28"/>
        <v>EVT-2027-1856</v>
      </c>
      <c r="B1858" s="27">
        <v>2027</v>
      </c>
      <c r="C1858" s="27" t="s">
        <v>92</v>
      </c>
      <c r="D1858" s="27"/>
      <c r="E1858" s="27"/>
      <c r="F1858" s="27" t="s">
        <v>126</v>
      </c>
      <c r="G1858" s="27"/>
      <c r="H1858" s="27"/>
      <c r="I1858" s="27"/>
      <c r="J1858" s="27" t="s">
        <v>177</v>
      </c>
      <c r="K1858" s="10">
        <v>0</v>
      </c>
      <c r="L1858" s="36" t="s">
        <v>263</v>
      </c>
      <c r="M1858" s="37"/>
      <c r="N1858" s="37"/>
      <c r="O1858" s="27"/>
      <c r="P1858" s="27"/>
      <c r="Q1858" s="27"/>
      <c r="R1858" s="27"/>
      <c r="S1858" s="1" t="s">
        <v>264</v>
      </c>
      <c r="T1858" s="29" t="s">
        <v>265</v>
      </c>
      <c r="U1858" s="27"/>
      <c r="V1858" s="27"/>
      <c r="W1858" s="27"/>
    </row>
    <row r="1859" spans="1:23" ht="24" customHeight="1">
      <c r="A1859" s="27" t="str">
        <f t="shared" ref="A1859" ca="1" si="29">IF(OR(D1859&lt;&gt;"",H1859&lt;&gt;"",I1859&lt;&gt;"",Q1859&lt;&gt;"",S1859&lt;&gt;""), "EVT-" &amp; TEXT(B1859, "0000") &amp; "-" &amp; TEXT(COUNTIF(OFFSET($A$1, 1, 0, ROW()-2, 1), "EVT*") + 1, "0000"), "")</f>
        <v>EVT-2027-1857</v>
      </c>
      <c r="B1859" s="27">
        <v>2027</v>
      </c>
      <c r="C1859" s="27" t="s">
        <v>92</v>
      </c>
      <c r="D1859" s="27"/>
      <c r="E1859" s="27"/>
      <c r="F1859" s="27" t="s">
        <v>126</v>
      </c>
      <c r="G1859" s="27"/>
      <c r="H1859" s="27"/>
      <c r="I1859" s="27"/>
      <c r="J1859" s="27" t="s">
        <v>177</v>
      </c>
      <c r="K1859" s="10">
        <v>0</v>
      </c>
      <c r="L1859" s="36" t="s">
        <v>263</v>
      </c>
      <c r="M1859" s="37"/>
      <c r="N1859" s="37"/>
      <c r="O1859" s="27"/>
      <c r="P1859" s="27"/>
      <c r="Q1859" s="27"/>
      <c r="R1859" s="27"/>
      <c r="S1859" s="1" t="s">
        <v>264</v>
      </c>
      <c r="T1859" s="29" t="s">
        <v>265</v>
      </c>
      <c r="U1859" s="27"/>
      <c r="V1859" s="27"/>
      <c r="W1859" s="27"/>
    </row>
  </sheetData>
  <mergeCells count="3">
    <mergeCell ref="A1:C1"/>
    <mergeCell ref="Q1:W1"/>
    <mergeCell ref="D1:P1"/>
  </mergeCells>
  <dataValidations count="4">
    <dataValidation type="list" allowBlank="1" sqref="R3:S1755 S3:S1907" xr:uid="{00000000-0002-0000-0100-000000000000}">
      <formula1>"Confirmed (Done),Pending Calendar Booking,Canceled"</formula1>
    </dataValidation>
    <dataValidation type="list" allowBlank="1" sqref="S3:S1755" xr:uid="{00000000-0002-0000-0100-000001000000}">
      <formula1>"Form sent,NA"</formula1>
    </dataValidation>
    <dataValidation type="list" allowBlank="1" sqref="L3:L1907" xr:uid="{00000000-0002-0000-0100-000002000000}">
      <formula1>"Big Event,Small Event"</formula1>
    </dataValidation>
    <dataValidation type="list" allowBlank="1" sqref="T3:T1907" xr:uid="{00000000-0002-0000-0100-000003000000}">
      <formula1>"Form sent,Not Required,NA"</formula1>
    </dataValidation>
  </dataValidations>
  <hyperlinks>
    <hyperlink ref="A1" location="'Dashboard'!A1" display="🏠 ⮌ BACK TO DASHBOARD"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0"/>
  <sheetViews>
    <sheetView topLeftCell="J1" workbookViewId="0">
      <pane ySplit="2" topLeftCell="A3" activePane="bottomLeft" state="frozen"/>
      <selection pane="bottomLeft" sqref="A1:C1"/>
    </sheetView>
  </sheetViews>
  <sheetFormatPr defaultRowHeight="14.45"/>
  <cols>
    <col min="1" max="1" width="18" customWidth="1"/>
    <col min="2" max="2" width="15" customWidth="1"/>
    <col min="3" max="3" width="12" customWidth="1"/>
    <col min="4" max="5" width="48" customWidth="1"/>
    <col min="6" max="6" width="12" customWidth="1"/>
    <col min="7" max="7" width="15" customWidth="1"/>
    <col min="8" max="8" width="19" customWidth="1"/>
    <col min="9" max="9" width="17" customWidth="1"/>
    <col min="10" max="10" width="36" customWidth="1"/>
    <col min="11" max="11" width="22" customWidth="1"/>
    <col min="12" max="12" width="29" customWidth="1"/>
    <col min="13" max="13" width="25" customWidth="1"/>
    <col min="14" max="14" width="15" customWidth="1"/>
    <col min="15" max="15" width="25" customWidth="1"/>
    <col min="16" max="16" width="18" customWidth="1"/>
    <col min="17" max="17" width="48" customWidth="1"/>
    <col min="18" max="18" width="32" customWidth="1"/>
  </cols>
  <sheetData>
    <row r="1" spans="1:18" ht="27.95" customHeight="1">
      <c r="A1" s="62" t="s">
        <v>2138</v>
      </c>
      <c r="B1" s="134"/>
      <c r="C1" s="135"/>
      <c r="D1" s="63" t="s">
        <v>2139</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t="shared" ref="A3:A50" ca="1" si="0">IF(OR(D3&lt;&gt;"", E3&lt;&gt;"", K3&lt;&gt;"", N3&lt;&gt;""), "EVT-2026-" &amp; TEXT(COUNTIF(OFFSET($A$1, 1, 0, ROW()-2, 1), "EVT*") + 1, "0000"), "")</f>
        <v/>
      </c>
      <c r="B3" s="30">
        <v>46023</v>
      </c>
      <c r="C3" s="27" t="s">
        <v>216</v>
      </c>
      <c r="D3" s="27"/>
      <c r="E3" s="27"/>
      <c r="F3" s="10"/>
      <c r="G3" s="36" t="s">
        <v>263</v>
      </c>
      <c r="H3" s="37"/>
      <c r="I3" s="37"/>
      <c r="J3" s="27"/>
      <c r="K3" s="27"/>
      <c r="L3" s="27"/>
      <c r="M3" s="27"/>
      <c r="N3" s="27"/>
      <c r="O3" s="1" t="s">
        <v>264</v>
      </c>
      <c r="P3" s="29" t="s">
        <v>265</v>
      </c>
      <c r="Q3" s="27"/>
      <c r="R3" s="27"/>
    </row>
    <row r="4" spans="1:18" ht="24" customHeight="1">
      <c r="A4" s="27" t="str">
        <f t="shared" ca="1" si="0"/>
        <v/>
      </c>
      <c r="B4" s="30">
        <v>46024</v>
      </c>
      <c r="C4" s="27" t="s">
        <v>220</v>
      </c>
      <c r="D4" s="27"/>
      <c r="E4" s="27"/>
      <c r="F4" s="10"/>
      <c r="G4" s="36" t="s">
        <v>263</v>
      </c>
      <c r="H4" s="37"/>
      <c r="I4" s="37"/>
      <c r="J4" s="27"/>
      <c r="K4" s="27"/>
      <c r="L4" s="27"/>
      <c r="M4" s="27"/>
      <c r="N4" s="27"/>
      <c r="O4" s="1" t="s">
        <v>264</v>
      </c>
      <c r="P4" s="29" t="s">
        <v>265</v>
      </c>
      <c r="Q4" s="27"/>
      <c r="R4" s="27"/>
    </row>
    <row r="5" spans="1:18" ht="24" customHeight="1">
      <c r="A5" s="27" t="str">
        <f t="shared" ca="1" si="0"/>
        <v/>
      </c>
      <c r="B5" s="30">
        <v>46025</v>
      </c>
      <c r="C5" s="27" t="s">
        <v>266</v>
      </c>
      <c r="D5" s="27"/>
      <c r="E5" s="27"/>
      <c r="F5" s="10"/>
      <c r="G5" s="36" t="s">
        <v>263</v>
      </c>
      <c r="H5" s="37"/>
      <c r="I5" s="37"/>
      <c r="J5" s="27"/>
      <c r="K5" s="27"/>
      <c r="L5" s="27"/>
      <c r="M5" s="27"/>
      <c r="N5" s="27"/>
      <c r="O5" s="1" t="s">
        <v>264</v>
      </c>
      <c r="P5" s="29" t="s">
        <v>265</v>
      </c>
      <c r="Q5" s="27"/>
      <c r="R5" s="27"/>
    </row>
    <row r="6" spans="1:18" ht="24" customHeight="1">
      <c r="A6" s="27" t="str">
        <f t="shared" ca="1" si="0"/>
        <v/>
      </c>
      <c r="B6" s="30">
        <v>46026</v>
      </c>
      <c r="C6" s="27" t="s">
        <v>267</v>
      </c>
      <c r="D6" s="27"/>
      <c r="E6" s="27"/>
      <c r="F6" s="10"/>
      <c r="G6" s="36" t="s">
        <v>263</v>
      </c>
      <c r="H6" s="37"/>
      <c r="I6" s="37"/>
      <c r="J6" s="27"/>
      <c r="K6" s="27"/>
      <c r="L6" s="27"/>
      <c r="M6" s="27"/>
      <c r="N6" s="27"/>
      <c r="O6" s="1" t="s">
        <v>264</v>
      </c>
      <c r="P6" s="29" t="s">
        <v>265</v>
      </c>
      <c r="Q6" s="27"/>
      <c r="R6" s="27"/>
    </row>
    <row r="7" spans="1:18" ht="24" customHeight="1">
      <c r="A7" s="27" t="str">
        <f t="shared" ca="1" si="0"/>
        <v>EVT-2026-0001</v>
      </c>
      <c r="B7" s="30">
        <v>46027</v>
      </c>
      <c r="C7" s="27" t="s">
        <v>224</v>
      </c>
      <c r="D7" s="27" t="s">
        <v>235</v>
      </c>
      <c r="E7" s="27" t="s">
        <v>268</v>
      </c>
      <c r="F7" s="10">
        <v>35</v>
      </c>
      <c r="G7" s="36" t="s">
        <v>263</v>
      </c>
      <c r="H7" s="37" t="s">
        <v>269</v>
      </c>
      <c r="I7" s="37" t="s">
        <v>270</v>
      </c>
      <c r="J7" s="27" t="s">
        <v>271</v>
      </c>
      <c r="K7" s="27"/>
      <c r="L7" s="27" t="s">
        <v>237</v>
      </c>
      <c r="M7" s="27"/>
      <c r="N7" s="30">
        <v>46001</v>
      </c>
      <c r="O7" s="1" t="s">
        <v>264</v>
      </c>
      <c r="P7" s="29" t="s">
        <v>265</v>
      </c>
      <c r="Q7" s="27" t="s">
        <v>272</v>
      </c>
      <c r="R7" s="27"/>
    </row>
    <row r="8" spans="1:18" ht="24" customHeight="1">
      <c r="A8" s="27" t="str">
        <f t="shared" ca="1" si="0"/>
        <v>EVT-2026-0002</v>
      </c>
      <c r="B8" s="30">
        <v>46027</v>
      </c>
      <c r="C8" s="27" t="s">
        <v>224</v>
      </c>
      <c r="D8" s="27" t="s">
        <v>171</v>
      </c>
      <c r="E8" s="27" t="s">
        <v>268</v>
      </c>
      <c r="F8" s="10">
        <v>35</v>
      </c>
      <c r="G8" s="36" t="s">
        <v>263</v>
      </c>
      <c r="H8" s="37" t="s">
        <v>269</v>
      </c>
      <c r="I8" s="37" t="s">
        <v>270</v>
      </c>
      <c r="J8" s="27" t="s">
        <v>271</v>
      </c>
      <c r="K8" s="27"/>
      <c r="L8" s="27" t="s">
        <v>237</v>
      </c>
      <c r="M8" s="27"/>
      <c r="N8" s="27"/>
      <c r="O8" s="1" t="s">
        <v>264</v>
      </c>
      <c r="P8" s="29" t="s">
        <v>265</v>
      </c>
      <c r="Q8" s="27" t="s">
        <v>272</v>
      </c>
      <c r="R8" s="27"/>
    </row>
    <row r="9" spans="1:18" ht="24" customHeight="1">
      <c r="A9" s="27" t="str">
        <f t="shared" ca="1" si="0"/>
        <v/>
      </c>
      <c r="B9" s="30">
        <v>46028</v>
      </c>
      <c r="C9" s="27" t="s">
        <v>227</v>
      </c>
      <c r="D9" s="27"/>
      <c r="E9" s="27"/>
      <c r="F9" s="10"/>
      <c r="G9" s="36" t="s">
        <v>263</v>
      </c>
      <c r="H9" s="37"/>
      <c r="I9" s="37"/>
      <c r="J9" s="27"/>
      <c r="K9" s="27"/>
      <c r="L9" s="27"/>
      <c r="M9" s="27"/>
      <c r="N9" s="27"/>
      <c r="O9" s="1" t="s">
        <v>264</v>
      </c>
      <c r="P9" s="29" t="s">
        <v>265</v>
      </c>
      <c r="Q9" s="27"/>
      <c r="R9" s="27"/>
    </row>
    <row r="10" spans="1:18" ht="24" customHeight="1">
      <c r="A10" s="27" t="str">
        <f t="shared" ca="1" si="0"/>
        <v/>
      </c>
      <c r="B10" s="30">
        <v>46029</v>
      </c>
      <c r="C10" s="27" t="s">
        <v>201</v>
      </c>
      <c r="D10" s="27"/>
      <c r="E10" s="27"/>
      <c r="F10" s="10"/>
      <c r="G10" s="36" t="s">
        <v>263</v>
      </c>
      <c r="H10" s="37"/>
      <c r="I10" s="37"/>
      <c r="J10" s="27"/>
      <c r="K10" s="27"/>
      <c r="L10" s="27"/>
      <c r="M10" s="27"/>
      <c r="N10" s="27"/>
      <c r="O10" s="1" t="s">
        <v>264</v>
      </c>
      <c r="P10" s="29" t="s">
        <v>265</v>
      </c>
      <c r="Q10" s="27"/>
      <c r="R10" s="27"/>
    </row>
    <row r="11" spans="1:18" ht="24" customHeight="1">
      <c r="A11" s="27" t="str">
        <f t="shared" ca="1" si="0"/>
        <v/>
      </c>
      <c r="B11" s="30">
        <v>46030</v>
      </c>
      <c r="C11" s="27" t="s">
        <v>216</v>
      </c>
      <c r="D11" s="27"/>
      <c r="E11" s="27"/>
      <c r="F11" s="10"/>
      <c r="G11" s="36" t="s">
        <v>263</v>
      </c>
      <c r="H11" s="37"/>
      <c r="I11" s="37"/>
      <c r="J11" s="27"/>
      <c r="K11" s="27"/>
      <c r="L11" s="27"/>
      <c r="M11" s="27"/>
      <c r="N11" s="27"/>
      <c r="O11" s="1" t="s">
        <v>264</v>
      </c>
      <c r="P11" s="29" t="s">
        <v>265</v>
      </c>
      <c r="Q11" s="27"/>
      <c r="R11" s="27"/>
    </row>
    <row r="12" spans="1:18" ht="24" customHeight="1">
      <c r="A12" s="27" t="str">
        <f t="shared" ca="1" si="0"/>
        <v/>
      </c>
      <c r="B12" s="30">
        <v>46031</v>
      </c>
      <c r="C12" s="27" t="s">
        <v>220</v>
      </c>
      <c r="D12" s="27"/>
      <c r="E12" s="27"/>
      <c r="F12" s="10"/>
      <c r="G12" s="36" t="s">
        <v>263</v>
      </c>
      <c r="H12" s="37"/>
      <c r="I12" s="37"/>
      <c r="J12" s="27"/>
      <c r="K12" s="27"/>
      <c r="L12" s="27"/>
      <c r="M12" s="27"/>
      <c r="N12" s="27"/>
      <c r="O12" s="1" t="s">
        <v>264</v>
      </c>
      <c r="P12" s="29" t="s">
        <v>265</v>
      </c>
      <c r="Q12" s="27"/>
      <c r="R12" s="27"/>
    </row>
    <row r="13" spans="1:18" ht="24" customHeight="1">
      <c r="A13" s="27" t="str">
        <f t="shared" ca="1" si="0"/>
        <v>EVT-2026-0003</v>
      </c>
      <c r="B13" s="30">
        <v>46032</v>
      </c>
      <c r="C13" s="27" t="s">
        <v>266</v>
      </c>
      <c r="D13" s="27" t="s">
        <v>235</v>
      </c>
      <c r="E13" s="27" t="s">
        <v>273</v>
      </c>
      <c r="F13" s="10">
        <v>20</v>
      </c>
      <c r="G13" s="36" t="s">
        <v>263</v>
      </c>
      <c r="H13" s="37" t="s">
        <v>274</v>
      </c>
      <c r="I13" s="37" t="s">
        <v>275</v>
      </c>
      <c r="J13" s="27" t="s">
        <v>276</v>
      </c>
      <c r="K13" s="27"/>
      <c r="L13" s="27" t="s">
        <v>277</v>
      </c>
      <c r="M13" s="27"/>
      <c r="N13" s="27"/>
      <c r="O13" s="1" t="s">
        <v>264</v>
      </c>
      <c r="P13" s="29" t="s">
        <v>265</v>
      </c>
      <c r="Q13" s="27" t="s">
        <v>278</v>
      </c>
      <c r="R13" s="27"/>
    </row>
    <row r="14" spans="1:18" ht="24" customHeight="1">
      <c r="A14" s="27" t="str">
        <f t="shared" ca="1" si="0"/>
        <v>EVT-2026-0004</v>
      </c>
      <c r="B14" s="30">
        <v>46032</v>
      </c>
      <c r="C14" s="27" t="s">
        <v>266</v>
      </c>
      <c r="D14" s="27" t="s">
        <v>279</v>
      </c>
      <c r="E14" s="27" t="s">
        <v>280</v>
      </c>
      <c r="F14" s="10"/>
      <c r="G14" s="36" t="s">
        <v>263</v>
      </c>
      <c r="H14" s="37" t="s">
        <v>281</v>
      </c>
      <c r="I14" s="37" t="s">
        <v>270</v>
      </c>
      <c r="J14" s="27"/>
      <c r="K14" s="27"/>
      <c r="L14" s="27" t="s">
        <v>282</v>
      </c>
      <c r="M14" s="27"/>
      <c r="N14" s="27"/>
      <c r="O14" s="1" t="s">
        <v>264</v>
      </c>
      <c r="P14" s="29" t="s">
        <v>265</v>
      </c>
      <c r="Q14" s="27" t="s">
        <v>283</v>
      </c>
      <c r="R14" s="27"/>
    </row>
    <row r="15" spans="1:18" ht="24" customHeight="1">
      <c r="A15" s="27" t="str">
        <f t="shared" ca="1" si="0"/>
        <v/>
      </c>
      <c r="B15" s="30">
        <v>46033</v>
      </c>
      <c r="C15" s="27" t="s">
        <v>267</v>
      </c>
      <c r="D15" s="27"/>
      <c r="E15" s="27"/>
      <c r="F15" s="10"/>
      <c r="G15" s="36" t="s">
        <v>263</v>
      </c>
      <c r="H15" s="37"/>
      <c r="I15" s="37"/>
      <c r="J15" s="27"/>
      <c r="K15" s="27"/>
      <c r="L15" s="27"/>
      <c r="M15" s="27"/>
      <c r="N15" s="27"/>
      <c r="O15" s="1" t="s">
        <v>264</v>
      </c>
      <c r="P15" s="29" t="s">
        <v>265</v>
      </c>
      <c r="Q15" s="27"/>
      <c r="R15" s="27"/>
    </row>
    <row r="16" spans="1:18" ht="24" customHeight="1">
      <c r="A16" s="27" t="str">
        <f t="shared" ca="1" si="0"/>
        <v>EVT-2026-0005</v>
      </c>
      <c r="B16" s="30">
        <v>46034</v>
      </c>
      <c r="C16" s="27" t="s">
        <v>224</v>
      </c>
      <c r="D16" s="27" t="s">
        <v>235</v>
      </c>
      <c r="E16" s="27" t="s">
        <v>284</v>
      </c>
      <c r="F16" s="10">
        <v>40</v>
      </c>
      <c r="G16" s="36" t="s">
        <v>263</v>
      </c>
      <c r="H16" s="37" t="s">
        <v>269</v>
      </c>
      <c r="I16" s="37" t="s">
        <v>270</v>
      </c>
      <c r="J16" s="27" t="s">
        <v>271</v>
      </c>
      <c r="K16" s="27"/>
      <c r="L16" s="27" t="s">
        <v>237</v>
      </c>
      <c r="M16" s="27"/>
      <c r="N16" s="27"/>
      <c r="O16" s="1" t="s">
        <v>264</v>
      </c>
      <c r="P16" s="29" t="s">
        <v>265</v>
      </c>
      <c r="Q16" s="27" t="s">
        <v>285</v>
      </c>
      <c r="R16" s="27"/>
    </row>
    <row r="17" spans="1:18" ht="24" customHeight="1">
      <c r="A17" s="27" t="str">
        <f t="shared" ca="1" si="0"/>
        <v>EVT-2026-0006</v>
      </c>
      <c r="B17" s="30">
        <v>46034</v>
      </c>
      <c r="C17" s="27" t="s">
        <v>224</v>
      </c>
      <c r="D17" s="27" t="s">
        <v>171</v>
      </c>
      <c r="E17" s="27" t="s">
        <v>284</v>
      </c>
      <c r="F17" s="10">
        <v>20</v>
      </c>
      <c r="G17" s="36" t="s">
        <v>263</v>
      </c>
      <c r="H17" s="37" t="s">
        <v>269</v>
      </c>
      <c r="I17" s="37" t="s">
        <v>270</v>
      </c>
      <c r="J17" s="27" t="s">
        <v>271</v>
      </c>
      <c r="K17" s="27"/>
      <c r="L17" s="27" t="s">
        <v>237</v>
      </c>
      <c r="M17" s="27"/>
      <c r="N17" s="27"/>
      <c r="O17" s="1" t="s">
        <v>264</v>
      </c>
      <c r="P17" s="29" t="s">
        <v>265</v>
      </c>
      <c r="Q17" s="27" t="s">
        <v>286</v>
      </c>
      <c r="R17" s="27"/>
    </row>
    <row r="18" spans="1:18" ht="24" customHeight="1">
      <c r="A18" s="27" t="str">
        <f t="shared" ca="1" si="0"/>
        <v/>
      </c>
      <c r="B18" s="30">
        <v>46035</v>
      </c>
      <c r="C18" s="27" t="s">
        <v>227</v>
      </c>
      <c r="D18" s="27"/>
      <c r="E18" s="27"/>
      <c r="F18" s="10"/>
      <c r="G18" s="36" t="s">
        <v>263</v>
      </c>
      <c r="H18" s="37"/>
      <c r="I18" s="37"/>
      <c r="J18" s="27"/>
      <c r="K18" s="27"/>
      <c r="L18" s="27"/>
      <c r="M18" s="27"/>
      <c r="N18" s="27"/>
      <c r="O18" s="1" t="s">
        <v>264</v>
      </c>
      <c r="P18" s="29" t="s">
        <v>265</v>
      </c>
      <c r="Q18" s="27" t="s">
        <v>287</v>
      </c>
      <c r="R18" s="27"/>
    </row>
    <row r="19" spans="1:18" ht="24" customHeight="1">
      <c r="A19" s="27" t="str">
        <f t="shared" ca="1" si="0"/>
        <v>EVT-2026-0007</v>
      </c>
      <c r="B19" s="30">
        <v>46036</v>
      </c>
      <c r="C19" s="27" t="s">
        <v>201</v>
      </c>
      <c r="D19" s="27" t="s">
        <v>235</v>
      </c>
      <c r="E19" s="27" t="s">
        <v>284</v>
      </c>
      <c r="F19" s="10">
        <v>25</v>
      </c>
      <c r="G19" s="36" t="s">
        <v>263</v>
      </c>
      <c r="H19" s="37" t="s">
        <v>269</v>
      </c>
      <c r="I19" s="37" t="s">
        <v>270</v>
      </c>
      <c r="J19" s="27" t="s">
        <v>271</v>
      </c>
      <c r="K19" s="27"/>
      <c r="L19" s="27" t="s">
        <v>237</v>
      </c>
      <c r="M19" s="27"/>
      <c r="N19" s="27"/>
      <c r="O19" s="1" t="s">
        <v>264</v>
      </c>
      <c r="P19" s="29" t="s">
        <v>265</v>
      </c>
      <c r="Q19" s="27"/>
      <c r="R19" s="27"/>
    </row>
    <row r="20" spans="1:18" ht="24" customHeight="1">
      <c r="A20" s="27" t="str">
        <f t="shared" ca="1" si="0"/>
        <v>EVT-2026-0008</v>
      </c>
      <c r="B20" s="30">
        <v>46036</v>
      </c>
      <c r="C20" s="27" t="s">
        <v>201</v>
      </c>
      <c r="D20" s="27" t="s">
        <v>171</v>
      </c>
      <c r="E20" s="27"/>
      <c r="F20" s="10"/>
      <c r="G20" s="36" t="s">
        <v>263</v>
      </c>
      <c r="H20" s="37"/>
      <c r="I20" s="37"/>
      <c r="J20" s="27"/>
      <c r="K20" s="27"/>
      <c r="L20" s="27"/>
      <c r="M20" s="27"/>
      <c r="N20" s="27"/>
      <c r="O20" s="1" t="s">
        <v>264</v>
      </c>
      <c r="P20" s="29" t="s">
        <v>265</v>
      </c>
      <c r="Q20" s="27"/>
      <c r="R20" s="27"/>
    </row>
    <row r="21" spans="1:18" ht="24" customHeight="1">
      <c r="A21" s="27" t="str">
        <f t="shared" ca="1" si="0"/>
        <v>EVT-2026-0009</v>
      </c>
      <c r="B21" s="30">
        <v>46037</v>
      </c>
      <c r="C21" s="27" t="s">
        <v>216</v>
      </c>
      <c r="D21" s="27" t="s">
        <v>235</v>
      </c>
      <c r="E21" s="27" t="s">
        <v>288</v>
      </c>
      <c r="F21" s="10">
        <v>25</v>
      </c>
      <c r="G21" s="36" t="s">
        <v>263</v>
      </c>
      <c r="H21" s="37" t="s">
        <v>289</v>
      </c>
      <c r="I21" s="37" t="s">
        <v>290</v>
      </c>
      <c r="J21" s="27"/>
      <c r="K21" s="27"/>
      <c r="L21" s="27" t="s">
        <v>237</v>
      </c>
      <c r="M21" s="27"/>
      <c r="N21" s="27"/>
      <c r="O21" s="1" t="s">
        <v>264</v>
      </c>
      <c r="P21" s="29" t="s">
        <v>265</v>
      </c>
      <c r="Q21" s="27" t="s">
        <v>291</v>
      </c>
      <c r="R21" s="27"/>
    </row>
    <row r="22" spans="1:18" ht="24" customHeight="1">
      <c r="A22" s="27" t="str">
        <f t="shared" ca="1" si="0"/>
        <v>EVT-2026-0010</v>
      </c>
      <c r="B22" s="30">
        <v>46037</v>
      </c>
      <c r="C22" s="27" t="s">
        <v>216</v>
      </c>
      <c r="D22" s="27" t="s">
        <v>292</v>
      </c>
      <c r="E22" s="27" t="s">
        <v>293</v>
      </c>
      <c r="F22" s="10">
        <v>200</v>
      </c>
      <c r="G22" s="38" t="s">
        <v>294</v>
      </c>
      <c r="H22" s="37" t="s">
        <v>295</v>
      </c>
      <c r="I22" s="37" t="s">
        <v>296</v>
      </c>
      <c r="J22" s="27"/>
      <c r="K22" s="27"/>
      <c r="L22" s="27" t="s">
        <v>297</v>
      </c>
      <c r="M22" s="27"/>
      <c r="N22" s="30" t="s">
        <v>2145</v>
      </c>
      <c r="O22" s="1" t="s">
        <v>264</v>
      </c>
      <c r="P22" s="29" t="s">
        <v>265</v>
      </c>
      <c r="Q22" s="27" t="s">
        <v>298</v>
      </c>
      <c r="R22" s="27"/>
    </row>
    <row r="23" spans="1:18" ht="24" customHeight="1">
      <c r="A23" s="27" t="str">
        <f t="shared" ca="1" si="0"/>
        <v>EVT-2026-0011</v>
      </c>
      <c r="B23" s="30">
        <v>46038</v>
      </c>
      <c r="C23" s="27" t="s">
        <v>220</v>
      </c>
      <c r="D23" s="27" t="s">
        <v>239</v>
      </c>
      <c r="E23" s="27" t="s">
        <v>299</v>
      </c>
      <c r="F23" s="10">
        <v>50</v>
      </c>
      <c r="G23" s="36" t="s">
        <v>263</v>
      </c>
      <c r="H23" s="37" t="s">
        <v>295</v>
      </c>
      <c r="I23" s="37" t="s">
        <v>290</v>
      </c>
      <c r="J23" s="27"/>
      <c r="K23" s="27"/>
      <c r="L23" s="27" t="s">
        <v>237</v>
      </c>
      <c r="M23" s="27"/>
      <c r="N23" s="27"/>
      <c r="O23" s="1" t="s">
        <v>264</v>
      </c>
      <c r="P23" s="29" t="s">
        <v>265</v>
      </c>
      <c r="Q23" s="27" t="s">
        <v>298</v>
      </c>
      <c r="R23" s="27"/>
    </row>
    <row r="24" spans="1:18" ht="24" customHeight="1">
      <c r="A24" s="27" t="str">
        <f t="shared" ca="1" si="0"/>
        <v>EVT-2026-0012</v>
      </c>
      <c r="B24" s="30">
        <v>46039</v>
      </c>
      <c r="C24" s="27" t="s">
        <v>266</v>
      </c>
      <c r="D24" s="27"/>
      <c r="E24" s="27" t="s">
        <v>300</v>
      </c>
      <c r="F24" s="10"/>
      <c r="G24" s="36" t="s">
        <v>263</v>
      </c>
      <c r="H24" s="37" t="s">
        <v>269</v>
      </c>
      <c r="I24" s="37" t="s">
        <v>270</v>
      </c>
      <c r="J24" s="27"/>
      <c r="K24" s="27"/>
      <c r="L24" s="27" t="s">
        <v>301</v>
      </c>
      <c r="M24" s="27"/>
      <c r="N24" s="27"/>
      <c r="O24" s="1" t="s">
        <v>264</v>
      </c>
      <c r="P24" s="29" t="s">
        <v>265</v>
      </c>
      <c r="Q24" s="27"/>
      <c r="R24" s="27"/>
    </row>
    <row r="25" spans="1:18" ht="24" customHeight="1">
      <c r="A25" s="27" t="str">
        <f t="shared" ca="1" si="0"/>
        <v/>
      </c>
      <c r="B25" s="30">
        <v>46040</v>
      </c>
      <c r="C25" s="27" t="s">
        <v>267</v>
      </c>
      <c r="D25" s="27"/>
      <c r="E25" s="27"/>
      <c r="F25" s="10"/>
      <c r="G25" s="36" t="s">
        <v>263</v>
      </c>
      <c r="H25" s="37"/>
      <c r="I25" s="37"/>
      <c r="J25" s="27"/>
      <c r="K25" s="27"/>
      <c r="L25" s="27"/>
      <c r="M25" s="27"/>
      <c r="N25" s="27"/>
      <c r="O25" s="1" t="s">
        <v>264</v>
      </c>
      <c r="P25" s="29" t="s">
        <v>265</v>
      </c>
      <c r="Q25" s="27"/>
      <c r="R25" s="27"/>
    </row>
    <row r="26" spans="1:18" ht="24" customHeight="1">
      <c r="A26" s="27" t="str">
        <f t="shared" ca="1" si="0"/>
        <v>EVT-2026-0013</v>
      </c>
      <c r="B26" s="30">
        <v>46041</v>
      </c>
      <c r="C26" s="27" t="s">
        <v>224</v>
      </c>
      <c r="D26" s="27" t="s">
        <v>235</v>
      </c>
      <c r="E26" s="27" t="s">
        <v>302</v>
      </c>
      <c r="F26" s="10">
        <v>70</v>
      </c>
      <c r="G26" s="36" t="s">
        <v>263</v>
      </c>
      <c r="H26" s="37" t="s">
        <v>269</v>
      </c>
      <c r="I26" s="37" t="s">
        <v>270</v>
      </c>
      <c r="J26" s="27" t="s">
        <v>271</v>
      </c>
      <c r="K26" s="27"/>
      <c r="L26" s="27" t="s">
        <v>237</v>
      </c>
      <c r="M26" s="27"/>
      <c r="N26" s="30">
        <v>46001</v>
      </c>
      <c r="O26" s="1" t="s">
        <v>264</v>
      </c>
      <c r="P26" s="29" t="s">
        <v>265</v>
      </c>
      <c r="Q26" s="27" t="s">
        <v>303</v>
      </c>
      <c r="R26" s="27"/>
    </row>
    <row r="27" spans="1:18" ht="24" customHeight="1">
      <c r="A27" s="27" t="str">
        <f t="shared" ca="1" si="0"/>
        <v>EVT-2026-0014</v>
      </c>
      <c r="B27" s="30">
        <v>46041</v>
      </c>
      <c r="C27" s="27" t="s">
        <v>224</v>
      </c>
      <c r="D27" s="27" t="s">
        <v>171</v>
      </c>
      <c r="E27" s="27"/>
      <c r="F27" s="10"/>
      <c r="G27" s="36" t="s">
        <v>263</v>
      </c>
      <c r="H27" s="37"/>
      <c r="I27" s="37"/>
      <c r="J27" s="27"/>
      <c r="K27" s="27"/>
      <c r="L27" s="27" t="s">
        <v>237</v>
      </c>
      <c r="M27" s="27"/>
      <c r="N27" s="27"/>
      <c r="O27" s="1" t="s">
        <v>264</v>
      </c>
      <c r="P27" s="29" t="s">
        <v>265</v>
      </c>
      <c r="Q27" s="27" t="s">
        <v>303</v>
      </c>
      <c r="R27" s="27"/>
    </row>
    <row r="28" spans="1:18" ht="24" customHeight="1">
      <c r="A28" s="27" t="str">
        <f t="shared" ca="1" si="0"/>
        <v>EVT-2026-0015</v>
      </c>
      <c r="B28" s="30">
        <v>46042</v>
      </c>
      <c r="C28" s="27" t="s">
        <v>227</v>
      </c>
      <c r="D28" s="27" t="s">
        <v>235</v>
      </c>
      <c r="E28" s="27" t="s">
        <v>304</v>
      </c>
      <c r="F28" s="10"/>
      <c r="G28" s="36" t="s">
        <v>263</v>
      </c>
      <c r="H28" s="37" t="s">
        <v>281</v>
      </c>
      <c r="I28" s="37" t="s">
        <v>290</v>
      </c>
      <c r="J28" s="27" t="s">
        <v>305</v>
      </c>
      <c r="K28" s="27"/>
      <c r="L28" s="27" t="s">
        <v>237</v>
      </c>
      <c r="M28" s="27"/>
      <c r="N28" s="30">
        <v>46364</v>
      </c>
      <c r="O28" s="1" t="s">
        <v>264</v>
      </c>
      <c r="P28" s="29" t="s">
        <v>265</v>
      </c>
      <c r="Q28" s="27" t="s">
        <v>306</v>
      </c>
      <c r="R28" s="27"/>
    </row>
    <row r="29" spans="1:18" ht="24" customHeight="1">
      <c r="A29" s="27" t="str">
        <f t="shared" ca="1" si="0"/>
        <v/>
      </c>
      <c r="B29" s="30">
        <v>46042</v>
      </c>
      <c r="C29" s="27" t="s">
        <v>227</v>
      </c>
      <c r="D29" s="27"/>
      <c r="E29" s="27"/>
      <c r="F29" s="10"/>
      <c r="G29" s="36" t="s">
        <v>263</v>
      </c>
      <c r="H29" s="37"/>
      <c r="I29" s="37"/>
      <c r="J29" s="27"/>
      <c r="K29" s="27"/>
      <c r="L29" s="27"/>
      <c r="M29" s="27"/>
      <c r="N29" s="27"/>
      <c r="O29" s="1" t="s">
        <v>264</v>
      </c>
      <c r="P29" s="29" t="s">
        <v>265</v>
      </c>
      <c r="Q29" s="27" t="s">
        <v>307</v>
      </c>
      <c r="R29" s="27"/>
    </row>
    <row r="30" spans="1:18" ht="24" customHeight="1">
      <c r="A30" s="27" t="str">
        <f t="shared" ca="1" si="0"/>
        <v>EVT-2026-0016</v>
      </c>
      <c r="B30" s="30">
        <v>46042</v>
      </c>
      <c r="C30" s="27" t="s">
        <v>227</v>
      </c>
      <c r="D30" s="27" t="s">
        <v>171</v>
      </c>
      <c r="E30" s="27" t="s">
        <v>308</v>
      </c>
      <c r="F30" s="10">
        <v>30</v>
      </c>
      <c r="G30" s="36" t="s">
        <v>263</v>
      </c>
      <c r="H30" s="37" t="s">
        <v>309</v>
      </c>
      <c r="I30" s="37" t="s">
        <v>296</v>
      </c>
      <c r="J30" s="27"/>
      <c r="K30" s="27"/>
      <c r="L30" s="27" t="s">
        <v>310</v>
      </c>
      <c r="M30" s="27"/>
      <c r="N30" s="30" t="s">
        <v>2146</v>
      </c>
      <c r="O30" s="1" t="s">
        <v>264</v>
      </c>
      <c r="P30" s="29" t="s">
        <v>265</v>
      </c>
      <c r="Q30" s="27" t="s">
        <v>311</v>
      </c>
      <c r="R30" s="27"/>
    </row>
    <row r="31" spans="1:18" ht="24" customHeight="1">
      <c r="A31" s="27" t="str">
        <f t="shared" ca="1" si="0"/>
        <v>EVT-2026-0017</v>
      </c>
      <c r="B31" s="30">
        <v>46043</v>
      </c>
      <c r="C31" s="27" t="s">
        <v>201</v>
      </c>
      <c r="D31" s="27" t="s">
        <v>171</v>
      </c>
      <c r="E31" s="27" t="s">
        <v>308</v>
      </c>
      <c r="F31" s="10">
        <v>30</v>
      </c>
      <c r="G31" s="36" t="s">
        <v>263</v>
      </c>
      <c r="H31" s="37" t="s">
        <v>309</v>
      </c>
      <c r="I31" s="37" t="s">
        <v>296</v>
      </c>
      <c r="J31" s="27"/>
      <c r="K31" s="27"/>
      <c r="L31" s="27" t="s">
        <v>310</v>
      </c>
      <c r="M31" s="27"/>
      <c r="N31" s="30" t="s">
        <v>2146</v>
      </c>
      <c r="O31" s="3" t="s">
        <v>312</v>
      </c>
      <c r="P31" s="29" t="s">
        <v>265</v>
      </c>
      <c r="Q31" s="27" t="s">
        <v>311</v>
      </c>
      <c r="R31" s="27"/>
    </row>
    <row r="32" spans="1:18" ht="24" customHeight="1">
      <c r="A32" s="27" t="str">
        <f t="shared" ca="1" si="0"/>
        <v>EVT-2026-0018</v>
      </c>
      <c r="B32" s="30">
        <v>46044</v>
      </c>
      <c r="C32" s="27" t="s">
        <v>216</v>
      </c>
      <c r="D32" s="27" t="s">
        <v>313</v>
      </c>
      <c r="E32" s="27" t="s">
        <v>314</v>
      </c>
      <c r="F32" s="10">
        <v>70</v>
      </c>
      <c r="G32" s="36" t="s">
        <v>263</v>
      </c>
      <c r="H32" s="37" t="s">
        <v>315</v>
      </c>
      <c r="I32" s="37" t="s">
        <v>316</v>
      </c>
      <c r="J32" s="27"/>
      <c r="K32" s="27"/>
      <c r="L32" s="27" t="s">
        <v>317</v>
      </c>
      <c r="M32" s="27"/>
      <c r="N32" s="30">
        <v>46035</v>
      </c>
      <c r="O32" s="3" t="s">
        <v>312</v>
      </c>
      <c r="P32" s="29" t="s">
        <v>265</v>
      </c>
      <c r="Q32" s="27" t="s">
        <v>298</v>
      </c>
      <c r="R32" s="27" t="s">
        <v>318</v>
      </c>
    </row>
    <row r="33" spans="1:18" ht="24" customHeight="1">
      <c r="A33" s="27" t="str">
        <f t="shared" ca="1" si="0"/>
        <v/>
      </c>
      <c r="B33" s="30">
        <v>46044</v>
      </c>
      <c r="C33" s="27" t="s">
        <v>216</v>
      </c>
      <c r="D33" s="27"/>
      <c r="E33" s="27"/>
      <c r="F33" s="10"/>
      <c r="G33" s="36" t="s">
        <v>263</v>
      </c>
      <c r="H33" s="37"/>
      <c r="I33" s="37"/>
      <c r="J33" s="27"/>
      <c r="K33" s="27"/>
      <c r="L33" s="27"/>
      <c r="M33" s="27"/>
      <c r="N33" s="27"/>
      <c r="O33" s="1" t="s">
        <v>264</v>
      </c>
      <c r="P33" s="29" t="s">
        <v>265</v>
      </c>
      <c r="Q33" s="27" t="s">
        <v>298</v>
      </c>
      <c r="R33" s="27"/>
    </row>
    <row r="34" spans="1:18" ht="24" customHeight="1">
      <c r="A34" s="27" t="str">
        <f t="shared" ca="1" si="0"/>
        <v>EVT-2026-0019</v>
      </c>
      <c r="B34" s="30">
        <v>46044</v>
      </c>
      <c r="C34" s="27" t="s">
        <v>216</v>
      </c>
      <c r="D34" s="27" t="s">
        <v>313</v>
      </c>
      <c r="E34" s="27" t="s">
        <v>319</v>
      </c>
      <c r="F34" s="10">
        <v>60</v>
      </c>
      <c r="G34" s="36" t="s">
        <v>263</v>
      </c>
      <c r="H34" s="37" t="s">
        <v>295</v>
      </c>
      <c r="I34" s="37" t="s">
        <v>290</v>
      </c>
      <c r="J34" s="27"/>
      <c r="K34" s="27"/>
      <c r="L34" s="27" t="s">
        <v>320</v>
      </c>
      <c r="M34" s="27"/>
      <c r="N34" s="30" t="s">
        <v>2147</v>
      </c>
      <c r="O34" s="1" t="s">
        <v>264</v>
      </c>
      <c r="P34" s="29" t="s">
        <v>265</v>
      </c>
      <c r="Q34" s="27" t="s">
        <v>321</v>
      </c>
      <c r="R34" s="27"/>
    </row>
    <row r="35" spans="1:18" ht="24" customHeight="1">
      <c r="A35" s="27" t="str">
        <f t="shared" ca="1" si="0"/>
        <v>EVT-2026-0020</v>
      </c>
      <c r="B35" s="30">
        <v>46045</v>
      </c>
      <c r="C35" s="27" t="s">
        <v>220</v>
      </c>
      <c r="D35" s="27" t="s">
        <v>322</v>
      </c>
      <c r="E35" s="27" t="s">
        <v>271</v>
      </c>
      <c r="F35" s="10"/>
      <c r="G35" s="36" t="s">
        <v>263</v>
      </c>
      <c r="H35" s="37"/>
      <c r="I35" s="37"/>
      <c r="J35" s="27"/>
      <c r="K35" s="27"/>
      <c r="L35" s="27" t="s">
        <v>323</v>
      </c>
      <c r="M35" s="27"/>
      <c r="N35" s="30">
        <v>46044</v>
      </c>
      <c r="O35" s="1" t="s">
        <v>264</v>
      </c>
      <c r="P35" s="29" t="s">
        <v>265</v>
      </c>
      <c r="Q35" s="27" t="s">
        <v>324</v>
      </c>
      <c r="R35" s="27"/>
    </row>
    <row r="36" spans="1:18" ht="24" customHeight="1">
      <c r="A36" s="27" t="str">
        <f t="shared" ca="1" si="0"/>
        <v>EVT-2026-0021</v>
      </c>
      <c r="B36" s="30">
        <v>46046</v>
      </c>
      <c r="C36" s="27" t="s">
        <v>266</v>
      </c>
      <c r="D36" s="27"/>
      <c r="E36" s="27" t="s">
        <v>300</v>
      </c>
      <c r="F36" s="10"/>
      <c r="G36" s="36" t="s">
        <v>263</v>
      </c>
      <c r="H36" s="37" t="s">
        <v>269</v>
      </c>
      <c r="I36" s="37" t="s">
        <v>270</v>
      </c>
      <c r="J36" s="27"/>
      <c r="K36" s="27"/>
      <c r="L36" s="27" t="s">
        <v>325</v>
      </c>
      <c r="M36" s="27"/>
      <c r="N36" s="30">
        <v>46031</v>
      </c>
      <c r="O36" s="1" t="s">
        <v>264</v>
      </c>
      <c r="P36" s="29" t="s">
        <v>265</v>
      </c>
      <c r="Q36" s="27"/>
      <c r="R36" s="27"/>
    </row>
    <row r="37" spans="1:18" ht="24" customHeight="1">
      <c r="A37" s="27" t="str">
        <f t="shared" ca="1" si="0"/>
        <v/>
      </c>
      <c r="B37" s="30">
        <v>46047</v>
      </c>
      <c r="C37" s="27" t="s">
        <v>267</v>
      </c>
      <c r="D37" s="27"/>
      <c r="E37" s="27"/>
      <c r="F37" s="10"/>
      <c r="G37" s="36" t="s">
        <v>263</v>
      </c>
      <c r="H37" s="37"/>
      <c r="I37" s="37"/>
      <c r="J37" s="27"/>
      <c r="K37" s="27"/>
      <c r="L37" s="27"/>
      <c r="M37" s="27"/>
      <c r="N37" s="27"/>
      <c r="O37" s="1" t="s">
        <v>264</v>
      </c>
      <c r="P37" s="29" t="s">
        <v>265</v>
      </c>
      <c r="Q37" s="27"/>
      <c r="R37" s="27"/>
    </row>
    <row r="38" spans="1:18" ht="24" customHeight="1">
      <c r="A38" s="27" t="str">
        <f t="shared" ca="1" si="0"/>
        <v>EVT-2026-0022</v>
      </c>
      <c r="B38" s="30">
        <v>46049</v>
      </c>
      <c r="C38" s="27" t="s">
        <v>227</v>
      </c>
      <c r="D38" s="27" t="s">
        <v>326</v>
      </c>
      <c r="E38" s="27" t="s">
        <v>302</v>
      </c>
      <c r="F38" s="10"/>
      <c r="G38" s="36" t="s">
        <v>263</v>
      </c>
      <c r="H38" s="37" t="s">
        <v>269</v>
      </c>
      <c r="I38" s="37" t="s">
        <v>270</v>
      </c>
      <c r="J38" s="27" t="s">
        <v>271</v>
      </c>
      <c r="K38" s="27"/>
      <c r="L38" s="27" t="s">
        <v>237</v>
      </c>
      <c r="M38" s="27"/>
      <c r="N38" s="27"/>
      <c r="O38" s="1" t="s">
        <v>264</v>
      </c>
      <c r="P38" s="29" t="s">
        <v>265</v>
      </c>
      <c r="Q38" s="27" t="s">
        <v>303</v>
      </c>
      <c r="R38" s="27"/>
    </row>
    <row r="39" spans="1:18" ht="24" customHeight="1">
      <c r="A39" s="27" t="str">
        <f t="shared" ca="1" si="0"/>
        <v>EVT-2026-0023</v>
      </c>
      <c r="B39" s="30">
        <v>46049</v>
      </c>
      <c r="C39" s="27" t="s">
        <v>227</v>
      </c>
      <c r="D39" s="27" t="s">
        <v>171</v>
      </c>
      <c r="E39" s="27" t="s">
        <v>327</v>
      </c>
      <c r="F39" s="10"/>
      <c r="G39" s="36" t="s">
        <v>263</v>
      </c>
      <c r="H39" s="37" t="s">
        <v>269</v>
      </c>
      <c r="I39" s="37" t="s">
        <v>270</v>
      </c>
      <c r="J39" s="27" t="s">
        <v>328</v>
      </c>
      <c r="K39" s="27"/>
      <c r="L39" s="27" t="s">
        <v>237</v>
      </c>
      <c r="M39" s="27"/>
      <c r="N39" s="27"/>
      <c r="O39" s="1" t="s">
        <v>264</v>
      </c>
      <c r="P39" s="29" t="s">
        <v>265</v>
      </c>
      <c r="Q39" s="27" t="s">
        <v>303</v>
      </c>
      <c r="R39" s="27"/>
    </row>
    <row r="40" spans="1:18" ht="24" customHeight="1">
      <c r="A40" s="27" t="str">
        <f t="shared" ca="1" si="0"/>
        <v>EVT-2026-0024</v>
      </c>
      <c r="B40" s="30">
        <v>46050</v>
      </c>
      <c r="C40" s="27" t="s">
        <v>201</v>
      </c>
      <c r="D40" s="27" t="s">
        <v>326</v>
      </c>
      <c r="E40" s="27" t="s">
        <v>327</v>
      </c>
      <c r="F40" s="10"/>
      <c r="G40" s="36" t="s">
        <v>263</v>
      </c>
      <c r="H40" s="37" t="s">
        <v>269</v>
      </c>
      <c r="I40" s="37" t="s">
        <v>270</v>
      </c>
      <c r="J40" s="27" t="s">
        <v>328</v>
      </c>
      <c r="K40" s="27"/>
      <c r="L40" s="27" t="s">
        <v>237</v>
      </c>
      <c r="M40" s="27"/>
      <c r="N40" s="27"/>
      <c r="O40" s="1" t="s">
        <v>264</v>
      </c>
      <c r="P40" s="29" t="s">
        <v>265</v>
      </c>
      <c r="Q40" s="27" t="s">
        <v>303</v>
      </c>
      <c r="R40" s="27"/>
    </row>
    <row r="41" spans="1:18" ht="24" customHeight="1">
      <c r="A41" s="27" t="str">
        <f t="shared" ca="1" si="0"/>
        <v>EVT-2026-0025</v>
      </c>
      <c r="B41" s="30">
        <v>46051</v>
      </c>
      <c r="C41" s="27" t="s">
        <v>216</v>
      </c>
      <c r="D41" s="27" t="s">
        <v>171</v>
      </c>
      <c r="E41" s="27" t="s">
        <v>329</v>
      </c>
      <c r="F41" s="10">
        <v>50</v>
      </c>
      <c r="G41" s="36" t="s">
        <v>263</v>
      </c>
      <c r="H41" s="37" t="s">
        <v>330</v>
      </c>
      <c r="I41" s="37" t="s">
        <v>331</v>
      </c>
      <c r="J41" s="27"/>
      <c r="K41" s="27"/>
      <c r="L41" s="27" t="s">
        <v>332</v>
      </c>
      <c r="M41" s="27"/>
      <c r="N41" s="27"/>
      <c r="O41" s="1" t="s">
        <v>264</v>
      </c>
      <c r="P41" s="29" t="s">
        <v>265</v>
      </c>
      <c r="Q41" s="27" t="s">
        <v>298</v>
      </c>
      <c r="R41" s="27"/>
    </row>
    <row r="42" spans="1:18" ht="24" customHeight="1">
      <c r="A42" s="27" t="str">
        <f t="shared" ca="1" si="0"/>
        <v>EVT-2026-0026</v>
      </c>
      <c r="B42" s="30">
        <v>46051</v>
      </c>
      <c r="C42" s="27" t="s">
        <v>216</v>
      </c>
      <c r="D42" s="27" t="s">
        <v>292</v>
      </c>
      <c r="E42" s="27" t="s">
        <v>333</v>
      </c>
      <c r="F42" s="10">
        <v>200</v>
      </c>
      <c r="G42" s="38" t="s">
        <v>294</v>
      </c>
      <c r="H42" s="37" t="s">
        <v>295</v>
      </c>
      <c r="I42" s="37" t="s">
        <v>290</v>
      </c>
      <c r="J42" s="27"/>
      <c r="K42" s="27"/>
      <c r="L42" s="27" t="s">
        <v>297</v>
      </c>
      <c r="M42" s="27"/>
      <c r="N42" s="27"/>
      <c r="O42" s="1" t="s">
        <v>264</v>
      </c>
      <c r="P42" s="29" t="s">
        <v>265</v>
      </c>
      <c r="Q42" s="27" t="s">
        <v>298</v>
      </c>
      <c r="R42" s="27"/>
    </row>
    <row r="43" spans="1:18" ht="24" customHeight="1">
      <c r="A43" s="27" t="str">
        <f t="shared" ca="1" si="0"/>
        <v>EVT-2026-0027</v>
      </c>
      <c r="B43" s="30">
        <v>46051</v>
      </c>
      <c r="C43" s="27" t="s">
        <v>216</v>
      </c>
      <c r="D43" s="27" t="s">
        <v>171</v>
      </c>
      <c r="E43" s="27" t="s">
        <v>334</v>
      </c>
      <c r="F43" s="10">
        <v>50</v>
      </c>
      <c r="G43" s="36" t="s">
        <v>263</v>
      </c>
      <c r="H43" s="37" t="s">
        <v>309</v>
      </c>
      <c r="I43" s="37" t="s">
        <v>296</v>
      </c>
      <c r="J43" s="27"/>
      <c r="K43" s="27"/>
      <c r="L43" s="27" t="s">
        <v>335</v>
      </c>
      <c r="M43" s="27"/>
      <c r="N43" s="27"/>
      <c r="O43" s="3" t="s">
        <v>312</v>
      </c>
      <c r="P43" s="29" t="s">
        <v>265</v>
      </c>
      <c r="Q43" s="27" t="s">
        <v>321</v>
      </c>
      <c r="R43" s="27" t="s">
        <v>336</v>
      </c>
    </row>
    <row r="44" spans="1:18" ht="24" customHeight="1">
      <c r="A44" s="27" t="str">
        <f t="shared" ca="1" si="0"/>
        <v>EVT-2026-0028</v>
      </c>
      <c r="B44" s="30">
        <v>46052</v>
      </c>
      <c r="C44" s="27" t="s">
        <v>220</v>
      </c>
      <c r="D44" s="27" t="s">
        <v>239</v>
      </c>
      <c r="E44" s="27" t="s">
        <v>337</v>
      </c>
      <c r="F44" s="10" t="s">
        <v>2148</v>
      </c>
      <c r="G44" s="36" t="s">
        <v>263</v>
      </c>
      <c r="H44" s="37" t="s">
        <v>338</v>
      </c>
      <c r="I44" s="37" t="s">
        <v>274</v>
      </c>
      <c r="J44" s="27"/>
      <c r="K44" s="27"/>
      <c r="L44" s="27" t="s">
        <v>339</v>
      </c>
      <c r="M44" s="27"/>
      <c r="N44" s="27"/>
      <c r="O44" s="1" t="s">
        <v>264</v>
      </c>
      <c r="P44" s="29" t="s">
        <v>265</v>
      </c>
      <c r="Q44" s="27"/>
      <c r="R44" s="27"/>
    </row>
    <row r="45" spans="1:18" ht="24" customHeight="1">
      <c r="A45" s="27" t="str">
        <f t="shared" ca="1" si="0"/>
        <v>EVT-2026-0029</v>
      </c>
      <c r="B45" s="30">
        <v>46052</v>
      </c>
      <c r="C45" s="27" t="s">
        <v>220</v>
      </c>
      <c r="D45" s="27" t="s">
        <v>239</v>
      </c>
      <c r="E45" s="27" t="s">
        <v>340</v>
      </c>
      <c r="F45" s="10">
        <v>180</v>
      </c>
      <c r="G45" s="38" t="s">
        <v>294</v>
      </c>
      <c r="H45" s="37" t="s">
        <v>295</v>
      </c>
      <c r="I45" s="37" t="s">
        <v>296</v>
      </c>
      <c r="J45" s="27"/>
      <c r="K45" s="27"/>
      <c r="L45" s="27" t="s">
        <v>237</v>
      </c>
      <c r="M45" s="27"/>
      <c r="N45" s="30" t="s">
        <v>2149</v>
      </c>
      <c r="O45" s="1" t="s">
        <v>264</v>
      </c>
      <c r="P45" s="29" t="s">
        <v>265</v>
      </c>
      <c r="Q45" s="27" t="s">
        <v>341</v>
      </c>
      <c r="R45" s="27"/>
    </row>
    <row r="46" spans="1:18" ht="24" customHeight="1">
      <c r="A46" s="27" t="str">
        <f t="shared" ca="1" si="0"/>
        <v>EVT-2026-0030</v>
      </c>
      <c r="B46" s="30">
        <v>46053</v>
      </c>
      <c r="C46" s="27" t="s">
        <v>266</v>
      </c>
      <c r="D46" s="27" t="s">
        <v>342</v>
      </c>
      <c r="E46" s="27"/>
      <c r="F46" s="10"/>
      <c r="G46" s="36" t="s">
        <v>263</v>
      </c>
      <c r="H46" s="37"/>
      <c r="I46" s="37"/>
      <c r="J46" s="27"/>
      <c r="K46" s="27"/>
      <c r="L46" s="27"/>
      <c r="M46" s="27"/>
      <c r="N46" s="27"/>
      <c r="O46" s="1" t="s">
        <v>264</v>
      </c>
      <c r="P46" s="29" t="s">
        <v>265</v>
      </c>
      <c r="Q46" s="27"/>
      <c r="R46" s="27"/>
    </row>
    <row r="47" spans="1:18" ht="24" customHeight="1">
      <c r="A47" s="27" t="str">
        <f t="shared" ca="1" si="0"/>
        <v/>
      </c>
      <c r="B47" s="27"/>
      <c r="C47" s="27"/>
      <c r="D47" s="27"/>
      <c r="E47" s="27"/>
      <c r="F47" s="10"/>
      <c r="G47" s="36" t="s">
        <v>263</v>
      </c>
      <c r="H47" s="37"/>
      <c r="I47" s="37"/>
      <c r="J47" s="27"/>
      <c r="K47" s="27"/>
      <c r="L47" s="27"/>
      <c r="M47" s="27"/>
      <c r="N47" s="27"/>
      <c r="O47" s="1" t="s">
        <v>264</v>
      </c>
      <c r="P47" s="29" t="s">
        <v>265</v>
      </c>
      <c r="Q47" s="27"/>
      <c r="R47" s="27"/>
    </row>
    <row r="48" spans="1:18" ht="24" customHeight="1">
      <c r="A48" s="27" t="str">
        <f t="shared" ca="1" si="0"/>
        <v/>
      </c>
      <c r="B48" s="27"/>
      <c r="C48" s="27"/>
      <c r="D48" s="27"/>
      <c r="E48" s="27"/>
      <c r="F48" s="10"/>
      <c r="G48" s="36" t="s">
        <v>263</v>
      </c>
      <c r="H48" s="37"/>
      <c r="I48" s="37"/>
      <c r="J48" s="27"/>
      <c r="K48" s="27"/>
      <c r="L48" s="27"/>
      <c r="M48" s="27"/>
      <c r="N48" s="27"/>
      <c r="O48" s="1" t="s">
        <v>264</v>
      </c>
      <c r="P48" s="29" t="s">
        <v>265</v>
      </c>
      <c r="Q48" s="27"/>
      <c r="R48" s="27"/>
    </row>
    <row r="49" spans="1:18" ht="24" customHeight="1">
      <c r="A49" s="27" t="str">
        <f t="shared" ca="1" si="0"/>
        <v/>
      </c>
      <c r="B49" s="27"/>
      <c r="C49" s="27"/>
      <c r="D49" s="27"/>
      <c r="E49" s="27"/>
      <c r="F49" s="10"/>
      <c r="G49" s="36" t="s">
        <v>263</v>
      </c>
      <c r="H49" s="37"/>
      <c r="I49" s="37"/>
      <c r="J49" s="27"/>
      <c r="K49" s="27"/>
      <c r="L49" s="27"/>
      <c r="M49" s="27"/>
      <c r="N49" s="27"/>
      <c r="O49" s="1" t="s">
        <v>264</v>
      </c>
      <c r="P49" s="29" t="s">
        <v>265</v>
      </c>
      <c r="Q49" s="27"/>
      <c r="R49" s="27"/>
    </row>
    <row r="50" spans="1:18" ht="24" customHeight="1">
      <c r="A50" s="27" t="str">
        <f t="shared" ca="1" si="0"/>
        <v/>
      </c>
      <c r="B50" s="27"/>
      <c r="C50" s="27"/>
      <c r="D50" s="27"/>
      <c r="E50" s="27"/>
      <c r="F50" s="10"/>
      <c r="G50" s="36" t="s">
        <v>263</v>
      </c>
      <c r="H50" s="37"/>
      <c r="I50" s="37"/>
      <c r="J50" s="27"/>
      <c r="K50" s="27"/>
      <c r="L50" s="27"/>
      <c r="M50" s="27"/>
      <c r="N50" s="27"/>
      <c r="O50" s="1" t="s">
        <v>264</v>
      </c>
      <c r="P50" s="29" t="s">
        <v>265</v>
      </c>
      <c r="Q50" s="27"/>
      <c r="R50" s="27"/>
    </row>
  </sheetData>
  <mergeCells count="3">
    <mergeCell ref="A1:C1"/>
    <mergeCell ref="N1:R1"/>
    <mergeCell ref="D1:M1"/>
  </mergeCells>
  <dataValidations count="4">
    <dataValidation type="list" allowBlank="1" sqref="N3:N500 O3:O50" xr:uid="{00000000-0002-0000-0200-000000000000}">
      <formula1>"Confirmed (Done),Pending Calendar Booking,Canceled"</formula1>
    </dataValidation>
    <dataValidation type="list" allowBlank="1" sqref="O3:O100" xr:uid="{00000000-0002-0000-0200-000001000000}">
      <formula1>"Form sent,NA"</formula1>
    </dataValidation>
    <dataValidation type="list" allowBlank="1" sqref="P3:P50" xr:uid="{00000000-0002-0000-0200-000002000000}">
      <formula1>"Form sent,Not Required,NA"</formula1>
    </dataValidation>
    <dataValidation type="list" allowBlank="1" sqref="G3:G50" xr:uid="{00000000-0002-0000-0200-000003000000}">
      <formula1>"Big Event,Small Event"</formula1>
    </dataValidation>
  </dataValidations>
  <hyperlinks>
    <hyperlink ref="A1" location="'Dashboard'!A1" display="🏠 ⮌ RETURN TO DASHBOARD"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3"/>
  <sheetViews>
    <sheetView topLeftCell="M1" workbookViewId="0">
      <pane ySplit="2" topLeftCell="A3" activePane="bottomLeft" state="frozen"/>
      <selection pane="bottomLeft" activeCell="D67" sqref="D67"/>
    </sheetView>
  </sheetViews>
  <sheetFormatPr defaultRowHeight="14.45"/>
  <cols>
    <col min="1" max="1" width="18" customWidth="1"/>
    <col min="2" max="2" width="28" customWidth="1"/>
    <col min="3" max="4" width="48" customWidth="1"/>
    <col min="5" max="5" width="15" customWidth="1"/>
    <col min="6" max="6" width="48" customWidth="1"/>
    <col min="7" max="7" width="21" customWidth="1"/>
    <col min="8" max="8" width="15" customWidth="1"/>
    <col min="9" max="9" width="19" customWidth="1"/>
    <col min="10" max="10" width="17" customWidth="1"/>
    <col min="11" max="11" width="32" customWidth="1"/>
    <col min="12" max="12" width="22" customWidth="1"/>
    <col min="13" max="13" width="48" customWidth="1"/>
    <col min="14" max="14" width="25" customWidth="1"/>
    <col min="15" max="15" width="48" customWidth="1"/>
    <col min="16" max="16" width="25" customWidth="1"/>
    <col min="17" max="17" width="18" customWidth="1"/>
    <col min="18" max="18" width="48" customWidth="1"/>
    <col min="19" max="19" width="45" customWidth="1"/>
  </cols>
  <sheetData>
    <row r="1" spans="1:19" ht="27.95" customHeight="1">
      <c r="A1" s="62" t="s">
        <v>2138</v>
      </c>
      <c r="B1" s="134"/>
      <c r="C1" s="135"/>
      <c r="D1" s="63" t="s">
        <v>2150</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COUNTIF(OFFSET($A$1, 1, 0, ROW()-2, 1), "EVT*") + 1, "0000"), "")</f>
        <v>EVT-2026-0031</v>
      </c>
      <c r="B3" s="27" t="s">
        <v>2151</v>
      </c>
      <c r="C3" s="27" t="s">
        <v>2152</v>
      </c>
      <c r="D3" s="27" t="s">
        <v>138</v>
      </c>
      <c r="E3" s="27" t="s">
        <v>343</v>
      </c>
      <c r="F3" s="27" t="s">
        <v>344</v>
      </c>
      <c r="G3" s="10">
        <v>35</v>
      </c>
      <c r="H3" s="36" t="s">
        <v>263</v>
      </c>
      <c r="I3" s="37" t="s">
        <v>269</v>
      </c>
      <c r="J3" s="37" t="s">
        <v>270</v>
      </c>
      <c r="K3" s="27"/>
      <c r="L3" s="27" t="s">
        <v>345</v>
      </c>
      <c r="M3" s="27" t="s">
        <v>346</v>
      </c>
      <c r="N3" s="27"/>
      <c r="O3" s="30">
        <v>45992</v>
      </c>
      <c r="P3" s="1" t="s">
        <v>264</v>
      </c>
      <c r="Q3" s="29" t="s">
        <v>265</v>
      </c>
      <c r="R3" s="27" t="s">
        <v>347</v>
      </c>
      <c r="S3" s="27"/>
    </row>
    <row r="4" spans="1:19" ht="24" customHeight="1">
      <c r="A4" s="27" t="str">
        <f ca="1">IF(OR(D4&lt;&gt;"", F4&lt;&gt;"", L4&lt;&gt;"", O4&lt;&gt;""), "EVT-2026-" &amp; TEXT(COUNTIF('DT-3 Jan26'!$A$3:$A$500, "EVT*") + COUNTIF(OFFSET($A$1, 1, 0, ROW()-2, 1), "EVT*") + 1, "0000"), "")</f>
        <v>EVT-2026-0032</v>
      </c>
      <c r="B4" s="27" t="s">
        <v>2151</v>
      </c>
      <c r="C4" s="27" t="s">
        <v>2152</v>
      </c>
      <c r="D4" s="27" t="s">
        <v>348</v>
      </c>
      <c r="E4" s="27" t="s">
        <v>343</v>
      </c>
      <c r="F4" s="27" t="s">
        <v>344</v>
      </c>
      <c r="G4" s="10">
        <v>35</v>
      </c>
      <c r="H4" s="36" t="s">
        <v>263</v>
      </c>
      <c r="I4" s="37" t="s">
        <v>269</v>
      </c>
      <c r="J4" s="37" t="s">
        <v>270</v>
      </c>
      <c r="K4" s="27"/>
      <c r="L4" s="27" t="s">
        <v>345</v>
      </c>
      <c r="M4" s="27" t="s">
        <v>346</v>
      </c>
      <c r="N4" s="27"/>
      <c r="O4" s="30">
        <v>45992</v>
      </c>
      <c r="P4" s="1" t="s">
        <v>264</v>
      </c>
      <c r="Q4" s="29" t="s">
        <v>265</v>
      </c>
      <c r="R4" s="27" t="s">
        <v>347</v>
      </c>
      <c r="S4" s="27"/>
    </row>
    <row r="5" spans="1:19" ht="24" customHeight="1">
      <c r="A5" s="27" t="str">
        <f ca="1">IF(OR(D5&lt;&gt;"", F5&lt;&gt;"", L5&lt;&gt;"", O5&lt;&gt;""), "EVT-2026-" &amp; TEXT(COUNTIF('DT-3 Jan26'!$A$3:$A$500, "EVT*") + COUNTIF(OFFSET($A$1, 1, 0, ROW()-2, 1), "EVT*") + 1, "0000"), "")</f>
        <v/>
      </c>
      <c r="B5" s="30">
        <v>46024</v>
      </c>
      <c r="C5" s="27" t="s">
        <v>220</v>
      </c>
      <c r="D5" s="27"/>
      <c r="E5" s="27"/>
      <c r="F5" s="27"/>
      <c r="G5" s="10"/>
      <c r="H5" s="36" t="s">
        <v>263</v>
      </c>
      <c r="I5" s="37"/>
      <c r="J5" s="37"/>
      <c r="K5" s="27"/>
      <c r="L5" s="27"/>
      <c r="M5" s="27"/>
      <c r="N5" s="27"/>
      <c r="O5" s="27"/>
      <c r="P5" s="1" t="s">
        <v>264</v>
      </c>
      <c r="Q5" s="29" t="s">
        <v>265</v>
      </c>
      <c r="R5" s="27"/>
      <c r="S5" s="27"/>
    </row>
    <row r="6" spans="1:19" ht="24" customHeight="1">
      <c r="A6" s="27" t="str">
        <f ca="1">IF(OR(D6&lt;&gt;"", F6&lt;&gt;"", L6&lt;&gt;"", O6&lt;&gt;""), "EVT-2026-" &amp; TEXT(COUNTIF('DT-3 Jan26'!$A$3:$A$500, "EVT*") + COUNTIF(OFFSET($A$1, 1, 0, ROW()-2, 1), "EVT*") + 1, "0000"), "")</f>
        <v/>
      </c>
      <c r="B6" s="30">
        <v>46025</v>
      </c>
      <c r="C6" s="27" t="s">
        <v>266</v>
      </c>
      <c r="D6" s="27"/>
      <c r="E6" s="27"/>
      <c r="F6" s="27"/>
      <c r="G6" s="10"/>
      <c r="H6" s="36" t="s">
        <v>263</v>
      </c>
      <c r="I6" s="37"/>
      <c r="J6" s="37"/>
      <c r="K6" s="27"/>
      <c r="L6" s="27"/>
      <c r="M6" s="27"/>
      <c r="N6" s="27"/>
      <c r="O6" s="27"/>
      <c r="P6" s="1" t="s">
        <v>264</v>
      </c>
      <c r="Q6" s="29" t="s">
        <v>265</v>
      </c>
      <c r="R6" s="27"/>
      <c r="S6" s="27"/>
    </row>
    <row r="7" spans="1:19" ht="24" customHeight="1">
      <c r="A7" s="27" t="str">
        <f ca="1">IF(OR(D7&lt;&gt;"", F7&lt;&gt;"", L7&lt;&gt;"", O7&lt;&gt;""), "EVT-2026-" &amp; TEXT(COUNTIF('DT-3 Jan26'!$A$3:$A$500, "EVT*") + COUNTIF(OFFSET($A$1, 1, 0, ROW()-2, 1), "EVT*") + 1, "0000"), "")</f>
        <v/>
      </c>
      <c r="B7" s="30">
        <v>46026</v>
      </c>
      <c r="C7" s="27" t="s">
        <v>267</v>
      </c>
      <c r="D7" s="27"/>
      <c r="E7" s="27"/>
      <c r="F7" s="27"/>
      <c r="G7" s="10"/>
      <c r="H7" s="36" t="s">
        <v>263</v>
      </c>
      <c r="I7" s="37"/>
      <c r="J7" s="37"/>
      <c r="K7" s="27"/>
      <c r="L7" s="27"/>
      <c r="M7" s="27"/>
      <c r="N7" s="27"/>
      <c r="O7" s="27"/>
      <c r="P7" s="1" t="s">
        <v>264</v>
      </c>
      <c r="Q7" s="29" t="s">
        <v>265</v>
      </c>
      <c r="R7" s="27"/>
      <c r="S7" s="27"/>
    </row>
    <row r="8" spans="1:19" ht="24" customHeight="1">
      <c r="A8" s="27" t="str">
        <f ca="1">IF(OR(D8&lt;&gt;"", F8&lt;&gt;"", L8&lt;&gt;"", O8&lt;&gt;""), "EVT-2026-" &amp; TEXT(COUNTIF('DT-3 Jan26'!$A$3:$A$500, "EVT*") + COUNTIF(OFFSET($A$1, 1, 0, ROW()-2, 1), "EVT*") + 1, "0000"), "")</f>
        <v/>
      </c>
      <c r="B8" s="30">
        <v>46027</v>
      </c>
      <c r="C8" s="27" t="s">
        <v>224</v>
      </c>
      <c r="D8" s="27"/>
      <c r="E8" s="27"/>
      <c r="F8" s="27"/>
      <c r="G8" s="10"/>
      <c r="H8" s="36" t="s">
        <v>263</v>
      </c>
      <c r="I8" s="37"/>
      <c r="J8" s="37"/>
      <c r="K8" s="27"/>
      <c r="L8" s="27"/>
      <c r="M8" s="27"/>
      <c r="N8" s="27"/>
      <c r="O8" s="27"/>
      <c r="P8" s="1" t="s">
        <v>264</v>
      </c>
      <c r="Q8" s="29" t="s">
        <v>265</v>
      </c>
      <c r="R8" s="27"/>
      <c r="S8" s="27"/>
    </row>
    <row r="9" spans="1:19" ht="24" customHeight="1">
      <c r="A9" s="27" t="str">
        <f ca="1">IF(OR(D9&lt;&gt;"", F9&lt;&gt;"", L9&lt;&gt;"", O9&lt;&gt;""), "EVT-2026-" &amp; TEXT(COUNTIF('DT-3 Jan26'!$A$3:$A$500, "EVT*") + COUNTIF(OFFSET($A$1, 1, 0, ROW()-2, 1), "EVT*") + 1, "0000"), "")</f>
        <v>EVT-2026-0033</v>
      </c>
      <c r="B9" s="30">
        <v>46028</v>
      </c>
      <c r="C9" s="27" t="s">
        <v>227</v>
      </c>
      <c r="D9" s="27" t="s">
        <v>348</v>
      </c>
      <c r="E9" s="27" t="s">
        <v>208</v>
      </c>
      <c r="F9" s="27" t="s">
        <v>349</v>
      </c>
      <c r="G9" s="10">
        <v>50</v>
      </c>
      <c r="H9" s="36" t="s">
        <v>263</v>
      </c>
      <c r="I9" s="37" t="s">
        <v>350</v>
      </c>
      <c r="J9" s="37" t="s">
        <v>296</v>
      </c>
      <c r="K9" s="27"/>
      <c r="L9" s="27"/>
      <c r="M9" s="27" t="s">
        <v>351</v>
      </c>
      <c r="N9" s="27"/>
      <c r="O9" s="30">
        <v>46008</v>
      </c>
      <c r="P9" s="1" t="s">
        <v>264</v>
      </c>
      <c r="Q9" s="29" t="s">
        <v>265</v>
      </c>
      <c r="R9" s="27" t="s">
        <v>303</v>
      </c>
      <c r="S9" s="27"/>
    </row>
    <row r="10" spans="1:19" ht="24" customHeight="1">
      <c r="A10" s="27" t="str">
        <f ca="1">IF(OR(D10&lt;&gt;"", F10&lt;&gt;"", L10&lt;&gt;"", O10&lt;&gt;""), "EVT-2026-" &amp; TEXT(COUNTIF('DT-3 Jan26'!$A$3:$A$500, "EVT*") + COUNTIF(OFFSET($A$1, 1, 0, ROW()-2, 1), "EVT*") + 1, "0000"), "")</f>
        <v/>
      </c>
      <c r="B10" s="30">
        <v>46029</v>
      </c>
      <c r="C10" s="27" t="s">
        <v>201</v>
      </c>
      <c r="D10" s="27"/>
      <c r="E10" s="27"/>
      <c r="F10" s="27"/>
      <c r="G10" s="10"/>
      <c r="H10" s="36" t="s">
        <v>263</v>
      </c>
      <c r="I10" s="37"/>
      <c r="J10" s="37"/>
      <c r="K10" s="27"/>
      <c r="L10" s="27"/>
      <c r="M10" s="27"/>
      <c r="N10" s="27"/>
      <c r="O10" s="27"/>
      <c r="P10" s="1" t="s">
        <v>264</v>
      </c>
      <c r="Q10" s="29" t="s">
        <v>265</v>
      </c>
      <c r="R10" s="27"/>
      <c r="S10" s="27"/>
    </row>
    <row r="11" spans="1:19" ht="24" customHeight="1">
      <c r="A11" s="27" t="str">
        <f ca="1">IF(OR(D11&lt;&gt;"", F11&lt;&gt;"", L11&lt;&gt;"", O11&lt;&gt;""), "EVT-2026-" &amp; TEXT(COUNTIF('DT-3 Jan26'!$A$3:$A$500, "EVT*") + COUNTIF(OFFSET($A$1, 1, 0, ROW()-2, 1), "EVT*") + 1, "0000"), "")</f>
        <v/>
      </c>
      <c r="B11" s="30">
        <v>46030</v>
      </c>
      <c r="C11" s="27" t="s">
        <v>216</v>
      </c>
      <c r="D11" s="27"/>
      <c r="E11" s="27"/>
      <c r="F11" s="27"/>
      <c r="G11" s="10"/>
      <c r="H11" s="36" t="s">
        <v>263</v>
      </c>
      <c r="I11" s="37"/>
      <c r="J11" s="37"/>
      <c r="K11" s="27"/>
      <c r="L11" s="27"/>
      <c r="M11" s="27"/>
      <c r="N11" s="27"/>
      <c r="O11" s="27"/>
      <c r="P11" s="1" t="s">
        <v>264</v>
      </c>
      <c r="Q11" s="29" t="s">
        <v>265</v>
      </c>
      <c r="R11" s="27"/>
      <c r="S11" s="27"/>
    </row>
    <row r="12" spans="1:19" ht="24" customHeight="1">
      <c r="A12" s="27" t="str">
        <f ca="1">IF(OR(D12&lt;&gt;"", F12&lt;&gt;"", L12&lt;&gt;"", O12&lt;&gt;""), "EVT-2026-" &amp; TEXT(COUNTIF('DT-3 Jan26'!$A$3:$A$500, "EVT*") + COUNTIF(OFFSET($A$1, 1, 0, ROW()-2, 1), "EVT*") + 1, "0000"), "")</f>
        <v/>
      </c>
      <c r="B12" s="30">
        <v>46031</v>
      </c>
      <c r="C12" s="27" t="s">
        <v>220</v>
      </c>
      <c r="D12" s="27"/>
      <c r="E12" s="27"/>
      <c r="F12" s="27"/>
      <c r="G12" s="10"/>
      <c r="H12" s="36" t="s">
        <v>263</v>
      </c>
      <c r="I12" s="37"/>
      <c r="J12" s="37"/>
      <c r="K12" s="27"/>
      <c r="L12" s="27"/>
      <c r="M12" s="27"/>
      <c r="N12" s="27"/>
      <c r="O12" s="27"/>
      <c r="P12" s="1" t="s">
        <v>264</v>
      </c>
      <c r="Q12" s="29" t="s">
        <v>265</v>
      </c>
      <c r="R12" s="27"/>
      <c r="S12" s="27"/>
    </row>
    <row r="13" spans="1:19" ht="24" customHeight="1">
      <c r="A13" s="27" t="str">
        <f ca="1">IF(OR(D13&lt;&gt;"", F13&lt;&gt;"", L13&lt;&gt;"", O13&lt;&gt;""), "EVT-2026-" &amp; TEXT(COUNTIF('DT-3 Jan26'!$A$3:$A$500, "EVT*") + COUNTIF(OFFSET($A$1, 1, 0, ROW()-2, 1), "EVT*") + 1, "0000"), "")</f>
        <v/>
      </c>
      <c r="B13" s="30">
        <v>46032</v>
      </c>
      <c r="C13" s="27" t="s">
        <v>266</v>
      </c>
      <c r="D13" s="27"/>
      <c r="E13" s="27"/>
      <c r="F13" s="27"/>
      <c r="G13" s="10"/>
      <c r="H13" s="36" t="s">
        <v>263</v>
      </c>
      <c r="I13" s="37"/>
      <c r="J13" s="37"/>
      <c r="K13" s="27"/>
      <c r="L13" s="27"/>
      <c r="M13" s="27"/>
      <c r="N13" s="27"/>
      <c r="O13" s="27"/>
      <c r="P13" s="1" t="s">
        <v>264</v>
      </c>
      <c r="Q13" s="29" t="s">
        <v>265</v>
      </c>
      <c r="R13" s="27"/>
      <c r="S13" s="27"/>
    </row>
    <row r="14" spans="1:19" ht="24" customHeight="1">
      <c r="A14" s="27" t="str">
        <f ca="1">IF(OR(D14&lt;&gt;"", F14&lt;&gt;"", L14&lt;&gt;"", O14&lt;&gt;""), "EVT-2026-" &amp; TEXT(COUNTIF('DT-3 Jan26'!$A$3:$A$500, "EVT*") + COUNTIF(OFFSET($A$1, 1, 0, ROW()-2, 1), "EVT*") + 1, "0000"), "")</f>
        <v/>
      </c>
      <c r="B14" s="30">
        <v>46033</v>
      </c>
      <c r="C14" s="27" t="s">
        <v>267</v>
      </c>
      <c r="D14" s="27"/>
      <c r="E14" s="27"/>
      <c r="F14" s="27"/>
      <c r="G14" s="10"/>
      <c r="H14" s="36" t="s">
        <v>263</v>
      </c>
      <c r="I14" s="37"/>
      <c r="J14" s="37"/>
      <c r="K14" s="27"/>
      <c r="L14" s="27"/>
      <c r="M14" s="27"/>
      <c r="N14" s="27"/>
      <c r="O14" s="27"/>
      <c r="P14" s="1" t="s">
        <v>264</v>
      </c>
      <c r="Q14" s="29" t="s">
        <v>265</v>
      </c>
      <c r="R14" s="27"/>
      <c r="S14" s="27"/>
    </row>
    <row r="15" spans="1:19" ht="24" customHeight="1">
      <c r="A15" s="27" t="str">
        <f ca="1">IF(OR(D15&lt;&gt;"", F15&lt;&gt;"", L15&lt;&gt;"", O15&lt;&gt;""), "EVT-2026-" &amp; TEXT(COUNTIF('DT-3 Jan26'!$A$3:$A$500, "EVT*") + COUNTIF(OFFSET($A$1, 1, 0, ROW()-2, 1), "EVT*") + 1, "0000"), "")</f>
        <v/>
      </c>
      <c r="B15" s="30">
        <v>46034</v>
      </c>
      <c r="C15" s="27" t="s">
        <v>224</v>
      </c>
      <c r="D15" s="27"/>
      <c r="E15" s="27"/>
      <c r="F15" s="27"/>
      <c r="G15" s="10"/>
      <c r="H15" s="36" t="s">
        <v>263</v>
      </c>
      <c r="I15" s="37"/>
      <c r="J15" s="37"/>
      <c r="K15" s="27"/>
      <c r="L15" s="27"/>
      <c r="M15" s="27"/>
      <c r="N15" s="27"/>
      <c r="O15" s="27"/>
      <c r="P15" s="1" t="s">
        <v>264</v>
      </c>
      <c r="Q15" s="29" t="s">
        <v>265</v>
      </c>
      <c r="R15" s="27"/>
      <c r="S15" s="27"/>
    </row>
    <row r="16" spans="1:19" ht="24" customHeight="1">
      <c r="A16" s="27" t="str">
        <f ca="1">IF(OR(D16&lt;&gt;"", F16&lt;&gt;"", L16&lt;&gt;"", O16&lt;&gt;""), "EVT-2026-" &amp; TEXT(COUNTIF('DT-3 Jan26'!$A$3:$A$500, "EVT*") + COUNTIF(OFFSET($A$1, 1, 0, ROW()-2, 1), "EVT*") + 1, "0000"), "")</f>
        <v>EVT-2026-0034</v>
      </c>
      <c r="B16" s="30">
        <v>46035</v>
      </c>
      <c r="C16" s="27" t="s">
        <v>227</v>
      </c>
      <c r="D16" s="27" t="s">
        <v>348</v>
      </c>
      <c r="E16" s="27" t="s">
        <v>208</v>
      </c>
      <c r="F16" s="27" t="s">
        <v>349</v>
      </c>
      <c r="G16" s="10">
        <v>50</v>
      </c>
      <c r="H16" s="36" t="s">
        <v>263</v>
      </c>
      <c r="I16" s="37" t="s">
        <v>350</v>
      </c>
      <c r="J16" s="37" t="s">
        <v>296</v>
      </c>
      <c r="K16" s="27"/>
      <c r="L16" s="27"/>
      <c r="M16" s="27" t="s">
        <v>351</v>
      </c>
      <c r="N16" s="27"/>
      <c r="O16" s="30">
        <v>46008</v>
      </c>
      <c r="P16" s="1" t="s">
        <v>264</v>
      </c>
      <c r="Q16" s="29" t="s">
        <v>265</v>
      </c>
      <c r="R16" s="27" t="s">
        <v>303</v>
      </c>
      <c r="S16" s="27"/>
    </row>
    <row r="17" spans="1:19" ht="24" customHeight="1">
      <c r="A17" s="27" t="str">
        <f ca="1">IF(OR(D17&lt;&gt;"", F17&lt;&gt;"", L17&lt;&gt;"", O17&lt;&gt;""), "EVT-2026-" &amp; TEXT(COUNTIF('DT-3 Jan26'!$A$3:$A$500, "EVT*") + COUNTIF(OFFSET($A$1, 1, 0, ROW()-2, 1), "EVT*") + 1, "0000"), "")</f>
        <v>EVT-2026-0035</v>
      </c>
      <c r="B17" s="30">
        <v>46037</v>
      </c>
      <c r="C17" s="27" t="s">
        <v>216</v>
      </c>
      <c r="D17" s="27" t="s">
        <v>348</v>
      </c>
      <c r="E17" s="27" t="s">
        <v>208</v>
      </c>
      <c r="F17" s="27" t="s">
        <v>349</v>
      </c>
      <c r="G17" s="10">
        <v>50</v>
      </c>
      <c r="H17" s="36" t="s">
        <v>263</v>
      </c>
      <c r="I17" s="37" t="s">
        <v>350</v>
      </c>
      <c r="J17" s="37" t="s">
        <v>296</v>
      </c>
      <c r="K17" s="27"/>
      <c r="L17" s="27"/>
      <c r="M17" s="27" t="s">
        <v>351</v>
      </c>
      <c r="N17" s="27"/>
      <c r="O17" s="27"/>
      <c r="P17" s="1" t="s">
        <v>264</v>
      </c>
      <c r="Q17" s="29" t="s">
        <v>265</v>
      </c>
      <c r="R17" s="27"/>
      <c r="S17" s="27"/>
    </row>
    <row r="18" spans="1:19" ht="24" customHeight="1">
      <c r="A18" s="27" t="str">
        <f ca="1">IF(OR(D18&lt;&gt;"", F18&lt;&gt;"", L18&lt;&gt;"", O18&lt;&gt;""), "EVT-2026-" &amp; TEXT(COUNTIF('DT-3 Jan26'!$A$3:$A$500, "EVT*") + COUNTIF(OFFSET($A$1, 1, 0, ROW()-2, 1), "EVT*") + 1, "0000"), "")</f>
        <v>EVT-2026-0036</v>
      </c>
      <c r="B18" s="30">
        <v>46037</v>
      </c>
      <c r="C18" s="27" t="s">
        <v>216</v>
      </c>
      <c r="D18" s="27" t="s">
        <v>352</v>
      </c>
      <c r="E18" s="27" t="s">
        <v>228</v>
      </c>
      <c r="F18" s="27" t="s">
        <v>353</v>
      </c>
      <c r="G18" s="10">
        <v>200</v>
      </c>
      <c r="H18" s="38" t="s">
        <v>294</v>
      </c>
      <c r="I18" s="37" t="s">
        <v>330</v>
      </c>
      <c r="J18" s="37" t="s">
        <v>354</v>
      </c>
      <c r="K18" s="27"/>
      <c r="L18" s="27"/>
      <c r="M18" s="27" t="s">
        <v>355</v>
      </c>
      <c r="N18" s="27"/>
      <c r="O18" s="30" t="s">
        <v>2153</v>
      </c>
      <c r="P18" s="1" t="s">
        <v>264</v>
      </c>
      <c r="Q18" s="29" t="s">
        <v>265</v>
      </c>
      <c r="R18" s="27" t="s">
        <v>321</v>
      </c>
      <c r="S18" s="27"/>
    </row>
    <row r="19" spans="1:19" ht="24" customHeight="1">
      <c r="A19" s="27" t="str">
        <f ca="1">IF(OR(D19&lt;&gt;"", F19&lt;&gt;"", L19&lt;&gt;"", O19&lt;&gt;""), "EVT-2026-" &amp; TEXT(COUNTIF('DT-3 Jan26'!$A$3:$A$500, "EVT*") + COUNTIF(OFFSET($A$1, 1, 0, ROW()-2, 1), "EVT*") + 1, "0000"), "")</f>
        <v>EVT-2026-0037</v>
      </c>
      <c r="B19" s="30">
        <v>46037</v>
      </c>
      <c r="C19" s="27" t="s">
        <v>216</v>
      </c>
      <c r="D19" s="27" t="s">
        <v>348</v>
      </c>
      <c r="E19" s="27" t="s">
        <v>208</v>
      </c>
      <c r="F19" s="27" t="s">
        <v>349</v>
      </c>
      <c r="G19" s="10">
        <v>50</v>
      </c>
      <c r="H19" s="36" t="s">
        <v>263</v>
      </c>
      <c r="I19" s="37" t="s">
        <v>309</v>
      </c>
      <c r="J19" s="37" t="s">
        <v>296</v>
      </c>
      <c r="K19" s="27"/>
      <c r="L19" s="27"/>
      <c r="M19" s="27" t="s">
        <v>351</v>
      </c>
      <c r="N19" s="27"/>
      <c r="O19" s="27"/>
      <c r="P19" s="1" t="s">
        <v>264</v>
      </c>
      <c r="Q19" s="29" t="s">
        <v>265</v>
      </c>
      <c r="R19" s="27"/>
      <c r="S19" s="27"/>
    </row>
    <row r="20" spans="1:19" ht="24" customHeight="1">
      <c r="A20" s="27" t="str">
        <f ca="1">IF(OR(D20&lt;&gt;"", F20&lt;&gt;"", L20&lt;&gt;"", O20&lt;&gt;""), "EVT-2026-" &amp; TEXT(COUNTIF('DT-3 Jan26'!$A$3:$A$500, "EVT*") + COUNTIF(OFFSET($A$1, 1, 0, ROW()-2, 1), "EVT*") + 1, "0000"), "")</f>
        <v>EVT-2026-0038</v>
      </c>
      <c r="B20" s="30">
        <v>46038</v>
      </c>
      <c r="C20" s="27" t="s">
        <v>220</v>
      </c>
      <c r="D20" s="27" t="s">
        <v>239</v>
      </c>
      <c r="E20" s="27" t="s">
        <v>202</v>
      </c>
      <c r="F20" s="27" t="s">
        <v>356</v>
      </c>
      <c r="G20" s="10">
        <v>60</v>
      </c>
      <c r="H20" s="36" t="s">
        <v>263</v>
      </c>
      <c r="I20" s="37" t="s">
        <v>296</v>
      </c>
      <c r="J20" s="37" t="s">
        <v>270</v>
      </c>
      <c r="K20" s="27"/>
      <c r="L20" s="27"/>
      <c r="M20" s="27" t="s">
        <v>357</v>
      </c>
      <c r="N20" s="27"/>
      <c r="O20" s="30" t="s">
        <v>2154</v>
      </c>
      <c r="P20" s="1" t="s">
        <v>264</v>
      </c>
      <c r="Q20" s="29" t="s">
        <v>265</v>
      </c>
      <c r="R20" s="27" t="s">
        <v>298</v>
      </c>
      <c r="S20" s="27"/>
    </row>
    <row r="21" spans="1:19" ht="24" customHeight="1">
      <c r="A21" s="27" t="str">
        <f ca="1">IF(OR(D21&lt;&gt;"", F21&lt;&gt;"", L21&lt;&gt;"", O21&lt;&gt;""), "EVT-2026-" &amp; TEXT(COUNTIF('DT-3 Jan26'!$A$3:$A$500, "EVT*") + COUNTIF(OFFSET($A$1, 1, 0, ROW()-2, 1), "EVT*") + 1, "0000"), "")</f>
        <v>EVT-2026-0039</v>
      </c>
      <c r="B21" s="30">
        <v>46038</v>
      </c>
      <c r="C21" s="27" t="s">
        <v>220</v>
      </c>
      <c r="D21" s="27" t="s">
        <v>348</v>
      </c>
      <c r="E21" s="27" t="s">
        <v>208</v>
      </c>
      <c r="F21" s="27" t="s">
        <v>358</v>
      </c>
      <c r="G21" s="10">
        <v>30</v>
      </c>
      <c r="H21" s="36" t="s">
        <v>263</v>
      </c>
      <c r="I21" s="37" t="s">
        <v>295</v>
      </c>
      <c r="J21" s="37" t="s">
        <v>359</v>
      </c>
      <c r="K21" s="27"/>
      <c r="L21" s="27"/>
      <c r="M21" s="27" t="s">
        <v>360</v>
      </c>
      <c r="N21" s="27"/>
      <c r="O21" s="30" t="s">
        <v>2154</v>
      </c>
      <c r="P21" s="1" t="s">
        <v>264</v>
      </c>
      <c r="Q21" s="29" t="s">
        <v>265</v>
      </c>
      <c r="R21" s="27" t="s">
        <v>321</v>
      </c>
      <c r="S21" s="27"/>
    </row>
    <row r="22" spans="1:19" ht="24" customHeight="1">
      <c r="A22" s="27" t="str">
        <f ca="1">IF(OR(D22&lt;&gt;"", F22&lt;&gt;"", L22&lt;&gt;"", O22&lt;&gt;""), "EVT-2026-" &amp; TEXT(COUNTIF('DT-3 Jan26'!$A$3:$A$500, "EVT*") + COUNTIF(OFFSET($A$1, 1, 0, ROW()-2, 1), "EVT*") + 1, "0000"), "")</f>
        <v>EVT-2026-0040</v>
      </c>
      <c r="B22" s="30">
        <v>46039</v>
      </c>
      <c r="C22" s="27" t="s">
        <v>266</v>
      </c>
      <c r="D22" s="27"/>
      <c r="E22" s="27" t="s">
        <v>300</v>
      </c>
      <c r="F22" s="27"/>
      <c r="G22" s="10">
        <v>0.33333333333333331</v>
      </c>
      <c r="H22" s="36" t="s">
        <v>263</v>
      </c>
      <c r="I22" s="37" t="s">
        <v>270</v>
      </c>
      <c r="J22" s="37"/>
      <c r="K22" s="27"/>
      <c r="L22" s="27" t="s">
        <v>361</v>
      </c>
      <c r="M22" s="27" t="s">
        <v>362</v>
      </c>
      <c r="N22" s="27"/>
      <c r="O22" s="27" t="s">
        <v>363</v>
      </c>
      <c r="P22" s="1" t="s">
        <v>264</v>
      </c>
      <c r="Q22" s="29" t="s">
        <v>265</v>
      </c>
      <c r="R22" s="27"/>
      <c r="S22" s="27"/>
    </row>
    <row r="23" spans="1:19" ht="24" customHeight="1">
      <c r="A23" s="27" t="str">
        <f ca="1">IF(OR(D23&lt;&gt;"", F23&lt;&gt;"", L23&lt;&gt;"", O23&lt;&gt;""), "EVT-2026-" &amp; TEXT(COUNTIF('DT-3 Jan26'!$A$3:$A$500, "EVT*") + COUNTIF(OFFSET($A$1, 1, 0, ROW()-2, 1), "EVT*") + 1, "0000"), "")</f>
        <v/>
      </c>
      <c r="B23" s="30">
        <v>46040</v>
      </c>
      <c r="C23" s="27" t="s">
        <v>267</v>
      </c>
      <c r="D23" s="27"/>
      <c r="E23" s="27"/>
      <c r="F23" s="27"/>
      <c r="G23" s="10"/>
      <c r="H23" s="36" t="s">
        <v>263</v>
      </c>
      <c r="I23" s="37"/>
      <c r="J23" s="37"/>
      <c r="K23" s="27"/>
      <c r="L23" s="27"/>
      <c r="M23" s="27"/>
      <c r="N23" s="27"/>
      <c r="O23" s="27"/>
      <c r="P23" s="1" t="s">
        <v>264</v>
      </c>
      <c r="Q23" s="29" t="s">
        <v>265</v>
      </c>
      <c r="R23" s="27"/>
      <c r="S23" s="27"/>
    </row>
    <row r="24" spans="1:19" ht="24" customHeight="1">
      <c r="A24" s="27" t="str">
        <f ca="1">IF(OR(D24&lt;&gt;"", F24&lt;&gt;"", L24&lt;&gt;"", O24&lt;&gt;""), "EVT-2026-" &amp; TEXT(COUNTIF('DT-3 Jan26'!$A$3:$A$500, "EVT*") + COUNTIF(OFFSET($A$1, 1, 0, ROW()-2, 1), "EVT*") + 1, "0000"), "")</f>
        <v>EVT-2026-0041</v>
      </c>
      <c r="B24" s="30">
        <v>46041</v>
      </c>
      <c r="C24" s="27" t="s">
        <v>224</v>
      </c>
      <c r="D24" s="27" t="s">
        <v>138</v>
      </c>
      <c r="E24" s="27" t="s">
        <v>202</v>
      </c>
      <c r="F24" s="27" t="s">
        <v>364</v>
      </c>
      <c r="G24" s="10">
        <v>16</v>
      </c>
      <c r="H24" s="36" t="s">
        <v>263</v>
      </c>
      <c r="I24" s="37" t="s">
        <v>330</v>
      </c>
      <c r="J24" s="37" t="s">
        <v>331</v>
      </c>
      <c r="K24" s="27"/>
      <c r="L24" s="27"/>
      <c r="M24" s="27" t="s">
        <v>365</v>
      </c>
      <c r="N24" s="27"/>
      <c r="O24" s="27"/>
      <c r="P24" s="1" t="s">
        <v>264</v>
      </c>
      <c r="Q24" s="29" t="s">
        <v>265</v>
      </c>
      <c r="R24" s="27" t="s">
        <v>298</v>
      </c>
      <c r="S24" s="27"/>
    </row>
    <row r="25" spans="1:19" ht="24" customHeight="1">
      <c r="A25" s="27" t="str">
        <f ca="1">IF(OR(D25&lt;&gt;"", F25&lt;&gt;"", L25&lt;&gt;"", O25&lt;&gt;""), "EVT-2026-" &amp; TEXT(COUNTIF('DT-3 Jan26'!$A$3:$A$500, "EVT*") + COUNTIF(OFFSET($A$1, 1, 0, ROW()-2, 1), "EVT*") + 1, "0000"), "")</f>
        <v>EVT-2026-0042</v>
      </c>
      <c r="B25" s="30">
        <v>46041</v>
      </c>
      <c r="C25" s="27" t="s">
        <v>224</v>
      </c>
      <c r="D25" s="27" t="s">
        <v>138</v>
      </c>
      <c r="E25" s="27" t="s">
        <v>202</v>
      </c>
      <c r="F25" s="27" t="s">
        <v>366</v>
      </c>
      <c r="G25" s="10">
        <v>70</v>
      </c>
      <c r="H25" s="36" t="s">
        <v>263</v>
      </c>
      <c r="I25" s="37" t="s">
        <v>289</v>
      </c>
      <c r="J25" s="37" t="s">
        <v>359</v>
      </c>
      <c r="K25" s="27"/>
      <c r="L25" s="27"/>
      <c r="M25" s="27" t="s">
        <v>367</v>
      </c>
      <c r="N25" s="27"/>
      <c r="O25" s="27"/>
      <c r="P25" s="1" t="s">
        <v>264</v>
      </c>
      <c r="Q25" s="29" t="s">
        <v>265</v>
      </c>
      <c r="R25" s="27" t="s">
        <v>321</v>
      </c>
      <c r="S25" s="27"/>
    </row>
    <row r="26" spans="1:19" ht="24" customHeight="1">
      <c r="A26" s="27" t="str">
        <f ca="1">IF(OR(D26&lt;&gt;"", F26&lt;&gt;"", L26&lt;&gt;"", O26&lt;&gt;""), "EVT-2026-" &amp; TEXT(COUNTIF('DT-3 Jan26'!$A$3:$A$500, "EVT*") + COUNTIF(OFFSET($A$1, 1, 0, ROW()-2, 1), "EVT*") + 1, "0000"), "")</f>
        <v>EVT-2026-0043</v>
      </c>
      <c r="B26" s="30">
        <v>46041</v>
      </c>
      <c r="C26" s="27" t="s">
        <v>224</v>
      </c>
      <c r="D26" s="27" t="s">
        <v>348</v>
      </c>
      <c r="E26" s="27" t="s">
        <v>208</v>
      </c>
      <c r="F26" s="27" t="s">
        <v>368</v>
      </c>
      <c r="G26" s="10">
        <v>30</v>
      </c>
      <c r="H26" s="36" t="s">
        <v>263</v>
      </c>
      <c r="I26" s="37" t="s">
        <v>309</v>
      </c>
      <c r="J26" s="37" t="s">
        <v>270</v>
      </c>
      <c r="K26" s="27"/>
      <c r="L26" s="27" t="s">
        <v>369</v>
      </c>
      <c r="M26" s="27" t="s">
        <v>370</v>
      </c>
      <c r="N26" s="27"/>
      <c r="O26" s="30">
        <v>46008</v>
      </c>
      <c r="P26" s="1" t="s">
        <v>264</v>
      </c>
      <c r="Q26" s="29" t="s">
        <v>265</v>
      </c>
      <c r="R26" s="27" t="s">
        <v>298</v>
      </c>
      <c r="S26" s="27"/>
    </row>
    <row r="27" spans="1:19" ht="24" customHeight="1">
      <c r="A27" s="27" t="str">
        <f ca="1">IF(OR(D27&lt;&gt;"", F27&lt;&gt;"", L27&lt;&gt;"", O27&lt;&gt;""), "EVT-2026-" &amp; TEXT(COUNTIF('DT-3 Jan26'!$A$3:$A$500, "EVT*") + COUNTIF(OFFSET($A$1, 1, 0, ROW()-2, 1), "EVT*") + 1, "0000"), "")</f>
        <v>EVT-2026-0044</v>
      </c>
      <c r="B27" s="30">
        <v>46042</v>
      </c>
      <c r="C27" s="27" t="s">
        <v>227</v>
      </c>
      <c r="D27" s="27" t="s">
        <v>348</v>
      </c>
      <c r="E27" s="27" t="s">
        <v>208</v>
      </c>
      <c r="F27" s="27" t="s">
        <v>371</v>
      </c>
      <c r="G27" s="10">
        <v>20</v>
      </c>
      <c r="H27" s="36" t="s">
        <v>263</v>
      </c>
      <c r="I27" s="37" t="s">
        <v>338</v>
      </c>
      <c r="J27" s="37" t="s">
        <v>274</v>
      </c>
      <c r="K27" s="27" t="s">
        <v>372</v>
      </c>
      <c r="L27" s="27"/>
      <c r="M27" s="27" t="s">
        <v>367</v>
      </c>
      <c r="N27" s="27"/>
      <c r="O27" s="30">
        <v>46021</v>
      </c>
      <c r="P27" s="1" t="s">
        <v>264</v>
      </c>
      <c r="Q27" s="29" t="s">
        <v>265</v>
      </c>
      <c r="R27" s="27" t="s">
        <v>373</v>
      </c>
      <c r="S27" s="27"/>
    </row>
    <row r="28" spans="1:19" ht="24" customHeight="1">
      <c r="A28" s="27" t="str">
        <f ca="1">IF(OR(D28&lt;&gt;"", F28&lt;&gt;"", L28&lt;&gt;"", O28&lt;&gt;""), "EVT-2026-" &amp; TEXT(COUNTIF('DT-3 Jan26'!$A$3:$A$500, "EVT*") + COUNTIF(OFFSET($A$1, 1, 0, ROW()-2, 1), "EVT*") + 1, "0000"), "")</f>
        <v>EVT-2026-0045</v>
      </c>
      <c r="B28" s="30" t="s">
        <v>2155</v>
      </c>
      <c r="C28" s="27" t="s">
        <v>227</v>
      </c>
      <c r="D28" s="27" t="s">
        <v>374</v>
      </c>
      <c r="E28" s="27" t="s">
        <v>202</v>
      </c>
      <c r="F28" s="27" t="s">
        <v>375</v>
      </c>
      <c r="G28" s="10">
        <v>1</v>
      </c>
      <c r="H28" s="36" t="s">
        <v>263</v>
      </c>
      <c r="I28" s="37" t="s">
        <v>269</v>
      </c>
      <c r="J28" s="37" t="s">
        <v>270</v>
      </c>
      <c r="K28" s="27"/>
      <c r="L28" s="27"/>
      <c r="M28" s="27" t="s">
        <v>376</v>
      </c>
      <c r="N28" s="27"/>
      <c r="O28" s="27"/>
      <c r="P28" s="1" t="s">
        <v>264</v>
      </c>
      <c r="Q28" s="29" t="s">
        <v>265</v>
      </c>
      <c r="R28" s="27"/>
      <c r="S28" s="27"/>
    </row>
    <row r="29" spans="1:19" ht="24" customHeight="1">
      <c r="A29" s="27" t="str">
        <f ca="1">IF(OR(D29&lt;&gt;"", F29&lt;&gt;"", L29&lt;&gt;"", O29&lt;&gt;""), "EVT-2026-" &amp; TEXT(COUNTIF('DT-3 Jan26'!$A$3:$A$500, "EVT*") + COUNTIF(OFFSET($A$1, 1, 0, ROW()-2, 1), "EVT*") + 1, "0000"), "")</f>
        <v>EVT-2026-0046</v>
      </c>
      <c r="B29" s="30">
        <v>46042</v>
      </c>
      <c r="C29" s="27" t="s">
        <v>227</v>
      </c>
      <c r="D29" s="27" t="s">
        <v>138</v>
      </c>
      <c r="E29" s="27" t="s">
        <v>202</v>
      </c>
      <c r="F29" s="27" t="s">
        <v>377</v>
      </c>
      <c r="G29" s="10">
        <v>75</v>
      </c>
      <c r="H29" s="36" t="s">
        <v>263</v>
      </c>
      <c r="I29" s="37" t="s">
        <v>350</v>
      </c>
      <c r="J29" s="37" t="s">
        <v>289</v>
      </c>
      <c r="K29" s="27"/>
      <c r="L29" s="27" t="s">
        <v>378</v>
      </c>
      <c r="M29" s="27" t="s">
        <v>298</v>
      </c>
      <c r="N29" s="27"/>
      <c r="O29" s="27"/>
      <c r="P29" s="1" t="s">
        <v>264</v>
      </c>
      <c r="Q29" s="29" t="s">
        <v>265</v>
      </c>
      <c r="R29" s="27"/>
      <c r="S29" s="27"/>
    </row>
    <row r="30" spans="1:19" ht="24" customHeight="1">
      <c r="A30" s="27" t="str">
        <f ca="1">IF(OR(D30&lt;&gt;"", F30&lt;&gt;"", L30&lt;&gt;"", O30&lt;&gt;""), "EVT-2026-" &amp; TEXT(COUNTIF('DT-3 Jan26'!$A$3:$A$500, "EVT*") + COUNTIF(OFFSET($A$1, 1, 0, ROW()-2, 1), "EVT*") + 1, "0000"), "")</f>
        <v>EVT-2026-0047</v>
      </c>
      <c r="B30" s="30">
        <v>46042</v>
      </c>
      <c r="C30" s="27" t="s">
        <v>227</v>
      </c>
      <c r="D30" s="27" t="s">
        <v>348</v>
      </c>
      <c r="E30" s="27" t="s">
        <v>202</v>
      </c>
      <c r="F30" s="27" t="s">
        <v>271</v>
      </c>
      <c r="G30" s="10">
        <v>12</v>
      </c>
      <c r="H30" s="36" t="s">
        <v>263</v>
      </c>
      <c r="I30" s="37" t="s">
        <v>331</v>
      </c>
      <c r="J30" s="37" t="s">
        <v>350</v>
      </c>
      <c r="K30" s="27"/>
      <c r="L30" s="27"/>
      <c r="M30" s="27" t="s">
        <v>379</v>
      </c>
      <c r="N30" s="27"/>
      <c r="O30" s="30" t="s">
        <v>2156</v>
      </c>
      <c r="P30" s="1" t="s">
        <v>264</v>
      </c>
      <c r="Q30" s="29" t="s">
        <v>265</v>
      </c>
      <c r="R30" s="27" t="s">
        <v>380</v>
      </c>
      <c r="S30" s="27"/>
    </row>
    <row r="31" spans="1:19" ht="24" customHeight="1">
      <c r="A31" s="27" t="str">
        <f ca="1">IF(OR(D31&lt;&gt;"", F31&lt;&gt;"", L31&lt;&gt;"", O31&lt;&gt;""), "EVT-2026-" &amp; TEXT(COUNTIF('DT-3 Jan26'!$A$3:$A$500, "EVT*") + COUNTIF(OFFSET($A$1, 1, 0, ROW()-2, 1), "EVT*") + 1, "0000"), "")</f>
        <v>EVT-2026-0048</v>
      </c>
      <c r="B31" s="30">
        <v>46042</v>
      </c>
      <c r="C31" s="27" t="s">
        <v>227</v>
      </c>
      <c r="D31" s="27" t="s">
        <v>348</v>
      </c>
      <c r="E31" s="27" t="s">
        <v>208</v>
      </c>
      <c r="F31" s="27" t="s">
        <v>368</v>
      </c>
      <c r="G31" s="10">
        <v>30</v>
      </c>
      <c r="H31" s="36" t="s">
        <v>263</v>
      </c>
      <c r="I31" s="37" t="s">
        <v>309</v>
      </c>
      <c r="J31" s="37" t="s">
        <v>270</v>
      </c>
      <c r="K31" s="27"/>
      <c r="L31" s="27" t="s">
        <v>369</v>
      </c>
      <c r="M31" s="27" t="s">
        <v>370</v>
      </c>
      <c r="N31" s="27"/>
      <c r="O31" s="30">
        <v>46008</v>
      </c>
      <c r="P31" s="1" t="s">
        <v>264</v>
      </c>
      <c r="Q31" s="29" t="s">
        <v>265</v>
      </c>
      <c r="R31" s="27" t="s">
        <v>298</v>
      </c>
      <c r="S31" s="27"/>
    </row>
    <row r="32" spans="1:19" ht="24" customHeight="1">
      <c r="A32" s="27" t="str">
        <f ca="1">IF(OR(D32&lt;&gt;"", F32&lt;&gt;"", L32&lt;&gt;"", O32&lt;&gt;""), "EVT-2026-" &amp; TEXT(COUNTIF('DT-3 Jan26'!$A$3:$A$500, "EVT*") + COUNTIF(OFFSET($A$1, 1, 0, ROW()-2, 1), "EVT*") + 1, "0000"), "")</f>
        <v>EVT-2026-0049</v>
      </c>
      <c r="B32" s="30">
        <v>46043</v>
      </c>
      <c r="C32" s="27" t="s">
        <v>201</v>
      </c>
      <c r="D32" s="27" t="s">
        <v>239</v>
      </c>
      <c r="E32" s="27" t="s">
        <v>202</v>
      </c>
      <c r="F32" s="27" t="s">
        <v>381</v>
      </c>
      <c r="G32" s="10">
        <v>500</v>
      </c>
      <c r="H32" s="38" t="s">
        <v>294</v>
      </c>
      <c r="I32" s="37" t="s">
        <v>309</v>
      </c>
      <c r="J32" s="37" t="s">
        <v>270</v>
      </c>
      <c r="K32" s="27" t="s">
        <v>382</v>
      </c>
      <c r="L32" s="27"/>
      <c r="M32" s="27" t="s">
        <v>383</v>
      </c>
      <c r="N32" s="27"/>
      <c r="O32" s="30">
        <v>46015</v>
      </c>
      <c r="P32" s="3" t="s">
        <v>312</v>
      </c>
      <c r="Q32" s="29" t="s">
        <v>265</v>
      </c>
      <c r="R32" s="27" t="s">
        <v>384</v>
      </c>
      <c r="S32" s="27" t="s">
        <v>385</v>
      </c>
    </row>
    <row r="33" spans="1:19" ht="24" customHeight="1">
      <c r="A33" s="27" t="str">
        <f ca="1">IF(OR(D33&lt;&gt;"", F33&lt;&gt;"", L33&lt;&gt;"", O33&lt;&gt;""), "EVT-2026-" &amp; TEXT(COUNTIF('DT-3 Jan26'!$A$3:$A$500, "EVT*") + COUNTIF(OFFSET($A$1, 1, 0, ROW()-2, 1), "EVT*") + 1, "0000"), "")</f>
        <v>EVT-2026-0050</v>
      </c>
      <c r="B33" s="30">
        <v>46043</v>
      </c>
      <c r="C33" s="27" t="s">
        <v>201</v>
      </c>
      <c r="D33" s="27" t="s">
        <v>386</v>
      </c>
      <c r="E33" s="27" t="s">
        <v>208</v>
      </c>
      <c r="F33" s="27" t="s">
        <v>387</v>
      </c>
      <c r="G33" s="10">
        <v>80</v>
      </c>
      <c r="H33" s="36" t="s">
        <v>263</v>
      </c>
      <c r="I33" s="37" t="s">
        <v>289</v>
      </c>
      <c r="J33" s="37" t="s">
        <v>296</v>
      </c>
      <c r="K33" s="27"/>
      <c r="L33" s="27" t="s">
        <v>369</v>
      </c>
      <c r="M33" s="27" t="s">
        <v>388</v>
      </c>
      <c r="N33" s="27"/>
      <c r="O33" s="27"/>
      <c r="P33" s="3" t="s">
        <v>312</v>
      </c>
      <c r="Q33" s="29" t="s">
        <v>265</v>
      </c>
      <c r="R33" s="27"/>
      <c r="S33" s="27"/>
    </row>
    <row r="34" spans="1:19" ht="24" customHeight="1">
      <c r="A34" s="27" t="str">
        <f ca="1">IF(OR(D34&lt;&gt;"", F34&lt;&gt;"", L34&lt;&gt;"", O34&lt;&gt;""), "EVT-2026-" &amp; TEXT(COUNTIF('DT-3 Jan26'!$A$3:$A$500, "EVT*") + COUNTIF(OFFSET($A$1, 1, 0, ROW()-2, 1), "EVT*") + 1, "0000"), "")</f>
        <v>EVT-2026-0051</v>
      </c>
      <c r="B34" s="30">
        <v>46044</v>
      </c>
      <c r="C34" s="27" t="s">
        <v>216</v>
      </c>
      <c r="D34" s="27" t="s">
        <v>389</v>
      </c>
      <c r="E34" s="27" t="s">
        <v>202</v>
      </c>
      <c r="F34" s="27" t="s">
        <v>390</v>
      </c>
      <c r="G34" s="10">
        <v>50</v>
      </c>
      <c r="H34" s="36" t="s">
        <v>263</v>
      </c>
      <c r="I34" s="37" t="s">
        <v>275</v>
      </c>
      <c r="J34" s="37" t="s">
        <v>309</v>
      </c>
      <c r="K34" s="27"/>
      <c r="L34" s="27"/>
      <c r="M34" s="27" t="s">
        <v>391</v>
      </c>
      <c r="N34" s="27"/>
      <c r="O34" s="30" t="s">
        <v>2146</v>
      </c>
      <c r="P34" s="1" t="s">
        <v>264</v>
      </c>
      <c r="Q34" s="29" t="s">
        <v>265</v>
      </c>
      <c r="R34" s="27" t="s">
        <v>298</v>
      </c>
      <c r="S34" s="27"/>
    </row>
    <row r="35" spans="1:19" ht="24" customHeight="1">
      <c r="A35" s="27" t="str">
        <f ca="1">IF(OR(D35&lt;&gt;"", F35&lt;&gt;"", L35&lt;&gt;"", O35&lt;&gt;""), "EVT-2026-" &amp; TEXT(COUNTIF('DT-3 Jan26'!$A$3:$A$500, "EVT*") + COUNTIF(OFFSET($A$1, 1, 0, ROW()-2, 1), "EVT*") + 1, "0000"), "")</f>
        <v>EVT-2026-0052</v>
      </c>
      <c r="B35" s="30">
        <v>46044</v>
      </c>
      <c r="C35" s="27" t="s">
        <v>216</v>
      </c>
      <c r="D35" s="27" t="s">
        <v>389</v>
      </c>
      <c r="E35" s="27" t="s">
        <v>202</v>
      </c>
      <c r="F35" s="27" t="s">
        <v>392</v>
      </c>
      <c r="G35" s="10">
        <v>80</v>
      </c>
      <c r="H35" s="36" t="s">
        <v>263</v>
      </c>
      <c r="I35" s="37" t="s">
        <v>295</v>
      </c>
      <c r="J35" s="37" t="s">
        <v>296</v>
      </c>
      <c r="K35" s="27"/>
      <c r="L35" s="27" t="s">
        <v>369</v>
      </c>
      <c r="M35" s="27" t="s">
        <v>393</v>
      </c>
      <c r="N35" s="27"/>
      <c r="O35" s="30" t="s">
        <v>2157</v>
      </c>
      <c r="P35" s="1" t="s">
        <v>264</v>
      </c>
      <c r="Q35" s="29" t="s">
        <v>265</v>
      </c>
      <c r="R35" s="27"/>
      <c r="S35" s="27"/>
    </row>
    <row r="36" spans="1:19" ht="24" customHeight="1">
      <c r="A36" s="27" t="str">
        <f ca="1">IF(OR(D36&lt;&gt;"", F36&lt;&gt;"", L36&lt;&gt;"", O36&lt;&gt;""), "EVT-2026-" &amp; TEXT(COUNTIF('DT-3 Jan26'!$A$3:$A$500, "EVT*") + COUNTIF(OFFSET($A$1, 1, 0, ROW()-2, 1), "EVT*") + 1, "0000"), "")</f>
        <v>EVT-2026-0053</v>
      </c>
      <c r="B36" s="30">
        <v>46044</v>
      </c>
      <c r="C36" s="27" t="s">
        <v>216</v>
      </c>
      <c r="D36" s="27" t="s">
        <v>348</v>
      </c>
      <c r="E36" s="27" t="s">
        <v>202</v>
      </c>
      <c r="F36" s="27" t="s">
        <v>394</v>
      </c>
      <c r="G36" s="10">
        <v>180</v>
      </c>
      <c r="H36" s="38" t="s">
        <v>294</v>
      </c>
      <c r="I36" s="37" t="s">
        <v>331</v>
      </c>
      <c r="J36" s="37" t="s">
        <v>309</v>
      </c>
      <c r="K36" s="27"/>
      <c r="L36" s="27"/>
      <c r="M36" s="27" t="s">
        <v>395</v>
      </c>
      <c r="N36" s="27"/>
      <c r="O36" s="30" t="s">
        <v>2158</v>
      </c>
      <c r="P36" s="1" t="s">
        <v>264</v>
      </c>
      <c r="Q36" s="29" t="s">
        <v>265</v>
      </c>
      <c r="R36" s="27"/>
      <c r="S36" s="27"/>
    </row>
    <row r="37" spans="1:19" ht="24" customHeight="1">
      <c r="A37" s="27" t="str">
        <f ca="1">IF(OR(D37&lt;&gt;"", F37&lt;&gt;"", L37&lt;&gt;"", O37&lt;&gt;""), "EVT-2026-" &amp; TEXT(COUNTIF('DT-3 Jan26'!$A$3:$A$500, "EVT*") + COUNTIF(OFFSET($A$1, 1, 0, ROW()-2, 1), "EVT*") + 1, "0000"), "")</f>
        <v>EVT-2026-0054</v>
      </c>
      <c r="B37" s="30">
        <v>46044</v>
      </c>
      <c r="C37" s="27" t="s">
        <v>216</v>
      </c>
      <c r="D37" s="27" t="s">
        <v>138</v>
      </c>
      <c r="E37" s="27" t="s">
        <v>202</v>
      </c>
      <c r="F37" s="27" t="s">
        <v>396</v>
      </c>
      <c r="G37" s="10">
        <v>70</v>
      </c>
      <c r="H37" s="36" t="s">
        <v>263</v>
      </c>
      <c r="I37" s="37" t="s">
        <v>315</v>
      </c>
      <c r="J37" s="37" t="s">
        <v>316</v>
      </c>
      <c r="K37" s="27"/>
      <c r="L37" s="27"/>
      <c r="M37" s="27" t="s">
        <v>397</v>
      </c>
      <c r="N37" s="27"/>
      <c r="O37" s="30" t="s">
        <v>2159</v>
      </c>
      <c r="P37" s="1" t="s">
        <v>264</v>
      </c>
      <c r="Q37" s="29" t="s">
        <v>265</v>
      </c>
      <c r="R37" s="27"/>
      <c r="S37" s="27"/>
    </row>
    <row r="38" spans="1:19" ht="24" customHeight="1">
      <c r="A38" s="27" t="str">
        <f ca="1">IF(OR(D38&lt;&gt;"", F38&lt;&gt;"", L38&lt;&gt;"", O38&lt;&gt;""), "EVT-2026-" &amp; TEXT(COUNTIF('DT-3 Jan26'!$A$3:$A$500, "EVT*") + COUNTIF(OFFSET($A$1, 1, 0, ROW()-2, 1), "EVT*") + 1, "0000"), "")</f>
        <v>EVT-2026-0055</v>
      </c>
      <c r="B38" s="30">
        <v>46044</v>
      </c>
      <c r="C38" s="27" t="s">
        <v>216</v>
      </c>
      <c r="D38" s="27" t="s">
        <v>398</v>
      </c>
      <c r="E38" s="27" t="s">
        <v>208</v>
      </c>
      <c r="F38" s="27" t="s">
        <v>387</v>
      </c>
      <c r="G38" s="10">
        <v>80</v>
      </c>
      <c r="H38" s="36" t="s">
        <v>263</v>
      </c>
      <c r="I38" s="37" t="s">
        <v>289</v>
      </c>
      <c r="J38" s="37" t="s">
        <v>296</v>
      </c>
      <c r="K38" s="27"/>
      <c r="L38" s="27" t="s">
        <v>369</v>
      </c>
      <c r="M38" s="27" t="s">
        <v>388</v>
      </c>
      <c r="N38" s="27"/>
      <c r="O38" s="27"/>
      <c r="P38" s="3" t="s">
        <v>312</v>
      </c>
      <c r="Q38" s="29" t="s">
        <v>265</v>
      </c>
      <c r="R38" s="27" t="s">
        <v>298</v>
      </c>
      <c r="S38" s="27" t="s">
        <v>399</v>
      </c>
    </row>
    <row r="39" spans="1:19" ht="24" customHeight="1">
      <c r="A39" s="27" t="str">
        <f ca="1">IF(OR(D39&lt;&gt;"", F39&lt;&gt;"", L39&lt;&gt;"", O39&lt;&gt;""), "EVT-2026-" &amp; TEXT(COUNTIF('DT-3 Jan26'!$A$3:$A$500, "EVT*") + COUNTIF(OFFSET($A$1, 1, 0, ROW()-2, 1), "EVT*") + 1, "0000"), "")</f>
        <v>EVT-2026-0056</v>
      </c>
      <c r="B39" s="30">
        <v>46045</v>
      </c>
      <c r="C39" s="27" t="s">
        <v>220</v>
      </c>
      <c r="D39" s="27" t="s">
        <v>138</v>
      </c>
      <c r="E39" s="27" t="s">
        <v>202</v>
      </c>
      <c r="F39" s="27" t="s">
        <v>400</v>
      </c>
      <c r="G39" s="10">
        <v>70</v>
      </c>
      <c r="H39" s="36" t="s">
        <v>263</v>
      </c>
      <c r="I39" s="37" t="s">
        <v>338</v>
      </c>
      <c r="J39" s="37" t="s">
        <v>331</v>
      </c>
      <c r="K39" s="27"/>
      <c r="L39" s="27"/>
      <c r="M39" s="27" t="s">
        <v>379</v>
      </c>
      <c r="N39" s="27"/>
      <c r="O39" s="30" t="s">
        <v>2160</v>
      </c>
      <c r="P39" s="3" t="s">
        <v>312</v>
      </c>
      <c r="Q39" s="29" t="s">
        <v>265</v>
      </c>
      <c r="R39" s="27" t="s">
        <v>298</v>
      </c>
      <c r="S39" s="27"/>
    </row>
    <row r="40" spans="1:19" ht="24" customHeight="1">
      <c r="A40" s="27" t="str">
        <f ca="1">IF(OR(D40&lt;&gt;"", F40&lt;&gt;"", L40&lt;&gt;"", O40&lt;&gt;""), "EVT-2026-" &amp; TEXT(COUNTIF('DT-3 Jan26'!$A$3:$A$500, "EVT*") + COUNTIF(OFFSET($A$1, 1, 0, ROW()-2, 1), "EVT*") + 1, "0000"), "")</f>
        <v/>
      </c>
      <c r="B40" s="30">
        <v>46045</v>
      </c>
      <c r="C40" s="27" t="s">
        <v>220</v>
      </c>
      <c r="D40" s="27"/>
      <c r="E40" s="27"/>
      <c r="F40" s="27"/>
      <c r="G40" s="10"/>
      <c r="H40" s="36" t="s">
        <v>263</v>
      </c>
      <c r="I40" s="37"/>
      <c r="J40" s="37"/>
      <c r="K40" s="27"/>
      <c r="L40" s="27"/>
      <c r="M40" s="27"/>
      <c r="N40" s="27"/>
      <c r="O40" s="27"/>
      <c r="P40" s="1" t="s">
        <v>264</v>
      </c>
      <c r="Q40" s="29" t="s">
        <v>265</v>
      </c>
      <c r="R40" s="27"/>
      <c r="S40" s="27"/>
    </row>
    <row r="41" spans="1:19" ht="24" customHeight="1">
      <c r="A41" s="27" t="str">
        <f ca="1">IF(OR(D41&lt;&gt;"", F41&lt;&gt;"", L41&lt;&gt;"", O41&lt;&gt;""), "EVT-2026-" &amp; TEXT(COUNTIF('DT-3 Jan26'!$A$3:$A$500, "EVT*") + COUNTIF(OFFSET($A$1, 1, 0, ROW()-2, 1), "EVT*") + 1, "0000"), "")</f>
        <v>EVT-2026-0057</v>
      </c>
      <c r="B41" s="30">
        <v>46045</v>
      </c>
      <c r="C41" s="27" t="s">
        <v>220</v>
      </c>
      <c r="D41" s="27" t="s">
        <v>348</v>
      </c>
      <c r="E41" s="27" t="s">
        <v>208</v>
      </c>
      <c r="F41" s="27" t="s">
        <v>368</v>
      </c>
      <c r="G41" s="10">
        <v>30</v>
      </c>
      <c r="H41" s="36" t="s">
        <v>263</v>
      </c>
      <c r="I41" s="37" t="s">
        <v>309</v>
      </c>
      <c r="J41" s="37" t="s">
        <v>270</v>
      </c>
      <c r="K41" s="27"/>
      <c r="L41" s="27" t="s">
        <v>369</v>
      </c>
      <c r="M41" s="27" t="s">
        <v>370</v>
      </c>
      <c r="N41" s="27"/>
      <c r="O41" s="30">
        <v>46008</v>
      </c>
      <c r="P41" s="1" t="s">
        <v>264</v>
      </c>
      <c r="Q41" s="29" t="s">
        <v>265</v>
      </c>
      <c r="R41" s="27" t="s">
        <v>298</v>
      </c>
      <c r="S41" s="27"/>
    </row>
    <row r="42" spans="1:19" ht="24" customHeight="1">
      <c r="A42" s="27" t="str">
        <f ca="1">IF(OR(D42&lt;&gt;"", F42&lt;&gt;"", L42&lt;&gt;"", O42&lt;&gt;""), "EVT-2026-" &amp; TEXT(COUNTIF('DT-3 Jan26'!$A$3:$A$500, "EVT*") + COUNTIF(OFFSET($A$1, 1, 0, ROW()-2, 1), "EVT*") + 1, "0000"), "")</f>
        <v/>
      </c>
      <c r="B42" s="30">
        <v>46046</v>
      </c>
      <c r="C42" s="27" t="s">
        <v>266</v>
      </c>
      <c r="D42" s="27"/>
      <c r="E42" s="27"/>
      <c r="F42" s="27"/>
      <c r="G42" s="10"/>
      <c r="H42" s="36" t="s">
        <v>263</v>
      </c>
      <c r="I42" s="37"/>
      <c r="J42" s="37"/>
      <c r="K42" s="27"/>
      <c r="L42" s="27"/>
      <c r="M42" s="27"/>
      <c r="N42" s="27"/>
      <c r="O42" s="27"/>
      <c r="P42" s="1" t="s">
        <v>264</v>
      </c>
      <c r="Q42" s="29" t="s">
        <v>265</v>
      </c>
      <c r="R42" s="27"/>
      <c r="S42" s="27"/>
    </row>
    <row r="43" spans="1:19" ht="24" customHeight="1">
      <c r="A43" s="27" t="str">
        <f ca="1">IF(OR(D43&lt;&gt;"", F43&lt;&gt;"", L43&lt;&gt;"", O43&lt;&gt;""), "EVT-2026-" &amp; TEXT(COUNTIF('DT-3 Jan26'!$A$3:$A$500, "EVT*") + COUNTIF(OFFSET($A$1, 1, 0, ROW()-2, 1), "EVT*") + 1, "0000"), "")</f>
        <v/>
      </c>
      <c r="B43" s="30">
        <v>46047</v>
      </c>
      <c r="C43" s="27" t="s">
        <v>267</v>
      </c>
      <c r="D43" s="27"/>
      <c r="E43" s="27"/>
      <c r="F43" s="27"/>
      <c r="G43" s="10"/>
      <c r="H43" s="36" t="s">
        <v>263</v>
      </c>
      <c r="I43" s="37"/>
      <c r="J43" s="37"/>
      <c r="K43" s="27"/>
      <c r="L43" s="27"/>
      <c r="M43" s="27"/>
      <c r="N43" s="27"/>
      <c r="O43" s="27"/>
      <c r="P43" s="1" t="s">
        <v>264</v>
      </c>
      <c r="Q43" s="29" t="s">
        <v>265</v>
      </c>
      <c r="R43" s="27"/>
      <c r="S43" s="27"/>
    </row>
    <row r="44" spans="1:19" ht="24" customHeight="1">
      <c r="A44" s="27" t="str">
        <f ca="1">IF(OR(D44&lt;&gt;"", F44&lt;&gt;"", L44&lt;&gt;"", O44&lt;&gt;""), "EVT-2026-" &amp; TEXT(COUNTIF('DT-3 Jan26'!$A$3:$A$500, "EVT*") + COUNTIF(OFFSET($A$1, 1, 0, ROW()-2, 1), "EVT*") + 1, "0000"), "")</f>
        <v/>
      </c>
      <c r="B44" s="30">
        <v>46048</v>
      </c>
      <c r="C44" s="27" t="s">
        <v>224</v>
      </c>
      <c r="D44" s="27"/>
      <c r="E44" s="27"/>
      <c r="F44" s="27"/>
      <c r="G44" s="10"/>
      <c r="H44" s="36" t="s">
        <v>263</v>
      </c>
      <c r="I44" s="37"/>
      <c r="J44" s="37"/>
      <c r="K44" s="27"/>
      <c r="L44" s="27"/>
      <c r="M44" s="27"/>
      <c r="N44" s="27"/>
      <c r="O44" s="27"/>
      <c r="P44" s="1" t="s">
        <v>264</v>
      </c>
      <c r="Q44" s="29" t="s">
        <v>265</v>
      </c>
      <c r="R44" s="27"/>
      <c r="S44" s="27"/>
    </row>
    <row r="45" spans="1:19" ht="24" customHeight="1">
      <c r="A45" s="27" t="str">
        <f ca="1">IF(OR(D45&lt;&gt;"", F45&lt;&gt;"", L45&lt;&gt;"", O45&lt;&gt;""), "EVT-2026-" &amp; TEXT(COUNTIF('DT-3 Jan26'!$A$3:$A$500, "EVT*") + COUNTIF(OFFSET($A$1, 1, 0, ROW()-2, 1), "EVT*") + 1, "0000"), "")</f>
        <v>EVT-2026-0058</v>
      </c>
      <c r="B45" s="30" t="s">
        <v>2161</v>
      </c>
      <c r="C45" s="27" t="s">
        <v>227</v>
      </c>
      <c r="D45" s="27" t="s">
        <v>401</v>
      </c>
      <c r="E45" s="27" t="s">
        <v>202</v>
      </c>
      <c r="F45" s="27" t="s">
        <v>402</v>
      </c>
      <c r="G45" s="10">
        <v>2</v>
      </c>
      <c r="H45" s="36" t="s">
        <v>263</v>
      </c>
      <c r="I45" s="37" t="s">
        <v>269</v>
      </c>
      <c r="J45" s="37" t="s">
        <v>270</v>
      </c>
      <c r="K45" s="27"/>
      <c r="L45" s="27"/>
      <c r="M45" s="27"/>
      <c r="N45" s="27"/>
      <c r="O45" s="27"/>
      <c r="P45" s="1" t="s">
        <v>264</v>
      </c>
      <c r="Q45" s="29" t="s">
        <v>265</v>
      </c>
      <c r="R45" s="27" t="s">
        <v>403</v>
      </c>
      <c r="S45" s="27"/>
    </row>
    <row r="46" spans="1:19" ht="24" customHeight="1">
      <c r="A46" s="27" t="str">
        <f ca="1">IF(OR(D46&lt;&gt;"", F46&lt;&gt;"", L46&lt;&gt;"", O46&lt;&gt;""), "EVT-2026-" &amp; TEXT(COUNTIF('DT-3 Jan26'!$A$3:$A$500, "EVT*") + COUNTIF(OFFSET($A$1, 1, 0, ROW()-2, 1), "EVT*") + 1, "0000"), "")</f>
        <v>EVT-2026-0059</v>
      </c>
      <c r="B46" s="30">
        <v>46049</v>
      </c>
      <c r="C46" s="27" t="s">
        <v>227</v>
      </c>
      <c r="D46" s="27" t="s">
        <v>348</v>
      </c>
      <c r="E46" s="27" t="s">
        <v>202</v>
      </c>
      <c r="F46" s="27" t="s">
        <v>404</v>
      </c>
      <c r="G46" s="10">
        <v>70</v>
      </c>
      <c r="H46" s="36" t="s">
        <v>263</v>
      </c>
      <c r="I46" s="37" t="s">
        <v>331</v>
      </c>
      <c r="J46" s="37" t="s">
        <v>275</v>
      </c>
      <c r="K46" s="27"/>
      <c r="L46" s="27"/>
      <c r="M46" s="27" t="s">
        <v>379</v>
      </c>
      <c r="N46" s="27"/>
      <c r="O46" s="30" t="s">
        <v>2156</v>
      </c>
      <c r="P46" s="1" t="s">
        <v>264</v>
      </c>
      <c r="Q46" s="29" t="s">
        <v>265</v>
      </c>
      <c r="R46" s="27" t="s">
        <v>405</v>
      </c>
      <c r="S46" s="27"/>
    </row>
    <row r="47" spans="1:19" ht="24" customHeight="1">
      <c r="A47" s="27" t="str">
        <f ca="1">IF(OR(D47&lt;&gt;"", F47&lt;&gt;"", L47&lt;&gt;"", O47&lt;&gt;""), "EVT-2026-" &amp; TEXT(COUNTIF('DT-3 Jan26'!$A$3:$A$500, "EVT*") + COUNTIF(OFFSET($A$1, 1, 0, ROW()-2, 1), "EVT*") + 1, "0000"), "")</f>
        <v>EVT-2026-0060</v>
      </c>
      <c r="B47" s="30">
        <v>46049</v>
      </c>
      <c r="C47" s="27" t="s">
        <v>227</v>
      </c>
      <c r="D47" s="27" t="s">
        <v>138</v>
      </c>
      <c r="E47" s="27" t="s">
        <v>202</v>
      </c>
      <c r="F47" s="27" t="s">
        <v>377</v>
      </c>
      <c r="G47" s="10">
        <v>75</v>
      </c>
      <c r="H47" s="36" t="s">
        <v>263</v>
      </c>
      <c r="I47" s="37" t="s">
        <v>350</v>
      </c>
      <c r="J47" s="37" t="s">
        <v>289</v>
      </c>
      <c r="K47" s="27"/>
      <c r="L47" s="27" t="s">
        <v>378</v>
      </c>
      <c r="M47" s="27" t="s">
        <v>298</v>
      </c>
      <c r="N47" s="27"/>
      <c r="O47" s="27"/>
      <c r="P47" s="3" t="s">
        <v>312</v>
      </c>
      <c r="Q47" s="29" t="s">
        <v>265</v>
      </c>
      <c r="R47" s="27" t="s">
        <v>406</v>
      </c>
      <c r="S47" s="27" t="s">
        <v>407</v>
      </c>
    </row>
    <row r="48" spans="1:19" ht="24" customHeight="1">
      <c r="A48" s="27" t="str">
        <f ca="1">IF(OR(D48&lt;&gt;"", F48&lt;&gt;"", L48&lt;&gt;"", O48&lt;&gt;""), "EVT-2026-" &amp; TEXT(COUNTIF('DT-3 Jan26'!$A$3:$A$500, "EVT*") + COUNTIF(OFFSET($A$1, 1, 0, ROW()-2, 1), "EVT*") + 1, "0000"), "")</f>
        <v>EVT-2026-0061</v>
      </c>
      <c r="B48" s="30">
        <v>46049</v>
      </c>
      <c r="C48" s="27" t="s">
        <v>227</v>
      </c>
      <c r="D48" s="27" t="s">
        <v>239</v>
      </c>
      <c r="E48" s="27" t="s">
        <v>202</v>
      </c>
      <c r="F48" s="27" t="s">
        <v>408</v>
      </c>
      <c r="G48" s="10">
        <v>80</v>
      </c>
      <c r="H48" s="36" t="s">
        <v>263</v>
      </c>
      <c r="I48" s="37" t="s">
        <v>359</v>
      </c>
      <c r="J48" s="37" t="s">
        <v>270</v>
      </c>
      <c r="K48" s="27"/>
      <c r="L48" s="27"/>
      <c r="M48" s="27" t="s">
        <v>379</v>
      </c>
      <c r="N48" s="27"/>
      <c r="O48" s="30">
        <v>46028</v>
      </c>
      <c r="P48" s="1" t="s">
        <v>264</v>
      </c>
      <c r="Q48" s="29" t="s">
        <v>265</v>
      </c>
      <c r="R48" s="27" t="s">
        <v>409</v>
      </c>
      <c r="S48" s="27"/>
    </row>
    <row r="49" spans="1:19" ht="24" customHeight="1">
      <c r="A49" s="27" t="str">
        <f ca="1">IF(OR(D49&lt;&gt;"", F49&lt;&gt;"", L49&lt;&gt;"", O49&lt;&gt;""), "EVT-2026-" &amp; TEXT(COUNTIF('DT-3 Jan26'!$A$3:$A$500, "EVT*") + COUNTIF(OFFSET($A$1, 1, 0, ROW()-2, 1), "EVT*") + 1, "0000"), "")</f>
        <v>EVT-2026-0062</v>
      </c>
      <c r="B49" s="30">
        <v>46049</v>
      </c>
      <c r="C49" s="27" t="s">
        <v>227</v>
      </c>
      <c r="D49" s="27" t="s">
        <v>348</v>
      </c>
      <c r="E49" s="27" t="s">
        <v>208</v>
      </c>
      <c r="F49" s="27" t="s">
        <v>349</v>
      </c>
      <c r="G49" s="10">
        <v>50</v>
      </c>
      <c r="H49" s="36" t="s">
        <v>263</v>
      </c>
      <c r="I49" s="37" t="s">
        <v>350</v>
      </c>
      <c r="J49" s="37" t="s">
        <v>296</v>
      </c>
      <c r="K49" s="27"/>
      <c r="L49" s="27"/>
      <c r="M49" s="27" t="s">
        <v>351</v>
      </c>
      <c r="N49" s="27"/>
      <c r="O49" s="30">
        <v>46008</v>
      </c>
      <c r="P49" s="1" t="s">
        <v>264</v>
      </c>
      <c r="Q49" s="29" t="s">
        <v>265</v>
      </c>
      <c r="R49" s="27" t="s">
        <v>303</v>
      </c>
      <c r="S49" s="27"/>
    </row>
    <row r="50" spans="1:19" ht="24" customHeight="1">
      <c r="A50" s="27" t="str">
        <f ca="1">IF(OR(D50&lt;&gt;"", F50&lt;&gt;"", L50&lt;&gt;"", O50&lt;&gt;""), "EVT-2026-" &amp; TEXT(COUNTIF('DT-3 Jan26'!$A$3:$A$500, "EVT*") + COUNTIF(OFFSET($A$1, 1, 0, ROW()-2, 1), "EVT*") + 1, "0000"), "")</f>
        <v>EVT-2026-0063</v>
      </c>
      <c r="B50" s="30">
        <v>46050</v>
      </c>
      <c r="C50" s="27" t="s">
        <v>201</v>
      </c>
      <c r="D50" s="27" t="s">
        <v>239</v>
      </c>
      <c r="E50" s="27" t="s">
        <v>202</v>
      </c>
      <c r="F50" s="27" t="s">
        <v>410</v>
      </c>
      <c r="G50" s="10">
        <v>180</v>
      </c>
      <c r="H50" s="38" t="s">
        <v>294</v>
      </c>
      <c r="I50" s="37" t="s">
        <v>295</v>
      </c>
      <c r="J50" s="37" t="s">
        <v>411</v>
      </c>
      <c r="K50" s="27"/>
      <c r="L50" s="27"/>
      <c r="M50" s="27" t="s">
        <v>378</v>
      </c>
      <c r="N50" s="27"/>
      <c r="O50" s="30" t="s">
        <v>2146</v>
      </c>
      <c r="P50" s="3" t="s">
        <v>312</v>
      </c>
      <c r="Q50" s="29" t="s">
        <v>265</v>
      </c>
      <c r="R50" s="27"/>
      <c r="S50" s="27" t="s">
        <v>412</v>
      </c>
    </row>
    <row r="51" spans="1:19" ht="24" customHeight="1">
      <c r="A51" s="27" t="str">
        <f ca="1">IF(OR(D51&lt;&gt;"", F51&lt;&gt;"", L51&lt;&gt;"", O51&lt;&gt;""), "EVT-2026-" &amp; TEXT(COUNTIF('DT-3 Jan26'!$A$3:$A$500, "EVT*") + COUNTIF(OFFSET($A$1, 1, 0, ROW()-2, 1), "EVT*") + 1, "0000"), "")</f>
        <v>EVT-2026-0064</v>
      </c>
      <c r="B51" s="30">
        <v>46050</v>
      </c>
      <c r="C51" s="27" t="s">
        <v>201</v>
      </c>
      <c r="D51" s="27" t="s">
        <v>348</v>
      </c>
      <c r="E51" s="27" t="s">
        <v>208</v>
      </c>
      <c r="F51" s="27" t="s">
        <v>413</v>
      </c>
      <c r="G51" s="10">
        <v>30</v>
      </c>
      <c r="H51" s="36" t="s">
        <v>263</v>
      </c>
      <c r="I51" s="37" t="s">
        <v>309</v>
      </c>
      <c r="J51" s="37" t="s">
        <v>290</v>
      </c>
      <c r="K51" s="27"/>
      <c r="L51" s="27"/>
      <c r="M51" s="27" t="s">
        <v>414</v>
      </c>
      <c r="N51" s="27"/>
      <c r="O51" s="30" t="s">
        <v>2162</v>
      </c>
      <c r="P51" s="1" t="s">
        <v>264</v>
      </c>
      <c r="Q51" s="29" t="s">
        <v>265</v>
      </c>
      <c r="R51" s="27" t="s">
        <v>415</v>
      </c>
      <c r="S51" s="27"/>
    </row>
    <row r="52" spans="1:19" ht="24" customHeight="1">
      <c r="A52" s="27" t="str">
        <f ca="1">IF(OR(D52&lt;&gt;"", F52&lt;&gt;"", L52&lt;&gt;"", O52&lt;&gt;""), "EVT-2026-" &amp; TEXT(COUNTIF('DT-3 Jan26'!$A$3:$A$500, "EVT*") + COUNTIF(OFFSET($A$1, 1, 0, ROW()-2, 1), "EVT*") + 1, "0000"), "")</f>
        <v>EVT-2026-0065</v>
      </c>
      <c r="B52" s="30">
        <v>46050</v>
      </c>
      <c r="C52" s="27" t="s">
        <v>201</v>
      </c>
      <c r="D52" s="27" t="s">
        <v>138</v>
      </c>
      <c r="E52" s="27" t="s">
        <v>202</v>
      </c>
      <c r="F52" s="27" t="s">
        <v>416</v>
      </c>
      <c r="G52" s="10">
        <v>40</v>
      </c>
      <c r="H52" s="36" t="s">
        <v>263</v>
      </c>
      <c r="I52" s="37" t="s">
        <v>289</v>
      </c>
      <c r="J52" s="37" t="s">
        <v>270</v>
      </c>
      <c r="K52" s="27"/>
      <c r="L52" s="27"/>
      <c r="M52" s="27" t="s">
        <v>417</v>
      </c>
      <c r="N52" s="27"/>
      <c r="O52" s="30" t="s">
        <v>2163</v>
      </c>
      <c r="P52" s="1" t="s">
        <v>264</v>
      </c>
      <c r="Q52" s="29" t="s">
        <v>265</v>
      </c>
      <c r="R52" s="27"/>
      <c r="S52" s="27"/>
    </row>
    <row r="53" spans="1:19" ht="24" customHeight="1">
      <c r="A53" s="27" t="str">
        <f ca="1">IF(OR(D53&lt;&gt;"", F53&lt;&gt;"", L53&lt;&gt;"", O53&lt;&gt;""), "EVT-2026-" &amp; TEXT(COUNTIF('DT-3 Jan26'!$A$3:$A$500, "EVT*") + COUNTIF(OFFSET($A$1, 1, 0, ROW()-2, 1), "EVT*") + 1, "0000"), "")</f>
        <v>EVT-2026-0066</v>
      </c>
      <c r="B53" s="30">
        <v>46050</v>
      </c>
      <c r="C53" s="27" t="s">
        <v>201</v>
      </c>
      <c r="D53" s="27" t="s">
        <v>239</v>
      </c>
      <c r="E53" s="27" t="s">
        <v>202</v>
      </c>
      <c r="F53" s="27" t="s">
        <v>408</v>
      </c>
      <c r="G53" s="10">
        <v>80</v>
      </c>
      <c r="H53" s="36" t="s">
        <v>263</v>
      </c>
      <c r="I53" s="37" t="s">
        <v>295</v>
      </c>
      <c r="J53" s="37" t="s">
        <v>296</v>
      </c>
      <c r="K53" s="27"/>
      <c r="L53" s="27"/>
      <c r="M53" s="27" t="s">
        <v>379</v>
      </c>
      <c r="N53" s="27"/>
      <c r="O53" s="30">
        <v>46028</v>
      </c>
      <c r="P53" s="3" t="s">
        <v>312</v>
      </c>
      <c r="Q53" s="29" t="s">
        <v>265</v>
      </c>
      <c r="R53" s="27" t="s">
        <v>409</v>
      </c>
      <c r="S53" s="27" t="s">
        <v>418</v>
      </c>
    </row>
    <row r="54" spans="1:19" ht="24" customHeight="1">
      <c r="A54" s="27" t="str">
        <f ca="1">IF(OR(D54&lt;&gt;"", F54&lt;&gt;"", L54&lt;&gt;"", O54&lt;&gt;""), "EVT-2026-" &amp; TEXT(COUNTIF('DT-3 Jan26'!$A$3:$A$500, "EVT*") + COUNTIF(OFFSET($A$1, 1, 0, ROW()-2, 1), "EVT*") + 1, "0000"), "")</f>
        <v>EVT-2026-0067</v>
      </c>
      <c r="B54" s="30">
        <v>46051</v>
      </c>
      <c r="C54" s="27" t="s">
        <v>216</v>
      </c>
      <c r="D54" s="27" t="s">
        <v>239</v>
      </c>
      <c r="E54" s="27" t="s">
        <v>202</v>
      </c>
      <c r="F54" s="27"/>
      <c r="G54" s="10">
        <v>40</v>
      </c>
      <c r="H54" s="36" t="s">
        <v>263</v>
      </c>
      <c r="I54" s="37" t="s">
        <v>359</v>
      </c>
      <c r="J54" s="37" t="s">
        <v>290</v>
      </c>
      <c r="K54" s="27"/>
      <c r="L54" s="27"/>
      <c r="M54" s="27" t="s">
        <v>419</v>
      </c>
      <c r="N54" s="27"/>
      <c r="O54" s="27"/>
      <c r="P54" s="1" t="s">
        <v>264</v>
      </c>
      <c r="Q54" s="29" t="s">
        <v>265</v>
      </c>
      <c r="R54" s="27" t="s">
        <v>298</v>
      </c>
      <c r="S54" s="27"/>
    </row>
    <row r="55" spans="1:19" ht="24" customHeight="1">
      <c r="A55" s="27" t="str">
        <f ca="1">IF(OR(D55&lt;&gt;"", F55&lt;&gt;"", L55&lt;&gt;"", O55&lt;&gt;""), "EVT-2026-" &amp; TEXT(COUNTIF('DT-3 Jan26'!$A$3:$A$500, "EVT*") + COUNTIF(OFFSET($A$1, 1, 0, ROW()-2, 1), "EVT*") + 1, "0000"), "")</f>
        <v>EVT-2026-0068</v>
      </c>
      <c r="B55" s="30">
        <v>46051</v>
      </c>
      <c r="C55" s="27" t="s">
        <v>216</v>
      </c>
      <c r="D55" s="27" t="s">
        <v>348</v>
      </c>
      <c r="E55" s="27" t="s">
        <v>208</v>
      </c>
      <c r="F55" s="27" t="s">
        <v>387</v>
      </c>
      <c r="G55" s="10">
        <v>80</v>
      </c>
      <c r="H55" s="36" t="s">
        <v>263</v>
      </c>
      <c r="I55" s="37" t="s">
        <v>289</v>
      </c>
      <c r="J55" s="37" t="s">
        <v>296</v>
      </c>
      <c r="K55" s="27"/>
      <c r="L55" s="27" t="s">
        <v>369</v>
      </c>
      <c r="M55" s="27" t="s">
        <v>388</v>
      </c>
      <c r="N55" s="27"/>
      <c r="O55" s="27"/>
      <c r="P55" s="1" t="s">
        <v>264</v>
      </c>
      <c r="Q55" s="29" t="s">
        <v>265</v>
      </c>
      <c r="R55" s="27"/>
      <c r="S55" s="27"/>
    </row>
    <row r="56" spans="1:19" ht="24" customHeight="1">
      <c r="A56" s="27" t="str">
        <f ca="1">IF(OR(D56&lt;&gt;"", F56&lt;&gt;"", L56&lt;&gt;"", O56&lt;&gt;""), "EVT-2026-" &amp; TEXT(COUNTIF('DT-3 Jan26'!$A$3:$A$500, "EVT*") + COUNTIF(OFFSET($A$1, 1, 0, ROW()-2, 1), "EVT*") + 1, "0000"), "")</f>
        <v>EVT-2026-0069</v>
      </c>
      <c r="B56" s="30">
        <v>46051</v>
      </c>
      <c r="C56" s="27" t="s">
        <v>216</v>
      </c>
      <c r="D56" s="27" t="s">
        <v>348</v>
      </c>
      <c r="E56" s="27" t="s">
        <v>420</v>
      </c>
      <c r="F56" s="27" t="s">
        <v>377</v>
      </c>
      <c r="G56" s="10">
        <v>80</v>
      </c>
      <c r="H56" s="36" t="s">
        <v>263</v>
      </c>
      <c r="I56" s="37" t="s">
        <v>350</v>
      </c>
      <c r="J56" s="37" t="s">
        <v>289</v>
      </c>
      <c r="K56" s="27"/>
      <c r="L56" s="27"/>
      <c r="M56" s="27" t="s">
        <v>378</v>
      </c>
      <c r="N56" s="27"/>
      <c r="O56" s="30">
        <v>46043</v>
      </c>
      <c r="P56" s="1" t="s">
        <v>264</v>
      </c>
      <c r="Q56" s="29" t="s">
        <v>265</v>
      </c>
      <c r="R56" s="27"/>
      <c r="S56" s="27"/>
    </row>
    <row r="57" spans="1:19" ht="24" customHeight="1">
      <c r="A57" s="27" t="str">
        <f ca="1">IF(OR(D57&lt;&gt;"", F57&lt;&gt;"", L57&lt;&gt;"", O57&lt;&gt;""), "EVT-2026-" &amp; TEXT(COUNTIF('DT-3 Jan26'!$A$3:$A$500, "EVT*") + COUNTIF(OFFSET($A$1, 1, 0, ROW()-2, 1), "EVT*") + 1, "0000"), "")</f>
        <v>EVT-2026-0070</v>
      </c>
      <c r="B57" s="30">
        <v>46051</v>
      </c>
      <c r="C57" s="27" t="s">
        <v>216</v>
      </c>
      <c r="D57" s="27" t="s">
        <v>138</v>
      </c>
      <c r="E57" s="27" t="s">
        <v>420</v>
      </c>
      <c r="F57" s="27" t="s">
        <v>421</v>
      </c>
      <c r="G57" s="10">
        <v>40</v>
      </c>
      <c r="H57" s="36" t="s">
        <v>263</v>
      </c>
      <c r="I57" s="37" t="s">
        <v>331</v>
      </c>
      <c r="J57" s="37" t="s">
        <v>296</v>
      </c>
      <c r="K57" s="27"/>
      <c r="L57" s="27"/>
      <c r="M57" s="27" t="s">
        <v>379</v>
      </c>
      <c r="N57" s="27"/>
      <c r="O57" s="27"/>
      <c r="P57" s="1" t="s">
        <v>264</v>
      </c>
      <c r="Q57" s="29" t="s">
        <v>265</v>
      </c>
      <c r="R57" s="27"/>
      <c r="S57" s="27"/>
    </row>
    <row r="58" spans="1:19" ht="24" customHeight="1">
      <c r="A58" s="27" t="str">
        <f ca="1">IF(OR(D58&lt;&gt;"", F58&lt;&gt;"", L58&lt;&gt;"", O58&lt;&gt;""), "EVT-2026-" &amp; TEXT(COUNTIF('DT-3 Jan26'!$A$3:$A$500, "EVT*") + COUNTIF(OFFSET($A$1, 1, 0, ROW()-2, 1), "EVT*") + 1, "0000"), "")</f>
        <v>EVT-2026-0071</v>
      </c>
      <c r="B58" s="30">
        <v>46051</v>
      </c>
      <c r="C58" s="27" t="s">
        <v>216</v>
      </c>
      <c r="D58" s="27" t="s">
        <v>348</v>
      </c>
      <c r="E58" s="27" t="s">
        <v>202</v>
      </c>
      <c r="F58" s="27" t="s">
        <v>349</v>
      </c>
      <c r="G58" s="10">
        <v>50</v>
      </c>
      <c r="H58" s="36" t="s">
        <v>263</v>
      </c>
      <c r="I58" s="37" t="s">
        <v>350</v>
      </c>
      <c r="J58" s="37" t="s">
        <v>296</v>
      </c>
      <c r="K58" s="27"/>
      <c r="L58" s="27"/>
      <c r="M58" s="27" t="s">
        <v>351</v>
      </c>
      <c r="N58" s="27"/>
      <c r="O58" s="30" t="s">
        <v>2164</v>
      </c>
      <c r="P58" s="1" t="s">
        <v>264</v>
      </c>
      <c r="Q58" s="29" t="s">
        <v>265</v>
      </c>
      <c r="R58" s="27" t="s">
        <v>303</v>
      </c>
      <c r="S58" s="27"/>
    </row>
    <row r="59" spans="1:19" ht="24" customHeight="1">
      <c r="A59" s="27" t="str">
        <f ca="1">IF(OR(D59&lt;&gt;"", F59&lt;&gt;"", L59&lt;&gt;"", O59&lt;&gt;""), "EVT-2026-" &amp; TEXT(COUNTIF('DT-3 Jan26'!$A$3:$A$500, "EVT*") + COUNTIF(OFFSET($A$1, 1, 0, ROW()-2, 1), "EVT*") + 1, "0000"), "")</f>
        <v>EVT-2026-0072</v>
      </c>
      <c r="B59" s="30">
        <v>46052</v>
      </c>
      <c r="C59" s="27" t="s">
        <v>220</v>
      </c>
      <c r="D59" s="27" t="s">
        <v>422</v>
      </c>
      <c r="E59" s="27" t="s">
        <v>228</v>
      </c>
      <c r="F59" s="27" t="s">
        <v>337</v>
      </c>
      <c r="G59" s="10"/>
      <c r="H59" s="36" t="s">
        <v>263</v>
      </c>
      <c r="I59" s="37" t="s">
        <v>338</v>
      </c>
      <c r="J59" s="37" t="s">
        <v>274</v>
      </c>
      <c r="K59" s="27"/>
      <c r="L59" s="27"/>
      <c r="M59" s="27" t="s">
        <v>339</v>
      </c>
      <c r="N59" s="27"/>
      <c r="O59" s="27" t="s">
        <v>423</v>
      </c>
      <c r="P59" s="1" t="s">
        <v>264</v>
      </c>
      <c r="Q59" s="29" t="s">
        <v>265</v>
      </c>
      <c r="R59" s="27"/>
      <c r="S59" s="27"/>
    </row>
    <row r="60" spans="1:19" ht="24" customHeight="1">
      <c r="A60" s="27" t="str">
        <f ca="1">IF(OR(D60&lt;&gt;"", F60&lt;&gt;"", L60&lt;&gt;"", O60&lt;&gt;""), "EVT-2026-" &amp; TEXT(COUNTIF('DT-3 Jan26'!$A$3:$A$500, "EVT*") + COUNTIF(OFFSET($A$1, 1, 0, ROW()-2, 1), "EVT*") + 1, "0000"), "")</f>
        <v>EVT-2026-0073</v>
      </c>
      <c r="B60" s="30">
        <v>46052</v>
      </c>
      <c r="C60" s="27" t="s">
        <v>220</v>
      </c>
      <c r="D60" s="27" t="s">
        <v>239</v>
      </c>
      <c r="E60" s="27" t="s">
        <v>202</v>
      </c>
      <c r="F60" s="27" t="s">
        <v>337</v>
      </c>
      <c r="G60" s="10" t="s">
        <v>2148</v>
      </c>
      <c r="H60" s="36" t="s">
        <v>263</v>
      </c>
      <c r="I60" s="37" t="s">
        <v>338</v>
      </c>
      <c r="J60" s="37" t="s">
        <v>274</v>
      </c>
      <c r="K60" s="27"/>
      <c r="L60" s="27"/>
      <c r="M60" s="27" t="s">
        <v>339</v>
      </c>
      <c r="N60" s="27"/>
      <c r="O60" s="27"/>
      <c r="P60" s="1" t="s">
        <v>264</v>
      </c>
      <c r="Q60" s="29" t="s">
        <v>265</v>
      </c>
      <c r="R60" s="27" t="s">
        <v>424</v>
      </c>
      <c r="S60" s="27"/>
    </row>
    <row r="61" spans="1:19" ht="24" customHeight="1">
      <c r="A61" s="27" t="str">
        <f ca="1">IF(OR(D61&lt;&gt;"", F61&lt;&gt;"", L61&lt;&gt;"", O61&lt;&gt;""), "EVT-2026-" &amp; TEXT(COUNTIF('DT-3 Jan26'!$A$3:$A$500, "EVT*") + COUNTIF(OFFSET($A$1, 1, 0, ROW()-2, 1), "EVT*") + 1, "0000"), "")</f>
        <v>EVT-2026-0074</v>
      </c>
      <c r="B61" s="30">
        <v>46052</v>
      </c>
      <c r="C61" s="27" t="s">
        <v>220</v>
      </c>
      <c r="D61" s="27" t="s">
        <v>239</v>
      </c>
      <c r="E61" s="27" t="s">
        <v>202</v>
      </c>
      <c r="F61" s="27"/>
      <c r="G61" s="10"/>
      <c r="H61" s="36" t="s">
        <v>263</v>
      </c>
      <c r="I61" s="37" t="s">
        <v>295</v>
      </c>
      <c r="J61" s="37" t="s">
        <v>296</v>
      </c>
      <c r="K61" s="27"/>
      <c r="L61" s="27"/>
      <c r="M61" s="27" t="s">
        <v>425</v>
      </c>
      <c r="N61" s="27"/>
      <c r="O61" s="27"/>
      <c r="P61" s="1" t="s">
        <v>264</v>
      </c>
      <c r="Q61" s="29" t="s">
        <v>265</v>
      </c>
      <c r="R61" s="27"/>
      <c r="S61" s="27"/>
    </row>
    <row r="62" spans="1:19" ht="24" customHeight="1">
      <c r="A62" s="27" t="str">
        <f ca="1">IF(OR(D62&lt;&gt;"", F62&lt;&gt;"", L62&lt;&gt;"", O62&lt;&gt;""), "EVT-2026-" &amp; TEXT(COUNTIF('DT-3 Jan26'!$A$3:$A$500, "EVT*") + COUNTIF(OFFSET($A$1, 1, 0, ROW()-2, 1), "EVT*") + 1, "0000"), "")</f>
        <v>EVT-2026-0075</v>
      </c>
      <c r="B62" s="30">
        <v>46053</v>
      </c>
      <c r="C62" s="27" t="s">
        <v>266</v>
      </c>
      <c r="D62" s="27" t="s">
        <v>342</v>
      </c>
      <c r="E62" s="27"/>
      <c r="F62" s="27"/>
      <c r="G62" s="10"/>
      <c r="H62" s="36" t="s">
        <v>263</v>
      </c>
      <c r="I62" s="37"/>
      <c r="J62" s="37"/>
      <c r="K62" s="27"/>
      <c r="L62" s="27"/>
      <c r="M62" s="27"/>
      <c r="N62" s="27"/>
      <c r="O62" s="27"/>
      <c r="P62" s="1" t="s">
        <v>264</v>
      </c>
      <c r="Q62" s="29" t="s">
        <v>265</v>
      </c>
      <c r="R62" s="27"/>
      <c r="S62" s="27"/>
    </row>
    <row r="63" spans="1:19" ht="24" customHeight="1">
      <c r="A63" s="27" t="str">
        <f ca="1">IF(OR(D63&lt;&gt;"", F63&lt;&gt;"", L63&lt;&gt;"", O63&lt;&gt;""), "EVT-2026-" &amp; TEXT(COUNTIF('DT-3 Jan26'!$A$3:$A$500, "EVT*") + COUNTIF(OFFSET($A$1, 1, 0, ROW()-2, 1), "EVT*") + 1, "0000"), "")</f>
        <v/>
      </c>
      <c r="B63" s="27"/>
      <c r="C63" s="27" t="s">
        <v>426</v>
      </c>
      <c r="D63" s="27"/>
      <c r="E63" s="27"/>
      <c r="F63" s="27"/>
      <c r="G63" s="10"/>
      <c r="H63" s="36" t="s">
        <v>263</v>
      </c>
      <c r="I63" s="37"/>
      <c r="J63" s="37"/>
      <c r="K63" s="27"/>
      <c r="L63" s="27"/>
      <c r="M63" s="27"/>
      <c r="N63" s="27"/>
      <c r="O63" s="27"/>
      <c r="P63" s="1" t="s">
        <v>264</v>
      </c>
      <c r="Q63" s="29" t="s">
        <v>265</v>
      </c>
      <c r="R63" s="27"/>
      <c r="S63" s="27"/>
    </row>
  </sheetData>
  <mergeCells count="3">
    <mergeCell ref="O1:S1"/>
    <mergeCell ref="A1:C1"/>
    <mergeCell ref="D1:N1"/>
  </mergeCells>
  <dataValidations count="4">
    <dataValidation type="list" allowBlank="1" sqref="O3:O500 P3:P63" xr:uid="{00000000-0002-0000-0300-000000000000}">
      <formula1>"Confirmed (Done),Pending Calendar Booking,Canceled"</formula1>
    </dataValidation>
    <dataValidation type="list" allowBlank="1" sqref="P3:P113" xr:uid="{00000000-0002-0000-0300-000001000000}">
      <formula1>"Form sent,NA"</formula1>
    </dataValidation>
    <dataValidation type="list" allowBlank="1" sqref="Q3:Q63" xr:uid="{00000000-0002-0000-0300-000002000000}">
      <formula1>"Form sent,Not Required,NA"</formula1>
    </dataValidation>
    <dataValidation type="list" allowBlank="1" sqref="H3:H63" xr:uid="{00000000-0002-0000-0300-000003000000}">
      <formula1>"Big Event,Small Event"</formula1>
    </dataValidation>
  </dataValidations>
  <hyperlinks>
    <hyperlink ref="A1" location="'Dashboard'!A1" display="🏠 ⮌ RETURN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0"/>
  <sheetViews>
    <sheetView topLeftCell="A12" workbookViewId="0">
      <pane ySplit="2" topLeftCell="A3" activePane="bottomLeft" state="frozen"/>
      <selection pane="bottomLeft" activeCell="A18" sqref="A18"/>
    </sheetView>
  </sheetViews>
  <sheetFormatPr defaultRowHeight="14.45"/>
  <cols>
    <col min="1" max="1" width="18" customWidth="1"/>
    <col min="2" max="2" width="15" customWidth="1"/>
    <col min="3" max="3" width="12" customWidth="1"/>
    <col min="4" max="4" width="40" customWidth="1"/>
    <col min="5" max="5" width="41" customWidth="1"/>
    <col min="6" max="6" width="12" customWidth="1"/>
    <col min="7" max="7" width="15" customWidth="1"/>
    <col min="8" max="8" width="19" customWidth="1"/>
    <col min="9" max="9" width="17" customWidth="1"/>
    <col min="10" max="10" width="48" customWidth="1"/>
    <col min="11" max="11" width="22" customWidth="1"/>
    <col min="12" max="12" width="20" customWidth="1"/>
    <col min="13" max="13" width="25" customWidth="1"/>
    <col min="14" max="14" width="16" customWidth="1"/>
    <col min="15" max="15" width="25" customWidth="1"/>
    <col min="16" max="16" width="18" customWidth="1"/>
    <col min="17" max="17" width="48" customWidth="1"/>
    <col min="18" max="18" width="19" customWidth="1"/>
  </cols>
  <sheetData>
    <row r="1" spans="1:18" ht="27.95" customHeight="1">
      <c r="A1" s="62" t="s">
        <v>2138</v>
      </c>
      <c r="B1" s="134"/>
      <c r="C1" s="135"/>
      <c r="D1" s="63" t="s">
        <v>2165</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COUNTIF(OFFSET($A$1, 1, 0, ROW()-2, 1), "EVT*") + 1, "0000"), "")</f>
        <v/>
      </c>
      <c r="B3" s="30">
        <v>46054</v>
      </c>
      <c r="C3" s="27" t="s">
        <v>267</v>
      </c>
      <c r="D3" s="27"/>
      <c r="E3" s="27"/>
      <c r="F3" s="10"/>
      <c r="G3" s="36" t="s">
        <v>263</v>
      </c>
      <c r="H3" s="37"/>
      <c r="I3" s="37"/>
      <c r="J3" s="27"/>
      <c r="K3" s="27"/>
      <c r="L3" s="27"/>
      <c r="M3" s="27"/>
      <c r="N3" s="27"/>
      <c r="O3" s="1" t="s">
        <v>264</v>
      </c>
      <c r="P3" s="29" t="s">
        <v>265</v>
      </c>
      <c r="Q3" s="27"/>
      <c r="R3" s="27"/>
    </row>
    <row r="4" spans="1:18" ht="24" customHeight="1">
      <c r="A4" s="27" t="str">
        <f ca="1">IF(OR(D4&lt;&gt;"", E4&lt;&gt;"", K4&lt;&gt;"", N4&lt;&gt;""), "EVT-2026-" &amp; TEXT(COUNTIF('DT-3 Jan26'!$A$3:$A$500, "EVT*") + COUNTIF('DT-4 Jan26'!$A$3:$A$500, "EVT*") + COUNTIF(OFFSET($A$1, 1, 0, ROW()-2, 1), "EVT*") + 1, "0000"), "")</f>
        <v>EVT-2026-0076</v>
      </c>
      <c r="B4" s="30">
        <v>46055</v>
      </c>
      <c r="C4" s="27" t="s">
        <v>224</v>
      </c>
      <c r="D4" s="27" t="s">
        <v>326</v>
      </c>
      <c r="E4" s="27" t="s">
        <v>236</v>
      </c>
      <c r="F4" s="10">
        <v>28</v>
      </c>
      <c r="G4" s="36" t="s">
        <v>263</v>
      </c>
      <c r="H4" s="37" t="s">
        <v>269</v>
      </c>
      <c r="I4" s="37" t="s">
        <v>270</v>
      </c>
      <c r="J4" s="27"/>
      <c r="K4" s="27"/>
      <c r="L4" s="27" t="s">
        <v>237</v>
      </c>
      <c r="M4" s="27"/>
      <c r="N4" s="27"/>
      <c r="O4" s="1" t="s">
        <v>264</v>
      </c>
      <c r="P4" s="29" t="s">
        <v>265</v>
      </c>
      <c r="Q4" s="27" t="s">
        <v>427</v>
      </c>
      <c r="R4" s="27"/>
    </row>
    <row r="5" spans="1:18" ht="24" customHeight="1">
      <c r="A5" s="27" t="str">
        <f ca="1">IF(OR(D5&lt;&gt;"", E5&lt;&gt;"", K5&lt;&gt;"", N5&lt;&gt;""), "EVT-2026-" &amp; TEXT(COUNTIF('DT-3 Jan26'!$A$3:$A$500, "EVT*") + COUNTIF('DT-4 Jan26'!$A$3:$A$500, "EVT*") + COUNTIF(OFFSET($A$1, 1, 0, ROW()-2, 1), "EVT*") + 1, "0000"), "")</f>
        <v>EVT-2026-0077</v>
      </c>
      <c r="B5" s="30">
        <v>46056</v>
      </c>
      <c r="C5" s="27" t="s">
        <v>227</v>
      </c>
      <c r="D5" s="27" t="s">
        <v>171</v>
      </c>
      <c r="E5" s="27" t="s">
        <v>428</v>
      </c>
      <c r="F5" s="10">
        <v>50</v>
      </c>
      <c r="G5" s="36" t="s">
        <v>263</v>
      </c>
      <c r="H5" s="37" t="s">
        <v>429</v>
      </c>
      <c r="I5" s="37" t="s">
        <v>354</v>
      </c>
      <c r="J5" s="27"/>
      <c r="K5" s="27"/>
      <c r="L5" s="27" t="s">
        <v>430</v>
      </c>
      <c r="M5" s="27"/>
      <c r="N5" s="27"/>
      <c r="O5" s="1" t="s">
        <v>264</v>
      </c>
      <c r="P5" s="29" t="s">
        <v>265</v>
      </c>
      <c r="Q5" s="27" t="s">
        <v>298</v>
      </c>
      <c r="R5" s="27"/>
    </row>
    <row r="6" spans="1:18" ht="24" customHeight="1">
      <c r="A6" s="27" t="str">
        <f ca="1">IF(OR(D6&lt;&gt;"", E6&lt;&gt;"", K6&lt;&gt;"", N6&lt;&gt;""), "EVT-2026-" &amp; TEXT(COUNTIF('DT-3 Jan26'!$A$3:$A$500, "EVT*") + COUNTIF('DT-4 Jan26'!$A$3:$A$500, "EVT*") + COUNTIF(OFFSET($A$1, 1, 0, ROW()-2, 1), "EVT*") + 1, "0000"), "")</f>
        <v>EVT-2026-0078</v>
      </c>
      <c r="B6" s="30">
        <v>46057</v>
      </c>
      <c r="C6" s="27" t="s">
        <v>201</v>
      </c>
      <c r="D6" s="27" t="s">
        <v>171</v>
      </c>
      <c r="E6" s="27" t="s">
        <v>431</v>
      </c>
      <c r="F6" s="10">
        <v>35</v>
      </c>
      <c r="G6" s="36" t="s">
        <v>263</v>
      </c>
      <c r="H6" s="37" t="s">
        <v>429</v>
      </c>
      <c r="I6" s="37" t="s">
        <v>354</v>
      </c>
      <c r="J6" s="27"/>
      <c r="K6" s="27"/>
      <c r="L6" s="27" t="s">
        <v>430</v>
      </c>
      <c r="M6" s="27"/>
      <c r="N6" s="27"/>
      <c r="O6" s="1" t="s">
        <v>264</v>
      </c>
      <c r="P6" s="29" t="s">
        <v>265</v>
      </c>
      <c r="Q6" s="27" t="s">
        <v>298</v>
      </c>
      <c r="R6" s="27"/>
    </row>
    <row r="7" spans="1:18" ht="24" customHeight="1">
      <c r="A7" s="27" t="str">
        <f ca="1">IF(OR(D7&lt;&gt;"", E7&lt;&gt;"", K7&lt;&gt;"", N7&lt;&gt;""), "EVT-2026-" &amp; TEXT(COUNTIF('DT-3 Jan26'!$A$3:$A$500, "EVT*") + COUNTIF('DT-4 Jan26'!$A$3:$A$500, "EVT*") + COUNTIF(OFFSET($A$1, 1, 0, ROW()-2, 1), "EVT*") + 1, "0000"), "")</f>
        <v>EVT-2026-0079</v>
      </c>
      <c r="B7" s="30">
        <v>46057</v>
      </c>
      <c r="C7" s="27" t="s">
        <v>201</v>
      </c>
      <c r="D7" s="27" t="s">
        <v>171</v>
      </c>
      <c r="E7" s="27"/>
      <c r="F7" s="10"/>
      <c r="G7" s="36" t="s">
        <v>263</v>
      </c>
      <c r="H7" s="37" t="s">
        <v>309</v>
      </c>
      <c r="I7" s="37" t="s">
        <v>270</v>
      </c>
      <c r="J7" s="27"/>
      <c r="K7" s="27"/>
      <c r="L7" s="27" t="s">
        <v>237</v>
      </c>
      <c r="M7" s="27"/>
      <c r="N7" s="27"/>
      <c r="O7" s="1" t="s">
        <v>264</v>
      </c>
      <c r="P7" s="29" t="s">
        <v>265</v>
      </c>
      <c r="Q7" s="27" t="s">
        <v>432</v>
      </c>
      <c r="R7" s="27"/>
    </row>
    <row r="8" spans="1:18" ht="24" customHeight="1">
      <c r="A8" s="27" t="str">
        <f ca="1">IF(OR(D8&lt;&gt;"", E8&lt;&gt;"", K8&lt;&gt;"", N8&lt;&gt;""), "EVT-2026-" &amp; TEXT(COUNTIF('DT-3 Jan26'!$A$3:$A$500, "EVT*") + COUNTIF('DT-4 Jan26'!$A$3:$A$500, "EVT*") + COUNTIF(OFFSET($A$1, 1, 0, ROW()-2, 1), "EVT*") + 1, "0000"), "")</f>
        <v>EVT-2026-0080</v>
      </c>
      <c r="B8" s="30">
        <v>46058</v>
      </c>
      <c r="C8" s="27" t="s">
        <v>216</v>
      </c>
      <c r="D8" s="27" t="s">
        <v>171</v>
      </c>
      <c r="E8" s="27" t="s">
        <v>334</v>
      </c>
      <c r="F8" s="10">
        <v>60</v>
      </c>
      <c r="G8" s="36" t="s">
        <v>263</v>
      </c>
      <c r="H8" s="37" t="s">
        <v>289</v>
      </c>
      <c r="I8" s="37" t="s">
        <v>296</v>
      </c>
      <c r="J8" s="27"/>
      <c r="K8" s="27"/>
      <c r="L8" s="27" t="s">
        <v>433</v>
      </c>
      <c r="M8" s="27"/>
      <c r="N8" s="27"/>
      <c r="O8" s="1" t="s">
        <v>264</v>
      </c>
      <c r="P8" s="29" t="s">
        <v>265</v>
      </c>
      <c r="Q8" s="27" t="s">
        <v>434</v>
      </c>
      <c r="R8" s="27"/>
    </row>
    <row r="9" spans="1:18" ht="24" customHeight="1">
      <c r="A9" s="27" t="str">
        <f ca="1">IF(OR(D9&lt;&gt;"", E9&lt;&gt;"", K9&lt;&gt;"", N9&lt;&gt;""), "EVT-2026-" &amp; TEXT(COUNTIF('DT-3 Jan26'!$A$3:$A$500, "EVT*") + COUNTIF('DT-4 Jan26'!$A$3:$A$500, "EVT*") + COUNTIF(OFFSET($A$1, 1, 0, ROW()-2, 1), "EVT*") + 1, "0000"), "")</f>
        <v>EVT-2026-0081</v>
      </c>
      <c r="B9" s="30">
        <v>46058</v>
      </c>
      <c r="C9" s="27" t="s">
        <v>216</v>
      </c>
      <c r="D9" s="27" t="s">
        <v>326</v>
      </c>
      <c r="E9" s="27" t="s">
        <v>435</v>
      </c>
      <c r="F9" s="10">
        <v>25</v>
      </c>
      <c r="G9" s="36" t="s">
        <v>263</v>
      </c>
      <c r="H9" s="37" t="s">
        <v>289</v>
      </c>
      <c r="I9" s="37" t="s">
        <v>290</v>
      </c>
      <c r="J9" s="27"/>
      <c r="K9" s="27"/>
      <c r="L9" s="27" t="s">
        <v>237</v>
      </c>
      <c r="M9" s="27"/>
      <c r="N9" s="27"/>
      <c r="O9" s="1" t="s">
        <v>264</v>
      </c>
      <c r="P9" s="29" t="s">
        <v>265</v>
      </c>
      <c r="Q9" s="27" t="s">
        <v>436</v>
      </c>
      <c r="R9" s="27"/>
    </row>
    <row r="10" spans="1:18" ht="24" customHeight="1">
      <c r="A10" s="27" t="str">
        <f ca="1">IF(OR(D10&lt;&gt;"", E10&lt;&gt;"", K10&lt;&gt;"", N10&lt;&gt;""), "EVT-2026-" &amp; TEXT(COUNTIF('DT-3 Jan26'!$A$3:$A$500, "EVT*") + COUNTIF('DT-4 Jan26'!$A$3:$A$500, "EVT*") + COUNTIF(OFFSET($A$1, 1, 0, ROW()-2, 1), "EVT*") + 1, "0000"), "")</f>
        <v/>
      </c>
      <c r="B10" s="30">
        <v>46059</v>
      </c>
      <c r="C10" s="27" t="s">
        <v>220</v>
      </c>
      <c r="D10" s="27"/>
      <c r="E10" s="27"/>
      <c r="F10" s="10"/>
      <c r="G10" s="36" t="s">
        <v>263</v>
      </c>
      <c r="H10" s="37"/>
      <c r="I10" s="37"/>
      <c r="J10" s="27"/>
      <c r="K10" s="27"/>
      <c r="L10" s="27"/>
      <c r="M10" s="27"/>
      <c r="N10" s="27"/>
      <c r="O10" s="1" t="s">
        <v>264</v>
      </c>
      <c r="P10" s="29" t="s">
        <v>265</v>
      </c>
      <c r="Q10" s="27"/>
      <c r="R10" s="27"/>
    </row>
    <row r="11" spans="1:18" ht="24" customHeight="1">
      <c r="A11" s="27" t="str">
        <f ca="1">IF(OR(D11&lt;&gt;"", E11&lt;&gt;"", K11&lt;&gt;"", N11&lt;&gt;""), "EVT-2026-" &amp; TEXT(COUNTIF('DT-3 Jan26'!$A$3:$A$500, "EVT*") + COUNTIF('DT-4 Jan26'!$A$3:$A$500, "EVT*") + COUNTIF(OFFSET($A$1, 1, 0, ROW()-2, 1), "EVT*") + 1, "0000"), "")</f>
        <v>EVT-2026-0082</v>
      </c>
      <c r="B11" s="30">
        <v>46060</v>
      </c>
      <c r="C11" s="27" t="s">
        <v>266</v>
      </c>
      <c r="D11" s="27" t="s">
        <v>437</v>
      </c>
      <c r="E11" s="27"/>
      <c r="F11" s="10"/>
      <c r="G11" s="36" t="s">
        <v>263</v>
      </c>
      <c r="H11" s="37"/>
      <c r="I11" s="37"/>
      <c r="J11" s="27"/>
      <c r="K11" s="27"/>
      <c r="L11" s="27"/>
      <c r="M11" s="27"/>
      <c r="N11" s="27"/>
      <c r="O11" s="1" t="s">
        <v>264</v>
      </c>
      <c r="P11" s="29" t="s">
        <v>265</v>
      </c>
      <c r="Q11" s="27"/>
      <c r="R11" s="27"/>
    </row>
    <row r="12" spans="1:18" ht="24" customHeight="1">
      <c r="A12" s="27" t="str">
        <f ca="1">IF(OR(D12&lt;&gt;"", E12&lt;&gt;"", K12&lt;&gt;"", N12&lt;&gt;""), "EVT-2026-" &amp; TEXT(COUNTIF('DT-3 Jan26'!$A$3:$A$500, "EVT*") + COUNTIF('DT-4 Jan26'!$A$3:$A$500, "EVT*") + COUNTIF(OFFSET($A$1, 1, 0, ROW()-2, 1), "EVT*") + 1, "0000"), "")</f>
        <v/>
      </c>
      <c r="B12" s="30">
        <v>46061</v>
      </c>
      <c r="C12" s="27" t="s">
        <v>267</v>
      </c>
      <c r="D12" s="27"/>
      <c r="E12" s="27"/>
      <c r="F12" s="10"/>
      <c r="G12" s="36" t="s">
        <v>263</v>
      </c>
      <c r="H12" s="37"/>
      <c r="I12" s="37"/>
      <c r="J12" s="27"/>
      <c r="K12" s="27"/>
      <c r="L12" s="27"/>
      <c r="M12" s="27"/>
      <c r="N12" s="27"/>
      <c r="O12" s="1" t="s">
        <v>264</v>
      </c>
      <c r="P12" s="29" t="s">
        <v>265</v>
      </c>
      <c r="Q12" s="27"/>
      <c r="R12" s="27"/>
    </row>
    <row r="13" spans="1:18" ht="24" customHeight="1">
      <c r="A13" s="27" t="str">
        <f ca="1">IF(OR(D13&lt;&gt;"", E13&lt;&gt;"", K13&lt;&gt;"", N13&lt;&gt;""), "EVT-2026-" &amp; TEXT(COUNTIF('DT-3 Jan26'!$A$3:$A$500, "EVT*") + COUNTIF('DT-4 Jan26'!$A$3:$A$500, "EVT*") + COUNTIF(OFFSET($A$1, 1, 0, ROW()-2, 1), "EVT*") + 1, "0000"), "")</f>
        <v>EVT-2026-0083</v>
      </c>
      <c r="B13" s="30">
        <v>46062</v>
      </c>
      <c r="C13" s="27" t="s">
        <v>224</v>
      </c>
      <c r="D13" s="27" t="s">
        <v>326</v>
      </c>
      <c r="E13" s="27" t="s">
        <v>236</v>
      </c>
      <c r="F13" s="10">
        <v>40</v>
      </c>
      <c r="G13" s="36" t="s">
        <v>263</v>
      </c>
      <c r="H13" s="37" t="s">
        <v>269</v>
      </c>
      <c r="I13" s="37" t="s">
        <v>270</v>
      </c>
      <c r="J13" s="27"/>
      <c r="K13" s="27"/>
      <c r="L13" s="27" t="s">
        <v>237</v>
      </c>
      <c r="M13" s="27"/>
      <c r="N13" s="27"/>
      <c r="O13" s="1" t="s">
        <v>264</v>
      </c>
      <c r="P13" s="29" t="s">
        <v>265</v>
      </c>
      <c r="Q13" s="27" t="s">
        <v>438</v>
      </c>
      <c r="R13" s="27"/>
    </row>
    <row r="14" spans="1:18" ht="24" customHeight="1">
      <c r="A14" s="27" t="str">
        <f ca="1">IF(OR(D14&lt;&gt;"", E14&lt;&gt;"", K14&lt;&gt;"", N14&lt;&gt;""), "EVT-2026-" &amp; TEXT(COUNTIF('DT-3 Jan26'!$A$3:$A$500, "EVT*") + COUNTIF('DT-4 Jan26'!$A$3:$A$500, "EVT*") + COUNTIF(OFFSET($A$1, 1, 0, ROW()-2, 1), "EVT*") + 1, "0000"), "")</f>
        <v>EVT-2026-0084</v>
      </c>
      <c r="B14" s="30">
        <v>46063</v>
      </c>
      <c r="C14" s="27" t="s">
        <v>227</v>
      </c>
      <c r="D14" s="27" t="s">
        <v>439</v>
      </c>
      <c r="E14" s="27" t="s">
        <v>440</v>
      </c>
      <c r="F14" s="10">
        <v>1</v>
      </c>
      <c r="G14" s="36" t="s">
        <v>263</v>
      </c>
      <c r="H14" s="37" t="s">
        <v>269</v>
      </c>
      <c r="I14" s="37" t="s">
        <v>270</v>
      </c>
      <c r="J14" s="27"/>
      <c r="K14" s="27"/>
      <c r="L14" s="27" t="s">
        <v>379</v>
      </c>
      <c r="M14" s="27"/>
      <c r="N14" s="27"/>
      <c r="O14" s="1" t="s">
        <v>264</v>
      </c>
      <c r="P14" s="29" t="s">
        <v>265</v>
      </c>
      <c r="Q14" s="27" t="s">
        <v>441</v>
      </c>
      <c r="R14" s="27"/>
    </row>
    <row r="15" spans="1:18" ht="24" customHeight="1">
      <c r="A15" s="27" t="str">
        <f ca="1">IF(OR(D15&lt;&gt;"", E15&lt;&gt;"", K15&lt;&gt;"", N15&lt;&gt;""), "EVT-2026-" &amp; TEXT(COUNTIF('DT-3 Jan26'!$A$3:$A$500, "EVT*") + COUNTIF('DT-4 Jan26'!$A$3:$A$500, "EVT*") + COUNTIF(OFFSET($A$1, 1, 0, ROW()-2, 1), "EVT*") + 1, "0000"), "")</f>
        <v>EVT-2026-0085</v>
      </c>
      <c r="B15" s="30">
        <v>46063</v>
      </c>
      <c r="C15" s="27" t="s">
        <v>227</v>
      </c>
      <c r="D15" s="27" t="s">
        <v>326</v>
      </c>
      <c r="E15" s="27" t="s">
        <v>327</v>
      </c>
      <c r="F15" s="10">
        <v>25</v>
      </c>
      <c r="G15" s="36" t="s">
        <v>263</v>
      </c>
      <c r="H15" s="37" t="s">
        <v>269</v>
      </c>
      <c r="I15" s="37" t="s">
        <v>270</v>
      </c>
      <c r="J15" s="27" t="s">
        <v>442</v>
      </c>
      <c r="K15" s="27"/>
      <c r="L15" s="27" t="s">
        <v>237</v>
      </c>
      <c r="M15" s="27"/>
      <c r="N15" s="27"/>
      <c r="O15" s="3" t="s">
        <v>312</v>
      </c>
      <c r="P15" s="29" t="s">
        <v>265</v>
      </c>
      <c r="Q15" s="27" t="s">
        <v>443</v>
      </c>
      <c r="R15" s="27"/>
    </row>
    <row r="16" spans="1:18" ht="24" customHeight="1">
      <c r="A16" s="27" t="str">
        <f ca="1">IF(OR(D16&lt;&gt;"", E16&lt;&gt;"", K16&lt;&gt;"", N16&lt;&gt;""), "EVT-2026-" &amp; TEXT(COUNTIF('DT-3 Jan26'!$A$3:$A$500, "EVT*") + COUNTIF('DT-4 Jan26'!$A$3:$A$500, "EVT*") + COUNTIF(OFFSET($A$1, 1, 0, ROW()-2, 1), "EVT*") + 1, "0000"), "")</f>
        <v>EVT-2026-0086</v>
      </c>
      <c r="B16" s="30">
        <v>46064</v>
      </c>
      <c r="C16" s="27" t="s">
        <v>201</v>
      </c>
      <c r="D16" s="27" t="s">
        <v>326</v>
      </c>
      <c r="E16" s="27" t="s">
        <v>327</v>
      </c>
      <c r="F16" s="10">
        <v>25</v>
      </c>
      <c r="G16" s="36" t="s">
        <v>263</v>
      </c>
      <c r="H16" s="37" t="s">
        <v>269</v>
      </c>
      <c r="I16" s="37" t="s">
        <v>270</v>
      </c>
      <c r="J16" s="27" t="s">
        <v>442</v>
      </c>
      <c r="K16" s="27"/>
      <c r="L16" s="27" t="s">
        <v>237</v>
      </c>
      <c r="M16" s="27"/>
      <c r="N16" s="27"/>
      <c r="O16" s="3" t="s">
        <v>312</v>
      </c>
      <c r="P16" s="29" t="s">
        <v>265</v>
      </c>
      <c r="Q16" s="27"/>
      <c r="R16" s="27"/>
    </row>
    <row r="17" spans="1:18" ht="24" customHeight="1">
      <c r="A17" s="27" t="str">
        <f ca="1">IF(OR(D17&lt;&gt;"", E17&lt;&gt;"", K17&lt;&gt;"", N17&lt;&gt;""), "EVT-2026-" &amp; TEXT(COUNTIF('DT-3 Jan26'!$A$3:$A$500, "EVT*") + COUNTIF('DT-4 Jan26'!$A$3:$A$500, "EVT*") + COUNTIF(OFFSET($A$1, 1, 0, ROW()-2, 1), "EVT*") + 1, "0000"), "")</f>
        <v>EVT-2026-0087</v>
      </c>
      <c r="B17" s="30">
        <v>46064</v>
      </c>
      <c r="C17" s="27" t="s">
        <v>201</v>
      </c>
      <c r="D17" s="27" t="s">
        <v>439</v>
      </c>
      <c r="E17" s="27" t="s">
        <v>440</v>
      </c>
      <c r="F17" s="10">
        <v>1</v>
      </c>
      <c r="G17" s="36" t="s">
        <v>263</v>
      </c>
      <c r="H17" s="37" t="s">
        <v>269</v>
      </c>
      <c r="I17" s="37" t="s">
        <v>270</v>
      </c>
      <c r="J17" s="27"/>
      <c r="K17" s="27"/>
      <c r="L17" s="27" t="s">
        <v>379</v>
      </c>
      <c r="M17" s="27"/>
      <c r="N17" s="27"/>
      <c r="O17" s="1" t="s">
        <v>264</v>
      </c>
      <c r="P17" s="29" t="s">
        <v>265</v>
      </c>
      <c r="Q17" s="27" t="s">
        <v>441</v>
      </c>
      <c r="R17" s="27"/>
    </row>
    <row r="18" spans="1:18" ht="24" customHeight="1">
      <c r="A18" s="27" t="str">
        <f ca="1">IF(OR(D18&lt;&gt;"", E18&lt;&gt;"", K18&lt;&gt;"", N18&lt;&gt;""), "EVT-2026-" &amp; TEXT(COUNTIF('DT-3 Jan26'!$A$3:$A$500, "EVT*") + COUNTIF('DT-4 Jan26'!$A$3:$A$500, "EVT*") + COUNTIF(OFFSET($A$1, 1, 0, ROW()-2, 1), "EVT*") + 1, "0000"), "")</f>
        <v>EVT-2026-0088</v>
      </c>
      <c r="B18" s="30">
        <v>46064</v>
      </c>
      <c r="C18" s="27" t="s">
        <v>201</v>
      </c>
      <c r="D18" s="27" t="s">
        <v>171</v>
      </c>
      <c r="E18" s="27" t="s">
        <v>444</v>
      </c>
      <c r="F18" s="10">
        <v>25</v>
      </c>
      <c r="G18" s="36" t="s">
        <v>263</v>
      </c>
      <c r="H18" s="37" t="s">
        <v>429</v>
      </c>
      <c r="I18" s="37" t="s">
        <v>354</v>
      </c>
      <c r="J18" s="27"/>
      <c r="K18" s="27"/>
      <c r="L18" s="27" t="s">
        <v>445</v>
      </c>
      <c r="M18" s="27"/>
      <c r="N18" s="30" t="s">
        <v>2166</v>
      </c>
      <c r="O18" s="1" t="s">
        <v>264</v>
      </c>
      <c r="P18" s="29" t="s">
        <v>265</v>
      </c>
      <c r="Q18" s="27" t="s">
        <v>298</v>
      </c>
      <c r="R18" s="27"/>
    </row>
    <row r="19" spans="1:18" ht="24" customHeight="1">
      <c r="A19" s="27" t="str">
        <f ca="1">IF(OR(D19&lt;&gt;"", E19&lt;&gt;"", K19&lt;&gt;"", N19&lt;&gt;""), "EVT-2026-" &amp; TEXT(COUNTIF('DT-3 Jan26'!$A$3:$A$500, "EVT*") + COUNTIF('DT-4 Jan26'!$A$3:$A$500, "EVT*") + COUNTIF(OFFSET($A$1, 1, 0, ROW()-2, 1), "EVT*") + 1, "0000"), "")</f>
        <v>EVT-2026-0089</v>
      </c>
      <c r="B19" s="30">
        <v>46064</v>
      </c>
      <c r="C19" s="27" t="s">
        <v>201</v>
      </c>
      <c r="D19" s="27" t="s">
        <v>171</v>
      </c>
      <c r="E19" s="27" t="s">
        <v>446</v>
      </c>
      <c r="F19" s="10">
        <v>35</v>
      </c>
      <c r="G19" s="36" t="s">
        <v>263</v>
      </c>
      <c r="H19" s="37" t="s">
        <v>447</v>
      </c>
      <c r="I19" s="37" t="s">
        <v>448</v>
      </c>
      <c r="J19" s="27"/>
      <c r="K19" s="27"/>
      <c r="L19" s="27" t="s">
        <v>445</v>
      </c>
      <c r="M19" s="27"/>
      <c r="N19" s="30" t="s">
        <v>2167</v>
      </c>
      <c r="O19" s="1" t="s">
        <v>264</v>
      </c>
      <c r="P19" s="29" t="s">
        <v>265</v>
      </c>
      <c r="Q19" s="27" t="s">
        <v>298</v>
      </c>
      <c r="R19" s="27"/>
    </row>
    <row r="20" spans="1:18" ht="24" customHeight="1">
      <c r="A20" s="27" t="str">
        <f ca="1">IF(OR(D20&lt;&gt;"", E20&lt;&gt;"", K20&lt;&gt;"", N20&lt;&gt;""), "EVT-2026-" &amp; TEXT(COUNTIF('DT-3 Jan26'!$A$3:$A$500, "EVT*") + COUNTIF('DT-4 Jan26'!$A$3:$A$500, "EVT*") + COUNTIF(OFFSET($A$1, 1, 0, ROW()-2, 1), "EVT*") + 1, "0000"), "")</f>
        <v>EVT-2026-0090</v>
      </c>
      <c r="B20" s="30">
        <v>46064</v>
      </c>
      <c r="C20" s="27" t="s">
        <v>201</v>
      </c>
      <c r="D20" s="27" t="s">
        <v>239</v>
      </c>
      <c r="E20" s="27" t="s">
        <v>449</v>
      </c>
      <c r="F20" s="10">
        <v>60</v>
      </c>
      <c r="G20" s="36" t="s">
        <v>263</v>
      </c>
      <c r="H20" s="37" t="s">
        <v>295</v>
      </c>
      <c r="I20" s="37" t="s">
        <v>296</v>
      </c>
      <c r="J20" s="27"/>
      <c r="K20" s="27"/>
      <c r="L20" s="27" t="s">
        <v>450</v>
      </c>
      <c r="M20" s="27"/>
      <c r="N20" s="27"/>
      <c r="O20" s="1" t="s">
        <v>264</v>
      </c>
      <c r="P20" s="29" t="s">
        <v>265</v>
      </c>
      <c r="Q20" s="27" t="s">
        <v>298</v>
      </c>
      <c r="R20" s="27"/>
    </row>
    <row r="21" spans="1:18" ht="24" customHeight="1">
      <c r="A21" s="27" t="str">
        <f ca="1">IF(OR(D21&lt;&gt;"", E21&lt;&gt;"", K21&lt;&gt;"", N21&lt;&gt;""), "EVT-2026-" &amp; TEXT(COUNTIF('DT-3 Jan26'!$A$3:$A$500, "EVT*") + COUNTIF('DT-4 Jan26'!$A$3:$A$500, "EVT*") + COUNTIF(OFFSET($A$1, 1, 0, ROW()-2, 1), "EVT*") + 1, "0000"), "")</f>
        <v>EVT-2026-0091</v>
      </c>
      <c r="B21" s="30">
        <v>46064</v>
      </c>
      <c r="C21" s="27" t="s">
        <v>201</v>
      </c>
      <c r="D21" s="27" t="s">
        <v>326</v>
      </c>
      <c r="E21" s="27" t="s">
        <v>451</v>
      </c>
      <c r="F21" s="10">
        <v>30</v>
      </c>
      <c r="G21" s="36" t="s">
        <v>263</v>
      </c>
      <c r="H21" s="37" t="s">
        <v>452</v>
      </c>
      <c r="I21" s="37" t="s">
        <v>453</v>
      </c>
      <c r="J21" s="27"/>
      <c r="K21" s="27"/>
      <c r="L21" s="27" t="s">
        <v>454</v>
      </c>
      <c r="M21" s="27"/>
      <c r="N21" s="27"/>
      <c r="O21" s="1" t="s">
        <v>264</v>
      </c>
      <c r="P21" s="29" t="s">
        <v>265</v>
      </c>
      <c r="Q21" s="27" t="s">
        <v>455</v>
      </c>
      <c r="R21" s="27"/>
    </row>
    <row r="22" spans="1:18" ht="24" customHeight="1">
      <c r="A22" s="27" t="str">
        <f ca="1">IF(OR(D22&lt;&gt;"", E22&lt;&gt;"", K22&lt;&gt;"", N22&lt;&gt;""), "EVT-2026-" &amp; TEXT(COUNTIF('DT-3 Jan26'!$A$3:$A$500, "EVT*") + COUNTIF('DT-4 Jan26'!$A$3:$A$500, "EVT*") + COUNTIF(OFFSET($A$1, 1, 0, ROW()-2, 1), "EVT*") + 1, "0000"), "")</f>
        <v>EVT-2026-0092</v>
      </c>
      <c r="B22" s="30">
        <v>46065</v>
      </c>
      <c r="C22" s="27" t="s">
        <v>216</v>
      </c>
      <c r="D22" s="27" t="s">
        <v>456</v>
      </c>
      <c r="E22" s="27" t="s">
        <v>440</v>
      </c>
      <c r="F22" s="10">
        <v>1</v>
      </c>
      <c r="G22" s="36" t="s">
        <v>263</v>
      </c>
      <c r="H22" s="37" t="s">
        <v>269</v>
      </c>
      <c r="I22" s="37" t="s">
        <v>270</v>
      </c>
      <c r="J22" s="27"/>
      <c r="K22" s="27"/>
      <c r="L22" s="27" t="s">
        <v>379</v>
      </c>
      <c r="M22" s="27"/>
      <c r="N22" s="27"/>
      <c r="O22" s="1" t="s">
        <v>264</v>
      </c>
      <c r="P22" s="29" t="s">
        <v>265</v>
      </c>
      <c r="Q22" s="27" t="s">
        <v>441</v>
      </c>
      <c r="R22" s="27"/>
    </row>
    <row r="23" spans="1:18" ht="24" customHeight="1">
      <c r="A23" s="27" t="str">
        <f ca="1">IF(OR(D23&lt;&gt;"", E23&lt;&gt;"", K23&lt;&gt;"", N23&lt;&gt;""), "EVT-2026-" &amp; TEXT(COUNTIF('DT-3 Jan26'!$A$3:$A$500, "EVT*") + COUNTIF('DT-4 Jan26'!$A$3:$A$500, "EVT*") + COUNTIF(OFFSET($A$1, 1, 0, ROW()-2, 1), "EVT*") + 1, "0000"), "")</f>
        <v>EVT-2026-0093</v>
      </c>
      <c r="B23" s="30">
        <v>46065</v>
      </c>
      <c r="C23" s="27" t="s">
        <v>216</v>
      </c>
      <c r="D23" s="27" t="s">
        <v>171</v>
      </c>
      <c r="E23" s="27" t="s">
        <v>457</v>
      </c>
      <c r="F23" s="10">
        <v>100</v>
      </c>
      <c r="G23" s="38" t="s">
        <v>294</v>
      </c>
      <c r="H23" s="37" t="s">
        <v>330</v>
      </c>
      <c r="I23" s="37" t="s">
        <v>275</v>
      </c>
      <c r="J23" s="27"/>
      <c r="K23" s="27"/>
      <c r="L23" s="27" t="s">
        <v>445</v>
      </c>
      <c r="M23" s="27"/>
      <c r="N23" s="27"/>
      <c r="O23" s="1" t="s">
        <v>264</v>
      </c>
      <c r="P23" s="29" t="s">
        <v>265</v>
      </c>
      <c r="Q23" s="27" t="s">
        <v>458</v>
      </c>
      <c r="R23" s="27"/>
    </row>
    <row r="24" spans="1:18" ht="24" customHeight="1">
      <c r="A24" s="27" t="str">
        <f ca="1">IF(OR(D24&lt;&gt;"", E24&lt;&gt;"", K24&lt;&gt;"", N24&lt;&gt;""), "EVT-2026-" &amp; TEXT(COUNTIF('DT-3 Jan26'!$A$3:$A$500, "EVT*") + COUNTIF('DT-4 Jan26'!$A$3:$A$500, "EVT*") + COUNTIF(OFFSET($A$1, 1, 0, ROW()-2, 1), "EVT*") + 1, "0000"), "")</f>
        <v>EVT-2026-0094</v>
      </c>
      <c r="B24" s="30">
        <v>46065</v>
      </c>
      <c r="C24" s="27" t="s">
        <v>216</v>
      </c>
      <c r="D24" s="27" t="s">
        <v>171</v>
      </c>
      <c r="E24" s="27" t="s">
        <v>459</v>
      </c>
      <c r="F24" s="10">
        <v>100</v>
      </c>
      <c r="G24" s="38" t="s">
        <v>294</v>
      </c>
      <c r="H24" s="37" t="s">
        <v>295</v>
      </c>
      <c r="I24" s="37" t="s">
        <v>460</v>
      </c>
      <c r="J24" s="27"/>
      <c r="K24" s="27"/>
      <c r="L24" s="27" t="s">
        <v>461</v>
      </c>
      <c r="M24" s="27"/>
      <c r="N24" s="27"/>
      <c r="O24" s="3" t="s">
        <v>312</v>
      </c>
      <c r="P24" s="29" t="s">
        <v>265</v>
      </c>
      <c r="Q24" s="27" t="s">
        <v>298</v>
      </c>
      <c r="R24" s="27"/>
    </row>
    <row r="25" spans="1:18" ht="24" customHeight="1">
      <c r="A25" s="27" t="str">
        <f ca="1">IF(OR(D25&lt;&gt;"", E25&lt;&gt;"", K25&lt;&gt;"", N25&lt;&gt;""), "EVT-2026-" &amp; TEXT(COUNTIF('DT-3 Jan26'!$A$3:$A$500, "EVT*") + COUNTIF('DT-4 Jan26'!$A$3:$A$500, "EVT*") + COUNTIF(OFFSET($A$1, 1, 0, ROW()-2, 1), "EVT*") + 1, "0000"), "")</f>
        <v>EVT-2026-0095</v>
      </c>
      <c r="B25" s="30">
        <v>46065</v>
      </c>
      <c r="C25" s="27" t="s">
        <v>216</v>
      </c>
      <c r="D25" s="27" t="s">
        <v>462</v>
      </c>
      <c r="E25" s="27" t="s">
        <v>463</v>
      </c>
      <c r="F25" s="10">
        <v>25</v>
      </c>
      <c r="G25" s="36" t="s">
        <v>263</v>
      </c>
      <c r="H25" s="37" t="s">
        <v>309</v>
      </c>
      <c r="I25" s="37" t="s">
        <v>270</v>
      </c>
      <c r="J25" s="27"/>
      <c r="K25" s="27"/>
      <c r="L25" s="27" t="s">
        <v>237</v>
      </c>
      <c r="M25" s="27"/>
      <c r="N25" s="27"/>
      <c r="O25" s="1" t="s">
        <v>264</v>
      </c>
      <c r="P25" s="29" t="s">
        <v>265</v>
      </c>
      <c r="Q25" s="27" t="s">
        <v>464</v>
      </c>
      <c r="R25" s="27"/>
    </row>
    <row r="26" spans="1:18" ht="24" customHeight="1">
      <c r="A26" s="27" t="str">
        <f ca="1">IF(OR(D26&lt;&gt;"", E26&lt;&gt;"", K26&lt;&gt;"", N26&lt;&gt;""), "EVT-2026-" &amp; TEXT(COUNTIF('DT-3 Jan26'!$A$3:$A$500, "EVT*") + COUNTIF('DT-4 Jan26'!$A$3:$A$500, "EVT*") + COUNTIF(OFFSET($A$1, 1, 0, ROW()-2, 1), "EVT*") + 1, "0000"), "")</f>
        <v>EVT-2026-0096</v>
      </c>
      <c r="B26" s="30">
        <v>46066</v>
      </c>
      <c r="C26" s="27" t="s">
        <v>220</v>
      </c>
      <c r="D26" s="27" t="s">
        <v>465</v>
      </c>
      <c r="E26" s="27" t="s">
        <v>440</v>
      </c>
      <c r="F26" s="10">
        <v>1</v>
      </c>
      <c r="G26" s="36" t="s">
        <v>263</v>
      </c>
      <c r="H26" s="37" t="s">
        <v>269</v>
      </c>
      <c r="I26" s="37" t="s">
        <v>270</v>
      </c>
      <c r="J26" s="27"/>
      <c r="K26" s="27"/>
      <c r="L26" s="27" t="s">
        <v>379</v>
      </c>
      <c r="M26" s="27"/>
      <c r="N26" s="27"/>
      <c r="O26" s="1" t="s">
        <v>264</v>
      </c>
      <c r="P26" s="29" t="s">
        <v>265</v>
      </c>
      <c r="Q26" s="27" t="s">
        <v>441</v>
      </c>
      <c r="R26" s="27"/>
    </row>
    <row r="27" spans="1:18" ht="24" customHeight="1">
      <c r="A27" s="27" t="str">
        <f ca="1">IF(OR(D27&lt;&gt;"", E27&lt;&gt;"", K27&lt;&gt;"", N27&lt;&gt;""), "EVT-2026-" &amp; TEXT(COUNTIF('DT-3 Jan26'!$A$3:$A$500, "EVT*") + COUNTIF('DT-4 Jan26'!$A$3:$A$500, "EVT*") + COUNTIF(OFFSET($A$1, 1, 0, ROW()-2, 1), "EVT*") + 1, "0000"), "")</f>
        <v>EVT-2026-0097</v>
      </c>
      <c r="B27" s="30">
        <v>46066</v>
      </c>
      <c r="C27" s="27" t="s">
        <v>220</v>
      </c>
      <c r="D27" s="27" t="s">
        <v>171</v>
      </c>
      <c r="E27" s="27" t="s">
        <v>459</v>
      </c>
      <c r="F27" s="10">
        <v>70</v>
      </c>
      <c r="G27" s="36" t="s">
        <v>263</v>
      </c>
      <c r="H27" s="37" t="s">
        <v>295</v>
      </c>
      <c r="I27" s="37" t="s">
        <v>290</v>
      </c>
      <c r="J27" s="27"/>
      <c r="K27" s="27"/>
      <c r="L27" s="27" t="s">
        <v>461</v>
      </c>
      <c r="M27" s="27"/>
      <c r="N27" s="27"/>
      <c r="O27" s="1" t="s">
        <v>264</v>
      </c>
      <c r="P27" s="29" t="s">
        <v>265</v>
      </c>
      <c r="Q27" s="27" t="s">
        <v>298</v>
      </c>
      <c r="R27" s="27"/>
    </row>
    <row r="28" spans="1:18" ht="24" customHeight="1">
      <c r="A28" s="27" t="str">
        <f ca="1">IF(OR(D28&lt;&gt;"", E28&lt;&gt;"", K28&lt;&gt;"", N28&lt;&gt;""), "EVT-2026-" &amp; TEXT(COUNTIF('DT-3 Jan26'!$A$3:$A$500, "EVT*") + COUNTIF('DT-4 Jan26'!$A$3:$A$500, "EVT*") + COUNTIF(OFFSET($A$1, 1, 0, ROW()-2, 1), "EVT*") + 1, "0000"), "")</f>
        <v>EVT-2026-0098</v>
      </c>
      <c r="B28" s="30">
        <v>46067</v>
      </c>
      <c r="C28" s="27" t="s">
        <v>266</v>
      </c>
      <c r="D28" s="27" t="s">
        <v>279</v>
      </c>
      <c r="E28" s="27" t="s">
        <v>466</v>
      </c>
      <c r="F28" s="10"/>
      <c r="G28" s="36" t="s">
        <v>263</v>
      </c>
      <c r="H28" s="37" t="s">
        <v>269</v>
      </c>
      <c r="I28" s="37" t="s">
        <v>270</v>
      </c>
      <c r="J28" s="27"/>
      <c r="K28" s="27"/>
      <c r="L28" s="27" t="s">
        <v>325</v>
      </c>
      <c r="M28" s="27"/>
      <c r="N28" s="27"/>
      <c r="O28" s="1" t="s">
        <v>264</v>
      </c>
      <c r="P28" s="29" t="s">
        <v>265</v>
      </c>
      <c r="Q28" s="27" t="s">
        <v>467</v>
      </c>
      <c r="R28" s="27"/>
    </row>
    <row r="29" spans="1:18" ht="24" customHeight="1">
      <c r="A29" s="27" t="str">
        <f ca="1">IF(OR(D29&lt;&gt;"", E29&lt;&gt;"", K29&lt;&gt;"", N29&lt;&gt;""), "EVT-2026-" &amp; TEXT(COUNTIF('DT-3 Jan26'!$A$3:$A$500, "EVT*") + COUNTIF('DT-4 Jan26'!$A$3:$A$500, "EVT*") + COUNTIF(OFFSET($A$1, 1, 0, ROW()-2, 1), "EVT*") + 1, "0000"), "")</f>
        <v/>
      </c>
      <c r="B29" s="30">
        <v>46068</v>
      </c>
      <c r="C29" s="27" t="s">
        <v>267</v>
      </c>
      <c r="D29" s="27"/>
      <c r="E29" s="27"/>
      <c r="F29" s="10"/>
      <c r="G29" s="36" t="s">
        <v>263</v>
      </c>
      <c r="H29" s="37"/>
      <c r="I29" s="37"/>
      <c r="J29" s="27"/>
      <c r="K29" s="27"/>
      <c r="L29" s="27"/>
      <c r="M29" s="27"/>
      <c r="N29" s="27"/>
      <c r="O29" s="1" t="s">
        <v>264</v>
      </c>
      <c r="P29" s="29" t="s">
        <v>265</v>
      </c>
      <c r="Q29" s="27"/>
      <c r="R29" s="27"/>
    </row>
    <row r="30" spans="1:18" ht="24" customHeight="1">
      <c r="A30" s="27" t="str">
        <f ca="1">IF(OR(D30&lt;&gt;"", E30&lt;&gt;"", K30&lt;&gt;"", N30&lt;&gt;""), "EVT-2026-" &amp; TEXT(COUNTIF('DT-3 Jan26'!$A$3:$A$500, "EVT*") + COUNTIF('DT-4 Jan26'!$A$3:$A$500, "EVT*") + COUNTIF(OFFSET($A$1, 1, 0, ROW()-2, 1), "EVT*") + 1, "0000"), "")</f>
        <v>EVT-2026-0099</v>
      </c>
      <c r="B30" s="30">
        <v>46069</v>
      </c>
      <c r="C30" s="27" t="s">
        <v>224</v>
      </c>
      <c r="D30" s="27" t="s">
        <v>326</v>
      </c>
      <c r="E30" s="27" t="s">
        <v>236</v>
      </c>
      <c r="F30" s="10">
        <v>40</v>
      </c>
      <c r="G30" s="36" t="s">
        <v>263</v>
      </c>
      <c r="H30" s="37" t="s">
        <v>269</v>
      </c>
      <c r="I30" s="37" t="s">
        <v>270</v>
      </c>
      <c r="J30" s="27"/>
      <c r="K30" s="27"/>
      <c r="L30" s="27" t="s">
        <v>237</v>
      </c>
      <c r="M30" s="27"/>
      <c r="N30" s="27"/>
      <c r="O30" s="1" t="s">
        <v>264</v>
      </c>
      <c r="P30" s="29" t="s">
        <v>265</v>
      </c>
      <c r="Q30" s="27" t="s">
        <v>468</v>
      </c>
      <c r="R30" s="27"/>
    </row>
    <row r="31" spans="1:18" ht="24" customHeight="1">
      <c r="A31" s="27" t="str">
        <f ca="1">IF(OR(D31&lt;&gt;"", E31&lt;&gt;"", K31&lt;&gt;"", N31&lt;&gt;""), "EVT-2026-" &amp; TEXT(COUNTIF('DT-3 Jan26'!$A$3:$A$500, "EVT*") + COUNTIF('DT-4 Jan26'!$A$3:$A$500, "EVT*") + COUNTIF(OFFSET($A$1, 1, 0, ROW()-2, 1), "EVT*") + 1, "0000"), "")</f>
        <v>EVT-2026-0100</v>
      </c>
      <c r="B31" s="30">
        <v>46070</v>
      </c>
      <c r="C31" s="27" t="s">
        <v>227</v>
      </c>
      <c r="D31" s="27" t="s">
        <v>462</v>
      </c>
      <c r="E31" s="27" t="s">
        <v>327</v>
      </c>
      <c r="F31" s="10">
        <v>25</v>
      </c>
      <c r="G31" s="36" t="s">
        <v>263</v>
      </c>
      <c r="H31" s="37" t="s">
        <v>269</v>
      </c>
      <c r="I31" s="37" t="s">
        <v>270</v>
      </c>
      <c r="J31" s="27" t="s">
        <v>469</v>
      </c>
      <c r="K31" s="27"/>
      <c r="L31" s="27" t="s">
        <v>237</v>
      </c>
      <c r="M31" s="27"/>
      <c r="N31" s="27"/>
      <c r="O31" s="1" t="s">
        <v>264</v>
      </c>
      <c r="P31" s="29" t="s">
        <v>265</v>
      </c>
      <c r="Q31" s="27" t="s">
        <v>470</v>
      </c>
      <c r="R31" s="27"/>
    </row>
    <row r="32" spans="1:18" ht="24" customHeight="1">
      <c r="A32" s="27" t="str">
        <f ca="1">IF(OR(D32&lt;&gt;"", E32&lt;&gt;"", K32&lt;&gt;"", N32&lt;&gt;""), "EVT-2026-" &amp; TEXT(COUNTIF('DT-3 Jan26'!$A$3:$A$500, "EVT*") + COUNTIF('DT-4 Jan26'!$A$3:$A$500, "EVT*") + COUNTIF(OFFSET($A$1, 1, 0, ROW()-2, 1), "EVT*") + 1, "0000"), "")</f>
        <v>EVT-2026-0101</v>
      </c>
      <c r="B32" s="30">
        <v>46071</v>
      </c>
      <c r="C32" s="27" t="s">
        <v>201</v>
      </c>
      <c r="D32" s="27" t="s">
        <v>462</v>
      </c>
      <c r="E32" s="27" t="s">
        <v>327</v>
      </c>
      <c r="F32" s="10">
        <v>25</v>
      </c>
      <c r="G32" s="36" t="s">
        <v>263</v>
      </c>
      <c r="H32" s="37" t="s">
        <v>269</v>
      </c>
      <c r="I32" s="37" t="s">
        <v>270</v>
      </c>
      <c r="J32" s="27" t="s">
        <v>469</v>
      </c>
      <c r="K32" s="27"/>
      <c r="L32" s="27" t="s">
        <v>237</v>
      </c>
      <c r="M32" s="27"/>
      <c r="N32" s="27"/>
      <c r="O32" s="1" t="s">
        <v>264</v>
      </c>
      <c r="P32" s="29" t="s">
        <v>265</v>
      </c>
      <c r="Q32" s="27" t="s">
        <v>471</v>
      </c>
      <c r="R32" s="27"/>
    </row>
    <row r="33" spans="1:18" ht="24" customHeight="1">
      <c r="A33" s="27" t="str">
        <f ca="1">IF(OR(D33&lt;&gt;"", E33&lt;&gt;"", K33&lt;&gt;"", N33&lt;&gt;""), "EVT-2026-" &amp; TEXT(COUNTIF('DT-3 Jan26'!$A$3:$A$500, "EVT*") + COUNTIF('DT-4 Jan26'!$A$3:$A$500, "EVT*") + COUNTIF(OFFSET($A$1, 1, 0, ROW()-2, 1), "EVT*") + 1, "0000"), "")</f>
        <v>EVT-2026-0102</v>
      </c>
      <c r="B33" s="30">
        <v>46073</v>
      </c>
      <c r="C33" s="27" t="s">
        <v>220</v>
      </c>
      <c r="D33" s="27" t="s">
        <v>472</v>
      </c>
      <c r="E33" s="27" t="s">
        <v>299</v>
      </c>
      <c r="F33" s="10">
        <v>35</v>
      </c>
      <c r="G33" s="36" t="s">
        <v>263</v>
      </c>
      <c r="H33" s="37" t="s">
        <v>289</v>
      </c>
      <c r="I33" s="37" t="s">
        <v>290</v>
      </c>
      <c r="J33" s="27"/>
      <c r="K33" s="27"/>
      <c r="L33" s="27" t="s">
        <v>237</v>
      </c>
      <c r="M33" s="27"/>
      <c r="N33" s="27"/>
      <c r="O33" s="1" t="s">
        <v>264</v>
      </c>
      <c r="P33" s="29" t="s">
        <v>265</v>
      </c>
      <c r="Q33" s="27" t="s">
        <v>307</v>
      </c>
      <c r="R33" s="27"/>
    </row>
    <row r="34" spans="1:18" ht="24" customHeight="1">
      <c r="A34" s="27" t="str">
        <f ca="1">IF(OR(D34&lt;&gt;"", E34&lt;&gt;"", K34&lt;&gt;"", N34&lt;&gt;""), "EVT-2026-" &amp; TEXT(COUNTIF('DT-3 Jan26'!$A$3:$A$500, "EVT*") + COUNTIF('DT-4 Jan26'!$A$3:$A$500, "EVT*") + COUNTIF(OFFSET($A$1, 1, 0, ROW()-2, 1), "EVT*") + 1, "0000"), "")</f>
        <v>EVT-2026-0103</v>
      </c>
      <c r="B34" s="30">
        <v>46073</v>
      </c>
      <c r="C34" s="27" t="s">
        <v>220</v>
      </c>
      <c r="D34" s="27" t="s">
        <v>473</v>
      </c>
      <c r="E34" s="27" t="s">
        <v>474</v>
      </c>
      <c r="F34" s="10">
        <v>120</v>
      </c>
      <c r="G34" s="38" t="s">
        <v>294</v>
      </c>
      <c r="H34" s="37" t="s">
        <v>295</v>
      </c>
      <c r="I34" s="37" t="s">
        <v>296</v>
      </c>
      <c r="J34" s="27"/>
      <c r="K34" s="27"/>
      <c r="L34" s="27" t="s">
        <v>450</v>
      </c>
      <c r="M34" s="27"/>
      <c r="N34" s="27"/>
      <c r="O34" s="1" t="s">
        <v>264</v>
      </c>
      <c r="P34" s="29" t="s">
        <v>265</v>
      </c>
      <c r="Q34" s="27" t="s">
        <v>298</v>
      </c>
      <c r="R34" s="27"/>
    </row>
    <row r="35" spans="1:18" ht="24" customHeight="1">
      <c r="A35" s="27" t="str">
        <f ca="1">IF(OR(D35&lt;&gt;"", E35&lt;&gt;"", K35&lt;&gt;"", N35&lt;&gt;""), "EVT-2026-" &amp; TEXT(COUNTIF('DT-3 Jan26'!$A$3:$A$500, "EVT*") + COUNTIF('DT-4 Jan26'!$A$3:$A$500, "EVT*") + COUNTIF(OFFSET($A$1, 1, 0, ROW()-2, 1), "EVT*") + 1, "0000"), "")</f>
        <v>EVT-2026-0104</v>
      </c>
      <c r="B35" s="30">
        <v>46074</v>
      </c>
      <c r="C35" s="27" t="s">
        <v>266</v>
      </c>
      <c r="D35" s="27" t="s">
        <v>279</v>
      </c>
      <c r="E35" s="27"/>
      <c r="F35" s="10"/>
      <c r="G35" s="36" t="s">
        <v>263</v>
      </c>
      <c r="H35" s="37" t="s">
        <v>269</v>
      </c>
      <c r="I35" s="37" t="s">
        <v>270</v>
      </c>
      <c r="J35" s="27"/>
      <c r="K35" s="27"/>
      <c r="L35" s="27" t="s">
        <v>475</v>
      </c>
      <c r="M35" s="27"/>
      <c r="N35" s="30" t="s">
        <v>2168</v>
      </c>
      <c r="O35" s="1" t="s">
        <v>264</v>
      </c>
      <c r="P35" s="29" t="s">
        <v>265</v>
      </c>
      <c r="Q35" s="27"/>
      <c r="R35" s="27"/>
    </row>
    <row r="36" spans="1:18" ht="24" customHeight="1">
      <c r="A36" s="27" t="str">
        <f ca="1">IF(OR(D36&lt;&gt;"", E36&lt;&gt;"", K36&lt;&gt;"", N36&lt;&gt;""), "EVT-2026-" &amp; TEXT(COUNTIF('DT-3 Jan26'!$A$3:$A$500, "EVT*") + COUNTIF('DT-4 Jan26'!$A$3:$A$500, "EVT*") + COUNTIF(OFFSET($A$1, 1, 0, ROW()-2, 1), "EVT*") + 1, "0000"), "")</f>
        <v/>
      </c>
      <c r="B36" s="30">
        <v>46075</v>
      </c>
      <c r="C36" s="27" t="s">
        <v>267</v>
      </c>
      <c r="D36" s="27"/>
      <c r="E36" s="27"/>
      <c r="F36" s="10"/>
      <c r="G36" s="36" t="s">
        <v>263</v>
      </c>
      <c r="H36" s="37"/>
      <c r="I36" s="37"/>
      <c r="J36" s="27"/>
      <c r="K36" s="27"/>
      <c r="L36" s="27"/>
      <c r="M36" s="27"/>
      <c r="N36" s="27"/>
      <c r="O36" s="1" t="s">
        <v>264</v>
      </c>
      <c r="P36" s="29" t="s">
        <v>265</v>
      </c>
      <c r="Q36" s="27"/>
      <c r="R36" s="27"/>
    </row>
    <row r="37" spans="1:18" ht="24" customHeight="1">
      <c r="A37" s="27" t="str">
        <f ca="1">IF(OR(D37&lt;&gt;"", E37&lt;&gt;"", K37&lt;&gt;"", N37&lt;&gt;""), "EVT-2026-" &amp; TEXT(COUNTIF('DT-3 Jan26'!$A$3:$A$500, "EVT*") + COUNTIF('DT-4 Jan26'!$A$3:$A$500, "EVT*") + COUNTIF(OFFSET($A$1, 1, 0, ROW()-2, 1), "EVT*") + 1, "0000"), "")</f>
        <v>EVT-2026-0105</v>
      </c>
      <c r="B37" s="30">
        <v>46076</v>
      </c>
      <c r="C37" s="27" t="s">
        <v>224</v>
      </c>
      <c r="D37" s="27" t="s">
        <v>326</v>
      </c>
      <c r="E37" s="27" t="s">
        <v>236</v>
      </c>
      <c r="F37" s="10">
        <v>35</v>
      </c>
      <c r="G37" s="36" t="s">
        <v>263</v>
      </c>
      <c r="H37" s="37" t="s">
        <v>269</v>
      </c>
      <c r="I37" s="37" t="s">
        <v>270</v>
      </c>
      <c r="J37" s="27" t="s">
        <v>271</v>
      </c>
      <c r="K37" s="27"/>
      <c r="L37" s="27" t="s">
        <v>237</v>
      </c>
      <c r="M37" s="27"/>
      <c r="N37" s="27"/>
      <c r="O37" s="1" t="s">
        <v>264</v>
      </c>
      <c r="P37" s="29" t="s">
        <v>265</v>
      </c>
      <c r="Q37" s="27" t="s">
        <v>476</v>
      </c>
      <c r="R37" s="27"/>
    </row>
    <row r="38" spans="1:18" ht="24" customHeight="1">
      <c r="A38" s="27" t="str">
        <f ca="1">IF(OR(D38&lt;&gt;"", E38&lt;&gt;"", K38&lt;&gt;"", N38&lt;&gt;""), "EVT-2026-" &amp; TEXT(COUNTIF('DT-3 Jan26'!$A$3:$A$500, "EVT*") + COUNTIF('DT-4 Jan26'!$A$3:$A$500, "EVT*") + COUNTIF(OFFSET($A$1, 1, 0, ROW()-2, 1), "EVT*") + 1, "0000"), "")</f>
        <v>EVT-2026-0106</v>
      </c>
      <c r="B38" s="30">
        <v>46077</v>
      </c>
      <c r="C38" s="27" t="s">
        <v>227</v>
      </c>
      <c r="D38" s="27" t="s">
        <v>477</v>
      </c>
      <c r="E38" s="27" t="s">
        <v>478</v>
      </c>
      <c r="F38" s="10">
        <v>0</v>
      </c>
      <c r="G38" s="36" t="s">
        <v>263</v>
      </c>
      <c r="H38" s="37" t="s">
        <v>269</v>
      </c>
      <c r="I38" s="37" t="s">
        <v>270</v>
      </c>
      <c r="J38" s="27"/>
      <c r="K38" s="27"/>
      <c r="L38" s="27" t="s">
        <v>479</v>
      </c>
      <c r="M38" s="27"/>
      <c r="N38" s="27"/>
      <c r="O38" s="1" t="s">
        <v>264</v>
      </c>
      <c r="P38" s="29" t="s">
        <v>265</v>
      </c>
      <c r="Q38" s="27" t="s">
        <v>480</v>
      </c>
      <c r="R38" s="27"/>
    </row>
    <row r="39" spans="1:18" ht="24" customHeight="1">
      <c r="A39" s="27" t="str">
        <f ca="1">IF(OR(D39&lt;&gt;"", E39&lt;&gt;"", K39&lt;&gt;"", N39&lt;&gt;""), "EVT-2026-" &amp; TEXT(COUNTIF('DT-3 Jan26'!$A$3:$A$500, "EVT*") + COUNTIF('DT-4 Jan26'!$A$3:$A$500, "EVT*") + COUNTIF(OFFSET($A$1, 1, 0, ROW()-2, 1), "EVT*") + 1, "0000"), "")</f>
        <v>EVT-2026-0107</v>
      </c>
      <c r="B39" s="30">
        <v>46078</v>
      </c>
      <c r="C39" s="27" t="s">
        <v>201</v>
      </c>
      <c r="D39" s="27" t="s">
        <v>326</v>
      </c>
      <c r="E39" s="27" t="s">
        <v>481</v>
      </c>
      <c r="F39" s="10">
        <v>25</v>
      </c>
      <c r="G39" s="36" t="s">
        <v>263</v>
      </c>
      <c r="H39" s="37" t="s">
        <v>309</v>
      </c>
      <c r="I39" s="37" t="s">
        <v>270</v>
      </c>
      <c r="J39" s="27"/>
      <c r="K39" s="27"/>
      <c r="L39" s="27" t="s">
        <v>237</v>
      </c>
      <c r="M39" s="27"/>
      <c r="N39" s="27"/>
      <c r="O39" s="1" t="s">
        <v>264</v>
      </c>
      <c r="P39" s="29" t="s">
        <v>265</v>
      </c>
      <c r="Q39" s="27" t="s">
        <v>436</v>
      </c>
      <c r="R39" s="27"/>
    </row>
    <row r="40" spans="1:18" ht="24" customHeight="1">
      <c r="A40" s="27" t="str">
        <f ca="1">IF(OR(D40&lt;&gt;"", E40&lt;&gt;"", K40&lt;&gt;"", N40&lt;&gt;""), "EVT-2026-" &amp; TEXT(COUNTIF('DT-3 Jan26'!$A$3:$A$500, "EVT*") + COUNTIF('DT-4 Jan26'!$A$3:$A$500, "EVT*") + COUNTIF(OFFSET($A$1, 1, 0, ROW()-2, 1), "EVT*") + 1, "0000"), "")</f>
        <v>EVT-2026-0108</v>
      </c>
      <c r="B40" s="30">
        <v>46078</v>
      </c>
      <c r="C40" s="27" t="s">
        <v>201</v>
      </c>
      <c r="D40" s="27" t="s">
        <v>477</v>
      </c>
      <c r="E40" s="27" t="s">
        <v>482</v>
      </c>
      <c r="F40" s="10">
        <v>60</v>
      </c>
      <c r="G40" s="36" t="s">
        <v>263</v>
      </c>
      <c r="H40" s="37" t="s">
        <v>483</v>
      </c>
      <c r="I40" s="37" t="s">
        <v>270</v>
      </c>
      <c r="J40" s="27"/>
      <c r="K40" s="27"/>
      <c r="L40" s="27" t="s">
        <v>484</v>
      </c>
      <c r="M40" s="27"/>
      <c r="N40" s="27"/>
      <c r="O40" s="1" t="s">
        <v>264</v>
      </c>
      <c r="P40" s="29" t="s">
        <v>265</v>
      </c>
      <c r="Q40" s="27" t="s">
        <v>485</v>
      </c>
      <c r="R40" s="27"/>
    </row>
    <row r="41" spans="1:18" ht="24" customHeight="1">
      <c r="A41" s="27" t="str">
        <f ca="1">IF(OR(D41&lt;&gt;"", E41&lt;&gt;"", K41&lt;&gt;"", N41&lt;&gt;""), "EVT-2026-" &amp; TEXT(COUNTIF('DT-3 Jan26'!$A$3:$A$500, "EVT*") + COUNTIF('DT-4 Jan26'!$A$3:$A$500, "EVT*") + COUNTIF(OFFSET($A$1, 1, 0, ROW()-2, 1), "EVT*") + 1, "0000"), "")</f>
        <v>EVT-2026-0109</v>
      </c>
      <c r="B41" s="30">
        <v>46078</v>
      </c>
      <c r="C41" s="27" t="s">
        <v>201</v>
      </c>
      <c r="D41" s="27" t="s">
        <v>486</v>
      </c>
      <c r="E41" s="27" t="s">
        <v>487</v>
      </c>
      <c r="F41" s="10">
        <v>150</v>
      </c>
      <c r="G41" s="38" t="s">
        <v>294</v>
      </c>
      <c r="H41" s="37" t="s">
        <v>295</v>
      </c>
      <c r="I41" s="37" t="s">
        <v>290</v>
      </c>
      <c r="J41" s="27"/>
      <c r="K41" s="27"/>
      <c r="L41" s="27" t="s">
        <v>461</v>
      </c>
      <c r="M41" s="27"/>
      <c r="N41" s="27"/>
      <c r="O41" s="3" t="s">
        <v>312</v>
      </c>
      <c r="P41" s="29" t="s">
        <v>265</v>
      </c>
      <c r="Q41" s="27" t="s">
        <v>488</v>
      </c>
      <c r="R41" s="27"/>
    </row>
    <row r="42" spans="1:18" ht="24" customHeight="1">
      <c r="A42" s="27" t="str">
        <f ca="1">IF(OR(D42&lt;&gt;"", E42&lt;&gt;"", K42&lt;&gt;"", N42&lt;&gt;""), "EVT-2026-" &amp; TEXT(COUNTIF('DT-3 Jan26'!$A$3:$A$500, "EVT*") + COUNTIF('DT-4 Jan26'!$A$3:$A$500, "EVT*") + COUNTIF(OFFSET($A$1, 1, 0, ROW()-2, 1), "EVT*") + 1, "0000"), "")</f>
        <v>EVT-2026-0110</v>
      </c>
      <c r="B42" s="30">
        <v>46079</v>
      </c>
      <c r="C42" s="27" t="s">
        <v>216</v>
      </c>
      <c r="D42" s="27" t="s">
        <v>326</v>
      </c>
      <c r="E42" s="27" t="s">
        <v>481</v>
      </c>
      <c r="F42" s="10">
        <v>25</v>
      </c>
      <c r="G42" s="36" t="s">
        <v>263</v>
      </c>
      <c r="H42" s="37" t="s">
        <v>309</v>
      </c>
      <c r="I42" s="37" t="s">
        <v>270</v>
      </c>
      <c r="J42" s="27"/>
      <c r="K42" s="27"/>
      <c r="L42" s="27" t="s">
        <v>237</v>
      </c>
      <c r="M42" s="27"/>
      <c r="N42" s="27"/>
      <c r="O42" s="1" t="s">
        <v>264</v>
      </c>
      <c r="P42" s="29" t="s">
        <v>265</v>
      </c>
      <c r="Q42" s="27" t="s">
        <v>436</v>
      </c>
      <c r="R42" s="27"/>
    </row>
    <row r="43" spans="1:18" ht="24" customHeight="1">
      <c r="A43" s="27" t="str">
        <f ca="1">IF(OR(D43&lt;&gt;"", E43&lt;&gt;"", K43&lt;&gt;"", N43&lt;&gt;""), "EVT-2026-" &amp; TEXT(COUNTIF('DT-3 Jan26'!$A$3:$A$500, "EVT*") + COUNTIF('DT-4 Jan26'!$A$3:$A$500, "EVT*") + COUNTIF(OFFSET($A$1, 1, 0, ROW()-2, 1), "EVT*") + 1, "0000"), "")</f>
        <v>EVT-2026-0111</v>
      </c>
      <c r="B43" s="30">
        <v>46079</v>
      </c>
      <c r="C43" s="27" t="s">
        <v>216</v>
      </c>
      <c r="D43" s="27" t="s">
        <v>489</v>
      </c>
      <c r="E43" s="27" t="s">
        <v>490</v>
      </c>
      <c r="F43" s="10">
        <v>100</v>
      </c>
      <c r="G43" s="38" t="s">
        <v>294</v>
      </c>
      <c r="H43" s="37" t="s">
        <v>274</v>
      </c>
      <c r="I43" s="37" t="s">
        <v>429</v>
      </c>
      <c r="J43" s="27"/>
      <c r="K43" s="27"/>
      <c r="L43" s="27" t="s">
        <v>491</v>
      </c>
      <c r="M43" s="27"/>
      <c r="N43" s="27"/>
      <c r="O43" s="1" t="s">
        <v>264</v>
      </c>
      <c r="P43" s="29" t="s">
        <v>265</v>
      </c>
      <c r="Q43" s="27" t="s">
        <v>298</v>
      </c>
      <c r="R43" s="27"/>
    </row>
    <row r="44" spans="1:18" ht="24" customHeight="1">
      <c r="A44" s="27" t="str">
        <f ca="1">IF(OR(D44&lt;&gt;"", E44&lt;&gt;"", K44&lt;&gt;"", N44&lt;&gt;""), "EVT-2026-" &amp; TEXT(COUNTIF('DT-3 Jan26'!$A$3:$A$500, "EVT*") + COUNTIF('DT-4 Jan26'!$A$3:$A$500, "EVT*") + COUNTIF(OFFSET($A$1, 1, 0, ROW()-2, 1), "EVT*") + 1, "0000"), "")</f>
        <v>EVT-2026-0112</v>
      </c>
      <c r="B44" s="30">
        <v>46080</v>
      </c>
      <c r="C44" s="27" t="s">
        <v>220</v>
      </c>
      <c r="D44" s="27" t="s">
        <v>486</v>
      </c>
      <c r="E44" s="27" t="s">
        <v>492</v>
      </c>
      <c r="F44" s="10">
        <v>120</v>
      </c>
      <c r="G44" s="38" t="s">
        <v>294</v>
      </c>
      <c r="H44" s="37" t="s">
        <v>295</v>
      </c>
      <c r="I44" s="37" t="s">
        <v>296</v>
      </c>
      <c r="J44" s="27"/>
      <c r="K44" s="27"/>
      <c r="L44" s="27" t="s">
        <v>450</v>
      </c>
      <c r="M44" s="27"/>
      <c r="N44" s="27"/>
      <c r="O44" s="1" t="s">
        <v>264</v>
      </c>
      <c r="P44" s="29" t="s">
        <v>265</v>
      </c>
      <c r="Q44" s="27" t="s">
        <v>493</v>
      </c>
      <c r="R44" s="27"/>
    </row>
    <row r="45" spans="1:18" ht="24" customHeight="1">
      <c r="A45" s="27" t="str">
        <f ca="1">IF(OR(D45&lt;&gt;"", E45&lt;&gt;"", K45&lt;&gt;"", N45&lt;&gt;""), "EVT-2026-" &amp; TEXT(COUNTIF('DT-3 Jan26'!$A$3:$A$500, "EVT*") + COUNTIF('DT-4 Jan26'!$A$3:$A$500, "EVT*") + COUNTIF(OFFSET($A$1, 1, 0, ROW()-2, 1), "EVT*") + 1, "0000"), "")</f>
        <v>EVT-2026-0113</v>
      </c>
      <c r="B45" s="30">
        <v>46081</v>
      </c>
      <c r="C45" s="27" t="s">
        <v>266</v>
      </c>
      <c r="D45" s="27"/>
      <c r="E45" s="27" t="s">
        <v>300</v>
      </c>
      <c r="F45" s="10"/>
      <c r="G45" s="36" t="s">
        <v>263</v>
      </c>
      <c r="H45" s="37" t="s">
        <v>281</v>
      </c>
      <c r="I45" s="37" t="s">
        <v>270</v>
      </c>
      <c r="J45" s="27"/>
      <c r="K45" s="27"/>
      <c r="L45" s="27" t="s">
        <v>494</v>
      </c>
      <c r="M45" s="27"/>
      <c r="N45" s="30" t="s">
        <v>2169</v>
      </c>
      <c r="O45" s="1" t="s">
        <v>264</v>
      </c>
      <c r="P45" s="29" t="s">
        <v>265</v>
      </c>
      <c r="Q45" s="27" t="s">
        <v>495</v>
      </c>
      <c r="R45" s="27"/>
    </row>
    <row r="46" spans="1:18" ht="24" customHeight="1">
      <c r="A46" s="27" t="str">
        <f ca="1">IF(OR(D46&lt;&gt;"", E46&lt;&gt;"", K46&lt;&gt;"", N46&lt;&gt;""), "EVT-2026-" &amp; TEXT(COUNTIF('DT-3 Jan26'!$A$3:$A$500, "EVT*") + COUNTIF('DT-4 Jan26'!$A$3:$A$500, "EVT*") + COUNTIF(OFFSET($A$1, 1, 0, ROW()-2, 1), "EVT*") + 1, "0000"), "")</f>
        <v/>
      </c>
      <c r="B46" s="27"/>
      <c r="C46" s="27"/>
      <c r="D46" s="27"/>
      <c r="E46" s="27"/>
      <c r="F46" s="10"/>
      <c r="G46" s="36" t="s">
        <v>263</v>
      </c>
      <c r="H46" s="37"/>
      <c r="I46" s="37"/>
      <c r="J46" s="27"/>
      <c r="K46" s="27"/>
      <c r="L46" s="27"/>
      <c r="M46" s="27"/>
      <c r="N46" s="27"/>
      <c r="O46" s="1" t="s">
        <v>264</v>
      </c>
      <c r="P46" s="29" t="s">
        <v>265</v>
      </c>
      <c r="Q46" s="27"/>
      <c r="R46" s="27"/>
    </row>
    <row r="47" spans="1:18" ht="24" customHeight="1">
      <c r="A47" s="27" t="str">
        <f ca="1">IF(OR(D47&lt;&gt;"", E47&lt;&gt;"", K47&lt;&gt;"", N47&lt;&gt;""), "EVT-2026-" &amp; TEXT(COUNTIF('DT-3 Jan26'!$A$3:$A$500, "EVT*") + COUNTIF('DT-4 Jan26'!$A$3:$A$500, "EVT*") + COUNTIF(OFFSET($A$1, 1, 0, ROW()-2, 1), "EVT*") + 1, "0000"), "")</f>
        <v/>
      </c>
      <c r="B47" s="27"/>
      <c r="C47" s="27"/>
      <c r="D47" s="27"/>
      <c r="E47" s="27"/>
      <c r="F47" s="10"/>
      <c r="G47" s="36" t="s">
        <v>263</v>
      </c>
      <c r="H47" s="37"/>
      <c r="I47" s="37"/>
      <c r="J47" s="27"/>
      <c r="K47" s="27"/>
      <c r="L47" s="27"/>
      <c r="M47" s="27"/>
      <c r="N47" s="27"/>
      <c r="O47" s="1" t="s">
        <v>264</v>
      </c>
      <c r="P47" s="29" t="s">
        <v>265</v>
      </c>
      <c r="Q47" s="27"/>
      <c r="R47" s="27"/>
    </row>
    <row r="48" spans="1:18" ht="24" customHeight="1">
      <c r="A48" s="27" t="str">
        <f ca="1">IF(OR(D48&lt;&gt;"", E48&lt;&gt;"", K48&lt;&gt;"", N48&lt;&gt;""), "EVT-2026-" &amp; TEXT(COUNTIF('DT-3 Jan26'!$A$3:$A$500, "EVT*") + COUNTIF('DT-4 Jan26'!$A$3:$A$500, "EVT*") + COUNTIF(OFFSET($A$1, 1, 0, ROW()-2, 1), "EVT*") + 1, "0000"), "")</f>
        <v/>
      </c>
      <c r="B48" s="27"/>
      <c r="C48" s="27"/>
      <c r="D48" s="27"/>
      <c r="E48" s="27"/>
      <c r="F48" s="10"/>
      <c r="G48" s="36" t="s">
        <v>263</v>
      </c>
      <c r="H48" s="37"/>
      <c r="I48" s="37"/>
      <c r="J48" s="27"/>
      <c r="K48" s="27"/>
      <c r="L48" s="27"/>
      <c r="M48" s="27"/>
      <c r="N48" s="27"/>
      <c r="O48" s="1" t="s">
        <v>264</v>
      </c>
      <c r="P48" s="29" t="s">
        <v>265</v>
      </c>
      <c r="Q48" s="27"/>
      <c r="R48" s="27"/>
    </row>
    <row r="49" spans="1:18" ht="24" customHeight="1">
      <c r="A49" s="27" t="str">
        <f ca="1">IF(OR(D49&lt;&gt;"", E49&lt;&gt;"", K49&lt;&gt;"", N49&lt;&gt;""), "EVT-2026-" &amp; TEXT(COUNTIF('DT-3 Jan26'!$A$3:$A$500, "EVT*") + COUNTIF('DT-4 Jan26'!$A$3:$A$500, "EVT*") + COUNTIF(OFFSET($A$1, 1, 0, ROW()-2, 1), "EVT*") + 1, "0000"), "")</f>
        <v/>
      </c>
      <c r="B49" s="27"/>
      <c r="C49" s="27"/>
      <c r="D49" s="27"/>
      <c r="E49" s="27"/>
      <c r="F49" s="10"/>
      <c r="G49" s="36" t="s">
        <v>263</v>
      </c>
      <c r="H49" s="37"/>
      <c r="I49" s="37"/>
      <c r="J49" s="27"/>
      <c r="K49" s="27"/>
      <c r="L49" s="27"/>
      <c r="M49" s="27"/>
      <c r="N49" s="27"/>
      <c r="O49" s="1" t="s">
        <v>264</v>
      </c>
      <c r="P49" s="29" t="s">
        <v>265</v>
      </c>
      <c r="Q49" s="27"/>
      <c r="R49" s="27"/>
    </row>
    <row r="50" spans="1:18" ht="24" customHeight="1">
      <c r="A50" s="27" t="str">
        <f ca="1">IF(OR(D50&lt;&gt;"", E50&lt;&gt;"", K50&lt;&gt;"", N50&lt;&gt;""), "EVT-2026-" &amp; TEXT(COUNTIF('DT-3 Jan26'!$A$3:$A$500, "EVT*") + COUNTIF('DT-4 Jan26'!$A$3:$A$500, "EVT*") + COUNTIF(OFFSET($A$1, 1, 0, ROW()-2, 1), "EVT*") + 1, "0000"), "")</f>
        <v/>
      </c>
      <c r="B50" s="27"/>
      <c r="C50" s="27"/>
      <c r="D50" s="27"/>
      <c r="E50" s="27"/>
      <c r="F50" s="10"/>
      <c r="G50" s="36" t="s">
        <v>263</v>
      </c>
      <c r="H50" s="37"/>
      <c r="I50" s="37"/>
      <c r="J50" s="27"/>
      <c r="K50" s="27"/>
      <c r="L50" s="27"/>
      <c r="M50" s="27"/>
      <c r="N50" s="27"/>
      <c r="O50" s="1" t="s">
        <v>264</v>
      </c>
      <c r="P50" s="29" t="s">
        <v>265</v>
      </c>
      <c r="Q50" s="27"/>
      <c r="R50" s="27"/>
    </row>
  </sheetData>
  <mergeCells count="3">
    <mergeCell ref="A1:C1"/>
    <mergeCell ref="N1:R1"/>
    <mergeCell ref="D1:M1"/>
  </mergeCells>
  <dataValidations count="4">
    <dataValidation type="list" allowBlank="1" sqref="N3:N500 O3:O50" xr:uid="{00000000-0002-0000-0400-000000000000}">
      <formula1>"Confirmed (Done),Pending Calendar Booking,Canceled"</formula1>
    </dataValidation>
    <dataValidation type="list" allowBlank="1" sqref="O3:O100" xr:uid="{00000000-0002-0000-0400-000001000000}">
      <formula1>"Form sent,NA"</formula1>
    </dataValidation>
    <dataValidation type="list" allowBlank="1" sqref="P3:P50" xr:uid="{00000000-0002-0000-0400-000002000000}">
      <formula1>"Form sent,Not Required,NA"</formula1>
    </dataValidation>
    <dataValidation type="list" allowBlank="1" sqref="G3:G50" xr:uid="{00000000-0002-0000-0400-000003000000}">
      <formula1>"Big Event,Small Event"</formula1>
    </dataValidation>
  </dataValidations>
  <hyperlinks>
    <hyperlink ref="A1" location="'Dashboard'!A1" display="🏠 ⮌ RETURN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21"/>
  <sheetViews>
    <sheetView workbookViewId="0">
      <pane ySplit="2" topLeftCell="A3" activePane="bottomLeft" state="frozen"/>
      <selection pane="bottomLeft"/>
    </sheetView>
  </sheetViews>
  <sheetFormatPr defaultRowHeight="14.45"/>
  <cols>
    <col min="1" max="1" width="18" customWidth="1"/>
    <col min="2" max="2" width="47" customWidth="1"/>
    <col min="3" max="3" width="13" customWidth="1"/>
    <col min="4" max="4" width="40" customWidth="1"/>
    <col min="5" max="5" width="12" customWidth="1"/>
    <col min="6" max="6" width="48" customWidth="1"/>
    <col min="7" max="7" width="12" customWidth="1"/>
    <col min="8" max="8" width="15" customWidth="1"/>
    <col min="9" max="9" width="19" customWidth="1"/>
    <col min="10" max="10" width="17" customWidth="1"/>
    <col min="11" max="11" width="18" customWidth="1"/>
    <col min="12" max="12" width="48" customWidth="1"/>
    <col min="13" max="13" width="29" customWidth="1"/>
    <col min="14" max="14" width="25" customWidth="1"/>
    <col min="15" max="15" width="48" customWidth="1"/>
    <col min="16" max="16" width="25" customWidth="1"/>
    <col min="17" max="17" width="18" customWidth="1"/>
    <col min="18" max="18" width="48" customWidth="1"/>
    <col min="19" max="19" width="21" customWidth="1"/>
  </cols>
  <sheetData>
    <row r="1" spans="1:19" ht="27.95" customHeight="1">
      <c r="A1" s="62" t="s">
        <v>2138</v>
      </c>
      <c r="B1" s="134"/>
      <c r="C1" s="135"/>
      <c r="D1" s="63" t="s">
        <v>2170</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COUNTIF(OFFSET($A$1, 1, 0, ROW()-2, 1), "EVT*") + 1, "0000"), "")</f>
        <v/>
      </c>
      <c r="B3" s="30">
        <v>46054</v>
      </c>
      <c r="C3" s="27" t="s">
        <v>267</v>
      </c>
      <c r="D3" s="27"/>
      <c r="E3" s="27"/>
      <c r="F3" s="27"/>
      <c r="G3" s="10"/>
      <c r="H3" s="36" t="s">
        <v>263</v>
      </c>
      <c r="I3" s="37"/>
      <c r="J3" s="37"/>
      <c r="K3" s="27"/>
      <c r="L3" s="27"/>
      <c r="M3" s="27"/>
      <c r="N3" s="27"/>
      <c r="O3" s="27"/>
      <c r="P3" s="1" t="s">
        <v>264</v>
      </c>
      <c r="Q3" s="29" t="s">
        <v>265</v>
      </c>
      <c r="R3" s="27"/>
      <c r="S3" s="27"/>
    </row>
    <row r="4" spans="1:19" ht="24" customHeight="1">
      <c r="A4" s="27" t="str">
        <f ca="1">IF(OR(D4&lt;&gt;"", F4&lt;&gt;"", L4&lt;&gt;"", O4&lt;&gt;""), "EVT-2026-" &amp; TEXT(COUNTIF('DT-3 Jan26'!$A$3:$A$500, "EVT*") + COUNTIF('DT-4 Jan26'!$A$3:$A$500, "EVT*") + COUNTIF('DT-3 Feb26'!$A$3:$A$500, "EVT*") + COUNTIF(OFFSET($A$1, 1, 0, ROW()-2, 1), "EVT*") + 1, "0000"), "")</f>
        <v>EVT-2026-0114</v>
      </c>
      <c r="B4" s="30">
        <v>46055</v>
      </c>
      <c r="C4" s="27" t="s">
        <v>224</v>
      </c>
      <c r="D4" s="27" t="s">
        <v>496</v>
      </c>
      <c r="E4" s="27"/>
      <c r="F4" s="27"/>
      <c r="G4" s="10"/>
      <c r="H4" s="36" t="s">
        <v>263</v>
      </c>
      <c r="I4" s="37"/>
      <c r="J4" s="37"/>
      <c r="K4" s="27"/>
      <c r="L4" s="27"/>
      <c r="M4" s="27"/>
      <c r="N4" s="27"/>
      <c r="O4" s="27"/>
      <c r="P4" s="1" t="s">
        <v>264</v>
      </c>
      <c r="Q4" s="29" t="s">
        <v>265</v>
      </c>
      <c r="R4" s="27"/>
      <c r="S4" s="27"/>
    </row>
    <row r="5" spans="1:19" ht="24" customHeight="1">
      <c r="A5" s="27" t="str">
        <f ca="1">IF(OR(D5&lt;&gt;"", F5&lt;&gt;"", L5&lt;&gt;"", O5&lt;&gt;""), "EVT-2026-" &amp; TEXT(COUNTIF('DT-3 Jan26'!$A$3:$A$500, "EVT*") + COUNTIF('DT-4 Jan26'!$A$3:$A$500, "EVT*") + COUNTIF('DT-3 Feb26'!$A$3:$A$500, "EVT*") + COUNTIF(OFFSET($A$1, 1, 0, ROW()-2, 1), "EVT*") + 1, "0000"), "")</f>
        <v>EVT-2026-0115</v>
      </c>
      <c r="B5" s="30">
        <v>46055</v>
      </c>
      <c r="C5" s="27" t="s">
        <v>224</v>
      </c>
      <c r="D5" s="27" t="s">
        <v>239</v>
      </c>
      <c r="E5" s="27" t="s">
        <v>202</v>
      </c>
      <c r="F5" s="27" t="s">
        <v>410</v>
      </c>
      <c r="G5" s="10">
        <v>180</v>
      </c>
      <c r="H5" s="38" t="s">
        <v>294</v>
      </c>
      <c r="I5" s="37" t="s">
        <v>295</v>
      </c>
      <c r="J5" s="37" t="s">
        <v>411</v>
      </c>
      <c r="K5" s="27"/>
      <c r="L5" s="27" t="s">
        <v>497</v>
      </c>
      <c r="M5" s="27" t="s">
        <v>498</v>
      </c>
      <c r="N5" s="27"/>
      <c r="O5" s="30" t="s">
        <v>2146</v>
      </c>
      <c r="P5" s="1" t="s">
        <v>264</v>
      </c>
      <c r="Q5" s="29" t="s">
        <v>265</v>
      </c>
      <c r="R5" s="27" t="s">
        <v>298</v>
      </c>
      <c r="S5" s="27"/>
    </row>
    <row r="6" spans="1:19" ht="24" customHeight="1">
      <c r="A6" s="27" t="str">
        <f ca="1">IF(OR(D6&lt;&gt;"", F6&lt;&gt;"", L6&lt;&gt;"", O6&lt;&gt;""), "EVT-2026-" &amp; TEXT(COUNTIF('DT-3 Jan26'!$A$3:$A$500, "EVT*") + COUNTIF('DT-4 Jan26'!$A$3:$A$500, "EVT*") + COUNTIF('DT-3 Feb26'!$A$3:$A$500, "EVT*") + COUNTIF(OFFSET($A$1, 1, 0, ROW()-2, 1), "EVT*") + 1, "0000"), "")</f>
        <v>EVT-2026-0116</v>
      </c>
      <c r="B6" s="30">
        <v>46055</v>
      </c>
      <c r="C6" s="27" t="s">
        <v>224</v>
      </c>
      <c r="D6" s="27" t="s">
        <v>348</v>
      </c>
      <c r="E6" s="27" t="s">
        <v>208</v>
      </c>
      <c r="F6" s="27" t="s">
        <v>368</v>
      </c>
      <c r="G6" s="10">
        <v>30</v>
      </c>
      <c r="H6" s="36" t="s">
        <v>263</v>
      </c>
      <c r="I6" s="37" t="s">
        <v>309</v>
      </c>
      <c r="J6" s="37" t="s">
        <v>270</v>
      </c>
      <c r="K6" s="27" t="s">
        <v>369</v>
      </c>
      <c r="L6" s="27" t="s">
        <v>499</v>
      </c>
      <c r="M6" s="27" t="s">
        <v>370</v>
      </c>
      <c r="N6" s="27"/>
      <c r="O6" s="30">
        <v>46008</v>
      </c>
      <c r="P6" s="1" t="s">
        <v>264</v>
      </c>
      <c r="Q6" s="29" t="s">
        <v>265</v>
      </c>
      <c r="R6" s="27" t="s">
        <v>500</v>
      </c>
      <c r="S6" s="27"/>
    </row>
    <row r="7" spans="1:19" ht="24" customHeight="1">
      <c r="A7" s="27" t="str">
        <f ca="1">IF(OR(D7&lt;&gt;"", F7&lt;&gt;"", L7&lt;&gt;"", O7&lt;&gt;""), "EVT-2026-" &amp; TEXT(COUNTIF('DT-3 Jan26'!$A$3:$A$500, "EVT*") + COUNTIF('DT-4 Jan26'!$A$3:$A$500, "EVT*") + COUNTIF('DT-3 Feb26'!$A$3:$A$500, "EVT*") + COUNTIF(OFFSET($A$1, 1, 0, ROW()-2, 1), "EVT*") + 1, "0000"), "")</f>
        <v>EVT-2026-0117</v>
      </c>
      <c r="B7" s="30">
        <v>46055</v>
      </c>
      <c r="C7" s="27" t="s">
        <v>224</v>
      </c>
      <c r="D7" s="27" t="s">
        <v>138</v>
      </c>
      <c r="E7" s="27" t="s">
        <v>202</v>
      </c>
      <c r="F7" s="27"/>
      <c r="G7" s="10"/>
      <c r="H7" s="36" t="s">
        <v>263</v>
      </c>
      <c r="I7" s="37"/>
      <c r="J7" s="37"/>
      <c r="K7" s="27"/>
      <c r="L7" s="27"/>
      <c r="M7" s="27"/>
      <c r="N7" s="27"/>
      <c r="O7" s="27"/>
      <c r="P7" s="1" t="s">
        <v>264</v>
      </c>
      <c r="Q7" s="29" t="s">
        <v>265</v>
      </c>
      <c r="R7" s="27"/>
      <c r="S7" s="27"/>
    </row>
    <row r="8" spans="1:19" ht="24" customHeight="1">
      <c r="A8" s="27" t="str">
        <f ca="1">IF(OR(D8&lt;&gt;"", F8&lt;&gt;"", L8&lt;&gt;"", O8&lt;&gt;""), "EVT-2026-" &amp; TEXT(COUNTIF('DT-3 Jan26'!$A$3:$A$500, "EVT*") + COUNTIF('DT-4 Jan26'!$A$3:$A$500, "EVT*") + COUNTIF('DT-3 Feb26'!$A$3:$A$500, "EVT*") + COUNTIF(OFFSET($A$1, 1, 0, ROW()-2, 1), "EVT*") + 1, "0000"), "")</f>
        <v>EVT-2026-0118</v>
      </c>
      <c r="B8" s="30">
        <v>46056</v>
      </c>
      <c r="C8" s="27" t="s">
        <v>227</v>
      </c>
      <c r="D8" s="27" t="s">
        <v>501</v>
      </c>
      <c r="E8" s="27" t="s">
        <v>202</v>
      </c>
      <c r="F8" s="27" t="s">
        <v>502</v>
      </c>
      <c r="G8" s="10">
        <v>100</v>
      </c>
      <c r="H8" s="38" t="s">
        <v>294</v>
      </c>
      <c r="I8" s="37" t="s">
        <v>295</v>
      </c>
      <c r="J8" s="37" t="s">
        <v>503</v>
      </c>
      <c r="K8" s="27"/>
      <c r="L8" s="27"/>
      <c r="M8" s="27" t="s">
        <v>504</v>
      </c>
      <c r="N8" s="27"/>
      <c r="O8" s="30" t="s">
        <v>2164</v>
      </c>
      <c r="P8" s="1" t="s">
        <v>264</v>
      </c>
      <c r="Q8" s="29" t="s">
        <v>265</v>
      </c>
      <c r="R8" s="27" t="s">
        <v>298</v>
      </c>
      <c r="S8" s="27"/>
    </row>
    <row r="9" spans="1:19" ht="24" customHeight="1">
      <c r="A9" s="27" t="str">
        <f ca="1">IF(OR(D9&lt;&gt;"", F9&lt;&gt;"", L9&lt;&gt;"", O9&lt;&gt;""), "EVT-2026-" &amp; TEXT(COUNTIF('DT-3 Jan26'!$A$3:$A$500, "EVT*") + COUNTIF('DT-4 Jan26'!$A$3:$A$500, "EVT*") + COUNTIF('DT-3 Feb26'!$A$3:$A$500, "EVT*") + COUNTIF(OFFSET($A$1, 1, 0, ROW()-2, 1), "EVT*") + 1, "0000"), "")</f>
        <v>EVT-2026-0119</v>
      </c>
      <c r="B9" s="30">
        <v>46056</v>
      </c>
      <c r="C9" s="27" t="s">
        <v>227</v>
      </c>
      <c r="D9" s="27" t="s">
        <v>348</v>
      </c>
      <c r="E9" s="27" t="s">
        <v>208</v>
      </c>
      <c r="F9" s="27" t="s">
        <v>505</v>
      </c>
      <c r="G9" s="10">
        <v>70</v>
      </c>
      <c r="H9" s="36" t="s">
        <v>263</v>
      </c>
      <c r="I9" s="37" t="s">
        <v>315</v>
      </c>
      <c r="J9" s="37" t="s">
        <v>506</v>
      </c>
      <c r="K9" s="27" t="s">
        <v>369</v>
      </c>
      <c r="L9" s="27"/>
      <c r="M9" s="27" t="s">
        <v>507</v>
      </c>
      <c r="N9" s="27"/>
      <c r="O9" s="30" t="s">
        <v>2162</v>
      </c>
      <c r="P9" s="1" t="s">
        <v>264</v>
      </c>
      <c r="Q9" s="29" t="s">
        <v>265</v>
      </c>
      <c r="R9" s="27" t="s">
        <v>500</v>
      </c>
      <c r="S9" s="27"/>
    </row>
    <row r="10" spans="1:19" ht="24" customHeight="1">
      <c r="A10" s="27" t="str">
        <f ca="1">IF(OR(D10&lt;&gt;"", F10&lt;&gt;"", L10&lt;&gt;"", O10&lt;&gt;""), "EVT-2026-" &amp; TEXT(COUNTIF('DT-3 Jan26'!$A$3:$A$500, "EVT*") + COUNTIF('DT-4 Jan26'!$A$3:$A$500, "EVT*") + COUNTIF('DT-3 Feb26'!$A$3:$A$500, "EVT*") + COUNTIF(OFFSET($A$1, 1, 0, ROW()-2, 1), "EVT*") + 1, "0000"), "")</f>
        <v>EVT-2026-0120</v>
      </c>
      <c r="B10" s="30">
        <v>46056</v>
      </c>
      <c r="C10" s="27" t="s">
        <v>227</v>
      </c>
      <c r="D10" s="27" t="s">
        <v>348</v>
      </c>
      <c r="E10" s="27" t="s">
        <v>208</v>
      </c>
      <c r="F10" s="27" t="s">
        <v>349</v>
      </c>
      <c r="G10" s="10">
        <v>50</v>
      </c>
      <c r="H10" s="36" t="s">
        <v>263</v>
      </c>
      <c r="I10" s="37" t="s">
        <v>350</v>
      </c>
      <c r="J10" s="37" t="s">
        <v>296</v>
      </c>
      <c r="K10" s="27"/>
      <c r="L10" s="27"/>
      <c r="M10" s="27" t="s">
        <v>351</v>
      </c>
      <c r="N10" s="27"/>
      <c r="O10" s="30">
        <v>46008</v>
      </c>
      <c r="P10" s="1" t="s">
        <v>264</v>
      </c>
      <c r="Q10" s="29" t="s">
        <v>265</v>
      </c>
      <c r="R10" s="27" t="s">
        <v>303</v>
      </c>
      <c r="S10" s="27"/>
    </row>
    <row r="11" spans="1:19" ht="24" customHeight="1">
      <c r="A11" s="27" t="str">
        <f ca="1">IF(OR(D11&lt;&gt;"", F11&lt;&gt;"", L11&lt;&gt;"", O11&lt;&gt;""), "EVT-2026-" &amp; TEXT(COUNTIF('DT-3 Jan26'!$A$3:$A$500, "EVT*") + COUNTIF('DT-4 Jan26'!$A$3:$A$500, "EVT*") + COUNTIF('DT-3 Feb26'!$A$3:$A$500, "EVT*") + COUNTIF(OFFSET($A$1, 1, 0, ROW()-2, 1), "EVT*") + 1, "0000"), "")</f>
        <v>EVT-2026-0121</v>
      </c>
      <c r="B11" s="30">
        <v>46056</v>
      </c>
      <c r="C11" s="27" t="s">
        <v>227</v>
      </c>
      <c r="D11" s="27" t="s">
        <v>125</v>
      </c>
      <c r="E11" s="27" t="s">
        <v>508</v>
      </c>
      <c r="F11" s="27" t="s">
        <v>509</v>
      </c>
      <c r="G11" s="10">
        <v>90</v>
      </c>
      <c r="H11" s="36" t="s">
        <v>263</v>
      </c>
      <c r="I11" s="37" t="s">
        <v>338</v>
      </c>
      <c r="J11" s="37" t="s">
        <v>274</v>
      </c>
      <c r="K11" s="27"/>
      <c r="L11" s="27"/>
      <c r="M11" s="27" t="s">
        <v>378</v>
      </c>
      <c r="N11" s="27"/>
      <c r="O11" s="27"/>
      <c r="P11" s="1" t="s">
        <v>264</v>
      </c>
      <c r="Q11" s="29" t="s">
        <v>265</v>
      </c>
      <c r="R11" s="27"/>
      <c r="S11" s="27"/>
    </row>
    <row r="12" spans="1:19" ht="24" customHeight="1">
      <c r="A12" s="27" t="str">
        <f ca="1">IF(OR(D12&lt;&gt;"", F12&lt;&gt;"", L12&lt;&gt;"", O12&lt;&gt;""), "EVT-2026-" &amp; TEXT(COUNTIF('DT-3 Jan26'!$A$3:$A$500, "EVT*") + COUNTIF('DT-4 Jan26'!$A$3:$A$500, "EVT*") + COUNTIF('DT-3 Feb26'!$A$3:$A$500, "EVT*") + COUNTIF(OFFSET($A$1, 1, 0, ROW()-2, 1), "EVT*") + 1, "0000"), "")</f>
        <v>EVT-2026-0122</v>
      </c>
      <c r="B12" s="30">
        <v>46056</v>
      </c>
      <c r="C12" s="27" t="s">
        <v>227</v>
      </c>
      <c r="D12" s="27" t="s">
        <v>125</v>
      </c>
      <c r="E12" s="27" t="s">
        <v>202</v>
      </c>
      <c r="F12" s="27" t="s">
        <v>510</v>
      </c>
      <c r="G12" s="10">
        <v>90</v>
      </c>
      <c r="H12" s="36" t="s">
        <v>263</v>
      </c>
      <c r="I12" s="37" t="s">
        <v>331</v>
      </c>
      <c r="J12" s="37" t="s">
        <v>350</v>
      </c>
      <c r="K12" s="27"/>
      <c r="L12" s="27"/>
      <c r="M12" s="27" t="s">
        <v>355</v>
      </c>
      <c r="N12" s="27"/>
      <c r="O12" s="30" t="s">
        <v>2164</v>
      </c>
      <c r="P12" s="1" t="s">
        <v>264</v>
      </c>
      <c r="Q12" s="29" t="s">
        <v>265</v>
      </c>
      <c r="R12" s="27" t="s">
        <v>511</v>
      </c>
      <c r="S12" s="27"/>
    </row>
    <row r="13" spans="1:19" ht="24" customHeight="1">
      <c r="A13" s="27" t="str">
        <f ca="1">IF(OR(D13&lt;&gt;"", F13&lt;&gt;"", L13&lt;&gt;"", O13&lt;&gt;""), "EVT-2026-" &amp; TEXT(COUNTIF('DT-3 Jan26'!$A$3:$A$500, "EVT*") + COUNTIF('DT-4 Jan26'!$A$3:$A$500, "EVT*") + COUNTIF('DT-3 Feb26'!$A$3:$A$500, "EVT*") + COUNTIF(OFFSET($A$1, 1, 0, ROW()-2, 1), "EVT*") + 1, "0000"), "")</f>
        <v>EVT-2026-0123</v>
      </c>
      <c r="B13" s="30">
        <v>46056</v>
      </c>
      <c r="C13" s="27" t="s">
        <v>227</v>
      </c>
      <c r="D13" s="27" t="s">
        <v>138</v>
      </c>
      <c r="E13" s="27" t="s">
        <v>202</v>
      </c>
      <c r="F13" s="27" t="s">
        <v>512</v>
      </c>
      <c r="G13" s="10">
        <v>80</v>
      </c>
      <c r="H13" s="36" t="s">
        <v>263</v>
      </c>
      <c r="I13" s="37" t="s">
        <v>331</v>
      </c>
      <c r="J13" s="37" t="s">
        <v>275</v>
      </c>
      <c r="K13" s="27"/>
      <c r="L13" s="27"/>
      <c r="M13" s="27" t="s">
        <v>513</v>
      </c>
      <c r="N13" s="27"/>
      <c r="O13" s="30">
        <v>46044</v>
      </c>
      <c r="P13" s="1" t="s">
        <v>264</v>
      </c>
      <c r="Q13" s="29" t="s">
        <v>265</v>
      </c>
      <c r="R13" s="27" t="s">
        <v>500</v>
      </c>
      <c r="S13" s="27"/>
    </row>
    <row r="14" spans="1:19" ht="24" customHeight="1">
      <c r="A14" s="27" t="str">
        <f ca="1">IF(OR(D14&lt;&gt;"", F14&lt;&gt;"", L14&lt;&gt;"", O14&lt;&gt;""), "EVT-2026-" &amp; TEXT(COUNTIF('DT-3 Jan26'!$A$3:$A$500, "EVT*") + COUNTIF('DT-4 Jan26'!$A$3:$A$500, "EVT*") + COUNTIF('DT-3 Feb26'!$A$3:$A$500, "EVT*") + COUNTIF(OFFSET($A$1, 1, 0, ROW()-2, 1), "EVT*") + 1, "0000"), "")</f>
        <v>EVT-2026-0124</v>
      </c>
      <c r="B14" s="30">
        <v>46056</v>
      </c>
      <c r="C14" s="27" t="s">
        <v>227</v>
      </c>
      <c r="D14" s="27" t="s">
        <v>138</v>
      </c>
      <c r="E14" s="27" t="s">
        <v>202</v>
      </c>
      <c r="F14" s="27" t="s">
        <v>514</v>
      </c>
      <c r="G14" s="10"/>
      <c r="H14" s="36" t="s">
        <v>263</v>
      </c>
      <c r="I14" s="37" t="s">
        <v>506</v>
      </c>
      <c r="J14" s="37" t="s">
        <v>330</v>
      </c>
      <c r="K14" s="27"/>
      <c r="L14" s="27"/>
      <c r="M14" s="27" t="s">
        <v>515</v>
      </c>
      <c r="N14" s="27"/>
      <c r="O14" s="30">
        <v>46055</v>
      </c>
      <c r="P14" s="1" t="s">
        <v>264</v>
      </c>
      <c r="Q14" s="29" t="s">
        <v>265</v>
      </c>
      <c r="R14" s="27" t="s">
        <v>516</v>
      </c>
      <c r="S14" s="27"/>
    </row>
    <row r="15" spans="1:19" ht="24" customHeight="1">
      <c r="A15" s="27" t="str">
        <f ca="1">IF(OR(D15&lt;&gt;"", F15&lt;&gt;"", L15&lt;&gt;"", O15&lt;&gt;""), "EVT-2026-" &amp; TEXT(COUNTIF('DT-3 Jan26'!$A$3:$A$500, "EVT*") + COUNTIF('DT-4 Jan26'!$A$3:$A$500, "EVT*") + COUNTIF('DT-3 Feb26'!$A$3:$A$500, "EVT*") + COUNTIF(OFFSET($A$1, 1, 0, ROW()-2, 1), "EVT*") + 1, "0000"), "")</f>
        <v>EVT-2026-0125</v>
      </c>
      <c r="B15" s="30">
        <v>46057</v>
      </c>
      <c r="C15" s="27" t="s">
        <v>201</v>
      </c>
      <c r="D15" s="27" t="s">
        <v>125</v>
      </c>
      <c r="E15" s="27" t="s">
        <v>202</v>
      </c>
      <c r="F15" s="27" t="s">
        <v>517</v>
      </c>
      <c r="G15" s="10">
        <v>150</v>
      </c>
      <c r="H15" s="38" t="s">
        <v>294</v>
      </c>
      <c r="I15" s="37" t="s">
        <v>295</v>
      </c>
      <c r="J15" s="37" t="s">
        <v>296</v>
      </c>
      <c r="K15" s="27"/>
      <c r="L15" s="27"/>
      <c r="M15" s="27" t="s">
        <v>518</v>
      </c>
      <c r="N15" s="27"/>
      <c r="O15" s="30">
        <v>46049</v>
      </c>
      <c r="P15" s="1" t="s">
        <v>264</v>
      </c>
      <c r="Q15" s="29" t="s">
        <v>265</v>
      </c>
      <c r="R15" s="27" t="s">
        <v>519</v>
      </c>
      <c r="S15" s="27"/>
    </row>
    <row r="16" spans="1:19" ht="24" customHeight="1">
      <c r="A16" s="27" t="str">
        <f ca="1">IF(OR(D16&lt;&gt;"", F16&lt;&gt;"", L16&lt;&gt;"", O16&lt;&gt;""), "EVT-2026-" &amp; TEXT(COUNTIF('DT-3 Jan26'!$A$3:$A$500, "EVT*") + COUNTIF('DT-4 Jan26'!$A$3:$A$500, "EVT*") + COUNTIF('DT-3 Feb26'!$A$3:$A$500, "EVT*") + COUNTIF(OFFSET($A$1, 1, 0, ROW()-2, 1), "EVT*") + 1, "0000"), "")</f>
        <v>EVT-2026-0126</v>
      </c>
      <c r="B16" s="30">
        <v>46057</v>
      </c>
      <c r="C16" s="27" t="s">
        <v>201</v>
      </c>
      <c r="D16" s="27" t="s">
        <v>138</v>
      </c>
      <c r="E16" s="27" t="s">
        <v>202</v>
      </c>
      <c r="F16" s="27" t="s">
        <v>520</v>
      </c>
      <c r="G16" s="10">
        <v>60</v>
      </c>
      <c r="H16" s="36" t="s">
        <v>263</v>
      </c>
      <c r="I16" s="37" t="s">
        <v>506</v>
      </c>
      <c r="J16" s="37" t="s">
        <v>331</v>
      </c>
      <c r="K16" s="27"/>
      <c r="L16" s="27" t="s">
        <v>521</v>
      </c>
      <c r="M16" s="27" t="s">
        <v>378</v>
      </c>
      <c r="N16" s="27"/>
      <c r="O16" s="30">
        <v>46051</v>
      </c>
      <c r="P16" s="1" t="s">
        <v>264</v>
      </c>
      <c r="Q16" s="29" t="s">
        <v>265</v>
      </c>
      <c r="R16" s="27" t="s">
        <v>298</v>
      </c>
      <c r="S16" s="27"/>
    </row>
    <row r="17" spans="1:19" ht="24" customHeight="1">
      <c r="A17" s="27" t="str">
        <f ca="1">IF(OR(D17&lt;&gt;"", F17&lt;&gt;"", L17&lt;&gt;"", O17&lt;&gt;""), "EVT-2026-" &amp; TEXT(COUNTIF('DT-3 Jan26'!$A$3:$A$500, "EVT*") + COUNTIF('DT-4 Jan26'!$A$3:$A$500, "EVT*") + COUNTIF('DT-3 Feb26'!$A$3:$A$500, "EVT*") + COUNTIF(OFFSET($A$1, 1, 0, ROW()-2, 1), "EVT*") + 1, "0000"), "")</f>
        <v>EVT-2026-0127</v>
      </c>
      <c r="B17" s="30">
        <v>46057</v>
      </c>
      <c r="C17" s="27" t="s">
        <v>201</v>
      </c>
      <c r="D17" s="27" t="s">
        <v>138</v>
      </c>
      <c r="E17" s="27" t="s">
        <v>202</v>
      </c>
      <c r="F17" s="27" t="s">
        <v>522</v>
      </c>
      <c r="G17" s="10">
        <v>80</v>
      </c>
      <c r="H17" s="36" t="s">
        <v>263</v>
      </c>
      <c r="I17" s="37" t="s">
        <v>295</v>
      </c>
      <c r="J17" s="37" t="s">
        <v>296</v>
      </c>
      <c r="K17" s="27"/>
      <c r="L17" s="27"/>
      <c r="M17" s="27" t="s">
        <v>523</v>
      </c>
      <c r="N17" s="27"/>
      <c r="O17" s="30">
        <v>46056</v>
      </c>
      <c r="P17" s="1" t="s">
        <v>264</v>
      </c>
      <c r="Q17" s="29" t="s">
        <v>265</v>
      </c>
      <c r="R17" s="27"/>
      <c r="S17" s="27"/>
    </row>
    <row r="18" spans="1:19" ht="24" customHeight="1">
      <c r="A18" s="27" t="str">
        <f ca="1">IF(OR(D18&lt;&gt;"", F18&lt;&gt;"", L18&lt;&gt;"", O18&lt;&gt;""), "EVT-2026-" &amp; TEXT(COUNTIF('DT-3 Jan26'!$A$3:$A$500, "EVT*") + COUNTIF('DT-4 Jan26'!$A$3:$A$500, "EVT*") + COUNTIF('DT-3 Feb26'!$A$3:$A$500, "EVT*") + COUNTIF(OFFSET($A$1, 1, 0, ROW()-2, 1), "EVT*") + 1, "0000"), "")</f>
        <v>EVT-2026-0128</v>
      </c>
      <c r="B18" s="30">
        <v>46058</v>
      </c>
      <c r="C18" s="27" t="s">
        <v>216</v>
      </c>
      <c r="D18" s="27" t="s">
        <v>125</v>
      </c>
      <c r="E18" s="27" t="s">
        <v>228</v>
      </c>
      <c r="F18" s="27" t="s">
        <v>524</v>
      </c>
      <c r="G18" s="10">
        <v>100</v>
      </c>
      <c r="H18" s="38" t="s">
        <v>294</v>
      </c>
      <c r="I18" s="37" t="s">
        <v>330</v>
      </c>
      <c r="J18" s="37" t="s">
        <v>354</v>
      </c>
      <c r="K18" s="27"/>
      <c r="L18" s="27"/>
      <c r="M18" s="27" t="s">
        <v>297</v>
      </c>
      <c r="N18" s="27"/>
      <c r="O18" s="30">
        <v>46043</v>
      </c>
      <c r="P18" s="1" t="s">
        <v>264</v>
      </c>
      <c r="Q18" s="29" t="s">
        <v>265</v>
      </c>
      <c r="R18" s="27" t="s">
        <v>298</v>
      </c>
      <c r="S18" s="27"/>
    </row>
    <row r="19" spans="1:19" ht="24" customHeight="1">
      <c r="A19" s="27" t="str">
        <f ca="1">IF(OR(D19&lt;&gt;"", F19&lt;&gt;"", L19&lt;&gt;"", O19&lt;&gt;""), "EVT-2026-" &amp; TEXT(COUNTIF('DT-3 Jan26'!$A$3:$A$500, "EVT*") + COUNTIF('DT-4 Jan26'!$A$3:$A$500, "EVT*") + COUNTIF('DT-3 Feb26'!$A$3:$A$500, "EVT*") + COUNTIF(OFFSET($A$1, 1, 0, ROW()-2, 1), "EVT*") + 1, "0000"), "")</f>
        <v>EVT-2026-0129</v>
      </c>
      <c r="B19" s="30">
        <v>46058</v>
      </c>
      <c r="C19" s="27" t="s">
        <v>216</v>
      </c>
      <c r="D19" s="27" t="s">
        <v>389</v>
      </c>
      <c r="E19" s="27" t="s">
        <v>202</v>
      </c>
      <c r="F19" s="27" t="s">
        <v>525</v>
      </c>
      <c r="G19" s="10">
        <v>25</v>
      </c>
      <c r="H19" s="36" t="s">
        <v>263</v>
      </c>
      <c r="I19" s="37" t="s">
        <v>309</v>
      </c>
      <c r="J19" s="37" t="s">
        <v>295</v>
      </c>
      <c r="K19" s="27"/>
      <c r="L19" s="27"/>
      <c r="M19" s="27" t="s">
        <v>526</v>
      </c>
      <c r="N19" s="27"/>
      <c r="O19" s="30" t="s">
        <v>2171</v>
      </c>
      <c r="P19" s="1" t="s">
        <v>264</v>
      </c>
      <c r="Q19" s="29" t="s">
        <v>265</v>
      </c>
      <c r="R19" s="27" t="s">
        <v>298</v>
      </c>
      <c r="S19" s="27"/>
    </row>
    <row r="20" spans="1:19" ht="24" customHeight="1">
      <c r="A20" s="27" t="str">
        <f ca="1">IF(OR(D20&lt;&gt;"", F20&lt;&gt;"", L20&lt;&gt;"", O20&lt;&gt;""), "EVT-2026-" &amp; TEXT(COUNTIF('DT-3 Jan26'!$A$3:$A$500, "EVT*") + COUNTIF('DT-4 Jan26'!$A$3:$A$500, "EVT*") + COUNTIF('DT-3 Feb26'!$A$3:$A$500, "EVT*") + COUNTIF(OFFSET($A$1, 1, 0, ROW()-2, 1), "EVT*") + 1, "0000"), "")</f>
        <v>EVT-2026-0130</v>
      </c>
      <c r="B20" s="30">
        <v>46058</v>
      </c>
      <c r="C20" s="27" t="s">
        <v>216</v>
      </c>
      <c r="D20" s="27" t="s">
        <v>389</v>
      </c>
      <c r="E20" s="27" t="s">
        <v>202</v>
      </c>
      <c r="F20" s="27"/>
      <c r="G20" s="10">
        <v>50</v>
      </c>
      <c r="H20" s="36" t="s">
        <v>263</v>
      </c>
      <c r="I20" s="37" t="s">
        <v>296</v>
      </c>
      <c r="J20" s="37" t="s">
        <v>270</v>
      </c>
      <c r="K20" s="27"/>
      <c r="L20" s="27"/>
      <c r="M20" s="27" t="s">
        <v>527</v>
      </c>
      <c r="N20" s="27"/>
      <c r="O20" s="30" t="s">
        <v>2172</v>
      </c>
      <c r="P20" s="1" t="s">
        <v>264</v>
      </c>
      <c r="Q20" s="29" t="s">
        <v>265</v>
      </c>
      <c r="R20" s="27" t="s">
        <v>298</v>
      </c>
      <c r="S20" s="27"/>
    </row>
    <row r="21" spans="1:19" ht="24" customHeight="1">
      <c r="A21" s="27" t="str">
        <f ca="1">IF(OR(D21&lt;&gt;"", F21&lt;&gt;"", L21&lt;&gt;"", O21&lt;&gt;""), "EVT-2026-" &amp; TEXT(COUNTIF('DT-3 Jan26'!$A$3:$A$500, "EVT*") + COUNTIF('DT-4 Jan26'!$A$3:$A$500, "EVT*") + COUNTIF('DT-3 Feb26'!$A$3:$A$500, "EVT*") + COUNTIF(OFFSET($A$1, 1, 0, ROW()-2, 1), "EVT*") + 1, "0000"), "")</f>
        <v>EVT-2026-0131</v>
      </c>
      <c r="B21" s="30">
        <v>46058</v>
      </c>
      <c r="C21" s="27" t="s">
        <v>216</v>
      </c>
      <c r="D21" s="27" t="s">
        <v>125</v>
      </c>
      <c r="E21" s="27" t="s">
        <v>202</v>
      </c>
      <c r="F21" s="27" t="s">
        <v>517</v>
      </c>
      <c r="G21" s="10">
        <v>150</v>
      </c>
      <c r="H21" s="38" t="s">
        <v>294</v>
      </c>
      <c r="I21" s="37" t="s">
        <v>295</v>
      </c>
      <c r="J21" s="37" t="s">
        <v>290</v>
      </c>
      <c r="K21" s="27"/>
      <c r="L21" s="27" t="s">
        <v>528</v>
      </c>
      <c r="M21" s="27" t="s">
        <v>518</v>
      </c>
      <c r="N21" s="27"/>
      <c r="O21" s="30">
        <v>46049</v>
      </c>
      <c r="P21" s="1" t="s">
        <v>264</v>
      </c>
      <c r="Q21" s="29" t="s">
        <v>265</v>
      </c>
      <c r="R21" s="27" t="s">
        <v>529</v>
      </c>
      <c r="S21" s="27"/>
    </row>
    <row r="22" spans="1:19" ht="24" customHeight="1">
      <c r="A22" s="27" t="str">
        <f ca="1">IF(OR(D22&lt;&gt;"", F22&lt;&gt;"", L22&lt;&gt;"", O22&lt;&gt;""), "EVT-2026-" &amp; TEXT(COUNTIF('DT-3 Jan26'!$A$3:$A$500, "EVT*") + COUNTIF('DT-4 Jan26'!$A$3:$A$500, "EVT*") + COUNTIF('DT-3 Feb26'!$A$3:$A$500, "EVT*") + COUNTIF(OFFSET($A$1, 1, 0, ROW()-2, 1), "EVT*") + 1, "0000"), "")</f>
        <v>EVT-2026-0132</v>
      </c>
      <c r="B22" s="30">
        <v>46058</v>
      </c>
      <c r="C22" s="27" t="s">
        <v>216</v>
      </c>
      <c r="D22" s="27" t="s">
        <v>348</v>
      </c>
      <c r="E22" s="27" t="s">
        <v>208</v>
      </c>
      <c r="F22" s="27" t="s">
        <v>530</v>
      </c>
      <c r="G22" s="10">
        <v>40</v>
      </c>
      <c r="H22" s="36" t="s">
        <v>263</v>
      </c>
      <c r="I22" s="37" t="s">
        <v>289</v>
      </c>
      <c r="J22" s="37" t="s">
        <v>296</v>
      </c>
      <c r="K22" s="27" t="s">
        <v>369</v>
      </c>
      <c r="L22" s="27" t="s">
        <v>531</v>
      </c>
      <c r="M22" s="27" t="s">
        <v>532</v>
      </c>
      <c r="N22" s="27"/>
      <c r="O22" s="30">
        <v>46006</v>
      </c>
      <c r="P22" s="1" t="s">
        <v>264</v>
      </c>
      <c r="Q22" s="29" t="s">
        <v>265</v>
      </c>
      <c r="R22" s="27" t="s">
        <v>298</v>
      </c>
      <c r="S22" s="27"/>
    </row>
    <row r="23" spans="1:19" ht="24" customHeight="1">
      <c r="A23" s="27" t="str">
        <f ca="1">IF(OR(D23&lt;&gt;"", F23&lt;&gt;"", L23&lt;&gt;"", O23&lt;&gt;""), "EVT-2026-" &amp; TEXT(COUNTIF('DT-3 Jan26'!$A$3:$A$500, "EVT*") + COUNTIF('DT-4 Jan26'!$A$3:$A$500, "EVT*") + COUNTIF('DT-3 Feb26'!$A$3:$A$500, "EVT*") + COUNTIF(OFFSET($A$1, 1, 0, ROW()-2, 1), "EVT*") + 1, "0000"), "")</f>
        <v>EVT-2026-0133</v>
      </c>
      <c r="B23" s="30">
        <v>46058</v>
      </c>
      <c r="C23" s="27" t="s">
        <v>216</v>
      </c>
      <c r="D23" s="27" t="s">
        <v>348</v>
      </c>
      <c r="E23" s="27" t="s">
        <v>202</v>
      </c>
      <c r="F23" s="27" t="s">
        <v>349</v>
      </c>
      <c r="G23" s="10">
        <v>50</v>
      </c>
      <c r="H23" s="36" t="s">
        <v>263</v>
      </c>
      <c r="I23" s="37" t="s">
        <v>350</v>
      </c>
      <c r="J23" s="37" t="s">
        <v>296</v>
      </c>
      <c r="K23" s="27"/>
      <c r="L23" s="27"/>
      <c r="M23" s="27" t="s">
        <v>351</v>
      </c>
      <c r="N23" s="27"/>
      <c r="O23" s="30">
        <v>46008</v>
      </c>
      <c r="P23" s="1" t="s">
        <v>264</v>
      </c>
      <c r="Q23" s="29" t="s">
        <v>265</v>
      </c>
      <c r="R23" s="27" t="s">
        <v>303</v>
      </c>
      <c r="S23" s="27"/>
    </row>
    <row r="24" spans="1:19" ht="24" customHeight="1">
      <c r="A24" s="27" t="str">
        <f ca="1">IF(OR(D24&lt;&gt;"", F24&lt;&gt;"", L24&lt;&gt;"", O24&lt;&gt;""), "EVT-2026-" &amp; TEXT(COUNTIF('DT-3 Jan26'!$A$3:$A$500, "EVT*") + COUNTIF('DT-4 Jan26'!$A$3:$A$500, "EVT*") + COUNTIF('DT-3 Feb26'!$A$3:$A$500, "EVT*") + COUNTIF(OFFSET($A$1, 1, 0, ROW()-2, 1), "EVT*") + 1, "0000"), "")</f>
        <v>EVT-2026-0134</v>
      </c>
      <c r="B24" s="30">
        <v>46059</v>
      </c>
      <c r="C24" s="27" t="s">
        <v>220</v>
      </c>
      <c r="D24" s="27" t="s">
        <v>389</v>
      </c>
      <c r="E24" s="27" t="s">
        <v>202</v>
      </c>
      <c r="F24" s="27" t="s">
        <v>533</v>
      </c>
      <c r="G24" s="10"/>
      <c r="H24" s="36" t="s">
        <v>263</v>
      </c>
      <c r="I24" s="37" t="s">
        <v>506</v>
      </c>
      <c r="J24" s="37" t="s">
        <v>331</v>
      </c>
      <c r="K24" s="27"/>
      <c r="L24" s="27"/>
      <c r="M24" s="27" t="s">
        <v>379</v>
      </c>
      <c r="N24" s="27"/>
      <c r="O24" s="30" t="s">
        <v>2171</v>
      </c>
      <c r="P24" s="1" t="s">
        <v>264</v>
      </c>
      <c r="Q24" s="29" t="s">
        <v>265</v>
      </c>
      <c r="R24" s="27" t="s">
        <v>298</v>
      </c>
      <c r="S24" s="27"/>
    </row>
    <row r="25" spans="1:19" ht="24" customHeight="1">
      <c r="A25" s="27" t="str">
        <f ca="1">IF(OR(D25&lt;&gt;"", F25&lt;&gt;"", L25&lt;&gt;"", O25&lt;&gt;""), "EVT-2026-" &amp; TEXT(COUNTIF('DT-3 Jan26'!$A$3:$A$500, "EVT*") + COUNTIF('DT-4 Jan26'!$A$3:$A$500, "EVT*") + COUNTIF('DT-3 Feb26'!$A$3:$A$500, "EVT*") + COUNTIF(OFFSET($A$1, 1, 0, ROW()-2, 1), "EVT*") + 1, "0000"), "")</f>
        <v/>
      </c>
      <c r="B25" s="30">
        <v>46059</v>
      </c>
      <c r="C25" s="27" t="s">
        <v>220</v>
      </c>
      <c r="D25" s="27"/>
      <c r="E25" s="27"/>
      <c r="F25" s="27"/>
      <c r="G25" s="10"/>
      <c r="H25" s="36" t="s">
        <v>263</v>
      </c>
      <c r="I25" s="37"/>
      <c r="J25" s="37"/>
      <c r="K25" s="27"/>
      <c r="L25" s="27"/>
      <c r="M25" s="27"/>
      <c r="N25" s="27"/>
      <c r="O25" s="27"/>
      <c r="P25" s="1" t="s">
        <v>264</v>
      </c>
      <c r="Q25" s="29" t="s">
        <v>265</v>
      </c>
      <c r="R25" s="27"/>
      <c r="S25" s="27"/>
    </row>
    <row r="26" spans="1:19" ht="24" customHeight="1">
      <c r="A26" s="27" t="str">
        <f ca="1">IF(OR(D26&lt;&gt;"", F26&lt;&gt;"", L26&lt;&gt;"", O26&lt;&gt;""), "EVT-2026-" &amp; TEXT(COUNTIF('DT-3 Jan26'!$A$3:$A$500, "EVT*") + COUNTIF('DT-4 Jan26'!$A$3:$A$500, "EVT*") + COUNTIF('DT-3 Feb26'!$A$3:$A$500, "EVT*") + COUNTIF(OFFSET($A$1, 1, 0, ROW()-2, 1), "EVT*") + 1, "0000"), "")</f>
        <v>EVT-2026-0135</v>
      </c>
      <c r="B26" s="30">
        <v>46060</v>
      </c>
      <c r="C26" s="27" t="s">
        <v>266</v>
      </c>
      <c r="D26" s="27" t="s">
        <v>437</v>
      </c>
      <c r="E26" s="27"/>
      <c r="F26" s="27"/>
      <c r="G26" s="10"/>
      <c r="H26" s="36" t="s">
        <v>263</v>
      </c>
      <c r="I26" s="37"/>
      <c r="J26" s="37"/>
      <c r="K26" s="27"/>
      <c r="L26" s="27"/>
      <c r="M26" s="27"/>
      <c r="N26" s="27"/>
      <c r="O26" s="27"/>
      <c r="P26" s="1" t="s">
        <v>264</v>
      </c>
      <c r="Q26" s="29" t="s">
        <v>265</v>
      </c>
      <c r="R26" s="27"/>
      <c r="S26" s="27"/>
    </row>
    <row r="27" spans="1:19" ht="24" customHeight="1">
      <c r="A27" s="27" t="str">
        <f ca="1">IF(OR(D27&lt;&gt;"", F27&lt;&gt;"", L27&lt;&gt;"", O27&lt;&gt;""), "EVT-2026-" &amp; TEXT(COUNTIF('DT-3 Jan26'!$A$3:$A$500, "EVT*") + COUNTIF('DT-4 Jan26'!$A$3:$A$500, "EVT*") + COUNTIF('DT-3 Feb26'!$A$3:$A$500, "EVT*") + COUNTIF(OFFSET($A$1, 1, 0, ROW()-2, 1), "EVT*") + 1, "0000"), "")</f>
        <v/>
      </c>
      <c r="B27" s="30">
        <v>46061</v>
      </c>
      <c r="C27" s="27" t="s">
        <v>267</v>
      </c>
      <c r="D27" s="27"/>
      <c r="E27" s="27"/>
      <c r="F27" s="27"/>
      <c r="G27" s="10"/>
      <c r="H27" s="36" t="s">
        <v>263</v>
      </c>
      <c r="I27" s="37"/>
      <c r="J27" s="37"/>
      <c r="K27" s="27"/>
      <c r="L27" s="27"/>
      <c r="M27" s="27"/>
      <c r="N27" s="27"/>
      <c r="O27" s="27"/>
      <c r="P27" s="1" t="s">
        <v>264</v>
      </c>
      <c r="Q27" s="29" t="s">
        <v>265</v>
      </c>
      <c r="R27" s="27"/>
      <c r="S27" s="27"/>
    </row>
    <row r="28" spans="1:19" ht="24" customHeight="1">
      <c r="A28" s="27" t="str">
        <f ca="1">IF(OR(D28&lt;&gt;"", F28&lt;&gt;"", L28&lt;&gt;"", O28&lt;&gt;""), "EVT-2026-" &amp; TEXT(COUNTIF('DT-3 Jan26'!$A$3:$A$500, "EVT*") + COUNTIF('DT-4 Jan26'!$A$3:$A$500, "EVT*") + COUNTIF('DT-3 Feb26'!$A$3:$A$500, "EVT*") + COUNTIF(OFFSET($A$1, 1, 0, ROW()-2, 1), "EVT*") + 1, "0000"), "")</f>
        <v>EVT-2026-0136</v>
      </c>
      <c r="B28" s="27" t="s">
        <v>534</v>
      </c>
      <c r="C28" s="27" t="s">
        <v>224</v>
      </c>
      <c r="D28" s="27" t="s">
        <v>535</v>
      </c>
      <c r="E28" s="27" t="s">
        <v>202</v>
      </c>
      <c r="F28" s="27" t="s">
        <v>536</v>
      </c>
      <c r="G28" s="10"/>
      <c r="H28" s="36" t="s">
        <v>263</v>
      </c>
      <c r="I28" s="37" t="s">
        <v>269</v>
      </c>
      <c r="J28" s="37" t="s">
        <v>270</v>
      </c>
      <c r="K28" s="27"/>
      <c r="L28" s="27"/>
      <c r="M28" s="27" t="s">
        <v>537</v>
      </c>
      <c r="N28" s="27"/>
      <c r="O28" s="30" t="s">
        <v>2173</v>
      </c>
      <c r="P28" s="1" t="s">
        <v>264</v>
      </c>
      <c r="Q28" s="29" t="s">
        <v>265</v>
      </c>
      <c r="R28" s="27" t="s">
        <v>538</v>
      </c>
      <c r="S28" s="27"/>
    </row>
    <row r="29" spans="1:19" ht="24" customHeight="1">
      <c r="A29" s="27" t="str">
        <f ca="1">IF(OR(D29&lt;&gt;"", F29&lt;&gt;"", L29&lt;&gt;"", O29&lt;&gt;""), "EVT-2026-" &amp; TEXT(COUNTIF('DT-3 Jan26'!$A$3:$A$500, "EVT*") + COUNTIF('DT-4 Jan26'!$A$3:$A$500, "EVT*") + COUNTIF('DT-3 Feb26'!$A$3:$A$500, "EVT*") + COUNTIF(OFFSET($A$1, 1, 0, ROW()-2, 1), "EVT*") + 1, "0000"), "")</f>
        <v>EVT-2026-0137</v>
      </c>
      <c r="B29" s="30">
        <v>46062</v>
      </c>
      <c r="C29" s="27" t="s">
        <v>224</v>
      </c>
      <c r="D29" s="27" t="s">
        <v>348</v>
      </c>
      <c r="E29" s="27" t="s">
        <v>208</v>
      </c>
      <c r="F29" s="27" t="s">
        <v>525</v>
      </c>
      <c r="G29" s="10">
        <v>25</v>
      </c>
      <c r="H29" s="36" t="s">
        <v>263</v>
      </c>
      <c r="I29" s="37" t="s">
        <v>309</v>
      </c>
      <c r="J29" s="37" t="s">
        <v>295</v>
      </c>
      <c r="K29" s="27"/>
      <c r="L29" s="27"/>
      <c r="M29" s="27" t="s">
        <v>526</v>
      </c>
      <c r="N29" s="27"/>
      <c r="O29" s="30" t="s">
        <v>2171</v>
      </c>
      <c r="P29" s="1" t="s">
        <v>264</v>
      </c>
      <c r="Q29" s="29" t="s">
        <v>265</v>
      </c>
      <c r="R29" s="27"/>
      <c r="S29" s="27" t="s">
        <v>298</v>
      </c>
    </row>
    <row r="30" spans="1:19" ht="24" customHeight="1">
      <c r="A30" s="27" t="str">
        <f ca="1">IF(OR(D30&lt;&gt;"", F30&lt;&gt;"", L30&lt;&gt;"", O30&lt;&gt;""), "EVT-2026-" &amp; TEXT(COUNTIF('DT-3 Jan26'!$A$3:$A$500, "EVT*") + COUNTIF('DT-4 Jan26'!$A$3:$A$500, "EVT*") + COUNTIF('DT-3 Feb26'!$A$3:$A$500, "EVT*") + COUNTIF(OFFSET($A$1, 1, 0, ROW()-2, 1), "EVT*") + 1, "0000"), "")</f>
        <v>EVT-2026-0138</v>
      </c>
      <c r="B30" s="30">
        <v>46063</v>
      </c>
      <c r="C30" s="27" t="s">
        <v>227</v>
      </c>
      <c r="D30" s="27" t="s">
        <v>348</v>
      </c>
      <c r="E30" s="27" t="s">
        <v>202</v>
      </c>
      <c r="F30" s="27"/>
      <c r="G30" s="10"/>
      <c r="H30" s="36" t="s">
        <v>263</v>
      </c>
      <c r="I30" s="37" t="s">
        <v>274</v>
      </c>
      <c r="J30" s="37" t="s">
        <v>330</v>
      </c>
      <c r="K30" s="27"/>
      <c r="L30" s="27"/>
      <c r="M30" s="27" t="s">
        <v>539</v>
      </c>
      <c r="N30" s="27"/>
      <c r="O30" s="27"/>
      <c r="P30" s="1" t="s">
        <v>264</v>
      </c>
      <c r="Q30" s="29" t="s">
        <v>265</v>
      </c>
      <c r="R30" s="27" t="s">
        <v>540</v>
      </c>
      <c r="S30" s="27"/>
    </row>
    <row r="31" spans="1:19" ht="24" customHeight="1">
      <c r="A31" s="27" t="str">
        <f ca="1">IF(OR(D31&lt;&gt;"", F31&lt;&gt;"", L31&lt;&gt;"", O31&lt;&gt;""), "EVT-2026-" &amp; TEXT(COUNTIF('DT-3 Jan26'!$A$3:$A$500, "EVT*") + COUNTIF('DT-4 Jan26'!$A$3:$A$500, "EVT*") + COUNTIF('DT-3 Feb26'!$A$3:$A$500, "EVT*") + COUNTIF(OFFSET($A$1, 1, 0, ROW()-2, 1), "EVT*") + 1, "0000"), "")</f>
        <v>EVT-2026-0139</v>
      </c>
      <c r="B31" s="30">
        <v>46063</v>
      </c>
      <c r="C31" s="27" t="s">
        <v>227</v>
      </c>
      <c r="D31" s="27" t="s">
        <v>348</v>
      </c>
      <c r="E31" s="27" t="s">
        <v>202</v>
      </c>
      <c r="F31" s="27"/>
      <c r="G31" s="10"/>
      <c r="H31" s="36" t="s">
        <v>263</v>
      </c>
      <c r="I31" s="37" t="s">
        <v>359</v>
      </c>
      <c r="J31" s="37" t="s">
        <v>290</v>
      </c>
      <c r="K31" s="27"/>
      <c r="L31" s="27"/>
      <c r="M31" s="27" t="s">
        <v>539</v>
      </c>
      <c r="N31" s="27"/>
      <c r="O31" s="27"/>
      <c r="P31" s="1" t="s">
        <v>264</v>
      </c>
      <c r="Q31" s="29" t="s">
        <v>265</v>
      </c>
      <c r="R31" s="27" t="s">
        <v>540</v>
      </c>
      <c r="S31" s="27"/>
    </row>
    <row r="32" spans="1:19" ht="24" customHeight="1">
      <c r="A32" s="27" t="str">
        <f ca="1">IF(OR(D32&lt;&gt;"", F32&lt;&gt;"", L32&lt;&gt;"", O32&lt;&gt;""), "EVT-2026-" &amp; TEXT(COUNTIF('DT-3 Jan26'!$A$3:$A$500, "EVT*") + COUNTIF('DT-4 Jan26'!$A$3:$A$500, "EVT*") + COUNTIF('DT-3 Feb26'!$A$3:$A$500, "EVT*") + COUNTIF(OFFSET($A$1, 1, 0, ROW()-2, 1), "EVT*") + 1, "0000"), "")</f>
        <v>EVT-2026-0140</v>
      </c>
      <c r="B32" s="30">
        <v>46063</v>
      </c>
      <c r="C32" s="27" t="s">
        <v>227</v>
      </c>
      <c r="D32" s="27" t="s">
        <v>348</v>
      </c>
      <c r="E32" s="27" t="s">
        <v>202</v>
      </c>
      <c r="F32" s="27" t="s">
        <v>541</v>
      </c>
      <c r="G32" s="10">
        <v>25</v>
      </c>
      <c r="H32" s="36" t="s">
        <v>263</v>
      </c>
      <c r="I32" s="37" t="s">
        <v>350</v>
      </c>
      <c r="J32" s="37" t="s">
        <v>289</v>
      </c>
      <c r="K32" s="27"/>
      <c r="L32" s="27"/>
      <c r="M32" s="27" t="s">
        <v>542</v>
      </c>
      <c r="N32" s="27"/>
      <c r="O32" s="30" t="s">
        <v>2173</v>
      </c>
      <c r="P32" s="1" t="s">
        <v>264</v>
      </c>
      <c r="Q32" s="29" t="s">
        <v>265</v>
      </c>
      <c r="R32" s="27" t="s">
        <v>298</v>
      </c>
      <c r="S32" s="27"/>
    </row>
    <row r="33" spans="1:19" ht="24" customHeight="1">
      <c r="A33" s="27" t="str">
        <f ca="1">IF(OR(D33&lt;&gt;"", F33&lt;&gt;"", L33&lt;&gt;"", O33&lt;&gt;""), "EVT-2026-" &amp; TEXT(COUNTIF('DT-3 Jan26'!$A$3:$A$500, "EVT*") + COUNTIF('DT-4 Jan26'!$A$3:$A$500, "EVT*") + COUNTIF('DT-3 Feb26'!$A$3:$A$500, "EVT*") + COUNTIF(OFFSET($A$1, 1, 0, ROW()-2, 1), "EVT*") + 1, "0000"), "")</f>
        <v>EVT-2026-0141</v>
      </c>
      <c r="B33" s="30">
        <v>46063</v>
      </c>
      <c r="C33" s="27" t="s">
        <v>227</v>
      </c>
      <c r="D33" s="27" t="s">
        <v>348</v>
      </c>
      <c r="E33" s="27" t="s">
        <v>208</v>
      </c>
      <c r="F33" s="27" t="s">
        <v>349</v>
      </c>
      <c r="G33" s="10">
        <v>50</v>
      </c>
      <c r="H33" s="36" t="s">
        <v>263</v>
      </c>
      <c r="I33" s="37" t="s">
        <v>350</v>
      </c>
      <c r="J33" s="37" t="s">
        <v>296</v>
      </c>
      <c r="K33" s="27"/>
      <c r="L33" s="27"/>
      <c r="M33" s="27" t="s">
        <v>351</v>
      </c>
      <c r="N33" s="27"/>
      <c r="O33" s="30">
        <v>46008</v>
      </c>
      <c r="P33" s="1" t="s">
        <v>264</v>
      </c>
      <c r="Q33" s="29" t="s">
        <v>265</v>
      </c>
      <c r="R33" s="27" t="s">
        <v>303</v>
      </c>
      <c r="S33" s="27"/>
    </row>
    <row r="34" spans="1:19" ht="24" customHeight="1">
      <c r="A34" s="27" t="str">
        <f ca="1">IF(OR(D34&lt;&gt;"", F34&lt;&gt;"", L34&lt;&gt;"", O34&lt;&gt;""), "EVT-2026-" &amp; TEXT(COUNTIF('DT-3 Jan26'!$A$3:$A$500, "EVT*") + COUNTIF('DT-4 Jan26'!$A$3:$A$500, "EVT*") + COUNTIF('DT-3 Feb26'!$A$3:$A$500, "EVT*") + COUNTIF(OFFSET($A$1, 1, 0, ROW()-2, 1), "EVT*") + 1, "0000"), "")</f>
        <v>EVT-2026-0142</v>
      </c>
      <c r="B34" s="30">
        <v>46063</v>
      </c>
      <c r="C34" s="27" t="s">
        <v>227</v>
      </c>
      <c r="D34" s="27" t="s">
        <v>125</v>
      </c>
      <c r="E34" s="27" t="s">
        <v>228</v>
      </c>
      <c r="F34" s="27" t="s">
        <v>543</v>
      </c>
      <c r="G34" s="10"/>
      <c r="H34" s="36" t="s">
        <v>263</v>
      </c>
      <c r="I34" s="37" t="s">
        <v>269</v>
      </c>
      <c r="J34" s="37" t="s">
        <v>544</v>
      </c>
      <c r="K34" s="27"/>
      <c r="L34" s="27"/>
      <c r="M34" s="27" t="s">
        <v>545</v>
      </c>
      <c r="N34" s="27"/>
      <c r="O34" s="27"/>
      <c r="P34" s="1" t="s">
        <v>264</v>
      </c>
      <c r="Q34" s="29" t="s">
        <v>265</v>
      </c>
      <c r="R34" s="27" t="s">
        <v>516</v>
      </c>
      <c r="S34" s="27"/>
    </row>
    <row r="35" spans="1:19" ht="24" customHeight="1">
      <c r="A35" s="27" t="str">
        <f ca="1">IF(OR(D35&lt;&gt;"", F35&lt;&gt;"", L35&lt;&gt;"", O35&lt;&gt;""), "EVT-2026-" &amp; TEXT(COUNTIF('DT-3 Jan26'!$A$3:$A$500, "EVT*") + COUNTIF('DT-4 Jan26'!$A$3:$A$500, "EVT*") + COUNTIF('DT-3 Feb26'!$A$3:$A$500, "EVT*") + COUNTIF(OFFSET($A$1, 1, 0, ROW()-2, 1), "EVT*") + 1, "0000"), "")</f>
        <v>EVT-2026-0143</v>
      </c>
      <c r="B35" s="30">
        <v>46064</v>
      </c>
      <c r="C35" s="27" t="s">
        <v>201</v>
      </c>
      <c r="D35" s="27" t="s">
        <v>125</v>
      </c>
      <c r="E35" s="27" t="s">
        <v>228</v>
      </c>
      <c r="F35" s="27" t="s">
        <v>546</v>
      </c>
      <c r="G35" s="10">
        <v>15</v>
      </c>
      <c r="H35" s="36" t="s">
        <v>263</v>
      </c>
      <c r="I35" s="37" t="s">
        <v>506</v>
      </c>
      <c r="J35" s="37" t="s">
        <v>330</v>
      </c>
      <c r="K35" s="27"/>
      <c r="L35" s="27"/>
      <c r="M35" s="27" t="s">
        <v>378</v>
      </c>
      <c r="N35" s="27"/>
      <c r="O35" s="30" t="s">
        <v>2174</v>
      </c>
      <c r="P35" s="1" t="s">
        <v>264</v>
      </c>
      <c r="Q35" s="29" t="s">
        <v>265</v>
      </c>
      <c r="R35" s="27" t="s">
        <v>298</v>
      </c>
      <c r="S35" s="27"/>
    </row>
    <row r="36" spans="1:19" ht="24" customHeight="1">
      <c r="A36" s="27" t="str">
        <f ca="1">IF(OR(D36&lt;&gt;"", F36&lt;&gt;"", L36&lt;&gt;"", O36&lt;&gt;""), "EVT-2026-" &amp; TEXT(COUNTIF('DT-3 Jan26'!$A$3:$A$500, "EVT*") + COUNTIF('DT-4 Jan26'!$A$3:$A$500, "EVT*") + COUNTIF('DT-3 Feb26'!$A$3:$A$500, "EVT*") + COUNTIF(OFFSET($A$1, 1, 0, ROW()-2, 1), "EVT*") + 1, "0000"), "")</f>
        <v>EVT-2026-0144</v>
      </c>
      <c r="B36" s="30">
        <v>46064</v>
      </c>
      <c r="C36" s="27" t="s">
        <v>201</v>
      </c>
      <c r="D36" s="27" t="s">
        <v>125</v>
      </c>
      <c r="E36" s="27" t="s">
        <v>228</v>
      </c>
      <c r="F36" s="27" t="s">
        <v>547</v>
      </c>
      <c r="G36" s="10">
        <v>40</v>
      </c>
      <c r="H36" s="36" t="s">
        <v>263</v>
      </c>
      <c r="I36" s="37" t="s">
        <v>275</v>
      </c>
      <c r="J36" s="37" t="s">
        <v>309</v>
      </c>
      <c r="K36" s="27"/>
      <c r="L36" s="27"/>
      <c r="M36" s="27" t="s">
        <v>548</v>
      </c>
      <c r="N36" s="27"/>
      <c r="O36" s="30" t="s">
        <v>2175</v>
      </c>
      <c r="P36" s="1" t="s">
        <v>264</v>
      </c>
      <c r="Q36" s="29" t="s">
        <v>265</v>
      </c>
      <c r="R36" s="27"/>
      <c r="S36" s="27"/>
    </row>
    <row r="37" spans="1:19" ht="24" customHeight="1">
      <c r="A37" s="27" t="str">
        <f ca="1">IF(OR(D37&lt;&gt;"", F37&lt;&gt;"", L37&lt;&gt;"", O37&lt;&gt;""), "EVT-2026-" &amp; TEXT(COUNTIF('DT-3 Jan26'!$A$3:$A$500, "EVT*") + COUNTIF('DT-4 Jan26'!$A$3:$A$500, "EVT*") + COUNTIF('DT-3 Feb26'!$A$3:$A$500, "EVT*") + COUNTIF(OFFSET($A$1, 1, 0, ROW()-2, 1), "EVT*") + 1, "0000"), "")</f>
        <v>EVT-2026-0145</v>
      </c>
      <c r="B37" s="30">
        <v>46064</v>
      </c>
      <c r="C37" s="27" t="s">
        <v>201</v>
      </c>
      <c r="D37" s="27" t="s">
        <v>239</v>
      </c>
      <c r="E37" s="27" t="s">
        <v>202</v>
      </c>
      <c r="F37" s="27" t="s">
        <v>549</v>
      </c>
      <c r="G37" s="10">
        <v>100</v>
      </c>
      <c r="H37" s="38" t="s">
        <v>294</v>
      </c>
      <c r="I37" s="37" t="s">
        <v>316</v>
      </c>
      <c r="J37" s="37" t="s">
        <v>550</v>
      </c>
      <c r="K37" s="27"/>
      <c r="L37" s="27"/>
      <c r="M37" s="27" t="s">
        <v>551</v>
      </c>
      <c r="N37" s="27"/>
      <c r="O37" s="30" t="s">
        <v>2171</v>
      </c>
      <c r="P37" s="1" t="s">
        <v>264</v>
      </c>
      <c r="Q37" s="29" t="s">
        <v>265</v>
      </c>
      <c r="R37" s="27" t="s">
        <v>298</v>
      </c>
      <c r="S37" s="27"/>
    </row>
    <row r="38" spans="1:19" ht="24" customHeight="1">
      <c r="A38" s="27" t="str">
        <f ca="1">IF(OR(D38&lt;&gt;"", F38&lt;&gt;"", L38&lt;&gt;"", O38&lt;&gt;""), "EVT-2026-" &amp; TEXT(COUNTIF('DT-3 Jan26'!$A$3:$A$500, "EVT*") + COUNTIF('DT-4 Jan26'!$A$3:$A$500, "EVT*") + COUNTIF('DT-3 Feb26'!$A$3:$A$500, "EVT*") + COUNTIF(OFFSET($A$1, 1, 0, ROW()-2, 1), "EVT*") + 1, "0000"), "")</f>
        <v>EVT-2026-0146</v>
      </c>
      <c r="B38" s="30">
        <v>46064</v>
      </c>
      <c r="C38" s="27" t="s">
        <v>201</v>
      </c>
      <c r="D38" s="27" t="s">
        <v>239</v>
      </c>
      <c r="E38" s="27" t="s">
        <v>202</v>
      </c>
      <c r="F38" s="27" t="s">
        <v>525</v>
      </c>
      <c r="G38" s="10">
        <v>180</v>
      </c>
      <c r="H38" s="38" t="s">
        <v>294</v>
      </c>
      <c r="I38" s="37" t="s">
        <v>295</v>
      </c>
      <c r="J38" s="37" t="s">
        <v>290</v>
      </c>
      <c r="K38" s="27"/>
      <c r="L38" s="27"/>
      <c r="M38" s="27" t="s">
        <v>378</v>
      </c>
      <c r="N38" s="27"/>
      <c r="O38" s="30" t="s">
        <v>2166</v>
      </c>
      <c r="P38" s="1" t="s">
        <v>264</v>
      </c>
      <c r="Q38" s="29" t="s">
        <v>265</v>
      </c>
      <c r="R38" s="27" t="s">
        <v>298</v>
      </c>
      <c r="S38" s="27"/>
    </row>
    <row r="39" spans="1:19" ht="24" customHeight="1">
      <c r="A39" s="27" t="str">
        <f ca="1">IF(OR(D39&lt;&gt;"", F39&lt;&gt;"", L39&lt;&gt;"", O39&lt;&gt;""), "EVT-2026-" &amp; TEXT(COUNTIF('DT-3 Jan26'!$A$3:$A$500, "EVT*") + COUNTIF('DT-4 Jan26'!$A$3:$A$500, "EVT*") + COUNTIF('DT-3 Feb26'!$A$3:$A$500, "EVT*") + COUNTIF(OFFSET($A$1, 1, 0, ROW()-2, 1), "EVT*") + 1, "0000"), "")</f>
        <v>EVT-2026-0147</v>
      </c>
      <c r="B39" s="30">
        <v>46064</v>
      </c>
      <c r="C39" s="27" t="s">
        <v>201</v>
      </c>
      <c r="D39" s="27" t="s">
        <v>138</v>
      </c>
      <c r="E39" s="27" t="s">
        <v>202</v>
      </c>
      <c r="F39" s="27" t="s">
        <v>552</v>
      </c>
      <c r="G39" s="10">
        <v>90</v>
      </c>
      <c r="H39" s="36" t="s">
        <v>263</v>
      </c>
      <c r="I39" s="37" t="s">
        <v>274</v>
      </c>
      <c r="J39" s="37" t="s">
        <v>553</v>
      </c>
      <c r="K39" s="27"/>
      <c r="L39" s="27"/>
      <c r="M39" s="27" t="s">
        <v>554</v>
      </c>
      <c r="N39" s="27"/>
      <c r="O39" s="30" t="s">
        <v>2176</v>
      </c>
      <c r="P39" s="1" t="s">
        <v>264</v>
      </c>
      <c r="Q39" s="29" t="s">
        <v>265</v>
      </c>
      <c r="R39" s="27" t="s">
        <v>298</v>
      </c>
      <c r="S39" s="27"/>
    </row>
    <row r="40" spans="1:19" ht="24" customHeight="1">
      <c r="A40" s="27" t="str">
        <f ca="1">IF(OR(D40&lt;&gt;"", F40&lt;&gt;"", L40&lt;&gt;"", O40&lt;&gt;""), "EVT-2026-" &amp; TEXT(COUNTIF('DT-3 Jan26'!$A$3:$A$500, "EVT*") + COUNTIF('DT-4 Jan26'!$A$3:$A$500, "EVT*") + COUNTIF('DT-3 Feb26'!$A$3:$A$500, "EVT*") + COUNTIF(OFFSET($A$1, 1, 0, ROW()-2, 1), "EVT*") + 1, "0000"), "")</f>
        <v>EVT-2026-0148</v>
      </c>
      <c r="B40" s="30">
        <v>46064</v>
      </c>
      <c r="C40" s="27" t="s">
        <v>201</v>
      </c>
      <c r="D40" s="27" t="s">
        <v>138</v>
      </c>
      <c r="E40" s="27" t="s">
        <v>202</v>
      </c>
      <c r="F40" s="27" t="s">
        <v>555</v>
      </c>
      <c r="G40" s="10">
        <v>20</v>
      </c>
      <c r="H40" s="36" t="s">
        <v>263</v>
      </c>
      <c r="I40" s="37" t="s">
        <v>309</v>
      </c>
      <c r="J40" s="37" t="s">
        <v>295</v>
      </c>
      <c r="K40" s="27"/>
      <c r="L40" s="27"/>
      <c r="M40" s="27" t="s">
        <v>556</v>
      </c>
      <c r="N40" s="27"/>
      <c r="O40" s="30" t="s">
        <v>2172</v>
      </c>
      <c r="P40" s="3" t="s">
        <v>312</v>
      </c>
      <c r="Q40" s="29" t="s">
        <v>265</v>
      </c>
      <c r="R40" s="27" t="s">
        <v>557</v>
      </c>
      <c r="S40" s="27"/>
    </row>
    <row r="41" spans="1:19" ht="24" customHeight="1">
      <c r="A41" s="27" t="str">
        <f ca="1">IF(OR(D41&lt;&gt;"", F41&lt;&gt;"", L41&lt;&gt;"", O41&lt;&gt;""), "EVT-2026-" &amp; TEXT(COUNTIF('DT-3 Jan26'!$A$3:$A$500, "EVT*") + COUNTIF('DT-4 Jan26'!$A$3:$A$500, "EVT*") + COUNTIF('DT-3 Feb26'!$A$3:$A$500, "EVT*") + COUNTIF(OFFSET($A$1, 1, 0, ROW()-2, 1), "EVT*") + 1, "0000"), "")</f>
        <v>EVT-2026-0149</v>
      </c>
      <c r="B41" s="30">
        <v>46065</v>
      </c>
      <c r="C41" s="27" t="s">
        <v>216</v>
      </c>
      <c r="D41" s="27" t="s">
        <v>138</v>
      </c>
      <c r="E41" s="27" t="s">
        <v>202</v>
      </c>
      <c r="F41" s="27" t="s">
        <v>558</v>
      </c>
      <c r="G41" s="10">
        <v>20</v>
      </c>
      <c r="H41" s="36" t="s">
        <v>263</v>
      </c>
      <c r="I41" s="37" t="s">
        <v>350</v>
      </c>
      <c r="J41" s="37" t="s">
        <v>295</v>
      </c>
      <c r="K41" s="27"/>
      <c r="L41" s="27"/>
      <c r="M41" s="27" t="s">
        <v>378</v>
      </c>
      <c r="N41" s="27"/>
      <c r="O41" s="30" t="s">
        <v>2177</v>
      </c>
      <c r="P41" s="1" t="s">
        <v>264</v>
      </c>
      <c r="Q41" s="29" t="s">
        <v>265</v>
      </c>
      <c r="R41" s="27" t="s">
        <v>500</v>
      </c>
      <c r="S41" s="27"/>
    </row>
    <row r="42" spans="1:19" ht="24" customHeight="1">
      <c r="A42" s="27" t="str">
        <f ca="1">IF(OR(D42&lt;&gt;"", F42&lt;&gt;"", L42&lt;&gt;"", O42&lt;&gt;""), "EVT-2026-" &amp; TEXT(COUNTIF('DT-3 Jan26'!$A$3:$A$500, "EVT*") + COUNTIF('DT-4 Jan26'!$A$3:$A$500, "EVT*") + COUNTIF('DT-3 Feb26'!$A$3:$A$500, "EVT*") + COUNTIF(OFFSET($A$1, 1, 0, ROW()-2, 1), "EVT*") + 1, "0000"), "")</f>
        <v>EVT-2026-0150</v>
      </c>
      <c r="B42" s="30">
        <v>46065</v>
      </c>
      <c r="C42" s="27" t="s">
        <v>216</v>
      </c>
      <c r="D42" s="27" t="s">
        <v>348</v>
      </c>
      <c r="E42" s="27" t="s">
        <v>208</v>
      </c>
      <c r="F42" s="27" t="s">
        <v>349</v>
      </c>
      <c r="G42" s="10">
        <v>50</v>
      </c>
      <c r="H42" s="36" t="s">
        <v>263</v>
      </c>
      <c r="I42" s="37" t="s">
        <v>350</v>
      </c>
      <c r="J42" s="37" t="s">
        <v>296</v>
      </c>
      <c r="K42" s="27"/>
      <c r="L42" s="27"/>
      <c r="M42" s="27" t="s">
        <v>351</v>
      </c>
      <c r="N42" s="27"/>
      <c r="O42" s="30">
        <v>46008</v>
      </c>
      <c r="P42" s="1" t="s">
        <v>264</v>
      </c>
      <c r="Q42" s="29" t="s">
        <v>265</v>
      </c>
      <c r="R42" s="27" t="s">
        <v>303</v>
      </c>
      <c r="S42" s="27"/>
    </row>
    <row r="43" spans="1:19" ht="24" customHeight="1">
      <c r="A43" s="27" t="str">
        <f ca="1">IF(OR(D43&lt;&gt;"", F43&lt;&gt;"", L43&lt;&gt;"", O43&lt;&gt;""), "EVT-2026-" &amp; TEXT(COUNTIF('DT-3 Jan26'!$A$3:$A$500, "EVT*") + COUNTIF('DT-4 Jan26'!$A$3:$A$500, "EVT*") + COUNTIF('DT-3 Feb26'!$A$3:$A$500, "EVT*") + COUNTIF(OFFSET($A$1, 1, 0, ROW()-2, 1), "EVT*") + 1, "0000"), "")</f>
        <v>EVT-2026-0151</v>
      </c>
      <c r="B43" s="30">
        <v>46065</v>
      </c>
      <c r="C43" s="27" t="s">
        <v>216</v>
      </c>
      <c r="D43" s="27" t="s">
        <v>125</v>
      </c>
      <c r="E43" s="27" t="s">
        <v>228</v>
      </c>
      <c r="F43" s="27" t="s">
        <v>559</v>
      </c>
      <c r="G43" s="10"/>
      <c r="H43" s="36" t="s">
        <v>263</v>
      </c>
      <c r="I43" s="37" t="s">
        <v>506</v>
      </c>
      <c r="J43" s="37" t="s">
        <v>354</v>
      </c>
      <c r="K43" s="27"/>
      <c r="L43" s="27"/>
      <c r="M43" s="27" t="s">
        <v>560</v>
      </c>
      <c r="N43" s="27"/>
      <c r="O43" s="30">
        <v>46063</v>
      </c>
      <c r="P43" s="3" t="s">
        <v>312</v>
      </c>
      <c r="Q43" s="29" t="s">
        <v>265</v>
      </c>
      <c r="R43" s="27" t="s">
        <v>298</v>
      </c>
      <c r="S43" s="27"/>
    </row>
    <row r="44" spans="1:19" ht="24" customHeight="1">
      <c r="A44" s="27" t="str">
        <f ca="1">IF(OR(D44&lt;&gt;"", F44&lt;&gt;"", L44&lt;&gt;"", O44&lt;&gt;""), "EVT-2026-" &amp; TEXT(COUNTIF('DT-3 Jan26'!$A$3:$A$500, "EVT*") + COUNTIF('DT-4 Jan26'!$A$3:$A$500, "EVT*") + COUNTIF('DT-3 Feb26'!$A$3:$A$500, "EVT*") + COUNTIF(OFFSET($A$1, 1, 0, ROW()-2, 1), "EVT*") + 1, "0000"), "")</f>
        <v>EVT-2026-0152</v>
      </c>
      <c r="B44" s="30">
        <v>46065</v>
      </c>
      <c r="C44" s="27" t="s">
        <v>216</v>
      </c>
      <c r="D44" s="27" t="s">
        <v>125</v>
      </c>
      <c r="E44" s="27" t="s">
        <v>228</v>
      </c>
      <c r="F44" s="27" t="s">
        <v>561</v>
      </c>
      <c r="G44" s="10">
        <v>25</v>
      </c>
      <c r="H44" s="36" t="s">
        <v>263</v>
      </c>
      <c r="I44" s="37" t="s">
        <v>289</v>
      </c>
      <c r="J44" s="37" t="s">
        <v>290</v>
      </c>
      <c r="K44" s="27"/>
      <c r="L44" s="27"/>
      <c r="M44" s="27" t="s">
        <v>562</v>
      </c>
      <c r="N44" s="27"/>
      <c r="O44" s="27"/>
      <c r="P44" s="1" t="s">
        <v>264</v>
      </c>
      <c r="Q44" s="29" t="s">
        <v>265</v>
      </c>
      <c r="R44" s="27" t="s">
        <v>298</v>
      </c>
      <c r="S44" s="27"/>
    </row>
    <row r="45" spans="1:19" ht="24" customHeight="1">
      <c r="A45" s="27" t="str">
        <f ca="1">IF(OR(D45&lt;&gt;"", F45&lt;&gt;"", L45&lt;&gt;"", O45&lt;&gt;""), "EVT-2026-" &amp; TEXT(COUNTIF('DT-3 Jan26'!$A$3:$A$500, "EVT*") + COUNTIF('DT-4 Jan26'!$A$3:$A$500, "EVT*") + COUNTIF('DT-3 Feb26'!$A$3:$A$500, "EVT*") + COUNTIF(OFFSET($A$1, 1, 0, ROW()-2, 1), "EVT*") + 1, "0000"), "")</f>
        <v>EVT-2026-0153</v>
      </c>
      <c r="B45" s="30">
        <v>46065</v>
      </c>
      <c r="C45" s="27" t="s">
        <v>216</v>
      </c>
      <c r="D45" s="27" t="s">
        <v>563</v>
      </c>
      <c r="E45" s="27" t="s">
        <v>202</v>
      </c>
      <c r="F45" s="27" t="s">
        <v>564</v>
      </c>
      <c r="G45" s="10">
        <v>50</v>
      </c>
      <c r="H45" s="36" t="s">
        <v>263</v>
      </c>
      <c r="I45" s="37" t="s">
        <v>274</v>
      </c>
      <c r="J45" s="37" t="s">
        <v>429</v>
      </c>
      <c r="K45" s="27"/>
      <c r="L45" s="27"/>
      <c r="M45" s="27" t="s">
        <v>565</v>
      </c>
      <c r="N45" s="27"/>
      <c r="O45" s="27"/>
      <c r="P45" s="1" t="s">
        <v>264</v>
      </c>
      <c r="Q45" s="29" t="s">
        <v>265</v>
      </c>
      <c r="R45" s="27" t="s">
        <v>298</v>
      </c>
      <c r="S45" s="27"/>
    </row>
    <row r="46" spans="1:19" ht="24" customHeight="1">
      <c r="A46" s="27" t="str">
        <f ca="1">IF(OR(D46&lt;&gt;"", F46&lt;&gt;"", L46&lt;&gt;"", O46&lt;&gt;""), "EVT-2026-" &amp; TEXT(COUNTIF('DT-3 Jan26'!$A$3:$A$500, "EVT*") + COUNTIF('DT-4 Jan26'!$A$3:$A$500, "EVT*") + COUNTIF('DT-3 Feb26'!$A$3:$A$500, "EVT*") + COUNTIF(OFFSET($A$1, 1, 0, ROW()-2, 1), "EVT*") + 1, "0000"), "")</f>
        <v>EVT-2026-0154</v>
      </c>
      <c r="B46" s="30">
        <v>46065</v>
      </c>
      <c r="C46" s="27" t="s">
        <v>216</v>
      </c>
      <c r="D46" s="27" t="s">
        <v>348</v>
      </c>
      <c r="E46" s="27" t="s">
        <v>202</v>
      </c>
      <c r="F46" s="27" t="s">
        <v>566</v>
      </c>
      <c r="G46" s="10">
        <v>20</v>
      </c>
      <c r="H46" s="36" t="s">
        <v>263</v>
      </c>
      <c r="I46" s="37" t="s">
        <v>295</v>
      </c>
      <c r="J46" s="37" t="s">
        <v>296</v>
      </c>
      <c r="K46" s="27"/>
      <c r="L46" s="27"/>
      <c r="M46" s="27" t="s">
        <v>567</v>
      </c>
      <c r="N46" s="27"/>
      <c r="O46" s="30" t="s">
        <v>2172</v>
      </c>
      <c r="P46" s="1" t="s">
        <v>264</v>
      </c>
      <c r="Q46" s="29" t="s">
        <v>265</v>
      </c>
      <c r="R46" s="27" t="s">
        <v>298</v>
      </c>
      <c r="S46" s="27"/>
    </row>
    <row r="47" spans="1:19" ht="24" customHeight="1">
      <c r="A47" s="27" t="str">
        <f ca="1">IF(OR(D47&lt;&gt;"", F47&lt;&gt;"", L47&lt;&gt;"", O47&lt;&gt;""), "EVT-2026-" &amp; TEXT(COUNTIF('DT-3 Jan26'!$A$3:$A$500, "EVT*") + COUNTIF('DT-4 Jan26'!$A$3:$A$500, "EVT*") + COUNTIF('DT-3 Feb26'!$A$3:$A$500, "EVT*") + COUNTIF(OFFSET($A$1, 1, 0, ROW()-2, 1), "EVT*") + 1, "0000"), "")</f>
        <v>EVT-2026-0155</v>
      </c>
      <c r="B47" s="30">
        <v>46066</v>
      </c>
      <c r="C47" s="27" t="s">
        <v>220</v>
      </c>
      <c r="D47" s="27" t="s">
        <v>125</v>
      </c>
      <c r="E47" s="27" t="s">
        <v>228</v>
      </c>
      <c r="F47" s="27" t="s">
        <v>559</v>
      </c>
      <c r="G47" s="10">
        <v>40</v>
      </c>
      <c r="H47" s="36" t="s">
        <v>263</v>
      </c>
      <c r="I47" s="37" t="s">
        <v>506</v>
      </c>
      <c r="J47" s="37" t="s">
        <v>354</v>
      </c>
      <c r="K47" s="27"/>
      <c r="L47" s="27"/>
      <c r="M47" s="27" t="s">
        <v>560</v>
      </c>
      <c r="N47" s="27"/>
      <c r="O47" s="30" t="s">
        <v>2178</v>
      </c>
      <c r="P47" s="1" t="s">
        <v>264</v>
      </c>
      <c r="Q47" s="29" t="s">
        <v>265</v>
      </c>
      <c r="R47" s="27" t="s">
        <v>298</v>
      </c>
      <c r="S47" s="27"/>
    </row>
    <row r="48" spans="1:19" ht="24" customHeight="1">
      <c r="A48" s="27" t="str">
        <f ca="1">IF(OR(D48&lt;&gt;"", F48&lt;&gt;"", L48&lt;&gt;"", O48&lt;&gt;""), "EVT-2026-" &amp; TEXT(COUNTIF('DT-3 Jan26'!$A$3:$A$500, "EVT*") + COUNTIF('DT-4 Jan26'!$A$3:$A$500, "EVT*") + COUNTIF('DT-3 Feb26'!$A$3:$A$500, "EVT*") + COUNTIF(OFFSET($A$1, 1, 0, ROW()-2, 1), "EVT*") + 1, "0000"), "")</f>
        <v>EVT-2026-0156</v>
      </c>
      <c r="B48" s="30">
        <v>46066</v>
      </c>
      <c r="C48" s="27" t="s">
        <v>220</v>
      </c>
      <c r="D48" s="27" t="s">
        <v>563</v>
      </c>
      <c r="E48" s="27" t="s">
        <v>202</v>
      </c>
      <c r="F48" s="27" t="s">
        <v>568</v>
      </c>
      <c r="G48" s="10">
        <v>15</v>
      </c>
      <c r="H48" s="36" t="s">
        <v>263</v>
      </c>
      <c r="I48" s="37" t="s">
        <v>275</v>
      </c>
      <c r="J48" s="37" t="s">
        <v>350</v>
      </c>
      <c r="K48" s="27"/>
      <c r="L48" s="27"/>
      <c r="M48" s="27" t="s">
        <v>569</v>
      </c>
      <c r="N48" s="27"/>
      <c r="O48" s="27"/>
      <c r="P48" s="1" t="s">
        <v>264</v>
      </c>
      <c r="Q48" s="29" t="s">
        <v>265</v>
      </c>
      <c r="R48" s="27" t="s">
        <v>321</v>
      </c>
      <c r="S48" s="27"/>
    </row>
    <row r="49" spans="1:19" ht="24" customHeight="1">
      <c r="A49" s="27" t="str">
        <f ca="1">IF(OR(D49&lt;&gt;"", F49&lt;&gt;"", L49&lt;&gt;"", O49&lt;&gt;""), "EVT-2026-" &amp; TEXT(COUNTIF('DT-3 Jan26'!$A$3:$A$500, "EVT*") + COUNTIF('DT-4 Jan26'!$A$3:$A$500, "EVT*") + COUNTIF('DT-3 Feb26'!$A$3:$A$500, "EVT*") + COUNTIF(OFFSET($A$1, 1, 0, ROW()-2, 1), "EVT*") + 1, "0000"), "")</f>
        <v>EVT-2026-0157</v>
      </c>
      <c r="B49" s="30">
        <v>46067</v>
      </c>
      <c r="C49" s="27" t="s">
        <v>266</v>
      </c>
      <c r="D49" s="27" t="s">
        <v>300</v>
      </c>
      <c r="E49" s="27" t="s">
        <v>420</v>
      </c>
      <c r="F49" s="27"/>
      <c r="G49" s="10"/>
      <c r="H49" s="36" t="s">
        <v>263</v>
      </c>
      <c r="I49" s="37"/>
      <c r="J49" s="37"/>
      <c r="K49" s="27"/>
      <c r="L49" s="27"/>
      <c r="M49" s="27" t="s">
        <v>570</v>
      </c>
      <c r="N49" s="27"/>
      <c r="O49" s="27"/>
      <c r="P49" s="3" t="s">
        <v>312</v>
      </c>
      <c r="Q49" s="29" t="s">
        <v>265</v>
      </c>
      <c r="R49" s="27"/>
      <c r="S49" s="27"/>
    </row>
    <row r="50" spans="1:19" ht="24" customHeight="1">
      <c r="A50" s="27" t="str">
        <f ca="1">IF(OR(D50&lt;&gt;"", F50&lt;&gt;"", L50&lt;&gt;"", O50&lt;&gt;""), "EVT-2026-" &amp; TEXT(COUNTIF('DT-3 Jan26'!$A$3:$A$500, "EVT*") + COUNTIF('DT-4 Jan26'!$A$3:$A$500, "EVT*") + COUNTIF('DT-3 Feb26'!$A$3:$A$500, "EVT*") + COUNTIF(OFFSET($A$1, 1, 0, ROW()-2, 1), "EVT*") + 1, "0000"), "")</f>
        <v/>
      </c>
      <c r="B50" s="30">
        <v>46068</v>
      </c>
      <c r="C50" s="27" t="s">
        <v>267</v>
      </c>
      <c r="D50" s="27"/>
      <c r="E50" s="27"/>
      <c r="F50" s="27"/>
      <c r="G50" s="10"/>
      <c r="H50" s="36" t="s">
        <v>263</v>
      </c>
      <c r="I50" s="37"/>
      <c r="J50" s="37"/>
      <c r="K50" s="27"/>
      <c r="L50" s="27"/>
      <c r="M50" s="27"/>
      <c r="N50" s="27"/>
      <c r="O50" s="27"/>
      <c r="P50" s="1" t="s">
        <v>264</v>
      </c>
      <c r="Q50" s="29" t="s">
        <v>265</v>
      </c>
      <c r="R50" s="27"/>
      <c r="S50" s="27"/>
    </row>
    <row r="51" spans="1:19" ht="24" customHeight="1">
      <c r="A51" s="27" t="str">
        <f ca="1">IF(OR(D51&lt;&gt;"", F51&lt;&gt;"", L51&lt;&gt;"", O51&lt;&gt;""), "EVT-2026-" &amp; TEXT(COUNTIF('DT-3 Jan26'!$A$3:$A$500, "EVT*") + COUNTIF('DT-4 Jan26'!$A$3:$A$500, "EVT*") + COUNTIF('DT-3 Feb26'!$A$3:$A$500, "EVT*") + COUNTIF(OFFSET($A$1, 1, 0, ROW()-2, 1), "EVT*") + 1, "0000"), "")</f>
        <v>EVT-2026-0158</v>
      </c>
      <c r="B51" s="30" t="s">
        <v>2179</v>
      </c>
      <c r="C51" s="27" t="s">
        <v>224</v>
      </c>
      <c r="D51" s="27" t="s">
        <v>348</v>
      </c>
      <c r="E51" s="27" t="s">
        <v>202</v>
      </c>
      <c r="F51" s="27" t="s">
        <v>571</v>
      </c>
      <c r="G51" s="10"/>
      <c r="H51" s="36" t="s">
        <v>263</v>
      </c>
      <c r="I51" s="37" t="s">
        <v>269</v>
      </c>
      <c r="J51" s="37" t="s">
        <v>270</v>
      </c>
      <c r="K51" s="27"/>
      <c r="L51" s="27"/>
      <c r="M51" s="27"/>
      <c r="N51" s="27"/>
      <c r="O51" s="27"/>
      <c r="P51" s="3" t="s">
        <v>312</v>
      </c>
      <c r="Q51" s="29" t="s">
        <v>265</v>
      </c>
      <c r="R51" s="27"/>
      <c r="S51" s="27"/>
    </row>
    <row r="52" spans="1:19" ht="24" customHeight="1">
      <c r="A52" s="27" t="str">
        <f ca="1">IF(OR(D52&lt;&gt;"", F52&lt;&gt;"", L52&lt;&gt;"", O52&lt;&gt;""), "EVT-2026-" &amp; TEXT(COUNTIF('DT-3 Jan26'!$A$3:$A$500, "EVT*") + COUNTIF('DT-4 Jan26'!$A$3:$A$500, "EVT*") + COUNTIF('DT-3 Feb26'!$A$3:$A$500, "EVT*") + COUNTIF(OFFSET($A$1, 1, 0, ROW()-2, 1), "EVT*") + 1, "0000"), "")</f>
        <v>EVT-2026-0159</v>
      </c>
      <c r="B52" s="30">
        <v>46069</v>
      </c>
      <c r="C52" s="27" t="s">
        <v>224</v>
      </c>
      <c r="D52" s="27" t="s">
        <v>125</v>
      </c>
      <c r="E52" s="27" t="s">
        <v>228</v>
      </c>
      <c r="F52" s="27" t="s">
        <v>572</v>
      </c>
      <c r="G52" s="10">
        <v>80</v>
      </c>
      <c r="H52" s="36" t="s">
        <v>263</v>
      </c>
      <c r="I52" s="37" t="s">
        <v>281</v>
      </c>
      <c r="J52" s="37" t="s">
        <v>274</v>
      </c>
      <c r="K52" s="27"/>
      <c r="L52" s="27"/>
      <c r="M52" s="27" t="s">
        <v>379</v>
      </c>
      <c r="N52" s="27"/>
      <c r="O52" s="30" t="s">
        <v>2166</v>
      </c>
      <c r="P52" s="1" t="s">
        <v>264</v>
      </c>
      <c r="Q52" s="29" t="s">
        <v>265</v>
      </c>
      <c r="R52" s="27" t="s">
        <v>298</v>
      </c>
      <c r="S52" s="27"/>
    </row>
    <row r="53" spans="1:19" ht="24" customHeight="1">
      <c r="A53" s="27" t="str">
        <f ca="1">IF(OR(D53&lt;&gt;"", F53&lt;&gt;"", L53&lt;&gt;"", O53&lt;&gt;""), "EVT-2026-" &amp; TEXT(COUNTIF('DT-3 Jan26'!$A$3:$A$500, "EVT*") + COUNTIF('DT-4 Jan26'!$A$3:$A$500, "EVT*") + COUNTIF('DT-3 Feb26'!$A$3:$A$500, "EVT*") + COUNTIF(OFFSET($A$1, 1, 0, ROW()-2, 1), "EVT*") + 1, "0000"), "")</f>
        <v>EVT-2026-0160</v>
      </c>
      <c r="B53" s="30">
        <v>46069</v>
      </c>
      <c r="C53" s="27" t="s">
        <v>224</v>
      </c>
      <c r="D53" s="27" t="s">
        <v>125</v>
      </c>
      <c r="E53" s="27" t="s">
        <v>228</v>
      </c>
      <c r="F53" s="27" t="s">
        <v>573</v>
      </c>
      <c r="G53" s="10">
        <v>60</v>
      </c>
      <c r="H53" s="36" t="s">
        <v>263</v>
      </c>
      <c r="I53" s="37" t="s">
        <v>289</v>
      </c>
      <c r="J53" s="37" t="s">
        <v>359</v>
      </c>
      <c r="K53" s="27"/>
      <c r="L53" s="27"/>
      <c r="M53" s="27" t="s">
        <v>574</v>
      </c>
      <c r="N53" s="27"/>
      <c r="O53" s="30" t="s">
        <v>2180</v>
      </c>
      <c r="P53" s="1" t="s">
        <v>264</v>
      </c>
      <c r="Q53" s="29" t="s">
        <v>265</v>
      </c>
      <c r="R53" s="27" t="s">
        <v>500</v>
      </c>
      <c r="S53" s="27"/>
    </row>
    <row r="54" spans="1:19" ht="24" customHeight="1">
      <c r="A54" s="27" t="str">
        <f ca="1">IF(OR(D54&lt;&gt;"", F54&lt;&gt;"", L54&lt;&gt;"", O54&lt;&gt;""), "EVT-2026-" &amp; TEXT(COUNTIF('DT-3 Jan26'!$A$3:$A$500, "EVT*") + COUNTIF('DT-4 Jan26'!$A$3:$A$500, "EVT*") + COUNTIF('DT-3 Feb26'!$A$3:$A$500, "EVT*") + COUNTIF(OFFSET($A$1, 1, 0, ROW()-2, 1), "EVT*") + 1, "0000"), "")</f>
        <v>EVT-2026-0161</v>
      </c>
      <c r="B54" s="30">
        <v>46069</v>
      </c>
      <c r="C54" s="27" t="s">
        <v>224</v>
      </c>
      <c r="D54" s="27" t="s">
        <v>575</v>
      </c>
      <c r="E54" s="27" t="s">
        <v>202</v>
      </c>
      <c r="F54" s="27" t="s">
        <v>525</v>
      </c>
      <c r="G54" s="10">
        <v>25</v>
      </c>
      <c r="H54" s="36" t="s">
        <v>263</v>
      </c>
      <c r="I54" s="37" t="s">
        <v>309</v>
      </c>
      <c r="J54" s="37" t="s">
        <v>295</v>
      </c>
      <c r="K54" s="27"/>
      <c r="L54" s="27"/>
      <c r="M54" s="27" t="s">
        <v>526</v>
      </c>
      <c r="N54" s="27"/>
      <c r="O54" s="27"/>
      <c r="P54" s="1" t="s">
        <v>264</v>
      </c>
      <c r="Q54" s="29" t="s">
        <v>265</v>
      </c>
      <c r="R54" s="27" t="s">
        <v>298</v>
      </c>
      <c r="S54" s="27"/>
    </row>
    <row r="55" spans="1:19" ht="24" customHeight="1">
      <c r="A55" s="27" t="str">
        <f ca="1">IF(OR(D55&lt;&gt;"", F55&lt;&gt;"", L55&lt;&gt;"", O55&lt;&gt;""), "EVT-2026-" &amp; TEXT(COUNTIF('DT-3 Jan26'!$A$3:$A$500, "EVT*") + COUNTIF('DT-4 Jan26'!$A$3:$A$500, "EVT*") + COUNTIF('DT-3 Feb26'!$A$3:$A$500, "EVT*") + COUNTIF(OFFSET($A$1, 1, 0, ROW()-2, 1), "EVT*") + 1, "0000"), "")</f>
        <v>EVT-2026-0162</v>
      </c>
      <c r="B55" s="30">
        <v>46070</v>
      </c>
      <c r="C55" s="27" t="s">
        <v>227</v>
      </c>
      <c r="D55" s="27" t="s">
        <v>239</v>
      </c>
      <c r="E55" s="27" t="s">
        <v>202</v>
      </c>
      <c r="F55" s="27" t="s">
        <v>576</v>
      </c>
      <c r="G55" s="10"/>
      <c r="H55" s="36" t="s">
        <v>263</v>
      </c>
      <c r="I55" s="37" t="s">
        <v>274</v>
      </c>
      <c r="J55" s="37" t="s">
        <v>330</v>
      </c>
      <c r="K55" s="27"/>
      <c r="L55" s="27"/>
      <c r="M55" s="27" t="s">
        <v>577</v>
      </c>
      <c r="N55" s="27"/>
      <c r="O55" s="30" t="s">
        <v>2181</v>
      </c>
      <c r="P55" s="1" t="s">
        <v>264</v>
      </c>
      <c r="Q55" s="29" t="s">
        <v>265</v>
      </c>
      <c r="R55" s="27" t="s">
        <v>516</v>
      </c>
      <c r="S55" s="27"/>
    </row>
    <row r="56" spans="1:19" ht="24" customHeight="1">
      <c r="A56" s="27" t="str">
        <f ca="1">IF(OR(D56&lt;&gt;"", F56&lt;&gt;"", L56&lt;&gt;"", O56&lt;&gt;""), "EVT-2026-" &amp; TEXT(COUNTIF('DT-3 Jan26'!$A$3:$A$500, "EVT*") + COUNTIF('DT-4 Jan26'!$A$3:$A$500, "EVT*") + COUNTIF('DT-3 Feb26'!$A$3:$A$500, "EVT*") + COUNTIF(OFFSET($A$1, 1, 0, ROW()-2, 1), "EVT*") + 1, "0000"), "")</f>
        <v>EVT-2026-0163</v>
      </c>
      <c r="B56" s="30">
        <v>46070</v>
      </c>
      <c r="C56" s="27" t="s">
        <v>227</v>
      </c>
      <c r="D56" s="27" t="s">
        <v>348</v>
      </c>
      <c r="E56" s="27" t="s">
        <v>208</v>
      </c>
      <c r="F56" s="27" t="s">
        <v>349</v>
      </c>
      <c r="G56" s="10">
        <v>50</v>
      </c>
      <c r="H56" s="36" t="s">
        <v>263</v>
      </c>
      <c r="I56" s="37" t="s">
        <v>350</v>
      </c>
      <c r="J56" s="37" t="s">
        <v>296</v>
      </c>
      <c r="K56" s="27"/>
      <c r="L56" s="27"/>
      <c r="M56" s="27" t="s">
        <v>351</v>
      </c>
      <c r="N56" s="27"/>
      <c r="O56" s="30">
        <v>46008</v>
      </c>
      <c r="P56" s="1" t="s">
        <v>264</v>
      </c>
      <c r="Q56" s="29" t="s">
        <v>265</v>
      </c>
      <c r="R56" s="27" t="s">
        <v>303</v>
      </c>
      <c r="S56" s="27"/>
    </row>
    <row r="57" spans="1:19" ht="24" customHeight="1">
      <c r="A57" s="27" t="str">
        <f ca="1">IF(OR(D57&lt;&gt;"", F57&lt;&gt;"", L57&lt;&gt;"", O57&lt;&gt;""), "EVT-2026-" &amp; TEXT(COUNTIF('DT-3 Jan26'!$A$3:$A$500, "EVT*") + COUNTIF('DT-4 Jan26'!$A$3:$A$500, "EVT*") + COUNTIF('DT-3 Feb26'!$A$3:$A$500, "EVT*") + COUNTIF(OFFSET($A$1, 1, 0, ROW()-2, 1), "EVT*") + 1, "0000"), "")</f>
        <v>EVT-2026-0164</v>
      </c>
      <c r="B57" s="30">
        <v>46070</v>
      </c>
      <c r="C57" s="27" t="s">
        <v>227</v>
      </c>
      <c r="D57" s="27" t="s">
        <v>575</v>
      </c>
      <c r="E57" s="27"/>
      <c r="F57" s="27" t="s">
        <v>555</v>
      </c>
      <c r="G57" s="10">
        <v>20</v>
      </c>
      <c r="H57" s="36" t="s">
        <v>263</v>
      </c>
      <c r="I57" s="37" t="s">
        <v>295</v>
      </c>
      <c r="J57" s="37" t="s">
        <v>296</v>
      </c>
      <c r="K57" s="27"/>
      <c r="L57" s="27"/>
      <c r="M57" s="27" t="s">
        <v>556</v>
      </c>
      <c r="N57" s="27"/>
      <c r="O57" s="30" t="s">
        <v>2167</v>
      </c>
      <c r="P57" s="3" t="s">
        <v>312</v>
      </c>
      <c r="Q57" s="29" t="s">
        <v>265</v>
      </c>
      <c r="R57" s="27" t="s">
        <v>298</v>
      </c>
      <c r="S57" s="27"/>
    </row>
    <row r="58" spans="1:19" ht="24" customHeight="1">
      <c r="A58" s="27" t="str">
        <f ca="1">IF(OR(D58&lt;&gt;"", F58&lt;&gt;"", L58&lt;&gt;"", O58&lt;&gt;""), "EVT-2026-" &amp; TEXT(COUNTIF('DT-3 Jan26'!$A$3:$A$500, "EVT*") + COUNTIF('DT-4 Jan26'!$A$3:$A$500, "EVT*") + COUNTIF('DT-3 Feb26'!$A$3:$A$500, "EVT*") + COUNTIF(OFFSET($A$1, 1, 0, ROW()-2, 1), "EVT*") + 1, "0000"), "")</f>
        <v>EVT-2026-0165</v>
      </c>
      <c r="B58" s="30">
        <v>46070</v>
      </c>
      <c r="C58" s="27" t="s">
        <v>227</v>
      </c>
      <c r="D58" s="27" t="s">
        <v>125</v>
      </c>
      <c r="E58" s="27" t="s">
        <v>228</v>
      </c>
      <c r="F58" s="27" t="s">
        <v>578</v>
      </c>
      <c r="G58" s="10">
        <v>35</v>
      </c>
      <c r="H58" s="36" t="s">
        <v>263</v>
      </c>
      <c r="I58" s="37" t="s">
        <v>289</v>
      </c>
      <c r="J58" s="37" t="s">
        <v>296</v>
      </c>
      <c r="K58" s="27"/>
      <c r="L58" s="27"/>
      <c r="M58" s="27" t="s">
        <v>351</v>
      </c>
      <c r="N58" s="27"/>
      <c r="O58" s="30" t="s">
        <v>2182</v>
      </c>
      <c r="P58" s="1" t="s">
        <v>264</v>
      </c>
      <c r="Q58" s="29" t="s">
        <v>265</v>
      </c>
      <c r="R58" s="27" t="s">
        <v>303</v>
      </c>
      <c r="S58" s="27"/>
    </row>
    <row r="59" spans="1:19" ht="24" customHeight="1">
      <c r="A59" s="27" t="str">
        <f ca="1">IF(OR(D59&lt;&gt;"", F59&lt;&gt;"", L59&lt;&gt;"", O59&lt;&gt;""), "EVT-2026-" &amp; TEXT(COUNTIF('DT-3 Jan26'!$A$3:$A$500, "EVT*") + COUNTIF('DT-4 Jan26'!$A$3:$A$500, "EVT*") + COUNTIF('DT-3 Feb26'!$A$3:$A$500, "EVT*") + COUNTIF(OFFSET($A$1, 1, 0, ROW()-2, 1), "EVT*") + 1, "0000"), "")</f>
        <v>EVT-2026-0166</v>
      </c>
      <c r="B59" s="27" t="s">
        <v>2183</v>
      </c>
      <c r="C59" s="27" t="s">
        <v>201</v>
      </c>
      <c r="D59" s="27" t="s">
        <v>579</v>
      </c>
      <c r="E59" s="27" t="s">
        <v>208</v>
      </c>
      <c r="F59" s="27" t="s">
        <v>440</v>
      </c>
      <c r="G59" s="10">
        <v>1</v>
      </c>
      <c r="H59" s="36" t="s">
        <v>263</v>
      </c>
      <c r="I59" s="37" t="s">
        <v>269</v>
      </c>
      <c r="J59" s="37" t="s">
        <v>270</v>
      </c>
      <c r="K59" s="27"/>
      <c r="L59" s="27"/>
      <c r="M59" s="27" t="s">
        <v>378</v>
      </c>
      <c r="N59" s="27"/>
      <c r="O59" s="30" t="s">
        <v>2178</v>
      </c>
      <c r="P59" s="1" t="s">
        <v>264</v>
      </c>
      <c r="Q59" s="29" t="s">
        <v>265</v>
      </c>
      <c r="R59" s="27" t="s">
        <v>580</v>
      </c>
      <c r="S59" s="27"/>
    </row>
    <row r="60" spans="1:19" ht="24" customHeight="1">
      <c r="A60" s="27" t="str">
        <f ca="1">IF(OR(D60&lt;&gt;"", F60&lt;&gt;"", L60&lt;&gt;"", O60&lt;&gt;""), "EVT-2026-" &amp; TEXT(COUNTIF('DT-3 Jan26'!$A$3:$A$500, "EVT*") + COUNTIF('DT-4 Jan26'!$A$3:$A$500, "EVT*") + COUNTIF('DT-3 Feb26'!$A$3:$A$500, "EVT*") + COUNTIF(OFFSET($A$1, 1, 0, ROW()-2, 1), "EVT*") + 1, "0000"), "")</f>
        <v>EVT-2026-0167</v>
      </c>
      <c r="B60" s="30">
        <v>46071</v>
      </c>
      <c r="C60" s="27" t="s">
        <v>201</v>
      </c>
      <c r="D60" s="27" t="s">
        <v>581</v>
      </c>
      <c r="E60" s="27" t="s">
        <v>202</v>
      </c>
      <c r="F60" s="27" t="s">
        <v>582</v>
      </c>
      <c r="G60" s="10">
        <v>100</v>
      </c>
      <c r="H60" s="38" t="s">
        <v>294</v>
      </c>
      <c r="I60" s="37" t="s">
        <v>315</v>
      </c>
      <c r="J60" s="37" t="s">
        <v>330</v>
      </c>
      <c r="K60" s="27"/>
      <c r="L60" s="27"/>
      <c r="M60" s="27" t="s">
        <v>583</v>
      </c>
      <c r="N60" s="27"/>
      <c r="O60" s="30" t="s">
        <v>2184</v>
      </c>
      <c r="P60" s="1" t="s">
        <v>264</v>
      </c>
      <c r="Q60" s="29" t="s">
        <v>265</v>
      </c>
      <c r="R60" s="27" t="s">
        <v>298</v>
      </c>
      <c r="S60" s="27"/>
    </row>
    <row r="61" spans="1:19" ht="24" customHeight="1">
      <c r="A61" s="27" t="str">
        <f ca="1">IF(OR(D61&lt;&gt;"", F61&lt;&gt;"", L61&lt;&gt;"", O61&lt;&gt;""), "EVT-2026-" &amp; TEXT(COUNTIF('DT-3 Jan26'!$A$3:$A$500, "EVT*") + COUNTIF('DT-4 Jan26'!$A$3:$A$500, "EVT*") + COUNTIF('DT-3 Feb26'!$A$3:$A$500, "EVT*") + COUNTIF(OFFSET($A$1, 1, 0, ROW()-2, 1), "EVT*") + 1, "0000"), "")</f>
        <v>EVT-2026-0168</v>
      </c>
      <c r="B61" s="30">
        <v>46071</v>
      </c>
      <c r="C61" s="27" t="s">
        <v>201</v>
      </c>
      <c r="D61" s="27" t="s">
        <v>125</v>
      </c>
      <c r="E61" s="27" t="s">
        <v>202</v>
      </c>
      <c r="F61" s="27" t="s">
        <v>584</v>
      </c>
      <c r="G61" s="10">
        <v>100</v>
      </c>
      <c r="H61" s="38" t="s">
        <v>294</v>
      </c>
      <c r="I61" s="37" t="s">
        <v>338</v>
      </c>
      <c r="J61" s="37" t="s">
        <v>274</v>
      </c>
      <c r="K61" s="27"/>
      <c r="L61" s="27"/>
      <c r="M61" s="27" t="s">
        <v>585</v>
      </c>
      <c r="N61" s="27"/>
      <c r="O61" s="30" t="s">
        <v>2178</v>
      </c>
      <c r="P61" s="1" t="s">
        <v>264</v>
      </c>
      <c r="Q61" s="29" t="s">
        <v>265</v>
      </c>
      <c r="R61" s="27" t="s">
        <v>311</v>
      </c>
      <c r="S61" s="27"/>
    </row>
    <row r="62" spans="1:19" ht="24" customHeight="1">
      <c r="A62" s="27" t="str">
        <f ca="1">IF(OR(D62&lt;&gt;"", F62&lt;&gt;"", L62&lt;&gt;"", O62&lt;&gt;""), "EVT-2026-" &amp; TEXT(COUNTIF('DT-3 Jan26'!$A$3:$A$500, "EVT*") + COUNTIF('DT-4 Jan26'!$A$3:$A$500, "EVT*") + COUNTIF('DT-3 Feb26'!$A$3:$A$500, "EVT*") + COUNTIF(OFFSET($A$1, 1, 0, ROW()-2, 1), "EVT*") + 1, "0000"), "")</f>
        <v>EVT-2026-0169</v>
      </c>
      <c r="B62" s="30">
        <v>46071</v>
      </c>
      <c r="C62" s="27" t="s">
        <v>201</v>
      </c>
      <c r="D62" s="27" t="s">
        <v>348</v>
      </c>
      <c r="E62" s="27" t="s">
        <v>202</v>
      </c>
      <c r="F62" s="27" t="s">
        <v>586</v>
      </c>
      <c r="G62" s="10">
        <v>60</v>
      </c>
      <c r="H62" s="36" t="s">
        <v>263</v>
      </c>
      <c r="I62" s="37" t="s">
        <v>315</v>
      </c>
      <c r="J62" s="37" t="s">
        <v>506</v>
      </c>
      <c r="K62" s="27"/>
      <c r="L62" s="27"/>
      <c r="M62" s="27" t="s">
        <v>587</v>
      </c>
      <c r="N62" s="27"/>
      <c r="O62" s="30" t="s">
        <v>2185</v>
      </c>
      <c r="P62" s="1" t="s">
        <v>264</v>
      </c>
      <c r="Q62" s="29" t="s">
        <v>265</v>
      </c>
      <c r="R62" s="27"/>
      <c r="S62" s="27"/>
    </row>
    <row r="63" spans="1:19" ht="24" customHeight="1">
      <c r="A63" s="27" t="str">
        <f ca="1">IF(OR(D63&lt;&gt;"", F63&lt;&gt;"", L63&lt;&gt;"", O63&lt;&gt;""), "EVT-2026-" &amp; TEXT(COUNTIF('DT-3 Jan26'!$A$3:$A$500, "EVT*") + COUNTIF('DT-4 Jan26'!$A$3:$A$500, "EVT*") + COUNTIF('DT-3 Feb26'!$A$3:$A$500, "EVT*") + COUNTIF(OFFSET($A$1, 1, 0, ROW()-2, 1), "EVT*") + 1, "0000"), "")</f>
        <v>EVT-2026-0170</v>
      </c>
      <c r="B63" s="30">
        <v>46071</v>
      </c>
      <c r="C63" s="27" t="s">
        <v>201</v>
      </c>
      <c r="D63" s="27" t="s">
        <v>125</v>
      </c>
      <c r="E63" s="27" t="s">
        <v>228</v>
      </c>
      <c r="F63" s="27" t="s">
        <v>588</v>
      </c>
      <c r="G63" s="10">
        <v>80</v>
      </c>
      <c r="H63" s="36" t="s">
        <v>263</v>
      </c>
      <c r="I63" s="37" t="s">
        <v>274</v>
      </c>
      <c r="J63" s="37" t="s">
        <v>429</v>
      </c>
      <c r="K63" s="27"/>
      <c r="L63" s="27"/>
      <c r="M63" s="27" t="s">
        <v>379</v>
      </c>
      <c r="N63" s="27"/>
      <c r="O63" s="30" t="s">
        <v>2162</v>
      </c>
      <c r="P63" s="1" t="s">
        <v>264</v>
      </c>
      <c r="Q63" s="29" t="s">
        <v>265</v>
      </c>
      <c r="R63" s="27" t="s">
        <v>311</v>
      </c>
      <c r="S63" s="27"/>
    </row>
    <row r="64" spans="1:19" ht="24" customHeight="1">
      <c r="A64" s="27" t="str">
        <f ca="1">IF(OR(D64&lt;&gt;"", F64&lt;&gt;"", L64&lt;&gt;"", O64&lt;&gt;""), "EVT-2026-" &amp; TEXT(COUNTIF('DT-3 Jan26'!$A$3:$A$500, "EVT*") + COUNTIF('DT-4 Jan26'!$A$3:$A$500, "EVT*") + COUNTIF('DT-3 Feb26'!$A$3:$A$500, "EVT*") + COUNTIF(OFFSET($A$1, 1, 0, ROW()-2, 1), "EVT*") + 1, "0000"), "")</f>
        <v>EVT-2026-0171</v>
      </c>
      <c r="B64" s="30">
        <v>46071</v>
      </c>
      <c r="C64" s="27" t="s">
        <v>201</v>
      </c>
      <c r="D64" s="27" t="s">
        <v>125</v>
      </c>
      <c r="E64" s="27" t="s">
        <v>228</v>
      </c>
      <c r="F64" s="27" t="s">
        <v>589</v>
      </c>
      <c r="G64" s="10"/>
      <c r="H64" s="36" t="s">
        <v>263</v>
      </c>
      <c r="I64" s="37" t="s">
        <v>331</v>
      </c>
      <c r="J64" s="37" t="s">
        <v>309</v>
      </c>
      <c r="K64" s="27"/>
      <c r="L64" s="27"/>
      <c r="M64" s="27" t="s">
        <v>590</v>
      </c>
      <c r="N64" s="27"/>
      <c r="O64" s="27"/>
      <c r="P64" s="1" t="s">
        <v>264</v>
      </c>
      <c r="Q64" s="29" t="s">
        <v>265</v>
      </c>
      <c r="R64" s="27" t="s">
        <v>591</v>
      </c>
      <c r="S64" s="27"/>
    </row>
    <row r="65" spans="1:19" ht="24" customHeight="1">
      <c r="A65" s="27" t="str">
        <f ca="1">IF(OR(D65&lt;&gt;"", F65&lt;&gt;"", L65&lt;&gt;"", O65&lt;&gt;""), "EVT-2026-" &amp; TEXT(COUNTIF('DT-3 Jan26'!$A$3:$A$500, "EVT*") + COUNTIF('DT-4 Jan26'!$A$3:$A$500, "EVT*") + COUNTIF('DT-3 Feb26'!$A$3:$A$500, "EVT*") + COUNTIF(OFFSET($A$1, 1, 0, ROW()-2, 1), "EVT*") + 1, "0000"), "")</f>
        <v>EVT-2026-0172</v>
      </c>
      <c r="B65" s="30">
        <v>46072</v>
      </c>
      <c r="C65" s="27" t="s">
        <v>216</v>
      </c>
      <c r="D65" s="27" t="s">
        <v>125</v>
      </c>
      <c r="E65" s="27" t="s">
        <v>228</v>
      </c>
      <c r="F65" s="27" t="s">
        <v>592</v>
      </c>
      <c r="G65" s="10">
        <v>150</v>
      </c>
      <c r="H65" s="38" t="s">
        <v>294</v>
      </c>
      <c r="I65" s="37" t="s">
        <v>274</v>
      </c>
      <c r="J65" s="37" t="s">
        <v>429</v>
      </c>
      <c r="K65" s="27"/>
      <c r="L65" s="27" t="s">
        <v>593</v>
      </c>
      <c r="M65" s="27" t="s">
        <v>594</v>
      </c>
      <c r="N65" s="27"/>
      <c r="O65" s="30" t="s">
        <v>2167</v>
      </c>
      <c r="P65" s="1" t="s">
        <v>264</v>
      </c>
      <c r="Q65" s="29" t="s">
        <v>265</v>
      </c>
      <c r="R65" s="27" t="s">
        <v>298</v>
      </c>
      <c r="S65" s="27"/>
    </row>
    <row r="66" spans="1:19" ht="24" customHeight="1">
      <c r="A66" s="27" t="str">
        <f ca="1">IF(OR(D66&lt;&gt;"", F66&lt;&gt;"", L66&lt;&gt;"", O66&lt;&gt;""), "EVT-2026-" &amp; TEXT(COUNTIF('DT-3 Jan26'!$A$3:$A$500, "EVT*") + COUNTIF('DT-4 Jan26'!$A$3:$A$500, "EVT*") + COUNTIF('DT-3 Feb26'!$A$3:$A$500, "EVT*") + COUNTIF(OFFSET($A$1, 1, 0, ROW()-2, 1), "EVT*") + 1, "0000"), "")</f>
        <v>EVT-2026-0173</v>
      </c>
      <c r="B66" s="30">
        <v>46072</v>
      </c>
      <c r="C66" s="27" t="s">
        <v>216</v>
      </c>
      <c r="D66" s="27" t="s">
        <v>125</v>
      </c>
      <c r="E66" s="27" t="s">
        <v>228</v>
      </c>
      <c r="F66" s="27" t="s">
        <v>595</v>
      </c>
      <c r="G66" s="10">
        <v>180</v>
      </c>
      <c r="H66" s="38" t="s">
        <v>294</v>
      </c>
      <c r="I66" s="37" t="s">
        <v>331</v>
      </c>
      <c r="J66" s="37" t="s">
        <v>296</v>
      </c>
      <c r="K66" s="27"/>
      <c r="L66" s="27"/>
      <c r="M66" s="27" t="s">
        <v>596</v>
      </c>
      <c r="N66" s="27"/>
      <c r="O66" s="30" t="s">
        <v>2186</v>
      </c>
      <c r="P66" s="1" t="s">
        <v>264</v>
      </c>
      <c r="Q66" s="29" t="s">
        <v>265</v>
      </c>
      <c r="R66" s="27" t="s">
        <v>298</v>
      </c>
      <c r="S66" s="27"/>
    </row>
    <row r="67" spans="1:19" ht="24" customHeight="1">
      <c r="A67" s="27" t="str">
        <f ca="1">IF(OR(D67&lt;&gt;"", F67&lt;&gt;"", L67&lt;&gt;"", O67&lt;&gt;""), "EVT-2026-" &amp; TEXT(COUNTIF('DT-3 Jan26'!$A$3:$A$500, "EVT*") + COUNTIF('DT-4 Jan26'!$A$3:$A$500, "EVT*") + COUNTIF('DT-3 Feb26'!$A$3:$A$500, "EVT*") + COUNTIF(OFFSET($A$1, 1, 0, ROW()-2, 1), "EVT*") + 1, "0000"), "")</f>
        <v>EVT-2026-0174</v>
      </c>
      <c r="B67" s="30">
        <v>46072</v>
      </c>
      <c r="C67" s="27" t="s">
        <v>216</v>
      </c>
      <c r="D67" s="27" t="s">
        <v>389</v>
      </c>
      <c r="E67" s="27" t="s">
        <v>202</v>
      </c>
      <c r="F67" s="27" t="s">
        <v>344</v>
      </c>
      <c r="G67" s="10">
        <v>30</v>
      </c>
      <c r="H67" s="36" t="s">
        <v>263</v>
      </c>
      <c r="I67" s="37" t="s">
        <v>309</v>
      </c>
      <c r="J67" s="37" t="s">
        <v>295</v>
      </c>
      <c r="K67" s="27"/>
      <c r="L67" s="27"/>
      <c r="M67" s="27" t="s">
        <v>526</v>
      </c>
      <c r="N67" s="27"/>
      <c r="O67" s="27"/>
      <c r="P67" s="1" t="s">
        <v>264</v>
      </c>
      <c r="Q67" s="29" t="s">
        <v>265</v>
      </c>
      <c r="R67" s="27" t="s">
        <v>298</v>
      </c>
      <c r="S67" s="27"/>
    </row>
    <row r="68" spans="1:19" ht="24" customHeight="1">
      <c r="A68" s="27" t="str">
        <f ca="1">IF(OR(D68&lt;&gt;"", F68&lt;&gt;"", L68&lt;&gt;"", O68&lt;&gt;""), "EVT-2026-" &amp; TEXT(COUNTIF('DT-3 Jan26'!$A$3:$A$500, "EVT*") + COUNTIF('DT-4 Jan26'!$A$3:$A$500, "EVT*") + COUNTIF('DT-3 Feb26'!$A$3:$A$500, "EVT*") + COUNTIF(OFFSET($A$1, 1, 0, ROW()-2, 1), "EVT*") + 1, "0000"), "")</f>
        <v>EVT-2026-0175</v>
      </c>
      <c r="B68" s="30">
        <v>46072</v>
      </c>
      <c r="C68" s="27" t="s">
        <v>216</v>
      </c>
      <c r="D68" s="27" t="s">
        <v>348</v>
      </c>
      <c r="E68" s="27" t="s">
        <v>208</v>
      </c>
      <c r="F68" s="27"/>
      <c r="G68" s="10"/>
      <c r="H68" s="36" t="s">
        <v>263</v>
      </c>
      <c r="I68" s="37"/>
      <c r="J68" s="37"/>
      <c r="K68" s="27"/>
      <c r="L68" s="27"/>
      <c r="M68" s="27"/>
      <c r="N68" s="27"/>
      <c r="O68" s="27"/>
      <c r="P68" s="1" t="s">
        <v>264</v>
      </c>
      <c r="Q68" s="29" t="s">
        <v>265</v>
      </c>
      <c r="R68" s="27"/>
      <c r="S68" s="27"/>
    </row>
    <row r="69" spans="1:19" ht="24" customHeight="1">
      <c r="A69" s="27" t="str">
        <f ca="1">IF(OR(D69&lt;&gt;"", F69&lt;&gt;"", L69&lt;&gt;"", O69&lt;&gt;""), "EVT-2026-" &amp; TEXT(COUNTIF('DT-3 Jan26'!$A$3:$A$500, "EVT*") + COUNTIF('DT-4 Jan26'!$A$3:$A$500, "EVT*") + COUNTIF('DT-3 Feb26'!$A$3:$A$500, "EVT*") + COUNTIF(OFFSET($A$1, 1, 0, ROW()-2, 1), "EVT*") + 1, "0000"), "")</f>
        <v>EVT-2026-0176</v>
      </c>
      <c r="B69" s="30">
        <v>46072</v>
      </c>
      <c r="C69" s="27" t="s">
        <v>216</v>
      </c>
      <c r="D69" s="27" t="s">
        <v>348</v>
      </c>
      <c r="E69" s="27" t="s">
        <v>208</v>
      </c>
      <c r="F69" s="27" t="s">
        <v>349</v>
      </c>
      <c r="G69" s="10">
        <v>50</v>
      </c>
      <c r="H69" s="36" t="s">
        <v>263</v>
      </c>
      <c r="I69" s="37" t="s">
        <v>350</v>
      </c>
      <c r="J69" s="37" t="s">
        <v>296</v>
      </c>
      <c r="K69" s="27"/>
      <c r="L69" s="27"/>
      <c r="M69" s="27" t="s">
        <v>351</v>
      </c>
      <c r="N69" s="27"/>
      <c r="O69" s="30">
        <v>46008</v>
      </c>
      <c r="P69" s="1" t="s">
        <v>264</v>
      </c>
      <c r="Q69" s="29" t="s">
        <v>265</v>
      </c>
      <c r="R69" s="27" t="s">
        <v>303</v>
      </c>
      <c r="S69" s="27"/>
    </row>
    <row r="70" spans="1:19" ht="24" customHeight="1">
      <c r="A70" s="27" t="str">
        <f ca="1">IF(OR(D70&lt;&gt;"", F70&lt;&gt;"", L70&lt;&gt;"", O70&lt;&gt;""), "EVT-2026-" &amp; TEXT(COUNTIF('DT-3 Jan26'!$A$3:$A$500, "EVT*") + COUNTIF('DT-4 Jan26'!$A$3:$A$500, "EVT*") + COUNTIF('DT-3 Feb26'!$A$3:$A$500, "EVT*") + COUNTIF(OFFSET($A$1, 1, 0, ROW()-2, 1), "EVT*") + 1, "0000"), "")</f>
        <v>EVT-2026-0177</v>
      </c>
      <c r="B70" s="30">
        <v>46072</v>
      </c>
      <c r="C70" s="27" t="s">
        <v>216</v>
      </c>
      <c r="D70" s="27" t="s">
        <v>575</v>
      </c>
      <c r="E70" s="27" t="s">
        <v>202</v>
      </c>
      <c r="F70" s="27" t="s">
        <v>597</v>
      </c>
      <c r="G70" s="10">
        <v>60</v>
      </c>
      <c r="H70" s="36" t="s">
        <v>263</v>
      </c>
      <c r="I70" s="37" t="s">
        <v>330</v>
      </c>
      <c r="J70" s="37" t="s">
        <v>331</v>
      </c>
      <c r="K70" s="27"/>
      <c r="L70" s="27"/>
      <c r="M70" s="27" t="s">
        <v>379</v>
      </c>
      <c r="N70" s="27"/>
      <c r="O70" s="30" t="s">
        <v>2187</v>
      </c>
      <c r="P70" s="1" t="s">
        <v>264</v>
      </c>
      <c r="Q70" s="29" t="s">
        <v>265</v>
      </c>
      <c r="R70" s="27" t="s">
        <v>598</v>
      </c>
      <c r="S70" s="27"/>
    </row>
    <row r="71" spans="1:19" ht="24" customHeight="1">
      <c r="A71" s="27" t="str">
        <f ca="1">IF(OR(D71&lt;&gt;"", F71&lt;&gt;"", L71&lt;&gt;"", O71&lt;&gt;""), "EVT-2026-" &amp; TEXT(COUNTIF('DT-3 Jan26'!$A$3:$A$500, "EVT*") + COUNTIF('DT-4 Jan26'!$A$3:$A$500, "EVT*") + COUNTIF('DT-3 Feb26'!$A$3:$A$500, "EVT*") + COUNTIF(OFFSET($A$1, 1, 0, ROW()-2, 1), "EVT*") + 1, "0000"), "")</f>
        <v>EVT-2026-0178</v>
      </c>
      <c r="B71" s="30">
        <v>46073</v>
      </c>
      <c r="C71" s="27" t="s">
        <v>220</v>
      </c>
      <c r="D71" s="27" t="s">
        <v>239</v>
      </c>
      <c r="E71" s="27" t="s">
        <v>202</v>
      </c>
      <c r="F71" s="27" t="s">
        <v>599</v>
      </c>
      <c r="G71" s="10">
        <v>100</v>
      </c>
      <c r="H71" s="38" t="s">
        <v>294</v>
      </c>
      <c r="I71" s="37" t="s">
        <v>295</v>
      </c>
      <c r="J71" s="37" t="s">
        <v>270</v>
      </c>
      <c r="K71" s="27"/>
      <c r="L71" s="27"/>
      <c r="M71" s="27" t="s">
        <v>600</v>
      </c>
      <c r="N71" s="27"/>
      <c r="O71" s="30" t="s">
        <v>2174</v>
      </c>
      <c r="P71" s="3" t="s">
        <v>312</v>
      </c>
      <c r="Q71" s="29" t="s">
        <v>265</v>
      </c>
      <c r="R71" s="27" t="s">
        <v>298</v>
      </c>
      <c r="S71" s="27"/>
    </row>
    <row r="72" spans="1:19" ht="24" customHeight="1">
      <c r="A72" s="27" t="str">
        <f ca="1">IF(OR(D72&lt;&gt;"", F72&lt;&gt;"", L72&lt;&gt;"", O72&lt;&gt;""), "EVT-2026-" &amp; TEXT(COUNTIF('DT-3 Jan26'!$A$3:$A$500, "EVT*") + COUNTIF('DT-4 Jan26'!$A$3:$A$500, "EVT*") + COUNTIF('DT-3 Feb26'!$A$3:$A$500, "EVT*") + COUNTIF(OFFSET($A$1, 1, 0, ROW()-2, 1), "EVT*") + 1, "0000"), "")</f>
        <v>EVT-2026-0179</v>
      </c>
      <c r="B72" s="30">
        <v>46073</v>
      </c>
      <c r="C72" s="27" t="s">
        <v>220</v>
      </c>
      <c r="D72" s="27" t="s">
        <v>125</v>
      </c>
      <c r="E72" s="27" t="s">
        <v>228</v>
      </c>
      <c r="F72" s="27" t="s">
        <v>601</v>
      </c>
      <c r="G72" s="10">
        <v>110</v>
      </c>
      <c r="H72" s="38" t="s">
        <v>294</v>
      </c>
      <c r="I72" s="37" t="s">
        <v>274</v>
      </c>
      <c r="J72" s="37" t="s">
        <v>429</v>
      </c>
      <c r="K72" s="27"/>
      <c r="L72" s="27"/>
      <c r="M72" s="27" t="s">
        <v>583</v>
      </c>
      <c r="N72" s="27"/>
      <c r="O72" s="30" t="s">
        <v>2188</v>
      </c>
      <c r="P72" s="3" t="s">
        <v>312</v>
      </c>
      <c r="Q72" s="29" t="s">
        <v>265</v>
      </c>
      <c r="R72" s="27" t="s">
        <v>298</v>
      </c>
      <c r="S72" s="27"/>
    </row>
    <row r="73" spans="1:19" ht="24" customHeight="1">
      <c r="A73" s="27" t="str">
        <f ca="1">IF(OR(D73&lt;&gt;"", F73&lt;&gt;"", L73&lt;&gt;"", O73&lt;&gt;""), "EVT-2026-" &amp; TEXT(COUNTIF('DT-3 Jan26'!$A$3:$A$500, "EVT*") + COUNTIF('DT-4 Jan26'!$A$3:$A$500, "EVT*") + COUNTIF('DT-3 Feb26'!$A$3:$A$500, "EVT*") + COUNTIF(OFFSET($A$1, 1, 0, ROW()-2, 1), "EVT*") + 1, "0000"), "")</f>
        <v>EVT-2026-0180</v>
      </c>
      <c r="B73" s="30">
        <v>46073</v>
      </c>
      <c r="C73" s="27" t="s">
        <v>220</v>
      </c>
      <c r="D73" s="27" t="s">
        <v>125</v>
      </c>
      <c r="E73" s="27" t="s">
        <v>228</v>
      </c>
      <c r="F73" s="27" t="s">
        <v>578</v>
      </c>
      <c r="G73" s="10">
        <v>35</v>
      </c>
      <c r="H73" s="36" t="s">
        <v>263</v>
      </c>
      <c r="I73" s="37" t="s">
        <v>289</v>
      </c>
      <c r="J73" s="37" t="s">
        <v>296</v>
      </c>
      <c r="K73" s="27"/>
      <c r="L73" s="27"/>
      <c r="M73" s="27" t="s">
        <v>351</v>
      </c>
      <c r="N73" s="27"/>
      <c r="O73" s="30" t="s">
        <v>2182</v>
      </c>
      <c r="P73" s="1" t="s">
        <v>264</v>
      </c>
      <c r="Q73" s="29" t="s">
        <v>265</v>
      </c>
      <c r="R73" s="27" t="s">
        <v>298</v>
      </c>
      <c r="S73" s="27"/>
    </row>
    <row r="74" spans="1:19" ht="24" customHeight="1">
      <c r="A74" s="27" t="str">
        <f ca="1">IF(OR(D74&lt;&gt;"", F74&lt;&gt;"", L74&lt;&gt;"", O74&lt;&gt;""), "EVT-2026-" &amp; TEXT(COUNTIF('DT-3 Jan26'!$A$3:$A$500, "EVT*") + COUNTIF('DT-4 Jan26'!$A$3:$A$500, "EVT*") + COUNTIF('DT-3 Feb26'!$A$3:$A$500, "EVT*") + COUNTIF(OFFSET($A$1, 1, 0, ROW()-2, 1), "EVT*") + 1, "0000"), "")</f>
        <v>EVT-2026-0181</v>
      </c>
      <c r="B74" s="30">
        <v>46074</v>
      </c>
      <c r="C74" s="27" t="s">
        <v>266</v>
      </c>
      <c r="D74" s="27" t="s">
        <v>300</v>
      </c>
      <c r="E74" s="27" t="s">
        <v>202</v>
      </c>
      <c r="F74" s="27"/>
      <c r="G74" s="10"/>
      <c r="H74" s="36" t="s">
        <v>263</v>
      </c>
      <c r="I74" s="37"/>
      <c r="J74" s="37"/>
      <c r="K74" s="27"/>
      <c r="L74" s="27"/>
      <c r="M74" s="27" t="s">
        <v>602</v>
      </c>
      <c r="N74" s="27"/>
      <c r="O74" s="27"/>
      <c r="P74" s="1" t="s">
        <v>264</v>
      </c>
      <c r="Q74" s="29" t="s">
        <v>265</v>
      </c>
      <c r="R74" s="27" t="s">
        <v>467</v>
      </c>
      <c r="S74" s="27"/>
    </row>
    <row r="75" spans="1:19" ht="24" customHeight="1">
      <c r="A75" s="27" t="str">
        <f ca="1">IF(OR(D75&lt;&gt;"", F75&lt;&gt;"", L75&lt;&gt;"", O75&lt;&gt;""), "EVT-2026-" &amp; TEXT(COUNTIF('DT-3 Jan26'!$A$3:$A$500, "EVT*") + COUNTIF('DT-4 Jan26'!$A$3:$A$500, "EVT*") + COUNTIF('DT-3 Feb26'!$A$3:$A$500, "EVT*") + COUNTIF(OFFSET($A$1, 1, 0, ROW()-2, 1), "EVT*") + 1, "0000"), "")</f>
        <v/>
      </c>
      <c r="B75" s="30">
        <v>46075</v>
      </c>
      <c r="C75" s="27" t="s">
        <v>267</v>
      </c>
      <c r="D75" s="27"/>
      <c r="E75" s="27"/>
      <c r="F75" s="27"/>
      <c r="G75" s="10"/>
      <c r="H75" s="36" t="s">
        <v>263</v>
      </c>
      <c r="I75" s="37"/>
      <c r="J75" s="37"/>
      <c r="K75" s="27"/>
      <c r="L75" s="27"/>
      <c r="M75" s="27"/>
      <c r="N75" s="27"/>
      <c r="O75" s="27"/>
      <c r="P75" s="1" t="s">
        <v>264</v>
      </c>
      <c r="Q75" s="29" t="s">
        <v>265</v>
      </c>
      <c r="R75" s="27"/>
      <c r="S75" s="27"/>
    </row>
    <row r="76" spans="1:19" ht="24" customHeight="1">
      <c r="A76" s="27" t="str">
        <f ca="1">IF(OR(D76&lt;&gt;"", F76&lt;&gt;"", L76&lt;&gt;"", O76&lt;&gt;""), "EVT-2026-" &amp; TEXT(COUNTIF('DT-3 Jan26'!$A$3:$A$500, "EVT*") + COUNTIF('DT-4 Jan26'!$A$3:$A$500, "EVT*") + COUNTIF('DT-3 Feb26'!$A$3:$A$500, "EVT*") + COUNTIF(OFFSET($A$1, 1, 0, ROW()-2, 1), "EVT*") + 1, "0000"), "")</f>
        <v>EVT-2026-0182</v>
      </c>
      <c r="B76" s="30" t="s">
        <v>2189</v>
      </c>
      <c r="C76" s="27" t="s">
        <v>224</v>
      </c>
      <c r="D76" s="27" t="s">
        <v>603</v>
      </c>
      <c r="E76" s="27" t="s">
        <v>228</v>
      </c>
      <c r="F76" s="27" t="s">
        <v>440</v>
      </c>
      <c r="G76" s="10">
        <v>1</v>
      </c>
      <c r="H76" s="36" t="s">
        <v>263</v>
      </c>
      <c r="I76" s="37" t="s">
        <v>604</v>
      </c>
      <c r="J76" s="37" t="s">
        <v>270</v>
      </c>
      <c r="K76" s="27"/>
      <c r="L76" s="27"/>
      <c r="M76" s="27" t="s">
        <v>355</v>
      </c>
      <c r="N76" s="27"/>
      <c r="O76" s="30" t="s">
        <v>2167</v>
      </c>
      <c r="P76" s="1" t="s">
        <v>264</v>
      </c>
      <c r="Q76" s="29" t="s">
        <v>265</v>
      </c>
      <c r="R76" s="27" t="s">
        <v>605</v>
      </c>
      <c r="S76" s="27"/>
    </row>
    <row r="77" spans="1:19" ht="24" customHeight="1">
      <c r="A77" s="27" t="str">
        <f ca="1">IF(OR(D77&lt;&gt;"", F77&lt;&gt;"", L77&lt;&gt;"", O77&lt;&gt;""), "EVT-2026-" &amp; TEXT(COUNTIF('DT-3 Jan26'!$A$3:$A$500, "EVT*") + COUNTIF('DT-4 Jan26'!$A$3:$A$500, "EVT*") + COUNTIF('DT-3 Feb26'!$A$3:$A$500, "EVT*") + COUNTIF(OFFSET($A$1, 1, 0, ROW()-2, 1), "EVT*") + 1, "0000"), "")</f>
        <v>EVT-2026-0183</v>
      </c>
      <c r="B77" s="30">
        <v>46076</v>
      </c>
      <c r="C77" s="27" t="s">
        <v>224</v>
      </c>
      <c r="D77" s="27" t="s">
        <v>125</v>
      </c>
      <c r="E77" s="27" t="s">
        <v>228</v>
      </c>
      <c r="F77" s="27" t="s">
        <v>368</v>
      </c>
      <c r="G77" s="10">
        <v>30</v>
      </c>
      <c r="H77" s="36" t="s">
        <v>263</v>
      </c>
      <c r="I77" s="37" t="s">
        <v>309</v>
      </c>
      <c r="J77" s="37" t="s">
        <v>270</v>
      </c>
      <c r="K77" s="27"/>
      <c r="L77" s="27" t="s">
        <v>369</v>
      </c>
      <c r="M77" s="27" t="s">
        <v>370</v>
      </c>
      <c r="N77" s="27"/>
      <c r="O77" s="30">
        <v>46008</v>
      </c>
      <c r="P77" s="1" t="s">
        <v>264</v>
      </c>
      <c r="Q77" s="29" t="s">
        <v>265</v>
      </c>
      <c r="R77" s="27" t="s">
        <v>298</v>
      </c>
      <c r="S77" s="27"/>
    </row>
    <row r="78" spans="1:19" ht="24" customHeight="1">
      <c r="A78" s="27" t="str">
        <f ca="1">IF(OR(D78&lt;&gt;"", F78&lt;&gt;"", L78&lt;&gt;"", O78&lt;&gt;""), "EVT-2026-" &amp; TEXT(COUNTIF('DT-3 Jan26'!$A$3:$A$500, "EVT*") + COUNTIF('DT-4 Jan26'!$A$3:$A$500, "EVT*") + COUNTIF('DT-3 Feb26'!$A$3:$A$500, "EVT*") + COUNTIF(OFFSET($A$1, 1, 0, ROW()-2, 1), "EVT*") + 1, "0000"), "")</f>
        <v>EVT-2026-0184</v>
      </c>
      <c r="B78" s="30">
        <v>46076</v>
      </c>
      <c r="C78" s="27" t="s">
        <v>224</v>
      </c>
      <c r="D78" s="27" t="s">
        <v>606</v>
      </c>
      <c r="E78" s="27" t="s">
        <v>202</v>
      </c>
      <c r="F78" s="27" t="s">
        <v>607</v>
      </c>
      <c r="G78" s="10">
        <v>35</v>
      </c>
      <c r="H78" s="36" t="s">
        <v>263</v>
      </c>
      <c r="I78" s="37" t="s">
        <v>331</v>
      </c>
      <c r="J78" s="37" t="s">
        <v>275</v>
      </c>
      <c r="K78" s="27"/>
      <c r="L78" s="27" t="s">
        <v>369</v>
      </c>
      <c r="M78" s="27" t="s">
        <v>608</v>
      </c>
      <c r="N78" s="27"/>
      <c r="O78" s="30" t="s">
        <v>2190</v>
      </c>
      <c r="P78" s="1" t="s">
        <v>264</v>
      </c>
      <c r="Q78" s="29" t="s">
        <v>265</v>
      </c>
      <c r="R78" s="27" t="s">
        <v>609</v>
      </c>
      <c r="S78" s="27"/>
    </row>
    <row r="79" spans="1:19" ht="24" customHeight="1">
      <c r="A79" s="27" t="str">
        <f ca="1">IF(OR(D79&lt;&gt;"", F79&lt;&gt;"", L79&lt;&gt;"", O79&lt;&gt;""), "EVT-2026-" &amp; TEXT(COUNTIF('DT-3 Jan26'!$A$3:$A$500, "EVT*") + COUNTIF('DT-4 Jan26'!$A$3:$A$500, "EVT*") + COUNTIF('DT-3 Feb26'!$A$3:$A$500, "EVT*") + COUNTIF(OFFSET($A$1, 1, 0, ROW()-2, 1), "EVT*") + 1, "0000"), "")</f>
        <v>EVT-2026-0185</v>
      </c>
      <c r="B79" s="30">
        <v>46076</v>
      </c>
      <c r="C79" s="27" t="s">
        <v>224</v>
      </c>
      <c r="D79" s="27" t="s">
        <v>348</v>
      </c>
      <c r="E79" s="27" t="s">
        <v>202</v>
      </c>
      <c r="F79" s="27" t="s">
        <v>344</v>
      </c>
      <c r="G79" s="10">
        <v>25</v>
      </c>
      <c r="H79" s="36" t="s">
        <v>263</v>
      </c>
      <c r="I79" s="37" t="s">
        <v>309</v>
      </c>
      <c r="J79" s="37" t="s">
        <v>295</v>
      </c>
      <c r="K79" s="27"/>
      <c r="L79" s="27" t="s">
        <v>610</v>
      </c>
      <c r="M79" s="27" t="s">
        <v>526</v>
      </c>
      <c r="N79" s="27"/>
      <c r="O79" s="27"/>
      <c r="P79" s="1" t="s">
        <v>264</v>
      </c>
      <c r="Q79" s="29" t="s">
        <v>265</v>
      </c>
      <c r="R79" s="27" t="s">
        <v>298</v>
      </c>
      <c r="S79" s="27"/>
    </row>
    <row r="80" spans="1:19" ht="24" customHeight="1">
      <c r="A80" s="27" t="str">
        <f ca="1">IF(OR(D80&lt;&gt;"", F80&lt;&gt;"", L80&lt;&gt;"", O80&lt;&gt;""), "EVT-2026-" &amp; TEXT(COUNTIF('DT-3 Jan26'!$A$3:$A$500, "EVT*") + COUNTIF('DT-4 Jan26'!$A$3:$A$500, "EVT*") + COUNTIF('DT-3 Feb26'!$A$3:$A$500, "EVT*") + COUNTIF(OFFSET($A$1, 1, 0, ROW()-2, 1), "EVT*") + 1, "0000"), "")</f>
        <v>EVT-2026-0186</v>
      </c>
      <c r="B80" s="30">
        <v>46076</v>
      </c>
      <c r="C80" s="27" t="s">
        <v>224</v>
      </c>
      <c r="D80" s="27" t="s">
        <v>611</v>
      </c>
      <c r="E80" s="27" t="s">
        <v>202</v>
      </c>
      <c r="F80" s="27" t="s">
        <v>612</v>
      </c>
      <c r="G80" s="10">
        <v>35</v>
      </c>
      <c r="H80" s="36" t="s">
        <v>263</v>
      </c>
      <c r="I80" s="37" t="s">
        <v>359</v>
      </c>
      <c r="J80" s="37" t="s">
        <v>290</v>
      </c>
      <c r="K80" s="27"/>
      <c r="L80" s="27"/>
      <c r="M80" s="27" t="s">
        <v>608</v>
      </c>
      <c r="N80" s="27"/>
      <c r="O80" s="30" t="s">
        <v>2167</v>
      </c>
      <c r="P80" s="1" t="s">
        <v>264</v>
      </c>
      <c r="Q80" s="29" t="s">
        <v>265</v>
      </c>
      <c r="R80" s="27" t="s">
        <v>613</v>
      </c>
      <c r="S80" s="27"/>
    </row>
    <row r="81" spans="1:19" ht="24" customHeight="1">
      <c r="A81" s="27" t="str">
        <f ca="1">IF(OR(D81&lt;&gt;"", F81&lt;&gt;"", L81&lt;&gt;"", O81&lt;&gt;""), "EVT-2026-" &amp; TEXT(COUNTIF('DT-3 Jan26'!$A$3:$A$500, "EVT*") + COUNTIF('DT-4 Jan26'!$A$3:$A$500, "EVT*") + COUNTIF('DT-3 Feb26'!$A$3:$A$500, "EVT*") + COUNTIF(OFFSET($A$1, 1, 0, ROW()-2, 1), "EVT*") + 1, "0000"), "")</f>
        <v>EVT-2026-0187</v>
      </c>
      <c r="B81" s="30">
        <v>46076</v>
      </c>
      <c r="C81" s="27" t="s">
        <v>224</v>
      </c>
      <c r="D81" s="27" t="s">
        <v>348</v>
      </c>
      <c r="E81" s="27" t="s">
        <v>202</v>
      </c>
      <c r="F81" s="27" t="s">
        <v>614</v>
      </c>
      <c r="G81" s="10">
        <v>65</v>
      </c>
      <c r="H81" s="36" t="s">
        <v>263</v>
      </c>
      <c r="I81" s="37" t="s">
        <v>331</v>
      </c>
      <c r="J81" s="37" t="s">
        <v>275</v>
      </c>
      <c r="K81" s="27"/>
      <c r="L81" s="27"/>
      <c r="M81" s="27" t="s">
        <v>615</v>
      </c>
      <c r="N81" s="27"/>
      <c r="O81" s="30" t="s">
        <v>2169</v>
      </c>
      <c r="P81" s="1" t="s">
        <v>264</v>
      </c>
      <c r="Q81" s="29" t="s">
        <v>265</v>
      </c>
      <c r="R81" s="27" t="s">
        <v>298</v>
      </c>
      <c r="S81" s="27"/>
    </row>
    <row r="82" spans="1:19" ht="24" customHeight="1">
      <c r="A82" s="27" t="str">
        <f ca="1">IF(OR(D82&lt;&gt;"", F82&lt;&gt;"", L82&lt;&gt;"", O82&lt;&gt;""), "EVT-2026-" &amp; TEXT(COUNTIF('DT-3 Jan26'!$A$3:$A$500, "EVT*") + COUNTIF('DT-4 Jan26'!$A$3:$A$500, "EVT*") + COUNTIF('DT-3 Feb26'!$A$3:$A$500, "EVT*") + COUNTIF(OFFSET($A$1, 1, 0, ROW()-2, 1), "EVT*") + 1, "0000"), "")</f>
        <v>EVT-2026-0188</v>
      </c>
      <c r="B82" s="30">
        <v>46076</v>
      </c>
      <c r="C82" s="27" t="s">
        <v>224</v>
      </c>
      <c r="D82" s="27" t="s">
        <v>616</v>
      </c>
      <c r="E82" s="27" t="s">
        <v>202</v>
      </c>
      <c r="F82" s="27" t="s">
        <v>617</v>
      </c>
      <c r="G82" s="10">
        <v>30</v>
      </c>
      <c r="H82" s="36" t="s">
        <v>263</v>
      </c>
      <c r="I82" s="37" t="s">
        <v>330</v>
      </c>
      <c r="J82" s="37" t="s">
        <v>331</v>
      </c>
      <c r="K82" s="27"/>
      <c r="L82" s="27"/>
      <c r="M82" s="27" t="s">
        <v>618</v>
      </c>
      <c r="N82" s="27"/>
      <c r="O82" s="30" t="s">
        <v>2169</v>
      </c>
      <c r="P82" s="1" t="s">
        <v>264</v>
      </c>
      <c r="Q82" s="29" t="s">
        <v>265</v>
      </c>
      <c r="R82" s="27" t="s">
        <v>298</v>
      </c>
      <c r="S82" s="27"/>
    </row>
    <row r="83" spans="1:19" ht="24" customHeight="1">
      <c r="A83" s="27" t="str">
        <f ca="1">IF(OR(D83&lt;&gt;"", F83&lt;&gt;"", L83&lt;&gt;"", O83&lt;&gt;""), "EVT-2026-" &amp; TEXT(COUNTIF('DT-3 Jan26'!$A$3:$A$500, "EVT*") + COUNTIF('DT-4 Jan26'!$A$3:$A$500, "EVT*") + COUNTIF('DT-3 Feb26'!$A$3:$A$500, "EVT*") + COUNTIF(OFFSET($A$1, 1, 0, ROW()-2, 1), "EVT*") + 1, "0000"), "")</f>
        <v>EVT-2026-0189</v>
      </c>
      <c r="B83" s="30">
        <v>46076</v>
      </c>
      <c r="C83" s="27" t="s">
        <v>224</v>
      </c>
      <c r="D83" s="27" t="s">
        <v>619</v>
      </c>
      <c r="E83" s="27" t="s">
        <v>202</v>
      </c>
      <c r="F83" s="27" t="s">
        <v>620</v>
      </c>
      <c r="G83" s="10">
        <v>100</v>
      </c>
      <c r="H83" s="38" t="s">
        <v>294</v>
      </c>
      <c r="I83" s="37" t="s">
        <v>289</v>
      </c>
      <c r="J83" s="37" t="s">
        <v>359</v>
      </c>
      <c r="K83" s="27"/>
      <c r="L83" s="27"/>
      <c r="M83" s="27" t="s">
        <v>526</v>
      </c>
      <c r="N83" s="27"/>
      <c r="O83" s="30" t="s">
        <v>2187</v>
      </c>
      <c r="P83" s="1" t="s">
        <v>264</v>
      </c>
      <c r="Q83" s="29" t="s">
        <v>265</v>
      </c>
      <c r="R83" s="27" t="s">
        <v>298</v>
      </c>
      <c r="S83" s="27"/>
    </row>
    <row r="84" spans="1:19" ht="24" customHeight="1">
      <c r="A84" s="27" t="str">
        <f ca="1">IF(OR(D84&lt;&gt;"", F84&lt;&gt;"", L84&lt;&gt;"", O84&lt;&gt;""), "EVT-2026-" &amp; TEXT(COUNTIF('DT-3 Jan26'!$A$3:$A$500, "EVT*") + COUNTIF('DT-4 Jan26'!$A$3:$A$500, "EVT*") + COUNTIF('DT-3 Feb26'!$A$3:$A$500, "EVT*") + COUNTIF(OFFSET($A$1, 1, 0, ROW()-2, 1), "EVT*") + 1, "0000"), "")</f>
        <v>EVT-2026-0190</v>
      </c>
      <c r="B84" s="30" t="s">
        <v>2191</v>
      </c>
      <c r="C84" s="27" t="s">
        <v>224</v>
      </c>
      <c r="D84" s="27" t="s">
        <v>496</v>
      </c>
      <c r="E84" s="27" t="s">
        <v>228</v>
      </c>
      <c r="F84" s="27" t="s">
        <v>344</v>
      </c>
      <c r="G84" s="10" t="s">
        <v>2192</v>
      </c>
      <c r="H84" s="36" t="s">
        <v>263</v>
      </c>
      <c r="I84" s="37" t="s">
        <v>350</v>
      </c>
      <c r="J84" s="37" t="s">
        <v>270</v>
      </c>
      <c r="K84" s="27"/>
      <c r="L84" s="27"/>
      <c r="M84" s="27" t="s">
        <v>621</v>
      </c>
      <c r="N84" s="27"/>
      <c r="O84" s="30" t="s">
        <v>2178</v>
      </c>
      <c r="P84" s="1" t="s">
        <v>264</v>
      </c>
      <c r="Q84" s="29" t="s">
        <v>265</v>
      </c>
      <c r="R84" s="27" t="s">
        <v>622</v>
      </c>
      <c r="S84" s="27"/>
    </row>
    <row r="85" spans="1:19" ht="24" customHeight="1">
      <c r="A85" s="27" t="str">
        <f ca="1">IF(OR(D85&lt;&gt;"", F85&lt;&gt;"", L85&lt;&gt;"", O85&lt;&gt;""), "EVT-2026-" &amp; TEXT(COUNTIF('DT-3 Jan26'!$A$3:$A$500, "EVT*") + COUNTIF('DT-4 Jan26'!$A$3:$A$500, "EVT*") + COUNTIF('DT-3 Feb26'!$A$3:$A$500, "EVT*") + COUNTIF(OFFSET($A$1, 1, 0, ROW()-2, 1), "EVT*") + 1, "0000"), "")</f>
        <v>EVT-2026-0191</v>
      </c>
      <c r="B85" s="30" t="s">
        <v>2193</v>
      </c>
      <c r="C85" s="27" t="s">
        <v>224</v>
      </c>
      <c r="D85" s="27" t="s">
        <v>125</v>
      </c>
      <c r="E85" s="27" t="s">
        <v>228</v>
      </c>
      <c r="F85" s="27" t="s">
        <v>623</v>
      </c>
      <c r="G85" s="10">
        <v>60</v>
      </c>
      <c r="H85" s="36" t="s">
        <v>263</v>
      </c>
      <c r="I85" s="37" t="s">
        <v>315</v>
      </c>
      <c r="J85" s="37" t="s">
        <v>506</v>
      </c>
      <c r="K85" s="27"/>
      <c r="L85" s="27"/>
      <c r="M85" s="27" t="s">
        <v>355</v>
      </c>
      <c r="N85" s="27"/>
      <c r="O85" s="27" t="s">
        <v>624</v>
      </c>
      <c r="P85" s="1" t="s">
        <v>264</v>
      </c>
      <c r="Q85" s="29" t="s">
        <v>265</v>
      </c>
      <c r="R85" s="27" t="s">
        <v>625</v>
      </c>
      <c r="S85" s="27"/>
    </row>
    <row r="86" spans="1:19" ht="24" customHeight="1">
      <c r="A86" s="27" t="str">
        <f ca="1">IF(OR(D86&lt;&gt;"", F86&lt;&gt;"", L86&lt;&gt;"", O86&lt;&gt;""), "EVT-2026-" &amp; TEXT(COUNTIF('DT-3 Jan26'!$A$3:$A$500, "EVT*") + COUNTIF('DT-4 Jan26'!$A$3:$A$500, "EVT*") + COUNTIF('DT-3 Feb26'!$A$3:$A$500, "EVT*") + COUNTIF(OFFSET($A$1, 1, 0, ROW()-2, 1), "EVT*") + 1, "0000"), "")</f>
        <v>EVT-2026-0192</v>
      </c>
      <c r="B86" s="30" t="s">
        <v>2193</v>
      </c>
      <c r="C86" s="27" t="s">
        <v>224</v>
      </c>
      <c r="D86" s="27" t="s">
        <v>125</v>
      </c>
      <c r="E86" s="27" t="s">
        <v>228</v>
      </c>
      <c r="F86" s="27" t="s">
        <v>626</v>
      </c>
      <c r="G86" s="10"/>
      <c r="H86" s="36" t="s">
        <v>263</v>
      </c>
      <c r="I86" s="37" t="s">
        <v>506</v>
      </c>
      <c r="J86" s="37" t="s">
        <v>429</v>
      </c>
      <c r="K86" s="27"/>
      <c r="L86" s="27"/>
      <c r="M86" s="27" t="s">
        <v>355</v>
      </c>
      <c r="N86" s="27"/>
      <c r="O86" s="27"/>
      <c r="P86" s="3" t="s">
        <v>312</v>
      </c>
      <c r="Q86" s="29" t="s">
        <v>265</v>
      </c>
      <c r="R86" s="27" t="s">
        <v>627</v>
      </c>
      <c r="S86" s="27"/>
    </row>
    <row r="87" spans="1:19" ht="24" customHeight="1">
      <c r="A87" s="27" t="str">
        <f ca="1">IF(OR(D87&lt;&gt;"", F87&lt;&gt;"", L87&lt;&gt;"", O87&lt;&gt;""), "EVT-2026-" &amp; TEXT(COUNTIF('DT-3 Jan26'!$A$3:$A$500, "EVT*") + COUNTIF('DT-4 Jan26'!$A$3:$A$500, "EVT*") + COUNTIF('DT-3 Feb26'!$A$3:$A$500, "EVT*") + COUNTIF(OFFSET($A$1, 1, 0, ROW()-2, 1), "EVT*") + 1, "0000"), "")</f>
        <v>EVT-2026-0193</v>
      </c>
      <c r="B87" s="30" t="s">
        <v>2194</v>
      </c>
      <c r="C87" s="27" t="s">
        <v>833</v>
      </c>
      <c r="D87" s="27" t="s">
        <v>628</v>
      </c>
      <c r="E87" s="27" t="s">
        <v>208</v>
      </c>
      <c r="F87" s="27" t="s">
        <v>440</v>
      </c>
      <c r="G87" s="10">
        <v>1</v>
      </c>
      <c r="H87" s="36" t="s">
        <v>263</v>
      </c>
      <c r="I87" s="37" t="s">
        <v>269</v>
      </c>
      <c r="J87" s="37" t="s">
        <v>270</v>
      </c>
      <c r="K87" s="27"/>
      <c r="L87" s="27"/>
      <c r="M87" s="27" t="s">
        <v>378</v>
      </c>
      <c r="N87" s="27"/>
      <c r="O87" s="30" t="s">
        <v>2178</v>
      </c>
      <c r="P87" s="1" t="s">
        <v>264</v>
      </c>
      <c r="Q87" s="29" t="s">
        <v>265</v>
      </c>
      <c r="R87" s="27" t="s">
        <v>629</v>
      </c>
      <c r="S87" s="27"/>
    </row>
    <row r="88" spans="1:19" ht="24" customHeight="1">
      <c r="A88" s="27" t="str">
        <f ca="1">IF(OR(D88&lt;&gt;"", F88&lt;&gt;"", L88&lt;&gt;"", O88&lt;&gt;""), "EVT-2026-" &amp; TEXT(COUNTIF('DT-3 Jan26'!$A$3:$A$500, "EVT*") + COUNTIF('DT-4 Jan26'!$A$3:$A$500, "EVT*") + COUNTIF('DT-3 Feb26'!$A$3:$A$500, "EVT*") + COUNTIF(OFFSET($A$1, 1, 0, ROW()-2, 1), "EVT*") + 1, "0000"), "")</f>
        <v>EVT-2026-0194</v>
      </c>
      <c r="B88" s="30" t="s">
        <v>2194</v>
      </c>
      <c r="C88" s="27" t="s">
        <v>833</v>
      </c>
      <c r="D88" s="27" t="s">
        <v>630</v>
      </c>
      <c r="E88" s="27" t="s">
        <v>208</v>
      </c>
      <c r="F88" s="27" t="s">
        <v>440</v>
      </c>
      <c r="G88" s="10">
        <v>1</v>
      </c>
      <c r="H88" s="36" t="s">
        <v>263</v>
      </c>
      <c r="I88" s="37" t="s">
        <v>269</v>
      </c>
      <c r="J88" s="37" t="s">
        <v>270</v>
      </c>
      <c r="K88" s="27"/>
      <c r="L88" s="27"/>
      <c r="M88" s="27" t="s">
        <v>378</v>
      </c>
      <c r="N88" s="27"/>
      <c r="O88" s="30" t="s">
        <v>2178</v>
      </c>
      <c r="P88" s="1" t="s">
        <v>264</v>
      </c>
      <c r="Q88" s="29" t="s">
        <v>265</v>
      </c>
      <c r="R88" s="27" t="s">
        <v>629</v>
      </c>
      <c r="S88" s="27"/>
    </row>
    <row r="89" spans="1:19" ht="24" customHeight="1">
      <c r="A89" s="27" t="str">
        <f ca="1">IF(OR(D89&lt;&gt;"", F89&lt;&gt;"", L89&lt;&gt;"", O89&lt;&gt;""), "EVT-2026-" &amp; TEXT(COUNTIF('DT-3 Jan26'!$A$3:$A$500, "EVT*") + COUNTIF('DT-4 Jan26'!$A$3:$A$500, "EVT*") + COUNTIF('DT-3 Feb26'!$A$3:$A$500, "EVT*") + COUNTIF(OFFSET($A$1, 1, 0, ROW()-2, 1), "EVT*") + 1, "0000"), "")</f>
        <v>EVT-2026-0195</v>
      </c>
      <c r="B89" s="30" t="s">
        <v>2189</v>
      </c>
      <c r="C89" s="27" t="s">
        <v>224</v>
      </c>
      <c r="D89" s="27" t="s">
        <v>631</v>
      </c>
      <c r="E89" s="27" t="s">
        <v>228</v>
      </c>
      <c r="F89" s="27" t="s">
        <v>440</v>
      </c>
      <c r="G89" s="10">
        <v>1</v>
      </c>
      <c r="H89" s="36" t="s">
        <v>263</v>
      </c>
      <c r="I89" s="37" t="s">
        <v>604</v>
      </c>
      <c r="J89" s="37" t="s">
        <v>270</v>
      </c>
      <c r="K89" s="27"/>
      <c r="L89" s="27"/>
      <c r="M89" s="27" t="s">
        <v>355</v>
      </c>
      <c r="N89" s="27"/>
      <c r="O89" s="30" t="s">
        <v>2167</v>
      </c>
      <c r="P89" s="3" t="s">
        <v>312</v>
      </c>
      <c r="Q89" s="29" t="s">
        <v>265</v>
      </c>
      <c r="R89" s="27" t="s">
        <v>632</v>
      </c>
      <c r="S89" s="27"/>
    </row>
    <row r="90" spans="1:19" ht="24" customHeight="1">
      <c r="A90" s="27" t="str">
        <f ca="1">IF(OR(D90&lt;&gt;"", F90&lt;&gt;"", L90&lt;&gt;"", O90&lt;&gt;""), "EVT-2026-" &amp; TEXT(COUNTIF('DT-3 Jan26'!$A$3:$A$500, "EVT*") + COUNTIF('DT-4 Jan26'!$A$3:$A$500, "EVT*") + COUNTIF('DT-3 Feb26'!$A$3:$A$500, "EVT*") + COUNTIF(OFFSET($A$1, 1, 0, ROW()-2, 1), "EVT*") + 1, "0000"), "")</f>
        <v>EVT-2026-0196</v>
      </c>
      <c r="B90" s="30">
        <v>46077</v>
      </c>
      <c r="C90" s="27" t="s">
        <v>227</v>
      </c>
      <c r="D90" s="27" t="s">
        <v>631</v>
      </c>
      <c r="E90" s="27" t="s">
        <v>228</v>
      </c>
      <c r="F90" s="27" t="s">
        <v>440</v>
      </c>
      <c r="G90" s="10">
        <v>1</v>
      </c>
      <c r="H90" s="36" t="s">
        <v>263</v>
      </c>
      <c r="I90" s="37" t="s">
        <v>269</v>
      </c>
      <c r="J90" s="37" t="s">
        <v>270</v>
      </c>
      <c r="K90" s="27"/>
      <c r="L90" s="27"/>
      <c r="M90" s="27" t="s">
        <v>355</v>
      </c>
      <c r="N90" s="27"/>
      <c r="O90" s="30" t="s">
        <v>2167</v>
      </c>
      <c r="P90" s="1" t="s">
        <v>264</v>
      </c>
      <c r="Q90" s="29" t="s">
        <v>265</v>
      </c>
      <c r="R90" s="27" t="s">
        <v>633</v>
      </c>
      <c r="S90" s="27"/>
    </row>
    <row r="91" spans="1:19" ht="24" customHeight="1">
      <c r="A91" s="27" t="str">
        <f ca="1">IF(OR(D91&lt;&gt;"", F91&lt;&gt;"", L91&lt;&gt;"", O91&lt;&gt;""), "EVT-2026-" &amp; TEXT(COUNTIF('DT-3 Jan26'!$A$3:$A$500, "EVT*") + COUNTIF('DT-4 Jan26'!$A$3:$A$500, "EVT*") + COUNTIF('DT-3 Feb26'!$A$3:$A$500, "EVT*") + COUNTIF(OFFSET($A$1, 1, 0, ROW()-2, 1), "EVT*") + 1, "0000"), "")</f>
        <v>EVT-2026-0197</v>
      </c>
      <c r="B91" s="30">
        <v>46077</v>
      </c>
      <c r="C91" s="27" t="s">
        <v>227</v>
      </c>
      <c r="D91" s="27" t="s">
        <v>634</v>
      </c>
      <c r="E91" s="27" t="s">
        <v>202</v>
      </c>
      <c r="F91" s="27" t="s">
        <v>440</v>
      </c>
      <c r="G91" s="10">
        <v>1</v>
      </c>
      <c r="H91" s="36" t="s">
        <v>263</v>
      </c>
      <c r="I91" s="37" t="s">
        <v>269</v>
      </c>
      <c r="J91" s="37" t="s">
        <v>270</v>
      </c>
      <c r="K91" s="27"/>
      <c r="L91" s="27"/>
      <c r="M91" s="27" t="s">
        <v>379</v>
      </c>
      <c r="N91" s="27"/>
      <c r="O91" s="30" t="s">
        <v>2178</v>
      </c>
      <c r="P91" s="1" t="s">
        <v>264</v>
      </c>
      <c r="Q91" s="29" t="s">
        <v>265</v>
      </c>
      <c r="R91" s="27" t="s">
        <v>635</v>
      </c>
      <c r="S91" s="27"/>
    </row>
    <row r="92" spans="1:19" ht="24" customHeight="1">
      <c r="A92" s="27" t="str">
        <f ca="1">IF(OR(D92&lt;&gt;"", F92&lt;&gt;"", L92&lt;&gt;"", O92&lt;&gt;""), "EVT-2026-" &amp; TEXT(COUNTIF('DT-3 Jan26'!$A$3:$A$500, "EVT*") + COUNTIF('DT-4 Jan26'!$A$3:$A$500, "EVT*") + COUNTIF('DT-3 Feb26'!$A$3:$A$500, "EVT*") + COUNTIF(OFFSET($A$1, 1, 0, ROW()-2, 1), "EVT*") + 1, "0000"), "")</f>
        <v>EVT-2026-0198</v>
      </c>
      <c r="B92" s="30">
        <v>46077</v>
      </c>
      <c r="C92" s="27" t="s">
        <v>227</v>
      </c>
      <c r="D92" s="27" t="s">
        <v>389</v>
      </c>
      <c r="E92" s="27" t="s">
        <v>202</v>
      </c>
      <c r="F92" s="27" t="s">
        <v>555</v>
      </c>
      <c r="G92" s="10">
        <v>20</v>
      </c>
      <c r="H92" s="36" t="s">
        <v>263</v>
      </c>
      <c r="I92" s="37" t="s">
        <v>295</v>
      </c>
      <c r="J92" s="37" t="s">
        <v>296</v>
      </c>
      <c r="K92" s="27"/>
      <c r="L92" s="27"/>
      <c r="M92" s="27" t="s">
        <v>556</v>
      </c>
      <c r="N92" s="27"/>
      <c r="O92" s="30" t="s">
        <v>2167</v>
      </c>
      <c r="P92" s="1" t="s">
        <v>264</v>
      </c>
      <c r="Q92" s="29" t="s">
        <v>265</v>
      </c>
      <c r="R92" s="27" t="s">
        <v>636</v>
      </c>
      <c r="S92" s="27"/>
    </row>
    <row r="93" spans="1:19" ht="24" customHeight="1">
      <c r="A93" s="27" t="str">
        <f ca="1">IF(OR(D93&lt;&gt;"", F93&lt;&gt;"", L93&lt;&gt;"", O93&lt;&gt;""), "EVT-2026-" &amp; TEXT(COUNTIF('DT-3 Jan26'!$A$3:$A$500, "EVT*") + COUNTIF('DT-4 Jan26'!$A$3:$A$500, "EVT*") + COUNTIF('DT-3 Feb26'!$A$3:$A$500, "EVT*") + COUNTIF(OFFSET($A$1, 1, 0, ROW()-2, 1), "EVT*") + 1, "0000"), "")</f>
        <v>EVT-2026-0199</v>
      </c>
      <c r="B93" s="30">
        <v>46077</v>
      </c>
      <c r="C93" s="27" t="s">
        <v>227</v>
      </c>
      <c r="D93" s="27" t="s">
        <v>611</v>
      </c>
      <c r="E93" s="27" t="s">
        <v>202</v>
      </c>
      <c r="F93" s="27" t="s">
        <v>612</v>
      </c>
      <c r="G93" s="10">
        <v>35</v>
      </c>
      <c r="H93" s="36" t="s">
        <v>263</v>
      </c>
      <c r="I93" s="37" t="s">
        <v>359</v>
      </c>
      <c r="J93" s="37" t="s">
        <v>290</v>
      </c>
      <c r="K93" s="27"/>
      <c r="L93" s="27"/>
      <c r="M93" s="27" t="s">
        <v>608</v>
      </c>
      <c r="N93" s="27"/>
      <c r="O93" s="30" t="s">
        <v>2167</v>
      </c>
      <c r="P93" s="1" t="s">
        <v>264</v>
      </c>
      <c r="Q93" s="29" t="s">
        <v>265</v>
      </c>
      <c r="R93" s="27" t="s">
        <v>613</v>
      </c>
      <c r="S93" s="27"/>
    </row>
    <row r="94" spans="1:19" ht="24" customHeight="1">
      <c r="A94" s="27" t="str">
        <f ca="1">IF(OR(D94&lt;&gt;"", F94&lt;&gt;"", L94&lt;&gt;"", O94&lt;&gt;""), "EVT-2026-" &amp; TEXT(COUNTIF('DT-3 Jan26'!$A$3:$A$500, "EVT*") + COUNTIF('DT-4 Jan26'!$A$3:$A$500, "EVT*") + COUNTIF('DT-3 Feb26'!$A$3:$A$500, "EVT*") + COUNTIF(OFFSET($A$1, 1, 0, ROW()-2, 1), "EVT*") + 1, "0000"), "")</f>
        <v>EVT-2026-0200</v>
      </c>
      <c r="B94" s="30">
        <v>46077</v>
      </c>
      <c r="C94" s="27" t="s">
        <v>227</v>
      </c>
      <c r="D94" s="27" t="s">
        <v>603</v>
      </c>
      <c r="E94" s="27" t="s">
        <v>228</v>
      </c>
      <c r="F94" s="27" t="s">
        <v>440</v>
      </c>
      <c r="G94" s="10">
        <v>1</v>
      </c>
      <c r="H94" s="36" t="s">
        <v>263</v>
      </c>
      <c r="I94" s="37" t="s">
        <v>269</v>
      </c>
      <c r="J94" s="37" t="s">
        <v>270</v>
      </c>
      <c r="K94" s="27"/>
      <c r="L94" s="27"/>
      <c r="M94" s="27" t="s">
        <v>355</v>
      </c>
      <c r="N94" s="27"/>
      <c r="O94" s="30" t="s">
        <v>2167</v>
      </c>
      <c r="P94" s="1" t="s">
        <v>264</v>
      </c>
      <c r="Q94" s="29" t="s">
        <v>265</v>
      </c>
      <c r="R94" s="27" t="s">
        <v>637</v>
      </c>
      <c r="S94" s="27"/>
    </row>
    <row r="95" spans="1:19" ht="24" customHeight="1">
      <c r="A95" s="27" t="str">
        <f ca="1">IF(OR(D95&lt;&gt;"", F95&lt;&gt;"", L95&lt;&gt;"", O95&lt;&gt;""), "EVT-2026-" &amp; TEXT(COUNTIF('DT-3 Jan26'!$A$3:$A$500, "EVT*") + COUNTIF('DT-4 Jan26'!$A$3:$A$500, "EVT*") + COUNTIF('DT-3 Feb26'!$A$3:$A$500, "EVT*") + COUNTIF(OFFSET($A$1, 1, 0, ROW()-2, 1), "EVT*") + 1, "0000"), "")</f>
        <v>EVT-2026-0201</v>
      </c>
      <c r="B95" s="30">
        <v>46077</v>
      </c>
      <c r="C95" s="27" t="s">
        <v>227</v>
      </c>
      <c r="D95" s="27" t="s">
        <v>125</v>
      </c>
      <c r="E95" s="27" t="s">
        <v>228</v>
      </c>
      <c r="F95" s="27" t="s">
        <v>638</v>
      </c>
      <c r="G95" s="10">
        <v>150</v>
      </c>
      <c r="H95" s="38" t="s">
        <v>294</v>
      </c>
      <c r="I95" s="37" t="s">
        <v>429</v>
      </c>
      <c r="J95" s="37" t="s">
        <v>639</v>
      </c>
      <c r="K95" s="27"/>
      <c r="L95" s="27"/>
      <c r="M95" s="27" t="s">
        <v>355</v>
      </c>
      <c r="N95" s="27"/>
      <c r="O95" s="30" t="s">
        <v>2167</v>
      </c>
      <c r="P95" s="1" t="s">
        <v>264</v>
      </c>
      <c r="Q95" s="29" t="s">
        <v>265</v>
      </c>
      <c r="R95" s="27" t="s">
        <v>640</v>
      </c>
      <c r="S95" s="27"/>
    </row>
    <row r="96" spans="1:19" ht="24" customHeight="1">
      <c r="A96" s="27" t="str">
        <f ca="1">IF(OR(D96&lt;&gt;"", F96&lt;&gt;"", L96&lt;&gt;"", O96&lt;&gt;""), "EVT-2026-" &amp; TEXT(COUNTIF('DT-3 Jan26'!$A$3:$A$500, "EVT*") + COUNTIF('DT-4 Jan26'!$A$3:$A$500, "EVT*") + COUNTIF('DT-3 Feb26'!$A$3:$A$500, "EVT*") + COUNTIF(OFFSET($A$1, 1, 0, ROW()-2, 1), "EVT*") + 1, "0000"), "")</f>
        <v>EVT-2026-0202</v>
      </c>
      <c r="B96" s="30">
        <v>46077</v>
      </c>
      <c r="C96" s="27" t="s">
        <v>227</v>
      </c>
      <c r="D96" s="27" t="s">
        <v>611</v>
      </c>
      <c r="E96" s="27" t="s">
        <v>202</v>
      </c>
      <c r="F96" s="27" t="s">
        <v>612</v>
      </c>
      <c r="G96" s="10"/>
      <c r="H96" s="36" t="s">
        <v>263</v>
      </c>
      <c r="I96" s="37" t="s">
        <v>359</v>
      </c>
      <c r="J96" s="37" t="s">
        <v>290</v>
      </c>
      <c r="K96" s="27"/>
      <c r="L96" s="27"/>
      <c r="M96" s="27" t="s">
        <v>608</v>
      </c>
      <c r="N96" s="27"/>
      <c r="O96" s="30" t="s">
        <v>2167</v>
      </c>
      <c r="P96" s="1" t="s">
        <v>264</v>
      </c>
      <c r="Q96" s="29" t="s">
        <v>265</v>
      </c>
      <c r="R96" s="27" t="s">
        <v>613</v>
      </c>
      <c r="S96" s="27"/>
    </row>
    <row r="97" spans="1:19" ht="24" customHeight="1">
      <c r="A97" s="27" t="str">
        <f ca="1">IF(OR(D97&lt;&gt;"", F97&lt;&gt;"", L97&lt;&gt;"", O97&lt;&gt;""), "EVT-2026-" &amp; TEXT(COUNTIF('DT-3 Jan26'!$A$3:$A$500, "EVT*") + COUNTIF('DT-4 Jan26'!$A$3:$A$500, "EVT*") + COUNTIF('DT-3 Feb26'!$A$3:$A$500, "EVT*") + COUNTIF(OFFSET($A$1, 1, 0, ROW()-2, 1), "EVT*") + 1, "0000"), "")</f>
        <v>EVT-2026-0203</v>
      </c>
      <c r="B97" s="30">
        <v>46077</v>
      </c>
      <c r="C97" s="27" t="s">
        <v>227</v>
      </c>
      <c r="D97" s="27" t="s">
        <v>125</v>
      </c>
      <c r="E97" s="27" t="s">
        <v>228</v>
      </c>
      <c r="F97" s="27" t="s">
        <v>578</v>
      </c>
      <c r="G97" s="10">
        <v>35</v>
      </c>
      <c r="H97" s="36" t="s">
        <v>263</v>
      </c>
      <c r="I97" s="37" t="s">
        <v>289</v>
      </c>
      <c r="J97" s="37" t="s">
        <v>296</v>
      </c>
      <c r="K97" s="27"/>
      <c r="L97" s="27"/>
      <c r="M97" s="27" t="s">
        <v>351</v>
      </c>
      <c r="N97" s="27"/>
      <c r="O97" s="30" t="s">
        <v>2182</v>
      </c>
      <c r="P97" s="1" t="s">
        <v>264</v>
      </c>
      <c r="Q97" s="29" t="s">
        <v>265</v>
      </c>
      <c r="R97" s="27" t="s">
        <v>298</v>
      </c>
      <c r="S97" s="27"/>
    </row>
    <row r="98" spans="1:19" ht="24" customHeight="1">
      <c r="A98" s="27" t="str">
        <f ca="1">IF(OR(D98&lt;&gt;"", F98&lt;&gt;"", L98&lt;&gt;"", O98&lt;&gt;""), "EVT-2026-" &amp; TEXT(COUNTIF('DT-3 Jan26'!$A$3:$A$500, "EVT*") + COUNTIF('DT-4 Jan26'!$A$3:$A$500, "EVT*") + COUNTIF('DT-3 Feb26'!$A$3:$A$500, "EVT*") + COUNTIF(OFFSET($A$1, 1, 0, ROW()-2, 1), "EVT*") + 1, "0000"), "")</f>
        <v>EVT-2026-0204</v>
      </c>
      <c r="B98" s="30">
        <v>46077</v>
      </c>
      <c r="C98" s="27" t="s">
        <v>227</v>
      </c>
      <c r="D98" s="27" t="s">
        <v>348</v>
      </c>
      <c r="E98" s="27" t="s">
        <v>208</v>
      </c>
      <c r="F98" s="27" t="s">
        <v>368</v>
      </c>
      <c r="G98" s="10">
        <v>30</v>
      </c>
      <c r="H98" s="36" t="s">
        <v>263</v>
      </c>
      <c r="I98" s="37" t="s">
        <v>309</v>
      </c>
      <c r="J98" s="37" t="s">
        <v>270</v>
      </c>
      <c r="K98" s="27"/>
      <c r="L98" s="27" t="s">
        <v>369</v>
      </c>
      <c r="M98" s="27" t="s">
        <v>370</v>
      </c>
      <c r="N98" s="27"/>
      <c r="O98" s="30">
        <v>46008</v>
      </c>
      <c r="P98" s="1" t="s">
        <v>264</v>
      </c>
      <c r="Q98" s="29" t="s">
        <v>265</v>
      </c>
      <c r="R98" s="27" t="s">
        <v>298</v>
      </c>
      <c r="S98" s="27"/>
    </row>
    <row r="99" spans="1:19" ht="24" customHeight="1">
      <c r="A99" s="27" t="str">
        <f ca="1">IF(OR(D99&lt;&gt;"", F99&lt;&gt;"", L99&lt;&gt;"", O99&lt;&gt;""), "EVT-2026-" &amp; TEXT(COUNTIF('DT-3 Jan26'!$A$3:$A$500, "EVT*") + COUNTIF('DT-4 Jan26'!$A$3:$A$500, "EVT*") + COUNTIF('DT-3 Feb26'!$A$3:$A$500, "EVT*") + COUNTIF(OFFSET($A$1, 1, 0, ROW()-2, 1), "EVT*") + 1, "0000"), "")</f>
        <v>EVT-2026-0205</v>
      </c>
      <c r="B99" s="30">
        <v>46078</v>
      </c>
      <c r="C99" s="27" t="s">
        <v>201</v>
      </c>
      <c r="D99" s="27" t="s">
        <v>634</v>
      </c>
      <c r="E99" s="27" t="s">
        <v>202</v>
      </c>
      <c r="F99" s="27" t="s">
        <v>440</v>
      </c>
      <c r="G99" s="10">
        <v>1</v>
      </c>
      <c r="H99" s="36" t="s">
        <v>263</v>
      </c>
      <c r="I99" s="37" t="s">
        <v>269</v>
      </c>
      <c r="J99" s="37" t="s">
        <v>270</v>
      </c>
      <c r="K99" s="27"/>
      <c r="L99" s="27"/>
      <c r="M99" s="27" t="s">
        <v>379</v>
      </c>
      <c r="N99" s="27"/>
      <c r="O99" s="30" t="s">
        <v>2178</v>
      </c>
      <c r="P99" s="1" t="s">
        <v>264</v>
      </c>
      <c r="Q99" s="29" t="s">
        <v>265</v>
      </c>
      <c r="R99" s="27" t="s">
        <v>635</v>
      </c>
      <c r="S99" s="27"/>
    </row>
    <row r="100" spans="1:19" ht="24" customHeight="1">
      <c r="A100" s="27" t="str">
        <f ca="1">IF(OR(D100&lt;&gt;"", F100&lt;&gt;"", L100&lt;&gt;"", O100&lt;&gt;""), "EVT-2026-" &amp; TEXT(COUNTIF('DT-3 Jan26'!$A$3:$A$500, "EVT*") + COUNTIF('DT-4 Jan26'!$A$3:$A$500, "EVT*") + COUNTIF('DT-3 Feb26'!$A$3:$A$500, "EVT*") + COUNTIF(OFFSET($A$1, 1, 0, ROW()-2, 1), "EVT*") + 1, "0000"), "")</f>
        <v>EVT-2026-0206</v>
      </c>
      <c r="B100" s="30">
        <v>46078</v>
      </c>
      <c r="C100" s="27" t="s">
        <v>201</v>
      </c>
      <c r="D100" s="27" t="s">
        <v>125</v>
      </c>
      <c r="E100" s="27" t="s">
        <v>228</v>
      </c>
      <c r="F100" s="27" t="s">
        <v>368</v>
      </c>
      <c r="G100" s="10">
        <v>30</v>
      </c>
      <c r="H100" s="36" t="s">
        <v>263</v>
      </c>
      <c r="I100" s="37" t="s">
        <v>309</v>
      </c>
      <c r="J100" s="37" t="s">
        <v>270</v>
      </c>
      <c r="K100" s="27"/>
      <c r="L100" s="27" t="s">
        <v>369</v>
      </c>
      <c r="M100" s="27" t="s">
        <v>370</v>
      </c>
      <c r="N100" s="27"/>
      <c r="O100" s="30">
        <v>46008</v>
      </c>
      <c r="P100" s="1" t="s">
        <v>264</v>
      </c>
      <c r="Q100" s="29" t="s">
        <v>265</v>
      </c>
      <c r="R100" s="27" t="s">
        <v>298</v>
      </c>
      <c r="S100" s="27"/>
    </row>
    <row r="101" spans="1:19" ht="24" customHeight="1">
      <c r="A101" s="27" t="str">
        <f ca="1">IF(OR(D101&lt;&gt;"", F101&lt;&gt;"", L101&lt;&gt;"", O101&lt;&gt;""), "EVT-2026-" &amp; TEXT(COUNTIF('DT-3 Jan26'!$A$3:$A$500, "EVT*") + COUNTIF('DT-4 Jan26'!$A$3:$A$500, "EVT*") + COUNTIF('DT-3 Feb26'!$A$3:$A$500, "EVT*") + COUNTIF(OFFSET($A$1, 1, 0, ROW()-2, 1), "EVT*") + 1, "0000"), "")</f>
        <v>EVT-2026-0207</v>
      </c>
      <c r="B101" s="30">
        <v>46078</v>
      </c>
      <c r="C101" s="27" t="s">
        <v>201</v>
      </c>
      <c r="D101" s="27" t="s">
        <v>348</v>
      </c>
      <c r="E101" s="27" t="s">
        <v>208</v>
      </c>
      <c r="F101" s="27" t="s">
        <v>641</v>
      </c>
      <c r="G101" s="10">
        <v>40</v>
      </c>
      <c r="H101" s="36" t="s">
        <v>263</v>
      </c>
      <c r="I101" s="37" t="s">
        <v>274</v>
      </c>
      <c r="J101" s="37" t="s">
        <v>506</v>
      </c>
      <c r="K101" s="27"/>
      <c r="L101" s="27" t="s">
        <v>642</v>
      </c>
      <c r="M101" s="27" t="s">
        <v>532</v>
      </c>
      <c r="N101" s="27"/>
      <c r="O101" s="27" t="s">
        <v>643</v>
      </c>
      <c r="P101" s="3" t="s">
        <v>312</v>
      </c>
      <c r="Q101" s="29" t="s">
        <v>265</v>
      </c>
      <c r="R101" s="27" t="s">
        <v>298</v>
      </c>
      <c r="S101" s="27"/>
    </row>
    <row r="102" spans="1:19" ht="24" customHeight="1">
      <c r="A102" s="27" t="str">
        <f ca="1">IF(OR(D102&lt;&gt;"", F102&lt;&gt;"", L102&lt;&gt;"", O102&lt;&gt;""), "EVT-2026-" &amp; TEXT(COUNTIF('DT-3 Jan26'!$A$3:$A$500, "EVT*") + COUNTIF('DT-4 Jan26'!$A$3:$A$500, "EVT*") + COUNTIF('DT-3 Feb26'!$A$3:$A$500, "EVT*") + COUNTIF(OFFSET($A$1, 1, 0, ROW()-2, 1), "EVT*") + 1, "0000"), "")</f>
        <v>EVT-2026-0208</v>
      </c>
      <c r="B102" s="30">
        <v>46078</v>
      </c>
      <c r="C102" s="27" t="s">
        <v>201</v>
      </c>
      <c r="D102" s="27" t="s">
        <v>348</v>
      </c>
      <c r="E102" s="27" t="s">
        <v>208</v>
      </c>
      <c r="F102" s="27" t="s">
        <v>644</v>
      </c>
      <c r="G102" s="10">
        <v>20</v>
      </c>
      <c r="H102" s="36" t="s">
        <v>263</v>
      </c>
      <c r="I102" s="37" t="s">
        <v>309</v>
      </c>
      <c r="J102" s="37" t="s">
        <v>295</v>
      </c>
      <c r="K102" s="27"/>
      <c r="L102" s="27"/>
      <c r="M102" s="27" t="s">
        <v>532</v>
      </c>
      <c r="N102" s="27"/>
      <c r="O102" s="30" t="s">
        <v>2195</v>
      </c>
      <c r="P102" s="3" t="s">
        <v>312</v>
      </c>
      <c r="Q102" s="29" t="s">
        <v>265</v>
      </c>
      <c r="R102" s="27" t="s">
        <v>298</v>
      </c>
      <c r="S102" s="27"/>
    </row>
    <row r="103" spans="1:19" ht="24" customHeight="1">
      <c r="A103" s="27" t="str">
        <f ca="1">IF(OR(D103&lt;&gt;"", F103&lt;&gt;"", L103&lt;&gt;"", O103&lt;&gt;""), "EVT-2026-" &amp; TEXT(COUNTIF('DT-3 Jan26'!$A$3:$A$500, "EVT*") + COUNTIF('DT-4 Jan26'!$A$3:$A$500, "EVT*") + COUNTIF('DT-3 Feb26'!$A$3:$A$500, "EVT*") + COUNTIF(OFFSET($A$1, 1, 0, ROW()-2, 1), "EVT*") + 1, "0000"), "")</f>
        <v>EVT-2026-0209</v>
      </c>
      <c r="B103" s="30">
        <v>46078</v>
      </c>
      <c r="C103" s="27" t="s">
        <v>201</v>
      </c>
      <c r="D103" s="27" t="s">
        <v>389</v>
      </c>
      <c r="E103" s="27" t="s">
        <v>202</v>
      </c>
      <c r="F103" s="27" t="s">
        <v>645</v>
      </c>
      <c r="G103" s="10">
        <v>50</v>
      </c>
      <c r="H103" s="36" t="s">
        <v>263</v>
      </c>
      <c r="I103" s="37" t="s">
        <v>315</v>
      </c>
      <c r="J103" s="37" t="s">
        <v>330</v>
      </c>
      <c r="K103" s="27"/>
      <c r="L103" s="27"/>
      <c r="M103" s="27" t="s">
        <v>646</v>
      </c>
      <c r="N103" s="27"/>
      <c r="O103" s="30">
        <v>46009</v>
      </c>
      <c r="P103" s="1" t="s">
        <v>264</v>
      </c>
      <c r="Q103" s="29" t="s">
        <v>265</v>
      </c>
      <c r="R103" s="27" t="s">
        <v>647</v>
      </c>
      <c r="S103" s="27"/>
    </row>
    <row r="104" spans="1:19" ht="24" customHeight="1">
      <c r="A104" s="27" t="str">
        <f ca="1">IF(OR(D104&lt;&gt;"", F104&lt;&gt;"", L104&lt;&gt;"", O104&lt;&gt;""), "EVT-2026-" &amp; TEXT(COUNTIF('DT-3 Jan26'!$A$3:$A$500, "EVT*") + COUNTIF('DT-4 Jan26'!$A$3:$A$500, "EVT*") + COUNTIF('DT-3 Feb26'!$A$3:$A$500, "EVT*") + COUNTIF(OFFSET($A$1, 1, 0, ROW()-2, 1), "EVT*") + 1, "0000"), "")</f>
        <v>EVT-2026-0210</v>
      </c>
      <c r="B104" s="30">
        <v>46078</v>
      </c>
      <c r="C104" s="27" t="s">
        <v>201</v>
      </c>
      <c r="D104" s="27" t="s">
        <v>389</v>
      </c>
      <c r="E104" s="27" t="s">
        <v>202</v>
      </c>
      <c r="F104" s="27" t="s">
        <v>648</v>
      </c>
      <c r="G104" s="10">
        <v>30</v>
      </c>
      <c r="H104" s="36" t="s">
        <v>263</v>
      </c>
      <c r="I104" s="37" t="s">
        <v>309</v>
      </c>
      <c r="J104" s="37" t="s">
        <v>295</v>
      </c>
      <c r="K104" s="27"/>
      <c r="L104" s="27"/>
      <c r="M104" s="27" t="s">
        <v>618</v>
      </c>
      <c r="N104" s="27"/>
      <c r="O104" s="30" t="s">
        <v>2196</v>
      </c>
      <c r="P104" s="1" t="s">
        <v>264</v>
      </c>
      <c r="Q104" s="29" t="s">
        <v>265</v>
      </c>
      <c r="R104" s="27" t="s">
        <v>649</v>
      </c>
      <c r="S104" s="27"/>
    </row>
    <row r="105" spans="1:19" ht="24" customHeight="1">
      <c r="A105" s="27" t="str">
        <f ca="1">IF(OR(D105&lt;&gt;"", F105&lt;&gt;"", L105&lt;&gt;"", O105&lt;&gt;""), "EVT-2026-" &amp; TEXT(COUNTIF('DT-3 Jan26'!$A$3:$A$500, "EVT*") + COUNTIF('DT-4 Jan26'!$A$3:$A$500, "EVT*") + COUNTIF('DT-3 Feb26'!$A$3:$A$500, "EVT*") + COUNTIF(OFFSET($A$1, 1, 0, ROW()-2, 1), "EVT*") + 1, "0000"), "")</f>
        <v>EVT-2026-0211</v>
      </c>
      <c r="B105" s="30">
        <v>46078</v>
      </c>
      <c r="C105" s="27" t="s">
        <v>201</v>
      </c>
      <c r="D105" s="27" t="s">
        <v>611</v>
      </c>
      <c r="E105" s="27" t="s">
        <v>202</v>
      </c>
      <c r="F105" s="27" t="s">
        <v>612</v>
      </c>
      <c r="G105" s="10"/>
      <c r="H105" s="36" t="s">
        <v>263</v>
      </c>
      <c r="I105" s="37" t="s">
        <v>359</v>
      </c>
      <c r="J105" s="37" t="s">
        <v>290</v>
      </c>
      <c r="K105" s="27"/>
      <c r="L105" s="27"/>
      <c r="M105" s="27" t="s">
        <v>608</v>
      </c>
      <c r="N105" s="27"/>
      <c r="O105" s="30" t="s">
        <v>2167</v>
      </c>
      <c r="P105" s="1" t="s">
        <v>264</v>
      </c>
      <c r="Q105" s="29" t="s">
        <v>265</v>
      </c>
      <c r="R105" s="27" t="s">
        <v>613</v>
      </c>
      <c r="S105" s="27"/>
    </row>
    <row r="106" spans="1:19" ht="24" customHeight="1">
      <c r="A106" s="27" t="str">
        <f ca="1">IF(OR(D106&lt;&gt;"", F106&lt;&gt;"", L106&lt;&gt;"", O106&lt;&gt;""), "EVT-2026-" &amp; TEXT(COUNTIF('DT-3 Jan26'!$A$3:$A$500, "EVT*") + COUNTIF('DT-4 Jan26'!$A$3:$A$500, "EVT*") + COUNTIF('DT-3 Feb26'!$A$3:$A$500, "EVT*") + COUNTIF(OFFSET($A$1, 1, 0, ROW()-2, 1), "EVT*") + 1, "0000"), "")</f>
        <v>EVT-2026-0212</v>
      </c>
      <c r="B106" s="30">
        <v>46078</v>
      </c>
      <c r="C106" s="27" t="s">
        <v>201</v>
      </c>
      <c r="D106" s="27" t="s">
        <v>389</v>
      </c>
      <c r="E106" s="27" t="s">
        <v>202</v>
      </c>
      <c r="F106" s="27" t="s">
        <v>650</v>
      </c>
      <c r="G106" s="10">
        <v>70</v>
      </c>
      <c r="H106" s="36" t="s">
        <v>263</v>
      </c>
      <c r="I106" s="37" t="s">
        <v>295</v>
      </c>
      <c r="J106" s="37" t="s">
        <v>270</v>
      </c>
      <c r="K106" s="27"/>
      <c r="L106" s="27"/>
      <c r="M106" s="27" t="s">
        <v>651</v>
      </c>
      <c r="N106" s="27"/>
      <c r="O106" s="30" t="s">
        <v>2112</v>
      </c>
      <c r="P106" s="3" t="s">
        <v>312</v>
      </c>
      <c r="Q106" s="29" t="s">
        <v>265</v>
      </c>
      <c r="R106" s="27" t="s">
        <v>298</v>
      </c>
      <c r="S106" s="27" t="s">
        <v>652</v>
      </c>
    </row>
    <row r="107" spans="1:19" ht="24" customHeight="1">
      <c r="A107" s="27" t="str">
        <f ca="1">IF(OR(D107&lt;&gt;"", F107&lt;&gt;"", L107&lt;&gt;"", O107&lt;&gt;""), "EVT-2026-" &amp; TEXT(COUNTIF('DT-3 Jan26'!$A$3:$A$500, "EVT*") + COUNTIF('DT-4 Jan26'!$A$3:$A$500, "EVT*") + COUNTIF('DT-3 Feb26'!$A$3:$A$500, "EVT*") + COUNTIF(OFFSET($A$1, 1, 0, ROW()-2, 1), "EVT*") + 1, "0000"), "")</f>
        <v>EVT-2026-0213</v>
      </c>
      <c r="B107" s="30">
        <v>46079</v>
      </c>
      <c r="C107" s="27" t="s">
        <v>216</v>
      </c>
      <c r="D107" s="27" t="s">
        <v>239</v>
      </c>
      <c r="E107" s="27" t="s">
        <v>653</v>
      </c>
      <c r="F107" s="27" t="s">
        <v>599</v>
      </c>
      <c r="G107" s="10">
        <v>100</v>
      </c>
      <c r="H107" s="38" t="s">
        <v>294</v>
      </c>
      <c r="I107" s="37" t="s">
        <v>295</v>
      </c>
      <c r="J107" s="37" t="s">
        <v>296</v>
      </c>
      <c r="K107" s="27"/>
      <c r="L107" s="27"/>
      <c r="M107" s="27" t="s">
        <v>600</v>
      </c>
      <c r="N107" s="27"/>
      <c r="O107" s="30" t="s">
        <v>2197</v>
      </c>
      <c r="P107" s="1" t="s">
        <v>264</v>
      </c>
      <c r="Q107" s="29" t="s">
        <v>265</v>
      </c>
      <c r="R107" s="27" t="s">
        <v>654</v>
      </c>
      <c r="S107" s="27"/>
    </row>
    <row r="108" spans="1:19" ht="24" customHeight="1">
      <c r="A108" s="27" t="str">
        <f ca="1">IF(OR(D108&lt;&gt;"", F108&lt;&gt;"", L108&lt;&gt;"", O108&lt;&gt;""), "EVT-2026-" &amp; TEXT(COUNTIF('DT-3 Jan26'!$A$3:$A$500, "EVT*") + COUNTIF('DT-4 Jan26'!$A$3:$A$500, "EVT*") + COUNTIF('DT-3 Feb26'!$A$3:$A$500, "EVT*") + COUNTIF(OFFSET($A$1, 1, 0, ROW()-2, 1), "EVT*") + 1, "0000"), "")</f>
        <v>EVT-2026-0214</v>
      </c>
      <c r="B108" s="30">
        <v>46079</v>
      </c>
      <c r="C108" s="27" t="s">
        <v>216</v>
      </c>
      <c r="D108" s="27" t="s">
        <v>611</v>
      </c>
      <c r="E108" s="27" t="s">
        <v>202</v>
      </c>
      <c r="F108" s="27" t="s">
        <v>612</v>
      </c>
      <c r="G108" s="10"/>
      <c r="H108" s="36" t="s">
        <v>263</v>
      </c>
      <c r="I108" s="37" t="s">
        <v>359</v>
      </c>
      <c r="J108" s="37" t="s">
        <v>290</v>
      </c>
      <c r="K108" s="27"/>
      <c r="L108" s="27"/>
      <c r="M108" s="27" t="s">
        <v>608</v>
      </c>
      <c r="N108" s="27"/>
      <c r="O108" s="30" t="s">
        <v>2167</v>
      </c>
      <c r="P108" s="1" t="s">
        <v>264</v>
      </c>
      <c r="Q108" s="29" t="s">
        <v>265</v>
      </c>
      <c r="R108" s="27" t="s">
        <v>613</v>
      </c>
      <c r="S108" s="27"/>
    </row>
    <row r="109" spans="1:19" ht="24" customHeight="1">
      <c r="A109" s="27" t="str">
        <f ca="1">IF(OR(D109&lt;&gt;"", F109&lt;&gt;"", L109&lt;&gt;"", O109&lt;&gt;""), "EVT-2026-" &amp; TEXT(COUNTIF('DT-3 Jan26'!$A$3:$A$500, "EVT*") + COUNTIF('DT-4 Jan26'!$A$3:$A$500, "EVT*") + COUNTIF('DT-3 Feb26'!$A$3:$A$500, "EVT*") + COUNTIF(OFFSET($A$1, 1, 0, ROW()-2, 1), "EVT*") + 1, "0000"), "")</f>
        <v>EVT-2026-0215</v>
      </c>
      <c r="B109" s="30">
        <v>46079</v>
      </c>
      <c r="C109" s="27" t="s">
        <v>216</v>
      </c>
      <c r="D109" s="27" t="s">
        <v>389</v>
      </c>
      <c r="E109" s="27" t="s">
        <v>202</v>
      </c>
      <c r="F109" s="27" t="s">
        <v>344</v>
      </c>
      <c r="G109" s="10">
        <v>25</v>
      </c>
      <c r="H109" s="36" t="s">
        <v>263</v>
      </c>
      <c r="I109" s="37" t="s">
        <v>309</v>
      </c>
      <c r="J109" s="37" t="s">
        <v>295</v>
      </c>
      <c r="K109" s="27"/>
      <c r="L109" s="27" t="s">
        <v>610</v>
      </c>
      <c r="M109" s="27" t="s">
        <v>526</v>
      </c>
      <c r="N109" s="27"/>
      <c r="O109" s="27"/>
      <c r="P109" s="1" t="s">
        <v>264</v>
      </c>
      <c r="Q109" s="29" t="s">
        <v>265</v>
      </c>
      <c r="R109" s="27"/>
      <c r="S109" s="27"/>
    </row>
    <row r="110" spans="1:19" ht="24" customHeight="1">
      <c r="A110" s="27" t="str">
        <f ca="1">IF(OR(D110&lt;&gt;"", F110&lt;&gt;"", L110&lt;&gt;"", O110&lt;&gt;""), "EVT-2026-" &amp; TEXT(COUNTIF('DT-3 Jan26'!$A$3:$A$500, "EVT*") + COUNTIF('DT-4 Jan26'!$A$3:$A$500, "EVT*") + COUNTIF('DT-3 Feb26'!$A$3:$A$500, "EVT*") + COUNTIF(OFFSET($A$1, 1, 0, ROW()-2, 1), "EVT*") + 1, "0000"), "")</f>
        <v>EVT-2026-0216</v>
      </c>
      <c r="B110" s="30">
        <v>46079</v>
      </c>
      <c r="C110" s="27" t="s">
        <v>216</v>
      </c>
      <c r="D110" s="27" t="s">
        <v>389</v>
      </c>
      <c r="E110" s="27" t="s">
        <v>202</v>
      </c>
      <c r="F110" s="27" t="s">
        <v>655</v>
      </c>
      <c r="G110" s="10">
        <v>40</v>
      </c>
      <c r="H110" s="36" t="s">
        <v>263</v>
      </c>
      <c r="I110" s="37" t="s">
        <v>359</v>
      </c>
      <c r="J110" s="37" t="s">
        <v>270</v>
      </c>
      <c r="K110" s="27"/>
      <c r="L110" s="27"/>
      <c r="M110" s="27" t="s">
        <v>378</v>
      </c>
      <c r="N110" s="27"/>
      <c r="O110" s="27"/>
      <c r="P110" s="1" t="s">
        <v>264</v>
      </c>
      <c r="Q110" s="29" t="s">
        <v>265</v>
      </c>
      <c r="R110" s="27" t="s">
        <v>406</v>
      </c>
      <c r="S110" s="27"/>
    </row>
    <row r="111" spans="1:19" ht="24" customHeight="1">
      <c r="A111" s="27" t="str">
        <f ca="1">IF(OR(D111&lt;&gt;"", F111&lt;&gt;"", L111&lt;&gt;"", O111&lt;&gt;""), "EVT-2026-" &amp; TEXT(COUNTIF('DT-3 Jan26'!$A$3:$A$500, "EVT*") + COUNTIF('DT-4 Jan26'!$A$3:$A$500, "EVT*") + COUNTIF('DT-3 Feb26'!$A$3:$A$500, "EVT*") + COUNTIF(OFFSET($A$1, 1, 0, ROW()-2, 1), "EVT*") + 1, "0000"), "")</f>
        <v>EVT-2026-0217</v>
      </c>
      <c r="B111" s="30">
        <v>46079</v>
      </c>
      <c r="C111" s="27" t="s">
        <v>216</v>
      </c>
      <c r="D111" s="27" t="s">
        <v>348</v>
      </c>
      <c r="E111" s="27" t="s">
        <v>208</v>
      </c>
      <c r="F111" s="27" t="s">
        <v>349</v>
      </c>
      <c r="G111" s="10">
        <v>50</v>
      </c>
      <c r="H111" s="36" t="s">
        <v>263</v>
      </c>
      <c r="I111" s="37" t="s">
        <v>350</v>
      </c>
      <c r="J111" s="37" t="s">
        <v>296</v>
      </c>
      <c r="K111" s="27"/>
      <c r="L111" s="27"/>
      <c r="M111" s="27" t="s">
        <v>351</v>
      </c>
      <c r="N111" s="27"/>
      <c r="O111" s="30">
        <v>46008</v>
      </c>
      <c r="P111" s="1" t="s">
        <v>264</v>
      </c>
      <c r="Q111" s="29" t="s">
        <v>265</v>
      </c>
      <c r="R111" s="27" t="s">
        <v>406</v>
      </c>
      <c r="S111" s="27"/>
    </row>
    <row r="112" spans="1:19" ht="24" customHeight="1">
      <c r="A112" s="27" t="str">
        <f ca="1">IF(OR(D112&lt;&gt;"", F112&lt;&gt;"", L112&lt;&gt;"", O112&lt;&gt;""), "EVT-2026-" &amp; TEXT(COUNTIF('DT-3 Jan26'!$A$3:$A$500, "EVT*") + COUNTIF('DT-4 Jan26'!$A$3:$A$500, "EVT*") + COUNTIF('DT-3 Feb26'!$A$3:$A$500, "EVT*") + COUNTIF(OFFSET($A$1, 1, 0, ROW()-2, 1), "EVT*") + 1, "0000"), "")</f>
        <v>EVT-2026-0218</v>
      </c>
      <c r="B112" s="30">
        <v>46079</v>
      </c>
      <c r="C112" s="27" t="s">
        <v>216</v>
      </c>
      <c r="D112" s="27" t="s">
        <v>125</v>
      </c>
      <c r="E112" s="27" t="s">
        <v>228</v>
      </c>
      <c r="F112" s="27" t="s">
        <v>656</v>
      </c>
      <c r="G112" s="10">
        <v>20</v>
      </c>
      <c r="H112" s="36" t="s">
        <v>263</v>
      </c>
      <c r="I112" s="37" t="s">
        <v>506</v>
      </c>
      <c r="J112" s="37" t="s">
        <v>275</v>
      </c>
      <c r="K112" s="27"/>
      <c r="L112" s="27"/>
      <c r="M112" s="27" t="s">
        <v>657</v>
      </c>
      <c r="N112" s="27"/>
      <c r="O112" s="30" t="s">
        <v>2198</v>
      </c>
      <c r="P112" s="1" t="s">
        <v>264</v>
      </c>
      <c r="Q112" s="29" t="s">
        <v>265</v>
      </c>
      <c r="R112" s="27"/>
      <c r="S112" s="27"/>
    </row>
    <row r="113" spans="1:19" ht="24" customHeight="1">
      <c r="A113" s="27" t="str">
        <f ca="1">IF(OR(D113&lt;&gt;"", F113&lt;&gt;"", L113&lt;&gt;"", O113&lt;&gt;""), "EVT-2026-" &amp; TEXT(COUNTIF('DT-3 Jan26'!$A$3:$A$500, "EVT*") + COUNTIF('DT-4 Jan26'!$A$3:$A$500, "EVT*") + COUNTIF('DT-3 Feb26'!$A$3:$A$500, "EVT*") + COUNTIF(OFFSET($A$1, 1, 0, ROW()-2, 1), "EVT*") + 1, "0000"), "")</f>
        <v>EVT-2026-0219</v>
      </c>
      <c r="B113" s="30">
        <v>46079</v>
      </c>
      <c r="C113" s="27" t="s">
        <v>216</v>
      </c>
      <c r="D113" s="27" t="s">
        <v>125</v>
      </c>
      <c r="E113" s="27" t="s">
        <v>228</v>
      </c>
      <c r="F113" s="27" t="s">
        <v>578</v>
      </c>
      <c r="G113" s="10">
        <v>40</v>
      </c>
      <c r="H113" s="36" t="s">
        <v>263</v>
      </c>
      <c r="I113" s="37" t="s">
        <v>309</v>
      </c>
      <c r="J113" s="37" t="s">
        <v>295</v>
      </c>
      <c r="K113" s="27"/>
      <c r="L113" s="27"/>
      <c r="M113" s="27" t="s">
        <v>351</v>
      </c>
      <c r="N113" s="27"/>
      <c r="O113" s="30" t="s">
        <v>2182</v>
      </c>
      <c r="P113" s="1" t="s">
        <v>264</v>
      </c>
      <c r="Q113" s="29" t="s">
        <v>265</v>
      </c>
      <c r="R113" s="27" t="s">
        <v>298</v>
      </c>
      <c r="S113" s="27"/>
    </row>
    <row r="114" spans="1:19" ht="24" customHeight="1">
      <c r="A114" s="27" t="str">
        <f ca="1">IF(OR(D114&lt;&gt;"", F114&lt;&gt;"", L114&lt;&gt;"", O114&lt;&gt;""), "EVT-2026-" &amp; TEXT(COUNTIF('DT-3 Jan26'!$A$3:$A$500, "EVT*") + COUNTIF('DT-4 Jan26'!$A$3:$A$500, "EVT*") + COUNTIF('DT-3 Feb26'!$A$3:$A$500, "EVT*") + COUNTIF(OFFSET($A$1, 1, 0, ROW()-2, 1), "EVT*") + 1, "0000"), "")</f>
        <v>EVT-2026-0220</v>
      </c>
      <c r="B114" s="30">
        <v>46079</v>
      </c>
      <c r="C114" s="27" t="s">
        <v>216</v>
      </c>
      <c r="D114" s="27" t="s">
        <v>125</v>
      </c>
      <c r="E114" s="27" t="s">
        <v>228</v>
      </c>
      <c r="F114" s="27" t="s">
        <v>658</v>
      </c>
      <c r="G114" s="10">
        <v>40</v>
      </c>
      <c r="H114" s="36" t="s">
        <v>263</v>
      </c>
      <c r="I114" s="37" t="s">
        <v>359</v>
      </c>
      <c r="J114" s="37" t="s">
        <v>290</v>
      </c>
      <c r="K114" s="27"/>
      <c r="L114" s="27" t="s">
        <v>659</v>
      </c>
      <c r="M114" s="27" t="s">
        <v>660</v>
      </c>
      <c r="N114" s="27"/>
      <c r="O114" s="30" t="s">
        <v>2199</v>
      </c>
      <c r="P114" s="1" t="s">
        <v>264</v>
      </c>
      <c r="Q114" s="29" t="s">
        <v>265</v>
      </c>
      <c r="R114" s="27" t="s">
        <v>298</v>
      </c>
      <c r="S114" s="27"/>
    </row>
    <row r="115" spans="1:19" ht="24" customHeight="1">
      <c r="A115" s="27" t="str">
        <f ca="1">IF(OR(D115&lt;&gt;"", F115&lt;&gt;"", L115&lt;&gt;"", O115&lt;&gt;""), "EVT-2026-" &amp; TEXT(COUNTIF('DT-3 Jan26'!$A$3:$A$500, "EVT*") + COUNTIF('DT-4 Jan26'!$A$3:$A$500, "EVT*") + COUNTIF('DT-3 Feb26'!$A$3:$A$500, "EVT*") + COUNTIF(OFFSET($A$1, 1, 0, ROW()-2, 1), "EVT*") + 1, "0000"), "")</f>
        <v>EVT-2026-0221</v>
      </c>
      <c r="B115" s="30">
        <v>46079</v>
      </c>
      <c r="C115" s="27" t="s">
        <v>216</v>
      </c>
      <c r="D115" s="27" t="s">
        <v>634</v>
      </c>
      <c r="E115" s="27" t="s">
        <v>202</v>
      </c>
      <c r="F115" s="27" t="s">
        <v>440</v>
      </c>
      <c r="G115" s="10">
        <v>1</v>
      </c>
      <c r="H115" s="36" t="s">
        <v>263</v>
      </c>
      <c r="I115" s="37" t="s">
        <v>269</v>
      </c>
      <c r="J115" s="37" t="s">
        <v>270</v>
      </c>
      <c r="K115" s="27"/>
      <c r="L115" s="27"/>
      <c r="M115" s="27" t="s">
        <v>379</v>
      </c>
      <c r="N115" s="27"/>
      <c r="O115" s="30" t="s">
        <v>2178</v>
      </c>
      <c r="P115" s="1" t="s">
        <v>264</v>
      </c>
      <c r="Q115" s="29" t="s">
        <v>265</v>
      </c>
      <c r="R115" s="27" t="s">
        <v>635</v>
      </c>
      <c r="S115" s="27"/>
    </row>
    <row r="116" spans="1:19" ht="24" customHeight="1">
      <c r="A116" s="27" t="str">
        <f ca="1">IF(OR(D116&lt;&gt;"", F116&lt;&gt;"", L116&lt;&gt;"", O116&lt;&gt;""), "EVT-2026-" &amp; TEXT(COUNTIF('DT-3 Jan26'!$A$3:$A$500, "EVT*") + COUNTIF('DT-4 Jan26'!$A$3:$A$500, "EVT*") + COUNTIF('DT-3 Feb26'!$A$3:$A$500, "EVT*") + COUNTIF(OFFSET($A$1, 1, 0, ROW()-2, 1), "EVT*") + 1, "0000"), "")</f>
        <v>EVT-2026-0222</v>
      </c>
      <c r="B116" s="30">
        <v>46080</v>
      </c>
      <c r="C116" s="27" t="s">
        <v>220</v>
      </c>
      <c r="D116" s="27" t="s">
        <v>634</v>
      </c>
      <c r="E116" s="27" t="s">
        <v>202</v>
      </c>
      <c r="F116" s="27" t="s">
        <v>440</v>
      </c>
      <c r="G116" s="10">
        <v>1</v>
      </c>
      <c r="H116" s="36" t="s">
        <v>263</v>
      </c>
      <c r="I116" s="37" t="s">
        <v>269</v>
      </c>
      <c r="J116" s="37" t="s">
        <v>270</v>
      </c>
      <c r="K116" s="27"/>
      <c r="L116" s="27"/>
      <c r="M116" s="27" t="s">
        <v>379</v>
      </c>
      <c r="N116" s="27"/>
      <c r="O116" s="30" t="s">
        <v>2178</v>
      </c>
      <c r="P116" s="1" t="s">
        <v>264</v>
      </c>
      <c r="Q116" s="29" t="s">
        <v>265</v>
      </c>
      <c r="R116" s="27" t="s">
        <v>635</v>
      </c>
      <c r="S116" s="27"/>
    </row>
    <row r="117" spans="1:19" ht="24" customHeight="1">
      <c r="A117" s="27" t="str">
        <f ca="1">IF(OR(D117&lt;&gt;"", F117&lt;&gt;"", L117&lt;&gt;"", O117&lt;&gt;""), "EVT-2026-" &amp; TEXT(COUNTIF('DT-3 Jan26'!$A$3:$A$500, "EVT*") + COUNTIF('DT-4 Jan26'!$A$3:$A$500, "EVT*") + COUNTIF('DT-3 Feb26'!$A$3:$A$500, "EVT*") + COUNTIF(OFFSET($A$1, 1, 0, ROW()-2, 1), "EVT*") + 1, "0000"), "")</f>
        <v>EVT-2026-0223</v>
      </c>
      <c r="B117" s="30">
        <v>46080</v>
      </c>
      <c r="C117" s="27" t="s">
        <v>220</v>
      </c>
      <c r="D117" s="27" t="s">
        <v>348</v>
      </c>
      <c r="E117" s="27" t="s">
        <v>208</v>
      </c>
      <c r="F117" s="27" t="s">
        <v>368</v>
      </c>
      <c r="G117" s="10">
        <v>30</v>
      </c>
      <c r="H117" s="36" t="s">
        <v>263</v>
      </c>
      <c r="I117" s="37" t="s">
        <v>309</v>
      </c>
      <c r="J117" s="37" t="s">
        <v>270</v>
      </c>
      <c r="K117" s="27"/>
      <c r="L117" s="27" t="s">
        <v>369</v>
      </c>
      <c r="M117" s="27" t="s">
        <v>370</v>
      </c>
      <c r="N117" s="27"/>
      <c r="O117" s="30">
        <v>46008</v>
      </c>
      <c r="P117" s="1" t="s">
        <v>264</v>
      </c>
      <c r="Q117" s="29" t="s">
        <v>265</v>
      </c>
      <c r="R117" s="27" t="s">
        <v>298</v>
      </c>
      <c r="S117" s="27"/>
    </row>
    <row r="118" spans="1:19" ht="24" customHeight="1">
      <c r="A118" s="27" t="str">
        <f ca="1">IF(OR(D118&lt;&gt;"", F118&lt;&gt;"", L118&lt;&gt;"", O118&lt;&gt;""), "EVT-2026-" &amp; TEXT(COUNTIF('DT-3 Jan26'!$A$3:$A$500, "EVT*") + COUNTIF('DT-4 Jan26'!$A$3:$A$500, "EVT*") + COUNTIF('DT-3 Feb26'!$A$3:$A$500, "EVT*") + COUNTIF(OFFSET($A$1, 1, 0, ROW()-2, 1), "EVT*") + 1, "0000"), "")</f>
        <v>EVT-2026-0224</v>
      </c>
      <c r="B118" s="30">
        <v>46080</v>
      </c>
      <c r="C118" s="27" t="s">
        <v>220</v>
      </c>
      <c r="D118" s="27" t="s">
        <v>496</v>
      </c>
      <c r="E118" s="27" t="s">
        <v>228</v>
      </c>
      <c r="F118" s="27" t="s">
        <v>344</v>
      </c>
      <c r="G118" s="10"/>
      <c r="H118" s="36" t="s">
        <v>263</v>
      </c>
      <c r="I118" s="37" t="s">
        <v>269</v>
      </c>
      <c r="J118" s="37" t="s">
        <v>270</v>
      </c>
      <c r="K118" s="27"/>
      <c r="L118" s="27"/>
      <c r="M118" s="27" t="s">
        <v>621</v>
      </c>
      <c r="N118" s="27"/>
      <c r="O118" s="30" t="s">
        <v>2178</v>
      </c>
      <c r="P118" s="1" t="s">
        <v>264</v>
      </c>
      <c r="Q118" s="29" t="s">
        <v>265</v>
      </c>
      <c r="R118" s="27" t="s">
        <v>661</v>
      </c>
      <c r="S118" s="27"/>
    </row>
    <row r="119" spans="1:19" ht="24" customHeight="1">
      <c r="A119" s="27" t="str">
        <f ca="1">IF(OR(D119&lt;&gt;"", F119&lt;&gt;"", L119&lt;&gt;"", O119&lt;&gt;""), "EVT-2026-" &amp; TEXT(COUNTIF('DT-3 Jan26'!$A$3:$A$500, "EVT*") + COUNTIF('DT-4 Jan26'!$A$3:$A$500, "EVT*") + COUNTIF('DT-3 Feb26'!$A$3:$A$500, "EVT*") + COUNTIF(OFFSET($A$1, 1, 0, ROW()-2, 1), "EVT*") + 1, "0000"), "")</f>
        <v/>
      </c>
      <c r="B119" s="30">
        <v>46080</v>
      </c>
      <c r="C119" s="27" t="s">
        <v>220</v>
      </c>
      <c r="D119" s="27"/>
      <c r="E119" s="27"/>
      <c r="F119" s="27"/>
      <c r="G119" s="10"/>
      <c r="H119" s="36" t="s">
        <v>263</v>
      </c>
      <c r="I119" s="37"/>
      <c r="J119" s="37"/>
      <c r="K119" s="27"/>
      <c r="L119" s="27"/>
      <c r="M119" s="27"/>
      <c r="N119" s="27"/>
      <c r="O119" s="27"/>
      <c r="P119" s="1" t="s">
        <v>264</v>
      </c>
      <c r="Q119" s="29" t="s">
        <v>265</v>
      </c>
      <c r="R119" s="27"/>
      <c r="S119" s="27"/>
    </row>
    <row r="120" spans="1:19" ht="24" customHeight="1">
      <c r="A120" s="27" t="str">
        <f ca="1">IF(OR(D120&lt;&gt;"", F120&lt;&gt;"", L120&lt;&gt;"", O120&lt;&gt;""), "EVT-2026-" &amp; TEXT(COUNTIF('DT-3 Jan26'!$A$3:$A$500, "EVT*") + COUNTIF('DT-4 Jan26'!$A$3:$A$500, "EVT*") + COUNTIF('DT-3 Feb26'!$A$3:$A$500, "EVT*") + COUNTIF(OFFSET($A$1, 1, 0, ROW()-2, 1), "EVT*") + 1, "0000"), "")</f>
        <v>EVT-2026-0225</v>
      </c>
      <c r="B120" s="30">
        <v>46080</v>
      </c>
      <c r="C120" s="27" t="s">
        <v>220</v>
      </c>
      <c r="D120" s="27" t="s">
        <v>611</v>
      </c>
      <c r="E120" s="27" t="s">
        <v>202</v>
      </c>
      <c r="F120" s="27" t="s">
        <v>612</v>
      </c>
      <c r="G120" s="10"/>
      <c r="H120" s="36" t="s">
        <v>263</v>
      </c>
      <c r="I120" s="37" t="s">
        <v>359</v>
      </c>
      <c r="J120" s="37" t="s">
        <v>290</v>
      </c>
      <c r="K120" s="27"/>
      <c r="L120" s="27"/>
      <c r="M120" s="27" t="s">
        <v>608</v>
      </c>
      <c r="N120" s="27"/>
      <c r="O120" s="30" t="s">
        <v>2167</v>
      </c>
      <c r="P120" s="1" t="s">
        <v>264</v>
      </c>
      <c r="Q120" s="29" t="s">
        <v>265</v>
      </c>
      <c r="R120" s="27"/>
      <c r="S120" s="27"/>
    </row>
    <row r="121" spans="1:19" ht="24" customHeight="1">
      <c r="A121" s="27" t="str">
        <f ca="1">IF(OR(D121&lt;&gt;"", F121&lt;&gt;"", L121&lt;&gt;"", O121&lt;&gt;""), "EVT-2026-" &amp; TEXT(COUNTIF('DT-3 Jan26'!$A$3:$A$500, "EVT*") + COUNTIF('DT-4 Jan26'!$A$3:$A$500, "EVT*") + COUNTIF('DT-3 Feb26'!$A$3:$A$500, "EVT*") + COUNTIF(OFFSET($A$1, 1, 0, ROW()-2, 1), "EVT*") + 1, "0000"), "")</f>
        <v>EVT-2026-0226</v>
      </c>
      <c r="B121" s="30">
        <v>46081</v>
      </c>
      <c r="C121" s="27" t="s">
        <v>266</v>
      </c>
      <c r="D121" s="27" t="s">
        <v>300</v>
      </c>
      <c r="E121" s="27"/>
      <c r="F121" s="27"/>
      <c r="G121" s="10"/>
      <c r="H121" s="36" t="s">
        <v>263</v>
      </c>
      <c r="I121" s="37"/>
      <c r="J121" s="37"/>
      <c r="K121" s="27"/>
      <c r="L121" s="27"/>
      <c r="M121" s="27" t="s">
        <v>494</v>
      </c>
      <c r="N121" s="27"/>
      <c r="O121" s="27"/>
      <c r="P121" s="1" t="s">
        <v>264</v>
      </c>
      <c r="Q121" s="29" t="s">
        <v>265</v>
      </c>
      <c r="R121" s="27" t="s">
        <v>488</v>
      </c>
      <c r="S121" s="27"/>
    </row>
  </sheetData>
  <mergeCells count="3">
    <mergeCell ref="O1:S1"/>
    <mergeCell ref="A1:C1"/>
    <mergeCell ref="D1:N1"/>
  </mergeCells>
  <dataValidations count="4">
    <dataValidation type="list" allowBlank="1" sqref="O3:O500 P3:P121" xr:uid="{00000000-0002-0000-0500-000000000000}">
      <formula1>"Confirmed (Done),Pending Calendar Booking,Canceled"</formula1>
    </dataValidation>
    <dataValidation type="list" allowBlank="1" sqref="P3:P171" xr:uid="{00000000-0002-0000-0500-000001000000}">
      <formula1>"Form sent,NA"</formula1>
    </dataValidation>
    <dataValidation type="list" allowBlank="1" sqref="Q3:Q121" xr:uid="{00000000-0002-0000-0500-000002000000}">
      <formula1>"Form sent,Not Required,NA"</formula1>
    </dataValidation>
    <dataValidation type="list" allowBlank="1" sqref="H3:H121" xr:uid="{00000000-0002-0000-0500-000003000000}">
      <formula1>"Big Event,Small Event"</formula1>
    </dataValidation>
  </dataValidations>
  <hyperlinks>
    <hyperlink ref="A1" location="'Dashboard'!A1" display="🏠 ⮌ RETURN TO DASHBOARD"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1"/>
  <sheetViews>
    <sheetView workbookViewId="0">
      <pane ySplit="2" topLeftCell="A3" activePane="bottomLeft" state="frozen"/>
      <selection pane="bottomLeft"/>
    </sheetView>
  </sheetViews>
  <sheetFormatPr defaultRowHeight="14.45"/>
  <cols>
    <col min="1" max="1" width="18" customWidth="1"/>
    <col min="2" max="2" width="15" customWidth="1"/>
    <col min="3" max="3" width="12" customWidth="1"/>
    <col min="4" max="4" width="27" customWidth="1"/>
    <col min="5" max="5" width="43" customWidth="1"/>
    <col min="6" max="6" width="12" customWidth="1"/>
    <col min="7" max="7" width="15" customWidth="1"/>
    <col min="8" max="8" width="19" customWidth="1"/>
    <col min="9" max="9" width="17" customWidth="1"/>
    <col min="10" max="10" width="18" customWidth="1"/>
    <col min="11" max="11" width="48" customWidth="1"/>
    <col min="12" max="12" width="20" customWidth="1"/>
    <col min="13" max="13" width="25" customWidth="1"/>
    <col min="14" max="14" width="17" customWidth="1"/>
    <col min="15" max="15" width="25" customWidth="1"/>
    <col min="16" max="16" width="18" customWidth="1"/>
    <col min="17" max="17" width="48" customWidth="1"/>
    <col min="18" max="18" width="22" customWidth="1"/>
  </cols>
  <sheetData>
    <row r="1" spans="1:18" ht="27.95" customHeight="1">
      <c r="A1" s="62" t="s">
        <v>2138</v>
      </c>
      <c r="B1" s="134"/>
      <c r="C1" s="135"/>
      <c r="D1" s="63" t="s">
        <v>2200</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COUNTIF(OFFSET($A$1, 1, 0, ROW()-2, 1), "EVT*") + 1, "0000"), "")</f>
        <v/>
      </c>
      <c r="B3" s="30">
        <v>46082</v>
      </c>
      <c r="C3" s="27" t="s">
        <v>267</v>
      </c>
      <c r="D3" s="27"/>
      <c r="E3" s="27"/>
      <c r="F3" s="10"/>
      <c r="G3" s="36" t="s">
        <v>263</v>
      </c>
      <c r="H3" s="37"/>
      <c r="I3" s="37"/>
      <c r="J3" s="27"/>
      <c r="K3" s="27"/>
      <c r="L3" s="27"/>
      <c r="M3" s="27"/>
      <c r="N3" s="27"/>
      <c r="O3" s="1" t="s">
        <v>264</v>
      </c>
      <c r="P3" s="29" t="s">
        <v>265</v>
      </c>
      <c r="Q3" s="27"/>
      <c r="R3" s="27"/>
    </row>
    <row r="4" spans="1:18" ht="24" customHeight="1">
      <c r="A4" s="27" t="str">
        <f ca="1">IF(OR(D4&lt;&gt;"", E4&lt;&gt;"", K4&lt;&gt;"", N4&lt;&gt;""), "EVT-2026-" &amp; TEXT(COUNTIF('DT-3 Jan26'!$A$3:$A$500, "EVT*") + COUNTIF('DT-4 Jan26'!$A$3:$A$500, "EVT*") + COUNTIF('DT-3 Feb26'!$A$3:$A$500, "EVT*") + COUNTIF('DT-4 Feb26'!$A$3:$A$500, "EVT*") + COUNTIF(OFFSET($A$1, 1, 0, ROW()-2, 1), "EVT*") + 1, "0000"), "")</f>
        <v/>
      </c>
      <c r="B4" s="30">
        <v>46083</v>
      </c>
      <c r="C4" s="27" t="s">
        <v>224</v>
      </c>
      <c r="D4" s="27"/>
      <c r="E4" s="27"/>
      <c r="F4" s="10"/>
      <c r="G4" s="36" t="s">
        <v>263</v>
      </c>
      <c r="H4" s="37"/>
      <c r="I4" s="37"/>
      <c r="J4" s="27"/>
      <c r="K4" s="27"/>
      <c r="L4" s="27"/>
      <c r="M4" s="27"/>
      <c r="N4" s="27"/>
      <c r="O4" s="1" t="s">
        <v>264</v>
      </c>
      <c r="P4" s="29" t="s">
        <v>265</v>
      </c>
      <c r="Q4" s="27"/>
      <c r="R4" s="27"/>
    </row>
    <row r="5" spans="1:18" ht="24" customHeight="1">
      <c r="A5" s="27" t="str">
        <f ca="1">IF(OR(D5&lt;&gt;"", E5&lt;&gt;"", K5&lt;&gt;"", N5&lt;&gt;""), "EVT-2026-" &amp; TEXT(COUNTIF('DT-3 Jan26'!$A$3:$A$500, "EVT*") + COUNTIF('DT-4 Jan26'!$A$3:$A$500, "EVT*") + COUNTIF('DT-3 Feb26'!$A$3:$A$500, "EVT*") + COUNTIF('DT-4 Feb26'!$A$3:$A$500, "EVT*") + COUNTIF(OFFSET($A$1, 1, 0, ROW()-2, 1), "EVT*") + 1, "0000"), "")</f>
        <v/>
      </c>
      <c r="B5" s="30">
        <v>46083</v>
      </c>
      <c r="C5" s="27" t="s">
        <v>224</v>
      </c>
      <c r="D5" s="27"/>
      <c r="E5" s="27"/>
      <c r="F5" s="10"/>
      <c r="G5" s="36" t="s">
        <v>263</v>
      </c>
      <c r="H5" s="37"/>
      <c r="I5" s="37"/>
      <c r="J5" s="27"/>
      <c r="K5" s="27"/>
      <c r="L5" s="27"/>
      <c r="M5" s="27"/>
      <c r="N5" s="27"/>
      <c r="O5" s="1" t="s">
        <v>264</v>
      </c>
      <c r="P5" s="29" t="s">
        <v>265</v>
      </c>
      <c r="Q5" s="27"/>
      <c r="R5" s="27"/>
    </row>
    <row r="6" spans="1:18" ht="24" customHeight="1">
      <c r="A6" s="27" t="str">
        <f ca="1">IF(OR(D6&lt;&gt;"", E6&lt;&gt;"", K6&lt;&gt;"", N6&lt;&gt;""), "EVT-2026-" &amp; TEXT(COUNTIF('DT-3 Jan26'!$A$3:$A$500, "EVT*") + COUNTIF('DT-4 Jan26'!$A$3:$A$500, "EVT*") + COUNTIF('DT-3 Feb26'!$A$3:$A$500, "EVT*") + COUNTIF('DT-4 Feb26'!$A$3:$A$500, "EVT*") + COUNTIF(OFFSET($A$1, 1, 0, ROW()-2, 1), "EVT*") + 1, "0000"), "")</f>
        <v/>
      </c>
      <c r="B6" s="30">
        <v>46085</v>
      </c>
      <c r="C6" s="27" t="s">
        <v>201</v>
      </c>
      <c r="D6" s="27"/>
      <c r="E6" s="27"/>
      <c r="F6" s="10"/>
      <c r="G6" s="36" t="s">
        <v>263</v>
      </c>
      <c r="H6" s="37"/>
      <c r="I6" s="37"/>
      <c r="J6" s="27"/>
      <c r="K6" s="27"/>
      <c r="L6" s="27"/>
      <c r="M6" s="27"/>
      <c r="N6" s="27"/>
      <c r="O6" s="1" t="s">
        <v>264</v>
      </c>
      <c r="P6" s="29" t="s">
        <v>265</v>
      </c>
      <c r="Q6" s="27"/>
      <c r="R6" s="27"/>
    </row>
    <row r="7" spans="1:18" ht="24" customHeight="1">
      <c r="A7" s="27" t="str">
        <f ca="1">IF(OR(D7&lt;&gt;"", E7&lt;&gt;"", K7&lt;&gt;"", N7&lt;&gt;""), "EVT-2026-" &amp; TEXT(COUNTIF('DT-3 Jan26'!$A$3:$A$500, "EVT*") + COUNTIF('DT-4 Jan26'!$A$3:$A$500, "EVT*") + COUNTIF('DT-3 Feb26'!$A$3:$A$500, "EVT*") + COUNTIF('DT-4 Feb26'!$A$3:$A$500, "EVT*") + COUNTIF(OFFSET($A$1, 1, 0, ROW()-2, 1), "EVT*") + 1, "0000"), "")</f>
        <v>EVT-2026-0227</v>
      </c>
      <c r="B7" s="30">
        <v>46086</v>
      </c>
      <c r="C7" s="27" t="s">
        <v>216</v>
      </c>
      <c r="D7" s="27" t="s">
        <v>662</v>
      </c>
      <c r="E7" s="27" t="s">
        <v>663</v>
      </c>
      <c r="F7" s="10"/>
      <c r="G7" s="36" t="s">
        <v>263</v>
      </c>
      <c r="H7" s="37" t="s">
        <v>269</v>
      </c>
      <c r="I7" s="37" t="s">
        <v>270</v>
      </c>
      <c r="J7" s="27"/>
      <c r="K7" s="27"/>
      <c r="L7" s="27" t="s">
        <v>479</v>
      </c>
      <c r="M7" s="27"/>
      <c r="N7" s="30" t="s">
        <v>2201</v>
      </c>
      <c r="O7" s="1" t="s">
        <v>264</v>
      </c>
      <c r="P7" s="29" t="s">
        <v>265</v>
      </c>
      <c r="Q7" s="27" t="s">
        <v>664</v>
      </c>
      <c r="R7" s="27"/>
    </row>
    <row r="8" spans="1:18" ht="24" customHeight="1">
      <c r="A8" s="27" t="str">
        <f ca="1">IF(OR(D8&lt;&gt;"", E8&lt;&gt;"", K8&lt;&gt;"", N8&lt;&gt;""), "EVT-2026-" &amp; TEXT(COUNTIF('DT-3 Jan26'!$A$3:$A$500, "EVT*") + COUNTIF('DT-4 Jan26'!$A$3:$A$500, "EVT*") + COUNTIF('DT-3 Feb26'!$A$3:$A$500, "EVT*") + COUNTIF('DT-4 Feb26'!$A$3:$A$500, "EVT*") + COUNTIF(OFFSET($A$1, 1, 0, ROW()-2, 1), "EVT*") + 1, "0000"), "")</f>
        <v>EVT-2026-0228</v>
      </c>
      <c r="B8" s="30">
        <v>46087</v>
      </c>
      <c r="C8" s="27" t="s">
        <v>220</v>
      </c>
      <c r="D8" s="27" t="s">
        <v>662</v>
      </c>
      <c r="E8" s="27" t="s">
        <v>663</v>
      </c>
      <c r="F8" s="10"/>
      <c r="G8" s="36" t="s">
        <v>263</v>
      </c>
      <c r="H8" s="37" t="s">
        <v>269</v>
      </c>
      <c r="I8" s="37" t="s">
        <v>270</v>
      </c>
      <c r="J8" s="27"/>
      <c r="K8" s="27"/>
      <c r="L8" s="27" t="s">
        <v>479</v>
      </c>
      <c r="M8" s="27"/>
      <c r="N8" s="30" t="s">
        <v>2201</v>
      </c>
      <c r="O8" s="1" t="s">
        <v>264</v>
      </c>
      <c r="P8" s="29" t="s">
        <v>265</v>
      </c>
      <c r="Q8" s="27" t="s">
        <v>664</v>
      </c>
      <c r="R8" s="27"/>
    </row>
    <row r="9" spans="1:18" ht="24" customHeight="1">
      <c r="A9" s="27" t="str">
        <f ca="1">IF(OR(D9&lt;&gt;"", E9&lt;&gt;"", K9&lt;&gt;"", N9&lt;&gt;""), "EVT-2026-" &amp; TEXT(COUNTIF('DT-3 Jan26'!$A$3:$A$500, "EVT*") + COUNTIF('DT-4 Jan26'!$A$3:$A$500, "EVT*") + COUNTIF('DT-3 Feb26'!$A$3:$A$500, "EVT*") + COUNTIF('DT-4 Feb26'!$A$3:$A$500, "EVT*") + COUNTIF(OFFSET($A$1, 1, 0, ROW()-2, 1), "EVT*") + 1, "0000"), "")</f>
        <v>EVT-2026-0229</v>
      </c>
      <c r="B9" s="30">
        <v>46088</v>
      </c>
      <c r="C9" s="27" t="s">
        <v>266</v>
      </c>
      <c r="D9" s="27" t="s">
        <v>300</v>
      </c>
      <c r="E9" s="27"/>
      <c r="F9" s="10" t="s">
        <v>2202</v>
      </c>
      <c r="G9" s="38" t="s">
        <v>294</v>
      </c>
      <c r="H9" s="37" t="s">
        <v>269</v>
      </c>
      <c r="I9" s="37" t="s">
        <v>270</v>
      </c>
      <c r="J9" s="27"/>
      <c r="K9" s="27"/>
      <c r="L9" s="27" t="s">
        <v>570</v>
      </c>
      <c r="M9" s="27"/>
      <c r="N9" s="27"/>
      <c r="O9" s="1" t="s">
        <v>264</v>
      </c>
      <c r="P9" s="29" t="s">
        <v>265</v>
      </c>
      <c r="Q9" s="27" t="s">
        <v>665</v>
      </c>
      <c r="R9" s="27"/>
    </row>
    <row r="10" spans="1:18" ht="24" customHeight="1">
      <c r="A10" s="27" t="str">
        <f ca="1">IF(OR(D10&lt;&gt;"", E10&lt;&gt;"", K10&lt;&gt;"", N10&lt;&gt;""), "EVT-2026-" &amp; TEXT(COUNTIF('DT-3 Jan26'!$A$3:$A$500, "EVT*") + COUNTIF('DT-4 Jan26'!$A$3:$A$500, "EVT*") + COUNTIF('DT-3 Feb26'!$A$3:$A$500, "EVT*") + COUNTIF('DT-4 Feb26'!$A$3:$A$500, "EVT*") + COUNTIF(OFFSET($A$1, 1, 0, ROW()-2, 1), "EVT*") + 1, "0000"), "")</f>
        <v/>
      </c>
      <c r="B10" s="30">
        <v>46089</v>
      </c>
      <c r="C10" s="27" t="s">
        <v>267</v>
      </c>
      <c r="D10" s="27"/>
      <c r="E10" s="27"/>
      <c r="F10" s="10"/>
      <c r="G10" s="36" t="s">
        <v>263</v>
      </c>
      <c r="H10" s="37"/>
      <c r="I10" s="37"/>
      <c r="J10" s="27"/>
      <c r="K10" s="27"/>
      <c r="L10" s="27"/>
      <c r="M10" s="27"/>
      <c r="N10" s="27"/>
      <c r="O10" s="1" t="s">
        <v>264</v>
      </c>
      <c r="P10" s="29" t="s">
        <v>265</v>
      </c>
      <c r="Q10" s="27"/>
      <c r="R10" s="27"/>
    </row>
    <row r="11" spans="1:18" ht="24" customHeight="1">
      <c r="A11" s="27" t="str">
        <f ca="1">IF(OR(D11&lt;&gt;"", E11&lt;&gt;"", K11&lt;&gt;"", N11&lt;&gt;""), "EVT-2026-" &amp; TEXT(COUNTIF('DT-3 Jan26'!$A$3:$A$500, "EVT*") + COUNTIF('DT-4 Jan26'!$A$3:$A$500, "EVT*") + COUNTIF('DT-3 Feb26'!$A$3:$A$500, "EVT*") + COUNTIF('DT-4 Feb26'!$A$3:$A$500, "EVT*") + COUNTIF(OFFSET($A$1, 1, 0, ROW()-2, 1), "EVT*") + 1, "0000"), "")</f>
        <v>EVT-2026-0230</v>
      </c>
      <c r="B11" s="30">
        <v>46090</v>
      </c>
      <c r="C11" s="27" t="s">
        <v>224</v>
      </c>
      <c r="D11" s="27" t="s">
        <v>326</v>
      </c>
      <c r="E11" s="27" t="s">
        <v>236</v>
      </c>
      <c r="F11" s="10">
        <v>40</v>
      </c>
      <c r="G11" s="36" t="s">
        <v>263</v>
      </c>
      <c r="H11" s="37" t="s">
        <v>269</v>
      </c>
      <c r="I11" s="37" t="s">
        <v>270</v>
      </c>
      <c r="J11" s="27"/>
      <c r="K11" s="27"/>
      <c r="L11" s="27" t="s">
        <v>237</v>
      </c>
      <c r="M11" s="27"/>
      <c r="N11" s="27"/>
      <c r="O11" s="1" t="s">
        <v>264</v>
      </c>
      <c r="P11" s="29" t="s">
        <v>265</v>
      </c>
      <c r="Q11" s="27" t="s">
        <v>666</v>
      </c>
      <c r="R11" s="27"/>
    </row>
    <row r="12" spans="1:18" ht="24" customHeight="1">
      <c r="A12" s="27" t="str">
        <f ca="1">IF(OR(D12&lt;&gt;"", E12&lt;&gt;"", K12&lt;&gt;"", N12&lt;&gt;""), "EVT-2026-" &amp; TEXT(COUNTIF('DT-3 Jan26'!$A$3:$A$500, "EVT*") + COUNTIF('DT-4 Jan26'!$A$3:$A$500, "EVT*") + COUNTIF('DT-3 Feb26'!$A$3:$A$500, "EVT*") + COUNTIF('DT-4 Feb26'!$A$3:$A$500, "EVT*") + COUNTIF(OFFSET($A$1, 1, 0, ROW()-2, 1), "EVT*") + 1, "0000"), "")</f>
        <v>EVT-2026-0231</v>
      </c>
      <c r="B12" s="30">
        <v>46090</v>
      </c>
      <c r="C12" s="27" t="s">
        <v>224</v>
      </c>
      <c r="D12" s="27" t="s">
        <v>171</v>
      </c>
      <c r="E12" s="27" t="s">
        <v>236</v>
      </c>
      <c r="F12" s="10">
        <v>40</v>
      </c>
      <c r="G12" s="36" t="s">
        <v>263</v>
      </c>
      <c r="H12" s="37" t="s">
        <v>269</v>
      </c>
      <c r="I12" s="37" t="s">
        <v>270</v>
      </c>
      <c r="J12" s="27"/>
      <c r="K12" s="27"/>
      <c r="L12" s="27" t="s">
        <v>237</v>
      </c>
      <c r="M12" s="27"/>
      <c r="N12" s="27"/>
      <c r="O12" s="1" t="s">
        <v>264</v>
      </c>
      <c r="P12" s="29" t="s">
        <v>265</v>
      </c>
      <c r="Q12" s="27" t="s">
        <v>667</v>
      </c>
      <c r="R12" s="27"/>
    </row>
    <row r="13" spans="1:18" ht="24" customHeight="1">
      <c r="A13" s="27" t="str">
        <f ca="1">IF(OR(D13&lt;&gt;"", E13&lt;&gt;"", K13&lt;&gt;"", N13&lt;&gt;""), "EVT-2026-" &amp; TEXT(COUNTIF('DT-3 Jan26'!$A$3:$A$500, "EVT*") + COUNTIF('DT-4 Jan26'!$A$3:$A$500, "EVT*") + COUNTIF('DT-3 Feb26'!$A$3:$A$500, "EVT*") + COUNTIF('DT-4 Feb26'!$A$3:$A$500, "EVT*") + COUNTIF(OFFSET($A$1, 1, 0, ROW()-2, 1), "EVT*") + 1, "0000"), "")</f>
        <v>EVT-2026-0232</v>
      </c>
      <c r="B13" s="30">
        <v>46091</v>
      </c>
      <c r="C13" s="27" t="s">
        <v>227</v>
      </c>
      <c r="D13" s="27" t="s">
        <v>326</v>
      </c>
      <c r="E13" s="27" t="s">
        <v>668</v>
      </c>
      <c r="F13" s="10">
        <v>30</v>
      </c>
      <c r="G13" s="36" t="s">
        <v>263</v>
      </c>
      <c r="H13" s="37" t="s">
        <v>289</v>
      </c>
      <c r="I13" s="37" t="s">
        <v>270</v>
      </c>
      <c r="J13" s="27"/>
      <c r="K13" s="27"/>
      <c r="L13" s="27" t="s">
        <v>237</v>
      </c>
      <c r="M13" s="27"/>
      <c r="N13" s="27"/>
      <c r="O13" s="1" t="s">
        <v>264</v>
      </c>
      <c r="P13" s="29" t="s">
        <v>265</v>
      </c>
      <c r="Q13" s="27" t="s">
        <v>669</v>
      </c>
      <c r="R13" s="27"/>
    </row>
    <row r="14" spans="1:18" ht="24" customHeight="1">
      <c r="A14" s="27" t="str">
        <f ca="1">IF(OR(D14&lt;&gt;"", E14&lt;&gt;"", K14&lt;&gt;"", N14&lt;&gt;""), "EVT-2026-" &amp; TEXT(COUNTIF('DT-3 Jan26'!$A$3:$A$500, "EVT*") + COUNTIF('DT-4 Jan26'!$A$3:$A$500, "EVT*") + COUNTIF('DT-3 Feb26'!$A$3:$A$500, "EVT*") + COUNTIF('DT-4 Feb26'!$A$3:$A$500, "EVT*") + COUNTIF(OFFSET($A$1, 1, 0, ROW()-2, 1), "EVT*") + 1, "0000"), "")</f>
        <v>EVT-2026-0233</v>
      </c>
      <c r="B14" s="30">
        <v>46091</v>
      </c>
      <c r="C14" s="27" t="s">
        <v>227</v>
      </c>
      <c r="D14" s="27" t="s">
        <v>171</v>
      </c>
      <c r="E14" s="27" t="s">
        <v>670</v>
      </c>
      <c r="F14" s="10">
        <v>70</v>
      </c>
      <c r="G14" s="36" t="s">
        <v>263</v>
      </c>
      <c r="H14" s="37" t="s">
        <v>269</v>
      </c>
      <c r="I14" s="37" t="s">
        <v>274</v>
      </c>
      <c r="J14" s="27"/>
      <c r="K14" s="27"/>
      <c r="L14" s="27" t="s">
        <v>671</v>
      </c>
      <c r="M14" s="27"/>
      <c r="N14" s="27"/>
      <c r="O14" s="1" t="s">
        <v>264</v>
      </c>
      <c r="P14" s="29" t="s">
        <v>265</v>
      </c>
      <c r="Q14" s="27" t="s">
        <v>298</v>
      </c>
      <c r="R14" s="27"/>
    </row>
    <row r="15" spans="1:18" ht="24" customHeight="1">
      <c r="A15" s="27" t="str">
        <f ca="1">IF(OR(D15&lt;&gt;"", E15&lt;&gt;"", K15&lt;&gt;"", N15&lt;&gt;""), "EVT-2026-" &amp; TEXT(COUNTIF('DT-3 Jan26'!$A$3:$A$500, "EVT*") + COUNTIF('DT-4 Jan26'!$A$3:$A$500, "EVT*") + COUNTIF('DT-3 Feb26'!$A$3:$A$500, "EVT*") + COUNTIF('DT-4 Feb26'!$A$3:$A$500, "EVT*") + COUNTIF(OFFSET($A$1, 1, 0, ROW()-2, 1), "EVT*") + 1, "0000"), "")</f>
        <v>EVT-2026-0234</v>
      </c>
      <c r="B15" s="30">
        <v>46091</v>
      </c>
      <c r="C15" s="27" t="s">
        <v>227</v>
      </c>
      <c r="D15" s="27" t="s">
        <v>171</v>
      </c>
      <c r="E15" s="27" t="s">
        <v>672</v>
      </c>
      <c r="F15" s="10">
        <v>20</v>
      </c>
      <c r="G15" s="36" t="s">
        <v>263</v>
      </c>
      <c r="H15" s="37" t="s">
        <v>354</v>
      </c>
      <c r="I15" s="37" t="s">
        <v>350</v>
      </c>
      <c r="J15" s="27"/>
      <c r="K15" s="27"/>
      <c r="L15" s="27" t="s">
        <v>673</v>
      </c>
      <c r="M15" s="27"/>
      <c r="N15" s="27"/>
      <c r="O15" s="1" t="s">
        <v>264</v>
      </c>
      <c r="P15" s="29" t="s">
        <v>265</v>
      </c>
      <c r="Q15" s="27" t="s">
        <v>298</v>
      </c>
      <c r="R15" s="27"/>
    </row>
    <row r="16" spans="1:18" ht="24" customHeight="1">
      <c r="A16" s="27" t="str">
        <f ca="1">IF(OR(D16&lt;&gt;"", E16&lt;&gt;"", K16&lt;&gt;"", N16&lt;&gt;""), "EVT-2026-" &amp; TEXT(COUNTIF('DT-3 Jan26'!$A$3:$A$500, "EVT*") + COUNTIF('DT-4 Jan26'!$A$3:$A$500, "EVT*") + COUNTIF('DT-3 Feb26'!$A$3:$A$500, "EVT*") + COUNTIF('DT-4 Feb26'!$A$3:$A$500, "EVT*") + COUNTIF(OFFSET($A$1, 1, 0, ROW()-2, 1), "EVT*") + 1, "0000"), "")</f>
        <v>EVT-2026-0235</v>
      </c>
      <c r="B16" s="30">
        <v>46091</v>
      </c>
      <c r="C16" s="27" t="s">
        <v>227</v>
      </c>
      <c r="D16" s="27" t="s">
        <v>486</v>
      </c>
      <c r="E16" s="27" t="s">
        <v>674</v>
      </c>
      <c r="F16" s="10">
        <v>150</v>
      </c>
      <c r="G16" s="38" t="s">
        <v>294</v>
      </c>
      <c r="H16" s="37" t="s">
        <v>359</v>
      </c>
      <c r="I16" s="37" t="s">
        <v>270</v>
      </c>
      <c r="J16" s="27"/>
      <c r="K16" s="27"/>
      <c r="L16" s="27" t="s">
        <v>675</v>
      </c>
      <c r="M16" s="27"/>
      <c r="N16" s="27"/>
      <c r="O16" s="1" t="s">
        <v>264</v>
      </c>
      <c r="P16" s="29" t="s">
        <v>265</v>
      </c>
      <c r="Q16" s="27" t="s">
        <v>298</v>
      </c>
      <c r="R16" s="27"/>
    </row>
    <row r="17" spans="1:18" ht="24" customHeight="1">
      <c r="A17" s="27" t="str">
        <f ca="1">IF(OR(D17&lt;&gt;"", E17&lt;&gt;"", K17&lt;&gt;"", N17&lt;&gt;""), "EVT-2026-" &amp; TEXT(COUNTIF('DT-3 Jan26'!$A$3:$A$500, "EVT*") + COUNTIF('DT-4 Jan26'!$A$3:$A$500, "EVT*") + COUNTIF('DT-3 Feb26'!$A$3:$A$500, "EVT*") + COUNTIF('DT-4 Feb26'!$A$3:$A$500, "EVT*") + COUNTIF(OFFSET($A$1, 1, 0, ROW()-2, 1), "EVT*") + 1, "0000"), "")</f>
        <v>EVT-2026-0236</v>
      </c>
      <c r="B17" s="30">
        <v>46092</v>
      </c>
      <c r="C17" s="27" t="s">
        <v>201</v>
      </c>
      <c r="D17" s="27" t="s">
        <v>171</v>
      </c>
      <c r="E17" s="27"/>
      <c r="F17" s="10">
        <v>60</v>
      </c>
      <c r="G17" s="36" t="s">
        <v>263</v>
      </c>
      <c r="H17" s="37" t="s">
        <v>309</v>
      </c>
      <c r="I17" s="37" t="s">
        <v>295</v>
      </c>
      <c r="J17" s="27"/>
      <c r="K17" s="27"/>
      <c r="L17" s="27" t="s">
        <v>461</v>
      </c>
      <c r="M17" s="27"/>
      <c r="N17" s="27"/>
      <c r="O17" s="1" t="s">
        <v>264</v>
      </c>
      <c r="P17" s="29" t="s">
        <v>265</v>
      </c>
      <c r="Q17" s="27" t="s">
        <v>298</v>
      </c>
      <c r="R17" s="27"/>
    </row>
    <row r="18" spans="1:18" ht="24" customHeight="1">
      <c r="A18" s="27" t="str">
        <f ca="1">IF(OR(D18&lt;&gt;"", E18&lt;&gt;"", K18&lt;&gt;"", N18&lt;&gt;""), "EVT-2026-" &amp; TEXT(COUNTIF('DT-3 Jan26'!$A$3:$A$500, "EVT*") + COUNTIF('DT-4 Jan26'!$A$3:$A$500, "EVT*") + COUNTIF('DT-3 Feb26'!$A$3:$A$500, "EVT*") + COUNTIF('DT-4 Feb26'!$A$3:$A$500, "EVT*") + COUNTIF(OFFSET($A$1, 1, 0, ROW()-2, 1), "EVT*") + 1, "0000"), "")</f>
        <v>EVT-2026-0237</v>
      </c>
      <c r="B18" s="30">
        <v>46092</v>
      </c>
      <c r="C18" s="27" t="s">
        <v>201</v>
      </c>
      <c r="D18" s="27" t="s">
        <v>171</v>
      </c>
      <c r="E18" s="27" t="s">
        <v>676</v>
      </c>
      <c r="F18" s="10">
        <v>20</v>
      </c>
      <c r="G18" s="36" t="s">
        <v>263</v>
      </c>
      <c r="H18" s="37" t="s">
        <v>295</v>
      </c>
      <c r="I18" s="37" t="s">
        <v>359</v>
      </c>
      <c r="J18" s="27"/>
      <c r="K18" s="27"/>
      <c r="L18" s="27" t="s">
        <v>677</v>
      </c>
      <c r="M18" s="27"/>
      <c r="N18" s="30" t="s">
        <v>2203</v>
      </c>
      <c r="O18" s="1" t="s">
        <v>264</v>
      </c>
      <c r="P18" s="29" t="s">
        <v>265</v>
      </c>
      <c r="Q18" s="27" t="s">
        <v>298</v>
      </c>
      <c r="R18" s="27"/>
    </row>
    <row r="19" spans="1:18" ht="24" customHeight="1">
      <c r="A19" s="27" t="str">
        <f ca="1">IF(OR(D19&lt;&gt;"", E19&lt;&gt;"", K19&lt;&gt;"", N19&lt;&gt;""), "EVT-2026-" &amp; TEXT(COUNTIF('DT-3 Jan26'!$A$3:$A$500, "EVT*") + COUNTIF('DT-4 Jan26'!$A$3:$A$500, "EVT*") + COUNTIF('DT-3 Feb26'!$A$3:$A$500, "EVT*") + COUNTIF('DT-4 Feb26'!$A$3:$A$500, "EVT*") + COUNTIF(OFFSET($A$1, 1, 0, ROW()-2, 1), "EVT*") + 1, "0000"), "")</f>
        <v>EVT-2026-0238</v>
      </c>
      <c r="B19" s="30">
        <v>46092</v>
      </c>
      <c r="C19" s="27" t="s">
        <v>201</v>
      </c>
      <c r="D19" s="27" t="s">
        <v>486</v>
      </c>
      <c r="E19" s="27" t="s">
        <v>678</v>
      </c>
      <c r="F19" s="10">
        <v>150</v>
      </c>
      <c r="G19" s="38" t="s">
        <v>294</v>
      </c>
      <c r="H19" s="37" t="s">
        <v>295</v>
      </c>
      <c r="I19" s="37" t="s">
        <v>296</v>
      </c>
      <c r="J19" s="27"/>
      <c r="K19" s="27"/>
      <c r="L19" s="27" t="s">
        <v>450</v>
      </c>
      <c r="M19" s="27"/>
      <c r="N19" s="27"/>
      <c r="O19" s="3" t="s">
        <v>312</v>
      </c>
      <c r="P19" s="29" t="s">
        <v>265</v>
      </c>
      <c r="Q19" s="27" t="s">
        <v>298</v>
      </c>
      <c r="R19" s="27" t="s">
        <v>679</v>
      </c>
    </row>
    <row r="20" spans="1:18" ht="24" customHeight="1">
      <c r="A20" s="27" t="str">
        <f ca="1">IF(OR(D20&lt;&gt;"", E20&lt;&gt;"", K20&lt;&gt;"", N20&lt;&gt;""), "EVT-2026-" &amp; TEXT(COUNTIF('DT-3 Jan26'!$A$3:$A$500, "EVT*") + COUNTIF('DT-4 Jan26'!$A$3:$A$500, "EVT*") + COUNTIF('DT-3 Feb26'!$A$3:$A$500, "EVT*") + COUNTIF('DT-4 Feb26'!$A$3:$A$500, "EVT*") + COUNTIF(OFFSET($A$1, 1, 0, ROW()-2, 1), "EVT*") + 1, "0000"), "")</f>
        <v>EVT-2026-0239</v>
      </c>
      <c r="B20" s="30">
        <v>46093</v>
      </c>
      <c r="C20" s="27" t="s">
        <v>216</v>
      </c>
      <c r="D20" s="27" t="s">
        <v>171</v>
      </c>
      <c r="E20" s="27" t="s">
        <v>680</v>
      </c>
      <c r="F20" s="10"/>
      <c r="G20" s="36" t="s">
        <v>263</v>
      </c>
      <c r="H20" s="37" t="s">
        <v>281</v>
      </c>
      <c r="I20" s="37" t="s">
        <v>429</v>
      </c>
      <c r="J20" s="27"/>
      <c r="K20" s="27" t="s">
        <v>681</v>
      </c>
      <c r="L20" s="27" t="s">
        <v>682</v>
      </c>
      <c r="M20" s="27"/>
      <c r="N20" s="27"/>
      <c r="O20" s="1" t="s">
        <v>264</v>
      </c>
      <c r="P20" s="29" t="s">
        <v>265</v>
      </c>
      <c r="Q20" s="27" t="s">
        <v>298</v>
      </c>
      <c r="R20" s="27"/>
    </row>
    <row r="21" spans="1:18" ht="24" customHeight="1">
      <c r="A21" s="27" t="str">
        <f ca="1">IF(OR(D21&lt;&gt;"", E21&lt;&gt;"", K21&lt;&gt;"", N21&lt;&gt;""), "EVT-2026-" &amp; TEXT(COUNTIF('DT-3 Jan26'!$A$3:$A$500, "EVT*") + COUNTIF('DT-4 Jan26'!$A$3:$A$500, "EVT*") + COUNTIF('DT-3 Feb26'!$A$3:$A$500, "EVT*") + COUNTIF('DT-4 Feb26'!$A$3:$A$500, "EVT*") + COUNTIF(OFFSET($A$1, 1, 0, ROW()-2, 1), "EVT*") + 1, "0000"), "")</f>
        <v>EVT-2026-0240</v>
      </c>
      <c r="B21" s="30">
        <v>46093</v>
      </c>
      <c r="C21" s="27" t="s">
        <v>216</v>
      </c>
      <c r="D21" s="27" t="s">
        <v>486</v>
      </c>
      <c r="E21" s="27" t="s">
        <v>487</v>
      </c>
      <c r="F21" s="10">
        <v>120</v>
      </c>
      <c r="G21" s="38" t="s">
        <v>294</v>
      </c>
      <c r="H21" s="37" t="s">
        <v>483</v>
      </c>
      <c r="I21" s="37" t="s">
        <v>296</v>
      </c>
      <c r="J21" s="27"/>
      <c r="K21" s="27"/>
      <c r="L21" s="27" t="s">
        <v>461</v>
      </c>
      <c r="M21" s="27"/>
      <c r="N21" s="27"/>
      <c r="O21" s="1" t="s">
        <v>264</v>
      </c>
      <c r="P21" s="29" t="s">
        <v>265</v>
      </c>
      <c r="Q21" s="27" t="s">
        <v>298</v>
      </c>
      <c r="R21" s="27"/>
    </row>
    <row r="22" spans="1:18" ht="24" customHeight="1">
      <c r="A22" s="27" t="str">
        <f ca="1">IF(OR(D22&lt;&gt;"", E22&lt;&gt;"", K22&lt;&gt;"", N22&lt;&gt;""), "EVT-2026-" &amp; TEXT(COUNTIF('DT-3 Jan26'!$A$3:$A$500, "EVT*") + COUNTIF('DT-4 Jan26'!$A$3:$A$500, "EVT*") + COUNTIF('DT-3 Feb26'!$A$3:$A$500, "EVT*") + COUNTIF('DT-4 Feb26'!$A$3:$A$500, "EVT*") + COUNTIF(OFFSET($A$1, 1, 0, ROW()-2, 1), "EVT*") + 1, "0000"), "")</f>
        <v/>
      </c>
      <c r="B22" s="30">
        <v>46094</v>
      </c>
      <c r="C22" s="27" t="s">
        <v>220</v>
      </c>
      <c r="D22" s="27"/>
      <c r="E22" s="27"/>
      <c r="F22" s="10"/>
      <c r="G22" s="36" t="s">
        <v>263</v>
      </c>
      <c r="H22" s="37"/>
      <c r="I22" s="37"/>
      <c r="J22" s="27"/>
      <c r="K22" s="27"/>
      <c r="L22" s="27"/>
      <c r="M22" s="27"/>
      <c r="N22" s="27"/>
      <c r="O22" s="1" t="s">
        <v>264</v>
      </c>
      <c r="P22" s="29" t="s">
        <v>265</v>
      </c>
      <c r="Q22" s="27"/>
      <c r="R22" s="27"/>
    </row>
    <row r="23" spans="1:18" ht="24" customHeight="1">
      <c r="A23" s="27" t="str">
        <f ca="1">IF(OR(D23&lt;&gt;"", E23&lt;&gt;"", K23&lt;&gt;"", N23&lt;&gt;""), "EVT-2026-" &amp; TEXT(COUNTIF('DT-3 Jan26'!$A$3:$A$500, "EVT*") + COUNTIF('DT-4 Jan26'!$A$3:$A$500, "EVT*") + COUNTIF('DT-3 Feb26'!$A$3:$A$500, "EVT*") + COUNTIF('DT-4 Feb26'!$A$3:$A$500, "EVT*") + COUNTIF(OFFSET($A$1, 1, 0, ROW()-2, 1), "EVT*") + 1, "0000"), "")</f>
        <v/>
      </c>
      <c r="B23" s="30">
        <v>46095</v>
      </c>
      <c r="C23" s="27" t="s">
        <v>266</v>
      </c>
      <c r="D23" s="27"/>
      <c r="E23" s="27"/>
      <c r="F23" s="10"/>
      <c r="G23" s="36" t="s">
        <v>263</v>
      </c>
      <c r="H23" s="37"/>
      <c r="I23" s="37"/>
      <c r="J23" s="27"/>
      <c r="K23" s="27"/>
      <c r="L23" s="27"/>
      <c r="M23" s="27"/>
      <c r="N23" s="27"/>
      <c r="O23" s="1" t="s">
        <v>264</v>
      </c>
      <c r="P23" s="29" t="s">
        <v>265</v>
      </c>
      <c r="Q23" s="27"/>
      <c r="R23" s="27"/>
    </row>
    <row r="24" spans="1:18" ht="24" customHeight="1">
      <c r="A24" s="27" t="str">
        <f ca="1">IF(OR(D24&lt;&gt;"", E24&lt;&gt;"", K24&lt;&gt;"", N24&lt;&gt;""), "EVT-2026-" &amp; TEXT(COUNTIF('DT-3 Jan26'!$A$3:$A$500, "EVT*") + COUNTIF('DT-4 Jan26'!$A$3:$A$500, "EVT*") + COUNTIF('DT-3 Feb26'!$A$3:$A$500, "EVT*") + COUNTIF('DT-4 Feb26'!$A$3:$A$500, "EVT*") + COUNTIF(OFFSET($A$1, 1, 0, ROW()-2, 1), "EVT*") + 1, "0000"), "")</f>
        <v/>
      </c>
      <c r="B24" s="30">
        <v>46096</v>
      </c>
      <c r="C24" s="27" t="s">
        <v>267</v>
      </c>
      <c r="D24" s="27"/>
      <c r="E24" s="27"/>
      <c r="F24" s="10"/>
      <c r="G24" s="36" t="s">
        <v>263</v>
      </c>
      <c r="H24" s="37"/>
      <c r="I24" s="37"/>
      <c r="J24" s="27"/>
      <c r="K24" s="27"/>
      <c r="L24" s="27"/>
      <c r="M24" s="27"/>
      <c r="N24" s="27"/>
      <c r="O24" s="1" t="s">
        <v>264</v>
      </c>
      <c r="P24" s="29" t="s">
        <v>265</v>
      </c>
      <c r="Q24" s="27"/>
      <c r="R24" s="27"/>
    </row>
    <row r="25" spans="1:18" ht="24" customHeight="1">
      <c r="A25" s="27" t="str">
        <f ca="1">IF(OR(D25&lt;&gt;"", E25&lt;&gt;"", K25&lt;&gt;"", N25&lt;&gt;""), "EVT-2026-" &amp; TEXT(COUNTIF('DT-3 Jan26'!$A$3:$A$500, "EVT*") + COUNTIF('DT-4 Jan26'!$A$3:$A$500, "EVT*") + COUNTIF('DT-3 Feb26'!$A$3:$A$500, "EVT*") + COUNTIF('DT-4 Feb26'!$A$3:$A$500, "EVT*") + COUNTIF(OFFSET($A$1, 1, 0, ROW()-2, 1), "EVT*") + 1, "0000"), "")</f>
        <v>EVT-2026-0241</v>
      </c>
      <c r="B25" s="30">
        <v>46097</v>
      </c>
      <c r="C25" s="27" t="s">
        <v>224</v>
      </c>
      <c r="D25" s="27" t="s">
        <v>326</v>
      </c>
      <c r="E25" s="27" t="s">
        <v>236</v>
      </c>
      <c r="F25" s="10"/>
      <c r="G25" s="36" t="s">
        <v>263</v>
      </c>
      <c r="H25" s="37" t="s">
        <v>269</v>
      </c>
      <c r="I25" s="37" t="s">
        <v>270</v>
      </c>
      <c r="J25" s="27"/>
      <c r="K25" s="27"/>
      <c r="L25" s="27" t="s">
        <v>237</v>
      </c>
      <c r="M25" s="27"/>
      <c r="N25" s="27"/>
      <c r="O25" s="1" t="s">
        <v>264</v>
      </c>
      <c r="P25" s="29" t="s">
        <v>265</v>
      </c>
      <c r="Q25" s="27" t="s">
        <v>667</v>
      </c>
      <c r="R25" s="27"/>
    </row>
    <row r="26" spans="1:18" ht="24" customHeight="1">
      <c r="A26" s="27" t="str">
        <f ca="1">IF(OR(D26&lt;&gt;"", E26&lt;&gt;"", K26&lt;&gt;"", N26&lt;&gt;""), "EVT-2026-" &amp; TEXT(COUNTIF('DT-3 Jan26'!$A$3:$A$500, "EVT*") + COUNTIF('DT-4 Jan26'!$A$3:$A$500, "EVT*") + COUNTIF('DT-3 Feb26'!$A$3:$A$500, "EVT*") + COUNTIF('DT-4 Feb26'!$A$3:$A$500, "EVT*") + COUNTIF(OFFSET($A$1, 1, 0, ROW()-2, 1), "EVT*") + 1, "0000"), "")</f>
        <v/>
      </c>
      <c r="B26" s="30">
        <v>46097</v>
      </c>
      <c r="C26" s="27" t="s">
        <v>224</v>
      </c>
      <c r="D26" s="27"/>
      <c r="E26" s="27"/>
      <c r="F26" s="10"/>
      <c r="G26" s="36" t="s">
        <v>263</v>
      </c>
      <c r="H26" s="37"/>
      <c r="I26" s="37"/>
      <c r="J26" s="27"/>
      <c r="K26" s="27"/>
      <c r="L26" s="27"/>
      <c r="M26" s="27"/>
      <c r="N26" s="27"/>
      <c r="O26" s="1" t="s">
        <v>264</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COUNTIF(OFFSET($A$1, 1, 0, ROW()-2, 1), "EVT*") + 1, "0000"), "")</f>
        <v>EVT-2026-0242</v>
      </c>
      <c r="B27" s="30">
        <v>46097</v>
      </c>
      <c r="C27" s="27" t="s">
        <v>224</v>
      </c>
      <c r="D27" s="27" t="s">
        <v>171</v>
      </c>
      <c r="E27" s="27" t="s">
        <v>683</v>
      </c>
      <c r="F27" s="10">
        <v>30</v>
      </c>
      <c r="G27" s="36" t="s">
        <v>263</v>
      </c>
      <c r="H27" s="37" t="s">
        <v>295</v>
      </c>
      <c r="I27" s="37"/>
      <c r="J27" s="27"/>
      <c r="K27" s="27"/>
      <c r="L27" s="27" t="s">
        <v>684</v>
      </c>
      <c r="M27" s="27"/>
      <c r="N27" s="27"/>
      <c r="O27" s="1" t="s">
        <v>264</v>
      </c>
      <c r="P27" s="29" t="s">
        <v>265</v>
      </c>
      <c r="Q27" s="27" t="s">
        <v>685</v>
      </c>
      <c r="R27" s="27"/>
    </row>
    <row r="28" spans="1:18" ht="24" customHeight="1">
      <c r="A28" s="27" t="str">
        <f ca="1">IF(OR(D28&lt;&gt;"", E28&lt;&gt;"", K28&lt;&gt;"", N28&lt;&gt;""), "EVT-2026-" &amp; TEXT(COUNTIF('DT-3 Jan26'!$A$3:$A$500, "EVT*") + COUNTIF('DT-4 Jan26'!$A$3:$A$500, "EVT*") + COUNTIF('DT-3 Feb26'!$A$3:$A$500, "EVT*") + COUNTIF('DT-4 Feb26'!$A$3:$A$500, "EVT*") + COUNTIF(OFFSET($A$1, 1, 0, ROW()-2, 1), "EVT*") + 1, "0000"), "")</f>
        <v>EVT-2026-0243</v>
      </c>
      <c r="B28" s="30">
        <v>46097</v>
      </c>
      <c r="C28" s="27" t="s">
        <v>224</v>
      </c>
      <c r="D28" s="27" t="s">
        <v>171</v>
      </c>
      <c r="E28" s="27" t="s">
        <v>236</v>
      </c>
      <c r="F28" s="10">
        <v>40</v>
      </c>
      <c r="G28" s="36" t="s">
        <v>263</v>
      </c>
      <c r="H28" s="37" t="s">
        <v>269</v>
      </c>
      <c r="I28" s="37" t="s">
        <v>330</v>
      </c>
      <c r="J28" s="27"/>
      <c r="K28" s="27"/>
      <c r="L28" s="27" t="s">
        <v>237</v>
      </c>
      <c r="M28" s="27"/>
      <c r="N28" s="27"/>
      <c r="O28" s="1" t="s">
        <v>264</v>
      </c>
      <c r="P28" s="29" t="s">
        <v>265</v>
      </c>
      <c r="Q28" s="27" t="s">
        <v>667</v>
      </c>
      <c r="R28" s="27"/>
    </row>
    <row r="29" spans="1:18" ht="24" customHeight="1">
      <c r="A29" s="27" t="str">
        <f ca="1">IF(OR(D29&lt;&gt;"", E29&lt;&gt;"", K29&lt;&gt;"", N29&lt;&gt;""), "EVT-2026-" &amp; TEXT(COUNTIF('DT-3 Jan26'!$A$3:$A$500, "EVT*") + COUNTIF('DT-4 Jan26'!$A$3:$A$500, "EVT*") + COUNTIF('DT-3 Feb26'!$A$3:$A$500, "EVT*") + COUNTIF('DT-4 Feb26'!$A$3:$A$500, "EVT*") + COUNTIF(OFFSET($A$1, 1, 0, ROW()-2, 1), "EVT*") + 1, "0000"), "")</f>
        <v>EVT-2026-0244</v>
      </c>
      <c r="B29" s="30">
        <v>46097</v>
      </c>
      <c r="C29" s="27" t="s">
        <v>224</v>
      </c>
      <c r="D29" s="27" t="s">
        <v>326</v>
      </c>
      <c r="E29" s="27"/>
      <c r="F29" s="10">
        <v>40</v>
      </c>
      <c r="G29" s="36" t="s">
        <v>263</v>
      </c>
      <c r="H29" s="37"/>
      <c r="I29" s="37"/>
      <c r="J29" s="27"/>
      <c r="K29" s="27"/>
      <c r="L29" s="27"/>
      <c r="M29" s="27"/>
      <c r="N29" s="27"/>
      <c r="O29" s="1" t="s">
        <v>264</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COUNTIF(OFFSET($A$1, 1, 0, ROW()-2, 1), "EVT*") + 1, "0000"), "")</f>
        <v>EVT-2026-0245</v>
      </c>
      <c r="B30" s="30">
        <v>46098</v>
      </c>
      <c r="C30" s="27" t="s">
        <v>227</v>
      </c>
      <c r="D30" s="27" t="s">
        <v>171</v>
      </c>
      <c r="E30" s="27" t="s">
        <v>686</v>
      </c>
      <c r="F30" s="10">
        <v>60</v>
      </c>
      <c r="G30" s="36" t="s">
        <v>263</v>
      </c>
      <c r="H30" s="37" t="s">
        <v>275</v>
      </c>
      <c r="I30" s="37" t="s">
        <v>295</v>
      </c>
      <c r="J30" s="27"/>
      <c r="K30" s="27"/>
      <c r="L30" s="27" t="s">
        <v>335</v>
      </c>
      <c r="M30" s="27"/>
      <c r="N30" s="27"/>
      <c r="O30" s="1" t="s">
        <v>264</v>
      </c>
      <c r="P30" s="29" t="s">
        <v>265</v>
      </c>
      <c r="Q30" s="27" t="s">
        <v>687</v>
      </c>
      <c r="R30" s="27"/>
    </row>
    <row r="31" spans="1:18" ht="24" customHeight="1">
      <c r="A31" s="27" t="str">
        <f ca="1">IF(OR(D31&lt;&gt;"", E31&lt;&gt;"", K31&lt;&gt;"", N31&lt;&gt;""), "EVT-2026-" &amp; TEXT(COUNTIF('DT-3 Jan26'!$A$3:$A$500, "EVT*") + COUNTIF('DT-4 Jan26'!$A$3:$A$500, "EVT*") + COUNTIF('DT-3 Feb26'!$A$3:$A$500, "EVT*") + COUNTIF('DT-4 Feb26'!$A$3:$A$500, "EVT*") + COUNTIF(OFFSET($A$1, 1, 0, ROW()-2, 1), "EVT*") + 1, "0000"), "")</f>
        <v>EVT-2026-0246</v>
      </c>
      <c r="B31" s="30">
        <v>46098</v>
      </c>
      <c r="C31" s="27" t="s">
        <v>227</v>
      </c>
      <c r="D31" s="27" t="s">
        <v>486</v>
      </c>
      <c r="E31" s="27" t="s">
        <v>353</v>
      </c>
      <c r="F31" s="10">
        <v>200</v>
      </c>
      <c r="G31" s="38" t="s">
        <v>294</v>
      </c>
      <c r="H31" s="37" t="s">
        <v>295</v>
      </c>
      <c r="I31" s="37" t="s">
        <v>270</v>
      </c>
      <c r="J31" s="27"/>
      <c r="K31" s="27"/>
      <c r="L31" s="27" t="s">
        <v>688</v>
      </c>
      <c r="M31" s="27"/>
      <c r="N31" s="27"/>
      <c r="O31" s="1" t="s">
        <v>264</v>
      </c>
      <c r="P31" s="29" t="s">
        <v>265</v>
      </c>
      <c r="Q31" s="27" t="s">
        <v>689</v>
      </c>
      <c r="R31" s="27"/>
    </row>
    <row r="32" spans="1:18" ht="24" customHeight="1">
      <c r="A32" s="27" t="str">
        <f ca="1">IF(OR(D32&lt;&gt;"", E32&lt;&gt;"", K32&lt;&gt;"", N32&lt;&gt;""), "EVT-2026-" &amp; TEXT(COUNTIF('DT-3 Jan26'!$A$3:$A$500, "EVT*") + COUNTIF('DT-4 Jan26'!$A$3:$A$500, "EVT*") + COUNTIF('DT-3 Feb26'!$A$3:$A$500, "EVT*") + COUNTIF('DT-4 Feb26'!$A$3:$A$500, "EVT*") + COUNTIF(OFFSET($A$1, 1, 0, ROW()-2, 1), "EVT*") + 1, "0000"), "")</f>
        <v>EVT-2026-0247</v>
      </c>
      <c r="B32" s="30">
        <v>46098</v>
      </c>
      <c r="C32" s="27" t="s">
        <v>227</v>
      </c>
      <c r="D32" s="27" t="s">
        <v>326</v>
      </c>
      <c r="E32" s="27" t="s">
        <v>327</v>
      </c>
      <c r="F32" s="10">
        <v>30</v>
      </c>
      <c r="G32" s="36" t="s">
        <v>263</v>
      </c>
      <c r="H32" s="37" t="s">
        <v>281</v>
      </c>
      <c r="I32" s="37" t="s">
        <v>290</v>
      </c>
      <c r="J32" s="27"/>
      <c r="K32" s="27" t="s">
        <v>690</v>
      </c>
      <c r="L32" s="27" t="s">
        <v>237</v>
      </c>
      <c r="M32" s="27"/>
      <c r="N32" s="27"/>
      <c r="O32" s="1" t="s">
        <v>264</v>
      </c>
      <c r="P32" s="29" t="s">
        <v>265</v>
      </c>
      <c r="Q32" s="27" t="s">
        <v>691</v>
      </c>
      <c r="R32" s="27"/>
    </row>
    <row r="33" spans="1:18" ht="24" customHeight="1">
      <c r="A33" s="27" t="str">
        <f ca="1">IF(OR(D33&lt;&gt;"", E33&lt;&gt;"", K33&lt;&gt;"", N33&lt;&gt;""), "EVT-2026-" &amp; TEXT(COUNTIF('DT-3 Jan26'!$A$3:$A$500, "EVT*") + COUNTIF('DT-4 Jan26'!$A$3:$A$500, "EVT*") + COUNTIF('DT-3 Feb26'!$A$3:$A$500, "EVT*") + COUNTIF('DT-4 Feb26'!$A$3:$A$500, "EVT*") + COUNTIF(OFFSET($A$1, 1, 0, ROW()-2, 1), "EVT*") + 1, "0000"), "")</f>
        <v>EVT-2026-0248</v>
      </c>
      <c r="B33" s="30">
        <v>46099</v>
      </c>
      <c r="C33" s="27" t="s">
        <v>201</v>
      </c>
      <c r="D33" s="27" t="s">
        <v>326</v>
      </c>
      <c r="E33" s="27"/>
      <c r="F33" s="10"/>
      <c r="G33" s="36" t="s">
        <v>263</v>
      </c>
      <c r="H33" s="37"/>
      <c r="I33" s="37"/>
      <c r="J33" s="27"/>
      <c r="K33" s="27"/>
      <c r="L33" s="27"/>
      <c r="M33" s="27"/>
      <c r="N33" s="27"/>
      <c r="O33" s="1" t="s">
        <v>264</v>
      </c>
      <c r="P33" s="29" t="s">
        <v>265</v>
      </c>
      <c r="Q33" s="27"/>
      <c r="R33" s="27"/>
    </row>
    <row r="34" spans="1:18" ht="24" customHeight="1">
      <c r="A34" s="27" t="str">
        <f ca="1">IF(OR(D34&lt;&gt;"", E34&lt;&gt;"", K34&lt;&gt;"", N34&lt;&gt;""), "EVT-2026-" &amp; TEXT(COUNTIF('DT-3 Jan26'!$A$3:$A$500, "EVT*") + COUNTIF('DT-4 Jan26'!$A$3:$A$500, "EVT*") + COUNTIF('DT-3 Feb26'!$A$3:$A$500, "EVT*") + COUNTIF('DT-4 Feb26'!$A$3:$A$500, "EVT*") + COUNTIF(OFFSET($A$1, 1, 0, ROW()-2, 1), "EVT*") + 1, "0000"), "")</f>
        <v>EVT-2026-0249</v>
      </c>
      <c r="B34" s="30">
        <v>46099</v>
      </c>
      <c r="C34" s="27" t="s">
        <v>201</v>
      </c>
      <c r="D34" s="27" t="s">
        <v>171</v>
      </c>
      <c r="E34" s="27" t="s">
        <v>692</v>
      </c>
      <c r="F34" s="10"/>
      <c r="G34" s="36" t="s">
        <v>263</v>
      </c>
      <c r="H34" s="37" t="s">
        <v>295</v>
      </c>
      <c r="I34" s="37" t="s">
        <v>296</v>
      </c>
      <c r="J34" s="27"/>
      <c r="K34" s="27"/>
      <c r="L34" s="27" t="s">
        <v>461</v>
      </c>
      <c r="M34" s="27"/>
      <c r="N34" s="27"/>
      <c r="O34" s="1" t="s">
        <v>264</v>
      </c>
      <c r="P34" s="29" t="s">
        <v>265</v>
      </c>
      <c r="Q34" s="27" t="s">
        <v>311</v>
      </c>
      <c r="R34" s="27"/>
    </row>
    <row r="35" spans="1:18" ht="24" customHeight="1">
      <c r="A35" s="27" t="str">
        <f ca="1">IF(OR(D35&lt;&gt;"", E35&lt;&gt;"", K35&lt;&gt;"", N35&lt;&gt;""), "EVT-2026-" &amp; TEXT(COUNTIF('DT-3 Jan26'!$A$3:$A$500, "EVT*") + COUNTIF('DT-4 Jan26'!$A$3:$A$500, "EVT*") + COUNTIF('DT-3 Feb26'!$A$3:$A$500, "EVT*") + COUNTIF('DT-4 Feb26'!$A$3:$A$500, "EVT*") + COUNTIF(OFFSET($A$1, 1, 0, ROW()-2, 1), "EVT*") + 1, "0000"), "")</f>
        <v>EVT-2026-0250</v>
      </c>
      <c r="B35" s="30">
        <v>46100</v>
      </c>
      <c r="C35" s="27" t="s">
        <v>216</v>
      </c>
      <c r="D35" s="27" t="s">
        <v>171</v>
      </c>
      <c r="E35" s="27" t="s">
        <v>693</v>
      </c>
      <c r="F35" s="10">
        <v>30</v>
      </c>
      <c r="G35" s="36" t="s">
        <v>263</v>
      </c>
      <c r="H35" s="37" t="s">
        <v>338</v>
      </c>
      <c r="I35" s="37" t="s">
        <v>274</v>
      </c>
      <c r="J35" s="27"/>
      <c r="K35" s="27"/>
      <c r="L35" s="27" t="s">
        <v>694</v>
      </c>
      <c r="M35" s="27"/>
      <c r="N35" s="27"/>
      <c r="O35" s="1" t="s">
        <v>264</v>
      </c>
      <c r="P35" s="29" t="s">
        <v>265</v>
      </c>
      <c r="Q35" s="27" t="s">
        <v>311</v>
      </c>
      <c r="R35" s="27"/>
    </row>
    <row r="36" spans="1:18" ht="24" customHeight="1">
      <c r="A36" s="27" t="str">
        <f ca="1">IF(OR(D36&lt;&gt;"", E36&lt;&gt;"", K36&lt;&gt;"", N36&lt;&gt;""), "EVT-2026-" &amp; TEXT(COUNTIF('DT-3 Jan26'!$A$3:$A$500, "EVT*") + COUNTIF('DT-4 Jan26'!$A$3:$A$500, "EVT*") + COUNTIF('DT-3 Feb26'!$A$3:$A$500, "EVT*") + COUNTIF('DT-4 Feb26'!$A$3:$A$500, "EVT*") + COUNTIF(OFFSET($A$1, 1, 0, ROW()-2, 1), "EVT*") + 1, "0000"), "")</f>
        <v>EVT-2026-0251</v>
      </c>
      <c r="B36" s="30">
        <v>46100</v>
      </c>
      <c r="C36" s="27" t="s">
        <v>216</v>
      </c>
      <c r="D36" s="27" t="s">
        <v>171</v>
      </c>
      <c r="E36" s="27" t="s">
        <v>695</v>
      </c>
      <c r="F36" s="10">
        <v>30</v>
      </c>
      <c r="G36" s="36" t="s">
        <v>263</v>
      </c>
      <c r="H36" s="37" t="s">
        <v>506</v>
      </c>
      <c r="I36" s="37" t="s">
        <v>350</v>
      </c>
      <c r="J36" s="27"/>
      <c r="K36" s="27"/>
      <c r="L36" s="27" t="s">
        <v>237</v>
      </c>
      <c r="M36" s="27"/>
      <c r="N36" s="30" t="s">
        <v>2204</v>
      </c>
      <c r="O36" s="1" t="s">
        <v>264</v>
      </c>
      <c r="P36" s="29" t="s">
        <v>265</v>
      </c>
      <c r="Q36" s="27" t="s">
        <v>696</v>
      </c>
      <c r="R36" s="27"/>
    </row>
    <row r="37" spans="1:18" ht="24" customHeight="1">
      <c r="A37" s="27" t="str">
        <f ca="1">IF(OR(D37&lt;&gt;"", E37&lt;&gt;"", K37&lt;&gt;"", N37&lt;&gt;""), "EVT-2026-" &amp; TEXT(COUNTIF('DT-3 Jan26'!$A$3:$A$500, "EVT*") + COUNTIF('DT-4 Jan26'!$A$3:$A$500, "EVT*") + COUNTIF('DT-3 Feb26'!$A$3:$A$500, "EVT*") + COUNTIF('DT-4 Feb26'!$A$3:$A$500, "EVT*") + COUNTIF(OFFSET($A$1, 1, 0, ROW()-2, 1), "EVT*") + 1, "0000"), "")</f>
        <v>EVT-2026-0252</v>
      </c>
      <c r="B37" s="30">
        <v>46100</v>
      </c>
      <c r="C37" s="27" t="s">
        <v>216</v>
      </c>
      <c r="D37" s="27" t="s">
        <v>171</v>
      </c>
      <c r="E37" s="27" t="s">
        <v>697</v>
      </c>
      <c r="F37" s="10">
        <v>40</v>
      </c>
      <c r="G37" s="36" t="s">
        <v>263</v>
      </c>
      <c r="H37" s="37" t="s">
        <v>289</v>
      </c>
      <c r="I37" s="37" t="s">
        <v>698</v>
      </c>
      <c r="J37" s="27"/>
      <c r="K37" s="27"/>
      <c r="L37" s="27" t="s">
        <v>699</v>
      </c>
      <c r="M37" s="27"/>
      <c r="N37" s="30" t="s">
        <v>2205</v>
      </c>
      <c r="O37" s="1" t="s">
        <v>264</v>
      </c>
      <c r="P37" s="29" t="s">
        <v>265</v>
      </c>
      <c r="Q37" s="27" t="s">
        <v>700</v>
      </c>
      <c r="R37" s="27"/>
    </row>
    <row r="38" spans="1:18" ht="24" customHeight="1">
      <c r="A38" s="27" t="str">
        <f ca="1">IF(OR(D38&lt;&gt;"", E38&lt;&gt;"", K38&lt;&gt;"", N38&lt;&gt;""), "EVT-2026-" &amp; TEXT(COUNTIF('DT-3 Jan26'!$A$3:$A$500, "EVT*") + COUNTIF('DT-4 Jan26'!$A$3:$A$500, "EVT*") + COUNTIF('DT-3 Feb26'!$A$3:$A$500, "EVT*") + COUNTIF('DT-4 Feb26'!$A$3:$A$500, "EVT*") + COUNTIF(OFFSET($A$1, 1, 0, ROW()-2, 1), "EVT*") + 1, "0000"), "")</f>
        <v>EVT-2026-0253</v>
      </c>
      <c r="B38" s="30">
        <v>46101</v>
      </c>
      <c r="C38" s="27" t="s">
        <v>220</v>
      </c>
      <c r="D38" s="27" t="s">
        <v>171</v>
      </c>
      <c r="E38" s="27" t="s">
        <v>701</v>
      </c>
      <c r="F38" s="10">
        <v>50</v>
      </c>
      <c r="G38" s="36" t="s">
        <v>263</v>
      </c>
      <c r="H38" s="37" t="s">
        <v>429</v>
      </c>
      <c r="I38" s="37" t="s">
        <v>354</v>
      </c>
      <c r="J38" s="27"/>
      <c r="K38" s="27"/>
      <c r="L38" s="27" t="s">
        <v>702</v>
      </c>
      <c r="M38" s="27"/>
      <c r="N38" s="30" t="s">
        <v>2206</v>
      </c>
      <c r="O38" s="1" t="s">
        <v>264</v>
      </c>
      <c r="P38" s="29" t="s">
        <v>265</v>
      </c>
      <c r="Q38" s="27" t="s">
        <v>298</v>
      </c>
      <c r="R38" s="27"/>
    </row>
    <row r="39" spans="1:18" ht="24" customHeight="1">
      <c r="A39" s="27" t="str">
        <f ca="1">IF(OR(D39&lt;&gt;"", E39&lt;&gt;"", K39&lt;&gt;"", N39&lt;&gt;""), "EVT-2026-" &amp; TEXT(COUNTIF('DT-3 Jan26'!$A$3:$A$500, "EVT*") + COUNTIF('DT-4 Jan26'!$A$3:$A$500, "EVT*") + COUNTIF('DT-3 Feb26'!$A$3:$A$500, "EVT*") + COUNTIF('DT-4 Feb26'!$A$3:$A$500, "EVT*") + COUNTIF(OFFSET($A$1, 1, 0, ROW()-2, 1), "EVT*") + 1, "0000"), "")</f>
        <v>EVT-2026-0254</v>
      </c>
      <c r="B39" s="30">
        <v>46102</v>
      </c>
      <c r="C39" s="27" t="s">
        <v>266</v>
      </c>
      <c r="D39" s="27" t="s">
        <v>300</v>
      </c>
      <c r="E39" s="27"/>
      <c r="F39" s="10"/>
      <c r="G39" s="36" t="s">
        <v>263</v>
      </c>
      <c r="H39" s="37" t="s">
        <v>269</v>
      </c>
      <c r="I39" s="37" t="s">
        <v>270</v>
      </c>
      <c r="J39" s="27"/>
      <c r="K39" s="27"/>
      <c r="L39" s="27" t="s">
        <v>703</v>
      </c>
      <c r="M39" s="27"/>
      <c r="N39" s="27"/>
      <c r="O39" s="1" t="s">
        <v>264</v>
      </c>
      <c r="P39" s="29" t="s">
        <v>265</v>
      </c>
      <c r="Q39" s="27" t="s">
        <v>704</v>
      </c>
      <c r="R39" s="27"/>
    </row>
    <row r="40" spans="1:18" ht="24" customHeight="1">
      <c r="A40" s="27" t="str">
        <f ca="1">IF(OR(D40&lt;&gt;"", E40&lt;&gt;"", K40&lt;&gt;"", N40&lt;&gt;""), "EVT-2026-" &amp; TEXT(COUNTIF('DT-3 Jan26'!$A$3:$A$500, "EVT*") + COUNTIF('DT-4 Jan26'!$A$3:$A$500, "EVT*") + COUNTIF('DT-3 Feb26'!$A$3:$A$500, "EVT*") + COUNTIF('DT-4 Feb26'!$A$3:$A$500, "EVT*") + COUNTIF(OFFSET($A$1, 1, 0, ROW()-2, 1), "EVT*") + 1, "0000"), "")</f>
        <v/>
      </c>
      <c r="B40" s="30">
        <v>46103</v>
      </c>
      <c r="C40" s="27" t="s">
        <v>267</v>
      </c>
      <c r="D40" s="27"/>
      <c r="E40" s="27"/>
      <c r="F40" s="10"/>
      <c r="G40" s="36" t="s">
        <v>263</v>
      </c>
      <c r="H40" s="37"/>
      <c r="I40" s="37"/>
      <c r="J40" s="27"/>
      <c r="K40" s="27"/>
      <c r="L40" s="27"/>
      <c r="M40" s="27"/>
      <c r="N40" s="27"/>
      <c r="O40" s="1" t="s">
        <v>264</v>
      </c>
      <c r="P40" s="29" t="s">
        <v>265</v>
      </c>
      <c r="Q40" s="27"/>
      <c r="R40" s="27"/>
    </row>
    <row r="41" spans="1:18" ht="24" customHeight="1">
      <c r="A41" s="27" t="str">
        <f ca="1">IF(OR(D41&lt;&gt;"", E41&lt;&gt;"", K41&lt;&gt;"", N41&lt;&gt;""), "EVT-2026-" &amp; TEXT(COUNTIF('DT-3 Jan26'!$A$3:$A$500, "EVT*") + COUNTIF('DT-4 Jan26'!$A$3:$A$500, "EVT*") + COUNTIF('DT-3 Feb26'!$A$3:$A$500, "EVT*") + COUNTIF('DT-4 Feb26'!$A$3:$A$500, "EVT*") + COUNTIF(OFFSET($A$1, 1, 0, ROW()-2, 1), "EVT*") + 1, "0000"), "")</f>
        <v>EVT-2026-0255</v>
      </c>
      <c r="B41" s="30">
        <v>46104</v>
      </c>
      <c r="C41" s="27" t="s">
        <v>224</v>
      </c>
      <c r="D41" s="27" t="s">
        <v>326</v>
      </c>
      <c r="E41" s="27" t="s">
        <v>236</v>
      </c>
      <c r="F41" s="10">
        <v>35</v>
      </c>
      <c r="G41" s="36" t="s">
        <v>263</v>
      </c>
      <c r="H41" s="37" t="s">
        <v>269</v>
      </c>
      <c r="I41" s="37" t="s">
        <v>270</v>
      </c>
      <c r="J41" s="27"/>
      <c r="K41" s="27"/>
      <c r="L41" s="27" t="s">
        <v>237</v>
      </c>
      <c r="M41" s="27"/>
      <c r="N41" s="27"/>
      <c r="O41" s="1" t="s">
        <v>264</v>
      </c>
      <c r="P41" s="29" t="s">
        <v>265</v>
      </c>
      <c r="Q41" s="27" t="s">
        <v>667</v>
      </c>
      <c r="R41" s="27"/>
    </row>
    <row r="42" spans="1:18" ht="24" customHeight="1">
      <c r="A42" s="27" t="str">
        <f ca="1">IF(OR(D42&lt;&gt;"", E42&lt;&gt;"", K42&lt;&gt;"", N42&lt;&gt;""), "EVT-2026-" &amp; TEXT(COUNTIF('DT-3 Jan26'!$A$3:$A$500, "EVT*") + COUNTIF('DT-4 Jan26'!$A$3:$A$500, "EVT*") + COUNTIF('DT-3 Feb26'!$A$3:$A$500, "EVT*") + COUNTIF('DT-4 Feb26'!$A$3:$A$500, "EVT*") + COUNTIF(OFFSET($A$1, 1, 0, ROW()-2, 1), "EVT*") + 1, "0000"), "")</f>
        <v>EVT-2026-0256</v>
      </c>
      <c r="B42" s="30">
        <v>46104</v>
      </c>
      <c r="C42" s="27" t="s">
        <v>224</v>
      </c>
      <c r="D42" s="27" t="s">
        <v>171</v>
      </c>
      <c r="E42" s="27" t="s">
        <v>236</v>
      </c>
      <c r="F42" s="10">
        <v>35</v>
      </c>
      <c r="G42" s="36" t="s">
        <v>263</v>
      </c>
      <c r="H42" s="37" t="s">
        <v>269</v>
      </c>
      <c r="I42" s="37" t="s">
        <v>270</v>
      </c>
      <c r="J42" s="27"/>
      <c r="K42" s="27"/>
      <c r="L42" s="27" t="s">
        <v>237</v>
      </c>
      <c r="M42" s="27"/>
      <c r="N42" s="27"/>
      <c r="O42" s="1" t="s">
        <v>264</v>
      </c>
      <c r="P42" s="29" t="s">
        <v>265</v>
      </c>
      <c r="Q42" s="27" t="s">
        <v>667</v>
      </c>
      <c r="R42" s="27"/>
    </row>
    <row r="43" spans="1:18" ht="24" customHeight="1">
      <c r="A43" s="27" t="str">
        <f ca="1">IF(OR(D43&lt;&gt;"", E43&lt;&gt;"", K43&lt;&gt;"", N43&lt;&gt;""), "EVT-2026-" &amp; TEXT(COUNTIF('DT-3 Jan26'!$A$3:$A$500, "EVT*") + COUNTIF('DT-4 Jan26'!$A$3:$A$500, "EVT*") + COUNTIF('DT-3 Feb26'!$A$3:$A$500, "EVT*") + COUNTIF('DT-4 Feb26'!$A$3:$A$500, "EVT*") + COUNTIF(OFFSET($A$1, 1, 0, ROW()-2, 1), "EVT*") + 1, "0000"), "")</f>
        <v>EVT-2026-0257</v>
      </c>
      <c r="B43" s="30">
        <v>46105</v>
      </c>
      <c r="C43" s="27" t="s">
        <v>227</v>
      </c>
      <c r="D43" s="27" t="s">
        <v>171</v>
      </c>
      <c r="E43" s="27" t="s">
        <v>705</v>
      </c>
      <c r="F43" s="10">
        <v>60</v>
      </c>
      <c r="G43" s="36" t="s">
        <v>263</v>
      </c>
      <c r="H43" s="37" t="s">
        <v>274</v>
      </c>
      <c r="I43" s="37" t="s">
        <v>330</v>
      </c>
      <c r="J43" s="27"/>
      <c r="K43" s="27"/>
      <c r="L43" s="27" t="s">
        <v>706</v>
      </c>
      <c r="M43" s="27"/>
      <c r="N43" s="27"/>
      <c r="O43" s="1" t="s">
        <v>264</v>
      </c>
      <c r="P43" s="29" t="s">
        <v>265</v>
      </c>
      <c r="Q43" s="27" t="s">
        <v>707</v>
      </c>
      <c r="R43" s="27"/>
    </row>
    <row r="44" spans="1:18" ht="24" customHeight="1">
      <c r="A44" s="27" t="str">
        <f ca="1">IF(OR(D44&lt;&gt;"", E44&lt;&gt;"", K44&lt;&gt;"", N44&lt;&gt;""), "EVT-2026-" &amp; TEXT(COUNTIF('DT-3 Jan26'!$A$3:$A$500, "EVT*") + COUNTIF('DT-4 Jan26'!$A$3:$A$500, "EVT*") + COUNTIF('DT-3 Feb26'!$A$3:$A$500, "EVT*") + COUNTIF('DT-4 Feb26'!$A$3:$A$500, "EVT*") + COUNTIF(OFFSET($A$1, 1, 0, ROW()-2, 1), "EVT*") + 1, "0000"), "")</f>
        <v>EVT-2026-0258</v>
      </c>
      <c r="B44" s="30">
        <v>46105</v>
      </c>
      <c r="C44" s="27" t="s">
        <v>227</v>
      </c>
      <c r="D44" s="27" t="s">
        <v>171</v>
      </c>
      <c r="E44" s="27" t="s">
        <v>708</v>
      </c>
      <c r="F44" s="10">
        <v>30</v>
      </c>
      <c r="G44" s="36" t="s">
        <v>263</v>
      </c>
      <c r="H44" s="37" t="s">
        <v>506</v>
      </c>
      <c r="I44" s="37" t="s">
        <v>350</v>
      </c>
      <c r="J44" s="27"/>
      <c r="K44" s="27"/>
      <c r="L44" s="27" t="s">
        <v>237</v>
      </c>
      <c r="M44" s="27"/>
      <c r="N44" s="30" t="s">
        <v>2204</v>
      </c>
      <c r="O44" s="1" t="s">
        <v>264</v>
      </c>
      <c r="P44" s="29" t="s">
        <v>265</v>
      </c>
      <c r="Q44" s="27" t="s">
        <v>707</v>
      </c>
      <c r="R44" s="27"/>
    </row>
    <row r="45" spans="1:18" ht="24" customHeight="1">
      <c r="A45" s="27" t="str">
        <f ca="1">IF(OR(D45&lt;&gt;"", E45&lt;&gt;"", K45&lt;&gt;"", N45&lt;&gt;""), "EVT-2026-" &amp; TEXT(COUNTIF('DT-3 Jan26'!$A$3:$A$500, "EVT*") + COUNTIF('DT-4 Jan26'!$A$3:$A$500, "EVT*") + COUNTIF('DT-3 Feb26'!$A$3:$A$500, "EVT*") + COUNTIF('DT-4 Feb26'!$A$3:$A$500, "EVT*") + COUNTIF(OFFSET($A$1, 1, 0, ROW()-2, 1), "EVT*") + 1, "0000"), "")</f>
        <v>EVT-2026-0259</v>
      </c>
      <c r="B45" s="30">
        <v>46105</v>
      </c>
      <c r="C45" s="27" t="s">
        <v>227</v>
      </c>
      <c r="D45" s="27" t="s">
        <v>171</v>
      </c>
      <c r="E45" s="27" t="s">
        <v>709</v>
      </c>
      <c r="F45" s="10">
        <v>50</v>
      </c>
      <c r="G45" s="36" t="s">
        <v>263</v>
      </c>
      <c r="H45" s="37" t="s">
        <v>309</v>
      </c>
      <c r="I45" s="37" t="s">
        <v>295</v>
      </c>
      <c r="J45" s="27"/>
      <c r="K45" s="27"/>
      <c r="L45" s="27" t="s">
        <v>461</v>
      </c>
      <c r="M45" s="27"/>
      <c r="N45" s="27"/>
      <c r="O45" s="1" t="s">
        <v>264</v>
      </c>
      <c r="P45" s="29" t="s">
        <v>265</v>
      </c>
      <c r="Q45" s="27" t="s">
        <v>298</v>
      </c>
      <c r="R45" s="27"/>
    </row>
    <row r="46" spans="1:18" ht="24" customHeight="1">
      <c r="A46" s="27" t="str">
        <f ca="1">IF(OR(D46&lt;&gt;"", E46&lt;&gt;"", K46&lt;&gt;"", N46&lt;&gt;""), "EVT-2026-" &amp; TEXT(COUNTIF('DT-3 Jan26'!$A$3:$A$500, "EVT*") + COUNTIF('DT-4 Jan26'!$A$3:$A$500, "EVT*") + COUNTIF('DT-3 Feb26'!$A$3:$A$500, "EVT*") + COUNTIF('DT-4 Feb26'!$A$3:$A$500, "EVT*") + COUNTIF(OFFSET($A$1, 1, 0, ROW()-2, 1), "EVT*") + 1, "0000"), "")</f>
        <v>EVT-2026-0260</v>
      </c>
      <c r="B46" s="30">
        <v>46105</v>
      </c>
      <c r="C46" s="27" t="s">
        <v>227</v>
      </c>
      <c r="D46" s="27" t="s">
        <v>171</v>
      </c>
      <c r="E46" s="27" t="s">
        <v>710</v>
      </c>
      <c r="F46" s="10">
        <v>25</v>
      </c>
      <c r="G46" s="36" t="s">
        <v>263</v>
      </c>
      <c r="H46" s="37" t="s">
        <v>295</v>
      </c>
      <c r="I46" s="37" t="s">
        <v>296</v>
      </c>
      <c r="J46" s="27"/>
      <c r="K46" s="27"/>
      <c r="L46" s="27" t="s">
        <v>673</v>
      </c>
      <c r="M46" s="27"/>
      <c r="N46" s="27"/>
      <c r="O46" s="1" t="s">
        <v>264</v>
      </c>
      <c r="P46" s="29" t="s">
        <v>265</v>
      </c>
      <c r="Q46" s="27" t="s">
        <v>298</v>
      </c>
      <c r="R46" s="27"/>
    </row>
    <row r="47" spans="1:18" ht="24" customHeight="1">
      <c r="A47" s="27" t="str">
        <f ca="1">IF(OR(D47&lt;&gt;"", E47&lt;&gt;"", K47&lt;&gt;"", N47&lt;&gt;""), "EVT-2026-" &amp; TEXT(COUNTIF('DT-3 Jan26'!$A$3:$A$500, "EVT*") + COUNTIF('DT-4 Jan26'!$A$3:$A$500, "EVT*") + COUNTIF('DT-3 Feb26'!$A$3:$A$500, "EVT*") + COUNTIF('DT-4 Feb26'!$A$3:$A$500, "EVT*") + COUNTIF(OFFSET($A$1, 1, 0, ROW()-2, 1), "EVT*") + 1, "0000"), "")</f>
        <v>EVT-2026-0261</v>
      </c>
      <c r="B47" s="30">
        <v>46105</v>
      </c>
      <c r="C47" s="27" t="s">
        <v>227</v>
      </c>
      <c r="D47" s="27" t="s">
        <v>171</v>
      </c>
      <c r="E47" s="27"/>
      <c r="F47" s="10"/>
      <c r="G47" s="36" t="s">
        <v>263</v>
      </c>
      <c r="H47" s="37" t="s">
        <v>359</v>
      </c>
      <c r="I47" s="37" t="s">
        <v>290</v>
      </c>
      <c r="J47" s="27"/>
      <c r="K47" s="27"/>
      <c r="L47" s="27" t="s">
        <v>711</v>
      </c>
      <c r="M47" s="27"/>
      <c r="N47" s="27"/>
      <c r="O47" s="1" t="s">
        <v>264</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COUNTIF(OFFSET($A$1, 1, 0, ROW()-2, 1), "EVT*") + 1, "0000"), "")</f>
        <v>EVT-2026-0262</v>
      </c>
      <c r="B48" s="30">
        <v>46106</v>
      </c>
      <c r="C48" s="27" t="s">
        <v>201</v>
      </c>
      <c r="D48" s="27" t="s">
        <v>326</v>
      </c>
      <c r="E48" s="27" t="s">
        <v>712</v>
      </c>
      <c r="F48" s="10">
        <v>25</v>
      </c>
      <c r="G48" s="36" t="s">
        <v>263</v>
      </c>
      <c r="H48" s="37" t="s">
        <v>275</v>
      </c>
      <c r="I48" s="37" t="s">
        <v>270</v>
      </c>
      <c r="J48" s="27"/>
      <c r="K48" s="27"/>
      <c r="L48" s="27" t="s">
        <v>237</v>
      </c>
      <c r="M48" s="27"/>
      <c r="N48" s="30" t="s">
        <v>2207</v>
      </c>
      <c r="O48" s="1" t="s">
        <v>264</v>
      </c>
      <c r="P48" s="29" t="s">
        <v>265</v>
      </c>
      <c r="Q48" s="27" t="s">
        <v>307</v>
      </c>
      <c r="R48" s="27"/>
    </row>
    <row r="49" spans="1:18" ht="24" customHeight="1">
      <c r="A49" s="27" t="str">
        <f ca="1">IF(OR(D49&lt;&gt;"", E49&lt;&gt;"", K49&lt;&gt;"", N49&lt;&gt;""), "EVT-2026-" &amp; TEXT(COUNTIF('DT-3 Jan26'!$A$3:$A$500, "EVT*") + COUNTIF('DT-4 Jan26'!$A$3:$A$500, "EVT*") + COUNTIF('DT-3 Feb26'!$A$3:$A$500, "EVT*") + COUNTIF('DT-4 Feb26'!$A$3:$A$500, "EVT*") + COUNTIF(OFFSET($A$1, 1, 0, ROW()-2, 1), "EVT*") + 1, "0000"), "")</f>
        <v/>
      </c>
      <c r="B49" s="30">
        <v>46107</v>
      </c>
      <c r="C49" s="27" t="s">
        <v>216</v>
      </c>
      <c r="D49" s="27"/>
      <c r="E49" s="27"/>
      <c r="F49" s="10"/>
      <c r="G49" s="36" t="s">
        <v>263</v>
      </c>
      <c r="H49" s="37"/>
      <c r="I49" s="37"/>
      <c r="J49" s="27"/>
      <c r="K49" s="27"/>
      <c r="L49" s="27"/>
      <c r="M49" s="27"/>
      <c r="N49" s="27"/>
      <c r="O49" s="1" t="s">
        <v>264</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COUNTIF(OFFSET($A$1, 1, 0, ROW()-2, 1), "EVT*") + 1, "0000"), "")</f>
        <v>EVT-2026-0263</v>
      </c>
      <c r="B50" s="30">
        <v>46107</v>
      </c>
      <c r="C50" s="27" t="s">
        <v>216</v>
      </c>
      <c r="D50" s="27" t="s">
        <v>171</v>
      </c>
      <c r="E50" s="27" t="s">
        <v>670</v>
      </c>
      <c r="F50" s="10">
        <v>50</v>
      </c>
      <c r="G50" s="36" t="s">
        <v>263</v>
      </c>
      <c r="H50" s="37" t="s">
        <v>338</v>
      </c>
      <c r="I50" s="37" t="s">
        <v>331</v>
      </c>
      <c r="J50" s="27"/>
      <c r="K50" s="27"/>
      <c r="L50" s="27" t="s">
        <v>310</v>
      </c>
      <c r="M50" s="27"/>
      <c r="N50" s="27"/>
      <c r="O50" s="1" t="s">
        <v>264</v>
      </c>
      <c r="P50" s="29" t="s">
        <v>265</v>
      </c>
      <c r="Q50" s="27" t="s">
        <v>298</v>
      </c>
      <c r="R50" s="27"/>
    </row>
    <row r="51" spans="1:18" ht="24" customHeight="1">
      <c r="A51" s="27" t="str">
        <f ca="1">IF(OR(D51&lt;&gt;"", E51&lt;&gt;"", K51&lt;&gt;"", N51&lt;&gt;""), "EVT-2026-" &amp; TEXT(COUNTIF('DT-3 Jan26'!$A$3:$A$500, "EVT*") + COUNTIF('DT-4 Jan26'!$A$3:$A$500, "EVT*") + COUNTIF('DT-3 Feb26'!$A$3:$A$500, "EVT*") + COUNTIF('DT-4 Feb26'!$A$3:$A$500, "EVT*") + COUNTIF(OFFSET($A$1, 1, 0, ROW()-2, 1), "EVT*") + 1, "0000"), "")</f>
        <v>EVT-2026-0264</v>
      </c>
      <c r="B51" s="30">
        <v>46107</v>
      </c>
      <c r="C51" s="27" t="s">
        <v>216</v>
      </c>
      <c r="D51" s="27" t="s">
        <v>171</v>
      </c>
      <c r="E51" s="27" t="s">
        <v>713</v>
      </c>
      <c r="F51" s="10">
        <v>50</v>
      </c>
      <c r="G51" s="36" t="s">
        <v>263</v>
      </c>
      <c r="H51" s="37" t="s">
        <v>309</v>
      </c>
      <c r="I51" s="37" t="s">
        <v>359</v>
      </c>
      <c r="J51" s="27"/>
      <c r="K51" s="27"/>
      <c r="L51" s="27" t="s">
        <v>335</v>
      </c>
      <c r="M51" s="27"/>
      <c r="N51" s="27"/>
      <c r="O51" s="1" t="s">
        <v>264</v>
      </c>
      <c r="P51" s="29" t="s">
        <v>265</v>
      </c>
      <c r="Q51" s="27" t="s">
        <v>714</v>
      </c>
      <c r="R51" s="27"/>
    </row>
    <row r="52" spans="1:18" ht="24" customHeight="1">
      <c r="A52" s="27" t="str">
        <f ca="1">IF(OR(D52&lt;&gt;"", E52&lt;&gt;"", K52&lt;&gt;"", N52&lt;&gt;""), "EVT-2026-" &amp; TEXT(COUNTIF('DT-3 Jan26'!$A$3:$A$500, "EVT*") + COUNTIF('DT-4 Jan26'!$A$3:$A$500, "EVT*") + COUNTIF('DT-3 Feb26'!$A$3:$A$500, "EVT*") + COUNTIF('DT-4 Feb26'!$A$3:$A$500, "EVT*") + COUNTIF(OFFSET($A$1, 1, 0, ROW()-2, 1), "EVT*") + 1, "0000"), "")</f>
        <v>EVT-2026-0265</v>
      </c>
      <c r="B52" s="30">
        <v>46107</v>
      </c>
      <c r="C52" s="27" t="s">
        <v>216</v>
      </c>
      <c r="D52" s="27" t="s">
        <v>171</v>
      </c>
      <c r="E52" s="27" t="s">
        <v>715</v>
      </c>
      <c r="F52" s="10">
        <v>25</v>
      </c>
      <c r="G52" s="36" t="s">
        <v>263</v>
      </c>
      <c r="H52" s="37" t="s">
        <v>296</v>
      </c>
      <c r="I52" s="37" t="s">
        <v>270</v>
      </c>
      <c r="J52" s="27"/>
      <c r="K52" s="27"/>
      <c r="L52" s="27" t="s">
        <v>716</v>
      </c>
      <c r="M52" s="27"/>
      <c r="N52" s="27"/>
      <c r="O52" s="1" t="s">
        <v>264</v>
      </c>
      <c r="P52" s="29" t="s">
        <v>265</v>
      </c>
      <c r="Q52" s="27"/>
      <c r="R52" s="27"/>
    </row>
    <row r="53" spans="1:18" ht="24" customHeight="1">
      <c r="A53" s="27" t="str">
        <f ca="1">IF(OR(D53&lt;&gt;"", E53&lt;&gt;"", K53&lt;&gt;"", N53&lt;&gt;""), "EVT-2026-" &amp; TEXT(COUNTIF('DT-3 Jan26'!$A$3:$A$500, "EVT*") + COUNTIF('DT-4 Jan26'!$A$3:$A$500, "EVT*") + COUNTIF('DT-3 Feb26'!$A$3:$A$500, "EVT*") + COUNTIF('DT-4 Feb26'!$A$3:$A$500, "EVT*") + COUNTIF(OFFSET($A$1, 1, 0, ROW()-2, 1), "EVT*") + 1, "0000"), "")</f>
        <v>EVT-2026-0266</v>
      </c>
      <c r="B53" s="30">
        <v>46108</v>
      </c>
      <c r="C53" s="27" t="s">
        <v>220</v>
      </c>
      <c r="D53" s="27" t="s">
        <v>171</v>
      </c>
      <c r="E53" s="27" t="s">
        <v>717</v>
      </c>
      <c r="F53" s="10">
        <v>70</v>
      </c>
      <c r="G53" s="36" t="s">
        <v>263</v>
      </c>
      <c r="H53" s="37" t="s">
        <v>338</v>
      </c>
      <c r="I53" s="37" t="s">
        <v>350</v>
      </c>
      <c r="J53" s="27"/>
      <c r="K53" s="27" t="s">
        <v>718</v>
      </c>
      <c r="L53" s="27" t="s">
        <v>719</v>
      </c>
      <c r="M53" s="27"/>
      <c r="N53" s="27"/>
      <c r="O53" s="1" t="s">
        <v>264</v>
      </c>
      <c r="P53" s="29" t="s">
        <v>265</v>
      </c>
      <c r="Q53" s="27" t="s">
        <v>700</v>
      </c>
      <c r="R53" s="27"/>
    </row>
    <row r="54" spans="1:18" ht="24" customHeight="1">
      <c r="A54" s="27" t="str">
        <f ca="1">IF(OR(D54&lt;&gt;"", E54&lt;&gt;"", K54&lt;&gt;"", N54&lt;&gt;""), "EVT-2026-" &amp; TEXT(COUNTIF('DT-3 Jan26'!$A$3:$A$500, "EVT*") + COUNTIF('DT-4 Jan26'!$A$3:$A$500, "EVT*") + COUNTIF('DT-3 Feb26'!$A$3:$A$500, "EVT*") + COUNTIF('DT-4 Feb26'!$A$3:$A$500, "EVT*") + COUNTIF(OFFSET($A$1, 1, 0, ROW()-2, 1), "EVT*") + 1, "0000"), "")</f>
        <v>EVT-2026-0267</v>
      </c>
      <c r="B54" s="30">
        <v>46108</v>
      </c>
      <c r="C54" s="27" t="s">
        <v>220</v>
      </c>
      <c r="D54" s="27" t="s">
        <v>171</v>
      </c>
      <c r="E54" s="27" t="s">
        <v>720</v>
      </c>
      <c r="F54" s="10">
        <v>40</v>
      </c>
      <c r="G54" s="36" t="s">
        <v>263</v>
      </c>
      <c r="H54" s="37" t="s">
        <v>309</v>
      </c>
      <c r="I54" s="37" t="s">
        <v>295</v>
      </c>
      <c r="J54" s="27"/>
      <c r="K54" s="27"/>
      <c r="L54" s="27" t="s">
        <v>461</v>
      </c>
      <c r="M54" s="27"/>
      <c r="N54" s="27"/>
      <c r="O54" s="1" t="s">
        <v>264</v>
      </c>
      <c r="P54" s="29" t="s">
        <v>265</v>
      </c>
      <c r="Q54" s="27" t="s">
        <v>341</v>
      </c>
      <c r="R54" s="27"/>
    </row>
    <row r="55" spans="1:18" ht="24" customHeight="1">
      <c r="A55" s="27" t="str">
        <f ca="1">IF(OR(D55&lt;&gt;"", E55&lt;&gt;"", K55&lt;&gt;"", N55&lt;&gt;""), "EVT-2026-" &amp; TEXT(COUNTIF('DT-3 Jan26'!$A$3:$A$500, "EVT*") + COUNTIF('DT-4 Jan26'!$A$3:$A$500, "EVT*") + COUNTIF('DT-3 Feb26'!$A$3:$A$500, "EVT*") + COUNTIF('DT-4 Feb26'!$A$3:$A$500, "EVT*") + COUNTIF(OFFSET($A$1, 1, 0, ROW()-2, 1), "EVT*") + 1, "0000"), "")</f>
        <v>EVT-2026-0268</v>
      </c>
      <c r="B55" s="30">
        <v>46108</v>
      </c>
      <c r="C55" s="27" t="s">
        <v>220</v>
      </c>
      <c r="D55" s="27" t="s">
        <v>171</v>
      </c>
      <c r="E55" s="27" t="s">
        <v>658</v>
      </c>
      <c r="F55" s="10">
        <v>40</v>
      </c>
      <c r="G55" s="36" t="s">
        <v>263</v>
      </c>
      <c r="H55" s="37" t="s">
        <v>295</v>
      </c>
      <c r="I55" s="37" t="s">
        <v>270</v>
      </c>
      <c r="J55" s="27"/>
      <c r="K55" s="27"/>
      <c r="L55" s="27" t="s">
        <v>688</v>
      </c>
      <c r="M55" s="27"/>
      <c r="N55" s="27"/>
      <c r="O55" s="1" t="s">
        <v>264</v>
      </c>
      <c r="P55" s="29" t="s">
        <v>265</v>
      </c>
      <c r="Q55" s="27" t="s">
        <v>721</v>
      </c>
      <c r="R55" s="27"/>
    </row>
    <row r="56" spans="1:18" ht="24" customHeight="1">
      <c r="A56" s="27" t="str">
        <f ca="1">IF(OR(D56&lt;&gt;"", E56&lt;&gt;"", K56&lt;&gt;"", N56&lt;&gt;""), "EVT-2026-" &amp; TEXT(COUNTIF('DT-3 Jan26'!$A$3:$A$500, "EVT*") + COUNTIF('DT-4 Jan26'!$A$3:$A$500, "EVT*") + COUNTIF('DT-3 Feb26'!$A$3:$A$500, "EVT*") + COUNTIF('DT-4 Feb26'!$A$3:$A$500, "EVT*") + COUNTIF(OFFSET($A$1, 1, 0, ROW()-2, 1), "EVT*") + 1, "0000"), "")</f>
        <v>EVT-2026-0269</v>
      </c>
      <c r="B56" s="30">
        <v>46109</v>
      </c>
      <c r="C56" s="27" t="s">
        <v>266</v>
      </c>
      <c r="D56" s="27" t="s">
        <v>300</v>
      </c>
      <c r="E56" s="27"/>
      <c r="F56" s="10"/>
      <c r="G56" s="36" t="s">
        <v>263</v>
      </c>
      <c r="H56" s="37"/>
      <c r="I56" s="37"/>
      <c r="J56" s="27"/>
      <c r="K56" s="27"/>
      <c r="L56" s="27" t="s">
        <v>722</v>
      </c>
      <c r="M56" s="27"/>
      <c r="N56" s="27"/>
      <c r="O56" s="1" t="s">
        <v>264</v>
      </c>
      <c r="P56" s="29" t="s">
        <v>265</v>
      </c>
      <c r="Q56" s="27" t="s">
        <v>691</v>
      </c>
      <c r="R56" s="27"/>
    </row>
    <row r="57" spans="1:18" ht="24" customHeight="1">
      <c r="A57" s="27" t="str">
        <f ca="1">IF(OR(D57&lt;&gt;"", E57&lt;&gt;"", K57&lt;&gt;"", N57&lt;&gt;""), "EVT-2026-" &amp; TEXT(COUNTIF('DT-3 Jan26'!$A$3:$A$500, "EVT*") + COUNTIF('DT-4 Jan26'!$A$3:$A$500, "EVT*") + COUNTIF('DT-3 Feb26'!$A$3:$A$500, "EVT*") + COUNTIF('DT-4 Feb26'!$A$3:$A$500, "EVT*") + COUNTIF(OFFSET($A$1, 1, 0, ROW()-2, 1), "EVT*") + 1, "0000"), "")</f>
        <v/>
      </c>
      <c r="B57" s="30">
        <v>46110</v>
      </c>
      <c r="C57" s="27" t="s">
        <v>267</v>
      </c>
      <c r="D57" s="27"/>
      <c r="E57" s="27"/>
      <c r="F57" s="10"/>
      <c r="G57" s="36" t="s">
        <v>263</v>
      </c>
      <c r="H57" s="37"/>
      <c r="I57" s="37"/>
      <c r="J57" s="27"/>
      <c r="K57" s="27"/>
      <c r="L57" s="27"/>
      <c r="M57" s="27"/>
      <c r="N57" s="27"/>
      <c r="O57" s="1" t="s">
        <v>264</v>
      </c>
      <c r="P57" s="29" t="s">
        <v>265</v>
      </c>
      <c r="Q57" s="27"/>
      <c r="R57" s="27"/>
    </row>
    <row r="58" spans="1:18" ht="24" customHeight="1">
      <c r="A58" s="27" t="str">
        <f ca="1">IF(OR(D58&lt;&gt;"", E58&lt;&gt;"", K58&lt;&gt;"", N58&lt;&gt;""), "EVT-2026-" &amp; TEXT(COUNTIF('DT-3 Jan26'!$A$3:$A$500, "EVT*") + COUNTIF('DT-4 Jan26'!$A$3:$A$500, "EVT*") + COUNTIF('DT-3 Feb26'!$A$3:$A$500, "EVT*") + COUNTIF('DT-4 Feb26'!$A$3:$A$500, "EVT*") + COUNTIF(OFFSET($A$1, 1, 0, ROW()-2, 1), "EVT*") + 1, "0000"), "")</f>
        <v>EVT-2026-0270</v>
      </c>
      <c r="B58" s="30">
        <v>46111</v>
      </c>
      <c r="C58" s="27" t="s">
        <v>224</v>
      </c>
      <c r="D58" s="27" t="s">
        <v>326</v>
      </c>
      <c r="E58" s="27" t="s">
        <v>236</v>
      </c>
      <c r="F58" s="10">
        <v>45</v>
      </c>
      <c r="G58" s="36" t="s">
        <v>263</v>
      </c>
      <c r="H58" s="37" t="s">
        <v>269</v>
      </c>
      <c r="I58" s="37" t="s">
        <v>270</v>
      </c>
      <c r="J58" s="27"/>
      <c r="K58" s="27"/>
      <c r="L58" s="27" t="s">
        <v>237</v>
      </c>
      <c r="M58" s="27"/>
      <c r="N58" s="27"/>
      <c r="O58" s="1" t="s">
        <v>264</v>
      </c>
      <c r="P58" s="29" t="s">
        <v>265</v>
      </c>
      <c r="Q58" s="27" t="s">
        <v>476</v>
      </c>
      <c r="R58" s="27"/>
    </row>
    <row r="59" spans="1:18" ht="24" customHeight="1">
      <c r="A59" s="27" t="str">
        <f ca="1">IF(OR(D59&lt;&gt;"", E59&lt;&gt;"", K59&lt;&gt;"", N59&lt;&gt;""), "EVT-2026-" &amp; TEXT(COUNTIF('DT-3 Jan26'!$A$3:$A$500, "EVT*") + COUNTIF('DT-4 Jan26'!$A$3:$A$500, "EVT*") + COUNTIF('DT-3 Feb26'!$A$3:$A$500, "EVT*") + COUNTIF('DT-4 Feb26'!$A$3:$A$500, "EVT*") + COUNTIF(OFFSET($A$1, 1, 0, ROW()-2, 1), "EVT*") + 1, "0000"), "")</f>
        <v>EVT-2026-0271</v>
      </c>
      <c r="B59" s="30">
        <v>46112</v>
      </c>
      <c r="C59" s="27" t="s">
        <v>227</v>
      </c>
      <c r="D59" s="27" t="s">
        <v>171</v>
      </c>
      <c r="E59" s="27" t="s">
        <v>723</v>
      </c>
      <c r="F59" s="10"/>
      <c r="G59" s="36" t="s">
        <v>263</v>
      </c>
      <c r="H59" s="37" t="s">
        <v>330</v>
      </c>
      <c r="I59" s="37" t="s">
        <v>553</v>
      </c>
      <c r="J59" s="27"/>
      <c r="K59" s="27"/>
      <c r="L59" s="27" t="s">
        <v>724</v>
      </c>
      <c r="M59" s="27"/>
      <c r="N59" s="27"/>
      <c r="O59" s="1" t="s">
        <v>264</v>
      </c>
      <c r="P59" s="29" t="s">
        <v>265</v>
      </c>
      <c r="Q59" s="27" t="s">
        <v>298</v>
      </c>
      <c r="R59" s="27"/>
    </row>
    <row r="60" spans="1:18" ht="24" customHeight="1">
      <c r="A60" s="27" t="str">
        <f ca="1">IF(OR(D60&lt;&gt;"", E60&lt;&gt;"", K60&lt;&gt;"", N60&lt;&gt;""), "EVT-2026-" &amp; TEXT(COUNTIF('DT-3 Jan26'!$A$3:$A$500, "EVT*") + COUNTIF('DT-4 Jan26'!$A$3:$A$500, "EVT*") + COUNTIF('DT-3 Feb26'!$A$3:$A$500, "EVT*") + COUNTIF('DT-4 Feb26'!$A$3:$A$500, "EVT*") + COUNTIF(OFFSET($A$1, 1, 0, ROW()-2, 1), "EVT*") + 1, "0000"), "")</f>
        <v>EVT-2026-0272</v>
      </c>
      <c r="B60" s="30">
        <v>46112</v>
      </c>
      <c r="C60" s="27" t="s">
        <v>227</v>
      </c>
      <c r="D60" s="27" t="s">
        <v>171</v>
      </c>
      <c r="E60" s="27" t="s">
        <v>725</v>
      </c>
      <c r="F60" s="10">
        <v>40</v>
      </c>
      <c r="G60" s="36" t="s">
        <v>263</v>
      </c>
      <c r="H60" s="37" t="s">
        <v>309</v>
      </c>
      <c r="I60" s="37" t="s">
        <v>270</v>
      </c>
      <c r="J60" s="27"/>
      <c r="K60" s="27"/>
      <c r="L60" s="27" t="s">
        <v>726</v>
      </c>
      <c r="M60" s="27"/>
      <c r="N60" s="27"/>
      <c r="O60" s="1" t="s">
        <v>264</v>
      </c>
      <c r="P60" s="29" t="s">
        <v>265</v>
      </c>
      <c r="Q60" s="27" t="s">
        <v>298</v>
      </c>
      <c r="R60" s="27"/>
    </row>
    <row r="61" spans="1:18" ht="24" customHeight="1">
      <c r="A61" s="27" t="str">
        <f ca="1">IF(OR(D61&lt;&gt;"", E61&lt;&gt;"", K61&lt;&gt;"", N61&lt;&gt;""), "EVT-2026-" &amp; TEXT(COUNTIF('DT-3 Jan26'!$A$3:$A$500, "EVT*") + COUNTIF('DT-4 Jan26'!$A$3:$A$500, "EVT*") + COUNTIF('DT-3 Feb26'!$A$3:$A$500, "EVT*") + COUNTIF('DT-4 Feb26'!$A$3:$A$500, "EVT*") + COUNTIF(OFFSET($A$1, 1, 0, ROW()-2, 1), "EVT*") + 1, "0000"), "")</f>
        <v>EVT-2026-0273</v>
      </c>
      <c r="B61" s="30">
        <v>46112</v>
      </c>
      <c r="C61" s="27" t="s">
        <v>227</v>
      </c>
      <c r="D61" s="27" t="s">
        <v>326</v>
      </c>
      <c r="E61" s="27" t="s">
        <v>727</v>
      </c>
      <c r="F61" s="10">
        <v>40</v>
      </c>
      <c r="G61" s="36" t="s">
        <v>263</v>
      </c>
      <c r="H61" s="37" t="s">
        <v>309</v>
      </c>
      <c r="I61" s="37" t="s">
        <v>270</v>
      </c>
      <c r="J61" s="27"/>
      <c r="K61" s="27"/>
      <c r="L61" s="27" t="s">
        <v>728</v>
      </c>
      <c r="M61" s="27"/>
      <c r="N61" s="27"/>
      <c r="O61" s="1" t="s">
        <v>264</v>
      </c>
      <c r="P61" s="29" t="s">
        <v>265</v>
      </c>
      <c r="Q61" s="27" t="s">
        <v>298</v>
      </c>
      <c r="R61" s="27"/>
    </row>
  </sheetData>
  <mergeCells count="3">
    <mergeCell ref="A1:C1"/>
    <mergeCell ref="N1:R1"/>
    <mergeCell ref="D1:M1"/>
  </mergeCells>
  <dataValidations count="4">
    <dataValidation type="list" allowBlank="1" sqref="N3:N500 O3:O61" xr:uid="{00000000-0002-0000-0600-000000000000}">
      <formula1>"Confirmed (Done),Pending Calendar Booking,Canceled"</formula1>
    </dataValidation>
    <dataValidation type="list" allowBlank="1" sqref="O3:O111" xr:uid="{00000000-0002-0000-0600-000001000000}">
      <formula1>"Form sent,NA"</formula1>
    </dataValidation>
    <dataValidation type="list" allowBlank="1" sqref="P3:P61" xr:uid="{00000000-0002-0000-0600-000002000000}">
      <formula1>"Form sent,Not Required,NA"</formula1>
    </dataValidation>
    <dataValidation type="list" allowBlank="1" sqref="G3:G61" xr:uid="{00000000-0002-0000-0600-000003000000}">
      <formula1>"Big Event,Small Event"</formula1>
    </dataValidation>
  </dataValidations>
  <hyperlinks>
    <hyperlink ref="A1" location="'Dashboard'!A1" display="🏠 ⮌ RETURN TO DASHBOARD"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20"/>
  <sheetViews>
    <sheetView workbookViewId="0">
      <pane ySplit="2" topLeftCell="A3" activePane="bottomLeft" state="frozen"/>
      <selection pane="bottomLeft"/>
    </sheetView>
  </sheetViews>
  <sheetFormatPr defaultRowHeight="14.45"/>
  <cols>
    <col min="1" max="1" width="18" customWidth="1"/>
    <col min="2" max="2" width="36" customWidth="1"/>
    <col min="3" max="3" width="15" customWidth="1"/>
    <col min="4" max="4" width="48" customWidth="1"/>
    <col min="5" max="5" width="12" customWidth="1"/>
    <col min="6" max="6" width="48" customWidth="1"/>
    <col min="7" max="7" width="12" customWidth="1"/>
    <col min="8" max="8" width="15" customWidth="1"/>
    <col min="9" max="9" width="19" customWidth="1"/>
    <col min="10" max="10" width="17" customWidth="1"/>
    <col min="11" max="12" width="22" customWidth="1"/>
    <col min="13" max="13" width="39" customWidth="1"/>
    <col min="14" max="14" width="25" customWidth="1"/>
    <col min="15" max="15" width="23" customWidth="1"/>
    <col min="16" max="16" width="25" customWidth="1"/>
    <col min="17" max="17" width="18" customWidth="1"/>
    <col min="18" max="18" width="48" customWidth="1"/>
    <col min="19" max="19" width="19" customWidth="1"/>
  </cols>
  <sheetData>
    <row r="1" spans="1:19" ht="27.95" customHeight="1">
      <c r="A1" s="62" t="s">
        <v>2138</v>
      </c>
      <c r="B1" s="134"/>
      <c r="C1" s="135"/>
      <c r="D1" s="63" t="s">
        <v>2208</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COUNTIF(OFFSET($A$1, 1, 0, ROW()-2, 1), "EVT*") + 1, "0000"), "")</f>
        <v/>
      </c>
      <c r="B3" s="30">
        <v>46082</v>
      </c>
      <c r="C3" s="27" t="s">
        <v>267</v>
      </c>
      <c r="D3" s="27"/>
      <c r="E3" s="27"/>
      <c r="F3" s="27"/>
      <c r="G3" s="10"/>
      <c r="H3" s="36" t="s">
        <v>263</v>
      </c>
      <c r="I3" s="37"/>
      <c r="J3" s="37"/>
      <c r="K3" s="27"/>
      <c r="L3" s="27"/>
      <c r="M3" s="27"/>
      <c r="N3" s="27"/>
      <c r="O3" s="27"/>
      <c r="P3" s="1" t="s">
        <v>264</v>
      </c>
      <c r="Q3" s="29" t="s">
        <v>265</v>
      </c>
      <c r="R3" s="27"/>
      <c r="S3" s="27"/>
    </row>
    <row r="4" spans="1:19" ht="24" customHeight="1">
      <c r="A4" s="27" t="str">
        <f ca="1">IF(OR(D4&lt;&gt;"", F4&lt;&gt;"", L4&lt;&gt;"", O4&lt;&gt;""), "EVT-2026-" &amp; TEXT(COUNTIF('DT-3 Jan26'!$A$3:$A$500, "EVT*") + COUNTIF('DT-4 Jan26'!$A$3:$A$500, "EVT*") + COUNTIF('DT-3 Feb26'!$A$3:$A$500, "EVT*") + COUNTIF('DT-4 Feb26'!$A$3:$A$500, "EVT*") + COUNTIF('DT-3 Mar26'!$A$3:$A$500, "EVT*") + COUNTIF(OFFSET($A$1, 1, 0, ROW()-2, 1), "EVT*") + 1, "0000"), "")</f>
        <v>EVT-2026-0274</v>
      </c>
      <c r="B4" s="30" t="s">
        <v>2209</v>
      </c>
      <c r="C4" s="27" t="s">
        <v>224</v>
      </c>
      <c r="D4" s="27" t="s">
        <v>496</v>
      </c>
      <c r="E4" s="27" t="s">
        <v>228</v>
      </c>
      <c r="F4" s="27" t="s">
        <v>344</v>
      </c>
      <c r="G4" s="10">
        <v>25</v>
      </c>
      <c r="H4" s="36" t="s">
        <v>263</v>
      </c>
      <c r="I4" s="37" t="s">
        <v>350</v>
      </c>
      <c r="J4" s="37" t="s">
        <v>270</v>
      </c>
      <c r="K4" s="27"/>
      <c r="L4" s="27"/>
      <c r="M4" s="27" t="s">
        <v>729</v>
      </c>
      <c r="N4" s="27"/>
      <c r="O4" s="27"/>
      <c r="P4" s="1" t="s">
        <v>264</v>
      </c>
      <c r="Q4" s="29" t="s">
        <v>265</v>
      </c>
      <c r="R4" s="27" t="s">
        <v>303</v>
      </c>
      <c r="S4" s="27"/>
    </row>
    <row r="5" spans="1:19" ht="24" customHeight="1">
      <c r="A5" s="27" t="str">
        <f ca="1">IF(OR(D5&lt;&gt;"", F5&lt;&gt;"", L5&lt;&gt;"", O5&lt;&gt;""), "EVT-2026-" &amp; TEXT(COUNTIF('DT-3 Jan26'!$A$3:$A$500, "EVT*") + COUNTIF('DT-4 Jan26'!$A$3:$A$500, "EVT*") + COUNTIF('DT-3 Feb26'!$A$3:$A$500, "EVT*") + COUNTIF('DT-4 Feb26'!$A$3:$A$500, "EVT*") + COUNTIF('DT-3 Mar26'!$A$3:$A$500, "EVT*") + COUNTIF(OFFSET($A$1, 1, 0, ROW()-2, 1), "EVT*") + 1, "0000"), "")</f>
        <v>EVT-2026-0275</v>
      </c>
      <c r="B5" s="30" t="s">
        <v>2210</v>
      </c>
      <c r="C5" s="27" t="s">
        <v>224</v>
      </c>
      <c r="D5" s="27" t="s">
        <v>730</v>
      </c>
      <c r="E5" s="27" t="s">
        <v>202</v>
      </c>
      <c r="F5" s="27" t="s">
        <v>731</v>
      </c>
      <c r="G5" s="10"/>
      <c r="H5" s="36" t="s">
        <v>263</v>
      </c>
      <c r="I5" s="37" t="s">
        <v>732</v>
      </c>
      <c r="J5" s="37" t="s">
        <v>270</v>
      </c>
      <c r="K5" s="27"/>
      <c r="L5" s="27"/>
      <c r="M5" s="27" t="s">
        <v>383</v>
      </c>
      <c r="N5" s="27"/>
      <c r="O5" s="27"/>
      <c r="P5" s="1" t="s">
        <v>264</v>
      </c>
      <c r="Q5" s="29" t="s">
        <v>265</v>
      </c>
      <c r="R5" s="27" t="s">
        <v>733</v>
      </c>
      <c r="S5" s="27"/>
    </row>
    <row r="6" spans="1:19" ht="24" customHeight="1">
      <c r="A6" s="27" t="str">
        <f ca="1">IF(OR(D6&lt;&gt;"", F6&lt;&gt;"", L6&lt;&gt;"", O6&lt;&gt;""), "EVT-2026-" &amp; TEXT(COUNTIF('DT-3 Jan26'!$A$3:$A$500, "EVT*") + COUNTIF('DT-4 Jan26'!$A$3:$A$500, "EVT*") + COUNTIF('DT-3 Feb26'!$A$3:$A$500, "EVT*") + COUNTIF('DT-4 Feb26'!$A$3:$A$500, "EVT*") + COUNTIF('DT-3 Mar26'!$A$3:$A$500, "EVT*") + COUNTIF(OFFSET($A$1, 1, 0, ROW()-2, 1), "EVT*") + 1, "0000"), "")</f>
        <v>EVT-2026-0276</v>
      </c>
      <c r="B6" s="30" t="s">
        <v>2210</v>
      </c>
      <c r="C6" s="27" t="s">
        <v>224</v>
      </c>
      <c r="D6" s="27" t="s">
        <v>734</v>
      </c>
      <c r="E6" s="27" t="s">
        <v>202</v>
      </c>
      <c r="F6" s="27" t="s">
        <v>735</v>
      </c>
      <c r="G6" s="10"/>
      <c r="H6" s="36" t="s">
        <v>263</v>
      </c>
      <c r="I6" s="37" t="s">
        <v>732</v>
      </c>
      <c r="J6" s="37" t="s">
        <v>270</v>
      </c>
      <c r="K6" s="27"/>
      <c r="L6" s="27"/>
      <c r="M6" s="27" t="s">
        <v>383</v>
      </c>
      <c r="N6" s="27"/>
      <c r="O6" s="27"/>
      <c r="P6" s="1" t="s">
        <v>264</v>
      </c>
      <c r="Q6" s="29" t="s">
        <v>265</v>
      </c>
      <c r="R6" s="27" t="s">
        <v>733</v>
      </c>
      <c r="S6" s="27"/>
    </row>
    <row r="7" spans="1:19" ht="24" customHeight="1">
      <c r="A7" s="27" t="str">
        <f ca="1">IF(OR(D7&lt;&gt;"", F7&lt;&gt;"", L7&lt;&gt;"", O7&lt;&gt;""), "EVT-2026-" &amp; TEXT(COUNTIF('DT-3 Jan26'!$A$3:$A$500, "EVT*") + COUNTIF('DT-4 Jan26'!$A$3:$A$500, "EVT*") + COUNTIF('DT-3 Feb26'!$A$3:$A$500, "EVT*") + COUNTIF('DT-4 Feb26'!$A$3:$A$500, "EVT*") + COUNTIF('DT-3 Mar26'!$A$3:$A$500, "EVT*") + COUNTIF(OFFSET($A$1, 1, 0, ROW()-2, 1), "EVT*") + 1, "0000"), "")</f>
        <v>EVT-2026-0277</v>
      </c>
      <c r="B7" s="30">
        <v>46083</v>
      </c>
      <c r="C7" s="27" t="s">
        <v>224</v>
      </c>
      <c r="D7" s="27" t="s">
        <v>736</v>
      </c>
      <c r="E7" s="27" t="s">
        <v>202</v>
      </c>
      <c r="F7" s="27"/>
      <c r="G7" s="10">
        <v>35</v>
      </c>
      <c r="H7" s="36" t="s">
        <v>263</v>
      </c>
      <c r="I7" s="37" t="s">
        <v>295</v>
      </c>
      <c r="J7" s="37" t="s">
        <v>296</v>
      </c>
      <c r="K7" s="27"/>
      <c r="L7" s="27"/>
      <c r="M7" s="27" t="s">
        <v>737</v>
      </c>
      <c r="N7" s="27"/>
      <c r="O7" s="27" t="s">
        <v>298</v>
      </c>
      <c r="P7" s="1" t="s">
        <v>264</v>
      </c>
      <c r="Q7" s="29" t="s">
        <v>265</v>
      </c>
      <c r="R7" s="27"/>
      <c r="S7" s="27"/>
    </row>
    <row r="8" spans="1:19" ht="24" customHeight="1">
      <c r="A8" s="27" t="str">
        <f ca="1">IF(OR(D8&lt;&gt;"", F8&lt;&gt;"", L8&lt;&gt;"", O8&lt;&gt;""), "EVT-2026-" &amp; TEXT(COUNTIF('DT-3 Jan26'!$A$3:$A$500, "EVT*") + COUNTIF('DT-4 Jan26'!$A$3:$A$500, "EVT*") + COUNTIF('DT-3 Feb26'!$A$3:$A$500, "EVT*") + COUNTIF('DT-4 Feb26'!$A$3:$A$500, "EVT*") + COUNTIF('DT-3 Mar26'!$A$3:$A$500, "EVT*") + COUNTIF(OFFSET($A$1, 1, 0, ROW()-2, 1), "EVT*") + 1, "0000"), "")</f>
        <v>EVT-2026-0278</v>
      </c>
      <c r="B8" s="30">
        <v>46083</v>
      </c>
      <c r="C8" s="27" t="s">
        <v>224</v>
      </c>
      <c r="D8" s="27" t="s">
        <v>348</v>
      </c>
      <c r="E8" s="27" t="s">
        <v>202</v>
      </c>
      <c r="F8" s="27" t="s">
        <v>738</v>
      </c>
      <c r="G8" s="10">
        <v>10</v>
      </c>
      <c r="H8" s="36" t="s">
        <v>263</v>
      </c>
      <c r="I8" s="37" t="s">
        <v>331</v>
      </c>
      <c r="J8" s="37" t="s">
        <v>275</v>
      </c>
      <c r="K8" s="27"/>
      <c r="L8" s="27"/>
      <c r="M8" s="27" t="s">
        <v>383</v>
      </c>
      <c r="N8" s="27"/>
      <c r="O8" s="30" t="s">
        <v>2197</v>
      </c>
      <c r="P8" s="1" t="s">
        <v>264</v>
      </c>
      <c r="Q8" s="29" t="s">
        <v>265</v>
      </c>
      <c r="R8" s="27" t="s">
        <v>739</v>
      </c>
      <c r="S8" s="27"/>
    </row>
    <row r="9" spans="1:19" ht="24" customHeight="1">
      <c r="A9" s="27" t="str">
        <f ca="1">IF(OR(D9&lt;&gt;"", F9&lt;&gt;"", L9&lt;&gt;"", O9&lt;&gt;""), "EVT-2026-" &amp; TEXT(COUNTIF('DT-3 Jan26'!$A$3:$A$500, "EVT*") + COUNTIF('DT-4 Jan26'!$A$3:$A$500, "EVT*") + COUNTIF('DT-3 Feb26'!$A$3:$A$500, "EVT*") + COUNTIF('DT-4 Feb26'!$A$3:$A$500, "EVT*") + COUNTIF('DT-3 Mar26'!$A$3:$A$500, "EVT*") + COUNTIF(OFFSET($A$1, 1, 0, ROW()-2, 1), "EVT*") + 1, "0000"), "")</f>
        <v>EVT-2026-0279</v>
      </c>
      <c r="B9" s="30">
        <v>46083</v>
      </c>
      <c r="C9" s="27" t="s">
        <v>224</v>
      </c>
      <c r="D9" s="27" t="s">
        <v>125</v>
      </c>
      <c r="E9" s="27" t="s">
        <v>228</v>
      </c>
      <c r="F9" s="27" t="s">
        <v>236</v>
      </c>
      <c r="G9" s="10" t="s">
        <v>2202</v>
      </c>
      <c r="H9" s="38" t="s">
        <v>294</v>
      </c>
      <c r="I9" s="37" t="s">
        <v>269</v>
      </c>
      <c r="J9" s="37" t="s">
        <v>270</v>
      </c>
      <c r="K9" s="27"/>
      <c r="L9" s="27"/>
      <c r="M9" s="27" t="s">
        <v>237</v>
      </c>
      <c r="N9" s="27"/>
      <c r="O9" s="27"/>
      <c r="P9" s="1" t="s">
        <v>264</v>
      </c>
      <c r="Q9" s="29" t="s">
        <v>265</v>
      </c>
      <c r="R9" s="27"/>
      <c r="S9" s="27"/>
    </row>
    <row r="10" spans="1:19" ht="24" customHeight="1">
      <c r="A10" s="27" t="str">
        <f ca="1">IF(OR(D10&lt;&gt;"", F10&lt;&gt;"", L10&lt;&gt;"", O10&lt;&gt;""), "EVT-2026-" &amp; TEXT(COUNTIF('DT-3 Jan26'!$A$3:$A$500, "EVT*") + COUNTIF('DT-4 Jan26'!$A$3:$A$500, "EVT*") + COUNTIF('DT-3 Feb26'!$A$3:$A$500, "EVT*") + COUNTIF('DT-4 Feb26'!$A$3:$A$500, "EVT*") + COUNTIF('DT-3 Mar26'!$A$3:$A$500, "EVT*") + COUNTIF(OFFSET($A$1, 1, 0, ROW()-2, 1), "EVT*") + 1, "0000"), "")</f>
        <v>EVT-2026-0280</v>
      </c>
      <c r="B10" s="30">
        <v>46083</v>
      </c>
      <c r="C10" s="27" t="s">
        <v>224</v>
      </c>
      <c r="D10" s="27" t="s">
        <v>740</v>
      </c>
      <c r="E10" s="27" t="s">
        <v>202</v>
      </c>
      <c r="F10" s="27" t="s">
        <v>741</v>
      </c>
      <c r="G10" s="10">
        <v>100</v>
      </c>
      <c r="H10" s="38" t="s">
        <v>294</v>
      </c>
      <c r="I10" s="37" t="s">
        <v>281</v>
      </c>
      <c r="J10" s="37" t="s">
        <v>429</v>
      </c>
      <c r="K10" s="27"/>
      <c r="L10" s="27"/>
      <c r="M10" s="27" t="s">
        <v>378</v>
      </c>
      <c r="N10" s="27"/>
      <c r="O10" s="30">
        <v>46035</v>
      </c>
      <c r="P10" s="3" t="s">
        <v>312</v>
      </c>
      <c r="Q10" s="29" t="s">
        <v>265</v>
      </c>
      <c r="R10" s="27" t="s">
        <v>298</v>
      </c>
      <c r="S10" s="27"/>
    </row>
    <row r="11" spans="1:19" ht="24" customHeight="1">
      <c r="A11" s="27" t="str">
        <f ca="1">IF(OR(D11&lt;&gt;"", F11&lt;&gt;"", L11&lt;&gt;"", O11&lt;&gt;""), "EVT-2026-" &amp; TEXT(COUNTIF('DT-3 Jan26'!$A$3:$A$500, "EVT*") + COUNTIF('DT-4 Jan26'!$A$3:$A$500, "EVT*") + COUNTIF('DT-3 Feb26'!$A$3:$A$500, "EVT*") + COUNTIF('DT-4 Feb26'!$A$3:$A$500, "EVT*") + COUNTIF('DT-3 Mar26'!$A$3:$A$500, "EVT*") + COUNTIF(OFFSET($A$1, 1, 0, ROW()-2, 1), "EVT*") + 1, "0000"), "")</f>
        <v>EVT-2026-0281</v>
      </c>
      <c r="B11" s="30">
        <v>46084</v>
      </c>
      <c r="C11" s="27" t="s">
        <v>227</v>
      </c>
      <c r="D11" s="27" t="s">
        <v>740</v>
      </c>
      <c r="E11" s="27" t="s">
        <v>208</v>
      </c>
      <c r="F11" s="27" t="s">
        <v>742</v>
      </c>
      <c r="G11" s="10">
        <v>40</v>
      </c>
      <c r="H11" s="36" t="s">
        <v>263</v>
      </c>
      <c r="I11" s="37" t="s">
        <v>315</v>
      </c>
      <c r="J11" s="37" t="s">
        <v>330</v>
      </c>
      <c r="K11" s="27"/>
      <c r="L11" s="27"/>
      <c r="M11" s="27" t="s">
        <v>743</v>
      </c>
      <c r="N11" s="27"/>
      <c r="O11" s="30" t="s">
        <v>2199</v>
      </c>
      <c r="P11" s="1" t="s">
        <v>264</v>
      </c>
      <c r="Q11" s="29" t="s">
        <v>265</v>
      </c>
      <c r="R11" s="27" t="s">
        <v>298</v>
      </c>
      <c r="S11" s="27"/>
    </row>
    <row r="12" spans="1:19" ht="24" customHeight="1">
      <c r="A12" s="27" t="str">
        <f ca="1">IF(OR(D12&lt;&gt;"", F12&lt;&gt;"", L12&lt;&gt;"", O12&lt;&gt;""), "EVT-2026-" &amp; TEXT(COUNTIF('DT-3 Jan26'!$A$3:$A$500, "EVT*") + COUNTIF('DT-4 Jan26'!$A$3:$A$500, "EVT*") + COUNTIF('DT-3 Feb26'!$A$3:$A$500, "EVT*") + COUNTIF('DT-4 Feb26'!$A$3:$A$500, "EVT*") + COUNTIF('DT-3 Mar26'!$A$3:$A$500, "EVT*") + COUNTIF(OFFSET($A$1, 1, 0, ROW()-2, 1), "EVT*") + 1, "0000"), "")</f>
        <v>EVT-2026-0282</v>
      </c>
      <c r="B12" s="30">
        <v>46084</v>
      </c>
      <c r="C12" s="27" t="s">
        <v>227</v>
      </c>
      <c r="D12" s="27" t="s">
        <v>740</v>
      </c>
      <c r="E12" s="27" t="s">
        <v>208</v>
      </c>
      <c r="F12" s="27" t="s">
        <v>744</v>
      </c>
      <c r="G12" s="10">
        <v>60</v>
      </c>
      <c r="H12" s="36" t="s">
        <v>263</v>
      </c>
      <c r="I12" s="37" t="s">
        <v>275</v>
      </c>
      <c r="J12" s="37" t="s">
        <v>295</v>
      </c>
      <c r="K12" s="27"/>
      <c r="L12" s="27"/>
      <c r="M12" s="27" t="s">
        <v>745</v>
      </c>
      <c r="N12" s="27"/>
      <c r="O12" s="27"/>
      <c r="P12" s="1" t="s">
        <v>264</v>
      </c>
      <c r="Q12" s="29" t="s">
        <v>265</v>
      </c>
      <c r="R12" s="27" t="s">
        <v>298</v>
      </c>
      <c r="S12" s="27"/>
    </row>
    <row r="13" spans="1:19" ht="24" customHeight="1">
      <c r="A13" s="27" t="str">
        <f ca="1">IF(OR(D13&lt;&gt;"", F13&lt;&gt;"", L13&lt;&gt;"", O13&lt;&gt;""), "EVT-2026-" &amp; TEXT(COUNTIF('DT-3 Jan26'!$A$3:$A$500, "EVT*") + COUNTIF('DT-4 Jan26'!$A$3:$A$500, "EVT*") + COUNTIF('DT-3 Feb26'!$A$3:$A$500, "EVT*") + COUNTIF('DT-4 Feb26'!$A$3:$A$500, "EVT*") + COUNTIF('DT-3 Mar26'!$A$3:$A$500, "EVT*") + COUNTIF(OFFSET($A$1, 1, 0, ROW()-2, 1), "EVT*") + 1, "0000"), "")</f>
        <v>EVT-2026-0283</v>
      </c>
      <c r="B13" s="30">
        <v>46084</v>
      </c>
      <c r="C13" s="27" t="s">
        <v>227</v>
      </c>
      <c r="D13" s="27" t="s">
        <v>736</v>
      </c>
      <c r="E13" s="27" t="s">
        <v>202</v>
      </c>
      <c r="F13" s="27" t="s">
        <v>746</v>
      </c>
      <c r="G13" s="10">
        <v>40</v>
      </c>
      <c r="H13" s="36" t="s">
        <v>263</v>
      </c>
      <c r="I13" s="37" t="s">
        <v>359</v>
      </c>
      <c r="J13" s="37" t="s">
        <v>270</v>
      </c>
      <c r="K13" s="27" t="s">
        <v>747</v>
      </c>
      <c r="L13" s="27"/>
      <c r="M13" s="27" t="s">
        <v>743</v>
      </c>
      <c r="N13" s="27"/>
      <c r="O13" s="30" t="s">
        <v>2199</v>
      </c>
      <c r="P13" s="1" t="s">
        <v>264</v>
      </c>
      <c r="Q13" s="29" t="s">
        <v>265</v>
      </c>
      <c r="R13" s="27" t="s">
        <v>748</v>
      </c>
      <c r="S13" s="27"/>
    </row>
    <row r="14" spans="1:19" ht="24" customHeight="1">
      <c r="A14" s="27" t="str">
        <f ca="1">IF(OR(D14&lt;&gt;"", F14&lt;&gt;"", L14&lt;&gt;"", O14&lt;&gt;""), "EVT-2026-" &amp; TEXT(COUNTIF('DT-3 Jan26'!$A$3:$A$500, "EVT*") + COUNTIF('DT-4 Jan26'!$A$3:$A$500, "EVT*") + COUNTIF('DT-3 Feb26'!$A$3:$A$500, "EVT*") + COUNTIF('DT-4 Feb26'!$A$3:$A$500, "EVT*") + COUNTIF('DT-3 Mar26'!$A$3:$A$500, "EVT*") + COUNTIF(OFFSET($A$1, 1, 0, ROW()-2, 1), "EVT*") + 1, "0000"), "")</f>
        <v>EVT-2026-0284</v>
      </c>
      <c r="B14" s="30">
        <v>46084</v>
      </c>
      <c r="C14" s="27" t="s">
        <v>227</v>
      </c>
      <c r="D14" s="27" t="s">
        <v>348</v>
      </c>
      <c r="E14" s="27" t="s">
        <v>208</v>
      </c>
      <c r="F14" s="27" t="s">
        <v>349</v>
      </c>
      <c r="G14" s="10">
        <v>50</v>
      </c>
      <c r="H14" s="36" t="s">
        <v>263</v>
      </c>
      <c r="I14" s="37" t="s">
        <v>350</v>
      </c>
      <c r="J14" s="37" t="s">
        <v>296</v>
      </c>
      <c r="K14" s="27"/>
      <c r="L14" s="27"/>
      <c r="M14" s="27" t="s">
        <v>351</v>
      </c>
      <c r="N14" s="27"/>
      <c r="O14" s="30">
        <v>46008</v>
      </c>
      <c r="P14" s="1" t="s">
        <v>264</v>
      </c>
      <c r="Q14" s="29" t="s">
        <v>265</v>
      </c>
      <c r="R14" s="27" t="s">
        <v>303</v>
      </c>
      <c r="S14" s="27"/>
    </row>
    <row r="15" spans="1:19" ht="24" customHeight="1">
      <c r="A15" s="27" t="str">
        <f ca="1">IF(OR(D15&lt;&gt;"", F15&lt;&gt;"", L15&lt;&gt;"", O15&lt;&gt;""), "EVT-2026-" &amp; TEXT(COUNTIF('DT-3 Jan26'!$A$3:$A$500, "EVT*") + COUNTIF('DT-4 Jan26'!$A$3:$A$500, "EVT*") + COUNTIF('DT-3 Feb26'!$A$3:$A$500, "EVT*") + COUNTIF('DT-4 Feb26'!$A$3:$A$500, "EVT*") + COUNTIF('DT-3 Mar26'!$A$3:$A$500, "EVT*") + COUNTIF(OFFSET($A$1, 1, 0, ROW()-2, 1), "EVT*") + 1, "0000"), "")</f>
        <v>EVT-2026-0285</v>
      </c>
      <c r="B15" s="30">
        <v>46084</v>
      </c>
      <c r="C15" s="27" t="s">
        <v>227</v>
      </c>
      <c r="D15" s="27" t="s">
        <v>125</v>
      </c>
      <c r="E15" s="27" t="s">
        <v>228</v>
      </c>
      <c r="F15" s="27" t="s">
        <v>741</v>
      </c>
      <c r="G15" s="10">
        <v>100</v>
      </c>
      <c r="H15" s="38" t="s">
        <v>294</v>
      </c>
      <c r="I15" s="37" t="s">
        <v>281</v>
      </c>
      <c r="J15" s="37" t="s">
        <v>429</v>
      </c>
      <c r="K15" s="27"/>
      <c r="L15" s="27"/>
      <c r="M15" s="27" t="s">
        <v>378</v>
      </c>
      <c r="N15" s="27"/>
      <c r="O15" s="30" t="s">
        <v>2182</v>
      </c>
      <c r="P15" s="1" t="s">
        <v>264</v>
      </c>
      <c r="Q15" s="29" t="s">
        <v>265</v>
      </c>
      <c r="R15" s="27" t="s">
        <v>298</v>
      </c>
      <c r="S15" s="27"/>
    </row>
    <row r="16" spans="1:19" ht="24" customHeight="1">
      <c r="A16" s="27" t="str">
        <f ca="1">IF(OR(D16&lt;&gt;"", F16&lt;&gt;"", L16&lt;&gt;"", O16&lt;&gt;""), "EVT-2026-" &amp; TEXT(COUNTIF('DT-3 Jan26'!$A$3:$A$500, "EVT*") + COUNTIF('DT-4 Jan26'!$A$3:$A$500, "EVT*") + COUNTIF('DT-3 Feb26'!$A$3:$A$500, "EVT*") + COUNTIF('DT-4 Feb26'!$A$3:$A$500, "EVT*") + COUNTIF('DT-3 Mar26'!$A$3:$A$500, "EVT*") + COUNTIF(OFFSET($A$1, 1, 0, ROW()-2, 1), "EVT*") + 1, "0000"), "")</f>
        <v>EVT-2026-0286</v>
      </c>
      <c r="B16" s="30">
        <v>46084</v>
      </c>
      <c r="C16" s="27" t="s">
        <v>227</v>
      </c>
      <c r="D16" s="27" t="s">
        <v>125</v>
      </c>
      <c r="E16" s="27" t="s">
        <v>228</v>
      </c>
      <c r="F16" s="27" t="s">
        <v>578</v>
      </c>
      <c r="G16" s="10">
        <v>35</v>
      </c>
      <c r="H16" s="36" t="s">
        <v>263</v>
      </c>
      <c r="I16" s="37" t="s">
        <v>289</v>
      </c>
      <c r="J16" s="37" t="s">
        <v>296</v>
      </c>
      <c r="K16" s="27"/>
      <c r="L16" s="27"/>
      <c r="M16" s="27" t="s">
        <v>351</v>
      </c>
      <c r="N16" s="27"/>
      <c r="O16" s="30" t="s">
        <v>2182</v>
      </c>
      <c r="P16" s="1" t="s">
        <v>264</v>
      </c>
      <c r="Q16" s="29" t="s">
        <v>265</v>
      </c>
      <c r="R16" s="27" t="s">
        <v>298</v>
      </c>
      <c r="S16" s="27"/>
    </row>
    <row r="17" spans="1:19" ht="24" customHeight="1">
      <c r="A17" s="27" t="str">
        <f ca="1">IF(OR(D17&lt;&gt;"", F17&lt;&gt;"", L17&lt;&gt;"", O17&lt;&gt;""), "EVT-2026-" &amp; TEXT(COUNTIF('DT-3 Jan26'!$A$3:$A$500, "EVT*") + COUNTIF('DT-4 Jan26'!$A$3:$A$500, "EVT*") + COUNTIF('DT-3 Feb26'!$A$3:$A$500, "EVT*") + COUNTIF('DT-4 Feb26'!$A$3:$A$500, "EVT*") + COUNTIF('DT-3 Mar26'!$A$3:$A$500, "EVT*") + COUNTIF(OFFSET($A$1, 1, 0, ROW()-2, 1), "EVT*") + 1, "0000"), "")</f>
        <v>EVT-2026-0287</v>
      </c>
      <c r="B17" s="30">
        <v>46085</v>
      </c>
      <c r="C17" s="27" t="s">
        <v>201</v>
      </c>
      <c r="D17" s="27" t="s">
        <v>125</v>
      </c>
      <c r="E17" s="27" t="s">
        <v>228</v>
      </c>
      <c r="F17" s="27" t="s">
        <v>749</v>
      </c>
      <c r="G17" s="10">
        <v>5</v>
      </c>
      <c r="H17" s="36" t="s">
        <v>263</v>
      </c>
      <c r="I17" s="37" t="s">
        <v>275</v>
      </c>
      <c r="J17" s="37" t="s">
        <v>309</v>
      </c>
      <c r="K17" s="27"/>
      <c r="L17" s="27"/>
      <c r="M17" s="27" t="s">
        <v>383</v>
      </c>
      <c r="N17" s="27"/>
      <c r="O17" s="30" t="s">
        <v>2197</v>
      </c>
      <c r="P17" s="3" t="s">
        <v>312</v>
      </c>
      <c r="Q17" s="29" t="s">
        <v>265</v>
      </c>
      <c r="R17" s="27" t="s">
        <v>750</v>
      </c>
      <c r="S17" s="27"/>
    </row>
    <row r="18" spans="1:19" ht="24" customHeight="1">
      <c r="A18" s="27" t="str">
        <f ca="1">IF(OR(D18&lt;&gt;"", F18&lt;&gt;"", L18&lt;&gt;"", O18&lt;&gt;""), "EVT-2026-" &amp; TEXT(COUNTIF('DT-3 Jan26'!$A$3:$A$500, "EVT*") + COUNTIF('DT-4 Jan26'!$A$3:$A$500, "EVT*") + COUNTIF('DT-3 Feb26'!$A$3:$A$500, "EVT*") + COUNTIF('DT-4 Feb26'!$A$3:$A$500, "EVT*") + COUNTIF('DT-3 Mar26'!$A$3:$A$500, "EVT*") + COUNTIF(OFFSET($A$1, 1, 0, ROW()-2, 1), "EVT*") + 1, "0000"), "")</f>
        <v>EVT-2026-0288</v>
      </c>
      <c r="B18" s="30">
        <v>46086</v>
      </c>
      <c r="C18" s="27" t="s">
        <v>216</v>
      </c>
      <c r="D18" s="27" t="s">
        <v>348</v>
      </c>
      <c r="E18" s="27" t="s">
        <v>208</v>
      </c>
      <c r="F18" s="27" t="s">
        <v>349</v>
      </c>
      <c r="G18" s="10">
        <v>50</v>
      </c>
      <c r="H18" s="36" t="s">
        <v>263</v>
      </c>
      <c r="I18" s="37" t="s">
        <v>350</v>
      </c>
      <c r="J18" s="37" t="s">
        <v>296</v>
      </c>
      <c r="K18" s="27"/>
      <c r="L18" s="27"/>
      <c r="M18" s="27" t="s">
        <v>351</v>
      </c>
      <c r="N18" s="27"/>
      <c r="O18" s="30">
        <v>46008</v>
      </c>
      <c r="P18" s="1" t="s">
        <v>264</v>
      </c>
      <c r="Q18" s="29" t="s">
        <v>265</v>
      </c>
      <c r="R18" s="27" t="s">
        <v>303</v>
      </c>
      <c r="S18" s="27"/>
    </row>
    <row r="19" spans="1:19" ht="24" customHeight="1">
      <c r="A19" s="27" t="str">
        <f ca="1">IF(OR(D19&lt;&gt;"", F19&lt;&gt;"", L19&lt;&gt;"", O19&lt;&gt;""), "EVT-2026-" &amp; TEXT(COUNTIF('DT-3 Jan26'!$A$3:$A$500, "EVT*") + COUNTIF('DT-4 Jan26'!$A$3:$A$500, "EVT*") + COUNTIF('DT-3 Feb26'!$A$3:$A$500, "EVT*") + COUNTIF('DT-4 Feb26'!$A$3:$A$500, "EVT*") + COUNTIF('DT-3 Mar26'!$A$3:$A$500, "EVT*") + COUNTIF(OFFSET($A$1, 1, 0, ROW()-2, 1), "EVT*") + 1, "0000"), "")</f>
        <v>EVT-2026-0289</v>
      </c>
      <c r="B19" s="30">
        <v>46086</v>
      </c>
      <c r="C19" s="27" t="s">
        <v>216</v>
      </c>
      <c r="D19" s="27" t="s">
        <v>125</v>
      </c>
      <c r="E19" s="27" t="s">
        <v>228</v>
      </c>
      <c r="F19" s="27" t="s">
        <v>749</v>
      </c>
      <c r="G19" s="10">
        <v>15</v>
      </c>
      <c r="H19" s="36" t="s">
        <v>263</v>
      </c>
      <c r="I19" s="37" t="s">
        <v>275</v>
      </c>
      <c r="J19" s="37" t="s">
        <v>309</v>
      </c>
      <c r="K19" s="27"/>
      <c r="L19" s="27"/>
      <c r="M19" s="27"/>
      <c r="N19" s="27"/>
      <c r="O19" s="27"/>
      <c r="P19" s="3" t="s">
        <v>312</v>
      </c>
      <c r="Q19" s="29" t="s">
        <v>265</v>
      </c>
      <c r="R19" s="27"/>
      <c r="S19" s="27"/>
    </row>
    <row r="20" spans="1:19" ht="24" customHeight="1">
      <c r="A20" s="27" t="str">
        <f ca="1">IF(OR(D20&lt;&gt;"", F20&lt;&gt;"", L20&lt;&gt;"", O20&lt;&gt;""), "EVT-2026-" &amp; TEXT(COUNTIF('DT-3 Jan26'!$A$3:$A$500, "EVT*") + COUNTIF('DT-4 Jan26'!$A$3:$A$500, "EVT*") + COUNTIF('DT-3 Feb26'!$A$3:$A$500, "EVT*") + COUNTIF('DT-4 Feb26'!$A$3:$A$500, "EVT*") + COUNTIF('DT-3 Mar26'!$A$3:$A$500, "EVT*") + COUNTIF(OFFSET($A$1, 1, 0, ROW()-2, 1), "EVT*") + 1, "0000"), "")</f>
        <v>EVT-2026-0290</v>
      </c>
      <c r="B20" s="30">
        <v>46086</v>
      </c>
      <c r="C20" s="27" t="s">
        <v>216</v>
      </c>
      <c r="D20" s="27" t="s">
        <v>736</v>
      </c>
      <c r="E20" s="27" t="s">
        <v>202</v>
      </c>
      <c r="F20" s="27" t="s">
        <v>751</v>
      </c>
      <c r="G20" s="10">
        <v>20</v>
      </c>
      <c r="H20" s="36" t="s">
        <v>263</v>
      </c>
      <c r="I20" s="37" t="s">
        <v>269</v>
      </c>
      <c r="J20" s="37" t="s">
        <v>270</v>
      </c>
      <c r="K20" s="27"/>
      <c r="L20" s="27"/>
      <c r="M20" s="27" t="s">
        <v>752</v>
      </c>
      <c r="N20" s="27"/>
      <c r="O20" s="27"/>
      <c r="P20" s="1" t="s">
        <v>264</v>
      </c>
      <c r="Q20" s="29" t="s">
        <v>265</v>
      </c>
      <c r="R20" s="27" t="s">
        <v>753</v>
      </c>
      <c r="S20" s="27"/>
    </row>
    <row r="21" spans="1:19" ht="24" customHeight="1">
      <c r="A21" s="27" t="str">
        <f ca="1">IF(OR(D21&lt;&gt;"", F21&lt;&gt;"", L21&lt;&gt;"", O21&lt;&gt;""), "EVT-2026-" &amp; TEXT(COUNTIF('DT-3 Jan26'!$A$3:$A$500, "EVT*") + COUNTIF('DT-4 Jan26'!$A$3:$A$500, "EVT*") + COUNTIF('DT-3 Feb26'!$A$3:$A$500, "EVT*") + COUNTIF('DT-4 Feb26'!$A$3:$A$500, "EVT*") + COUNTIF('DT-3 Mar26'!$A$3:$A$500, "EVT*") + COUNTIF(OFFSET($A$1, 1, 0, ROW()-2, 1), "EVT*") + 1, "0000"), "")</f>
        <v>EVT-2026-0291</v>
      </c>
      <c r="B21" s="30">
        <v>46086</v>
      </c>
      <c r="C21" s="27" t="s">
        <v>216</v>
      </c>
      <c r="D21" s="27" t="s">
        <v>348</v>
      </c>
      <c r="E21" s="27" t="s">
        <v>202</v>
      </c>
      <c r="F21" s="27" t="s">
        <v>754</v>
      </c>
      <c r="G21" s="10">
        <v>12</v>
      </c>
      <c r="H21" s="36" t="s">
        <v>263</v>
      </c>
      <c r="I21" s="37" t="s">
        <v>331</v>
      </c>
      <c r="J21" s="37" t="s">
        <v>275</v>
      </c>
      <c r="K21" s="27"/>
      <c r="L21" s="27"/>
      <c r="M21" s="27" t="s">
        <v>383</v>
      </c>
      <c r="N21" s="27"/>
      <c r="O21" s="30" t="s">
        <v>2211</v>
      </c>
      <c r="P21" s="1" t="s">
        <v>264</v>
      </c>
      <c r="Q21" s="29" t="s">
        <v>265</v>
      </c>
      <c r="R21" s="27" t="s">
        <v>755</v>
      </c>
      <c r="S21" s="27"/>
    </row>
    <row r="22" spans="1:19" ht="24" customHeight="1">
      <c r="A22" s="27" t="str">
        <f ca="1">IF(OR(D22&lt;&gt;"", F22&lt;&gt;"", L22&lt;&gt;"", O22&lt;&gt;""), "EVT-2026-" &amp; TEXT(COUNTIF('DT-3 Jan26'!$A$3:$A$500, "EVT*") + COUNTIF('DT-4 Jan26'!$A$3:$A$500, "EVT*") + COUNTIF('DT-3 Feb26'!$A$3:$A$500, "EVT*") + COUNTIF('DT-4 Feb26'!$A$3:$A$500, "EVT*") + COUNTIF('DT-3 Mar26'!$A$3:$A$500, "EVT*") + COUNTIF(OFFSET($A$1, 1, 0, ROW()-2, 1), "EVT*") + 1, "0000"), "")</f>
        <v>EVT-2026-0292</v>
      </c>
      <c r="B22" s="30">
        <v>46086</v>
      </c>
      <c r="C22" s="27" t="s">
        <v>216</v>
      </c>
      <c r="D22" s="27" t="s">
        <v>125</v>
      </c>
      <c r="E22" s="27" t="s">
        <v>228</v>
      </c>
      <c r="F22" s="27" t="s">
        <v>578</v>
      </c>
      <c r="G22" s="10">
        <v>35</v>
      </c>
      <c r="H22" s="36" t="s">
        <v>263</v>
      </c>
      <c r="I22" s="37" t="s">
        <v>289</v>
      </c>
      <c r="J22" s="37" t="s">
        <v>296</v>
      </c>
      <c r="K22" s="27"/>
      <c r="L22" s="27"/>
      <c r="M22" s="27" t="s">
        <v>351</v>
      </c>
      <c r="N22" s="27"/>
      <c r="O22" s="30" t="s">
        <v>2182</v>
      </c>
      <c r="P22" s="1" t="s">
        <v>264</v>
      </c>
      <c r="Q22" s="29" t="s">
        <v>265</v>
      </c>
      <c r="R22" s="27" t="s">
        <v>298</v>
      </c>
      <c r="S22" s="27"/>
    </row>
    <row r="23" spans="1:19" ht="24" customHeight="1">
      <c r="A23" s="27" t="str">
        <f ca="1">IF(OR(D23&lt;&gt;"", F23&lt;&gt;"", L23&lt;&gt;"", O23&lt;&gt;""), "EVT-2026-" &amp; TEXT(COUNTIF('DT-3 Jan26'!$A$3:$A$500, "EVT*") + COUNTIF('DT-4 Jan26'!$A$3:$A$500, "EVT*") + COUNTIF('DT-3 Feb26'!$A$3:$A$500, "EVT*") + COUNTIF('DT-4 Feb26'!$A$3:$A$500, "EVT*") + COUNTIF('DT-3 Mar26'!$A$3:$A$500, "EVT*") + COUNTIF(OFFSET($A$1, 1, 0, ROW()-2, 1), "EVT*") + 1, "0000"), "")</f>
        <v>EVT-2026-0293</v>
      </c>
      <c r="B23" s="30">
        <v>46086</v>
      </c>
      <c r="C23" s="27" t="s">
        <v>216</v>
      </c>
      <c r="D23" s="27" t="s">
        <v>239</v>
      </c>
      <c r="E23" s="27" t="s">
        <v>202</v>
      </c>
      <c r="F23" s="27" t="s">
        <v>742</v>
      </c>
      <c r="G23" s="10">
        <v>180</v>
      </c>
      <c r="H23" s="38" t="s">
        <v>294</v>
      </c>
      <c r="I23" s="37" t="s">
        <v>295</v>
      </c>
      <c r="J23" s="37" t="s">
        <v>296</v>
      </c>
      <c r="K23" s="27"/>
      <c r="L23" s="27"/>
      <c r="M23" s="27" t="s">
        <v>383</v>
      </c>
      <c r="N23" s="27"/>
      <c r="O23" s="30" t="s">
        <v>2169</v>
      </c>
      <c r="P23" s="3" t="s">
        <v>312</v>
      </c>
      <c r="Q23" s="29" t="s">
        <v>265</v>
      </c>
      <c r="R23" s="27" t="s">
        <v>756</v>
      </c>
      <c r="S23" s="27"/>
    </row>
    <row r="24" spans="1:19" ht="24" customHeight="1">
      <c r="A24" s="27" t="str">
        <f ca="1">IF(OR(D24&lt;&gt;"", F24&lt;&gt;"", L24&lt;&gt;"", O24&lt;&gt;""), "EVT-2026-" &amp; TEXT(COUNTIF('DT-3 Jan26'!$A$3:$A$500, "EVT*") + COUNTIF('DT-4 Jan26'!$A$3:$A$500, "EVT*") + COUNTIF('DT-3 Feb26'!$A$3:$A$500, "EVT*") + COUNTIF('DT-4 Feb26'!$A$3:$A$500, "EVT*") + COUNTIF('DT-3 Mar26'!$A$3:$A$500, "EVT*") + COUNTIF(OFFSET($A$1, 1, 0, ROW()-2, 1), "EVT*") + 1, "0000"), "")</f>
        <v/>
      </c>
      <c r="B24" s="27"/>
      <c r="C24" s="27"/>
      <c r="D24" s="27"/>
      <c r="E24" s="27"/>
      <c r="F24" s="27"/>
      <c r="G24" s="10"/>
      <c r="H24" s="36" t="s">
        <v>263</v>
      </c>
      <c r="I24" s="37"/>
      <c r="J24" s="37"/>
      <c r="K24" s="27"/>
      <c r="L24" s="27"/>
      <c r="M24" s="27"/>
      <c r="N24" s="27"/>
      <c r="O24" s="27"/>
      <c r="P24" s="1" t="s">
        <v>264</v>
      </c>
      <c r="Q24" s="29" t="s">
        <v>265</v>
      </c>
      <c r="R24" s="27" t="s">
        <v>757</v>
      </c>
      <c r="S24" s="27"/>
    </row>
    <row r="25" spans="1:19" ht="24" customHeight="1">
      <c r="A25" s="27" t="str">
        <f ca="1">IF(OR(D25&lt;&gt;"", F25&lt;&gt;"", L25&lt;&gt;"", O25&lt;&gt;""), "EVT-2026-" &amp; TEXT(COUNTIF('DT-3 Jan26'!$A$3:$A$500, "EVT*") + COUNTIF('DT-4 Jan26'!$A$3:$A$500, "EVT*") + COUNTIF('DT-3 Feb26'!$A$3:$A$500, "EVT*") + COUNTIF('DT-4 Feb26'!$A$3:$A$500, "EVT*") + COUNTIF('DT-3 Mar26'!$A$3:$A$500, "EVT*") + COUNTIF(OFFSET($A$1, 1, 0, ROW()-2, 1), "EVT*") + 1, "0000"), "")</f>
        <v>EVT-2026-0294</v>
      </c>
      <c r="B25" s="30">
        <v>46087</v>
      </c>
      <c r="C25" s="27" t="s">
        <v>220</v>
      </c>
      <c r="D25" s="27" t="s">
        <v>125</v>
      </c>
      <c r="E25" s="27" t="s">
        <v>202</v>
      </c>
      <c r="F25" s="27" t="s">
        <v>758</v>
      </c>
      <c r="G25" s="10">
        <v>70</v>
      </c>
      <c r="H25" s="36" t="s">
        <v>263</v>
      </c>
      <c r="I25" s="37" t="s">
        <v>338</v>
      </c>
      <c r="J25" s="37" t="s">
        <v>331</v>
      </c>
      <c r="K25" s="27"/>
      <c r="L25" s="27"/>
      <c r="M25" s="27" t="s">
        <v>759</v>
      </c>
      <c r="N25" s="27"/>
      <c r="O25" s="30" t="s">
        <v>2212</v>
      </c>
      <c r="P25" s="1" t="s">
        <v>264</v>
      </c>
      <c r="Q25" s="29" t="s">
        <v>265</v>
      </c>
      <c r="R25" s="27" t="s">
        <v>298</v>
      </c>
      <c r="S25" s="27"/>
    </row>
    <row r="26" spans="1:19" ht="24" customHeight="1">
      <c r="A26" s="27" t="str">
        <f ca="1">IF(OR(D26&lt;&gt;"", F26&lt;&gt;"", L26&lt;&gt;"", O26&lt;&gt;""), "EVT-2026-" &amp; TEXT(COUNTIF('DT-3 Jan26'!$A$3:$A$500, "EVT*") + COUNTIF('DT-4 Jan26'!$A$3:$A$500, "EVT*") + COUNTIF('DT-3 Feb26'!$A$3:$A$500, "EVT*") + COUNTIF('DT-4 Feb26'!$A$3:$A$500, "EVT*") + COUNTIF('DT-3 Mar26'!$A$3:$A$500, "EVT*") + COUNTIF(OFFSET($A$1, 1, 0, ROW()-2, 1), "EVT*") + 1, "0000"), "")</f>
        <v>EVT-2026-0295</v>
      </c>
      <c r="B26" s="30">
        <v>46088</v>
      </c>
      <c r="C26" s="27" t="s">
        <v>266</v>
      </c>
      <c r="D26" s="27" t="s">
        <v>300</v>
      </c>
      <c r="E26" s="27" t="s">
        <v>202</v>
      </c>
      <c r="F26" s="27"/>
      <c r="G26" s="10"/>
      <c r="H26" s="36" t="s">
        <v>263</v>
      </c>
      <c r="I26" s="37" t="s">
        <v>269</v>
      </c>
      <c r="J26" s="37" t="s">
        <v>270</v>
      </c>
      <c r="K26" s="27"/>
      <c r="L26" s="27"/>
      <c r="M26" s="27" t="s">
        <v>760</v>
      </c>
      <c r="N26" s="27"/>
      <c r="O26" s="30" t="s">
        <v>2169</v>
      </c>
      <c r="P26" s="1" t="s">
        <v>264</v>
      </c>
      <c r="Q26" s="29" t="s">
        <v>265</v>
      </c>
      <c r="R26" s="27" t="s">
        <v>488</v>
      </c>
      <c r="S26" s="27"/>
    </row>
    <row r="27" spans="1:19" ht="24" customHeight="1">
      <c r="A27" s="27" t="str">
        <f ca="1">IF(OR(D27&lt;&gt;"", F27&lt;&gt;"", L27&lt;&gt;"", O27&lt;&gt;""), "EVT-2026-" &amp; TEXT(COUNTIF('DT-3 Jan26'!$A$3:$A$500, "EVT*") + COUNTIF('DT-4 Jan26'!$A$3:$A$500, "EVT*") + COUNTIF('DT-3 Feb26'!$A$3:$A$500, "EVT*") + COUNTIF('DT-4 Feb26'!$A$3:$A$500, "EVT*") + COUNTIF('DT-3 Mar26'!$A$3:$A$500, "EVT*") + COUNTIF(OFFSET($A$1, 1, 0, ROW()-2, 1), "EVT*") + 1, "0000"), "")</f>
        <v/>
      </c>
      <c r="B27" s="30">
        <v>46089</v>
      </c>
      <c r="C27" s="27" t="s">
        <v>267</v>
      </c>
      <c r="D27" s="27"/>
      <c r="E27" s="27"/>
      <c r="F27" s="27"/>
      <c r="G27" s="10"/>
      <c r="H27" s="36" t="s">
        <v>263</v>
      </c>
      <c r="I27" s="37"/>
      <c r="J27" s="37"/>
      <c r="K27" s="27"/>
      <c r="L27" s="27"/>
      <c r="M27" s="27"/>
      <c r="N27" s="27"/>
      <c r="O27" s="27"/>
      <c r="P27" s="1" t="s">
        <v>264</v>
      </c>
      <c r="Q27" s="29" t="s">
        <v>265</v>
      </c>
      <c r="R27" s="27"/>
      <c r="S27" s="27"/>
    </row>
    <row r="28" spans="1:19" ht="24" customHeight="1">
      <c r="A28" s="27" t="str">
        <f ca="1">IF(OR(D28&lt;&gt;"", F28&lt;&gt;"", L28&lt;&gt;"", O28&lt;&gt;""), "EVT-2026-" &amp; TEXT(COUNTIF('DT-3 Jan26'!$A$3:$A$500, "EVT*") + COUNTIF('DT-4 Jan26'!$A$3:$A$500, "EVT*") + COUNTIF('DT-3 Feb26'!$A$3:$A$500, "EVT*") + COUNTIF('DT-4 Feb26'!$A$3:$A$500, "EVT*") + COUNTIF('DT-3 Mar26'!$A$3:$A$500, "EVT*") + COUNTIF(OFFSET($A$1, 1, 0, ROW()-2, 1), "EVT*") + 1, "0000"), "")</f>
        <v>EVT-2026-0296</v>
      </c>
      <c r="B28" s="30" t="s">
        <v>2213</v>
      </c>
      <c r="C28" s="27" t="s">
        <v>224</v>
      </c>
      <c r="D28" s="27" t="s">
        <v>761</v>
      </c>
      <c r="E28" s="27" t="s">
        <v>202</v>
      </c>
      <c r="F28" s="27" t="s">
        <v>762</v>
      </c>
      <c r="G28" s="10">
        <v>25</v>
      </c>
      <c r="H28" s="36" t="s">
        <v>263</v>
      </c>
      <c r="I28" s="37" t="s">
        <v>269</v>
      </c>
      <c r="J28" s="37" t="s">
        <v>270</v>
      </c>
      <c r="K28" s="27"/>
      <c r="L28" s="27"/>
      <c r="M28" s="27" t="s">
        <v>763</v>
      </c>
      <c r="N28" s="27"/>
      <c r="O28" s="27"/>
      <c r="P28" s="1" t="s">
        <v>264</v>
      </c>
      <c r="Q28" s="29" t="s">
        <v>265</v>
      </c>
      <c r="R28" s="27" t="s">
        <v>307</v>
      </c>
      <c r="S28" s="27"/>
    </row>
    <row r="29" spans="1:19" ht="24" customHeight="1">
      <c r="A29" s="27" t="str">
        <f ca="1">IF(OR(D29&lt;&gt;"", F29&lt;&gt;"", L29&lt;&gt;"", O29&lt;&gt;""), "EVT-2026-" &amp; TEXT(COUNTIF('DT-3 Jan26'!$A$3:$A$500, "EVT*") + COUNTIF('DT-4 Jan26'!$A$3:$A$500, "EVT*") + COUNTIF('DT-3 Feb26'!$A$3:$A$500, "EVT*") + COUNTIF('DT-4 Feb26'!$A$3:$A$500, "EVT*") + COUNTIF('DT-3 Mar26'!$A$3:$A$500, "EVT*") + COUNTIF(OFFSET($A$1, 1, 0, ROW()-2, 1), "EVT*") + 1, "0000"), "")</f>
        <v>EVT-2026-0297</v>
      </c>
      <c r="B29" s="30" t="s">
        <v>2214</v>
      </c>
      <c r="C29" s="27" t="s">
        <v>833</v>
      </c>
      <c r="D29" s="27" t="s">
        <v>764</v>
      </c>
      <c r="E29" s="27" t="s">
        <v>228</v>
      </c>
      <c r="F29" s="27" t="s">
        <v>344</v>
      </c>
      <c r="G29" s="10"/>
      <c r="H29" s="36" t="s">
        <v>263</v>
      </c>
      <c r="I29" s="37" t="s">
        <v>269</v>
      </c>
      <c r="J29" s="37" t="s">
        <v>270</v>
      </c>
      <c r="K29" s="27"/>
      <c r="L29" s="27"/>
      <c r="M29" s="27" t="s">
        <v>743</v>
      </c>
      <c r="N29" s="27"/>
      <c r="O29" s="27"/>
      <c r="P29" s="1" t="s">
        <v>264</v>
      </c>
      <c r="Q29" s="29" t="s">
        <v>265</v>
      </c>
      <c r="R29" s="27" t="s">
        <v>765</v>
      </c>
      <c r="S29" s="27"/>
    </row>
    <row r="30" spans="1:19" ht="24" customHeight="1">
      <c r="A30" s="27" t="str">
        <f ca="1">IF(OR(D30&lt;&gt;"", F30&lt;&gt;"", L30&lt;&gt;"", O30&lt;&gt;""), "EVT-2026-" &amp; TEXT(COUNTIF('DT-3 Jan26'!$A$3:$A$500, "EVT*") + COUNTIF('DT-4 Jan26'!$A$3:$A$500, "EVT*") + COUNTIF('DT-3 Feb26'!$A$3:$A$500, "EVT*") + COUNTIF('DT-4 Feb26'!$A$3:$A$500, "EVT*") + COUNTIF('DT-3 Mar26'!$A$3:$A$500, "EVT*") + COUNTIF(OFFSET($A$1, 1, 0, ROW()-2, 1), "EVT*") + 1, "0000"), "")</f>
        <v>EVT-2026-0298</v>
      </c>
      <c r="B30" s="30" t="s">
        <v>2215</v>
      </c>
      <c r="C30" s="27" t="s">
        <v>224</v>
      </c>
      <c r="D30" s="27" t="s">
        <v>348</v>
      </c>
      <c r="E30" s="27" t="s">
        <v>202</v>
      </c>
      <c r="F30" s="27" t="s">
        <v>766</v>
      </c>
      <c r="G30" s="10"/>
      <c r="H30" s="36" t="s">
        <v>263</v>
      </c>
      <c r="I30" s="37" t="s">
        <v>295</v>
      </c>
      <c r="J30" s="37" t="s">
        <v>296</v>
      </c>
      <c r="K30" s="27"/>
      <c r="L30" s="27"/>
      <c r="M30" s="27" t="s">
        <v>526</v>
      </c>
      <c r="N30" s="27"/>
      <c r="O30" s="27"/>
      <c r="P30" s="1" t="s">
        <v>264</v>
      </c>
      <c r="Q30" s="29" t="s">
        <v>265</v>
      </c>
      <c r="R30" s="27" t="s">
        <v>767</v>
      </c>
      <c r="S30" s="27"/>
    </row>
    <row r="31" spans="1:19" ht="24" customHeight="1">
      <c r="A31" s="27" t="str">
        <f ca="1">IF(OR(D31&lt;&gt;"", F31&lt;&gt;"", L31&lt;&gt;"", O31&lt;&gt;""), "EVT-2026-" &amp; TEXT(COUNTIF('DT-3 Jan26'!$A$3:$A$500, "EVT*") + COUNTIF('DT-4 Jan26'!$A$3:$A$500, "EVT*") + COUNTIF('DT-3 Feb26'!$A$3:$A$500, "EVT*") + COUNTIF('DT-4 Feb26'!$A$3:$A$500, "EVT*") + COUNTIF('DT-3 Mar26'!$A$3:$A$500, "EVT*") + COUNTIF(OFFSET($A$1, 1, 0, ROW()-2, 1), "EVT*") + 1, "0000"), "")</f>
        <v>EVT-2026-0299</v>
      </c>
      <c r="B31" s="30">
        <v>46091</v>
      </c>
      <c r="C31" s="27" t="s">
        <v>227</v>
      </c>
      <c r="D31" s="27" t="s">
        <v>348</v>
      </c>
      <c r="E31" s="27" t="s">
        <v>208</v>
      </c>
      <c r="F31" s="27" t="s">
        <v>349</v>
      </c>
      <c r="G31" s="10">
        <v>50</v>
      </c>
      <c r="H31" s="36" t="s">
        <v>263</v>
      </c>
      <c r="I31" s="37" t="s">
        <v>350</v>
      </c>
      <c r="J31" s="37" t="s">
        <v>296</v>
      </c>
      <c r="K31" s="27"/>
      <c r="L31" s="27"/>
      <c r="M31" s="27" t="s">
        <v>351</v>
      </c>
      <c r="N31" s="27"/>
      <c r="O31" s="30">
        <v>46008</v>
      </c>
      <c r="P31" s="1" t="s">
        <v>264</v>
      </c>
      <c r="Q31" s="29" t="s">
        <v>265</v>
      </c>
      <c r="R31" s="27" t="s">
        <v>303</v>
      </c>
      <c r="S31" s="27"/>
    </row>
    <row r="32" spans="1:19" ht="24" customHeight="1">
      <c r="A32" s="27" t="str">
        <f ca="1">IF(OR(D32&lt;&gt;"", F32&lt;&gt;"", L32&lt;&gt;"", O32&lt;&gt;""), "EVT-2026-" &amp; TEXT(COUNTIF('DT-3 Jan26'!$A$3:$A$500, "EVT*") + COUNTIF('DT-4 Jan26'!$A$3:$A$500, "EVT*") + COUNTIF('DT-3 Feb26'!$A$3:$A$500, "EVT*") + COUNTIF('DT-4 Feb26'!$A$3:$A$500, "EVT*") + COUNTIF('DT-3 Mar26'!$A$3:$A$500, "EVT*") + COUNTIF(OFFSET($A$1, 1, 0, ROW()-2, 1), "EVT*") + 1, "0000"), "")</f>
        <v>EVT-2026-0300</v>
      </c>
      <c r="B32" s="30">
        <v>46091</v>
      </c>
      <c r="C32" s="27" t="s">
        <v>227</v>
      </c>
      <c r="D32" s="27" t="s">
        <v>125</v>
      </c>
      <c r="E32" s="27" t="s">
        <v>228</v>
      </c>
      <c r="F32" s="27" t="s">
        <v>768</v>
      </c>
      <c r="G32" s="10">
        <v>100</v>
      </c>
      <c r="H32" s="38" t="s">
        <v>294</v>
      </c>
      <c r="I32" s="37" t="s">
        <v>269</v>
      </c>
      <c r="J32" s="37" t="s">
        <v>274</v>
      </c>
      <c r="K32" s="27"/>
      <c r="L32" s="27"/>
      <c r="M32" s="27" t="s">
        <v>769</v>
      </c>
      <c r="N32" s="27"/>
      <c r="O32" s="27"/>
      <c r="P32" s="1" t="s">
        <v>264</v>
      </c>
      <c r="Q32" s="29" t="s">
        <v>265</v>
      </c>
      <c r="R32" s="27" t="s">
        <v>770</v>
      </c>
      <c r="S32" s="27"/>
    </row>
    <row r="33" spans="1:19" ht="24" customHeight="1">
      <c r="A33" s="27" t="str">
        <f ca="1">IF(OR(D33&lt;&gt;"", F33&lt;&gt;"", L33&lt;&gt;"", O33&lt;&gt;""), "EVT-2026-" &amp; TEXT(COUNTIF('DT-3 Jan26'!$A$3:$A$500, "EVT*") + COUNTIF('DT-4 Jan26'!$A$3:$A$500, "EVT*") + COUNTIF('DT-3 Feb26'!$A$3:$A$500, "EVT*") + COUNTIF('DT-4 Feb26'!$A$3:$A$500, "EVT*") + COUNTIF('DT-3 Mar26'!$A$3:$A$500, "EVT*") + COUNTIF(OFFSET($A$1, 1, 0, ROW()-2, 1), "EVT*") + 1, "0000"), "")</f>
        <v>EVT-2026-0301</v>
      </c>
      <c r="B33" s="30">
        <v>46091</v>
      </c>
      <c r="C33" s="27" t="s">
        <v>227</v>
      </c>
      <c r="D33" s="27" t="s">
        <v>125</v>
      </c>
      <c r="E33" s="27" t="s">
        <v>228</v>
      </c>
      <c r="F33" s="27" t="s">
        <v>578</v>
      </c>
      <c r="G33" s="10">
        <v>35</v>
      </c>
      <c r="H33" s="36" t="s">
        <v>263</v>
      </c>
      <c r="I33" s="37" t="s">
        <v>289</v>
      </c>
      <c r="J33" s="37" t="s">
        <v>296</v>
      </c>
      <c r="K33" s="27"/>
      <c r="L33" s="27"/>
      <c r="M33" s="27" t="s">
        <v>351</v>
      </c>
      <c r="N33" s="27"/>
      <c r="O33" s="30" t="s">
        <v>2182</v>
      </c>
      <c r="P33" s="1" t="s">
        <v>264</v>
      </c>
      <c r="Q33" s="29" t="s">
        <v>265</v>
      </c>
      <c r="R33" s="27" t="s">
        <v>298</v>
      </c>
      <c r="S33" s="27"/>
    </row>
    <row r="34" spans="1:19" ht="24" customHeight="1">
      <c r="A34" s="27" t="str">
        <f ca="1">IF(OR(D34&lt;&gt;"", F34&lt;&gt;"", L34&lt;&gt;"", O34&lt;&gt;""), "EVT-2026-" &amp; TEXT(COUNTIF('DT-3 Jan26'!$A$3:$A$500, "EVT*") + COUNTIF('DT-4 Jan26'!$A$3:$A$500, "EVT*") + COUNTIF('DT-3 Feb26'!$A$3:$A$500, "EVT*") + COUNTIF('DT-4 Feb26'!$A$3:$A$500, "EVT*") + COUNTIF('DT-3 Mar26'!$A$3:$A$500, "EVT*") + COUNTIF(OFFSET($A$1, 1, 0, ROW()-2, 1), "EVT*") + 1, "0000"), "")</f>
        <v>EVT-2026-0302</v>
      </c>
      <c r="B34" s="30">
        <v>46092</v>
      </c>
      <c r="C34" s="27" t="s">
        <v>201</v>
      </c>
      <c r="D34" s="27" t="s">
        <v>348</v>
      </c>
      <c r="E34" s="27" t="s">
        <v>202</v>
      </c>
      <c r="F34" s="27" t="s">
        <v>771</v>
      </c>
      <c r="G34" s="10">
        <v>50</v>
      </c>
      <c r="H34" s="36" t="s">
        <v>263</v>
      </c>
      <c r="I34" s="37" t="s">
        <v>506</v>
      </c>
      <c r="J34" s="37" t="s">
        <v>354</v>
      </c>
      <c r="K34" s="27"/>
      <c r="L34" s="27"/>
      <c r="M34" s="27" t="s">
        <v>772</v>
      </c>
      <c r="N34" s="27"/>
      <c r="O34" s="30" t="s">
        <v>2216</v>
      </c>
      <c r="P34" s="1" t="s">
        <v>264</v>
      </c>
      <c r="Q34" s="29" t="s">
        <v>265</v>
      </c>
      <c r="R34" s="27" t="s">
        <v>298</v>
      </c>
      <c r="S34" s="27"/>
    </row>
    <row r="35" spans="1:19" ht="24" customHeight="1">
      <c r="A35" s="27" t="str">
        <f ca="1">IF(OR(D35&lt;&gt;"", F35&lt;&gt;"", L35&lt;&gt;"", O35&lt;&gt;""), "EVT-2026-" &amp; TEXT(COUNTIF('DT-3 Jan26'!$A$3:$A$500, "EVT*") + COUNTIF('DT-4 Jan26'!$A$3:$A$500, "EVT*") + COUNTIF('DT-3 Feb26'!$A$3:$A$500, "EVT*") + COUNTIF('DT-4 Feb26'!$A$3:$A$500, "EVT*") + COUNTIF('DT-3 Mar26'!$A$3:$A$500, "EVT*") + COUNTIF(OFFSET($A$1, 1, 0, ROW()-2, 1), "EVT*") + 1, "0000"), "")</f>
        <v>EVT-2026-0303</v>
      </c>
      <c r="B35" s="30">
        <v>46092</v>
      </c>
      <c r="C35" s="27" t="s">
        <v>201</v>
      </c>
      <c r="D35" s="27" t="s">
        <v>348</v>
      </c>
      <c r="E35" s="27" t="s">
        <v>208</v>
      </c>
      <c r="F35" s="27" t="s">
        <v>349</v>
      </c>
      <c r="G35" s="10">
        <v>50</v>
      </c>
      <c r="H35" s="36" t="s">
        <v>263</v>
      </c>
      <c r="I35" s="37" t="s">
        <v>350</v>
      </c>
      <c r="J35" s="37" t="s">
        <v>296</v>
      </c>
      <c r="K35" s="27"/>
      <c r="L35" s="27"/>
      <c r="M35" s="27" t="s">
        <v>351</v>
      </c>
      <c r="N35" s="27"/>
      <c r="O35" s="30">
        <v>46008</v>
      </c>
      <c r="P35" s="1" t="s">
        <v>264</v>
      </c>
      <c r="Q35" s="29" t="s">
        <v>265</v>
      </c>
      <c r="R35" s="27"/>
      <c r="S35" s="27"/>
    </row>
    <row r="36" spans="1:19" ht="24" customHeight="1">
      <c r="A36" s="27" t="str">
        <f ca="1">IF(OR(D36&lt;&gt;"", F36&lt;&gt;"", L36&lt;&gt;"", O36&lt;&gt;""), "EVT-2026-" &amp; TEXT(COUNTIF('DT-3 Jan26'!$A$3:$A$500, "EVT*") + COUNTIF('DT-4 Jan26'!$A$3:$A$500, "EVT*") + COUNTIF('DT-3 Feb26'!$A$3:$A$500, "EVT*") + COUNTIF('DT-4 Feb26'!$A$3:$A$500, "EVT*") + COUNTIF('DT-3 Mar26'!$A$3:$A$500, "EVT*") + COUNTIF(OFFSET($A$1, 1, 0, ROW()-2, 1), "EVT*") + 1, "0000"), "")</f>
        <v>EVT-2026-0304</v>
      </c>
      <c r="B36" s="30">
        <v>46092</v>
      </c>
      <c r="C36" s="27" t="s">
        <v>201</v>
      </c>
      <c r="D36" s="27" t="s">
        <v>736</v>
      </c>
      <c r="E36" s="27" t="s">
        <v>202</v>
      </c>
      <c r="F36" s="27" t="s">
        <v>773</v>
      </c>
      <c r="G36" s="10">
        <v>35</v>
      </c>
      <c r="H36" s="36" t="s">
        <v>263</v>
      </c>
      <c r="I36" s="37" t="s">
        <v>315</v>
      </c>
      <c r="J36" s="37" t="s">
        <v>506</v>
      </c>
      <c r="K36" s="27"/>
      <c r="L36" s="27"/>
      <c r="M36" s="27" t="s">
        <v>774</v>
      </c>
      <c r="N36" s="27"/>
      <c r="O36" s="30" t="s">
        <v>2217</v>
      </c>
      <c r="P36" s="1" t="s">
        <v>264</v>
      </c>
      <c r="Q36" s="29" t="s">
        <v>265</v>
      </c>
      <c r="R36" s="27"/>
      <c r="S36" s="27"/>
    </row>
    <row r="37" spans="1:19" ht="24" customHeight="1">
      <c r="A37" s="27" t="str">
        <f ca="1">IF(OR(D37&lt;&gt;"", F37&lt;&gt;"", L37&lt;&gt;"", O37&lt;&gt;""), "EVT-2026-" &amp; TEXT(COUNTIF('DT-3 Jan26'!$A$3:$A$500, "EVT*") + COUNTIF('DT-4 Jan26'!$A$3:$A$500, "EVT*") + COUNTIF('DT-3 Feb26'!$A$3:$A$500, "EVT*") + COUNTIF('DT-4 Feb26'!$A$3:$A$500, "EVT*") + COUNTIF('DT-3 Mar26'!$A$3:$A$500, "EVT*") + COUNTIF(OFFSET($A$1, 1, 0, ROW()-2, 1), "EVT*") + 1, "0000"), "")</f>
        <v>EVT-2026-0305</v>
      </c>
      <c r="B37" s="30">
        <v>46092</v>
      </c>
      <c r="C37" s="27" t="s">
        <v>201</v>
      </c>
      <c r="D37" s="27" t="s">
        <v>736</v>
      </c>
      <c r="E37" s="27" t="s">
        <v>202</v>
      </c>
      <c r="F37" s="27" t="s">
        <v>775</v>
      </c>
      <c r="G37" s="10"/>
      <c r="H37" s="36" t="s">
        <v>263</v>
      </c>
      <c r="I37" s="37" t="s">
        <v>506</v>
      </c>
      <c r="J37" s="37" t="s">
        <v>270</v>
      </c>
      <c r="K37" s="27"/>
      <c r="L37" s="27"/>
      <c r="M37" s="27" t="s">
        <v>716</v>
      </c>
      <c r="N37" s="27"/>
      <c r="O37" s="27"/>
      <c r="P37" s="1" t="s">
        <v>264</v>
      </c>
      <c r="Q37" s="29" t="s">
        <v>265</v>
      </c>
      <c r="R37" s="27" t="s">
        <v>776</v>
      </c>
      <c r="S37" s="27"/>
    </row>
    <row r="38" spans="1:19" ht="24" customHeight="1">
      <c r="A38" s="27" t="str">
        <f ca="1">IF(OR(D38&lt;&gt;"", F38&lt;&gt;"", L38&lt;&gt;"", O38&lt;&gt;""), "EVT-2026-" &amp; TEXT(COUNTIF('DT-3 Jan26'!$A$3:$A$500, "EVT*") + COUNTIF('DT-4 Jan26'!$A$3:$A$500, "EVT*") + COUNTIF('DT-3 Feb26'!$A$3:$A$500, "EVT*") + COUNTIF('DT-4 Feb26'!$A$3:$A$500, "EVT*") + COUNTIF('DT-3 Mar26'!$A$3:$A$500, "EVT*") + COUNTIF(OFFSET($A$1, 1, 0, ROW()-2, 1), "EVT*") + 1, "0000"), "")</f>
        <v>EVT-2026-0306</v>
      </c>
      <c r="B38" s="30">
        <v>46092</v>
      </c>
      <c r="C38" s="27" t="s">
        <v>201</v>
      </c>
      <c r="D38" s="27" t="s">
        <v>125</v>
      </c>
      <c r="E38" s="27" t="s">
        <v>228</v>
      </c>
      <c r="F38" s="27" t="s">
        <v>777</v>
      </c>
      <c r="G38" s="10">
        <v>50</v>
      </c>
      <c r="H38" s="36" t="s">
        <v>263</v>
      </c>
      <c r="I38" s="37" t="s">
        <v>506</v>
      </c>
      <c r="J38" s="37" t="s">
        <v>429</v>
      </c>
      <c r="K38" s="27"/>
      <c r="L38" s="27"/>
      <c r="M38" s="27" t="s">
        <v>778</v>
      </c>
      <c r="N38" s="27"/>
      <c r="O38" s="30" t="s">
        <v>2182</v>
      </c>
      <c r="P38" s="1" t="s">
        <v>264</v>
      </c>
      <c r="Q38" s="29" t="s">
        <v>265</v>
      </c>
      <c r="R38" s="27" t="s">
        <v>298</v>
      </c>
      <c r="S38" s="27"/>
    </row>
    <row r="39" spans="1:19" ht="24" customHeight="1">
      <c r="A39" s="27" t="str">
        <f ca="1">IF(OR(D39&lt;&gt;"", F39&lt;&gt;"", L39&lt;&gt;"", O39&lt;&gt;""), "EVT-2026-" &amp; TEXT(COUNTIF('DT-3 Jan26'!$A$3:$A$500, "EVT*") + COUNTIF('DT-4 Jan26'!$A$3:$A$500, "EVT*") + COUNTIF('DT-3 Feb26'!$A$3:$A$500, "EVT*") + COUNTIF('DT-4 Feb26'!$A$3:$A$500, "EVT*") + COUNTIF('DT-3 Mar26'!$A$3:$A$500, "EVT*") + COUNTIF(OFFSET($A$1, 1, 0, ROW()-2, 1), "EVT*") + 1, "0000"), "")</f>
        <v>EVT-2026-0307</v>
      </c>
      <c r="B39" s="30">
        <v>46092</v>
      </c>
      <c r="C39" s="27" t="s">
        <v>201</v>
      </c>
      <c r="D39" s="27" t="s">
        <v>239</v>
      </c>
      <c r="E39" s="27" t="s">
        <v>202</v>
      </c>
      <c r="F39" s="27" t="s">
        <v>779</v>
      </c>
      <c r="G39" s="10">
        <v>175</v>
      </c>
      <c r="H39" s="38" t="s">
        <v>294</v>
      </c>
      <c r="I39" s="37" t="s">
        <v>295</v>
      </c>
      <c r="J39" s="37" t="s">
        <v>296</v>
      </c>
      <c r="K39" s="27"/>
      <c r="L39" s="27"/>
      <c r="M39" s="27" t="s">
        <v>780</v>
      </c>
      <c r="N39" s="27"/>
      <c r="O39" s="27"/>
      <c r="P39" s="1" t="s">
        <v>264</v>
      </c>
      <c r="Q39" s="29" t="s">
        <v>265</v>
      </c>
      <c r="R39" s="27" t="s">
        <v>298</v>
      </c>
      <c r="S39" s="27"/>
    </row>
    <row r="40" spans="1:19" ht="24" customHeight="1">
      <c r="A40" s="27" t="str">
        <f ca="1">IF(OR(D40&lt;&gt;"", F40&lt;&gt;"", L40&lt;&gt;"", O40&lt;&gt;""), "EVT-2026-" &amp; TEXT(COUNTIF('DT-3 Jan26'!$A$3:$A$500, "EVT*") + COUNTIF('DT-4 Jan26'!$A$3:$A$500, "EVT*") + COUNTIF('DT-3 Feb26'!$A$3:$A$500, "EVT*") + COUNTIF('DT-4 Feb26'!$A$3:$A$500, "EVT*") + COUNTIF('DT-3 Mar26'!$A$3:$A$500, "EVT*") + COUNTIF(OFFSET($A$1, 1, 0, ROW()-2, 1), "EVT*") + 1, "0000"), "")</f>
        <v>EVT-2026-0308</v>
      </c>
      <c r="B40" s="30">
        <v>46092</v>
      </c>
      <c r="C40" s="27" t="s">
        <v>201</v>
      </c>
      <c r="D40" s="27" t="s">
        <v>781</v>
      </c>
      <c r="E40" s="27" t="s">
        <v>202</v>
      </c>
      <c r="F40" s="27" t="s">
        <v>782</v>
      </c>
      <c r="G40" s="10"/>
      <c r="H40" s="36" t="s">
        <v>263</v>
      </c>
      <c r="I40" s="37" t="s">
        <v>330</v>
      </c>
      <c r="J40" s="37" t="s">
        <v>296</v>
      </c>
      <c r="K40" s="27"/>
      <c r="L40" s="27"/>
      <c r="M40" s="27" t="s">
        <v>783</v>
      </c>
      <c r="N40" s="27"/>
      <c r="O40" s="27"/>
      <c r="P40" s="1" t="s">
        <v>264</v>
      </c>
      <c r="Q40" s="29" t="s">
        <v>265</v>
      </c>
      <c r="R40" s="27" t="s">
        <v>784</v>
      </c>
      <c r="S40" s="27"/>
    </row>
    <row r="41" spans="1:19" ht="24" customHeight="1">
      <c r="A41" s="27" t="str">
        <f ca="1">IF(OR(D41&lt;&gt;"", F41&lt;&gt;"", L41&lt;&gt;"", O41&lt;&gt;""), "EVT-2026-" &amp; TEXT(COUNTIF('DT-3 Jan26'!$A$3:$A$500, "EVT*") + COUNTIF('DT-4 Jan26'!$A$3:$A$500, "EVT*") + COUNTIF('DT-3 Feb26'!$A$3:$A$500, "EVT*") + COUNTIF('DT-4 Feb26'!$A$3:$A$500, "EVT*") + COUNTIF('DT-3 Mar26'!$A$3:$A$500, "EVT*") + COUNTIF(OFFSET($A$1, 1, 0, ROW()-2, 1), "EVT*") + 1, "0000"), "")</f>
        <v/>
      </c>
      <c r="B41" s="30" t="s">
        <v>2218</v>
      </c>
      <c r="C41" s="27" t="s">
        <v>224</v>
      </c>
      <c r="D41" s="27"/>
      <c r="E41" s="27"/>
      <c r="F41" s="27"/>
      <c r="G41" s="10"/>
      <c r="H41" s="36" t="s">
        <v>263</v>
      </c>
      <c r="I41" s="37"/>
      <c r="J41" s="37"/>
      <c r="K41" s="27"/>
      <c r="L41" s="27"/>
      <c r="M41" s="27"/>
      <c r="N41" s="27"/>
      <c r="O41" s="27"/>
      <c r="P41" s="1" t="s">
        <v>264</v>
      </c>
      <c r="Q41" s="29" t="s">
        <v>265</v>
      </c>
      <c r="R41" s="27"/>
      <c r="S41" s="27"/>
    </row>
    <row r="42" spans="1:19" ht="24" customHeight="1">
      <c r="A42" s="27" t="str">
        <f ca="1">IF(OR(D42&lt;&gt;"", F42&lt;&gt;"", L42&lt;&gt;"", O42&lt;&gt;""), "EVT-2026-" &amp; TEXT(COUNTIF('DT-3 Jan26'!$A$3:$A$500, "EVT*") + COUNTIF('DT-4 Jan26'!$A$3:$A$500, "EVT*") + COUNTIF('DT-3 Feb26'!$A$3:$A$500, "EVT*") + COUNTIF('DT-4 Feb26'!$A$3:$A$500, "EVT*") + COUNTIF('DT-3 Mar26'!$A$3:$A$500, "EVT*") + COUNTIF(OFFSET($A$1, 1, 0, ROW()-2, 1), "EVT*") + 1, "0000"), "")</f>
        <v>EVT-2026-0309</v>
      </c>
      <c r="B42" s="30">
        <v>46093</v>
      </c>
      <c r="C42" s="27" t="s">
        <v>216</v>
      </c>
      <c r="D42" s="27" t="s">
        <v>348</v>
      </c>
      <c r="E42" s="27" t="s">
        <v>208</v>
      </c>
      <c r="F42" s="27" t="s">
        <v>349</v>
      </c>
      <c r="G42" s="10">
        <v>50</v>
      </c>
      <c r="H42" s="36" t="s">
        <v>263</v>
      </c>
      <c r="I42" s="37" t="s">
        <v>350</v>
      </c>
      <c r="J42" s="37" t="s">
        <v>296</v>
      </c>
      <c r="K42" s="27"/>
      <c r="L42" s="27"/>
      <c r="M42" s="27" t="s">
        <v>351</v>
      </c>
      <c r="N42" s="27"/>
      <c r="O42" s="30">
        <v>46008</v>
      </c>
      <c r="P42" s="1" t="s">
        <v>264</v>
      </c>
      <c r="Q42" s="29" t="s">
        <v>265</v>
      </c>
      <c r="R42" s="27" t="s">
        <v>303</v>
      </c>
      <c r="S42" s="27"/>
    </row>
    <row r="43" spans="1:19" ht="24" customHeight="1">
      <c r="A43" s="27" t="str">
        <f ca="1">IF(OR(D43&lt;&gt;"", F43&lt;&gt;"", L43&lt;&gt;"", O43&lt;&gt;""), "EVT-2026-" &amp; TEXT(COUNTIF('DT-3 Jan26'!$A$3:$A$500, "EVT*") + COUNTIF('DT-4 Jan26'!$A$3:$A$500, "EVT*") + COUNTIF('DT-3 Feb26'!$A$3:$A$500, "EVT*") + COUNTIF('DT-4 Feb26'!$A$3:$A$500, "EVT*") + COUNTIF('DT-3 Mar26'!$A$3:$A$500, "EVT*") + COUNTIF(OFFSET($A$1, 1, 0, ROW()-2, 1), "EVT*") + 1, "0000"), "")</f>
        <v>EVT-2026-0310</v>
      </c>
      <c r="B43" s="30">
        <v>46093</v>
      </c>
      <c r="C43" s="27" t="s">
        <v>216</v>
      </c>
      <c r="D43" s="27" t="s">
        <v>575</v>
      </c>
      <c r="E43" s="27" t="s">
        <v>202</v>
      </c>
      <c r="F43" s="27"/>
      <c r="G43" s="10"/>
      <c r="H43" s="36" t="s">
        <v>263</v>
      </c>
      <c r="I43" s="37" t="s">
        <v>309</v>
      </c>
      <c r="J43" s="37" t="s">
        <v>295</v>
      </c>
      <c r="K43" s="27"/>
      <c r="L43" s="27"/>
      <c r="M43" s="27" t="s">
        <v>785</v>
      </c>
      <c r="N43" s="27"/>
      <c r="O43" s="27"/>
      <c r="P43" s="1" t="s">
        <v>264</v>
      </c>
      <c r="Q43" s="29" t="s">
        <v>265</v>
      </c>
      <c r="R43" s="27"/>
      <c r="S43" s="27"/>
    </row>
    <row r="44" spans="1:19" ht="24" customHeight="1">
      <c r="A44" s="27" t="str">
        <f ca="1">IF(OR(D44&lt;&gt;"", F44&lt;&gt;"", L44&lt;&gt;"", O44&lt;&gt;""), "EVT-2026-" &amp; TEXT(COUNTIF('DT-3 Jan26'!$A$3:$A$500, "EVT*") + COUNTIF('DT-4 Jan26'!$A$3:$A$500, "EVT*") + COUNTIF('DT-3 Feb26'!$A$3:$A$500, "EVT*") + COUNTIF('DT-4 Feb26'!$A$3:$A$500, "EVT*") + COUNTIF('DT-3 Mar26'!$A$3:$A$500, "EVT*") + COUNTIF(OFFSET($A$1, 1, 0, ROW()-2, 1), "EVT*") + 1, "0000"), "")</f>
        <v>EVT-2026-0311</v>
      </c>
      <c r="B44" s="30">
        <v>46093</v>
      </c>
      <c r="C44" s="27" t="s">
        <v>216</v>
      </c>
      <c r="D44" s="27" t="s">
        <v>125</v>
      </c>
      <c r="E44" s="27" t="s">
        <v>228</v>
      </c>
      <c r="F44" s="27" t="s">
        <v>578</v>
      </c>
      <c r="G44" s="10">
        <v>15</v>
      </c>
      <c r="H44" s="36" t="s">
        <v>263</v>
      </c>
      <c r="I44" s="37" t="s">
        <v>281</v>
      </c>
      <c r="J44" s="37" t="s">
        <v>270</v>
      </c>
      <c r="K44" s="27"/>
      <c r="L44" s="27"/>
      <c r="M44" s="27" t="s">
        <v>351</v>
      </c>
      <c r="N44" s="27"/>
      <c r="O44" s="30" t="s">
        <v>2182</v>
      </c>
      <c r="P44" s="1" t="s">
        <v>264</v>
      </c>
      <c r="Q44" s="29" t="s">
        <v>265</v>
      </c>
      <c r="R44" s="27" t="s">
        <v>786</v>
      </c>
      <c r="S44" s="27"/>
    </row>
    <row r="45" spans="1:19" ht="24" customHeight="1">
      <c r="A45" s="27" t="str">
        <f ca="1">IF(OR(D45&lt;&gt;"", F45&lt;&gt;"", L45&lt;&gt;"", O45&lt;&gt;""), "EVT-2026-" &amp; TEXT(COUNTIF('DT-3 Jan26'!$A$3:$A$500, "EVT*") + COUNTIF('DT-4 Jan26'!$A$3:$A$500, "EVT*") + COUNTIF('DT-3 Feb26'!$A$3:$A$500, "EVT*") + COUNTIF('DT-4 Feb26'!$A$3:$A$500, "EVT*") + COUNTIF('DT-3 Mar26'!$A$3:$A$500, "EVT*") + COUNTIF(OFFSET($A$1, 1, 0, ROW()-2, 1), "EVT*") + 1, "0000"), "")</f>
        <v>EVT-2026-0312</v>
      </c>
      <c r="B45" s="30">
        <v>46094</v>
      </c>
      <c r="C45" s="27" t="s">
        <v>220</v>
      </c>
      <c r="D45" s="27" t="s">
        <v>736</v>
      </c>
      <c r="E45" s="27" t="s">
        <v>202</v>
      </c>
      <c r="F45" s="27" t="s">
        <v>578</v>
      </c>
      <c r="G45" s="10">
        <v>15</v>
      </c>
      <c r="H45" s="36" t="s">
        <v>263</v>
      </c>
      <c r="I45" s="37" t="s">
        <v>281</v>
      </c>
      <c r="J45" s="37" t="s">
        <v>270</v>
      </c>
      <c r="K45" s="27"/>
      <c r="L45" s="27"/>
      <c r="M45" s="27" t="s">
        <v>351</v>
      </c>
      <c r="N45" s="27"/>
      <c r="O45" s="30" t="s">
        <v>2182</v>
      </c>
      <c r="P45" s="1" t="s">
        <v>264</v>
      </c>
      <c r="Q45" s="29" t="s">
        <v>265</v>
      </c>
      <c r="R45" s="27" t="s">
        <v>786</v>
      </c>
      <c r="S45" s="27"/>
    </row>
    <row r="46" spans="1:19" ht="24" customHeight="1">
      <c r="A46" s="27" t="str">
        <f ca="1">IF(OR(D46&lt;&gt;"", F46&lt;&gt;"", L46&lt;&gt;"", O46&lt;&gt;""), "EVT-2026-" &amp; TEXT(COUNTIF('DT-3 Jan26'!$A$3:$A$500, "EVT*") + COUNTIF('DT-4 Jan26'!$A$3:$A$500, "EVT*") + COUNTIF('DT-3 Feb26'!$A$3:$A$500, "EVT*") + COUNTIF('DT-4 Feb26'!$A$3:$A$500, "EVT*") + COUNTIF('DT-3 Mar26'!$A$3:$A$500, "EVT*") + COUNTIF(OFFSET($A$1, 1, 0, ROW()-2, 1), "EVT*") + 1, "0000"), "")</f>
        <v>EVT-2026-0313</v>
      </c>
      <c r="B46" s="30">
        <v>46094</v>
      </c>
      <c r="C46" s="27" t="s">
        <v>220</v>
      </c>
      <c r="D46" s="27" t="s">
        <v>348</v>
      </c>
      <c r="E46" s="27" t="s">
        <v>202</v>
      </c>
      <c r="F46" s="27" t="s">
        <v>787</v>
      </c>
      <c r="G46" s="10">
        <v>60</v>
      </c>
      <c r="H46" s="36" t="s">
        <v>263</v>
      </c>
      <c r="I46" s="37" t="s">
        <v>295</v>
      </c>
      <c r="J46" s="37" t="s">
        <v>296</v>
      </c>
      <c r="K46" s="27"/>
      <c r="L46" s="27"/>
      <c r="M46" s="27" t="s">
        <v>788</v>
      </c>
      <c r="N46" s="27"/>
      <c r="O46" s="27"/>
      <c r="P46" s="1" t="s">
        <v>264</v>
      </c>
      <c r="Q46" s="29" t="s">
        <v>265</v>
      </c>
      <c r="R46" s="27" t="s">
        <v>789</v>
      </c>
      <c r="S46" s="27"/>
    </row>
    <row r="47" spans="1:19" ht="24" customHeight="1">
      <c r="A47" s="27" t="str">
        <f ca="1">IF(OR(D47&lt;&gt;"", F47&lt;&gt;"", L47&lt;&gt;"", O47&lt;&gt;""), "EVT-2026-" &amp; TEXT(COUNTIF('DT-3 Jan26'!$A$3:$A$500, "EVT*") + COUNTIF('DT-4 Jan26'!$A$3:$A$500, "EVT*") + COUNTIF('DT-3 Feb26'!$A$3:$A$500, "EVT*") + COUNTIF('DT-4 Feb26'!$A$3:$A$500, "EVT*") + COUNTIF('DT-3 Mar26'!$A$3:$A$500, "EVT*") + COUNTIF(OFFSET($A$1, 1, 0, ROW()-2, 1), "EVT*") + 1, "0000"), "")</f>
        <v>EVT-2026-0314</v>
      </c>
      <c r="B47" s="30">
        <v>46094</v>
      </c>
      <c r="C47" s="27" t="s">
        <v>220</v>
      </c>
      <c r="D47" s="27" t="s">
        <v>348</v>
      </c>
      <c r="E47" s="27" t="s">
        <v>208</v>
      </c>
      <c r="F47" s="27" t="s">
        <v>771</v>
      </c>
      <c r="G47" s="10">
        <v>100</v>
      </c>
      <c r="H47" s="38" t="s">
        <v>294</v>
      </c>
      <c r="I47" s="37" t="s">
        <v>309</v>
      </c>
      <c r="J47" s="37" t="s">
        <v>295</v>
      </c>
      <c r="K47" s="27"/>
      <c r="L47" s="27"/>
      <c r="M47" s="27" t="s">
        <v>378</v>
      </c>
      <c r="N47" s="27"/>
      <c r="O47" s="27"/>
      <c r="P47" s="1" t="s">
        <v>264</v>
      </c>
      <c r="Q47" s="29" t="s">
        <v>265</v>
      </c>
      <c r="R47" s="27" t="s">
        <v>298</v>
      </c>
      <c r="S47" s="27"/>
    </row>
    <row r="48" spans="1:19" ht="24" customHeight="1">
      <c r="A48" s="27" t="str">
        <f ca="1">IF(OR(D48&lt;&gt;"", F48&lt;&gt;"", L48&lt;&gt;"", O48&lt;&gt;""), "EVT-2026-" &amp; TEXT(COUNTIF('DT-3 Jan26'!$A$3:$A$500, "EVT*") + COUNTIF('DT-4 Jan26'!$A$3:$A$500, "EVT*") + COUNTIF('DT-3 Feb26'!$A$3:$A$500, "EVT*") + COUNTIF('DT-4 Feb26'!$A$3:$A$500, "EVT*") + COUNTIF('DT-3 Mar26'!$A$3:$A$500, "EVT*") + COUNTIF(OFFSET($A$1, 1, 0, ROW()-2, 1), "EVT*") + 1, "0000"), "")</f>
        <v>EVT-2026-0315</v>
      </c>
      <c r="B48" s="30">
        <v>46094</v>
      </c>
      <c r="C48" s="27" t="s">
        <v>220</v>
      </c>
      <c r="D48" s="27" t="s">
        <v>125</v>
      </c>
      <c r="E48" s="27" t="s">
        <v>228</v>
      </c>
      <c r="F48" s="27" t="s">
        <v>790</v>
      </c>
      <c r="G48" s="10">
        <v>80</v>
      </c>
      <c r="H48" s="36" t="s">
        <v>263</v>
      </c>
      <c r="I48" s="37" t="s">
        <v>269</v>
      </c>
      <c r="J48" s="37" t="s">
        <v>295</v>
      </c>
      <c r="K48" s="27"/>
      <c r="L48" s="27"/>
      <c r="M48" s="27" t="s">
        <v>335</v>
      </c>
      <c r="N48" s="27"/>
      <c r="O48" s="30" t="s">
        <v>2219</v>
      </c>
      <c r="P48" s="1" t="s">
        <v>264</v>
      </c>
      <c r="Q48" s="29" t="s">
        <v>265</v>
      </c>
      <c r="R48" s="27" t="s">
        <v>307</v>
      </c>
      <c r="S48" s="27"/>
    </row>
    <row r="49" spans="1:19" ht="24" customHeight="1">
      <c r="A49" s="27" t="str">
        <f ca="1">IF(OR(D49&lt;&gt;"", F49&lt;&gt;"", L49&lt;&gt;"", O49&lt;&gt;""), "EVT-2026-" &amp; TEXT(COUNTIF('DT-3 Jan26'!$A$3:$A$500, "EVT*") + COUNTIF('DT-4 Jan26'!$A$3:$A$500, "EVT*") + COUNTIF('DT-3 Feb26'!$A$3:$A$500, "EVT*") + COUNTIF('DT-4 Feb26'!$A$3:$A$500, "EVT*") + COUNTIF('DT-3 Mar26'!$A$3:$A$500, "EVT*") + COUNTIF(OFFSET($A$1, 1, 0, ROW()-2, 1), "EVT*") + 1, "0000"), "")</f>
        <v>EVT-2026-0316</v>
      </c>
      <c r="B49" s="30">
        <v>46095</v>
      </c>
      <c r="C49" s="27" t="s">
        <v>266</v>
      </c>
      <c r="D49" s="27" t="s">
        <v>300</v>
      </c>
      <c r="E49" s="27"/>
      <c r="F49" s="27"/>
      <c r="G49" s="10"/>
      <c r="H49" s="36" t="s">
        <v>263</v>
      </c>
      <c r="I49" s="37" t="s">
        <v>269</v>
      </c>
      <c r="J49" s="37" t="s">
        <v>270</v>
      </c>
      <c r="K49" s="27"/>
      <c r="L49" s="27"/>
      <c r="M49" s="27" t="s">
        <v>791</v>
      </c>
      <c r="N49" s="27"/>
      <c r="O49" s="27"/>
      <c r="P49" s="1" t="s">
        <v>264</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COUNTIF(OFFSET($A$1, 1, 0, ROW()-2, 1), "EVT*") + 1, "0000"), "")</f>
        <v>EVT-2026-0317</v>
      </c>
      <c r="B50" s="30">
        <v>46095</v>
      </c>
      <c r="C50" s="27" t="s">
        <v>266</v>
      </c>
      <c r="D50" s="27" t="s">
        <v>125</v>
      </c>
      <c r="E50" s="27" t="s">
        <v>228</v>
      </c>
      <c r="F50" s="27" t="s">
        <v>792</v>
      </c>
      <c r="G50" s="10"/>
      <c r="H50" s="36" t="s">
        <v>263</v>
      </c>
      <c r="I50" s="37" t="s">
        <v>269</v>
      </c>
      <c r="J50" s="37" t="s">
        <v>270</v>
      </c>
      <c r="K50" s="27"/>
      <c r="L50" s="27"/>
      <c r="M50" s="27" t="s">
        <v>793</v>
      </c>
      <c r="N50" s="27"/>
      <c r="O50" s="27"/>
      <c r="P50" s="1" t="s">
        <v>264</v>
      </c>
      <c r="Q50" s="29" t="s">
        <v>265</v>
      </c>
      <c r="R50" s="27" t="s">
        <v>500</v>
      </c>
      <c r="S50" s="27"/>
    </row>
    <row r="51" spans="1:19" ht="24" customHeight="1">
      <c r="A51" s="27" t="str">
        <f ca="1">IF(OR(D51&lt;&gt;"", F51&lt;&gt;"", L51&lt;&gt;"", O51&lt;&gt;""), "EVT-2026-" &amp; TEXT(COUNTIF('DT-3 Jan26'!$A$3:$A$500, "EVT*") + COUNTIF('DT-4 Jan26'!$A$3:$A$500, "EVT*") + COUNTIF('DT-3 Feb26'!$A$3:$A$500, "EVT*") + COUNTIF('DT-4 Feb26'!$A$3:$A$500, "EVT*") + COUNTIF('DT-3 Mar26'!$A$3:$A$500, "EVT*") + COUNTIF(OFFSET($A$1, 1, 0, ROW()-2, 1), "EVT*") + 1, "0000"), "")</f>
        <v/>
      </c>
      <c r="B51" s="30">
        <v>46096</v>
      </c>
      <c r="C51" s="27" t="s">
        <v>267</v>
      </c>
      <c r="D51" s="27"/>
      <c r="E51" s="27"/>
      <c r="F51" s="27"/>
      <c r="G51" s="10"/>
      <c r="H51" s="36" t="s">
        <v>263</v>
      </c>
      <c r="I51" s="37"/>
      <c r="J51" s="37"/>
      <c r="K51" s="27"/>
      <c r="L51" s="27"/>
      <c r="M51" s="27"/>
      <c r="N51" s="27"/>
      <c r="O51" s="27"/>
      <c r="P51" s="1" t="s">
        <v>264</v>
      </c>
      <c r="Q51" s="29" t="s">
        <v>265</v>
      </c>
      <c r="R51" s="27"/>
      <c r="S51" s="27"/>
    </row>
    <row r="52" spans="1:19" ht="24" customHeight="1">
      <c r="A52" s="27" t="str">
        <f ca="1">IF(OR(D52&lt;&gt;"", F52&lt;&gt;"", L52&lt;&gt;"", O52&lt;&gt;""), "EVT-2026-" &amp; TEXT(COUNTIF('DT-3 Jan26'!$A$3:$A$500, "EVT*") + COUNTIF('DT-4 Jan26'!$A$3:$A$500, "EVT*") + COUNTIF('DT-3 Feb26'!$A$3:$A$500, "EVT*") + COUNTIF('DT-4 Feb26'!$A$3:$A$500, "EVT*") + COUNTIF('DT-3 Mar26'!$A$3:$A$500, "EVT*") + COUNTIF(OFFSET($A$1, 1, 0, ROW()-2, 1), "EVT*") + 1, "0000"), "")</f>
        <v>EVT-2026-0318</v>
      </c>
      <c r="B52" s="30" t="s">
        <v>2220</v>
      </c>
      <c r="C52" s="27" t="s">
        <v>224</v>
      </c>
      <c r="D52" s="27" t="s">
        <v>736</v>
      </c>
      <c r="E52" s="27" t="s">
        <v>202</v>
      </c>
      <c r="F52" s="27" t="s">
        <v>794</v>
      </c>
      <c r="G52" s="10">
        <v>30</v>
      </c>
      <c r="H52" s="36" t="s">
        <v>263</v>
      </c>
      <c r="I52" s="37" t="s">
        <v>269</v>
      </c>
      <c r="J52" s="37" t="s">
        <v>270</v>
      </c>
      <c r="K52" s="27"/>
      <c r="L52" s="27"/>
      <c r="M52" s="27" t="s">
        <v>494</v>
      </c>
      <c r="N52" s="27"/>
      <c r="O52" s="27"/>
      <c r="P52" s="1" t="s">
        <v>264</v>
      </c>
      <c r="Q52" s="29" t="s">
        <v>265</v>
      </c>
      <c r="R52" s="27" t="s">
        <v>795</v>
      </c>
      <c r="S52" s="27"/>
    </row>
    <row r="53" spans="1:19" ht="24" customHeight="1">
      <c r="A53" s="27" t="str">
        <f ca="1">IF(OR(D53&lt;&gt;"", F53&lt;&gt;"", L53&lt;&gt;"", O53&lt;&gt;""), "EVT-2026-" &amp; TEXT(COUNTIF('DT-3 Jan26'!$A$3:$A$500, "EVT*") + COUNTIF('DT-4 Jan26'!$A$3:$A$500, "EVT*") + COUNTIF('DT-3 Feb26'!$A$3:$A$500, "EVT*") + COUNTIF('DT-4 Feb26'!$A$3:$A$500, "EVT*") + COUNTIF('DT-3 Mar26'!$A$3:$A$500, "EVT*") + COUNTIF(OFFSET($A$1, 1, 0, ROW()-2, 1), "EVT*") + 1, "0000"), "")</f>
        <v>EVT-2026-0319</v>
      </c>
      <c r="B53" s="30">
        <v>46097</v>
      </c>
      <c r="C53" s="27" t="s">
        <v>224</v>
      </c>
      <c r="D53" s="27" t="s">
        <v>348</v>
      </c>
      <c r="E53" s="27" t="s">
        <v>208</v>
      </c>
      <c r="F53" s="27" t="s">
        <v>796</v>
      </c>
      <c r="G53" s="10">
        <v>20</v>
      </c>
      <c r="H53" s="36" t="s">
        <v>263</v>
      </c>
      <c r="I53" s="37" t="s">
        <v>269</v>
      </c>
      <c r="J53" s="37" t="s">
        <v>270</v>
      </c>
      <c r="K53" s="27"/>
      <c r="L53" s="27"/>
      <c r="M53" s="27" t="s">
        <v>797</v>
      </c>
      <c r="N53" s="27"/>
      <c r="O53" s="27"/>
      <c r="P53" s="3" t="s">
        <v>312</v>
      </c>
      <c r="Q53" s="29" t="s">
        <v>265</v>
      </c>
      <c r="R53" s="27" t="s">
        <v>786</v>
      </c>
      <c r="S53" s="27"/>
    </row>
    <row r="54" spans="1:19" ht="24" customHeight="1">
      <c r="A54" s="27" t="str">
        <f ca="1">IF(OR(D54&lt;&gt;"", F54&lt;&gt;"", L54&lt;&gt;"", O54&lt;&gt;""), "EVT-2026-" &amp; TEXT(COUNTIF('DT-3 Jan26'!$A$3:$A$500, "EVT*") + COUNTIF('DT-4 Jan26'!$A$3:$A$500, "EVT*") + COUNTIF('DT-3 Feb26'!$A$3:$A$500, "EVT*") + COUNTIF('DT-4 Feb26'!$A$3:$A$500, "EVT*") + COUNTIF('DT-3 Mar26'!$A$3:$A$500, "EVT*") + COUNTIF(OFFSET($A$1, 1, 0, ROW()-2, 1), "EVT*") + 1, "0000"), "")</f>
        <v>EVT-2026-0320</v>
      </c>
      <c r="B54" s="30">
        <v>46097</v>
      </c>
      <c r="C54" s="27" t="s">
        <v>224</v>
      </c>
      <c r="D54" s="27" t="s">
        <v>125</v>
      </c>
      <c r="E54" s="27" t="s">
        <v>228</v>
      </c>
      <c r="F54" s="27" t="s">
        <v>798</v>
      </c>
      <c r="G54" s="10">
        <v>15</v>
      </c>
      <c r="H54" s="36" t="s">
        <v>263</v>
      </c>
      <c r="I54" s="37" t="s">
        <v>269</v>
      </c>
      <c r="J54" s="37" t="s">
        <v>270</v>
      </c>
      <c r="K54" s="27"/>
      <c r="L54" s="27"/>
      <c r="M54" s="27" t="s">
        <v>370</v>
      </c>
      <c r="N54" s="27"/>
      <c r="O54" s="27"/>
      <c r="P54" s="1" t="s">
        <v>264</v>
      </c>
      <c r="Q54" s="29" t="s">
        <v>265</v>
      </c>
      <c r="R54" s="27" t="s">
        <v>799</v>
      </c>
      <c r="S54" s="27"/>
    </row>
    <row r="55" spans="1:19" ht="24" customHeight="1">
      <c r="A55" s="27" t="str">
        <f ca="1">IF(OR(D55&lt;&gt;"", F55&lt;&gt;"", L55&lt;&gt;"", O55&lt;&gt;""), "EVT-2026-" &amp; TEXT(COUNTIF('DT-3 Jan26'!$A$3:$A$500, "EVT*") + COUNTIF('DT-4 Jan26'!$A$3:$A$500, "EVT*") + COUNTIF('DT-3 Feb26'!$A$3:$A$500, "EVT*") + COUNTIF('DT-4 Feb26'!$A$3:$A$500, "EVT*") + COUNTIF('DT-3 Mar26'!$A$3:$A$500, "EVT*") + COUNTIF(OFFSET($A$1, 1, 0, ROW()-2, 1), "EVT*") + 1, "0000"), "")</f>
        <v>EVT-2026-0321</v>
      </c>
      <c r="B55" s="30">
        <v>46097</v>
      </c>
      <c r="C55" s="27" t="s">
        <v>224</v>
      </c>
      <c r="D55" s="27" t="s">
        <v>800</v>
      </c>
      <c r="E55" s="27" t="s">
        <v>202</v>
      </c>
      <c r="F55" s="27" t="s">
        <v>801</v>
      </c>
      <c r="G55" s="10">
        <v>1</v>
      </c>
      <c r="H55" s="36" t="s">
        <v>263</v>
      </c>
      <c r="I55" s="37"/>
      <c r="J55" s="37"/>
      <c r="K55" s="27"/>
      <c r="L55" s="27"/>
      <c r="M55" s="27" t="s">
        <v>548</v>
      </c>
      <c r="N55" s="27"/>
      <c r="O55" s="27"/>
      <c r="P55" s="1" t="s">
        <v>264</v>
      </c>
      <c r="Q55" s="29" t="s">
        <v>265</v>
      </c>
      <c r="R55" s="27" t="s">
        <v>802</v>
      </c>
      <c r="S55" s="27"/>
    </row>
    <row r="56" spans="1:19" ht="24" customHeight="1">
      <c r="A56" s="27" t="str">
        <f ca="1">IF(OR(D56&lt;&gt;"", F56&lt;&gt;"", L56&lt;&gt;"", O56&lt;&gt;""), "EVT-2026-" &amp; TEXT(COUNTIF('DT-3 Jan26'!$A$3:$A$500, "EVT*") + COUNTIF('DT-4 Jan26'!$A$3:$A$500, "EVT*") + COUNTIF('DT-3 Feb26'!$A$3:$A$500, "EVT*") + COUNTIF('DT-4 Feb26'!$A$3:$A$500, "EVT*") + COUNTIF('DT-3 Mar26'!$A$3:$A$500, "EVT*") + COUNTIF(OFFSET($A$1, 1, 0, ROW()-2, 1), "EVT*") + 1, "0000"), "")</f>
        <v>EVT-2026-0322</v>
      </c>
      <c r="B56" s="30">
        <v>46097</v>
      </c>
      <c r="C56" s="27" t="s">
        <v>224</v>
      </c>
      <c r="D56" s="27" t="s">
        <v>803</v>
      </c>
      <c r="E56" s="27"/>
      <c r="F56" s="27" t="s">
        <v>801</v>
      </c>
      <c r="G56" s="10">
        <v>1</v>
      </c>
      <c r="H56" s="36" t="s">
        <v>263</v>
      </c>
      <c r="I56" s="37"/>
      <c r="J56" s="37"/>
      <c r="K56" s="27"/>
      <c r="L56" s="27"/>
      <c r="M56" s="27"/>
      <c r="N56" s="27"/>
      <c r="O56" s="27"/>
      <c r="P56" s="1" t="s">
        <v>264</v>
      </c>
      <c r="Q56" s="29" t="s">
        <v>265</v>
      </c>
      <c r="R56" s="27" t="s">
        <v>804</v>
      </c>
      <c r="S56" s="27"/>
    </row>
    <row r="57" spans="1:19" ht="24" customHeight="1">
      <c r="A57" s="27" t="str">
        <f ca="1">IF(OR(D57&lt;&gt;"", F57&lt;&gt;"", L57&lt;&gt;"", O57&lt;&gt;""), "EVT-2026-" &amp; TEXT(COUNTIF('DT-3 Jan26'!$A$3:$A$500, "EVT*") + COUNTIF('DT-4 Jan26'!$A$3:$A$500, "EVT*") + COUNTIF('DT-3 Feb26'!$A$3:$A$500, "EVT*") + COUNTIF('DT-4 Feb26'!$A$3:$A$500, "EVT*") + COUNTIF('DT-3 Mar26'!$A$3:$A$500, "EVT*") + COUNTIF(OFFSET($A$1, 1, 0, ROW()-2, 1), "EVT*") + 1, "0000"), "")</f>
        <v>EVT-2026-0323</v>
      </c>
      <c r="B57" s="30">
        <v>46097</v>
      </c>
      <c r="C57" s="27" t="s">
        <v>224</v>
      </c>
      <c r="D57" s="27" t="s">
        <v>805</v>
      </c>
      <c r="E57" s="27"/>
      <c r="F57" s="27" t="s">
        <v>801</v>
      </c>
      <c r="G57" s="10">
        <v>1</v>
      </c>
      <c r="H57" s="36" t="s">
        <v>263</v>
      </c>
      <c r="I57" s="37"/>
      <c r="J57" s="37"/>
      <c r="K57" s="27"/>
      <c r="L57" s="27"/>
      <c r="M57" s="27"/>
      <c r="N57" s="27"/>
      <c r="O57" s="27"/>
      <c r="P57" s="1" t="s">
        <v>264</v>
      </c>
      <c r="Q57" s="29" t="s">
        <v>265</v>
      </c>
      <c r="R57" s="27" t="s">
        <v>804</v>
      </c>
      <c r="S57" s="27"/>
    </row>
    <row r="58" spans="1:19" ht="24" customHeight="1">
      <c r="A58" s="27" t="str">
        <f ca="1">IF(OR(D58&lt;&gt;"", F58&lt;&gt;"", L58&lt;&gt;"", O58&lt;&gt;""), "EVT-2026-" &amp; TEXT(COUNTIF('DT-3 Jan26'!$A$3:$A$500, "EVT*") + COUNTIF('DT-4 Jan26'!$A$3:$A$500, "EVT*") + COUNTIF('DT-3 Feb26'!$A$3:$A$500, "EVT*") + COUNTIF('DT-4 Feb26'!$A$3:$A$500, "EVT*") + COUNTIF('DT-3 Mar26'!$A$3:$A$500, "EVT*") + COUNTIF(OFFSET($A$1, 1, 0, ROW()-2, 1), "EVT*") + 1, "0000"), "")</f>
        <v/>
      </c>
      <c r="B58" s="30">
        <v>46097</v>
      </c>
      <c r="C58" s="27" t="s">
        <v>224</v>
      </c>
      <c r="D58" s="27"/>
      <c r="E58" s="27"/>
      <c r="F58" s="27"/>
      <c r="G58" s="10"/>
      <c r="H58" s="36" t="s">
        <v>263</v>
      </c>
      <c r="I58" s="37"/>
      <c r="J58" s="37"/>
      <c r="K58" s="27"/>
      <c r="L58" s="27"/>
      <c r="M58" s="27"/>
      <c r="N58" s="27"/>
      <c r="O58" s="27"/>
      <c r="P58" s="1" t="s">
        <v>264</v>
      </c>
      <c r="Q58" s="29" t="s">
        <v>265</v>
      </c>
      <c r="R58" s="27"/>
      <c r="S58" s="27"/>
    </row>
    <row r="59" spans="1:19" ht="24" customHeight="1">
      <c r="A59" s="27" t="str">
        <f ca="1">IF(OR(D59&lt;&gt;"", F59&lt;&gt;"", L59&lt;&gt;"", O59&lt;&gt;""), "EVT-2026-" &amp; TEXT(COUNTIF('DT-3 Jan26'!$A$3:$A$500, "EVT*") + COUNTIF('DT-4 Jan26'!$A$3:$A$500, "EVT*") + COUNTIF('DT-3 Feb26'!$A$3:$A$500, "EVT*") + COUNTIF('DT-4 Feb26'!$A$3:$A$500, "EVT*") + COUNTIF('DT-3 Mar26'!$A$3:$A$500, "EVT*") + COUNTIF(OFFSET($A$1, 1, 0, ROW()-2, 1), "EVT*") + 1, "0000"), "")</f>
        <v>EVT-2026-0324</v>
      </c>
      <c r="B59" s="30">
        <v>46097</v>
      </c>
      <c r="C59" s="27" t="s">
        <v>224</v>
      </c>
      <c r="D59" s="27" t="s">
        <v>736</v>
      </c>
      <c r="E59" s="27" t="s">
        <v>202</v>
      </c>
      <c r="F59" s="27" t="s">
        <v>806</v>
      </c>
      <c r="G59" s="10"/>
      <c r="H59" s="36" t="s">
        <v>263</v>
      </c>
      <c r="I59" s="37" t="s">
        <v>269</v>
      </c>
      <c r="J59" s="37" t="s">
        <v>270</v>
      </c>
      <c r="K59" s="27" t="s">
        <v>807</v>
      </c>
      <c r="L59" s="27"/>
      <c r="M59" s="27" t="s">
        <v>808</v>
      </c>
      <c r="N59" s="27"/>
      <c r="O59" s="27" t="s">
        <v>809</v>
      </c>
      <c r="P59" s="1" t="s">
        <v>264</v>
      </c>
      <c r="Q59" s="29" t="s">
        <v>265</v>
      </c>
      <c r="R59" s="27"/>
      <c r="S59" s="27"/>
    </row>
    <row r="60" spans="1:19" ht="24" customHeight="1">
      <c r="A60" s="27" t="str">
        <f ca="1">IF(OR(D60&lt;&gt;"", F60&lt;&gt;"", L60&lt;&gt;"", O60&lt;&gt;""), "EVT-2026-" &amp; TEXT(COUNTIF('DT-3 Jan26'!$A$3:$A$500, "EVT*") + COUNTIF('DT-4 Jan26'!$A$3:$A$500, "EVT*") + COUNTIF('DT-3 Feb26'!$A$3:$A$500, "EVT*") + COUNTIF('DT-4 Feb26'!$A$3:$A$500, "EVT*") + COUNTIF('DT-3 Mar26'!$A$3:$A$500, "EVT*") + COUNTIF(OFFSET($A$1, 1, 0, ROW()-2, 1), "EVT*") + 1, "0000"), "")</f>
        <v/>
      </c>
      <c r="B60" s="30">
        <v>46098</v>
      </c>
      <c r="C60" s="27" t="s">
        <v>227</v>
      </c>
      <c r="D60" s="27"/>
      <c r="E60" s="27"/>
      <c r="F60" s="27"/>
      <c r="G60" s="10"/>
      <c r="H60" s="36" t="s">
        <v>263</v>
      </c>
      <c r="I60" s="37"/>
      <c r="J60" s="37"/>
      <c r="K60" s="27"/>
      <c r="L60" s="27"/>
      <c r="M60" s="27"/>
      <c r="N60" s="27"/>
      <c r="O60" s="27"/>
      <c r="P60" s="1" t="s">
        <v>264</v>
      </c>
      <c r="Q60" s="29" t="s">
        <v>265</v>
      </c>
      <c r="R60" s="27"/>
      <c r="S60" s="27"/>
    </row>
    <row r="61" spans="1:19" ht="24" customHeight="1">
      <c r="A61" s="27" t="str">
        <f ca="1">IF(OR(D61&lt;&gt;"", F61&lt;&gt;"", L61&lt;&gt;"", O61&lt;&gt;""), "EVT-2026-" &amp; TEXT(COUNTIF('DT-3 Jan26'!$A$3:$A$500, "EVT*") + COUNTIF('DT-4 Jan26'!$A$3:$A$500, "EVT*") + COUNTIF('DT-3 Feb26'!$A$3:$A$500, "EVT*") + COUNTIF('DT-4 Feb26'!$A$3:$A$500, "EVT*") + COUNTIF('DT-3 Mar26'!$A$3:$A$500, "EVT*") + COUNTIF(OFFSET($A$1, 1, 0, ROW()-2, 1), "EVT*") + 1, "0000"), "")</f>
        <v/>
      </c>
      <c r="B61" s="30">
        <v>46098</v>
      </c>
      <c r="C61" s="27" t="s">
        <v>227</v>
      </c>
      <c r="D61" s="27"/>
      <c r="E61" s="27"/>
      <c r="F61" s="27"/>
      <c r="G61" s="10"/>
      <c r="H61" s="36" t="s">
        <v>263</v>
      </c>
      <c r="I61" s="37"/>
      <c r="J61" s="37"/>
      <c r="K61" s="27"/>
      <c r="L61" s="27"/>
      <c r="M61" s="27"/>
      <c r="N61" s="27"/>
      <c r="O61" s="27"/>
      <c r="P61" s="1" t="s">
        <v>264</v>
      </c>
      <c r="Q61" s="29" t="s">
        <v>265</v>
      </c>
      <c r="R61" s="27"/>
      <c r="S61" s="27"/>
    </row>
    <row r="62" spans="1:19" ht="24" customHeight="1">
      <c r="A62" s="27" t="str">
        <f ca="1">IF(OR(D62&lt;&gt;"", F62&lt;&gt;"", L62&lt;&gt;"", O62&lt;&gt;""), "EVT-2026-" &amp; TEXT(COUNTIF('DT-3 Jan26'!$A$3:$A$500, "EVT*") + COUNTIF('DT-4 Jan26'!$A$3:$A$500, "EVT*") + COUNTIF('DT-3 Feb26'!$A$3:$A$500, "EVT*") + COUNTIF('DT-4 Feb26'!$A$3:$A$500, "EVT*") + COUNTIF('DT-3 Mar26'!$A$3:$A$500, "EVT*") + COUNTIF(OFFSET($A$1, 1, 0, ROW()-2, 1), "EVT*") + 1, "0000"), "")</f>
        <v>EVT-2026-0325</v>
      </c>
      <c r="B62" s="30">
        <v>46098</v>
      </c>
      <c r="C62" s="27" t="s">
        <v>227</v>
      </c>
      <c r="D62" s="27" t="s">
        <v>239</v>
      </c>
      <c r="E62" s="27" t="s">
        <v>202</v>
      </c>
      <c r="F62" s="27" t="s">
        <v>810</v>
      </c>
      <c r="G62" s="10">
        <v>250</v>
      </c>
      <c r="H62" s="38" t="s">
        <v>294</v>
      </c>
      <c r="I62" s="37" t="s">
        <v>309</v>
      </c>
      <c r="J62" s="37" t="s">
        <v>270</v>
      </c>
      <c r="K62" s="27"/>
      <c r="L62" s="27"/>
      <c r="M62" s="27" t="s">
        <v>811</v>
      </c>
      <c r="N62" s="27"/>
      <c r="O62" s="27"/>
      <c r="P62" s="1" t="s">
        <v>264</v>
      </c>
      <c r="Q62" s="29" t="s">
        <v>265</v>
      </c>
      <c r="R62" s="27" t="s">
        <v>341</v>
      </c>
      <c r="S62" s="27"/>
    </row>
    <row r="63" spans="1:19" ht="24" customHeight="1">
      <c r="A63" s="27" t="str">
        <f ca="1">IF(OR(D63&lt;&gt;"", F63&lt;&gt;"", L63&lt;&gt;"", O63&lt;&gt;""), "EVT-2026-" &amp; TEXT(COUNTIF('DT-3 Jan26'!$A$3:$A$500, "EVT*") + COUNTIF('DT-4 Jan26'!$A$3:$A$500, "EVT*") + COUNTIF('DT-3 Feb26'!$A$3:$A$500, "EVT*") + COUNTIF('DT-4 Feb26'!$A$3:$A$500, "EVT*") + COUNTIF('DT-3 Mar26'!$A$3:$A$500, "EVT*") + COUNTIF(OFFSET($A$1, 1, 0, ROW()-2, 1), "EVT*") + 1, "0000"), "")</f>
        <v>EVT-2026-0326</v>
      </c>
      <c r="B63" s="30">
        <v>46098</v>
      </c>
      <c r="C63" s="27" t="s">
        <v>227</v>
      </c>
      <c r="D63" s="27" t="s">
        <v>348</v>
      </c>
      <c r="E63" s="27" t="s">
        <v>208</v>
      </c>
      <c r="F63" s="27" t="s">
        <v>812</v>
      </c>
      <c r="G63" s="10">
        <v>75</v>
      </c>
      <c r="H63" s="36" t="s">
        <v>263</v>
      </c>
      <c r="I63" s="37" t="s">
        <v>338</v>
      </c>
      <c r="J63" s="37" t="s">
        <v>429</v>
      </c>
      <c r="K63" s="27"/>
      <c r="L63" s="27"/>
      <c r="M63" s="27" t="s">
        <v>378</v>
      </c>
      <c r="N63" s="27"/>
      <c r="O63" s="30" t="s">
        <v>2176</v>
      </c>
      <c r="P63" s="1" t="s">
        <v>264</v>
      </c>
      <c r="Q63" s="29" t="s">
        <v>265</v>
      </c>
      <c r="R63" s="27" t="s">
        <v>813</v>
      </c>
      <c r="S63" s="27"/>
    </row>
    <row r="64" spans="1:19" ht="24" customHeight="1">
      <c r="A64" s="27" t="str">
        <f ca="1">IF(OR(D64&lt;&gt;"", F64&lt;&gt;"", L64&lt;&gt;"", O64&lt;&gt;""), "EVT-2026-" &amp; TEXT(COUNTIF('DT-3 Jan26'!$A$3:$A$500, "EVT*") + COUNTIF('DT-4 Jan26'!$A$3:$A$500, "EVT*") + COUNTIF('DT-3 Feb26'!$A$3:$A$500, "EVT*") + COUNTIF('DT-4 Feb26'!$A$3:$A$500, "EVT*") + COUNTIF('DT-3 Mar26'!$A$3:$A$500, "EVT*") + COUNTIF(OFFSET($A$1, 1, 0, ROW()-2, 1), "EVT*") + 1, "0000"), "")</f>
        <v>EVT-2026-0327</v>
      </c>
      <c r="B64" s="30">
        <v>46098</v>
      </c>
      <c r="C64" s="27" t="s">
        <v>227</v>
      </c>
      <c r="D64" s="27" t="s">
        <v>348</v>
      </c>
      <c r="E64" s="27" t="s">
        <v>208</v>
      </c>
      <c r="F64" s="27" t="s">
        <v>349</v>
      </c>
      <c r="G64" s="10">
        <v>50</v>
      </c>
      <c r="H64" s="36" t="s">
        <v>263</v>
      </c>
      <c r="I64" s="37" t="s">
        <v>350</v>
      </c>
      <c r="J64" s="37" t="s">
        <v>296</v>
      </c>
      <c r="K64" s="27"/>
      <c r="L64" s="27"/>
      <c r="M64" s="27" t="s">
        <v>351</v>
      </c>
      <c r="N64" s="27"/>
      <c r="O64" s="30">
        <v>46008</v>
      </c>
      <c r="P64" s="1" t="s">
        <v>264</v>
      </c>
      <c r="Q64" s="29" t="s">
        <v>265</v>
      </c>
      <c r="R64" s="27" t="s">
        <v>799</v>
      </c>
      <c r="S64" s="27"/>
    </row>
    <row r="65" spans="1:19" ht="24" customHeight="1">
      <c r="A65" s="27" t="str">
        <f ca="1">IF(OR(D65&lt;&gt;"", F65&lt;&gt;"", L65&lt;&gt;"", O65&lt;&gt;""), "EVT-2026-" &amp; TEXT(COUNTIF('DT-3 Jan26'!$A$3:$A$500, "EVT*") + COUNTIF('DT-4 Jan26'!$A$3:$A$500, "EVT*") + COUNTIF('DT-3 Feb26'!$A$3:$A$500, "EVT*") + COUNTIF('DT-4 Feb26'!$A$3:$A$500, "EVT*") + COUNTIF('DT-3 Mar26'!$A$3:$A$500, "EVT*") + COUNTIF(OFFSET($A$1, 1, 0, ROW()-2, 1), "EVT*") + 1, "0000"), "")</f>
        <v>EVT-2026-0328</v>
      </c>
      <c r="B65" s="30">
        <v>46098</v>
      </c>
      <c r="C65" s="27" t="s">
        <v>227</v>
      </c>
      <c r="D65" s="27" t="s">
        <v>125</v>
      </c>
      <c r="E65" s="27" t="s">
        <v>228</v>
      </c>
      <c r="F65" s="27" t="s">
        <v>798</v>
      </c>
      <c r="G65" s="10">
        <v>15</v>
      </c>
      <c r="H65" s="36" t="s">
        <v>263</v>
      </c>
      <c r="I65" s="37" t="s">
        <v>269</v>
      </c>
      <c r="J65" s="37" t="s">
        <v>270</v>
      </c>
      <c r="K65" s="27"/>
      <c r="L65" s="27"/>
      <c r="M65" s="27" t="s">
        <v>370</v>
      </c>
      <c r="N65" s="27"/>
      <c r="O65" s="27"/>
      <c r="P65" s="1" t="s">
        <v>264</v>
      </c>
      <c r="Q65" s="29" t="s">
        <v>265</v>
      </c>
      <c r="R65" s="27" t="s">
        <v>786</v>
      </c>
      <c r="S65" s="27"/>
    </row>
    <row r="66" spans="1:19" ht="24" customHeight="1">
      <c r="A66" s="27" t="str">
        <f ca="1">IF(OR(D66&lt;&gt;"", F66&lt;&gt;"", L66&lt;&gt;"", O66&lt;&gt;""), "EVT-2026-" &amp; TEXT(COUNTIF('DT-3 Jan26'!$A$3:$A$500, "EVT*") + COUNTIF('DT-4 Jan26'!$A$3:$A$500, "EVT*") + COUNTIF('DT-3 Feb26'!$A$3:$A$500, "EVT*") + COUNTIF('DT-4 Feb26'!$A$3:$A$500, "EVT*") + COUNTIF('DT-3 Mar26'!$A$3:$A$500, "EVT*") + COUNTIF(OFFSET($A$1, 1, 0, ROW()-2, 1), "EVT*") + 1, "0000"), "")</f>
        <v>EVT-2026-0329</v>
      </c>
      <c r="B66" s="30">
        <v>46099</v>
      </c>
      <c r="C66" s="27" t="s">
        <v>201</v>
      </c>
      <c r="D66" s="27" t="s">
        <v>239</v>
      </c>
      <c r="E66" s="27" t="s">
        <v>202</v>
      </c>
      <c r="F66" s="27" t="s">
        <v>814</v>
      </c>
      <c r="G66" s="10">
        <v>150</v>
      </c>
      <c r="H66" s="38" t="s">
        <v>294</v>
      </c>
      <c r="I66" s="37" t="s">
        <v>338</v>
      </c>
      <c r="J66" s="37" t="s">
        <v>330</v>
      </c>
      <c r="K66" s="27"/>
      <c r="L66" s="27"/>
      <c r="M66" s="27" t="s">
        <v>548</v>
      </c>
      <c r="N66" s="27"/>
      <c r="O66" s="30" t="s">
        <v>2217</v>
      </c>
      <c r="P66" s="1" t="s">
        <v>264</v>
      </c>
      <c r="Q66" s="29" t="s">
        <v>265</v>
      </c>
      <c r="R66" s="27" t="s">
        <v>298</v>
      </c>
      <c r="S66" s="27"/>
    </row>
    <row r="67" spans="1:19" ht="24" customHeight="1">
      <c r="A67" s="27" t="str">
        <f ca="1">IF(OR(D67&lt;&gt;"", F67&lt;&gt;"", L67&lt;&gt;"", O67&lt;&gt;""), "EVT-2026-" &amp; TEXT(COUNTIF('DT-3 Jan26'!$A$3:$A$500, "EVT*") + COUNTIF('DT-4 Jan26'!$A$3:$A$500, "EVT*") + COUNTIF('DT-3 Feb26'!$A$3:$A$500, "EVT*") + COUNTIF('DT-4 Feb26'!$A$3:$A$500, "EVT*") + COUNTIF('DT-3 Mar26'!$A$3:$A$500, "EVT*") + COUNTIF(OFFSET($A$1, 1, 0, ROW()-2, 1), "EVT*") + 1, "0000"), "")</f>
        <v>EVT-2026-0330</v>
      </c>
      <c r="B67" s="30">
        <v>46099</v>
      </c>
      <c r="C67" s="27" t="s">
        <v>201</v>
      </c>
      <c r="D67" s="27" t="s">
        <v>815</v>
      </c>
      <c r="E67" s="27" t="s">
        <v>202</v>
      </c>
      <c r="F67" s="27" t="s">
        <v>816</v>
      </c>
      <c r="G67" s="10">
        <v>100</v>
      </c>
      <c r="H67" s="38" t="s">
        <v>294</v>
      </c>
      <c r="I67" s="37" t="s">
        <v>315</v>
      </c>
      <c r="J67" s="37" t="s">
        <v>817</v>
      </c>
      <c r="K67" s="27"/>
      <c r="L67" s="27"/>
      <c r="M67" s="27" t="s">
        <v>818</v>
      </c>
      <c r="N67" s="27"/>
      <c r="O67" s="30" t="s">
        <v>2180</v>
      </c>
      <c r="P67" s="1" t="s">
        <v>264</v>
      </c>
      <c r="Q67" s="29" t="s">
        <v>265</v>
      </c>
      <c r="R67" s="27" t="s">
        <v>500</v>
      </c>
      <c r="S67" s="27"/>
    </row>
    <row r="68" spans="1:19" ht="24" customHeight="1">
      <c r="A68" s="27" t="str">
        <f ca="1">IF(OR(D68&lt;&gt;"", F68&lt;&gt;"", L68&lt;&gt;"", O68&lt;&gt;""), "EVT-2026-" &amp; TEXT(COUNTIF('DT-3 Jan26'!$A$3:$A$500, "EVT*") + COUNTIF('DT-4 Jan26'!$A$3:$A$500, "EVT*") + COUNTIF('DT-3 Feb26'!$A$3:$A$500, "EVT*") + COUNTIF('DT-4 Feb26'!$A$3:$A$500, "EVT*") + COUNTIF('DT-3 Mar26'!$A$3:$A$500, "EVT*") + COUNTIF(OFFSET($A$1, 1, 0, ROW()-2, 1), "EVT*") + 1, "0000"), "")</f>
        <v>EVT-2026-0331</v>
      </c>
      <c r="B68" s="30">
        <v>46099</v>
      </c>
      <c r="C68" s="27" t="s">
        <v>201</v>
      </c>
      <c r="D68" s="27" t="s">
        <v>125</v>
      </c>
      <c r="E68" s="27" t="s">
        <v>228</v>
      </c>
      <c r="F68" s="27" t="s">
        <v>798</v>
      </c>
      <c r="G68" s="10">
        <v>15</v>
      </c>
      <c r="H68" s="36" t="s">
        <v>263</v>
      </c>
      <c r="I68" s="37" t="s">
        <v>275</v>
      </c>
      <c r="J68" s="37" t="s">
        <v>270</v>
      </c>
      <c r="K68" s="27"/>
      <c r="L68" s="27"/>
      <c r="M68" s="27" t="s">
        <v>370</v>
      </c>
      <c r="N68" s="27"/>
      <c r="O68" s="27"/>
      <c r="P68" s="1" t="s">
        <v>264</v>
      </c>
      <c r="Q68" s="29" t="s">
        <v>265</v>
      </c>
      <c r="R68" s="27" t="s">
        <v>786</v>
      </c>
      <c r="S68" s="27"/>
    </row>
    <row r="69" spans="1:19" ht="24" customHeight="1">
      <c r="A69" s="27" t="str">
        <f ca="1">IF(OR(D69&lt;&gt;"", F69&lt;&gt;"", L69&lt;&gt;"", O69&lt;&gt;""), "EVT-2026-" &amp; TEXT(COUNTIF('DT-3 Jan26'!$A$3:$A$500, "EVT*") + COUNTIF('DT-4 Jan26'!$A$3:$A$500, "EVT*") + COUNTIF('DT-3 Feb26'!$A$3:$A$500, "EVT*") + COUNTIF('DT-4 Feb26'!$A$3:$A$500, "EVT*") + COUNTIF('DT-3 Mar26'!$A$3:$A$500, "EVT*") + COUNTIF(OFFSET($A$1, 1, 0, ROW()-2, 1), "EVT*") + 1, "0000"), "")</f>
        <v>EVT-2026-0332</v>
      </c>
      <c r="B69" s="30">
        <v>46099</v>
      </c>
      <c r="C69" s="27" t="s">
        <v>201</v>
      </c>
      <c r="D69" s="27" t="s">
        <v>348</v>
      </c>
      <c r="E69" s="27" t="s">
        <v>202</v>
      </c>
      <c r="F69" s="27" t="s">
        <v>819</v>
      </c>
      <c r="G69" s="10">
        <v>30</v>
      </c>
      <c r="H69" s="36" t="s">
        <v>263</v>
      </c>
      <c r="I69" s="37" t="s">
        <v>331</v>
      </c>
      <c r="J69" s="37" t="s">
        <v>350</v>
      </c>
      <c r="K69" s="27"/>
      <c r="L69" s="27"/>
      <c r="M69" s="27" t="s">
        <v>820</v>
      </c>
      <c r="N69" s="27"/>
      <c r="O69" s="30" t="s">
        <v>2221</v>
      </c>
      <c r="P69" s="1" t="s">
        <v>264</v>
      </c>
      <c r="Q69" s="29" t="s">
        <v>265</v>
      </c>
      <c r="R69" s="27" t="s">
        <v>821</v>
      </c>
      <c r="S69" s="27"/>
    </row>
    <row r="70" spans="1:19" ht="24" customHeight="1">
      <c r="A70" s="27" t="str">
        <f ca="1">IF(OR(D70&lt;&gt;"", F70&lt;&gt;"", L70&lt;&gt;"", O70&lt;&gt;""), "EVT-2026-" &amp; TEXT(COUNTIF('DT-3 Jan26'!$A$3:$A$500, "EVT*") + COUNTIF('DT-4 Jan26'!$A$3:$A$500, "EVT*") + COUNTIF('DT-3 Feb26'!$A$3:$A$500, "EVT*") + COUNTIF('DT-4 Feb26'!$A$3:$A$500, "EVT*") + COUNTIF('DT-3 Mar26'!$A$3:$A$500, "EVT*") + COUNTIF(OFFSET($A$1, 1, 0, ROW()-2, 1), "EVT*") + 1, "0000"), "")</f>
        <v>EVT-2026-0333</v>
      </c>
      <c r="B70" s="30">
        <v>46099</v>
      </c>
      <c r="C70" s="27" t="s">
        <v>201</v>
      </c>
      <c r="D70" s="27" t="s">
        <v>348</v>
      </c>
      <c r="E70" s="27" t="s">
        <v>202</v>
      </c>
      <c r="F70" s="27" t="s">
        <v>822</v>
      </c>
      <c r="G70" s="10">
        <v>45</v>
      </c>
      <c r="H70" s="36" t="s">
        <v>263</v>
      </c>
      <c r="I70" s="37" t="s">
        <v>350</v>
      </c>
      <c r="J70" s="37" t="s">
        <v>270</v>
      </c>
      <c r="K70" s="27"/>
      <c r="L70" s="27"/>
      <c r="M70" s="27" t="s">
        <v>823</v>
      </c>
      <c r="N70" s="27"/>
      <c r="O70" s="30" t="s">
        <v>2215</v>
      </c>
      <c r="P70" s="1" t="s">
        <v>264</v>
      </c>
      <c r="Q70" s="29" t="s">
        <v>265</v>
      </c>
      <c r="R70" s="27" t="s">
        <v>298</v>
      </c>
      <c r="S70" s="27"/>
    </row>
    <row r="71" spans="1:19" ht="24" customHeight="1">
      <c r="A71" s="27" t="str">
        <f ca="1">IF(OR(D71&lt;&gt;"", F71&lt;&gt;"", L71&lt;&gt;"", O71&lt;&gt;""), "EVT-2026-" &amp; TEXT(COUNTIF('DT-3 Jan26'!$A$3:$A$500, "EVT*") + COUNTIF('DT-4 Jan26'!$A$3:$A$500, "EVT*") + COUNTIF('DT-3 Feb26'!$A$3:$A$500, "EVT*") + COUNTIF('DT-4 Feb26'!$A$3:$A$500, "EVT*") + COUNTIF('DT-3 Mar26'!$A$3:$A$500, "EVT*") + COUNTIF(OFFSET($A$1, 1, 0, ROW()-2, 1), "EVT*") + 1, "0000"), "")</f>
        <v>EVT-2026-0334</v>
      </c>
      <c r="B71" s="30">
        <v>46099</v>
      </c>
      <c r="C71" s="27" t="s">
        <v>201</v>
      </c>
      <c r="D71" s="27" t="s">
        <v>348</v>
      </c>
      <c r="E71" s="27" t="s">
        <v>208</v>
      </c>
      <c r="F71" s="27" t="s">
        <v>824</v>
      </c>
      <c r="G71" s="10">
        <v>20</v>
      </c>
      <c r="H71" s="36" t="s">
        <v>263</v>
      </c>
      <c r="I71" s="37" t="s">
        <v>350</v>
      </c>
      <c r="J71" s="37" t="s">
        <v>289</v>
      </c>
      <c r="K71" s="27"/>
      <c r="L71" s="27"/>
      <c r="M71" s="27" t="s">
        <v>774</v>
      </c>
      <c r="N71" s="27"/>
      <c r="O71" s="30" t="s">
        <v>2221</v>
      </c>
      <c r="P71" s="1" t="s">
        <v>264</v>
      </c>
      <c r="Q71" s="29" t="s">
        <v>265</v>
      </c>
      <c r="R71" s="27" t="s">
        <v>298</v>
      </c>
      <c r="S71" s="27"/>
    </row>
    <row r="72" spans="1:19" ht="24" customHeight="1">
      <c r="A72" s="27" t="str">
        <f ca="1">IF(OR(D72&lt;&gt;"", F72&lt;&gt;"", L72&lt;&gt;"", O72&lt;&gt;""), "EVT-2026-" &amp; TEXT(COUNTIF('DT-3 Jan26'!$A$3:$A$500, "EVT*") + COUNTIF('DT-4 Jan26'!$A$3:$A$500, "EVT*") + COUNTIF('DT-3 Feb26'!$A$3:$A$500, "EVT*") + COUNTIF('DT-4 Feb26'!$A$3:$A$500, "EVT*") + COUNTIF('DT-3 Mar26'!$A$3:$A$500, "EVT*") + COUNTIF(OFFSET($A$1, 1, 0, ROW()-2, 1), "EVT*") + 1, "0000"), "")</f>
        <v>EVT-2026-0335</v>
      </c>
      <c r="B72" s="30">
        <v>46099</v>
      </c>
      <c r="C72" s="27" t="s">
        <v>201</v>
      </c>
      <c r="D72" s="27" t="s">
        <v>348</v>
      </c>
      <c r="E72" s="27" t="s">
        <v>208</v>
      </c>
      <c r="F72" s="27"/>
      <c r="G72" s="10">
        <v>50</v>
      </c>
      <c r="H72" s="36" t="s">
        <v>263</v>
      </c>
      <c r="I72" s="37" t="s">
        <v>289</v>
      </c>
      <c r="J72" s="37" t="s">
        <v>270</v>
      </c>
      <c r="K72" s="27"/>
      <c r="L72" s="27"/>
      <c r="M72" s="27" t="s">
        <v>378</v>
      </c>
      <c r="N72" s="27"/>
      <c r="O72" s="30" t="s">
        <v>2222</v>
      </c>
      <c r="P72" s="1" t="s">
        <v>264</v>
      </c>
      <c r="Q72" s="29" t="s">
        <v>265</v>
      </c>
      <c r="R72" s="27" t="s">
        <v>298</v>
      </c>
      <c r="S72" s="27"/>
    </row>
    <row r="73" spans="1:19" ht="24" customHeight="1">
      <c r="A73" s="27" t="str">
        <f ca="1">IF(OR(D73&lt;&gt;"", F73&lt;&gt;"", L73&lt;&gt;"", O73&lt;&gt;""), "EVT-2026-" &amp; TEXT(COUNTIF('DT-3 Jan26'!$A$3:$A$500, "EVT*") + COUNTIF('DT-4 Jan26'!$A$3:$A$500, "EVT*") + COUNTIF('DT-3 Feb26'!$A$3:$A$500, "EVT*") + COUNTIF('DT-4 Feb26'!$A$3:$A$500, "EVT*") + COUNTIF('DT-3 Mar26'!$A$3:$A$500, "EVT*") + COUNTIF(OFFSET($A$1, 1, 0, ROW()-2, 1), "EVT*") + 1, "0000"), "")</f>
        <v>EVT-2026-0336</v>
      </c>
      <c r="B73" s="30">
        <v>46100</v>
      </c>
      <c r="C73" s="27" t="s">
        <v>216</v>
      </c>
      <c r="D73" s="27" t="s">
        <v>125</v>
      </c>
      <c r="E73" s="27" t="s">
        <v>228</v>
      </c>
      <c r="F73" s="27" t="s">
        <v>798</v>
      </c>
      <c r="G73" s="10">
        <v>15</v>
      </c>
      <c r="H73" s="36" t="s">
        <v>263</v>
      </c>
      <c r="I73" s="37" t="s">
        <v>269</v>
      </c>
      <c r="J73" s="37" t="s">
        <v>270</v>
      </c>
      <c r="K73" s="27"/>
      <c r="L73" s="27"/>
      <c r="M73" s="27" t="s">
        <v>370</v>
      </c>
      <c r="N73" s="27"/>
      <c r="O73" s="27"/>
      <c r="P73" s="1" t="s">
        <v>264</v>
      </c>
      <c r="Q73" s="29" t="s">
        <v>265</v>
      </c>
      <c r="R73" s="27" t="s">
        <v>786</v>
      </c>
      <c r="S73" s="27"/>
    </row>
    <row r="74" spans="1:19" ht="24" customHeight="1">
      <c r="A74" s="27" t="str">
        <f ca="1">IF(OR(D74&lt;&gt;"", F74&lt;&gt;"", L74&lt;&gt;"", O74&lt;&gt;""), "EVT-2026-" &amp; TEXT(COUNTIF('DT-3 Jan26'!$A$3:$A$500, "EVT*") + COUNTIF('DT-4 Jan26'!$A$3:$A$500, "EVT*") + COUNTIF('DT-3 Feb26'!$A$3:$A$500, "EVT*") + COUNTIF('DT-4 Feb26'!$A$3:$A$500, "EVT*") + COUNTIF('DT-3 Mar26'!$A$3:$A$500, "EVT*") + COUNTIF(OFFSET($A$1, 1, 0, ROW()-2, 1), "EVT*") + 1, "0000"), "")</f>
        <v>EVT-2026-0337</v>
      </c>
      <c r="B74" s="30">
        <v>46100</v>
      </c>
      <c r="C74" s="27" t="s">
        <v>216</v>
      </c>
      <c r="D74" s="27" t="s">
        <v>348</v>
      </c>
      <c r="E74" s="27" t="s">
        <v>202</v>
      </c>
      <c r="F74" s="27" t="s">
        <v>819</v>
      </c>
      <c r="G74" s="10">
        <v>25</v>
      </c>
      <c r="H74" s="36" t="s">
        <v>263</v>
      </c>
      <c r="I74" s="37" t="s">
        <v>354</v>
      </c>
      <c r="J74" s="37" t="s">
        <v>350</v>
      </c>
      <c r="K74" s="27"/>
      <c r="L74" s="27"/>
      <c r="M74" s="27" t="s">
        <v>820</v>
      </c>
      <c r="N74" s="27"/>
      <c r="O74" s="30" t="s">
        <v>2221</v>
      </c>
      <c r="P74" s="1" t="s">
        <v>264</v>
      </c>
      <c r="Q74" s="29" t="s">
        <v>265</v>
      </c>
      <c r="R74" s="27"/>
      <c r="S74" s="27"/>
    </row>
    <row r="75" spans="1:19" ht="24" customHeight="1">
      <c r="A75" s="27" t="str">
        <f ca="1">IF(OR(D75&lt;&gt;"", F75&lt;&gt;"", L75&lt;&gt;"", O75&lt;&gt;""), "EVT-2026-" &amp; TEXT(COUNTIF('DT-3 Jan26'!$A$3:$A$500, "EVT*") + COUNTIF('DT-4 Jan26'!$A$3:$A$500, "EVT*") + COUNTIF('DT-3 Feb26'!$A$3:$A$500, "EVT*") + COUNTIF('DT-4 Feb26'!$A$3:$A$500, "EVT*") + COUNTIF('DT-3 Mar26'!$A$3:$A$500, "EVT*") + COUNTIF(OFFSET($A$1, 1, 0, ROW()-2, 1), "EVT*") + 1, "0000"), "")</f>
        <v>EVT-2026-0338</v>
      </c>
      <c r="B75" s="30">
        <v>46100</v>
      </c>
      <c r="C75" s="27" t="s">
        <v>216</v>
      </c>
      <c r="D75" s="27" t="s">
        <v>348</v>
      </c>
      <c r="E75" s="27" t="s">
        <v>208</v>
      </c>
      <c r="F75" s="27" t="s">
        <v>349</v>
      </c>
      <c r="G75" s="10">
        <v>50</v>
      </c>
      <c r="H75" s="36" t="s">
        <v>263</v>
      </c>
      <c r="I75" s="37" t="s">
        <v>350</v>
      </c>
      <c r="J75" s="37" t="s">
        <v>296</v>
      </c>
      <c r="K75" s="27"/>
      <c r="L75" s="27"/>
      <c r="M75" s="27" t="s">
        <v>351</v>
      </c>
      <c r="N75" s="27"/>
      <c r="O75" s="30">
        <v>46008</v>
      </c>
      <c r="P75" s="1" t="s">
        <v>264</v>
      </c>
      <c r="Q75" s="29" t="s">
        <v>265</v>
      </c>
      <c r="R75" s="27" t="s">
        <v>303</v>
      </c>
      <c r="S75" s="27"/>
    </row>
    <row r="76" spans="1:19" ht="24" customHeight="1">
      <c r="A76" s="27" t="str">
        <f ca="1">IF(OR(D76&lt;&gt;"", F76&lt;&gt;"", L76&lt;&gt;"", O76&lt;&gt;""), "EVT-2026-" &amp; TEXT(COUNTIF('DT-3 Jan26'!$A$3:$A$500, "EVT*") + COUNTIF('DT-4 Jan26'!$A$3:$A$500, "EVT*") + COUNTIF('DT-3 Feb26'!$A$3:$A$500, "EVT*") + COUNTIF('DT-4 Feb26'!$A$3:$A$500, "EVT*") + COUNTIF('DT-3 Mar26'!$A$3:$A$500, "EVT*") + COUNTIF(OFFSET($A$1, 1, 0, ROW()-2, 1), "EVT*") + 1, "0000"), "")</f>
        <v>EVT-2026-0339</v>
      </c>
      <c r="B76" s="30">
        <v>46101</v>
      </c>
      <c r="C76" s="27" t="s">
        <v>220</v>
      </c>
      <c r="D76" s="27" t="s">
        <v>125</v>
      </c>
      <c r="E76" s="27" t="s">
        <v>228</v>
      </c>
      <c r="F76" s="27" t="s">
        <v>825</v>
      </c>
      <c r="G76" s="10">
        <v>26</v>
      </c>
      <c r="H76" s="36" t="s">
        <v>263</v>
      </c>
      <c r="I76" s="37" t="s">
        <v>269</v>
      </c>
      <c r="J76" s="37" t="s">
        <v>331</v>
      </c>
      <c r="K76" s="27"/>
      <c r="L76" s="27"/>
      <c r="M76" s="27" t="s">
        <v>370</v>
      </c>
      <c r="N76" s="27"/>
      <c r="O76" s="27"/>
      <c r="P76" s="1" t="s">
        <v>264</v>
      </c>
      <c r="Q76" s="29" t="s">
        <v>265</v>
      </c>
      <c r="R76" s="27" t="s">
        <v>826</v>
      </c>
      <c r="S76" s="27"/>
    </row>
    <row r="77" spans="1:19" ht="24" customHeight="1">
      <c r="A77" s="27" t="str">
        <f ca="1">IF(OR(D77&lt;&gt;"", F77&lt;&gt;"", L77&lt;&gt;"", O77&lt;&gt;""), "EVT-2026-" &amp; TEXT(COUNTIF('DT-3 Jan26'!$A$3:$A$500, "EVT*") + COUNTIF('DT-4 Jan26'!$A$3:$A$500, "EVT*") + COUNTIF('DT-3 Feb26'!$A$3:$A$500, "EVT*") + COUNTIF('DT-4 Feb26'!$A$3:$A$500, "EVT*") + COUNTIF('DT-3 Mar26'!$A$3:$A$500, "EVT*") + COUNTIF(OFFSET($A$1, 1, 0, ROW()-2, 1), "EVT*") + 1, "0000"), "")</f>
        <v>EVT-2026-0340</v>
      </c>
      <c r="B77" s="30">
        <v>46101</v>
      </c>
      <c r="C77" s="27" t="s">
        <v>220</v>
      </c>
      <c r="D77" s="27" t="s">
        <v>125</v>
      </c>
      <c r="E77" s="27" t="s">
        <v>228</v>
      </c>
      <c r="F77" s="27" t="s">
        <v>798</v>
      </c>
      <c r="G77" s="10">
        <v>20</v>
      </c>
      <c r="H77" s="36" t="s">
        <v>263</v>
      </c>
      <c r="I77" s="37" t="s">
        <v>269</v>
      </c>
      <c r="J77" s="37" t="s">
        <v>270</v>
      </c>
      <c r="K77" s="27"/>
      <c r="L77" s="27"/>
      <c r="M77" s="27"/>
      <c r="N77" s="27"/>
      <c r="O77" s="27"/>
      <c r="P77" s="1" t="s">
        <v>264</v>
      </c>
      <c r="Q77" s="29" t="s">
        <v>265</v>
      </c>
      <c r="R77" s="27"/>
      <c r="S77" s="27"/>
    </row>
    <row r="78" spans="1:19" ht="24" customHeight="1">
      <c r="A78" s="27" t="str">
        <f ca="1">IF(OR(D78&lt;&gt;"", F78&lt;&gt;"", L78&lt;&gt;"", O78&lt;&gt;""), "EVT-2026-" &amp; TEXT(COUNTIF('DT-3 Jan26'!$A$3:$A$500, "EVT*") + COUNTIF('DT-4 Jan26'!$A$3:$A$500, "EVT*") + COUNTIF('DT-3 Feb26'!$A$3:$A$500, "EVT*") + COUNTIF('DT-4 Feb26'!$A$3:$A$500, "EVT*") + COUNTIF('DT-3 Mar26'!$A$3:$A$500, "EVT*") + COUNTIF(OFFSET($A$1, 1, 0, ROW()-2, 1), "EVT*") + 1, "0000"), "")</f>
        <v>EVT-2026-0341</v>
      </c>
      <c r="B78" s="30">
        <v>46101</v>
      </c>
      <c r="C78" s="27" t="s">
        <v>220</v>
      </c>
      <c r="D78" s="27" t="s">
        <v>348</v>
      </c>
      <c r="E78" s="27" t="s">
        <v>202</v>
      </c>
      <c r="F78" s="27" t="s">
        <v>827</v>
      </c>
      <c r="G78" s="10">
        <v>60</v>
      </c>
      <c r="H78" s="36" t="s">
        <v>263</v>
      </c>
      <c r="I78" s="37" t="s">
        <v>295</v>
      </c>
      <c r="J78" s="37" t="s">
        <v>296</v>
      </c>
      <c r="K78" s="27"/>
      <c r="L78" s="27"/>
      <c r="M78" s="27" t="s">
        <v>379</v>
      </c>
      <c r="N78" s="27"/>
      <c r="O78" s="30" t="s">
        <v>2216</v>
      </c>
      <c r="P78" s="1" t="s">
        <v>264</v>
      </c>
      <c r="Q78" s="29" t="s">
        <v>265</v>
      </c>
      <c r="R78" s="27" t="s">
        <v>598</v>
      </c>
      <c r="S78" s="27"/>
    </row>
    <row r="79" spans="1:19" ht="24" customHeight="1">
      <c r="A79" s="27" t="str">
        <f ca="1">IF(OR(D79&lt;&gt;"", F79&lt;&gt;"", L79&lt;&gt;"", O79&lt;&gt;""), "EVT-2026-" &amp; TEXT(COUNTIF('DT-3 Jan26'!$A$3:$A$500, "EVT*") + COUNTIF('DT-4 Jan26'!$A$3:$A$500, "EVT*") + COUNTIF('DT-3 Feb26'!$A$3:$A$500, "EVT*") + COUNTIF('DT-4 Feb26'!$A$3:$A$500, "EVT*") + COUNTIF('DT-3 Mar26'!$A$3:$A$500, "EVT*") + COUNTIF(OFFSET($A$1, 1, 0, ROW()-2, 1), "EVT*") + 1, "0000"), "")</f>
        <v>EVT-2026-0342</v>
      </c>
      <c r="B79" s="30">
        <v>46101</v>
      </c>
      <c r="C79" s="27" t="s">
        <v>220</v>
      </c>
      <c r="D79" s="27" t="s">
        <v>348</v>
      </c>
      <c r="E79" s="27" t="s">
        <v>208</v>
      </c>
      <c r="F79" s="27" t="s">
        <v>828</v>
      </c>
      <c r="G79" s="10">
        <v>70</v>
      </c>
      <c r="H79" s="36" t="s">
        <v>263</v>
      </c>
      <c r="I79" s="37" t="s">
        <v>315</v>
      </c>
      <c r="J79" s="37" t="s">
        <v>506</v>
      </c>
      <c r="K79" s="27"/>
      <c r="L79" s="27"/>
      <c r="M79" s="27" t="s">
        <v>583</v>
      </c>
      <c r="N79" s="27"/>
      <c r="O79" s="30" t="s">
        <v>2223</v>
      </c>
      <c r="P79" s="1" t="s">
        <v>264</v>
      </c>
      <c r="Q79" s="29" t="s">
        <v>265</v>
      </c>
      <c r="R79" s="27" t="s">
        <v>321</v>
      </c>
      <c r="S79" s="27"/>
    </row>
    <row r="80" spans="1:19" ht="24" customHeight="1">
      <c r="A80" s="27" t="str">
        <f ca="1">IF(OR(D80&lt;&gt;"", F80&lt;&gt;"", L80&lt;&gt;"", O80&lt;&gt;""), "EVT-2026-" &amp; TEXT(COUNTIF('DT-3 Jan26'!$A$3:$A$500, "EVT*") + COUNTIF('DT-4 Jan26'!$A$3:$A$500, "EVT*") + COUNTIF('DT-3 Feb26'!$A$3:$A$500, "EVT*") + COUNTIF('DT-4 Feb26'!$A$3:$A$500, "EVT*") + COUNTIF('DT-3 Mar26'!$A$3:$A$500, "EVT*") + COUNTIF(OFFSET($A$1, 1, 0, ROW()-2, 1), "EVT*") + 1, "0000"), "")</f>
        <v/>
      </c>
      <c r="B80" s="30">
        <v>46102</v>
      </c>
      <c r="C80" s="27" t="s">
        <v>266</v>
      </c>
      <c r="D80" s="27"/>
      <c r="E80" s="27"/>
      <c r="F80" s="27"/>
      <c r="G80" s="10"/>
      <c r="H80" s="36" t="s">
        <v>263</v>
      </c>
      <c r="I80" s="37"/>
      <c r="J80" s="37"/>
      <c r="K80" s="27"/>
      <c r="L80" s="27"/>
      <c r="M80" s="27"/>
      <c r="N80" s="27"/>
      <c r="O80" s="27"/>
      <c r="P80" s="1" t="s">
        <v>264</v>
      </c>
      <c r="Q80" s="29" t="s">
        <v>265</v>
      </c>
      <c r="R80" s="27"/>
      <c r="S80" s="27"/>
    </row>
    <row r="81" spans="1:19" ht="24" customHeight="1">
      <c r="A81" s="27" t="str">
        <f ca="1">IF(OR(D81&lt;&gt;"", F81&lt;&gt;"", L81&lt;&gt;"", O81&lt;&gt;""), "EVT-2026-" &amp; TEXT(COUNTIF('DT-3 Jan26'!$A$3:$A$500, "EVT*") + COUNTIF('DT-4 Jan26'!$A$3:$A$500, "EVT*") + COUNTIF('DT-3 Feb26'!$A$3:$A$500, "EVT*") + COUNTIF('DT-4 Feb26'!$A$3:$A$500, "EVT*") + COUNTIF('DT-3 Mar26'!$A$3:$A$500, "EVT*") + COUNTIF(OFFSET($A$1, 1, 0, ROW()-2, 1), "EVT*") + 1, "0000"), "")</f>
        <v/>
      </c>
      <c r="B81" s="30">
        <v>46103</v>
      </c>
      <c r="C81" s="27" t="s">
        <v>267</v>
      </c>
      <c r="D81" s="27"/>
      <c r="E81" s="27"/>
      <c r="F81" s="27"/>
      <c r="G81" s="10"/>
      <c r="H81" s="36" t="s">
        <v>263</v>
      </c>
      <c r="I81" s="37"/>
      <c r="J81" s="37"/>
      <c r="K81" s="27"/>
      <c r="L81" s="27"/>
      <c r="M81" s="27"/>
      <c r="N81" s="27"/>
      <c r="O81" s="27"/>
      <c r="P81" s="1" t="s">
        <v>264</v>
      </c>
      <c r="Q81" s="29" t="s">
        <v>265</v>
      </c>
      <c r="R81" s="27"/>
      <c r="S81" s="27"/>
    </row>
    <row r="82" spans="1:19" ht="24" customHeight="1">
      <c r="A82" s="27" t="str">
        <f ca="1">IF(OR(D82&lt;&gt;"", F82&lt;&gt;"", L82&lt;&gt;"", O82&lt;&gt;""), "EVT-2026-" &amp; TEXT(COUNTIF('DT-3 Jan26'!$A$3:$A$500, "EVT*") + COUNTIF('DT-4 Jan26'!$A$3:$A$500, "EVT*") + COUNTIF('DT-3 Feb26'!$A$3:$A$500, "EVT*") + COUNTIF('DT-4 Feb26'!$A$3:$A$500, "EVT*") + COUNTIF('DT-3 Mar26'!$A$3:$A$500, "EVT*") + COUNTIF(OFFSET($A$1, 1, 0, ROW()-2, 1), "EVT*") + 1, "0000"), "")</f>
        <v>EVT-2026-0343</v>
      </c>
      <c r="B82" s="27" t="s">
        <v>2224</v>
      </c>
      <c r="C82" s="27" t="s">
        <v>833</v>
      </c>
      <c r="D82" s="27" t="s">
        <v>829</v>
      </c>
      <c r="E82" s="27" t="s">
        <v>208</v>
      </c>
      <c r="F82" s="27" t="s">
        <v>801</v>
      </c>
      <c r="G82" s="10">
        <v>1</v>
      </c>
      <c r="H82" s="36" t="s">
        <v>263</v>
      </c>
      <c r="I82" s="37" t="s">
        <v>269</v>
      </c>
      <c r="J82" s="37" t="s">
        <v>270</v>
      </c>
      <c r="K82" s="27"/>
      <c r="L82" s="27"/>
      <c r="M82" s="27" t="s">
        <v>830</v>
      </c>
      <c r="N82" s="27"/>
      <c r="O82" s="30" t="s">
        <v>2225</v>
      </c>
      <c r="P82" s="1" t="s">
        <v>264</v>
      </c>
      <c r="Q82" s="29" t="s">
        <v>265</v>
      </c>
      <c r="R82" s="27" t="s">
        <v>831</v>
      </c>
      <c r="S82" s="27"/>
    </row>
    <row r="83" spans="1:19" ht="24" customHeight="1">
      <c r="A83" s="27" t="str">
        <f ca="1">IF(OR(D83&lt;&gt;"", F83&lt;&gt;"", L83&lt;&gt;"", O83&lt;&gt;""), "EVT-2026-" &amp; TEXT(COUNTIF('DT-3 Jan26'!$A$3:$A$500, "EVT*") + COUNTIF('DT-4 Jan26'!$A$3:$A$500, "EVT*") + COUNTIF('DT-3 Feb26'!$A$3:$A$500, "EVT*") + COUNTIF('DT-4 Feb26'!$A$3:$A$500, "EVT*") + COUNTIF('DT-3 Mar26'!$A$3:$A$500, "EVT*") + COUNTIF(OFFSET($A$1, 1, 0, ROW()-2, 1), "EVT*") + 1, "0000"), "")</f>
        <v>EVT-2026-0344</v>
      </c>
      <c r="B83" s="27" t="s">
        <v>832</v>
      </c>
      <c r="C83" s="27" t="s">
        <v>833</v>
      </c>
      <c r="D83" s="27" t="s">
        <v>834</v>
      </c>
      <c r="E83" s="27" t="s">
        <v>202</v>
      </c>
      <c r="F83" s="27" t="s">
        <v>835</v>
      </c>
      <c r="G83" s="10">
        <v>1</v>
      </c>
      <c r="H83" s="36" t="s">
        <v>263</v>
      </c>
      <c r="I83" s="37" t="s">
        <v>269</v>
      </c>
      <c r="J83" s="37" t="s">
        <v>270</v>
      </c>
      <c r="K83" s="27"/>
      <c r="L83" s="27"/>
      <c r="M83" s="27" t="s">
        <v>836</v>
      </c>
      <c r="N83" s="27"/>
      <c r="O83" s="30" t="s">
        <v>2223</v>
      </c>
      <c r="P83" s="1" t="s">
        <v>264</v>
      </c>
      <c r="Q83" s="29" t="s">
        <v>265</v>
      </c>
      <c r="R83" s="27" t="s">
        <v>837</v>
      </c>
      <c r="S83" s="27"/>
    </row>
    <row r="84" spans="1:19" ht="24" customHeight="1">
      <c r="A84" s="27" t="str">
        <f ca="1">IF(OR(D84&lt;&gt;"", F84&lt;&gt;"", L84&lt;&gt;"", O84&lt;&gt;""), "EVT-2026-" &amp; TEXT(COUNTIF('DT-3 Jan26'!$A$3:$A$500, "EVT*") + COUNTIF('DT-4 Jan26'!$A$3:$A$500, "EVT*") + COUNTIF('DT-3 Feb26'!$A$3:$A$500, "EVT*") + COUNTIF('DT-4 Feb26'!$A$3:$A$500, "EVT*") + COUNTIF('DT-3 Mar26'!$A$3:$A$500, "EVT*") + COUNTIF(OFFSET($A$1, 1, 0, ROW()-2, 1), "EVT*") + 1, "0000"), "")</f>
        <v>EVT-2026-0345</v>
      </c>
      <c r="B84" s="27" t="s">
        <v>832</v>
      </c>
      <c r="C84" s="27" t="s">
        <v>833</v>
      </c>
      <c r="D84" s="27" t="s">
        <v>838</v>
      </c>
      <c r="E84" s="27" t="s">
        <v>202</v>
      </c>
      <c r="F84" s="27" t="s">
        <v>839</v>
      </c>
      <c r="G84" s="10">
        <v>1</v>
      </c>
      <c r="H84" s="36" t="s">
        <v>263</v>
      </c>
      <c r="I84" s="37" t="s">
        <v>269</v>
      </c>
      <c r="J84" s="37" t="s">
        <v>270</v>
      </c>
      <c r="K84" s="27"/>
      <c r="L84" s="27"/>
      <c r="M84" s="27" t="s">
        <v>836</v>
      </c>
      <c r="N84" s="27"/>
      <c r="O84" s="30" t="s">
        <v>2223</v>
      </c>
      <c r="P84" s="1" t="s">
        <v>264</v>
      </c>
      <c r="Q84" s="29" t="s">
        <v>265</v>
      </c>
      <c r="R84" s="27" t="s">
        <v>837</v>
      </c>
      <c r="S84" s="27"/>
    </row>
    <row r="85" spans="1:19" ht="24" customHeight="1">
      <c r="A85" s="27" t="str">
        <f ca="1">IF(OR(D85&lt;&gt;"", F85&lt;&gt;"", L85&lt;&gt;"", O85&lt;&gt;""), "EVT-2026-" &amp; TEXT(COUNTIF('DT-3 Jan26'!$A$3:$A$500, "EVT*") + COUNTIF('DT-4 Jan26'!$A$3:$A$500, "EVT*") + COUNTIF('DT-3 Feb26'!$A$3:$A$500, "EVT*") + COUNTIF('DT-4 Feb26'!$A$3:$A$500, "EVT*") + COUNTIF('DT-3 Mar26'!$A$3:$A$500, "EVT*") + COUNTIF(OFFSET($A$1, 1, 0, ROW()-2, 1), "EVT*") + 1, "0000"), "")</f>
        <v>EVT-2026-0346</v>
      </c>
      <c r="B85" s="27" t="s">
        <v>840</v>
      </c>
      <c r="C85" s="27" t="s">
        <v>841</v>
      </c>
      <c r="D85" s="27" t="s">
        <v>842</v>
      </c>
      <c r="E85" s="27" t="s">
        <v>202</v>
      </c>
      <c r="F85" s="27" t="s">
        <v>839</v>
      </c>
      <c r="G85" s="10">
        <v>1</v>
      </c>
      <c r="H85" s="36" t="s">
        <v>263</v>
      </c>
      <c r="I85" s="37" t="s">
        <v>269</v>
      </c>
      <c r="J85" s="37" t="s">
        <v>270</v>
      </c>
      <c r="K85" s="27"/>
      <c r="L85" s="27"/>
      <c r="M85" s="27" t="s">
        <v>379</v>
      </c>
      <c r="N85" s="27"/>
      <c r="O85" s="27"/>
      <c r="P85" s="1" t="s">
        <v>264</v>
      </c>
      <c r="Q85" s="29" t="s">
        <v>265</v>
      </c>
      <c r="R85" s="27"/>
      <c r="S85" s="27"/>
    </row>
    <row r="86" spans="1:19" ht="24" customHeight="1">
      <c r="A86" s="27" t="str">
        <f ca="1">IF(OR(D86&lt;&gt;"", F86&lt;&gt;"", L86&lt;&gt;"", O86&lt;&gt;""), "EVT-2026-" &amp; TEXT(COUNTIF('DT-3 Jan26'!$A$3:$A$500, "EVT*") + COUNTIF('DT-4 Jan26'!$A$3:$A$500, "EVT*") + COUNTIF('DT-3 Feb26'!$A$3:$A$500, "EVT*") + COUNTIF('DT-4 Feb26'!$A$3:$A$500, "EVT*") + COUNTIF('DT-3 Mar26'!$A$3:$A$500, "EVT*") + COUNTIF(OFFSET($A$1, 1, 0, ROW()-2, 1), "EVT*") + 1, "0000"), "")</f>
        <v>EVT-2026-0347</v>
      </c>
      <c r="B86" s="27" t="s">
        <v>840</v>
      </c>
      <c r="C86" s="27" t="s">
        <v>841</v>
      </c>
      <c r="D86" s="27" t="s">
        <v>843</v>
      </c>
      <c r="E86" s="27" t="s">
        <v>202</v>
      </c>
      <c r="F86" s="27" t="s">
        <v>839</v>
      </c>
      <c r="G86" s="10">
        <v>1</v>
      </c>
      <c r="H86" s="36" t="s">
        <v>263</v>
      </c>
      <c r="I86" s="37" t="s">
        <v>269</v>
      </c>
      <c r="J86" s="37" t="s">
        <v>270</v>
      </c>
      <c r="K86" s="27"/>
      <c r="L86" s="27"/>
      <c r="M86" s="27" t="s">
        <v>379</v>
      </c>
      <c r="N86" s="27"/>
      <c r="O86" s="27"/>
      <c r="P86" s="1" t="s">
        <v>264</v>
      </c>
      <c r="Q86" s="29" t="s">
        <v>265</v>
      </c>
      <c r="R86" s="27"/>
      <c r="S86" s="27"/>
    </row>
    <row r="87" spans="1:19" ht="24" customHeight="1">
      <c r="A87" s="27" t="str">
        <f ca="1">IF(OR(D87&lt;&gt;"", F87&lt;&gt;"", L87&lt;&gt;"", O87&lt;&gt;""), "EVT-2026-" &amp; TEXT(COUNTIF('DT-3 Jan26'!$A$3:$A$500, "EVT*") + COUNTIF('DT-4 Jan26'!$A$3:$A$500, "EVT*") + COUNTIF('DT-3 Feb26'!$A$3:$A$500, "EVT*") + COUNTIF('DT-4 Feb26'!$A$3:$A$500, "EVT*") + COUNTIF('DT-3 Mar26'!$A$3:$A$500, "EVT*") + COUNTIF(OFFSET($A$1, 1, 0, ROW()-2, 1), "EVT*") + 1, "0000"), "")</f>
        <v>EVT-2026-0348</v>
      </c>
      <c r="B87" s="27" t="s">
        <v>840</v>
      </c>
      <c r="C87" s="27" t="s">
        <v>224</v>
      </c>
      <c r="D87" s="27" t="s">
        <v>844</v>
      </c>
      <c r="E87" s="27" t="s">
        <v>202</v>
      </c>
      <c r="F87" s="27" t="s">
        <v>839</v>
      </c>
      <c r="G87" s="10">
        <v>1</v>
      </c>
      <c r="H87" s="36" t="s">
        <v>263</v>
      </c>
      <c r="I87" s="37" t="s">
        <v>269</v>
      </c>
      <c r="J87" s="37" t="s">
        <v>270</v>
      </c>
      <c r="K87" s="27"/>
      <c r="L87" s="27"/>
      <c r="M87" s="27" t="s">
        <v>379</v>
      </c>
      <c r="N87" s="27"/>
      <c r="O87" s="27"/>
      <c r="P87" s="1" t="s">
        <v>264</v>
      </c>
      <c r="Q87" s="29" t="s">
        <v>265</v>
      </c>
      <c r="R87" s="27"/>
      <c r="S87" s="27"/>
    </row>
    <row r="88" spans="1:19" ht="24" customHeight="1">
      <c r="A88" s="27" t="str">
        <f ca="1">IF(OR(D88&lt;&gt;"", F88&lt;&gt;"", L88&lt;&gt;"", O88&lt;&gt;""), "EVT-2026-" &amp; TEXT(COUNTIF('DT-3 Jan26'!$A$3:$A$500, "EVT*") + COUNTIF('DT-4 Jan26'!$A$3:$A$500, "EVT*") + COUNTIF('DT-3 Feb26'!$A$3:$A$500, "EVT*") + COUNTIF('DT-4 Feb26'!$A$3:$A$500, "EVT*") + COUNTIF('DT-3 Mar26'!$A$3:$A$500, "EVT*") + COUNTIF(OFFSET($A$1, 1, 0, ROW()-2, 1), "EVT*") + 1, "0000"), "")</f>
        <v>EVT-2026-0349</v>
      </c>
      <c r="B88" s="30">
        <v>46104</v>
      </c>
      <c r="C88" s="27" t="s">
        <v>224</v>
      </c>
      <c r="D88" s="27" t="s">
        <v>496</v>
      </c>
      <c r="E88" s="27" t="s">
        <v>228</v>
      </c>
      <c r="F88" s="27" t="s">
        <v>344</v>
      </c>
      <c r="G88" s="10">
        <v>30</v>
      </c>
      <c r="H88" s="36" t="s">
        <v>263</v>
      </c>
      <c r="I88" s="37" t="s">
        <v>309</v>
      </c>
      <c r="J88" s="37" t="s">
        <v>295</v>
      </c>
      <c r="K88" s="27"/>
      <c r="L88" s="27"/>
      <c r="M88" s="27" t="s">
        <v>526</v>
      </c>
      <c r="N88" s="27"/>
      <c r="O88" s="30" t="s">
        <v>2223</v>
      </c>
      <c r="P88" s="1" t="s">
        <v>264</v>
      </c>
      <c r="Q88" s="29" t="s">
        <v>265</v>
      </c>
      <c r="R88" s="27" t="s">
        <v>845</v>
      </c>
      <c r="S88" s="27"/>
    </row>
    <row r="89" spans="1:19" ht="24" customHeight="1">
      <c r="A89" s="27" t="str">
        <f ca="1">IF(OR(D89&lt;&gt;"", F89&lt;&gt;"", L89&lt;&gt;"", O89&lt;&gt;""), "EVT-2026-" &amp; TEXT(COUNTIF('DT-3 Jan26'!$A$3:$A$500, "EVT*") + COUNTIF('DT-4 Jan26'!$A$3:$A$500, "EVT*") + COUNTIF('DT-3 Feb26'!$A$3:$A$500, "EVT*") + COUNTIF('DT-4 Feb26'!$A$3:$A$500, "EVT*") + COUNTIF('DT-3 Mar26'!$A$3:$A$500, "EVT*") + COUNTIF(OFFSET($A$1, 1, 0, ROW()-2, 1), "EVT*") + 1, "0000"), "")</f>
        <v>EVT-2026-0350</v>
      </c>
      <c r="B89" s="30">
        <v>46104</v>
      </c>
      <c r="C89" s="27" t="s">
        <v>224</v>
      </c>
      <c r="D89" s="27" t="s">
        <v>125</v>
      </c>
      <c r="E89" s="27" t="s">
        <v>228</v>
      </c>
      <c r="F89" s="27" t="s">
        <v>368</v>
      </c>
      <c r="G89" s="10">
        <v>30</v>
      </c>
      <c r="H89" s="36" t="s">
        <v>263</v>
      </c>
      <c r="I89" s="37" t="s">
        <v>309</v>
      </c>
      <c r="J89" s="37" t="s">
        <v>270</v>
      </c>
      <c r="K89" s="27" t="s">
        <v>369</v>
      </c>
      <c r="L89" s="27"/>
      <c r="M89" s="27" t="s">
        <v>370</v>
      </c>
      <c r="N89" s="27"/>
      <c r="O89" s="30">
        <v>46008</v>
      </c>
      <c r="P89" s="1" t="s">
        <v>264</v>
      </c>
      <c r="Q89" s="29" t="s">
        <v>265</v>
      </c>
      <c r="R89" s="27" t="s">
        <v>298</v>
      </c>
      <c r="S89" s="27"/>
    </row>
    <row r="90" spans="1:19" ht="24" customHeight="1">
      <c r="A90" s="27" t="str">
        <f ca="1">IF(OR(D90&lt;&gt;"", F90&lt;&gt;"", L90&lt;&gt;"", O90&lt;&gt;""), "EVT-2026-" &amp; TEXT(COUNTIF('DT-3 Jan26'!$A$3:$A$500, "EVT*") + COUNTIF('DT-4 Jan26'!$A$3:$A$500, "EVT*") + COUNTIF('DT-3 Feb26'!$A$3:$A$500, "EVT*") + COUNTIF('DT-4 Feb26'!$A$3:$A$500, "EVT*") + COUNTIF('DT-3 Mar26'!$A$3:$A$500, "EVT*") + COUNTIF(OFFSET($A$1, 1, 0, ROW()-2, 1), "EVT*") + 1, "0000"), "")</f>
        <v>EVT-2026-0351</v>
      </c>
      <c r="B90" s="30">
        <v>46104</v>
      </c>
      <c r="C90" s="27" t="s">
        <v>224</v>
      </c>
      <c r="D90" s="27" t="s">
        <v>348</v>
      </c>
      <c r="E90" s="27" t="s">
        <v>202</v>
      </c>
      <c r="F90" s="27" t="s">
        <v>846</v>
      </c>
      <c r="G90" s="10">
        <v>40</v>
      </c>
      <c r="H90" s="36" t="s">
        <v>263</v>
      </c>
      <c r="I90" s="37" t="s">
        <v>331</v>
      </c>
      <c r="J90" s="37" t="s">
        <v>350</v>
      </c>
      <c r="K90" s="27"/>
      <c r="L90" s="27"/>
      <c r="M90" s="27" t="s">
        <v>847</v>
      </c>
      <c r="N90" s="27"/>
      <c r="O90" s="30" t="s">
        <v>2226</v>
      </c>
      <c r="P90" s="1" t="s">
        <v>264</v>
      </c>
      <c r="Q90" s="29" t="s">
        <v>265</v>
      </c>
      <c r="R90" s="27" t="s">
        <v>848</v>
      </c>
      <c r="S90" s="27"/>
    </row>
    <row r="91" spans="1:19" ht="24" customHeight="1">
      <c r="A91" s="27" t="str">
        <f ca="1">IF(OR(D91&lt;&gt;"", F91&lt;&gt;"", L91&lt;&gt;"", O91&lt;&gt;""), "EVT-2026-" &amp; TEXT(COUNTIF('DT-3 Jan26'!$A$3:$A$500, "EVT*") + COUNTIF('DT-4 Jan26'!$A$3:$A$500, "EVT*") + COUNTIF('DT-3 Feb26'!$A$3:$A$500, "EVT*") + COUNTIF('DT-4 Feb26'!$A$3:$A$500, "EVT*") + COUNTIF('DT-3 Mar26'!$A$3:$A$500, "EVT*") + COUNTIF(OFFSET($A$1, 1, 0, ROW()-2, 1), "EVT*") + 1, "0000"), "")</f>
        <v>EVT-2026-0352</v>
      </c>
      <c r="B91" s="30">
        <v>46104</v>
      </c>
      <c r="C91" s="27" t="s">
        <v>224</v>
      </c>
      <c r="D91" s="27" t="s">
        <v>348</v>
      </c>
      <c r="E91" s="27" t="s">
        <v>208</v>
      </c>
      <c r="F91" s="27" t="s">
        <v>849</v>
      </c>
      <c r="G91" s="10">
        <v>30</v>
      </c>
      <c r="H91" s="36" t="s">
        <v>263</v>
      </c>
      <c r="I91" s="37" t="s">
        <v>309</v>
      </c>
      <c r="J91" s="37" t="s">
        <v>359</v>
      </c>
      <c r="K91" s="27"/>
      <c r="L91" s="27"/>
      <c r="M91" s="27" t="s">
        <v>526</v>
      </c>
      <c r="N91" s="27"/>
      <c r="O91" s="27"/>
      <c r="P91" s="1" t="s">
        <v>264</v>
      </c>
      <c r="Q91" s="29" t="s">
        <v>265</v>
      </c>
      <c r="R91" s="27"/>
      <c r="S91" s="27"/>
    </row>
    <row r="92" spans="1:19" ht="24" customHeight="1">
      <c r="A92" s="27" t="str">
        <f ca="1">IF(OR(D92&lt;&gt;"", F92&lt;&gt;"", L92&lt;&gt;"", O92&lt;&gt;""), "EVT-2026-" &amp; TEXT(COUNTIF('DT-3 Jan26'!$A$3:$A$500, "EVT*") + COUNTIF('DT-4 Jan26'!$A$3:$A$500, "EVT*") + COUNTIF('DT-3 Feb26'!$A$3:$A$500, "EVT*") + COUNTIF('DT-4 Feb26'!$A$3:$A$500, "EVT*") + COUNTIF('DT-3 Mar26'!$A$3:$A$500, "EVT*") + COUNTIF(OFFSET($A$1, 1, 0, ROW()-2, 1), "EVT*") + 1, "0000"), "")</f>
        <v>EVT-2026-0353</v>
      </c>
      <c r="B92" s="30">
        <v>46105</v>
      </c>
      <c r="C92" s="27" t="s">
        <v>227</v>
      </c>
      <c r="D92" s="27" t="s">
        <v>125</v>
      </c>
      <c r="E92" s="27" t="s">
        <v>228</v>
      </c>
      <c r="F92" s="27" t="s">
        <v>368</v>
      </c>
      <c r="G92" s="10">
        <v>30</v>
      </c>
      <c r="H92" s="36" t="s">
        <v>263</v>
      </c>
      <c r="I92" s="37" t="s">
        <v>309</v>
      </c>
      <c r="J92" s="37" t="s">
        <v>270</v>
      </c>
      <c r="K92" s="27" t="s">
        <v>369</v>
      </c>
      <c r="L92" s="27"/>
      <c r="M92" s="27" t="s">
        <v>370</v>
      </c>
      <c r="N92" s="27"/>
      <c r="O92" s="30">
        <v>46008</v>
      </c>
      <c r="P92" s="1" t="s">
        <v>264</v>
      </c>
      <c r="Q92" s="29" t="s">
        <v>265</v>
      </c>
      <c r="R92" s="27" t="s">
        <v>298</v>
      </c>
      <c r="S92" s="27"/>
    </row>
    <row r="93" spans="1:19" ht="24" customHeight="1">
      <c r="A93" s="27" t="str">
        <f ca="1">IF(OR(D93&lt;&gt;"", F93&lt;&gt;"", L93&lt;&gt;"", O93&lt;&gt;""), "EVT-2026-" &amp; TEXT(COUNTIF('DT-3 Jan26'!$A$3:$A$500, "EVT*") + COUNTIF('DT-4 Jan26'!$A$3:$A$500, "EVT*") + COUNTIF('DT-3 Feb26'!$A$3:$A$500, "EVT*") + COUNTIF('DT-4 Feb26'!$A$3:$A$500, "EVT*") + COUNTIF('DT-3 Mar26'!$A$3:$A$500, "EVT*") + COUNTIF(OFFSET($A$1, 1, 0, ROW()-2, 1), "EVT*") + 1, "0000"), "")</f>
        <v>EVT-2026-0354</v>
      </c>
      <c r="B93" s="30">
        <v>46105</v>
      </c>
      <c r="C93" s="27" t="s">
        <v>227</v>
      </c>
      <c r="D93" s="27" t="s">
        <v>348</v>
      </c>
      <c r="E93" s="27" t="s">
        <v>202</v>
      </c>
      <c r="F93" s="27"/>
      <c r="G93" s="10"/>
      <c r="H93" s="36" t="s">
        <v>263</v>
      </c>
      <c r="I93" s="37" t="s">
        <v>309</v>
      </c>
      <c r="J93" s="37" t="s">
        <v>270</v>
      </c>
      <c r="K93" s="27"/>
      <c r="L93" s="27"/>
      <c r="M93" s="27" t="s">
        <v>836</v>
      </c>
      <c r="N93" s="27"/>
      <c r="O93" s="30">
        <v>46104</v>
      </c>
      <c r="P93" s="1" t="s">
        <v>264</v>
      </c>
      <c r="Q93" s="29" t="s">
        <v>265</v>
      </c>
      <c r="R93" s="27" t="s">
        <v>850</v>
      </c>
      <c r="S93" s="27"/>
    </row>
    <row r="94" spans="1:19" ht="24" customHeight="1">
      <c r="A94" s="27" t="str">
        <f ca="1">IF(OR(D94&lt;&gt;"", F94&lt;&gt;"", L94&lt;&gt;"", O94&lt;&gt;""), "EVT-2026-" &amp; TEXT(COUNTIF('DT-3 Jan26'!$A$3:$A$500, "EVT*") + COUNTIF('DT-4 Jan26'!$A$3:$A$500, "EVT*") + COUNTIF('DT-3 Feb26'!$A$3:$A$500, "EVT*") + COUNTIF('DT-4 Feb26'!$A$3:$A$500, "EVT*") + COUNTIF('DT-3 Mar26'!$A$3:$A$500, "EVT*") + COUNTIF(OFFSET($A$1, 1, 0, ROW()-2, 1), "EVT*") + 1, "0000"), "")</f>
        <v>EVT-2026-0355</v>
      </c>
      <c r="B94" s="30">
        <v>46105</v>
      </c>
      <c r="C94" s="27" t="s">
        <v>227</v>
      </c>
      <c r="D94" s="27" t="s">
        <v>348</v>
      </c>
      <c r="E94" s="27" t="s">
        <v>208</v>
      </c>
      <c r="F94" s="27" t="s">
        <v>349</v>
      </c>
      <c r="G94" s="10">
        <v>50</v>
      </c>
      <c r="H94" s="36" t="s">
        <v>263</v>
      </c>
      <c r="I94" s="37" t="s">
        <v>350</v>
      </c>
      <c r="J94" s="37" t="s">
        <v>296</v>
      </c>
      <c r="K94" s="27"/>
      <c r="L94" s="27"/>
      <c r="M94" s="27" t="s">
        <v>351</v>
      </c>
      <c r="N94" s="27"/>
      <c r="O94" s="30">
        <v>46008</v>
      </c>
      <c r="P94" s="1" t="s">
        <v>264</v>
      </c>
      <c r="Q94" s="29" t="s">
        <v>265</v>
      </c>
      <c r="R94" s="27" t="s">
        <v>303</v>
      </c>
      <c r="S94" s="27"/>
    </row>
    <row r="95" spans="1:19" ht="24" customHeight="1">
      <c r="A95" s="27" t="str">
        <f ca="1">IF(OR(D95&lt;&gt;"", F95&lt;&gt;"", L95&lt;&gt;"", O95&lt;&gt;""), "EVT-2026-" &amp; TEXT(COUNTIF('DT-3 Jan26'!$A$3:$A$500, "EVT*") + COUNTIF('DT-4 Jan26'!$A$3:$A$500, "EVT*") + COUNTIF('DT-3 Feb26'!$A$3:$A$500, "EVT*") + COUNTIF('DT-4 Feb26'!$A$3:$A$500, "EVT*") + COUNTIF('DT-3 Mar26'!$A$3:$A$500, "EVT*") + COUNTIF(OFFSET($A$1, 1, 0, ROW()-2, 1), "EVT*") + 1, "0000"), "")</f>
        <v>EVT-2026-0356</v>
      </c>
      <c r="B95" s="27" t="s">
        <v>851</v>
      </c>
      <c r="C95" s="27" t="s">
        <v>852</v>
      </c>
      <c r="D95" s="27" t="s">
        <v>853</v>
      </c>
      <c r="E95" s="27" t="s">
        <v>202</v>
      </c>
      <c r="F95" s="27" t="s">
        <v>854</v>
      </c>
      <c r="G95" s="10">
        <v>1</v>
      </c>
      <c r="H95" s="36" t="s">
        <v>263</v>
      </c>
      <c r="I95" s="37" t="s">
        <v>269</v>
      </c>
      <c r="J95" s="37" t="s">
        <v>270</v>
      </c>
      <c r="K95" s="27"/>
      <c r="L95" s="27"/>
      <c r="M95" s="27" t="s">
        <v>836</v>
      </c>
      <c r="N95" s="27"/>
      <c r="O95" s="30" t="s">
        <v>2223</v>
      </c>
      <c r="P95" s="1" t="s">
        <v>264</v>
      </c>
      <c r="Q95" s="29" t="s">
        <v>265</v>
      </c>
      <c r="R95" s="27" t="s">
        <v>855</v>
      </c>
      <c r="S95" s="27"/>
    </row>
    <row r="96" spans="1:19" ht="24" customHeight="1">
      <c r="A96" s="27" t="str">
        <f ca="1">IF(OR(D96&lt;&gt;"", F96&lt;&gt;"", L96&lt;&gt;"", O96&lt;&gt;""), "EVT-2026-" &amp; TEXT(COUNTIF('DT-3 Jan26'!$A$3:$A$500, "EVT*") + COUNTIF('DT-4 Jan26'!$A$3:$A$500, "EVT*") + COUNTIF('DT-3 Feb26'!$A$3:$A$500, "EVT*") + COUNTIF('DT-4 Feb26'!$A$3:$A$500, "EVT*") + COUNTIF('DT-3 Mar26'!$A$3:$A$500, "EVT*") + COUNTIF(OFFSET($A$1, 1, 0, ROW()-2, 1), "EVT*") + 1, "0000"), "")</f>
        <v>EVT-2026-0357</v>
      </c>
      <c r="B96" s="27" t="s">
        <v>851</v>
      </c>
      <c r="C96" s="27" t="s">
        <v>852</v>
      </c>
      <c r="D96" s="27" t="s">
        <v>856</v>
      </c>
      <c r="E96" s="27" t="s">
        <v>202</v>
      </c>
      <c r="F96" s="27" t="s">
        <v>857</v>
      </c>
      <c r="G96" s="10">
        <v>1</v>
      </c>
      <c r="H96" s="36" t="s">
        <v>263</v>
      </c>
      <c r="I96" s="37" t="s">
        <v>269</v>
      </c>
      <c r="J96" s="37" t="s">
        <v>270</v>
      </c>
      <c r="K96" s="27"/>
      <c r="L96" s="27"/>
      <c r="M96" s="27" t="s">
        <v>836</v>
      </c>
      <c r="N96" s="27"/>
      <c r="O96" s="30" t="s">
        <v>2223</v>
      </c>
      <c r="P96" s="1" t="s">
        <v>264</v>
      </c>
      <c r="Q96" s="29" t="s">
        <v>265</v>
      </c>
      <c r="R96" s="27" t="s">
        <v>837</v>
      </c>
      <c r="S96" s="27"/>
    </row>
    <row r="97" spans="1:19" ht="24" customHeight="1">
      <c r="A97" s="27" t="str">
        <f ca="1">IF(OR(D97&lt;&gt;"", F97&lt;&gt;"", L97&lt;&gt;"", O97&lt;&gt;""), "EVT-2026-" &amp; TEXT(COUNTIF('DT-3 Jan26'!$A$3:$A$500, "EVT*") + COUNTIF('DT-4 Jan26'!$A$3:$A$500, "EVT*") + COUNTIF('DT-3 Feb26'!$A$3:$A$500, "EVT*") + COUNTIF('DT-4 Feb26'!$A$3:$A$500, "EVT*") + COUNTIF('DT-3 Mar26'!$A$3:$A$500, "EVT*") + COUNTIF(OFFSET($A$1, 1, 0, ROW()-2, 1), "EVT*") + 1, "0000"), "")</f>
        <v>EVT-2026-0358</v>
      </c>
      <c r="B97" s="27" t="s">
        <v>858</v>
      </c>
      <c r="C97" s="27" t="s">
        <v>859</v>
      </c>
      <c r="D97" s="27" t="s">
        <v>860</v>
      </c>
      <c r="E97" s="27" t="s">
        <v>202</v>
      </c>
      <c r="F97" s="27" t="s">
        <v>801</v>
      </c>
      <c r="G97" s="10">
        <v>1</v>
      </c>
      <c r="H97" s="36" t="s">
        <v>263</v>
      </c>
      <c r="I97" s="37" t="s">
        <v>269</v>
      </c>
      <c r="J97" s="37" t="s">
        <v>270</v>
      </c>
      <c r="K97" s="27"/>
      <c r="L97" s="27"/>
      <c r="M97" s="27" t="s">
        <v>861</v>
      </c>
      <c r="N97" s="27"/>
      <c r="O97" s="30" t="s">
        <v>2225</v>
      </c>
      <c r="P97" s="1" t="s">
        <v>264</v>
      </c>
      <c r="Q97" s="29" t="s">
        <v>265</v>
      </c>
      <c r="R97" s="27" t="s">
        <v>862</v>
      </c>
      <c r="S97" s="27"/>
    </row>
    <row r="98" spans="1:19" ht="24" customHeight="1">
      <c r="A98" s="27" t="str">
        <f ca="1">IF(OR(D98&lt;&gt;"", F98&lt;&gt;"", L98&lt;&gt;"", O98&lt;&gt;""), "EVT-2026-" &amp; TEXT(COUNTIF('DT-3 Jan26'!$A$3:$A$500, "EVT*") + COUNTIF('DT-4 Jan26'!$A$3:$A$500, "EVT*") + COUNTIF('DT-3 Feb26'!$A$3:$A$500, "EVT*") + COUNTIF('DT-4 Feb26'!$A$3:$A$500, "EVT*") + COUNTIF('DT-3 Mar26'!$A$3:$A$500, "EVT*") + COUNTIF(OFFSET($A$1, 1, 0, ROW()-2, 1), "EVT*") + 1, "0000"), "")</f>
        <v>EVT-2026-0359</v>
      </c>
      <c r="B98" s="30">
        <v>46106</v>
      </c>
      <c r="C98" s="27" t="s">
        <v>201</v>
      </c>
      <c r="D98" s="27" t="s">
        <v>125</v>
      </c>
      <c r="E98" s="27" t="s">
        <v>228</v>
      </c>
      <c r="F98" s="27" t="s">
        <v>863</v>
      </c>
      <c r="G98" s="10">
        <v>40</v>
      </c>
      <c r="H98" s="36" t="s">
        <v>263</v>
      </c>
      <c r="I98" s="37" t="s">
        <v>274</v>
      </c>
      <c r="J98" s="37" t="s">
        <v>330</v>
      </c>
      <c r="K98" s="27"/>
      <c r="L98" s="27"/>
      <c r="M98" s="27" t="s">
        <v>532</v>
      </c>
      <c r="N98" s="27"/>
      <c r="O98" s="30">
        <v>46077</v>
      </c>
      <c r="P98" s="1" t="s">
        <v>264</v>
      </c>
      <c r="Q98" s="29" t="s">
        <v>265</v>
      </c>
      <c r="R98" s="27" t="s">
        <v>307</v>
      </c>
      <c r="S98" s="27"/>
    </row>
    <row r="99" spans="1:19" ht="24" customHeight="1">
      <c r="A99" s="27" t="str">
        <f ca="1">IF(OR(D99&lt;&gt;"", F99&lt;&gt;"", L99&lt;&gt;"", O99&lt;&gt;""), "EVT-2026-" &amp; TEXT(COUNTIF('DT-3 Jan26'!$A$3:$A$500, "EVT*") + COUNTIF('DT-4 Jan26'!$A$3:$A$500, "EVT*") + COUNTIF('DT-3 Feb26'!$A$3:$A$500, "EVT*") + COUNTIF('DT-4 Feb26'!$A$3:$A$500, "EVT*") + COUNTIF('DT-3 Mar26'!$A$3:$A$500, "EVT*") + COUNTIF(OFFSET($A$1, 1, 0, ROW()-2, 1), "EVT*") + 1, "0000"), "")</f>
        <v>EVT-2026-0360</v>
      </c>
      <c r="B99" s="30">
        <v>46106</v>
      </c>
      <c r="C99" s="27" t="s">
        <v>201</v>
      </c>
      <c r="D99" s="27" t="s">
        <v>348</v>
      </c>
      <c r="E99" s="27" t="s">
        <v>208</v>
      </c>
      <c r="F99" s="27" t="s">
        <v>349</v>
      </c>
      <c r="G99" s="10">
        <v>50</v>
      </c>
      <c r="H99" s="36" t="s">
        <v>263</v>
      </c>
      <c r="I99" s="37" t="s">
        <v>350</v>
      </c>
      <c r="J99" s="37" t="s">
        <v>296</v>
      </c>
      <c r="K99" s="27"/>
      <c r="L99" s="27"/>
      <c r="M99" s="27" t="s">
        <v>351</v>
      </c>
      <c r="N99" s="27"/>
      <c r="O99" s="30">
        <v>46008</v>
      </c>
      <c r="P99" s="1" t="s">
        <v>264</v>
      </c>
      <c r="Q99" s="29" t="s">
        <v>265</v>
      </c>
      <c r="R99" s="27"/>
      <c r="S99" s="27"/>
    </row>
    <row r="100" spans="1:19" ht="24" customHeight="1">
      <c r="A100" s="27" t="str">
        <f ca="1">IF(OR(D100&lt;&gt;"", F100&lt;&gt;"", L100&lt;&gt;"", O100&lt;&gt;""), "EVT-2026-" &amp; TEXT(COUNTIF('DT-3 Jan26'!$A$3:$A$500, "EVT*") + COUNTIF('DT-4 Jan26'!$A$3:$A$500, "EVT*") + COUNTIF('DT-3 Feb26'!$A$3:$A$500, "EVT*") + COUNTIF('DT-4 Feb26'!$A$3:$A$500, "EVT*") + COUNTIF('DT-3 Mar26'!$A$3:$A$500, "EVT*") + COUNTIF(OFFSET($A$1, 1, 0, ROW()-2, 1), "EVT*") + 1, "0000"), "")</f>
        <v>EVT-2026-0361</v>
      </c>
      <c r="B100" s="30">
        <v>46106</v>
      </c>
      <c r="C100" s="27" t="s">
        <v>201</v>
      </c>
      <c r="D100" s="27" t="s">
        <v>125</v>
      </c>
      <c r="E100" s="27" t="s">
        <v>228</v>
      </c>
      <c r="F100" s="27" t="s">
        <v>368</v>
      </c>
      <c r="G100" s="10">
        <v>30</v>
      </c>
      <c r="H100" s="36" t="s">
        <v>263</v>
      </c>
      <c r="I100" s="37" t="s">
        <v>309</v>
      </c>
      <c r="J100" s="37" t="s">
        <v>270</v>
      </c>
      <c r="K100" s="27" t="s">
        <v>369</v>
      </c>
      <c r="L100" s="27"/>
      <c r="M100" s="27" t="s">
        <v>370</v>
      </c>
      <c r="N100" s="27"/>
      <c r="O100" s="30">
        <v>46008</v>
      </c>
      <c r="P100" s="1" t="s">
        <v>264</v>
      </c>
      <c r="Q100" s="29" t="s">
        <v>265</v>
      </c>
      <c r="R100" s="27" t="s">
        <v>298</v>
      </c>
      <c r="S100" s="27"/>
    </row>
    <row r="101" spans="1:19" ht="24" customHeight="1">
      <c r="A101" s="27" t="str">
        <f ca="1">IF(OR(D101&lt;&gt;"", F101&lt;&gt;"", L101&lt;&gt;"", O101&lt;&gt;""), "EVT-2026-" &amp; TEXT(COUNTIF('DT-3 Jan26'!$A$3:$A$500, "EVT*") + COUNTIF('DT-4 Jan26'!$A$3:$A$500, "EVT*") + COUNTIF('DT-3 Feb26'!$A$3:$A$500, "EVT*") + COUNTIF('DT-4 Feb26'!$A$3:$A$500, "EVT*") + COUNTIF('DT-3 Mar26'!$A$3:$A$500, "EVT*") + COUNTIF(OFFSET($A$1, 1, 0, ROW()-2, 1), "EVT*") + 1, "0000"), "")</f>
        <v>EVT-2026-0362</v>
      </c>
      <c r="B101" s="30">
        <v>46107</v>
      </c>
      <c r="C101" s="27" t="s">
        <v>216</v>
      </c>
      <c r="D101" s="27" t="s">
        <v>125</v>
      </c>
      <c r="E101" s="27" t="s">
        <v>228</v>
      </c>
      <c r="F101" s="27" t="s">
        <v>864</v>
      </c>
      <c r="G101" s="10">
        <v>30</v>
      </c>
      <c r="H101" s="36" t="s">
        <v>263</v>
      </c>
      <c r="I101" s="37" t="s">
        <v>338</v>
      </c>
      <c r="J101" s="37" t="s">
        <v>309</v>
      </c>
      <c r="K101" s="27"/>
      <c r="L101" s="27"/>
      <c r="M101" s="27" t="s">
        <v>865</v>
      </c>
      <c r="N101" s="27"/>
      <c r="O101" s="30">
        <v>46104</v>
      </c>
      <c r="P101" s="1" t="s">
        <v>264</v>
      </c>
      <c r="Q101" s="29" t="s">
        <v>265</v>
      </c>
      <c r="R101" s="27" t="s">
        <v>866</v>
      </c>
      <c r="S101" s="27"/>
    </row>
    <row r="102" spans="1:19" ht="24" customHeight="1">
      <c r="A102" s="27" t="str">
        <f ca="1">IF(OR(D102&lt;&gt;"", F102&lt;&gt;"", L102&lt;&gt;"", O102&lt;&gt;""), "EVT-2026-" &amp; TEXT(COUNTIF('DT-3 Jan26'!$A$3:$A$500, "EVT*") + COUNTIF('DT-4 Jan26'!$A$3:$A$500, "EVT*") + COUNTIF('DT-3 Feb26'!$A$3:$A$500, "EVT*") + COUNTIF('DT-4 Feb26'!$A$3:$A$500, "EVT*") + COUNTIF('DT-3 Mar26'!$A$3:$A$500, "EVT*") + COUNTIF(OFFSET($A$1, 1, 0, ROW()-2, 1), "EVT*") + 1, "0000"), "")</f>
        <v>EVT-2026-0363</v>
      </c>
      <c r="B102" s="30">
        <v>46107</v>
      </c>
      <c r="C102" s="27" t="s">
        <v>216</v>
      </c>
      <c r="D102" s="27" t="s">
        <v>125</v>
      </c>
      <c r="E102" s="27" t="s">
        <v>228</v>
      </c>
      <c r="F102" s="27" t="s">
        <v>715</v>
      </c>
      <c r="G102" s="10">
        <v>25</v>
      </c>
      <c r="H102" s="36" t="s">
        <v>263</v>
      </c>
      <c r="I102" s="37" t="s">
        <v>295</v>
      </c>
      <c r="J102" s="37" t="s">
        <v>270</v>
      </c>
      <c r="K102" s="27"/>
      <c r="L102" s="27"/>
      <c r="M102" s="27" t="s">
        <v>867</v>
      </c>
      <c r="N102" s="27"/>
      <c r="O102" s="27"/>
      <c r="P102" s="1" t="s">
        <v>264</v>
      </c>
      <c r="Q102" s="29" t="s">
        <v>265</v>
      </c>
      <c r="R102" s="27" t="s">
        <v>298</v>
      </c>
      <c r="S102" s="27"/>
    </row>
    <row r="103" spans="1:19" ht="24" customHeight="1">
      <c r="A103" s="27" t="str">
        <f ca="1">IF(OR(D103&lt;&gt;"", F103&lt;&gt;"", L103&lt;&gt;"", O103&lt;&gt;""), "EVT-2026-" &amp; TEXT(COUNTIF('DT-3 Jan26'!$A$3:$A$500, "EVT*") + COUNTIF('DT-4 Jan26'!$A$3:$A$500, "EVT*") + COUNTIF('DT-3 Feb26'!$A$3:$A$500, "EVT*") + COUNTIF('DT-4 Feb26'!$A$3:$A$500, "EVT*") + COUNTIF('DT-3 Mar26'!$A$3:$A$500, "EVT*") + COUNTIF(OFFSET($A$1, 1, 0, ROW()-2, 1), "EVT*") + 1, "0000"), "")</f>
        <v>EVT-2026-0364</v>
      </c>
      <c r="B103" s="30">
        <v>46107</v>
      </c>
      <c r="C103" s="27" t="s">
        <v>216</v>
      </c>
      <c r="D103" s="27" t="s">
        <v>348</v>
      </c>
      <c r="E103" s="27" t="s">
        <v>208</v>
      </c>
      <c r="F103" s="27" t="s">
        <v>868</v>
      </c>
      <c r="G103" s="10"/>
      <c r="H103" s="36" t="s">
        <v>263</v>
      </c>
      <c r="I103" s="37" t="s">
        <v>506</v>
      </c>
      <c r="J103" s="37" t="s">
        <v>429</v>
      </c>
      <c r="K103" s="27"/>
      <c r="L103" s="27"/>
      <c r="M103" s="27" t="s">
        <v>869</v>
      </c>
      <c r="N103" s="27"/>
      <c r="O103" s="27"/>
      <c r="P103" s="1" t="s">
        <v>264</v>
      </c>
      <c r="Q103" s="29" t="s">
        <v>265</v>
      </c>
      <c r="R103" s="27" t="s">
        <v>870</v>
      </c>
      <c r="S103" s="27"/>
    </row>
    <row r="104" spans="1:19" ht="24" customHeight="1">
      <c r="A104" s="27" t="str">
        <f ca="1">IF(OR(D104&lt;&gt;"", F104&lt;&gt;"", L104&lt;&gt;"", O104&lt;&gt;""), "EVT-2026-" &amp; TEXT(COUNTIF('DT-3 Jan26'!$A$3:$A$500, "EVT*") + COUNTIF('DT-4 Jan26'!$A$3:$A$500, "EVT*") + COUNTIF('DT-3 Feb26'!$A$3:$A$500, "EVT*") + COUNTIF('DT-4 Feb26'!$A$3:$A$500, "EVT*") + COUNTIF('DT-3 Mar26'!$A$3:$A$500, "EVT*") + COUNTIF(OFFSET($A$1, 1, 0, ROW()-2, 1), "EVT*") + 1, "0000"), "")</f>
        <v>EVT-2026-0365</v>
      </c>
      <c r="B104" s="30">
        <v>46107</v>
      </c>
      <c r="C104" s="27" t="s">
        <v>216</v>
      </c>
      <c r="D104" s="27" t="s">
        <v>348</v>
      </c>
      <c r="E104" s="27" t="s">
        <v>202</v>
      </c>
      <c r="F104" s="27" t="s">
        <v>871</v>
      </c>
      <c r="G104" s="10">
        <v>100</v>
      </c>
      <c r="H104" s="38" t="s">
        <v>294</v>
      </c>
      <c r="I104" s="37" t="s">
        <v>295</v>
      </c>
      <c r="J104" s="37" t="s">
        <v>503</v>
      </c>
      <c r="K104" s="27"/>
      <c r="L104" s="27"/>
      <c r="M104" s="27" t="s">
        <v>532</v>
      </c>
      <c r="N104" s="27"/>
      <c r="O104" s="30">
        <v>46104</v>
      </c>
      <c r="P104" s="1" t="s">
        <v>264</v>
      </c>
      <c r="Q104" s="29" t="s">
        <v>265</v>
      </c>
      <c r="R104" s="27" t="s">
        <v>298</v>
      </c>
      <c r="S104" s="27"/>
    </row>
    <row r="105" spans="1:19" ht="24" customHeight="1">
      <c r="A105" s="27" t="str">
        <f ca="1">IF(OR(D105&lt;&gt;"", F105&lt;&gt;"", L105&lt;&gt;"", O105&lt;&gt;""), "EVT-2026-" &amp; TEXT(COUNTIF('DT-3 Jan26'!$A$3:$A$500, "EVT*") + COUNTIF('DT-4 Jan26'!$A$3:$A$500, "EVT*") + COUNTIF('DT-3 Feb26'!$A$3:$A$500, "EVT*") + COUNTIF('DT-4 Feb26'!$A$3:$A$500, "EVT*") + COUNTIF('DT-3 Mar26'!$A$3:$A$500, "EVT*") + COUNTIF(OFFSET($A$1, 1, 0, ROW()-2, 1), "EVT*") + 1, "0000"), "")</f>
        <v>EVT-2026-0366</v>
      </c>
      <c r="B105" s="30">
        <v>46107</v>
      </c>
      <c r="C105" s="27" t="s">
        <v>216</v>
      </c>
      <c r="D105" s="27" t="s">
        <v>348</v>
      </c>
      <c r="E105" s="27" t="s">
        <v>208</v>
      </c>
      <c r="F105" s="27" t="s">
        <v>349</v>
      </c>
      <c r="G105" s="10">
        <v>50</v>
      </c>
      <c r="H105" s="36" t="s">
        <v>263</v>
      </c>
      <c r="I105" s="37" t="s">
        <v>350</v>
      </c>
      <c r="J105" s="37" t="s">
        <v>296</v>
      </c>
      <c r="K105" s="27"/>
      <c r="L105" s="27"/>
      <c r="M105" s="27" t="s">
        <v>351</v>
      </c>
      <c r="N105" s="27"/>
      <c r="O105" s="30">
        <v>46008</v>
      </c>
      <c r="P105" s="1" t="s">
        <v>264</v>
      </c>
      <c r="Q105" s="29" t="s">
        <v>265</v>
      </c>
      <c r="R105" s="27" t="s">
        <v>303</v>
      </c>
      <c r="S105" s="27"/>
    </row>
    <row r="106" spans="1:19" ht="24" customHeight="1">
      <c r="A106" s="27" t="str">
        <f ca="1">IF(OR(D106&lt;&gt;"", F106&lt;&gt;"", L106&lt;&gt;"", O106&lt;&gt;""), "EVT-2026-" &amp; TEXT(COUNTIF('DT-3 Jan26'!$A$3:$A$500, "EVT*") + COUNTIF('DT-4 Jan26'!$A$3:$A$500, "EVT*") + COUNTIF('DT-3 Feb26'!$A$3:$A$500, "EVT*") + COUNTIF('DT-4 Feb26'!$A$3:$A$500, "EVT*") + COUNTIF('DT-3 Mar26'!$A$3:$A$500, "EVT*") + COUNTIF(OFFSET($A$1, 1, 0, ROW()-2, 1), "EVT*") + 1, "0000"), "")</f>
        <v>EVT-2026-0367</v>
      </c>
      <c r="B106" s="30">
        <v>46107</v>
      </c>
      <c r="C106" s="27" t="s">
        <v>216</v>
      </c>
      <c r="D106" s="27" t="s">
        <v>496</v>
      </c>
      <c r="E106" s="27" t="s">
        <v>228</v>
      </c>
      <c r="F106" s="27" t="s">
        <v>872</v>
      </c>
      <c r="G106" s="10">
        <v>30</v>
      </c>
      <c r="H106" s="36" t="s">
        <v>263</v>
      </c>
      <c r="I106" s="37" t="s">
        <v>309</v>
      </c>
      <c r="J106" s="37" t="s">
        <v>295</v>
      </c>
      <c r="K106" s="27"/>
      <c r="L106" s="27"/>
      <c r="M106" s="27" t="s">
        <v>526</v>
      </c>
      <c r="N106" s="27"/>
      <c r="O106" s="27"/>
      <c r="P106" s="1" t="s">
        <v>264</v>
      </c>
      <c r="Q106" s="29" t="s">
        <v>265</v>
      </c>
      <c r="R106" s="27" t="s">
        <v>298</v>
      </c>
      <c r="S106" s="27"/>
    </row>
    <row r="107" spans="1:19" ht="24" customHeight="1">
      <c r="A107" s="27" t="str">
        <f ca="1">IF(OR(D107&lt;&gt;"", F107&lt;&gt;"", L107&lt;&gt;"", O107&lt;&gt;""), "EVT-2026-" &amp; TEXT(COUNTIF('DT-3 Jan26'!$A$3:$A$500, "EVT*") + COUNTIF('DT-4 Jan26'!$A$3:$A$500, "EVT*") + COUNTIF('DT-3 Feb26'!$A$3:$A$500, "EVT*") + COUNTIF('DT-4 Feb26'!$A$3:$A$500, "EVT*") + COUNTIF('DT-3 Mar26'!$A$3:$A$500, "EVT*") + COUNTIF(OFFSET($A$1, 1, 0, ROW()-2, 1), "EVT*") + 1, "0000"), "")</f>
        <v>EVT-2026-0368</v>
      </c>
      <c r="B107" s="30">
        <v>46107</v>
      </c>
      <c r="C107" s="27" t="s">
        <v>216</v>
      </c>
      <c r="D107" s="27" t="s">
        <v>239</v>
      </c>
      <c r="E107" s="27" t="s">
        <v>202</v>
      </c>
      <c r="F107" s="27" t="s">
        <v>873</v>
      </c>
      <c r="G107" s="10">
        <v>30</v>
      </c>
      <c r="H107" s="36" t="s">
        <v>263</v>
      </c>
      <c r="I107" s="37" t="s">
        <v>506</v>
      </c>
      <c r="J107" s="37" t="s">
        <v>429</v>
      </c>
      <c r="K107" s="27" t="s">
        <v>369</v>
      </c>
      <c r="L107" s="27"/>
      <c r="M107" s="27" t="s">
        <v>542</v>
      </c>
      <c r="N107" s="27"/>
      <c r="O107" s="30" t="s">
        <v>2227</v>
      </c>
      <c r="P107" s="1" t="s">
        <v>264</v>
      </c>
      <c r="Q107" s="29" t="s">
        <v>265</v>
      </c>
      <c r="R107" s="27" t="s">
        <v>298</v>
      </c>
      <c r="S107" s="27"/>
    </row>
    <row r="108" spans="1:19" ht="24" customHeight="1">
      <c r="A108" s="27" t="str">
        <f ca="1">IF(OR(D108&lt;&gt;"", F108&lt;&gt;"", L108&lt;&gt;"", O108&lt;&gt;""), "EVT-2026-" &amp; TEXT(COUNTIF('DT-3 Jan26'!$A$3:$A$500, "EVT*") + COUNTIF('DT-4 Jan26'!$A$3:$A$500, "EVT*") + COUNTIF('DT-3 Feb26'!$A$3:$A$500, "EVT*") + COUNTIF('DT-4 Feb26'!$A$3:$A$500, "EVT*") + COUNTIF('DT-3 Mar26'!$A$3:$A$500, "EVT*") + COUNTIF(OFFSET($A$1, 1, 0, ROW()-2, 1), "EVT*") + 1, "0000"), "")</f>
        <v>EVT-2026-0369</v>
      </c>
      <c r="B108" s="30">
        <v>46108</v>
      </c>
      <c r="C108" s="27" t="s">
        <v>220</v>
      </c>
      <c r="D108" s="27" t="s">
        <v>125</v>
      </c>
      <c r="E108" s="27" t="s">
        <v>228</v>
      </c>
      <c r="F108" s="27" t="s">
        <v>874</v>
      </c>
      <c r="G108" s="10">
        <v>30</v>
      </c>
      <c r="H108" s="36" t="s">
        <v>263</v>
      </c>
      <c r="I108" s="37" t="s">
        <v>309</v>
      </c>
      <c r="J108" s="37" t="s">
        <v>270</v>
      </c>
      <c r="K108" s="27" t="s">
        <v>369</v>
      </c>
      <c r="L108" s="27"/>
      <c r="M108" s="27" t="s">
        <v>370</v>
      </c>
      <c r="N108" s="27"/>
      <c r="O108" s="30">
        <v>46008</v>
      </c>
      <c r="P108" s="1" t="s">
        <v>264</v>
      </c>
      <c r="Q108" s="29" t="s">
        <v>265</v>
      </c>
      <c r="R108" s="27" t="s">
        <v>298</v>
      </c>
      <c r="S108" s="27"/>
    </row>
    <row r="109" spans="1:19" ht="24" customHeight="1">
      <c r="A109" s="27" t="str">
        <f ca="1">IF(OR(D109&lt;&gt;"", F109&lt;&gt;"", L109&lt;&gt;"", O109&lt;&gt;""), "EVT-2026-" &amp; TEXT(COUNTIF('DT-3 Jan26'!$A$3:$A$500, "EVT*") + COUNTIF('DT-4 Jan26'!$A$3:$A$500, "EVT*") + COUNTIF('DT-3 Feb26'!$A$3:$A$500, "EVT*") + COUNTIF('DT-4 Feb26'!$A$3:$A$500, "EVT*") + COUNTIF('DT-3 Mar26'!$A$3:$A$500, "EVT*") + COUNTIF(OFFSET($A$1, 1, 0, ROW()-2, 1), "EVT*") + 1, "0000"), "")</f>
        <v>EVT-2026-0370</v>
      </c>
      <c r="B109" s="30">
        <v>46108</v>
      </c>
      <c r="C109" s="27" t="s">
        <v>220</v>
      </c>
      <c r="D109" s="27" t="s">
        <v>239</v>
      </c>
      <c r="E109" s="27" t="s">
        <v>202</v>
      </c>
      <c r="F109" s="27"/>
      <c r="G109" s="10"/>
      <c r="H109" s="36" t="s">
        <v>263</v>
      </c>
      <c r="I109" s="37"/>
      <c r="J109" s="37"/>
      <c r="K109" s="27"/>
      <c r="L109" s="27"/>
      <c r="M109" s="27"/>
      <c r="N109" s="27"/>
      <c r="O109" s="27"/>
      <c r="P109" s="1" t="s">
        <v>264</v>
      </c>
      <c r="Q109" s="29" t="s">
        <v>265</v>
      </c>
      <c r="R109" s="27"/>
      <c r="S109" s="27"/>
    </row>
    <row r="110" spans="1:19" ht="24" customHeight="1">
      <c r="A110" s="27" t="str">
        <f ca="1">IF(OR(D110&lt;&gt;"", F110&lt;&gt;"", L110&lt;&gt;"", O110&lt;&gt;""), "EVT-2026-" &amp; TEXT(COUNTIF('DT-3 Jan26'!$A$3:$A$500, "EVT*") + COUNTIF('DT-4 Jan26'!$A$3:$A$500, "EVT*") + COUNTIF('DT-3 Feb26'!$A$3:$A$500, "EVT*") + COUNTIF('DT-4 Feb26'!$A$3:$A$500, "EVT*") + COUNTIF('DT-3 Mar26'!$A$3:$A$500, "EVT*") + COUNTIF(OFFSET($A$1, 1, 0, ROW()-2, 1), "EVT*") + 1, "0000"), "")</f>
        <v>EVT-2026-0371</v>
      </c>
      <c r="B110" s="30">
        <v>46108</v>
      </c>
      <c r="C110" s="27" t="s">
        <v>220</v>
      </c>
      <c r="D110" s="27" t="s">
        <v>348</v>
      </c>
      <c r="E110" s="27" t="s">
        <v>653</v>
      </c>
      <c r="F110" s="27" t="s">
        <v>875</v>
      </c>
      <c r="G110" s="10">
        <v>60</v>
      </c>
      <c r="H110" s="36" t="s">
        <v>263</v>
      </c>
      <c r="I110" s="37" t="s">
        <v>309</v>
      </c>
      <c r="J110" s="37" t="s">
        <v>290</v>
      </c>
      <c r="K110" s="27"/>
      <c r="L110" s="27"/>
      <c r="M110" s="27" t="s">
        <v>379</v>
      </c>
      <c r="N110" s="27"/>
      <c r="O110" s="27" t="s">
        <v>876</v>
      </c>
      <c r="P110" s="3" t="s">
        <v>312</v>
      </c>
      <c r="Q110" s="29" t="s">
        <v>265</v>
      </c>
      <c r="R110" s="27" t="s">
        <v>598</v>
      </c>
      <c r="S110" s="27"/>
    </row>
    <row r="111" spans="1:19" ht="24" customHeight="1">
      <c r="A111" s="27" t="str">
        <f ca="1">IF(OR(D111&lt;&gt;"", F111&lt;&gt;"", L111&lt;&gt;"", O111&lt;&gt;""), "EVT-2026-" &amp; TEXT(COUNTIF('DT-3 Jan26'!$A$3:$A$500, "EVT*") + COUNTIF('DT-4 Jan26'!$A$3:$A$500, "EVT*") + COUNTIF('DT-3 Feb26'!$A$3:$A$500, "EVT*") + COUNTIF('DT-4 Feb26'!$A$3:$A$500, "EVT*") + COUNTIF('DT-3 Mar26'!$A$3:$A$500, "EVT*") + COUNTIF(OFFSET($A$1, 1, 0, ROW()-2, 1), "EVT*") + 1, "0000"), "")</f>
        <v>EVT-2026-0372</v>
      </c>
      <c r="B111" s="30">
        <v>46108</v>
      </c>
      <c r="C111" s="27" t="s">
        <v>220</v>
      </c>
      <c r="D111" s="27" t="s">
        <v>348</v>
      </c>
      <c r="E111" s="27" t="s">
        <v>208</v>
      </c>
      <c r="F111" s="27" t="s">
        <v>877</v>
      </c>
      <c r="G111" s="10">
        <v>40</v>
      </c>
      <c r="H111" s="36" t="s">
        <v>263</v>
      </c>
      <c r="I111" s="37" t="s">
        <v>295</v>
      </c>
      <c r="J111" s="37" t="s">
        <v>296</v>
      </c>
      <c r="K111" s="27" t="s">
        <v>369</v>
      </c>
      <c r="L111" s="27"/>
      <c r="M111" s="27" t="s">
        <v>378</v>
      </c>
      <c r="N111" s="27"/>
      <c r="O111" s="30">
        <v>46370</v>
      </c>
      <c r="P111" s="1" t="s">
        <v>264</v>
      </c>
      <c r="Q111" s="29" t="s">
        <v>265</v>
      </c>
      <c r="R111" s="27" t="s">
        <v>298</v>
      </c>
      <c r="S111" s="27"/>
    </row>
    <row r="112" spans="1:19" ht="24" customHeight="1">
      <c r="A112" s="27" t="str">
        <f ca="1">IF(OR(D112&lt;&gt;"", F112&lt;&gt;"", L112&lt;&gt;"", O112&lt;&gt;""), "EVT-2026-" &amp; TEXT(COUNTIF('DT-3 Jan26'!$A$3:$A$500, "EVT*") + COUNTIF('DT-4 Jan26'!$A$3:$A$500, "EVT*") + COUNTIF('DT-3 Feb26'!$A$3:$A$500, "EVT*") + COUNTIF('DT-4 Feb26'!$A$3:$A$500, "EVT*") + COUNTIF('DT-3 Mar26'!$A$3:$A$500, "EVT*") + COUNTIF(OFFSET($A$1, 1, 0, ROW()-2, 1), "EVT*") + 1, "0000"), "")</f>
        <v>EVT-2026-0373</v>
      </c>
      <c r="B112" s="30">
        <v>46109</v>
      </c>
      <c r="C112" s="27" t="s">
        <v>266</v>
      </c>
      <c r="D112" s="27" t="s">
        <v>300</v>
      </c>
      <c r="E112" s="27"/>
      <c r="F112" s="27"/>
      <c r="G112" s="10"/>
      <c r="H112" s="36" t="s">
        <v>263</v>
      </c>
      <c r="I112" s="37"/>
      <c r="J112" s="37"/>
      <c r="K112" s="27"/>
      <c r="L112" s="27"/>
      <c r="M112" s="27" t="s">
        <v>878</v>
      </c>
      <c r="N112" s="27"/>
      <c r="O112" s="27"/>
      <c r="P112" s="1" t="s">
        <v>264</v>
      </c>
      <c r="Q112" s="29" t="s">
        <v>265</v>
      </c>
      <c r="R112" s="27" t="s">
        <v>879</v>
      </c>
      <c r="S112" s="27"/>
    </row>
    <row r="113" spans="1:19" ht="24" customHeight="1">
      <c r="A113" s="27" t="str">
        <f ca="1">IF(OR(D113&lt;&gt;"", F113&lt;&gt;"", L113&lt;&gt;"", O113&lt;&gt;""), "EVT-2026-" &amp; TEXT(COUNTIF('DT-3 Jan26'!$A$3:$A$500, "EVT*") + COUNTIF('DT-4 Jan26'!$A$3:$A$500, "EVT*") + COUNTIF('DT-3 Feb26'!$A$3:$A$500, "EVT*") + COUNTIF('DT-4 Feb26'!$A$3:$A$500, "EVT*") + COUNTIF('DT-3 Mar26'!$A$3:$A$500, "EVT*") + COUNTIF(OFFSET($A$1, 1, 0, ROW()-2, 1), "EVT*") + 1, "0000"), "")</f>
        <v/>
      </c>
      <c r="B113" s="30">
        <v>46110</v>
      </c>
      <c r="C113" s="27" t="s">
        <v>267</v>
      </c>
      <c r="D113" s="27"/>
      <c r="E113" s="27"/>
      <c r="F113" s="27"/>
      <c r="G113" s="10"/>
      <c r="H113" s="36" t="s">
        <v>263</v>
      </c>
      <c r="I113" s="37"/>
      <c r="J113" s="37"/>
      <c r="K113" s="27"/>
      <c r="L113" s="27"/>
      <c r="M113" s="27"/>
      <c r="N113" s="27"/>
      <c r="O113" s="27"/>
      <c r="P113" s="1" t="s">
        <v>264</v>
      </c>
      <c r="Q113" s="29" t="s">
        <v>265</v>
      </c>
      <c r="R113" s="27"/>
      <c r="S113" s="27"/>
    </row>
    <row r="114" spans="1:19" ht="24" customHeight="1">
      <c r="A114" s="27" t="str">
        <f ca="1">IF(OR(D114&lt;&gt;"", F114&lt;&gt;"", L114&lt;&gt;"", O114&lt;&gt;""), "EVT-2026-" &amp; TEXT(COUNTIF('DT-3 Jan26'!$A$3:$A$500, "EVT*") + COUNTIF('DT-4 Jan26'!$A$3:$A$500, "EVT*") + COUNTIF('DT-3 Feb26'!$A$3:$A$500, "EVT*") + COUNTIF('DT-4 Feb26'!$A$3:$A$500, "EVT*") + COUNTIF('DT-3 Mar26'!$A$3:$A$500, "EVT*") + COUNTIF(OFFSET($A$1, 1, 0, ROW()-2, 1), "EVT*") + 1, "0000"), "")</f>
        <v>EVT-2026-0374</v>
      </c>
      <c r="B114" s="30">
        <v>46111</v>
      </c>
      <c r="C114" s="27" t="s">
        <v>224</v>
      </c>
      <c r="D114" s="27" t="s">
        <v>348</v>
      </c>
      <c r="E114" s="27" t="s">
        <v>208</v>
      </c>
      <c r="F114" s="27" t="s">
        <v>880</v>
      </c>
      <c r="G114" s="10">
        <v>100</v>
      </c>
      <c r="H114" s="38" t="s">
        <v>294</v>
      </c>
      <c r="I114" s="37" t="s">
        <v>295</v>
      </c>
      <c r="J114" s="37" t="s">
        <v>296</v>
      </c>
      <c r="K114" s="27"/>
      <c r="L114" s="27"/>
      <c r="M114" s="27" t="s">
        <v>526</v>
      </c>
      <c r="N114" s="27"/>
      <c r="O114" s="27"/>
      <c r="P114" s="1" t="s">
        <v>264</v>
      </c>
      <c r="Q114" s="29" t="s">
        <v>265</v>
      </c>
      <c r="R114" s="27" t="s">
        <v>881</v>
      </c>
      <c r="S114" s="27"/>
    </row>
    <row r="115" spans="1:19" ht="24" customHeight="1">
      <c r="A115" s="27" t="str">
        <f ca="1">IF(OR(D115&lt;&gt;"", F115&lt;&gt;"", L115&lt;&gt;"", O115&lt;&gt;""), "EVT-2026-" &amp; TEXT(COUNTIF('DT-3 Jan26'!$A$3:$A$500, "EVT*") + COUNTIF('DT-4 Jan26'!$A$3:$A$500, "EVT*") + COUNTIF('DT-3 Feb26'!$A$3:$A$500, "EVT*") + COUNTIF('DT-4 Feb26'!$A$3:$A$500, "EVT*") + COUNTIF('DT-3 Mar26'!$A$3:$A$500, "EVT*") + COUNTIF(OFFSET($A$1, 1, 0, ROW()-2, 1), "EVT*") + 1, "0000"), "")</f>
        <v>EVT-2026-0375</v>
      </c>
      <c r="B115" s="30" t="s">
        <v>2228</v>
      </c>
      <c r="C115" s="27" t="s">
        <v>224</v>
      </c>
      <c r="D115" s="27" t="s">
        <v>761</v>
      </c>
      <c r="E115" s="27" t="s">
        <v>228</v>
      </c>
      <c r="F115" s="27" t="s">
        <v>794</v>
      </c>
      <c r="G115" s="10">
        <v>30</v>
      </c>
      <c r="H115" s="36" t="s">
        <v>263</v>
      </c>
      <c r="I115" s="37" t="s">
        <v>269</v>
      </c>
      <c r="J115" s="37" t="s">
        <v>270</v>
      </c>
      <c r="K115" s="27"/>
      <c r="L115" s="27"/>
      <c r="M115" s="27" t="s">
        <v>494</v>
      </c>
      <c r="N115" s="27"/>
      <c r="O115" s="27"/>
      <c r="P115" s="1" t="s">
        <v>264</v>
      </c>
      <c r="Q115" s="29" t="s">
        <v>265</v>
      </c>
      <c r="R115" s="27" t="s">
        <v>882</v>
      </c>
      <c r="S115" s="27"/>
    </row>
    <row r="116" spans="1:19" ht="24" customHeight="1">
      <c r="A116" s="27" t="str">
        <f ca="1">IF(OR(D116&lt;&gt;"", F116&lt;&gt;"", L116&lt;&gt;"", O116&lt;&gt;""), "EVT-2026-" &amp; TEXT(COUNTIF('DT-3 Jan26'!$A$3:$A$500, "EVT*") + COUNTIF('DT-4 Jan26'!$A$3:$A$500, "EVT*") + COUNTIF('DT-3 Feb26'!$A$3:$A$500, "EVT*") + COUNTIF('DT-4 Feb26'!$A$3:$A$500, "EVT*") + COUNTIF('DT-3 Mar26'!$A$3:$A$500, "EVT*") + COUNTIF(OFFSET($A$1, 1, 0, ROW()-2, 1), "EVT*") + 1, "0000"), "")</f>
        <v>EVT-2026-0376</v>
      </c>
      <c r="B116" s="30">
        <v>46112</v>
      </c>
      <c r="C116" s="27" t="s">
        <v>227</v>
      </c>
      <c r="D116" s="27" t="s">
        <v>348</v>
      </c>
      <c r="E116" s="27" t="s">
        <v>208</v>
      </c>
      <c r="F116" s="27" t="s">
        <v>349</v>
      </c>
      <c r="G116" s="10">
        <v>50</v>
      </c>
      <c r="H116" s="36" t="s">
        <v>263</v>
      </c>
      <c r="I116" s="37" t="s">
        <v>350</v>
      </c>
      <c r="J116" s="37" t="s">
        <v>296</v>
      </c>
      <c r="K116" s="27"/>
      <c r="L116" s="27"/>
      <c r="M116" s="27" t="s">
        <v>351</v>
      </c>
      <c r="N116" s="27"/>
      <c r="O116" s="30" t="s">
        <v>2164</v>
      </c>
      <c r="P116" s="1" t="s">
        <v>264</v>
      </c>
      <c r="Q116" s="29" t="s">
        <v>265</v>
      </c>
      <c r="R116" s="27" t="s">
        <v>303</v>
      </c>
      <c r="S116" s="27"/>
    </row>
    <row r="117" spans="1:19" ht="24" customHeight="1">
      <c r="A117" s="27" t="str">
        <f ca="1">IF(OR(D117&lt;&gt;"", F117&lt;&gt;"", L117&lt;&gt;"", O117&lt;&gt;""), "EVT-2026-" &amp; TEXT(COUNTIF('DT-3 Jan26'!$A$3:$A$500, "EVT*") + COUNTIF('DT-4 Jan26'!$A$3:$A$500, "EVT*") + COUNTIF('DT-3 Feb26'!$A$3:$A$500, "EVT*") + COUNTIF('DT-4 Feb26'!$A$3:$A$500, "EVT*") + COUNTIF('DT-3 Mar26'!$A$3:$A$500, "EVT*") + COUNTIF(OFFSET($A$1, 1, 0, ROW()-2, 1), "EVT*") + 1, "0000"), "")</f>
        <v>EVT-2026-0377</v>
      </c>
      <c r="B117" s="30">
        <v>46112</v>
      </c>
      <c r="C117" s="27" t="s">
        <v>227</v>
      </c>
      <c r="D117" s="27" t="s">
        <v>883</v>
      </c>
      <c r="E117" s="27" t="s">
        <v>202</v>
      </c>
      <c r="F117" s="27" t="s">
        <v>884</v>
      </c>
      <c r="G117" s="10">
        <v>150</v>
      </c>
      <c r="H117" s="38" t="s">
        <v>294</v>
      </c>
      <c r="I117" s="37" t="s">
        <v>338</v>
      </c>
      <c r="J117" s="37" t="s">
        <v>506</v>
      </c>
      <c r="K117" s="27" t="s">
        <v>885</v>
      </c>
      <c r="L117" s="27"/>
      <c r="M117" s="27" t="s">
        <v>378</v>
      </c>
      <c r="N117" s="27"/>
      <c r="O117" s="27"/>
      <c r="P117" s="1" t="s">
        <v>264</v>
      </c>
      <c r="Q117" s="29" t="s">
        <v>265</v>
      </c>
      <c r="R117" s="27" t="s">
        <v>298</v>
      </c>
      <c r="S117" s="27"/>
    </row>
    <row r="118" spans="1:19" ht="24" customHeight="1">
      <c r="A118" s="27" t="str">
        <f ca="1">IF(OR(D118&lt;&gt;"", F118&lt;&gt;"", L118&lt;&gt;"", O118&lt;&gt;""), "EVT-2026-" &amp; TEXT(COUNTIF('DT-3 Jan26'!$A$3:$A$500, "EVT*") + COUNTIF('DT-4 Jan26'!$A$3:$A$500, "EVT*") + COUNTIF('DT-3 Feb26'!$A$3:$A$500, "EVT*") + COUNTIF('DT-4 Feb26'!$A$3:$A$500, "EVT*") + COUNTIF('DT-3 Mar26'!$A$3:$A$500, "EVT*") + COUNTIF(OFFSET($A$1, 1, 0, ROW()-2, 1), "EVT*") + 1, "0000"), "")</f>
        <v>EVT-2026-0378</v>
      </c>
      <c r="B118" s="30" t="s">
        <v>2229</v>
      </c>
      <c r="C118" s="27" t="s">
        <v>227</v>
      </c>
      <c r="D118" s="27" t="s">
        <v>736</v>
      </c>
      <c r="E118" s="27" t="s">
        <v>202</v>
      </c>
      <c r="F118" s="27" t="s">
        <v>886</v>
      </c>
      <c r="G118" s="10">
        <v>30</v>
      </c>
      <c r="H118" s="36" t="s">
        <v>263</v>
      </c>
      <c r="I118" s="37" t="s">
        <v>331</v>
      </c>
      <c r="J118" s="37" t="s">
        <v>270</v>
      </c>
      <c r="K118" s="27"/>
      <c r="L118" s="27"/>
      <c r="M118" s="27" t="s">
        <v>494</v>
      </c>
      <c r="N118" s="27"/>
      <c r="O118" s="27"/>
      <c r="P118" s="1" t="s">
        <v>264</v>
      </c>
      <c r="Q118" s="29" t="s">
        <v>265</v>
      </c>
      <c r="R118" s="27" t="s">
        <v>285</v>
      </c>
      <c r="S118" s="27"/>
    </row>
    <row r="119" spans="1:19" ht="24" customHeight="1">
      <c r="A119" s="27" t="str">
        <f ca="1">IF(OR(D119&lt;&gt;"", F119&lt;&gt;"", L119&lt;&gt;"", O119&lt;&gt;""), "EVT-2026-" &amp; TEXT(COUNTIF('DT-3 Jan26'!$A$3:$A$500, "EVT*") + COUNTIF('DT-4 Jan26'!$A$3:$A$500, "EVT*") + COUNTIF('DT-3 Feb26'!$A$3:$A$500, "EVT*") + COUNTIF('DT-4 Feb26'!$A$3:$A$500, "EVT*") + COUNTIF('DT-3 Mar26'!$A$3:$A$500, "EVT*") + COUNTIF(OFFSET($A$1, 1, 0, ROW()-2, 1), "EVT*") + 1, "0000"), "")</f>
        <v>EVT-2026-0379</v>
      </c>
      <c r="B119" s="30">
        <v>46112</v>
      </c>
      <c r="C119" s="27" t="s">
        <v>227</v>
      </c>
      <c r="D119" s="27" t="s">
        <v>239</v>
      </c>
      <c r="E119" s="27" t="s">
        <v>202</v>
      </c>
      <c r="F119" s="27" t="s">
        <v>887</v>
      </c>
      <c r="G119" s="10">
        <v>120</v>
      </c>
      <c r="H119" s="38" t="s">
        <v>294</v>
      </c>
      <c r="I119" s="37" t="s">
        <v>295</v>
      </c>
      <c r="J119" s="37" t="s">
        <v>296</v>
      </c>
      <c r="K119" s="27" t="s">
        <v>885</v>
      </c>
      <c r="L119" s="27"/>
      <c r="M119" s="27" t="s">
        <v>888</v>
      </c>
      <c r="N119" s="27"/>
      <c r="O119" s="30">
        <v>374823</v>
      </c>
      <c r="P119" s="1" t="s">
        <v>264</v>
      </c>
      <c r="Q119" s="29" t="s">
        <v>265</v>
      </c>
      <c r="R119" s="27" t="s">
        <v>298</v>
      </c>
      <c r="S119" s="27"/>
    </row>
    <row r="120" spans="1:19" ht="24" customHeight="1">
      <c r="A120" s="27" t="str">
        <f ca="1">IF(OR(D120&lt;&gt;"", F120&lt;&gt;"", L120&lt;&gt;"", O120&lt;&gt;""), "EVT-2026-" &amp; TEXT(COUNTIF('DT-3 Jan26'!$A$3:$A$500, "EVT*") + COUNTIF('DT-4 Jan26'!$A$3:$A$500, "EVT*") + COUNTIF('DT-3 Feb26'!$A$3:$A$500, "EVT*") + COUNTIF('DT-4 Feb26'!$A$3:$A$500, "EVT*") + COUNTIF('DT-3 Mar26'!$A$3:$A$500, "EVT*") + COUNTIF(OFFSET($A$1, 1, 0, ROW()-2, 1), "EVT*") + 1, "0000"), "")</f>
        <v>EVT-2026-0380</v>
      </c>
      <c r="B120" s="30">
        <v>46112</v>
      </c>
      <c r="C120" s="27" t="s">
        <v>227</v>
      </c>
      <c r="D120" s="27" t="s">
        <v>889</v>
      </c>
      <c r="E120" s="27" t="s">
        <v>202</v>
      </c>
      <c r="F120" s="27" t="s">
        <v>890</v>
      </c>
      <c r="G120" s="10">
        <v>60</v>
      </c>
      <c r="H120" s="36" t="s">
        <v>263</v>
      </c>
      <c r="I120" s="37" t="s">
        <v>331</v>
      </c>
      <c r="J120" s="37" t="s">
        <v>350</v>
      </c>
      <c r="K120" s="27"/>
      <c r="L120" s="27"/>
      <c r="M120" s="27" t="s">
        <v>891</v>
      </c>
      <c r="N120" s="27"/>
      <c r="O120" s="27"/>
      <c r="P120" s="1" t="s">
        <v>264</v>
      </c>
      <c r="Q120" s="29" t="s">
        <v>265</v>
      </c>
      <c r="R120" s="27" t="s">
        <v>892</v>
      </c>
      <c r="S120" s="27"/>
    </row>
  </sheetData>
  <mergeCells count="3">
    <mergeCell ref="O1:S1"/>
    <mergeCell ref="A1:C1"/>
    <mergeCell ref="D1:N1"/>
  </mergeCells>
  <dataValidations count="4">
    <dataValidation type="list" allowBlank="1" sqref="O3:O500 P3:P120" xr:uid="{00000000-0002-0000-0700-000000000000}">
      <formula1>"Confirmed (Done),Pending Calendar Booking,Canceled"</formula1>
    </dataValidation>
    <dataValidation type="list" allowBlank="1" sqref="P3:P170" xr:uid="{00000000-0002-0000-0700-000001000000}">
      <formula1>"Form sent,NA"</formula1>
    </dataValidation>
    <dataValidation type="list" allowBlank="1" sqref="Q3:Q120" xr:uid="{00000000-0002-0000-0700-000002000000}">
      <formula1>"Form sent,Not Required,NA"</formula1>
    </dataValidation>
    <dataValidation type="list" allowBlank="1" sqref="H3:H120" xr:uid="{00000000-0002-0000-0700-000003000000}">
      <formula1>"Big Event,Small Event"</formula1>
    </dataValidation>
  </dataValidations>
  <hyperlinks>
    <hyperlink ref="A1" location="'Dashboard'!A1" display="🏠 ⮌ RETURN TO DASHBOARD"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5"/>
  <sheetViews>
    <sheetView workbookViewId="0">
      <pane ySplit="2" topLeftCell="A3" activePane="bottomLeft" state="frozen"/>
      <selection pane="bottomLeft"/>
    </sheetView>
  </sheetViews>
  <sheetFormatPr defaultRowHeight="14.45"/>
  <cols>
    <col min="1" max="1" width="18" customWidth="1"/>
    <col min="2" max="2" width="27" customWidth="1"/>
    <col min="3" max="3" width="13" customWidth="1"/>
    <col min="4" max="4" width="32" customWidth="1"/>
    <col min="5" max="5" width="35" customWidth="1"/>
    <col min="6" max="6" width="18" customWidth="1"/>
    <col min="7" max="7" width="15" customWidth="1"/>
    <col min="8" max="8" width="19" customWidth="1"/>
    <col min="9" max="9" width="17" customWidth="1"/>
    <col min="10" max="10" width="18" customWidth="1"/>
    <col min="11" max="11" width="37" customWidth="1"/>
    <col min="12" max="12" width="26" customWidth="1"/>
    <col min="13" max="13" width="25" customWidth="1"/>
    <col min="14" max="14" width="18" customWidth="1"/>
    <col min="15" max="15" width="25" customWidth="1"/>
    <col min="16" max="16" width="18" customWidth="1"/>
    <col min="17" max="17" width="48" customWidth="1"/>
    <col min="18" max="18" width="19" customWidth="1"/>
  </cols>
  <sheetData>
    <row r="1" spans="1:18" ht="27.95" customHeight="1">
      <c r="A1" s="62" t="s">
        <v>2138</v>
      </c>
      <c r="B1" s="134"/>
      <c r="C1" s="135"/>
      <c r="D1" s="63" t="s">
        <v>2230</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COUNTIF(OFFSET($A$1, 1, 0, ROW()-2, 1), "EVT*") + 1, "0000"), "")</f>
        <v>EVT-2026-0381</v>
      </c>
      <c r="B3" s="30">
        <v>46113</v>
      </c>
      <c r="C3" s="27" t="s">
        <v>201</v>
      </c>
      <c r="D3" s="27" t="s">
        <v>171</v>
      </c>
      <c r="E3" s="27" t="s">
        <v>893</v>
      </c>
      <c r="F3" s="10">
        <v>60</v>
      </c>
      <c r="G3" s="36" t="s">
        <v>263</v>
      </c>
      <c r="H3" s="37" t="s">
        <v>330</v>
      </c>
      <c r="I3" s="37" t="s">
        <v>354</v>
      </c>
      <c r="J3" s="27"/>
      <c r="K3" s="27"/>
      <c r="L3" s="27" t="s">
        <v>335</v>
      </c>
      <c r="M3" s="27"/>
      <c r="N3" s="30" t="s">
        <v>2231</v>
      </c>
      <c r="O3" s="1" t="s">
        <v>264</v>
      </c>
      <c r="P3" s="29" t="s">
        <v>265</v>
      </c>
      <c r="Q3" s="27" t="s">
        <v>894</v>
      </c>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COUNTIF(OFFSET($A$1, 1, 0, ROW()-2, 1), "EVT*") + 1, "0000"), "")</f>
        <v/>
      </c>
      <c r="B4" s="30">
        <v>46114</v>
      </c>
      <c r="C4" s="27" t="s">
        <v>216</v>
      </c>
      <c r="D4" s="27"/>
      <c r="E4" s="27"/>
      <c r="F4" s="10"/>
      <c r="G4" s="36" t="s">
        <v>263</v>
      </c>
      <c r="H4" s="37"/>
      <c r="I4" s="37"/>
      <c r="J4" s="27"/>
      <c r="K4" s="27"/>
      <c r="L4" s="27"/>
      <c r="M4" s="27"/>
      <c r="N4" s="27"/>
      <c r="O4" s="1" t="s">
        <v>264</v>
      </c>
      <c r="P4" s="29" t="s">
        <v>265</v>
      </c>
      <c r="Q4" s="27"/>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COUNTIF(OFFSET($A$1, 1, 0, ROW()-2, 1), "EVT*") + 1, "0000"), "")</f>
        <v/>
      </c>
      <c r="B5" s="30">
        <v>46115</v>
      </c>
      <c r="C5" s="27" t="s">
        <v>220</v>
      </c>
      <c r="D5" s="27"/>
      <c r="E5" s="27"/>
      <c r="F5" s="10"/>
      <c r="G5" s="36" t="s">
        <v>263</v>
      </c>
      <c r="H5" s="37"/>
      <c r="I5" s="37"/>
      <c r="J5" s="27"/>
      <c r="K5" s="27"/>
      <c r="L5" s="27"/>
      <c r="M5" s="27"/>
      <c r="N5" s="27"/>
      <c r="O5" s="1" t="s">
        <v>264</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COUNTIF(OFFSET($A$1, 1, 0, ROW()-2, 1), "EVT*") + 1, "0000"), "")</f>
        <v/>
      </c>
      <c r="B6" s="30">
        <v>46116</v>
      </c>
      <c r="C6" s="27" t="s">
        <v>266</v>
      </c>
      <c r="D6" s="27"/>
      <c r="E6" s="27"/>
      <c r="F6" s="10"/>
      <c r="G6" s="36" t="s">
        <v>263</v>
      </c>
      <c r="H6" s="37"/>
      <c r="I6" s="37"/>
      <c r="J6" s="27"/>
      <c r="K6" s="27"/>
      <c r="L6" s="27"/>
      <c r="M6" s="27"/>
      <c r="N6" s="27"/>
      <c r="O6" s="1" t="s">
        <v>264</v>
      </c>
      <c r="P6" s="29" t="s">
        <v>265</v>
      </c>
      <c r="Q6" s="27"/>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COUNTIF(OFFSET($A$1, 1, 0, ROW()-2, 1), "EVT*") + 1, "0000"), "")</f>
        <v/>
      </c>
      <c r="B7" s="30">
        <v>46117</v>
      </c>
      <c r="C7" s="27" t="s">
        <v>267</v>
      </c>
      <c r="D7" s="27"/>
      <c r="E7" s="27"/>
      <c r="F7" s="10"/>
      <c r="G7" s="36" t="s">
        <v>263</v>
      </c>
      <c r="H7" s="37"/>
      <c r="I7" s="37"/>
      <c r="J7" s="27"/>
      <c r="K7" s="27"/>
      <c r="L7" s="27"/>
      <c r="M7" s="27"/>
      <c r="N7" s="27"/>
      <c r="O7" s="1" t="s">
        <v>264</v>
      </c>
      <c r="P7" s="29" t="s">
        <v>265</v>
      </c>
      <c r="Q7" s="27"/>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COUNTIF(OFFSET($A$1, 1, 0, ROW()-2, 1), "EVT*") + 1, "0000"), "")</f>
        <v/>
      </c>
      <c r="B8" s="30">
        <v>46118</v>
      </c>
      <c r="C8" s="27" t="s">
        <v>224</v>
      </c>
      <c r="D8" s="27"/>
      <c r="E8" s="27"/>
      <c r="F8" s="10"/>
      <c r="G8" s="36" t="s">
        <v>263</v>
      </c>
      <c r="H8" s="37"/>
      <c r="I8" s="37"/>
      <c r="J8" s="27"/>
      <c r="K8" s="27"/>
      <c r="L8" s="27"/>
      <c r="M8" s="27"/>
      <c r="N8" s="27"/>
      <c r="O8" s="1" t="s">
        <v>264</v>
      </c>
      <c r="P8" s="29" t="s">
        <v>265</v>
      </c>
      <c r="Q8" s="27"/>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COUNTIF(OFFSET($A$1, 1, 0, ROW()-2, 1), "EVT*") + 1, "0000"), "")</f>
        <v>EVT-2026-0382</v>
      </c>
      <c r="B9" s="30">
        <v>46119</v>
      </c>
      <c r="C9" s="27" t="s">
        <v>227</v>
      </c>
      <c r="D9" s="27" t="s">
        <v>171</v>
      </c>
      <c r="E9" s="27" t="s">
        <v>895</v>
      </c>
      <c r="F9" s="10">
        <v>60</v>
      </c>
      <c r="G9" s="36" t="s">
        <v>263</v>
      </c>
      <c r="H9" s="37" t="s">
        <v>896</v>
      </c>
      <c r="I9" s="37" t="s">
        <v>359</v>
      </c>
      <c r="J9" s="27"/>
      <c r="K9" s="27"/>
      <c r="L9" s="27" t="s">
        <v>785</v>
      </c>
      <c r="M9" s="27"/>
      <c r="N9" s="30">
        <v>46111</v>
      </c>
      <c r="O9" s="1" t="s">
        <v>264</v>
      </c>
      <c r="P9" s="29" t="s">
        <v>265</v>
      </c>
      <c r="Q9" s="27" t="s">
        <v>321</v>
      </c>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COUNTIF(OFFSET($A$1, 1, 0, ROW()-2, 1), "EVT*") + 1, "0000"), "")</f>
        <v/>
      </c>
      <c r="B10" s="30">
        <v>46120</v>
      </c>
      <c r="C10" s="27" t="s">
        <v>201</v>
      </c>
      <c r="D10" s="27"/>
      <c r="E10" s="27"/>
      <c r="F10" s="10"/>
      <c r="G10" s="36" t="s">
        <v>263</v>
      </c>
      <c r="H10" s="37"/>
      <c r="I10" s="37"/>
      <c r="J10" s="27"/>
      <c r="K10" s="27"/>
      <c r="L10" s="27"/>
      <c r="M10" s="27"/>
      <c r="N10" s="27"/>
      <c r="O10" s="1" t="s">
        <v>264</v>
      </c>
      <c r="P10" s="29" t="s">
        <v>265</v>
      </c>
      <c r="Q10" s="27"/>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COUNTIF(OFFSET($A$1, 1, 0, ROW()-2, 1), "EVT*") + 1, "0000"), "")</f>
        <v>EVT-2026-0383</v>
      </c>
      <c r="B11" s="30">
        <v>46121</v>
      </c>
      <c r="C11" s="27" t="s">
        <v>216</v>
      </c>
      <c r="D11" s="27" t="s">
        <v>171</v>
      </c>
      <c r="E11" s="27" t="s">
        <v>897</v>
      </c>
      <c r="F11" s="10">
        <v>60</v>
      </c>
      <c r="G11" s="36" t="s">
        <v>263</v>
      </c>
      <c r="H11" s="37" t="s">
        <v>274</v>
      </c>
      <c r="I11" s="37" t="s">
        <v>429</v>
      </c>
      <c r="J11" s="27"/>
      <c r="K11" s="27"/>
      <c r="L11" s="27" t="s">
        <v>237</v>
      </c>
      <c r="M11" s="27"/>
      <c r="N11" s="27"/>
      <c r="O11" s="1" t="s">
        <v>264</v>
      </c>
      <c r="P11" s="29" t="s">
        <v>265</v>
      </c>
      <c r="Q11" s="27" t="s">
        <v>898</v>
      </c>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COUNTIF(OFFSET($A$1, 1, 0, ROW()-2, 1), "EVT*") + 1, "0000"), "")</f>
        <v>EVT-2026-0384</v>
      </c>
      <c r="B12" s="30">
        <v>46121</v>
      </c>
      <c r="C12" s="27" t="s">
        <v>216</v>
      </c>
      <c r="D12" s="27" t="s">
        <v>171</v>
      </c>
      <c r="E12" s="27" t="s">
        <v>899</v>
      </c>
      <c r="F12" s="10">
        <v>28</v>
      </c>
      <c r="G12" s="36" t="s">
        <v>263</v>
      </c>
      <c r="H12" s="37" t="s">
        <v>309</v>
      </c>
      <c r="I12" s="37" t="s">
        <v>295</v>
      </c>
      <c r="J12" s="27"/>
      <c r="K12" s="27" t="s">
        <v>531</v>
      </c>
      <c r="L12" s="27" t="s">
        <v>673</v>
      </c>
      <c r="M12" s="27"/>
      <c r="N12" s="30">
        <v>46113</v>
      </c>
      <c r="O12" s="1" t="s">
        <v>264</v>
      </c>
      <c r="P12" s="29" t="s">
        <v>265</v>
      </c>
      <c r="Q12" s="27" t="s">
        <v>380</v>
      </c>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COUNTIF(OFFSET($A$1, 1, 0, ROW()-2, 1), "EVT*") + 1, "0000"), "")</f>
        <v>EVT-2026-0385</v>
      </c>
      <c r="B13" s="30">
        <v>46122</v>
      </c>
      <c r="C13" s="27" t="s">
        <v>220</v>
      </c>
      <c r="D13" s="27" t="s">
        <v>171</v>
      </c>
      <c r="E13" s="27" t="s">
        <v>900</v>
      </c>
      <c r="F13" s="10">
        <v>40</v>
      </c>
      <c r="G13" s="36" t="s">
        <v>263</v>
      </c>
      <c r="H13" s="37" t="s">
        <v>309</v>
      </c>
      <c r="I13" s="37" t="s">
        <v>290</v>
      </c>
      <c r="J13" s="27"/>
      <c r="K13" s="27"/>
      <c r="L13" s="27" t="s">
        <v>677</v>
      </c>
      <c r="M13" s="27"/>
      <c r="N13" s="27"/>
      <c r="O13" s="3" t="s">
        <v>312</v>
      </c>
      <c r="P13" s="29" t="s">
        <v>265</v>
      </c>
      <c r="Q13" s="27" t="s">
        <v>321</v>
      </c>
      <c r="R13" s="27" t="s">
        <v>901</v>
      </c>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COUNTIF(OFFSET($A$1, 1, 0, ROW()-2, 1), "EVT*") + 1, "0000"), "")</f>
        <v>EVT-2026-0386</v>
      </c>
      <c r="B14" s="30">
        <v>46122</v>
      </c>
      <c r="C14" s="27" t="s">
        <v>220</v>
      </c>
      <c r="D14" s="27" t="s">
        <v>348</v>
      </c>
      <c r="E14" s="27" t="s">
        <v>902</v>
      </c>
      <c r="F14" s="10">
        <v>60</v>
      </c>
      <c r="G14" s="36" t="s">
        <v>263</v>
      </c>
      <c r="H14" s="37" t="s">
        <v>331</v>
      </c>
      <c r="I14" s="37" t="s">
        <v>289</v>
      </c>
      <c r="J14" s="27"/>
      <c r="K14" s="27"/>
      <c r="L14" s="27" t="s">
        <v>903</v>
      </c>
      <c r="M14" s="27"/>
      <c r="N14" s="30" t="s">
        <v>2232</v>
      </c>
      <c r="O14" s="1" t="s">
        <v>264</v>
      </c>
      <c r="P14" s="29" t="s">
        <v>265</v>
      </c>
      <c r="Q14" s="27" t="s">
        <v>298</v>
      </c>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COUNTIF(OFFSET($A$1, 1, 0, ROW()-2, 1), "EVT*") + 1, "0000"), "")</f>
        <v/>
      </c>
      <c r="B15" s="30">
        <v>46123</v>
      </c>
      <c r="C15" s="27" t="s">
        <v>266</v>
      </c>
      <c r="D15" s="27"/>
      <c r="E15" s="27"/>
      <c r="F15" s="10"/>
      <c r="G15" s="36" t="s">
        <v>263</v>
      </c>
      <c r="H15" s="37"/>
      <c r="I15" s="37"/>
      <c r="J15" s="27"/>
      <c r="K15" s="27"/>
      <c r="L15" s="27"/>
      <c r="M15" s="27"/>
      <c r="N15" s="27"/>
      <c r="O15" s="1" t="s">
        <v>264</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COUNTIF(OFFSET($A$1, 1, 0, ROW()-2, 1), "EVT*") + 1, "0000"), "")</f>
        <v/>
      </c>
      <c r="B16" s="30">
        <v>46124</v>
      </c>
      <c r="C16" s="27" t="s">
        <v>267</v>
      </c>
      <c r="D16" s="27"/>
      <c r="E16" s="27"/>
      <c r="F16" s="10"/>
      <c r="G16" s="36" t="s">
        <v>263</v>
      </c>
      <c r="H16" s="37"/>
      <c r="I16" s="37"/>
      <c r="J16" s="27"/>
      <c r="K16" s="27"/>
      <c r="L16" s="27"/>
      <c r="M16" s="27"/>
      <c r="N16" s="27"/>
      <c r="O16" s="1" t="s">
        <v>264</v>
      </c>
      <c r="P16" s="29" t="s">
        <v>265</v>
      </c>
      <c r="Q16" s="27"/>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COUNTIF(OFFSET($A$1, 1, 0, ROW()-2, 1), "EVT*") + 1, "0000"), "")</f>
        <v>EVT-2026-0387</v>
      </c>
      <c r="B17" s="30">
        <v>46125</v>
      </c>
      <c r="C17" s="27" t="s">
        <v>224</v>
      </c>
      <c r="D17" s="27" t="s">
        <v>904</v>
      </c>
      <c r="E17" s="27" t="s">
        <v>236</v>
      </c>
      <c r="F17" s="10">
        <v>105</v>
      </c>
      <c r="G17" s="38" t="s">
        <v>294</v>
      </c>
      <c r="H17" s="37" t="s">
        <v>269</v>
      </c>
      <c r="I17" s="37" t="s">
        <v>270</v>
      </c>
      <c r="J17" s="27"/>
      <c r="K17" s="27"/>
      <c r="L17" s="27" t="s">
        <v>237</v>
      </c>
      <c r="M17" s="27"/>
      <c r="N17" s="27"/>
      <c r="O17" s="1" t="s">
        <v>264</v>
      </c>
      <c r="P17" s="29" t="s">
        <v>265</v>
      </c>
      <c r="Q17" s="27" t="s">
        <v>905</v>
      </c>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COUNTIF(OFFSET($A$1, 1, 0, ROW()-2, 1), "EVT*") + 1, "0000"), "")</f>
        <v>EVT-2026-0388</v>
      </c>
      <c r="B18" s="30">
        <v>46126</v>
      </c>
      <c r="C18" s="27" t="s">
        <v>227</v>
      </c>
      <c r="D18" s="27" t="s">
        <v>171</v>
      </c>
      <c r="E18" s="27" t="s">
        <v>906</v>
      </c>
      <c r="F18" s="10">
        <v>60</v>
      </c>
      <c r="G18" s="36" t="s">
        <v>263</v>
      </c>
      <c r="H18" s="37" t="s">
        <v>896</v>
      </c>
      <c r="I18" s="37" t="s">
        <v>359</v>
      </c>
      <c r="J18" s="27"/>
      <c r="K18" s="27"/>
      <c r="L18" s="27" t="s">
        <v>785</v>
      </c>
      <c r="M18" s="27"/>
      <c r="N18" s="30">
        <v>46111</v>
      </c>
      <c r="O18" s="1" t="s">
        <v>264</v>
      </c>
      <c r="P18" s="29" t="s">
        <v>265</v>
      </c>
      <c r="Q18" s="27" t="s">
        <v>321</v>
      </c>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COUNTIF(OFFSET($A$1, 1, 0, ROW()-2, 1), "EVT*") + 1, "0000"), "")</f>
        <v>EVT-2026-0389</v>
      </c>
      <c r="B19" s="30">
        <v>46127</v>
      </c>
      <c r="C19" s="27" t="s">
        <v>201</v>
      </c>
      <c r="D19" s="27" t="s">
        <v>171</v>
      </c>
      <c r="E19" s="27" t="s">
        <v>907</v>
      </c>
      <c r="F19" s="10">
        <v>40</v>
      </c>
      <c r="G19" s="36" t="s">
        <v>263</v>
      </c>
      <c r="H19" s="37" t="s">
        <v>315</v>
      </c>
      <c r="I19" s="37" t="s">
        <v>506</v>
      </c>
      <c r="J19" s="27"/>
      <c r="K19" s="27"/>
      <c r="L19" s="27" t="s">
        <v>335</v>
      </c>
      <c r="M19" s="27"/>
      <c r="N19" s="27"/>
      <c r="O19" s="1" t="s">
        <v>264</v>
      </c>
      <c r="P19" s="29" t="s">
        <v>265</v>
      </c>
      <c r="Q19" s="27" t="s">
        <v>298</v>
      </c>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COUNTIF(OFFSET($A$1, 1, 0, ROW()-2, 1), "EVT*") + 1, "0000"), "")</f>
        <v>EVT-2026-0390</v>
      </c>
      <c r="B20" s="30">
        <v>46127</v>
      </c>
      <c r="C20" s="27" t="s">
        <v>201</v>
      </c>
      <c r="D20" s="27" t="s">
        <v>171</v>
      </c>
      <c r="E20" s="27" t="s">
        <v>908</v>
      </c>
      <c r="F20" s="10">
        <v>60</v>
      </c>
      <c r="G20" s="36" t="s">
        <v>263</v>
      </c>
      <c r="H20" s="37" t="s">
        <v>330</v>
      </c>
      <c r="I20" s="37" t="s">
        <v>309</v>
      </c>
      <c r="J20" s="27"/>
      <c r="K20" s="27"/>
      <c r="L20" s="27" t="s">
        <v>909</v>
      </c>
      <c r="M20" s="27"/>
      <c r="N20" s="27"/>
      <c r="O20" s="1" t="s">
        <v>264</v>
      </c>
      <c r="P20" s="29" t="s">
        <v>265</v>
      </c>
      <c r="Q20" s="27" t="s">
        <v>894</v>
      </c>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COUNTIF(OFFSET($A$1, 1, 0, ROW()-2, 1), "EVT*") + 1, "0000"), "")</f>
        <v>EVT-2026-0391</v>
      </c>
      <c r="B21" s="30">
        <v>46127</v>
      </c>
      <c r="C21" s="27" t="s">
        <v>201</v>
      </c>
      <c r="D21" s="27" t="s">
        <v>910</v>
      </c>
      <c r="E21" s="27"/>
      <c r="F21" s="10">
        <v>25</v>
      </c>
      <c r="G21" s="36" t="s">
        <v>263</v>
      </c>
      <c r="H21" s="37" t="s">
        <v>359</v>
      </c>
      <c r="I21" s="37" t="s">
        <v>290</v>
      </c>
      <c r="J21" s="27"/>
      <c r="K21" s="27"/>
      <c r="L21" s="27" t="s">
        <v>909</v>
      </c>
      <c r="M21" s="27"/>
      <c r="N21" s="27"/>
      <c r="O21" s="1" t="s">
        <v>264</v>
      </c>
      <c r="P21" s="29" t="s">
        <v>265</v>
      </c>
      <c r="Q21" s="27" t="s">
        <v>298</v>
      </c>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COUNTIF(OFFSET($A$1, 1, 0, ROW()-2, 1), "EVT*") + 1, "0000"), "")</f>
        <v>EVT-2026-0392</v>
      </c>
      <c r="B22" s="30">
        <v>46127</v>
      </c>
      <c r="C22" s="27" t="s">
        <v>201</v>
      </c>
      <c r="D22" s="27" t="s">
        <v>239</v>
      </c>
      <c r="E22" s="27" t="s">
        <v>911</v>
      </c>
      <c r="F22" s="10">
        <v>100</v>
      </c>
      <c r="G22" s="38" t="s">
        <v>294</v>
      </c>
      <c r="H22" s="37" t="s">
        <v>295</v>
      </c>
      <c r="I22" s="37" t="s">
        <v>290</v>
      </c>
      <c r="J22" s="27"/>
      <c r="K22" s="27"/>
      <c r="L22" s="27" t="s">
        <v>912</v>
      </c>
      <c r="M22" s="27"/>
      <c r="N22" s="30">
        <v>46106</v>
      </c>
      <c r="O22" s="1" t="s">
        <v>264</v>
      </c>
      <c r="P22" s="29" t="s">
        <v>265</v>
      </c>
      <c r="Q22" s="27" t="s">
        <v>913</v>
      </c>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COUNTIF(OFFSET($A$1, 1, 0, ROW()-2, 1), "EVT*") + 1, "0000"), "")</f>
        <v>EVT-2026-0393</v>
      </c>
      <c r="B23" s="30">
        <v>46127</v>
      </c>
      <c r="C23" s="27" t="s">
        <v>201</v>
      </c>
      <c r="D23" s="27" t="s">
        <v>326</v>
      </c>
      <c r="E23" s="27" t="s">
        <v>914</v>
      </c>
      <c r="F23" s="10">
        <v>30</v>
      </c>
      <c r="G23" s="36" t="s">
        <v>263</v>
      </c>
      <c r="H23" s="37" t="s">
        <v>330</v>
      </c>
      <c r="I23" s="37" t="s">
        <v>275</v>
      </c>
      <c r="J23" s="27"/>
      <c r="K23" s="27"/>
      <c r="L23" s="27" t="s">
        <v>237</v>
      </c>
      <c r="M23" s="27"/>
      <c r="N23" s="30">
        <v>46112</v>
      </c>
      <c r="O23" s="1" t="s">
        <v>264</v>
      </c>
      <c r="P23" s="29" t="s">
        <v>265</v>
      </c>
      <c r="Q23" s="27" t="s">
        <v>307</v>
      </c>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COUNTIF(OFFSET($A$1, 1, 0, ROW()-2, 1), "EVT*") + 1, "0000"), "")</f>
        <v>EVT-2026-0394</v>
      </c>
      <c r="B24" s="30">
        <v>46128</v>
      </c>
      <c r="C24" s="27" t="s">
        <v>216</v>
      </c>
      <c r="D24" s="27" t="s">
        <v>171</v>
      </c>
      <c r="E24" s="27" t="s">
        <v>915</v>
      </c>
      <c r="F24" s="10">
        <v>30</v>
      </c>
      <c r="G24" s="36" t="s">
        <v>263</v>
      </c>
      <c r="H24" s="37" t="s">
        <v>275</v>
      </c>
      <c r="I24" s="37" t="s">
        <v>296</v>
      </c>
      <c r="J24" s="27"/>
      <c r="K24" s="27"/>
      <c r="L24" s="27" t="s">
        <v>916</v>
      </c>
      <c r="M24" s="27"/>
      <c r="N24" s="30" t="s">
        <v>2233</v>
      </c>
      <c r="O24" s="1" t="s">
        <v>264</v>
      </c>
      <c r="P24" s="29" t="s">
        <v>265</v>
      </c>
      <c r="Q24" s="27" t="s">
        <v>917</v>
      </c>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COUNTIF(OFFSET($A$1, 1, 0, ROW()-2, 1), "EVT*") + 1, "0000"), "")</f>
        <v>EVT-2026-0395</v>
      </c>
      <c r="B25" s="30">
        <v>46129</v>
      </c>
      <c r="C25" s="27" t="s">
        <v>220</v>
      </c>
      <c r="D25" s="27" t="s">
        <v>171</v>
      </c>
      <c r="E25" s="27" t="s">
        <v>918</v>
      </c>
      <c r="F25" s="10"/>
      <c r="G25" s="36" t="s">
        <v>263</v>
      </c>
      <c r="H25" s="37" t="s">
        <v>483</v>
      </c>
      <c r="I25" s="37" t="s">
        <v>290</v>
      </c>
      <c r="J25" s="27"/>
      <c r="K25" s="27"/>
      <c r="L25" s="27" t="s">
        <v>919</v>
      </c>
      <c r="M25" s="27"/>
      <c r="N25" s="27"/>
      <c r="O25" s="1" t="s">
        <v>264</v>
      </c>
      <c r="P25" s="29" t="s">
        <v>265</v>
      </c>
      <c r="Q25" s="27" t="s">
        <v>321</v>
      </c>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COUNTIF(OFFSET($A$1, 1, 0, ROW()-2, 1), "EVT*") + 1, "0000"), "")</f>
        <v/>
      </c>
      <c r="B26" s="30">
        <v>46130</v>
      </c>
      <c r="C26" s="27" t="s">
        <v>266</v>
      </c>
      <c r="D26" s="27"/>
      <c r="E26" s="27"/>
      <c r="F26" s="10"/>
      <c r="G26" s="36" t="s">
        <v>263</v>
      </c>
      <c r="H26" s="37"/>
      <c r="I26" s="37"/>
      <c r="J26" s="27"/>
      <c r="K26" s="27"/>
      <c r="L26" s="27"/>
      <c r="M26" s="27"/>
      <c r="N26" s="27"/>
      <c r="O26" s="1" t="s">
        <v>264</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COUNTIF(OFFSET($A$1, 1, 0, ROW()-2, 1), "EVT*") + 1, "0000"), "")</f>
        <v/>
      </c>
      <c r="B27" s="30">
        <v>46131</v>
      </c>
      <c r="C27" s="27" t="s">
        <v>267</v>
      </c>
      <c r="D27" s="27"/>
      <c r="E27" s="27"/>
      <c r="F27" s="10"/>
      <c r="G27" s="36" t="s">
        <v>263</v>
      </c>
      <c r="H27" s="37"/>
      <c r="I27" s="37"/>
      <c r="J27" s="27"/>
      <c r="K27" s="27"/>
      <c r="L27" s="27"/>
      <c r="M27" s="27"/>
      <c r="N27" s="27"/>
      <c r="O27" s="1" t="s">
        <v>264</v>
      </c>
      <c r="P27" s="29" t="s">
        <v>265</v>
      </c>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COUNTIF(OFFSET($A$1, 1, 0, ROW()-2, 1), "EVT*") + 1, "0000"), "")</f>
        <v>EVT-2026-0396</v>
      </c>
      <c r="B28" s="30">
        <v>46132</v>
      </c>
      <c r="C28" s="27" t="s">
        <v>224</v>
      </c>
      <c r="D28" s="27" t="s">
        <v>920</v>
      </c>
      <c r="E28" s="27" t="s">
        <v>236</v>
      </c>
      <c r="F28" s="10">
        <v>45</v>
      </c>
      <c r="G28" s="36" t="s">
        <v>263</v>
      </c>
      <c r="H28" s="37" t="s">
        <v>269</v>
      </c>
      <c r="I28" s="37" t="s">
        <v>270</v>
      </c>
      <c r="J28" s="27"/>
      <c r="K28" s="27"/>
      <c r="L28" s="27" t="s">
        <v>237</v>
      </c>
      <c r="M28" s="27"/>
      <c r="N28" s="27"/>
      <c r="O28" s="1" t="s">
        <v>264</v>
      </c>
      <c r="P28" s="29" t="s">
        <v>265</v>
      </c>
      <c r="Q28" s="27" t="s">
        <v>921</v>
      </c>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COUNTIF(OFFSET($A$1, 1, 0, ROW()-2, 1), "EVT*") + 1, "0000"), "")</f>
        <v>EVT-2026-0397</v>
      </c>
      <c r="B29" s="30">
        <v>46133</v>
      </c>
      <c r="C29" s="27" t="s">
        <v>227</v>
      </c>
      <c r="D29" s="27" t="s">
        <v>171</v>
      </c>
      <c r="E29" s="27" t="s">
        <v>895</v>
      </c>
      <c r="F29" s="10">
        <v>60</v>
      </c>
      <c r="G29" s="36" t="s">
        <v>263</v>
      </c>
      <c r="H29" s="37" t="s">
        <v>896</v>
      </c>
      <c r="I29" s="37" t="s">
        <v>359</v>
      </c>
      <c r="J29" s="27"/>
      <c r="K29" s="27"/>
      <c r="L29" s="27" t="s">
        <v>785</v>
      </c>
      <c r="M29" s="27"/>
      <c r="N29" s="30">
        <v>46111</v>
      </c>
      <c r="O29" s="1" t="s">
        <v>264</v>
      </c>
      <c r="P29" s="29" t="s">
        <v>265</v>
      </c>
      <c r="Q29" s="27" t="s">
        <v>321</v>
      </c>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COUNTIF(OFFSET($A$1, 1, 0, ROW()-2, 1), "EVT*") + 1, "0000"), "")</f>
        <v>EVT-2026-0398</v>
      </c>
      <c r="B30" s="30">
        <v>46133</v>
      </c>
      <c r="C30" s="27" t="s">
        <v>227</v>
      </c>
      <c r="D30" s="27" t="s">
        <v>171</v>
      </c>
      <c r="E30" s="27" t="s">
        <v>344</v>
      </c>
      <c r="F30" s="10">
        <v>25</v>
      </c>
      <c r="G30" s="36" t="s">
        <v>263</v>
      </c>
      <c r="H30" s="37" t="s">
        <v>269</v>
      </c>
      <c r="I30" s="37" t="s">
        <v>544</v>
      </c>
      <c r="J30" s="27"/>
      <c r="K30" s="27"/>
      <c r="L30" s="27" t="s">
        <v>743</v>
      </c>
      <c r="M30" s="27"/>
      <c r="N30" s="30">
        <v>46132</v>
      </c>
      <c r="O30" s="1" t="s">
        <v>264</v>
      </c>
      <c r="P30" s="29" t="s">
        <v>265</v>
      </c>
      <c r="Q30" s="27" t="s">
        <v>922</v>
      </c>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COUNTIF(OFFSET($A$1, 1, 0, ROW()-2, 1), "EVT*") + 1, "0000"), "")</f>
        <v>EVT-2026-0399</v>
      </c>
      <c r="B31" s="30">
        <v>46133</v>
      </c>
      <c r="C31" s="27" t="s">
        <v>227</v>
      </c>
      <c r="D31" s="27" t="s">
        <v>910</v>
      </c>
      <c r="E31" s="27" t="s">
        <v>923</v>
      </c>
      <c r="F31" s="10">
        <v>30</v>
      </c>
      <c r="G31" s="36" t="s">
        <v>263</v>
      </c>
      <c r="H31" s="37" t="s">
        <v>330</v>
      </c>
      <c r="I31" s="37" t="s">
        <v>350</v>
      </c>
      <c r="J31" s="27"/>
      <c r="K31" s="27"/>
      <c r="L31" s="27" t="s">
        <v>237</v>
      </c>
      <c r="M31" s="27"/>
      <c r="N31" s="30" t="s">
        <v>2234</v>
      </c>
      <c r="O31" s="1" t="s">
        <v>264</v>
      </c>
      <c r="P31" s="29" t="s">
        <v>265</v>
      </c>
      <c r="Q31" s="27" t="s">
        <v>894</v>
      </c>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COUNTIF(OFFSET($A$1, 1, 0, ROW()-2, 1), "EVT*") + 1, "0000"), "")</f>
        <v>EVT-2026-0400</v>
      </c>
      <c r="B32" s="30">
        <v>46133</v>
      </c>
      <c r="C32" s="27" t="s">
        <v>227</v>
      </c>
      <c r="D32" s="27" t="s">
        <v>171</v>
      </c>
      <c r="E32" s="27" t="s">
        <v>924</v>
      </c>
      <c r="F32" s="10">
        <v>20</v>
      </c>
      <c r="G32" s="36" t="s">
        <v>263</v>
      </c>
      <c r="H32" s="37" t="s">
        <v>309</v>
      </c>
      <c r="I32" s="37" t="s">
        <v>295</v>
      </c>
      <c r="J32" s="27"/>
      <c r="K32" s="27"/>
      <c r="L32" s="27" t="s">
        <v>925</v>
      </c>
      <c r="M32" s="27"/>
      <c r="N32" s="30" t="s">
        <v>2235</v>
      </c>
      <c r="O32" s="1" t="s">
        <v>264</v>
      </c>
      <c r="P32" s="29" t="s">
        <v>265</v>
      </c>
      <c r="Q32" s="27" t="s">
        <v>298</v>
      </c>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COUNTIF(OFFSET($A$1, 1, 0, ROW()-2, 1), "EVT*") + 1, "0000"), "")</f>
        <v>EVT-2026-0401</v>
      </c>
      <c r="B33" s="30">
        <v>46134</v>
      </c>
      <c r="C33" s="27" t="s">
        <v>201</v>
      </c>
      <c r="D33" s="27" t="s">
        <v>171</v>
      </c>
      <c r="E33" s="27" t="s">
        <v>926</v>
      </c>
      <c r="F33" s="10">
        <v>60</v>
      </c>
      <c r="G33" s="36" t="s">
        <v>263</v>
      </c>
      <c r="H33" s="37" t="s">
        <v>506</v>
      </c>
      <c r="I33" s="37" t="s">
        <v>354</v>
      </c>
      <c r="J33" s="27"/>
      <c r="K33" s="27"/>
      <c r="L33" s="27" t="s">
        <v>927</v>
      </c>
      <c r="M33" s="27"/>
      <c r="N33" s="30" t="s">
        <v>2236</v>
      </c>
      <c r="O33" s="1" t="s">
        <v>264</v>
      </c>
      <c r="P33" s="29" t="s">
        <v>265</v>
      </c>
      <c r="Q33" s="27" t="s">
        <v>298</v>
      </c>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COUNTIF(OFFSET($A$1, 1, 0, ROW()-2, 1), "EVT*") + 1, "0000"), "")</f>
        <v>EVT-2026-0402</v>
      </c>
      <c r="B34" s="30">
        <v>46134</v>
      </c>
      <c r="C34" s="27" t="s">
        <v>201</v>
      </c>
      <c r="D34" s="27" t="s">
        <v>171</v>
      </c>
      <c r="E34" s="27" t="s">
        <v>928</v>
      </c>
      <c r="F34" s="10">
        <v>60</v>
      </c>
      <c r="G34" s="36" t="s">
        <v>263</v>
      </c>
      <c r="H34" s="37" t="s">
        <v>289</v>
      </c>
      <c r="I34" s="37" t="s">
        <v>296</v>
      </c>
      <c r="J34" s="27"/>
      <c r="K34" s="27" t="s">
        <v>929</v>
      </c>
      <c r="L34" s="27" t="s">
        <v>930</v>
      </c>
      <c r="M34" s="27"/>
      <c r="N34" s="27"/>
      <c r="O34" s="1" t="s">
        <v>264</v>
      </c>
      <c r="P34" s="29" t="s">
        <v>265</v>
      </c>
      <c r="Q34" s="27" t="s">
        <v>931</v>
      </c>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COUNTIF(OFFSET($A$1, 1, 0, ROW()-2, 1), "EVT*") + 1, "0000"), "")</f>
        <v>EVT-2026-0403</v>
      </c>
      <c r="B35" s="30">
        <v>46135</v>
      </c>
      <c r="C35" s="27" t="s">
        <v>216</v>
      </c>
      <c r="D35" s="27" t="s">
        <v>171</v>
      </c>
      <c r="E35" s="27" t="s">
        <v>932</v>
      </c>
      <c r="F35" s="10">
        <v>30</v>
      </c>
      <c r="G35" s="36" t="s">
        <v>263</v>
      </c>
      <c r="H35" s="37" t="s">
        <v>309</v>
      </c>
      <c r="I35" s="37" t="s">
        <v>295</v>
      </c>
      <c r="J35" s="27"/>
      <c r="K35" s="27"/>
      <c r="L35" s="27" t="s">
        <v>933</v>
      </c>
      <c r="M35" s="27"/>
      <c r="N35" s="27"/>
      <c r="O35" s="1" t="s">
        <v>264</v>
      </c>
      <c r="P35" s="29" t="s">
        <v>265</v>
      </c>
      <c r="Q35" s="27" t="s">
        <v>934</v>
      </c>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COUNTIF(OFFSET($A$1, 1, 0, ROW()-2, 1), "EVT*") + 1, "0000"), "")</f>
        <v>EVT-2026-0404</v>
      </c>
      <c r="B36" s="30">
        <v>46135</v>
      </c>
      <c r="C36" s="27" t="s">
        <v>216</v>
      </c>
      <c r="D36" s="27" t="s">
        <v>171</v>
      </c>
      <c r="E36" s="27" t="s">
        <v>935</v>
      </c>
      <c r="F36" s="10">
        <v>35</v>
      </c>
      <c r="G36" s="36" t="s">
        <v>263</v>
      </c>
      <c r="H36" s="37" t="s">
        <v>315</v>
      </c>
      <c r="I36" s="37" t="s">
        <v>330</v>
      </c>
      <c r="J36" s="27"/>
      <c r="K36" s="27"/>
      <c r="L36" s="27" t="s">
        <v>594</v>
      </c>
      <c r="M36" s="27"/>
      <c r="N36" s="30" t="s">
        <v>2237</v>
      </c>
      <c r="O36" s="1" t="s">
        <v>264</v>
      </c>
      <c r="P36" s="29" t="s">
        <v>265</v>
      </c>
      <c r="Q36" s="27" t="s">
        <v>321</v>
      </c>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COUNTIF(OFFSET($A$1, 1, 0, ROW()-2, 1), "EVT*") + 1, "0000"), "")</f>
        <v>EVT-2026-0405</v>
      </c>
      <c r="B37" s="30">
        <v>46135</v>
      </c>
      <c r="C37" s="27" t="s">
        <v>216</v>
      </c>
      <c r="D37" s="27" t="s">
        <v>462</v>
      </c>
      <c r="E37" s="27" t="s">
        <v>327</v>
      </c>
      <c r="F37" s="10">
        <v>30</v>
      </c>
      <c r="G37" s="36" t="s">
        <v>263</v>
      </c>
      <c r="H37" s="37" t="s">
        <v>269</v>
      </c>
      <c r="I37" s="37" t="s">
        <v>270</v>
      </c>
      <c r="J37" s="27"/>
      <c r="K37" s="27" t="s">
        <v>936</v>
      </c>
      <c r="L37" s="27" t="s">
        <v>237</v>
      </c>
      <c r="M37" s="27"/>
      <c r="N37" s="30" t="s">
        <v>2234</v>
      </c>
      <c r="O37" s="1" t="s">
        <v>264</v>
      </c>
      <c r="P37" s="29" t="s">
        <v>265</v>
      </c>
      <c r="Q37" s="27" t="s">
        <v>894</v>
      </c>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COUNTIF(OFFSET($A$1, 1, 0, ROW()-2, 1), "EVT*") + 1, "0000"), "")</f>
        <v>EVT-2026-0406</v>
      </c>
      <c r="B38" s="30">
        <v>46136</v>
      </c>
      <c r="C38" s="27" t="s">
        <v>220</v>
      </c>
      <c r="D38" s="27" t="s">
        <v>462</v>
      </c>
      <c r="E38" s="27" t="s">
        <v>327</v>
      </c>
      <c r="F38" s="10"/>
      <c r="G38" s="36" t="s">
        <v>263</v>
      </c>
      <c r="H38" s="37"/>
      <c r="I38" s="37"/>
      <c r="J38" s="27"/>
      <c r="K38" s="27"/>
      <c r="L38" s="27"/>
      <c r="M38" s="27"/>
      <c r="N38" s="27"/>
      <c r="O38" s="1" t="s">
        <v>264</v>
      </c>
      <c r="P38" s="29" t="s">
        <v>265</v>
      </c>
      <c r="Q38" s="27"/>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COUNTIF(OFFSET($A$1, 1, 0, ROW()-2, 1), "EVT*") + 1, "0000"), "")</f>
        <v>EVT-2026-0407</v>
      </c>
      <c r="B39" s="30">
        <v>46136</v>
      </c>
      <c r="C39" s="27" t="s">
        <v>220</v>
      </c>
      <c r="D39" s="27" t="s">
        <v>937</v>
      </c>
      <c r="E39" s="27" t="s">
        <v>938</v>
      </c>
      <c r="F39" s="10">
        <v>25</v>
      </c>
      <c r="G39" s="36" t="s">
        <v>263</v>
      </c>
      <c r="H39" s="37" t="s">
        <v>506</v>
      </c>
      <c r="I39" s="37" t="s">
        <v>331</v>
      </c>
      <c r="J39" s="27"/>
      <c r="K39" s="27"/>
      <c r="L39" s="27" t="s">
        <v>925</v>
      </c>
      <c r="M39" s="27"/>
      <c r="N39" s="27"/>
      <c r="O39" s="1" t="s">
        <v>264</v>
      </c>
      <c r="P39" s="29" t="s">
        <v>265</v>
      </c>
      <c r="Q39" s="27" t="s">
        <v>298</v>
      </c>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COUNTIF(OFFSET($A$1, 1, 0, ROW()-2, 1), "EVT*") + 1, "0000"), "")</f>
        <v>EVT-2026-0408</v>
      </c>
      <c r="B40" s="30">
        <v>46136</v>
      </c>
      <c r="C40" s="27" t="s">
        <v>220</v>
      </c>
      <c r="D40" s="27" t="s">
        <v>937</v>
      </c>
      <c r="E40" s="27" t="s">
        <v>939</v>
      </c>
      <c r="F40" s="10"/>
      <c r="G40" s="36" t="s">
        <v>263</v>
      </c>
      <c r="H40" s="37" t="s">
        <v>350</v>
      </c>
      <c r="I40" s="37" t="s">
        <v>296</v>
      </c>
      <c r="J40" s="27" t="s">
        <v>369</v>
      </c>
      <c r="K40" s="27" t="s">
        <v>531</v>
      </c>
      <c r="L40" s="27" t="s">
        <v>237</v>
      </c>
      <c r="M40" s="27"/>
      <c r="N40" s="30" t="s">
        <v>2169</v>
      </c>
      <c r="O40" s="1" t="s">
        <v>264</v>
      </c>
      <c r="P40" s="29" t="s">
        <v>265</v>
      </c>
      <c r="Q40" s="27" t="s">
        <v>307</v>
      </c>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COUNTIF(OFFSET($A$1, 1, 0, ROW()-2, 1), "EVT*") + 1, "0000"), "")</f>
        <v>EVT-2026-0409</v>
      </c>
      <c r="B41" s="30">
        <v>46137</v>
      </c>
      <c r="C41" s="27" t="s">
        <v>266</v>
      </c>
      <c r="D41" s="27" t="s">
        <v>300</v>
      </c>
      <c r="E41" s="27"/>
      <c r="F41" s="10">
        <v>150</v>
      </c>
      <c r="G41" s="38" t="s">
        <v>294</v>
      </c>
      <c r="H41" s="37" t="s">
        <v>269</v>
      </c>
      <c r="I41" s="37" t="s">
        <v>270</v>
      </c>
      <c r="J41" s="27"/>
      <c r="K41" s="27"/>
      <c r="L41" s="27" t="s">
        <v>940</v>
      </c>
      <c r="M41" s="27"/>
      <c r="N41" s="27"/>
      <c r="O41" s="1" t="s">
        <v>264</v>
      </c>
      <c r="P41" s="29" t="s">
        <v>265</v>
      </c>
      <c r="Q41" s="27" t="s">
        <v>941</v>
      </c>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COUNTIF(OFFSET($A$1, 1, 0, ROW()-2, 1), "EVT*") + 1, "0000"), "")</f>
        <v/>
      </c>
      <c r="B42" s="30">
        <v>46138</v>
      </c>
      <c r="C42" s="27" t="s">
        <v>267</v>
      </c>
      <c r="D42" s="27"/>
      <c r="E42" s="27"/>
      <c r="F42" s="10"/>
      <c r="G42" s="36" t="s">
        <v>263</v>
      </c>
      <c r="H42" s="37"/>
      <c r="I42" s="37"/>
      <c r="J42" s="27"/>
      <c r="K42" s="27"/>
      <c r="L42" s="27"/>
      <c r="M42" s="27"/>
      <c r="N42" s="27"/>
      <c r="O42" s="1" t="s">
        <v>264</v>
      </c>
      <c r="P42" s="29" t="s">
        <v>265</v>
      </c>
      <c r="Q42" s="27"/>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COUNTIF(OFFSET($A$1, 1, 0, ROW()-2, 1), "EVT*") + 1, "0000"), "")</f>
        <v>EVT-2026-0410</v>
      </c>
      <c r="B43" s="30">
        <v>46139</v>
      </c>
      <c r="C43" s="27" t="s">
        <v>224</v>
      </c>
      <c r="D43" s="27" t="s">
        <v>171</v>
      </c>
      <c r="E43" s="27" t="s">
        <v>942</v>
      </c>
      <c r="F43" s="10">
        <v>60</v>
      </c>
      <c r="G43" s="36" t="s">
        <v>263</v>
      </c>
      <c r="H43" s="37" t="s">
        <v>330</v>
      </c>
      <c r="I43" s="37" t="s">
        <v>331</v>
      </c>
      <c r="J43" s="27"/>
      <c r="K43" s="27"/>
      <c r="L43" s="27" t="s">
        <v>943</v>
      </c>
      <c r="M43" s="27"/>
      <c r="N43" s="30" t="s">
        <v>2238</v>
      </c>
      <c r="O43" s="3" t="s">
        <v>312</v>
      </c>
      <c r="P43" s="29" t="s">
        <v>265</v>
      </c>
      <c r="Q43" s="27" t="s">
        <v>500</v>
      </c>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COUNTIF(OFFSET($A$1, 1, 0, ROW()-2, 1), "EVT*") + 1, "0000"), "")</f>
        <v>EVT-2026-0411</v>
      </c>
      <c r="B44" s="30">
        <v>46139</v>
      </c>
      <c r="C44" s="27" t="s">
        <v>224</v>
      </c>
      <c r="D44" s="27" t="s">
        <v>171</v>
      </c>
      <c r="E44" s="27" t="s">
        <v>944</v>
      </c>
      <c r="F44" s="10">
        <v>60</v>
      </c>
      <c r="G44" s="36" t="s">
        <v>263</v>
      </c>
      <c r="H44" s="37" t="s">
        <v>295</v>
      </c>
      <c r="I44" s="37" t="s">
        <v>296</v>
      </c>
      <c r="J44" s="27"/>
      <c r="K44" s="27"/>
      <c r="L44" s="27" t="s">
        <v>945</v>
      </c>
      <c r="M44" s="27"/>
      <c r="N44" s="27"/>
      <c r="O44" s="1" t="s">
        <v>264</v>
      </c>
      <c r="P44" s="29" t="s">
        <v>265</v>
      </c>
      <c r="Q44" s="27" t="s">
        <v>298</v>
      </c>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COUNTIF(OFFSET($A$1, 1, 0, ROW()-2, 1), "EVT*") + 1, "0000"), "")</f>
        <v>EVT-2026-0412</v>
      </c>
      <c r="B45" s="30">
        <v>46139</v>
      </c>
      <c r="C45" s="27" t="s">
        <v>224</v>
      </c>
      <c r="D45" s="27" t="s">
        <v>171</v>
      </c>
      <c r="E45" s="27" t="s">
        <v>236</v>
      </c>
      <c r="F45" s="10"/>
      <c r="G45" s="36" t="s">
        <v>263</v>
      </c>
      <c r="H45" s="37" t="s">
        <v>946</v>
      </c>
      <c r="I45" s="37" t="s">
        <v>270</v>
      </c>
      <c r="J45" s="27"/>
      <c r="K45" s="27"/>
      <c r="L45" s="27" t="s">
        <v>237</v>
      </c>
      <c r="M45" s="27"/>
      <c r="N45" s="27"/>
      <c r="O45" s="1" t="s">
        <v>264</v>
      </c>
      <c r="P45" s="29" t="s">
        <v>265</v>
      </c>
      <c r="Q45" s="27" t="s">
        <v>947</v>
      </c>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COUNTIF(OFFSET($A$1, 1, 0, ROW()-2, 1), "EVT*") + 1, "0000"), "")</f>
        <v>EVT-2026-0413</v>
      </c>
      <c r="B46" s="30">
        <v>46140</v>
      </c>
      <c r="C46" s="27" t="s">
        <v>227</v>
      </c>
      <c r="D46" s="27" t="s">
        <v>171</v>
      </c>
      <c r="E46" s="27" t="s">
        <v>907</v>
      </c>
      <c r="F46" s="10">
        <v>60</v>
      </c>
      <c r="G46" s="36" t="s">
        <v>263</v>
      </c>
      <c r="H46" s="37" t="s">
        <v>309</v>
      </c>
      <c r="I46" s="37" t="s">
        <v>295</v>
      </c>
      <c r="J46" s="27"/>
      <c r="K46" s="27"/>
      <c r="L46" s="27" t="s">
        <v>335</v>
      </c>
      <c r="M46" s="27"/>
      <c r="N46" s="27"/>
      <c r="O46" s="1" t="s">
        <v>264</v>
      </c>
      <c r="P46" s="29" t="s">
        <v>265</v>
      </c>
      <c r="Q46" s="27" t="s">
        <v>298</v>
      </c>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COUNTIF(OFFSET($A$1, 1, 0, ROW()-2, 1), "EVT*") + 1, "0000"), "")</f>
        <v>EVT-2026-0414</v>
      </c>
      <c r="B47" s="30">
        <v>46140</v>
      </c>
      <c r="C47" s="27" t="s">
        <v>227</v>
      </c>
      <c r="D47" s="27" t="s">
        <v>171</v>
      </c>
      <c r="E47" s="27" t="s">
        <v>948</v>
      </c>
      <c r="F47" s="10"/>
      <c r="G47" s="36" t="s">
        <v>263</v>
      </c>
      <c r="H47" s="37" t="s">
        <v>553</v>
      </c>
      <c r="I47" s="37" t="s">
        <v>350</v>
      </c>
      <c r="J47" s="27"/>
      <c r="K47" s="27"/>
      <c r="L47" s="27" t="s">
        <v>949</v>
      </c>
      <c r="M47" s="27"/>
      <c r="N47" s="27"/>
      <c r="O47" s="1" t="s">
        <v>264</v>
      </c>
      <c r="P47" s="29" t="s">
        <v>265</v>
      </c>
      <c r="Q47" s="27" t="s">
        <v>298</v>
      </c>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COUNTIF(OFFSET($A$1, 1, 0, ROW()-2, 1), "EVT*") + 1, "0000"), "")</f>
        <v>EVT-2026-0415</v>
      </c>
      <c r="B48" s="30">
        <v>46140</v>
      </c>
      <c r="C48" s="27" t="s">
        <v>227</v>
      </c>
      <c r="D48" s="27" t="s">
        <v>171</v>
      </c>
      <c r="E48" s="27" t="s">
        <v>874</v>
      </c>
      <c r="F48" s="10">
        <v>30</v>
      </c>
      <c r="G48" s="36" t="s">
        <v>263</v>
      </c>
      <c r="H48" s="37" t="s">
        <v>309</v>
      </c>
      <c r="I48" s="37" t="s">
        <v>270</v>
      </c>
      <c r="J48" s="27"/>
      <c r="K48" s="27"/>
      <c r="L48" s="27" t="s">
        <v>370</v>
      </c>
      <c r="M48" s="27"/>
      <c r="N48" s="27"/>
      <c r="O48" s="1" t="s">
        <v>264</v>
      </c>
      <c r="P48" s="29" t="s">
        <v>265</v>
      </c>
      <c r="Q48" s="27" t="s">
        <v>303</v>
      </c>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COUNTIF(OFFSET($A$1, 1, 0, ROW()-2, 1), "EVT*") + 1, "0000"), "")</f>
        <v>EVT-2026-0416</v>
      </c>
      <c r="B49" s="30">
        <v>46140</v>
      </c>
      <c r="C49" s="27" t="s">
        <v>227</v>
      </c>
      <c r="D49" s="27" t="s">
        <v>326</v>
      </c>
      <c r="E49" s="27" t="s">
        <v>950</v>
      </c>
      <c r="F49" s="10"/>
      <c r="G49" s="36" t="s">
        <v>263</v>
      </c>
      <c r="H49" s="37" t="s">
        <v>309</v>
      </c>
      <c r="I49" s="37" t="s">
        <v>270</v>
      </c>
      <c r="J49" s="27"/>
      <c r="K49" s="27"/>
      <c r="L49" s="27"/>
      <c r="M49" s="27"/>
      <c r="N49" s="27"/>
      <c r="O49" s="1" t="s">
        <v>264</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COUNTIF(OFFSET($A$1, 1, 0, ROW()-2, 1), "EVT*") + 1, "0000"), "")</f>
        <v>EVT-2026-0417</v>
      </c>
      <c r="B50" s="30" t="s">
        <v>2239</v>
      </c>
      <c r="C50" s="27" t="s">
        <v>852</v>
      </c>
      <c r="D50" s="27" t="s">
        <v>326</v>
      </c>
      <c r="E50" s="27" t="s">
        <v>951</v>
      </c>
      <c r="F50" s="10">
        <v>45</v>
      </c>
      <c r="G50" s="36" t="s">
        <v>263</v>
      </c>
      <c r="H50" s="37" t="s">
        <v>269</v>
      </c>
      <c r="I50" s="37" t="s">
        <v>270</v>
      </c>
      <c r="J50" s="27"/>
      <c r="K50" s="27"/>
      <c r="L50" s="27" t="s">
        <v>952</v>
      </c>
      <c r="M50" s="27"/>
      <c r="N50" s="27"/>
      <c r="O50" s="1" t="s">
        <v>264</v>
      </c>
      <c r="P50" s="29" t="s">
        <v>265</v>
      </c>
      <c r="Q50" s="27" t="s">
        <v>303</v>
      </c>
      <c r="R50" s="27"/>
    </row>
    <row r="51" spans="1:18" ht="24" customHeight="1">
      <c r="A51" s="27" t="str">
        <f ca="1">IF(OR(D51&lt;&gt;"", E51&lt;&gt;"", K51&lt;&gt;"", N51&lt;&gt;""), "EVT-2026-" &amp; TEXT(COUNTIF('DT-3 Jan26'!$A$3:$A$500, "EVT*") + COUNTIF('DT-4 Jan26'!$A$3:$A$500, "EVT*") + COUNTIF('DT-3 Feb26'!$A$3:$A$500, "EVT*") + COUNTIF('DT-4 Feb26'!$A$3:$A$500, "EVT*") + COUNTIF('DT-3 Mar26'!$A$3:$A$500, "EVT*") + COUNTIF('DT-4 Mar26'!$A$3:$A$500, "EVT*") + COUNTIF(OFFSET($A$1, 1, 0, ROW()-2, 1), "EVT*") + 1, "0000"), "")</f>
        <v>EVT-2026-0418</v>
      </c>
      <c r="B51" s="30">
        <v>46141</v>
      </c>
      <c r="C51" s="27" t="s">
        <v>201</v>
      </c>
      <c r="D51" s="27" t="s">
        <v>937</v>
      </c>
      <c r="E51" s="27" t="s">
        <v>353</v>
      </c>
      <c r="F51" s="10">
        <v>70</v>
      </c>
      <c r="G51" s="36" t="s">
        <v>263</v>
      </c>
      <c r="H51" s="37" t="s">
        <v>506</v>
      </c>
      <c r="I51" s="37" t="s">
        <v>429</v>
      </c>
      <c r="J51" s="27"/>
      <c r="K51" s="27"/>
      <c r="L51" s="27" t="s">
        <v>811</v>
      </c>
      <c r="M51" s="27"/>
      <c r="N51" s="27"/>
      <c r="O51" s="1" t="s">
        <v>264</v>
      </c>
      <c r="P51" s="29" t="s">
        <v>265</v>
      </c>
      <c r="Q51" s="27" t="s">
        <v>321</v>
      </c>
      <c r="R51" s="27"/>
    </row>
    <row r="52" spans="1:18" ht="24" customHeight="1">
      <c r="A52" s="27" t="str">
        <f ca="1">IF(OR(D52&lt;&gt;"", E52&lt;&gt;"", K52&lt;&gt;"", N52&lt;&gt;""), "EVT-2026-" &amp; TEXT(COUNTIF('DT-3 Jan26'!$A$3:$A$500, "EVT*") + COUNTIF('DT-4 Jan26'!$A$3:$A$500, "EVT*") + COUNTIF('DT-3 Feb26'!$A$3:$A$500, "EVT*") + COUNTIF('DT-4 Feb26'!$A$3:$A$500, "EVT*") + COUNTIF('DT-3 Mar26'!$A$3:$A$500, "EVT*") + COUNTIF('DT-4 Mar26'!$A$3:$A$500, "EVT*") + COUNTIF(OFFSET($A$1, 1, 0, ROW()-2, 1), "EVT*") + 1, "0000"), "")</f>
        <v>EVT-2026-0419</v>
      </c>
      <c r="B52" s="30">
        <v>46141</v>
      </c>
      <c r="C52" s="27" t="s">
        <v>201</v>
      </c>
      <c r="D52" s="27" t="s">
        <v>937</v>
      </c>
      <c r="E52" s="27" t="s">
        <v>953</v>
      </c>
      <c r="F52" s="10">
        <v>60</v>
      </c>
      <c r="G52" s="36" t="s">
        <v>263</v>
      </c>
      <c r="H52" s="37" t="s">
        <v>275</v>
      </c>
      <c r="I52" s="37" t="s">
        <v>270</v>
      </c>
      <c r="J52" s="27"/>
      <c r="K52" s="27"/>
      <c r="L52" s="27" t="s">
        <v>237</v>
      </c>
      <c r="M52" s="27"/>
      <c r="N52" s="27"/>
      <c r="O52" s="1" t="s">
        <v>264</v>
      </c>
      <c r="P52" s="29" t="s">
        <v>265</v>
      </c>
      <c r="Q52" s="27" t="s">
        <v>894</v>
      </c>
      <c r="R52" s="27"/>
    </row>
    <row r="53" spans="1:18" ht="24" customHeight="1">
      <c r="A53" s="27" t="str">
        <f ca="1">IF(OR(D53&lt;&gt;"", E53&lt;&gt;"", K53&lt;&gt;"", N53&lt;&gt;""), "EVT-2026-" &amp; TEXT(COUNTIF('DT-3 Jan26'!$A$3:$A$500, "EVT*") + COUNTIF('DT-4 Jan26'!$A$3:$A$500, "EVT*") + COUNTIF('DT-3 Feb26'!$A$3:$A$500, "EVT*") + COUNTIF('DT-4 Feb26'!$A$3:$A$500, "EVT*") + COUNTIF('DT-3 Mar26'!$A$3:$A$500, "EVT*") + COUNTIF('DT-4 Mar26'!$A$3:$A$500, "EVT*") + COUNTIF(OFFSET($A$1, 1, 0, ROW()-2, 1), "EVT*") + 1, "0000"), "")</f>
        <v>EVT-2026-0420</v>
      </c>
      <c r="B53" s="30">
        <v>46142</v>
      </c>
      <c r="C53" s="27" t="s">
        <v>216</v>
      </c>
      <c r="D53" s="27" t="s">
        <v>954</v>
      </c>
      <c r="E53" s="27" t="s">
        <v>481</v>
      </c>
      <c r="F53" s="10"/>
      <c r="G53" s="36" t="s">
        <v>263</v>
      </c>
      <c r="H53" s="37"/>
      <c r="I53" s="37"/>
      <c r="J53" s="27"/>
      <c r="K53" s="27"/>
      <c r="L53" s="27"/>
      <c r="M53" s="27"/>
      <c r="N53" s="27"/>
      <c r="O53" s="1" t="s">
        <v>264</v>
      </c>
      <c r="P53" s="29" t="s">
        <v>265</v>
      </c>
      <c r="Q53" s="27"/>
      <c r="R53" s="27"/>
    </row>
    <row r="54" spans="1:18" ht="24" customHeight="1">
      <c r="A54" s="27" t="str">
        <f ca="1">IF(OR(D54&lt;&gt;"", E54&lt;&gt;"", K54&lt;&gt;"", N54&lt;&gt;""), "EVT-2026-" &amp; TEXT(COUNTIF('DT-3 Jan26'!$A$3:$A$500, "EVT*") + COUNTIF('DT-4 Jan26'!$A$3:$A$500, "EVT*") + COUNTIF('DT-3 Feb26'!$A$3:$A$500, "EVT*") + COUNTIF('DT-4 Feb26'!$A$3:$A$500, "EVT*") + COUNTIF('DT-3 Mar26'!$A$3:$A$500, "EVT*") + COUNTIF('DT-4 Mar26'!$A$3:$A$500, "EVT*") + COUNTIF(OFFSET($A$1, 1, 0, ROW()-2, 1), "EVT*") + 1, "0000"), "")</f>
        <v/>
      </c>
      <c r="B54" s="30">
        <v>46142</v>
      </c>
      <c r="C54" s="27" t="s">
        <v>216</v>
      </c>
      <c r="D54" s="27"/>
      <c r="E54" s="27"/>
      <c r="F54" s="10"/>
      <c r="G54" s="36" t="s">
        <v>263</v>
      </c>
      <c r="H54" s="37"/>
      <c r="I54" s="37"/>
      <c r="J54" s="27"/>
      <c r="K54" s="27"/>
      <c r="L54" s="27"/>
      <c r="M54" s="27"/>
      <c r="N54" s="27"/>
      <c r="O54" s="1" t="s">
        <v>264</v>
      </c>
      <c r="P54" s="29" t="s">
        <v>265</v>
      </c>
      <c r="Q54" s="27"/>
      <c r="R54" s="27"/>
    </row>
    <row r="55" spans="1:18" ht="24" customHeight="1">
      <c r="A55" s="27" t="str">
        <f ca="1">IF(OR(D55&lt;&gt;"", E55&lt;&gt;"", K55&lt;&gt;"", N55&lt;&gt;""), "EVT-2026-" &amp; TEXT(COUNTIF('DT-3 Jan26'!$A$3:$A$500, "EVT*") + COUNTIF('DT-4 Jan26'!$A$3:$A$500, "EVT*") + COUNTIF('DT-3 Feb26'!$A$3:$A$500, "EVT*") + COUNTIF('DT-4 Feb26'!$A$3:$A$500, "EVT*") + COUNTIF('DT-3 Mar26'!$A$3:$A$500, "EVT*") + COUNTIF('DT-4 Mar26'!$A$3:$A$500, "EVT*") + COUNTIF(OFFSET($A$1, 1, 0, ROW()-2, 1), "EVT*") + 1, "0000"), "")</f>
        <v/>
      </c>
      <c r="B55" s="27"/>
      <c r="C55" s="27"/>
      <c r="D55" s="27"/>
      <c r="E55" s="27"/>
      <c r="F55" s="10">
        <f>SUM(E2:E53)</f>
        <v>0</v>
      </c>
      <c r="G55" s="36" t="s">
        <v>263</v>
      </c>
      <c r="H55" s="37"/>
      <c r="I55" s="37"/>
      <c r="J55" s="27"/>
      <c r="K55" s="27"/>
      <c r="L55" s="27"/>
      <c r="M55" s="27"/>
      <c r="N55" s="27"/>
      <c r="O55" s="1" t="s">
        <v>264</v>
      </c>
      <c r="P55" s="29" t="s">
        <v>265</v>
      </c>
      <c r="Q55" s="27"/>
      <c r="R55" s="27"/>
    </row>
  </sheetData>
  <mergeCells count="3">
    <mergeCell ref="A1:C1"/>
    <mergeCell ref="N1:R1"/>
    <mergeCell ref="D1:M1"/>
  </mergeCells>
  <dataValidations count="4">
    <dataValidation type="list" allowBlank="1" sqref="N3:N500 O3:O55" xr:uid="{00000000-0002-0000-0800-000000000000}">
      <formula1>"Confirmed (Done),Pending Calendar Booking,Canceled"</formula1>
    </dataValidation>
    <dataValidation type="list" allowBlank="1" sqref="O3:O105" xr:uid="{00000000-0002-0000-0800-000001000000}">
      <formula1>"Form sent,NA"</formula1>
    </dataValidation>
    <dataValidation type="list" allowBlank="1" sqref="P3:P55" xr:uid="{00000000-0002-0000-0800-000002000000}">
      <formula1>"Form sent,Not Required,NA"</formula1>
    </dataValidation>
    <dataValidation type="list" allowBlank="1" sqref="G3:G55" xr:uid="{00000000-0002-0000-0800-000003000000}">
      <formula1>"Big Event,Small Event"</formula1>
    </dataValidation>
  </dataValidations>
  <hyperlinks>
    <hyperlink ref="A1" location="'Dashboard'!A1" display="🏠 ⮌ RETURN TO DASHBOARD"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70"/>
  <sheetViews>
    <sheetView workbookViewId="0">
      <pane ySplit="2" topLeftCell="A3" activePane="bottomLeft" state="frozen"/>
      <selection pane="bottomLeft"/>
    </sheetView>
  </sheetViews>
  <sheetFormatPr defaultRowHeight="14.45"/>
  <cols>
    <col min="1" max="1" width="18" customWidth="1"/>
    <col min="2" max="2" width="30" customWidth="1"/>
    <col min="3" max="3" width="13" customWidth="1"/>
    <col min="4" max="4" width="41" customWidth="1"/>
    <col min="5" max="5" width="21" customWidth="1"/>
    <col min="6" max="6" width="48" customWidth="1"/>
    <col min="7" max="7" width="18" customWidth="1"/>
    <col min="8" max="8" width="15" customWidth="1"/>
    <col min="9" max="9" width="19" customWidth="1"/>
    <col min="10" max="10" width="17" customWidth="1"/>
    <col min="11" max="11" width="48" customWidth="1"/>
    <col min="12" max="12" width="22" customWidth="1"/>
    <col min="13" max="13" width="21" customWidth="1"/>
    <col min="14" max="14" width="25" customWidth="1"/>
    <col min="15" max="15" width="18" customWidth="1"/>
    <col min="16" max="16" width="25" customWidth="1"/>
    <col min="17" max="17" width="18" customWidth="1"/>
    <col min="18" max="18" width="48" customWidth="1"/>
    <col min="19" max="19" width="22" customWidth="1"/>
  </cols>
  <sheetData>
    <row r="1" spans="1:19" ht="27.95" customHeight="1">
      <c r="A1" s="62" t="s">
        <v>2138</v>
      </c>
      <c r="B1" s="134"/>
      <c r="C1" s="135"/>
      <c r="D1" s="63" t="s">
        <v>2240</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COUNTIF(OFFSET($A$1, 1, 0, ROW()-2, 1), "EVT*") + 1, "0000"), "")</f>
        <v>EVT-2026-0421</v>
      </c>
      <c r="B3" s="30" t="s">
        <v>2241</v>
      </c>
      <c r="C3" s="27" t="s">
        <v>201</v>
      </c>
      <c r="D3" s="27" t="s">
        <v>736</v>
      </c>
      <c r="E3" s="27" t="s">
        <v>202</v>
      </c>
      <c r="F3" s="27" t="s">
        <v>955</v>
      </c>
      <c r="G3" s="10">
        <v>20</v>
      </c>
      <c r="H3" s="36" t="s">
        <v>263</v>
      </c>
      <c r="I3" s="37" t="s">
        <v>269</v>
      </c>
      <c r="J3" s="37" t="s">
        <v>270</v>
      </c>
      <c r="K3" s="27"/>
      <c r="L3" s="27"/>
      <c r="M3" s="27" t="s">
        <v>494</v>
      </c>
      <c r="N3" s="27"/>
      <c r="O3" s="27"/>
      <c r="P3" s="1" t="s">
        <v>264</v>
      </c>
      <c r="Q3" s="29" t="s">
        <v>265</v>
      </c>
      <c r="R3" s="27" t="s">
        <v>303</v>
      </c>
      <c r="S3" s="27"/>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COUNTIF(OFFSET($A$1, 1, 0, ROW()-2, 1), "EVT*") + 1, "0000"), "")</f>
        <v>EVT-2026-0422</v>
      </c>
      <c r="B4" s="30" t="s">
        <v>2241</v>
      </c>
      <c r="C4" s="27" t="s">
        <v>201</v>
      </c>
      <c r="D4" s="27" t="s">
        <v>956</v>
      </c>
      <c r="E4" s="27" t="s">
        <v>228</v>
      </c>
      <c r="F4" s="27" t="s">
        <v>955</v>
      </c>
      <c r="G4" s="10">
        <v>20</v>
      </c>
      <c r="H4" s="36" t="s">
        <v>263</v>
      </c>
      <c r="I4" s="37" t="s">
        <v>269</v>
      </c>
      <c r="J4" s="37" t="s">
        <v>270</v>
      </c>
      <c r="K4" s="27"/>
      <c r="L4" s="27"/>
      <c r="M4" s="27" t="s">
        <v>494</v>
      </c>
      <c r="N4" s="27"/>
      <c r="O4" s="27"/>
      <c r="P4" s="1" t="s">
        <v>264</v>
      </c>
      <c r="Q4" s="29" t="s">
        <v>265</v>
      </c>
      <c r="R4" s="27" t="s">
        <v>303</v>
      </c>
      <c r="S4" s="27"/>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COUNTIF(OFFSET($A$1, 1, 0, ROW()-2, 1), "EVT*") + 1, "0000"), "")</f>
        <v>EVT-2026-0423</v>
      </c>
      <c r="B5" s="30" t="s">
        <v>2242</v>
      </c>
      <c r="C5" s="27" t="s">
        <v>201</v>
      </c>
      <c r="D5" s="27" t="s">
        <v>348</v>
      </c>
      <c r="E5" s="27" t="s">
        <v>208</v>
      </c>
      <c r="F5" s="27" t="s">
        <v>957</v>
      </c>
      <c r="G5" s="10">
        <v>100</v>
      </c>
      <c r="H5" s="38" t="s">
        <v>294</v>
      </c>
      <c r="I5" s="37" t="s">
        <v>315</v>
      </c>
      <c r="J5" s="37" t="s">
        <v>506</v>
      </c>
      <c r="K5" s="27"/>
      <c r="L5" s="27"/>
      <c r="M5" s="27" t="s">
        <v>367</v>
      </c>
      <c r="N5" s="27"/>
      <c r="O5" s="27"/>
      <c r="P5" s="1" t="s">
        <v>264</v>
      </c>
      <c r="Q5" s="29" t="s">
        <v>265</v>
      </c>
      <c r="R5" s="27" t="s">
        <v>298</v>
      </c>
      <c r="S5" s="27"/>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COUNTIF(OFFSET($A$1, 1, 0, ROW()-2, 1), "EVT*") + 1, "0000"), "")</f>
        <v>EVT-2026-0424</v>
      </c>
      <c r="B6" s="30" t="s">
        <v>2242</v>
      </c>
      <c r="C6" s="27" t="s">
        <v>201</v>
      </c>
      <c r="D6" s="27" t="s">
        <v>348</v>
      </c>
      <c r="E6" s="27" t="s">
        <v>208</v>
      </c>
      <c r="F6" s="27" t="s">
        <v>958</v>
      </c>
      <c r="G6" s="10">
        <v>40</v>
      </c>
      <c r="H6" s="36" t="s">
        <v>263</v>
      </c>
      <c r="I6" s="37" t="s">
        <v>330</v>
      </c>
      <c r="J6" s="37" t="s">
        <v>553</v>
      </c>
      <c r="K6" s="27"/>
      <c r="L6" s="27"/>
      <c r="M6" s="27" t="s">
        <v>959</v>
      </c>
      <c r="N6" s="27"/>
      <c r="O6" s="27"/>
      <c r="P6" s="1" t="s">
        <v>264</v>
      </c>
      <c r="Q6" s="29" t="s">
        <v>265</v>
      </c>
      <c r="R6" s="27" t="s">
        <v>298</v>
      </c>
      <c r="S6" s="27"/>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COUNTIF(OFFSET($A$1, 1, 0, ROW()-2, 1), "EVT*") + 1, "0000"), "")</f>
        <v>EVT-2026-0425</v>
      </c>
      <c r="B7" s="30" t="s">
        <v>2242</v>
      </c>
      <c r="C7" s="27" t="s">
        <v>201</v>
      </c>
      <c r="D7" s="27" t="s">
        <v>348</v>
      </c>
      <c r="E7" s="27" t="s">
        <v>208</v>
      </c>
      <c r="F7" s="27" t="s">
        <v>349</v>
      </c>
      <c r="G7" s="10">
        <v>50</v>
      </c>
      <c r="H7" s="36" t="s">
        <v>263</v>
      </c>
      <c r="I7" s="37" t="s">
        <v>350</v>
      </c>
      <c r="J7" s="37" t="s">
        <v>296</v>
      </c>
      <c r="K7" s="27"/>
      <c r="L7" s="27"/>
      <c r="M7" s="27" t="s">
        <v>351</v>
      </c>
      <c r="N7" s="27"/>
      <c r="O7" s="30">
        <v>46008</v>
      </c>
      <c r="P7" s="1" t="s">
        <v>264</v>
      </c>
      <c r="Q7" s="29" t="s">
        <v>265</v>
      </c>
      <c r="R7" s="27" t="s">
        <v>303</v>
      </c>
      <c r="S7" s="27"/>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COUNTIF(OFFSET($A$1, 1, 0, ROW()-2, 1), "EVT*") + 1, "0000"), "")</f>
        <v>EVT-2026-0426</v>
      </c>
      <c r="B8" s="30">
        <v>46114</v>
      </c>
      <c r="C8" s="27" t="s">
        <v>216</v>
      </c>
      <c r="D8" s="27" t="s">
        <v>348</v>
      </c>
      <c r="E8" s="27" t="s">
        <v>960</v>
      </c>
      <c r="F8" s="27" t="s">
        <v>349</v>
      </c>
      <c r="G8" s="10">
        <v>50</v>
      </c>
      <c r="H8" s="36" t="s">
        <v>263</v>
      </c>
      <c r="I8" s="37" t="s">
        <v>350</v>
      </c>
      <c r="J8" s="37" t="s">
        <v>296</v>
      </c>
      <c r="K8" s="27"/>
      <c r="L8" s="27"/>
      <c r="M8" s="27" t="s">
        <v>351</v>
      </c>
      <c r="N8" s="27"/>
      <c r="O8" s="30" t="s">
        <v>2164</v>
      </c>
      <c r="P8" s="1" t="s">
        <v>264</v>
      </c>
      <c r="Q8" s="29" t="s">
        <v>265</v>
      </c>
      <c r="R8" s="27" t="s">
        <v>303</v>
      </c>
      <c r="S8" s="27"/>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COUNTIF(OFFSET($A$1, 1, 0, ROW()-2, 1), "EVT*") + 1, "0000"), "")</f>
        <v>EVT-2026-0427</v>
      </c>
      <c r="B9" s="30">
        <v>46115</v>
      </c>
      <c r="C9" s="27" t="s">
        <v>220</v>
      </c>
      <c r="D9" s="27" t="s">
        <v>348</v>
      </c>
      <c r="E9" s="27" t="s">
        <v>960</v>
      </c>
      <c r="F9" s="27" t="s">
        <v>877</v>
      </c>
      <c r="G9" s="10">
        <v>40</v>
      </c>
      <c r="H9" s="36" t="s">
        <v>263</v>
      </c>
      <c r="I9" s="37" t="s">
        <v>295</v>
      </c>
      <c r="J9" s="37" t="s">
        <v>296</v>
      </c>
      <c r="K9" s="27"/>
      <c r="L9" s="27"/>
      <c r="M9" s="27" t="s">
        <v>961</v>
      </c>
      <c r="N9" s="27"/>
      <c r="O9" s="27"/>
      <c r="P9" s="1" t="s">
        <v>264</v>
      </c>
      <c r="Q9" s="29" t="s">
        <v>265</v>
      </c>
      <c r="R9" s="27" t="s">
        <v>298</v>
      </c>
      <c r="S9" s="27"/>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COUNTIF(OFFSET($A$1, 1, 0, ROW()-2, 1), "EVT*") + 1, "0000"), "")</f>
        <v/>
      </c>
      <c r="B10" s="30">
        <v>46116</v>
      </c>
      <c r="C10" s="27" t="s">
        <v>266</v>
      </c>
      <c r="D10" s="27"/>
      <c r="E10" s="27"/>
      <c r="F10" s="27"/>
      <c r="G10" s="10"/>
      <c r="H10" s="36" t="s">
        <v>263</v>
      </c>
      <c r="I10" s="37"/>
      <c r="J10" s="37"/>
      <c r="K10" s="27"/>
      <c r="L10" s="27"/>
      <c r="M10" s="27"/>
      <c r="N10" s="27"/>
      <c r="O10" s="27"/>
      <c r="P10" s="1" t="s">
        <v>264</v>
      </c>
      <c r="Q10" s="29" t="s">
        <v>265</v>
      </c>
      <c r="R10" s="27"/>
      <c r="S10" s="27"/>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COUNTIF(OFFSET($A$1, 1, 0, ROW()-2, 1), "EVT*") + 1, "0000"), "")</f>
        <v/>
      </c>
      <c r="B11" s="30">
        <v>46117</v>
      </c>
      <c r="C11" s="27" t="s">
        <v>267</v>
      </c>
      <c r="D11" s="27"/>
      <c r="E11" s="27"/>
      <c r="F11" s="27"/>
      <c r="G11" s="10"/>
      <c r="H11" s="36" t="s">
        <v>263</v>
      </c>
      <c r="I11" s="37"/>
      <c r="J11" s="37"/>
      <c r="K11" s="27"/>
      <c r="L11" s="27"/>
      <c r="M11" s="27"/>
      <c r="N11" s="27"/>
      <c r="O11" s="27"/>
      <c r="P11" s="1" t="s">
        <v>264</v>
      </c>
      <c r="Q11" s="29" t="s">
        <v>265</v>
      </c>
      <c r="R11" s="27"/>
      <c r="S11" s="27"/>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COUNTIF(OFFSET($A$1, 1, 0, ROW()-2, 1), "EVT*") + 1, "0000"), "")</f>
        <v/>
      </c>
      <c r="B12" s="30">
        <v>46118</v>
      </c>
      <c r="C12" s="27" t="s">
        <v>224</v>
      </c>
      <c r="D12" s="27"/>
      <c r="E12" s="27"/>
      <c r="F12" s="27"/>
      <c r="G12" s="10"/>
      <c r="H12" s="36" t="s">
        <v>263</v>
      </c>
      <c r="I12" s="37"/>
      <c r="J12" s="37"/>
      <c r="K12" s="27"/>
      <c r="L12" s="27"/>
      <c r="M12" s="27"/>
      <c r="N12" s="27"/>
      <c r="O12" s="27"/>
      <c r="P12" s="1" t="s">
        <v>264</v>
      </c>
      <c r="Q12" s="29" t="s">
        <v>265</v>
      </c>
      <c r="R12" s="27"/>
      <c r="S12" s="27"/>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COUNTIF(OFFSET($A$1, 1, 0, ROW()-2, 1), "EVT*") + 1, "0000"), "")</f>
        <v>EVT-2026-0428</v>
      </c>
      <c r="B13" s="30">
        <v>46119</v>
      </c>
      <c r="C13" s="27" t="s">
        <v>227</v>
      </c>
      <c r="D13" s="27" t="s">
        <v>348</v>
      </c>
      <c r="E13" s="27" t="s">
        <v>208</v>
      </c>
      <c r="F13" s="27" t="s">
        <v>349</v>
      </c>
      <c r="G13" s="10">
        <v>50</v>
      </c>
      <c r="H13" s="36" t="s">
        <v>263</v>
      </c>
      <c r="I13" s="37" t="s">
        <v>350</v>
      </c>
      <c r="J13" s="37" t="s">
        <v>296</v>
      </c>
      <c r="K13" s="27"/>
      <c r="L13" s="27"/>
      <c r="M13" s="27" t="s">
        <v>351</v>
      </c>
      <c r="N13" s="27"/>
      <c r="O13" s="30">
        <v>46008</v>
      </c>
      <c r="P13" s="1" t="s">
        <v>264</v>
      </c>
      <c r="Q13" s="29" t="s">
        <v>265</v>
      </c>
      <c r="R13" s="27" t="s">
        <v>303</v>
      </c>
      <c r="S13" s="27"/>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COUNTIF(OFFSET($A$1, 1, 0, ROW()-2, 1), "EVT*") + 1, "0000"), "")</f>
        <v>EVT-2026-0429</v>
      </c>
      <c r="B14" s="30">
        <v>46120</v>
      </c>
      <c r="C14" s="27" t="s">
        <v>201</v>
      </c>
      <c r="D14" s="27" t="s">
        <v>348</v>
      </c>
      <c r="E14" s="27" t="s">
        <v>208</v>
      </c>
      <c r="F14" s="27" t="s">
        <v>349</v>
      </c>
      <c r="G14" s="10">
        <v>50</v>
      </c>
      <c r="H14" s="36" t="s">
        <v>263</v>
      </c>
      <c r="I14" s="37" t="s">
        <v>350</v>
      </c>
      <c r="J14" s="37" t="s">
        <v>296</v>
      </c>
      <c r="K14" s="27"/>
      <c r="L14" s="27"/>
      <c r="M14" s="27" t="s">
        <v>351</v>
      </c>
      <c r="N14" s="27"/>
      <c r="O14" s="30">
        <v>46008</v>
      </c>
      <c r="P14" s="1" t="s">
        <v>264</v>
      </c>
      <c r="Q14" s="29" t="s">
        <v>265</v>
      </c>
      <c r="R14" s="27" t="s">
        <v>303</v>
      </c>
      <c r="S14" s="27"/>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COUNTIF(OFFSET($A$1, 1, 0, ROW()-2, 1), "EVT*") + 1, "0000"), "")</f>
        <v>EVT-2026-0430</v>
      </c>
      <c r="B15" s="30">
        <v>46121</v>
      </c>
      <c r="C15" s="27" t="s">
        <v>216</v>
      </c>
      <c r="D15" s="27" t="s">
        <v>348</v>
      </c>
      <c r="E15" s="27" t="s">
        <v>208</v>
      </c>
      <c r="F15" s="27" t="s">
        <v>349</v>
      </c>
      <c r="G15" s="10">
        <v>50</v>
      </c>
      <c r="H15" s="36" t="s">
        <v>263</v>
      </c>
      <c r="I15" s="37" t="s">
        <v>350</v>
      </c>
      <c r="J15" s="37" t="s">
        <v>296</v>
      </c>
      <c r="K15" s="27"/>
      <c r="L15" s="27"/>
      <c r="M15" s="27" t="s">
        <v>351</v>
      </c>
      <c r="N15" s="27"/>
      <c r="O15" s="30">
        <v>46008</v>
      </c>
      <c r="P15" s="1" t="s">
        <v>264</v>
      </c>
      <c r="Q15" s="29" t="s">
        <v>265</v>
      </c>
      <c r="R15" s="27" t="s">
        <v>303</v>
      </c>
      <c r="S15" s="27"/>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COUNTIF(OFFSET($A$1, 1, 0, ROW()-2, 1), "EVT*") + 1, "0000"), "")</f>
        <v>EVT-2026-0431</v>
      </c>
      <c r="B16" s="30">
        <v>46121</v>
      </c>
      <c r="C16" s="27" t="s">
        <v>216</v>
      </c>
      <c r="D16" s="27" t="s">
        <v>348</v>
      </c>
      <c r="E16" s="27" t="s">
        <v>202</v>
      </c>
      <c r="F16" s="27"/>
      <c r="G16" s="10">
        <v>18</v>
      </c>
      <c r="H16" s="36" t="s">
        <v>263</v>
      </c>
      <c r="I16" s="37" t="s">
        <v>331</v>
      </c>
      <c r="J16" s="37" t="s">
        <v>350</v>
      </c>
      <c r="K16" s="27"/>
      <c r="L16" s="27"/>
      <c r="M16" s="27" t="s">
        <v>615</v>
      </c>
      <c r="N16" s="27"/>
      <c r="O16" s="27"/>
      <c r="P16" s="1" t="s">
        <v>264</v>
      </c>
      <c r="Q16" s="29" t="s">
        <v>265</v>
      </c>
      <c r="R16" s="27" t="s">
        <v>380</v>
      </c>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COUNTIF(OFFSET($A$1, 1, 0, ROW()-2, 1), "EVT*") + 1, "0000"), "")</f>
        <v>EVT-2026-0432</v>
      </c>
      <c r="B17" s="30">
        <v>46122</v>
      </c>
      <c r="C17" s="27" t="s">
        <v>220</v>
      </c>
      <c r="D17" s="27" t="s">
        <v>348</v>
      </c>
      <c r="E17" s="27" t="s">
        <v>202</v>
      </c>
      <c r="F17" s="27" t="s">
        <v>962</v>
      </c>
      <c r="G17" s="10">
        <v>60</v>
      </c>
      <c r="H17" s="36" t="s">
        <v>263</v>
      </c>
      <c r="I17" s="37" t="s">
        <v>309</v>
      </c>
      <c r="J17" s="37" t="s">
        <v>290</v>
      </c>
      <c r="K17" s="27"/>
      <c r="L17" s="27"/>
      <c r="M17" s="27" t="s">
        <v>379</v>
      </c>
      <c r="N17" s="27"/>
      <c r="O17" s="27"/>
      <c r="P17" s="1" t="s">
        <v>264</v>
      </c>
      <c r="Q17" s="29" t="s">
        <v>265</v>
      </c>
      <c r="R17" s="27" t="s">
        <v>598</v>
      </c>
      <c r="S17" s="27"/>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COUNTIF(OFFSET($A$1, 1, 0, ROW()-2, 1), "EVT*") + 1, "0000"), "")</f>
        <v>EVT-2026-0433</v>
      </c>
      <c r="B18" s="30">
        <v>46122</v>
      </c>
      <c r="C18" s="27" t="s">
        <v>220</v>
      </c>
      <c r="D18" s="27" t="s">
        <v>348</v>
      </c>
      <c r="E18" s="27" t="s">
        <v>202</v>
      </c>
      <c r="F18" s="27" t="s">
        <v>895</v>
      </c>
      <c r="G18" s="10">
        <v>60</v>
      </c>
      <c r="H18" s="36" t="s">
        <v>263</v>
      </c>
      <c r="I18" s="37" t="s">
        <v>295</v>
      </c>
      <c r="J18" s="37" t="s">
        <v>296</v>
      </c>
      <c r="K18" s="27"/>
      <c r="L18" s="27"/>
      <c r="M18" s="27" t="s">
        <v>719</v>
      </c>
      <c r="N18" s="27"/>
      <c r="O18" s="30">
        <v>46112</v>
      </c>
      <c r="P18" s="1" t="s">
        <v>264</v>
      </c>
      <c r="Q18" s="29" t="s">
        <v>265</v>
      </c>
      <c r="R18" s="27" t="s">
        <v>298</v>
      </c>
      <c r="S18" s="27"/>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COUNTIF(OFFSET($A$1, 1, 0, ROW()-2, 1), "EVT*") + 1, "0000"), "")</f>
        <v>EVT-2026-0434</v>
      </c>
      <c r="B19" s="30">
        <v>46122</v>
      </c>
      <c r="C19" s="27" t="s">
        <v>220</v>
      </c>
      <c r="D19" s="27" t="s">
        <v>348</v>
      </c>
      <c r="E19" s="27" t="s">
        <v>208</v>
      </c>
      <c r="F19" s="27" t="s">
        <v>963</v>
      </c>
      <c r="G19" s="10"/>
      <c r="H19" s="36" t="s">
        <v>263</v>
      </c>
      <c r="I19" s="37" t="s">
        <v>275</v>
      </c>
      <c r="J19" s="37" t="s">
        <v>289</v>
      </c>
      <c r="K19" s="27"/>
      <c r="L19" s="27"/>
      <c r="M19" s="27" t="s">
        <v>367</v>
      </c>
      <c r="N19" s="27"/>
      <c r="O19" s="27"/>
      <c r="P19" s="1" t="s">
        <v>264</v>
      </c>
      <c r="Q19" s="29" t="s">
        <v>265</v>
      </c>
      <c r="R19" s="27"/>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COUNTIF(OFFSET($A$1, 1, 0, ROW()-2, 1), "EVT*") + 1, "0000"), "")</f>
        <v>EVT-2026-0435</v>
      </c>
      <c r="B20" s="30">
        <v>46123</v>
      </c>
      <c r="C20" s="27" t="s">
        <v>266</v>
      </c>
      <c r="D20" s="27" t="s">
        <v>300</v>
      </c>
      <c r="E20" s="27" t="s">
        <v>202</v>
      </c>
      <c r="F20" s="27" t="s">
        <v>964</v>
      </c>
      <c r="G20" s="10">
        <v>160</v>
      </c>
      <c r="H20" s="38" t="s">
        <v>294</v>
      </c>
      <c r="I20" s="37" t="s">
        <v>269</v>
      </c>
      <c r="J20" s="37" t="s">
        <v>270</v>
      </c>
      <c r="K20" s="27"/>
      <c r="L20" s="27"/>
      <c r="M20" s="27" t="s">
        <v>965</v>
      </c>
      <c r="N20" s="27"/>
      <c r="O20" s="27"/>
      <c r="P20" s="1" t="s">
        <v>264</v>
      </c>
      <c r="Q20" s="29" t="s">
        <v>265</v>
      </c>
      <c r="R20" s="27"/>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COUNTIF(OFFSET($A$1, 1, 0, ROW()-2, 1), "EVT*") + 1, "0000"), "")</f>
        <v/>
      </c>
      <c r="B21" s="30">
        <v>46124</v>
      </c>
      <c r="C21" s="27" t="s">
        <v>267</v>
      </c>
      <c r="D21" s="27"/>
      <c r="E21" s="27"/>
      <c r="F21" s="27"/>
      <c r="G21" s="10"/>
      <c r="H21" s="36" t="s">
        <v>263</v>
      </c>
      <c r="I21" s="37"/>
      <c r="J21" s="37"/>
      <c r="K21" s="27"/>
      <c r="L21" s="27"/>
      <c r="M21" s="27"/>
      <c r="N21" s="27"/>
      <c r="O21" s="27"/>
      <c r="P21" s="1" t="s">
        <v>264</v>
      </c>
      <c r="Q21" s="29" t="s">
        <v>265</v>
      </c>
      <c r="R21" s="27"/>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COUNTIF(OFFSET($A$1, 1, 0, ROW()-2, 1), "EVT*") + 1, "0000"), "")</f>
        <v>EVT-2026-0436</v>
      </c>
      <c r="B22" s="30">
        <v>46124</v>
      </c>
      <c r="C22" s="27" t="s">
        <v>267</v>
      </c>
      <c r="D22" s="27" t="s">
        <v>348</v>
      </c>
      <c r="E22" s="27" t="s">
        <v>202</v>
      </c>
      <c r="F22" s="27" t="s">
        <v>966</v>
      </c>
      <c r="G22" s="10">
        <v>59</v>
      </c>
      <c r="H22" s="36" t="s">
        <v>263</v>
      </c>
      <c r="I22" s="37" t="s">
        <v>269</v>
      </c>
      <c r="J22" s="37" t="s">
        <v>270</v>
      </c>
      <c r="K22" s="27"/>
      <c r="L22" s="27"/>
      <c r="M22" s="27" t="s">
        <v>494</v>
      </c>
      <c r="N22" s="27"/>
      <c r="O22" s="27"/>
      <c r="P22" s="1" t="s">
        <v>264</v>
      </c>
      <c r="Q22" s="29" t="s">
        <v>265</v>
      </c>
      <c r="R22" s="27" t="s">
        <v>303</v>
      </c>
      <c r="S22" s="27"/>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COUNTIF(OFFSET($A$1, 1, 0, ROW()-2, 1), "EVT*") + 1, "0000"), "")</f>
        <v>EVT-2026-0437</v>
      </c>
      <c r="B23" s="30" t="s">
        <v>2243</v>
      </c>
      <c r="C23" s="27" t="s">
        <v>2244</v>
      </c>
      <c r="D23" s="27" t="s">
        <v>967</v>
      </c>
      <c r="E23" s="27" t="s">
        <v>202</v>
      </c>
      <c r="F23" s="27" t="s">
        <v>968</v>
      </c>
      <c r="G23" s="10">
        <v>2</v>
      </c>
      <c r="H23" s="36" t="s">
        <v>263</v>
      </c>
      <c r="I23" s="37" t="s">
        <v>269</v>
      </c>
      <c r="J23" s="37" t="s">
        <v>270</v>
      </c>
      <c r="K23" s="27"/>
      <c r="L23" s="27"/>
      <c r="M23" s="27" t="s">
        <v>379</v>
      </c>
      <c r="N23" s="27"/>
      <c r="O23" s="27"/>
      <c r="P23" s="1" t="s">
        <v>264</v>
      </c>
      <c r="Q23" s="29" t="s">
        <v>265</v>
      </c>
      <c r="R23" s="27" t="s">
        <v>969</v>
      </c>
      <c r="S23" s="27"/>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COUNTIF(OFFSET($A$1, 1, 0, ROW()-2, 1), "EVT*") + 1, "0000"), "")</f>
        <v>EVT-2026-0438</v>
      </c>
      <c r="B24" s="30">
        <v>46125</v>
      </c>
      <c r="C24" s="27" t="s">
        <v>224</v>
      </c>
      <c r="D24" s="27" t="s">
        <v>496</v>
      </c>
      <c r="E24" s="27" t="s">
        <v>228</v>
      </c>
      <c r="F24" s="27" t="s">
        <v>970</v>
      </c>
      <c r="G24" s="10">
        <v>17</v>
      </c>
      <c r="H24" s="36" t="s">
        <v>263</v>
      </c>
      <c r="I24" s="37" t="s">
        <v>269</v>
      </c>
      <c r="J24" s="37" t="s">
        <v>270</v>
      </c>
      <c r="K24" s="27"/>
      <c r="L24" s="27"/>
      <c r="M24" s="27" t="s">
        <v>494</v>
      </c>
      <c r="N24" s="27"/>
      <c r="O24" s="27"/>
      <c r="P24" s="1" t="s">
        <v>264</v>
      </c>
      <c r="Q24" s="29" t="s">
        <v>265</v>
      </c>
      <c r="R24" s="27" t="s">
        <v>303</v>
      </c>
      <c r="S24" s="27"/>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COUNTIF(OFFSET($A$1, 1, 0, ROW()-2, 1), "EVT*") + 1, "0000"), "")</f>
        <v>EVT-2026-0439</v>
      </c>
      <c r="B25" s="30">
        <v>46126</v>
      </c>
      <c r="C25" s="27" t="s">
        <v>227</v>
      </c>
      <c r="D25" s="27" t="s">
        <v>348</v>
      </c>
      <c r="E25" s="27" t="s">
        <v>208</v>
      </c>
      <c r="F25" s="27" t="s">
        <v>349</v>
      </c>
      <c r="G25" s="10">
        <v>50</v>
      </c>
      <c r="H25" s="36" t="s">
        <v>263</v>
      </c>
      <c r="I25" s="37" t="s">
        <v>350</v>
      </c>
      <c r="J25" s="37" t="s">
        <v>296</v>
      </c>
      <c r="K25" s="27"/>
      <c r="L25" s="27"/>
      <c r="M25" s="27" t="s">
        <v>351</v>
      </c>
      <c r="N25" s="27"/>
      <c r="O25" s="30">
        <v>46008</v>
      </c>
      <c r="P25" s="1" t="s">
        <v>264</v>
      </c>
      <c r="Q25" s="29" t="s">
        <v>265</v>
      </c>
      <c r="R25" s="27" t="s">
        <v>303</v>
      </c>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COUNTIF(OFFSET($A$1, 1, 0, ROW()-2, 1), "EVT*") + 1, "0000"), "")</f>
        <v>EVT-2026-0440</v>
      </c>
      <c r="B26" s="30">
        <v>46127</v>
      </c>
      <c r="C26" s="27" t="s">
        <v>201</v>
      </c>
      <c r="D26" s="27" t="s">
        <v>239</v>
      </c>
      <c r="E26" s="27" t="s">
        <v>202</v>
      </c>
      <c r="F26" s="27" t="s">
        <v>971</v>
      </c>
      <c r="G26" s="10"/>
      <c r="H26" s="36" t="s">
        <v>263</v>
      </c>
      <c r="I26" s="37" t="s">
        <v>315</v>
      </c>
      <c r="J26" s="37" t="s">
        <v>330</v>
      </c>
      <c r="K26" s="27"/>
      <c r="L26" s="27"/>
      <c r="M26" s="27" t="s">
        <v>916</v>
      </c>
      <c r="N26" s="27"/>
      <c r="O26" s="30" t="s">
        <v>2245</v>
      </c>
      <c r="P26" s="3" t="s">
        <v>312</v>
      </c>
      <c r="Q26" s="29" t="s">
        <v>265</v>
      </c>
      <c r="R26" s="27" t="s">
        <v>298</v>
      </c>
      <c r="S26" s="27" t="s">
        <v>679</v>
      </c>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COUNTIF(OFFSET($A$1, 1, 0, ROW()-2, 1), "EVT*") + 1, "0000"), "")</f>
        <v>EVT-2026-0441</v>
      </c>
      <c r="B27" s="30">
        <v>46127</v>
      </c>
      <c r="C27" s="27" t="s">
        <v>201</v>
      </c>
      <c r="D27" s="27" t="s">
        <v>239</v>
      </c>
      <c r="E27" s="27" t="s">
        <v>202</v>
      </c>
      <c r="F27" s="27" t="s">
        <v>972</v>
      </c>
      <c r="G27" s="10">
        <v>30</v>
      </c>
      <c r="H27" s="36" t="s">
        <v>263</v>
      </c>
      <c r="I27" s="37" t="s">
        <v>506</v>
      </c>
      <c r="J27" s="37" t="s">
        <v>429</v>
      </c>
      <c r="K27" s="27"/>
      <c r="L27" s="27"/>
      <c r="M27" s="27" t="s">
        <v>618</v>
      </c>
      <c r="N27" s="27"/>
      <c r="O27" s="30" t="s">
        <v>2238</v>
      </c>
      <c r="P27" s="1" t="s">
        <v>264</v>
      </c>
      <c r="Q27" s="29" t="s">
        <v>265</v>
      </c>
      <c r="R27" s="27" t="s">
        <v>298</v>
      </c>
      <c r="S27" s="27"/>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COUNTIF(OFFSET($A$1, 1, 0, ROW()-2, 1), "EVT*") + 1, "0000"), "")</f>
        <v>EVT-2026-0442</v>
      </c>
      <c r="B28" s="30">
        <v>46127</v>
      </c>
      <c r="C28" s="27" t="s">
        <v>201</v>
      </c>
      <c r="D28" s="27" t="s">
        <v>348</v>
      </c>
      <c r="E28" s="27" t="s">
        <v>208</v>
      </c>
      <c r="F28" s="27" t="s">
        <v>973</v>
      </c>
      <c r="G28" s="10">
        <v>60</v>
      </c>
      <c r="H28" s="36" t="s">
        <v>263</v>
      </c>
      <c r="I28" s="37" t="s">
        <v>429</v>
      </c>
      <c r="J28" s="37" t="s">
        <v>354</v>
      </c>
      <c r="K28" s="27"/>
      <c r="L28" s="27"/>
      <c r="M28" s="27" t="s">
        <v>974</v>
      </c>
      <c r="N28" s="27"/>
      <c r="O28" s="27"/>
      <c r="P28" s="1" t="s">
        <v>264</v>
      </c>
      <c r="Q28" s="29" t="s">
        <v>265</v>
      </c>
      <c r="R28" s="27" t="s">
        <v>298</v>
      </c>
      <c r="S28" s="27"/>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COUNTIF(OFFSET($A$1, 1, 0, ROW()-2, 1), "EVT*") + 1, "0000"), "")</f>
        <v>EVT-2026-0443</v>
      </c>
      <c r="B29" s="30">
        <v>46127</v>
      </c>
      <c r="C29" s="27" t="s">
        <v>201</v>
      </c>
      <c r="D29" s="27" t="s">
        <v>348</v>
      </c>
      <c r="E29" s="27" t="s">
        <v>208</v>
      </c>
      <c r="F29" s="27" t="s">
        <v>975</v>
      </c>
      <c r="G29" s="10">
        <v>60</v>
      </c>
      <c r="H29" s="36" t="s">
        <v>263</v>
      </c>
      <c r="I29" s="37" t="s">
        <v>315</v>
      </c>
      <c r="J29" s="37" t="s">
        <v>330</v>
      </c>
      <c r="K29" s="27" t="s">
        <v>976</v>
      </c>
      <c r="L29" s="27"/>
      <c r="M29" s="27" t="s">
        <v>977</v>
      </c>
      <c r="N29" s="27"/>
      <c r="O29" s="30">
        <v>46112</v>
      </c>
      <c r="P29" s="1" t="s">
        <v>264</v>
      </c>
      <c r="Q29" s="29" t="s">
        <v>265</v>
      </c>
      <c r="R29" s="27" t="s">
        <v>298</v>
      </c>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COUNTIF(OFFSET($A$1, 1, 0, ROW()-2, 1), "EVT*") + 1, "0000"), "")</f>
        <v>EVT-2026-0444</v>
      </c>
      <c r="B30" s="30">
        <v>46127</v>
      </c>
      <c r="C30" s="27" t="s">
        <v>201</v>
      </c>
      <c r="D30" s="27" t="s">
        <v>348</v>
      </c>
      <c r="E30" s="27" t="s">
        <v>208</v>
      </c>
      <c r="F30" s="27" t="s">
        <v>349</v>
      </c>
      <c r="G30" s="10">
        <v>50</v>
      </c>
      <c r="H30" s="36" t="s">
        <v>263</v>
      </c>
      <c r="I30" s="37" t="s">
        <v>350</v>
      </c>
      <c r="J30" s="37" t="s">
        <v>296</v>
      </c>
      <c r="K30" s="27"/>
      <c r="L30" s="27"/>
      <c r="M30" s="27" t="s">
        <v>351</v>
      </c>
      <c r="N30" s="27"/>
      <c r="O30" s="30">
        <v>46008</v>
      </c>
      <c r="P30" s="1" t="s">
        <v>264</v>
      </c>
      <c r="Q30" s="29" t="s">
        <v>265</v>
      </c>
      <c r="R30" s="27" t="s">
        <v>303</v>
      </c>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COUNTIF(OFFSET($A$1, 1, 0, ROW()-2, 1), "EVT*") + 1, "0000"), "")</f>
        <v>EVT-2026-0445</v>
      </c>
      <c r="B31" s="30">
        <v>46128</v>
      </c>
      <c r="C31" s="27" t="s">
        <v>216</v>
      </c>
      <c r="D31" s="27" t="s">
        <v>348</v>
      </c>
      <c r="E31" s="27" t="s">
        <v>208</v>
      </c>
      <c r="F31" s="27" t="s">
        <v>978</v>
      </c>
      <c r="G31" s="10">
        <v>50</v>
      </c>
      <c r="H31" s="36" t="s">
        <v>263</v>
      </c>
      <c r="I31" s="37" t="s">
        <v>338</v>
      </c>
      <c r="J31" s="37" t="s">
        <v>330</v>
      </c>
      <c r="K31" s="27"/>
      <c r="L31" s="27"/>
      <c r="M31" s="27" t="s">
        <v>507</v>
      </c>
      <c r="N31" s="27"/>
      <c r="O31" s="27"/>
      <c r="P31" s="1" t="s">
        <v>264</v>
      </c>
      <c r="Q31" s="29" t="s">
        <v>265</v>
      </c>
      <c r="R31" s="27" t="s">
        <v>298</v>
      </c>
      <c r="S31" s="27"/>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COUNTIF(OFFSET($A$1, 1, 0, ROW()-2, 1), "EVT*") + 1, "0000"), "")</f>
        <v>EVT-2026-0446</v>
      </c>
      <c r="B32" s="30">
        <v>46128</v>
      </c>
      <c r="C32" s="27" t="s">
        <v>216</v>
      </c>
      <c r="D32" s="27" t="s">
        <v>239</v>
      </c>
      <c r="E32" s="27" t="s">
        <v>202</v>
      </c>
      <c r="F32" s="27" t="s">
        <v>979</v>
      </c>
      <c r="G32" s="10">
        <v>100</v>
      </c>
      <c r="H32" s="38" t="s">
        <v>294</v>
      </c>
      <c r="I32" s="37" t="s">
        <v>295</v>
      </c>
      <c r="J32" s="37" t="s">
        <v>290</v>
      </c>
      <c r="K32" s="27"/>
      <c r="L32" s="27"/>
      <c r="M32" s="27" t="s">
        <v>600</v>
      </c>
      <c r="N32" s="27"/>
      <c r="O32" s="30" t="s">
        <v>2238</v>
      </c>
      <c r="P32" s="1" t="s">
        <v>264</v>
      </c>
      <c r="Q32" s="29" t="s">
        <v>265</v>
      </c>
      <c r="R32" s="27"/>
      <c r="S32" s="27"/>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COUNTIF(OFFSET($A$1, 1, 0, ROW()-2, 1), "EVT*") + 1, "0000"), "")</f>
        <v>EVT-2026-0447</v>
      </c>
      <c r="B33" s="30">
        <v>46128</v>
      </c>
      <c r="C33" s="27" t="s">
        <v>216</v>
      </c>
      <c r="D33" s="27" t="s">
        <v>348</v>
      </c>
      <c r="E33" s="27" t="s">
        <v>208</v>
      </c>
      <c r="F33" s="27" t="s">
        <v>980</v>
      </c>
      <c r="G33" s="10">
        <v>30</v>
      </c>
      <c r="H33" s="36" t="s">
        <v>263</v>
      </c>
      <c r="I33" s="37" t="s">
        <v>981</v>
      </c>
      <c r="J33" s="37" t="s">
        <v>290</v>
      </c>
      <c r="K33" s="27"/>
      <c r="L33" s="27"/>
      <c r="M33" s="27" t="s">
        <v>583</v>
      </c>
      <c r="N33" s="27"/>
      <c r="O33" s="30" t="s">
        <v>2246</v>
      </c>
      <c r="P33" s="3" t="s">
        <v>312</v>
      </c>
      <c r="Q33" s="29" t="s">
        <v>265</v>
      </c>
      <c r="R33" s="27" t="s">
        <v>298</v>
      </c>
      <c r="S33" s="27"/>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COUNTIF(OFFSET($A$1, 1, 0, ROW()-2, 1), "EVT*") + 1, "0000"), "")</f>
        <v>EVT-2026-0448</v>
      </c>
      <c r="B34" s="30">
        <v>46129</v>
      </c>
      <c r="C34" s="27" t="s">
        <v>220</v>
      </c>
      <c r="D34" s="27" t="s">
        <v>348</v>
      </c>
      <c r="E34" s="27" t="s">
        <v>208</v>
      </c>
      <c r="F34" s="27" t="s">
        <v>982</v>
      </c>
      <c r="G34" s="10">
        <v>40</v>
      </c>
      <c r="H34" s="36" t="s">
        <v>263</v>
      </c>
      <c r="I34" s="37" t="s">
        <v>331</v>
      </c>
      <c r="J34" s="37" t="s">
        <v>275</v>
      </c>
      <c r="K34" s="27"/>
      <c r="L34" s="27"/>
      <c r="M34" s="27" t="s">
        <v>983</v>
      </c>
      <c r="N34" s="27"/>
      <c r="O34" s="30" t="s">
        <v>2247</v>
      </c>
      <c r="P34" s="1" t="s">
        <v>264</v>
      </c>
      <c r="Q34" s="29" t="s">
        <v>265</v>
      </c>
      <c r="R34" s="27" t="s">
        <v>984</v>
      </c>
      <c r="S34" s="27"/>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COUNTIF(OFFSET($A$1, 1, 0, ROW()-2, 1), "EVT*") + 1, "0000"), "")</f>
        <v>EVT-2026-0449</v>
      </c>
      <c r="B35" s="30">
        <v>46129</v>
      </c>
      <c r="C35" s="27" t="s">
        <v>220</v>
      </c>
      <c r="D35" s="27" t="s">
        <v>239</v>
      </c>
      <c r="E35" s="27" t="s">
        <v>202</v>
      </c>
      <c r="F35" s="27" t="s">
        <v>985</v>
      </c>
      <c r="G35" s="10">
        <v>120</v>
      </c>
      <c r="H35" s="38" t="s">
        <v>294</v>
      </c>
      <c r="I35" s="37" t="s">
        <v>506</v>
      </c>
      <c r="J35" s="37" t="s">
        <v>429</v>
      </c>
      <c r="K35" s="27"/>
      <c r="L35" s="27"/>
      <c r="M35" s="27" t="s">
        <v>317</v>
      </c>
      <c r="N35" s="27"/>
      <c r="O35" s="30" t="s">
        <v>2238</v>
      </c>
      <c r="P35" s="1" t="s">
        <v>264</v>
      </c>
      <c r="Q35" s="29" t="s">
        <v>265</v>
      </c>
      <c r="R35" s="27" t="s">
        <v>298</v>
      </c>
      <c r="S35" s="27"/>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COUNTIF(OFFSET($A$1, 1, 0, ROW()-2, 1), "EVT*") + 1, "0000"), "")</f>
        <v>EVT-2026-0450</v>
      </c>
      <c r="B36" s="30">
        <v>46130</v>
      </c>
      <c r="C36" s="27" t="s">
        <v>266</v>
      </c>
      <c r="D36" s="27" t="s">
        <v>987</v>
      </c>
      <c r="E36" s="27" t="s">
        <v>986</v>
      </c>
      <c r="F36" s="27"/>
      <c r="G36" s="10"/>
      <c r="H36" s="36" t="s">
        <v>263</v>
      </c>
      <c r="I36" s="37" t="s">
        <v>269</v>
      </c>
      <c r="J36" s="37" t="s">
        <v>270</v>
      </c>
      <c r="K36" s="27"/>
      <c r="L36" s="27"/>
      <c r="M36" s="27" t="s">
        <v>760</v>
      </c>
      <c r="N36" s="27"/>
      <c r="O36" s="27"/>
      <c r="P36" s="3" t="s">
        <v>312</v>
      </c>
      <c r="Q36" s="29" t="s">
        <v>265</v>
      </c>
      <c r="R36" s="27"/>
      <c r="S36" s="27"/>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COUNTIF(OFFSET($A$1, 1, 0, ROW()-2, 1), "EVT*") + 1, "0000"), "")</f>
        <v/>
      </c>
      <c r="B37" s="30">
        <v>46131</v>
      </c>
      <c r="C37" s="27" t="s">
        <v>267</v>
      </c>
      <c r="D37" s="27"/>
      <c r="E37" s="27"/>
      <c r="F37" s="27"/>
      <c r="G37" s="10"/>
      <c r="H37" s="36" t="s">
        <v>263</v>
      </c>
      <c r="I37" s="37"/>
      <c r="J37" s="37"/>
      <c r="K37" s="27"/>
      <c r="L37" s="27"/>
      <c r="M37" s="27"/>
      <c r="N37" s="27"/>
      <c r="O37" s="27"/>
      <c r="P37" s="1" t="s">
        <v>264</v>
      </c>
      <c r="Q37" s="29" t="s">
        <v>265</v>
      </c>
      <c r="R37" s="27"/>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COUNTIF(OFFSET($A$1, 1, 0, ROW()-2, 1), "EVT*") + 1, "0000"), "")</f>
        <v>EVT-2026-0451</v>
      </c>
      <c r="B38" s="30" t="s">
        <v>2248</v>
      </c>
      <c r="C38" s="27" t="s">
        <v>2244</v>
      </c>
      <c r="D38" s="27" t="s">
        <v>988</v>
      </c>
      <c r="E38" s="27" t="s">
        <v>208</v>
      </c>
      <c r="F38" s="27" t="s">
        <v>989</v>
      </c>
      <c r="G38" s="10">
        <v>1</v>
      </c>
      <c r="H38" s="36" t="s">
        <v>263</v>
      </c>
      <c r="I38" s="37" t="s">
        <v>269</v>
      </c>
      <c r="J38" s="37" t="s">
        <v>270</v>
      </c>
      <c r="K38" s="27"/>
      <c r="L38" s="27"/>
      <c r="M38" s="27" t="s">
        <v>378</v>
      </c>
      <c r="N38" s="27"/>
      <c r="O38" s="30" t="s">
        <v>2249</v>
      </c>
      <c r="P38" s="1" t="s">
        <v>264</v>
      </c>
      <c r="Q38" s="29" t="s">
        <v>265</v>
      </c>
      <c r="R38" s="27" t="s">
        <v>990</v>
      </c>
      <c r="S38" s="27"/>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COUNTIF(OFFSET($A$1, 1, 0, ROW()-2, 1), "EVT*") + 1, "0000"), "")</f>
        <v/>
      </c>
      <c r="B39" s="30">
        <v>46132</v>
      </c>
      <c r="C39" s="27" t="s">
        <v>224</v>
      </c>
      <c r="D39" s="27"/>
      <c r="E39" s="27"/>
      <c r="F39" s="27"/>
      <c r="G39" s="10"/>
      <c r="H39" s="36" t="s">
        <v>263</v>
      </c>
      <c r="I39" s="37"/>
      <c r="J39" s="37"/>
      <c r="K39" s="27"/>
      <c r="L39" s="27"/>
      <c r="M39" s="27"/>
      <c r="N39" s="27"/>
      <c r="O39" s="27"/>
      <c r="P39" s="1" t="s">
        <v>264</v>
      </c>
      <c r="Q39" s="29" t="s">
        <v>265</v>
      </c>
      <c r="R39" s="27"/>
      <c r="S39" s="27"/>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COUNTIF(OFFSET($A$1, 1, 0, ROW()-2, 1), "EVT*") + 1, "0000"), "")</f>
        <v>EVT-2026-0452</v>
      </c>
      <c r="B40" s="30">
        <v>46132</v>
      </c>
      <c r="C40" s="27" t="s">
        <v>224</v>
      </c>
      <c r="D40" s="27" t="s">
        <v>348</v>
      </c>
      <c r="E40" s="27" t="s">
        <v>208</v>
      </c>
      <c r="F40" s="27" t="s">
        <v>924</v>
      </c>
      <c r="G40" s="10">
        <v>20</v>
      </c>
      <c r="H40" s="36" t="s">
        <v>263</v>
      </c>
      <c r="I40" s="37" t="s">
        <v>330</v>
      </c>
      <c r="J40" s="37" t="s">
        <v>331</v>
      </c>
      <c r="K40" s="27"/>
      <c r="L40" s="27"/>
      <c r="M40" s="27" t="s">
        <v>991</v>
      </c>
      <c r="N40" s="27"/>
      <c r="O40" s="27"/>
      <c r="P40" s="1" t="s">
        <v>264</v>
      </c>
      <c r="Q40" s="29" t="s">
        <v>265</v>
      </c>
      <c r="R40" s="27" t="s">
        <v>298</v>
      </c>
      <c r="S40" s="27"/>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COUNTIF(OFFSET($A$1, 1, 0, ROW()-2, 1), "EVT*") + 1, "0000"), "")</f>
        <v>EVT-2026-0453</v>
      </c>
      <c r="B41" s="30">
        <v>46132</v>
      </c>
      <c r="C41" s="27" t="s">
        <v>224</v>
      </c>
      <c r="D41" s="27" t="s">
        <v>239</v>
      </c>
      <c r="E41" s="27" t="s">
        <v>202</v>
      </c>
      <c r="F41" s="27" t="s">
        <v>992</v>
      </c>
      <c r="G41" s="10">
        <v>100</v>
      </c>
      <c r="H41" s="38" t="s">
        <v>294</v>
      </c>
      <c r="I41" s="37" t="s">
        <v>295</v>
      </c>
      <c r="J41" s="37" t="s">
        <v>270</v>
      </c>
      <c r="K41" s="27"/>
      <c r="L41" s="27"/>
      <c r="M41" s="27" t="s">
        <v>993</v>
      </c>
      <c r="N41" s="27"/>
      <c r="O41" s="27"/>
      <c r="P41" s="1" t="s">
        <v>264</v>
      </c>
      <c r="Q41" s="29" t="s">
        <v>265</v>
      </c>
      <c r="R41" s="27" t="s">
        <v>298</v>
      </c>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COUNTIF(OFFSET($A$1, 1, 0, ROW()-2, 1), "EVT*") + 1, "0000"), "")</f>
        <v>EVT-2026-0454</v>
      </c>
      <c r="B42" s="30">
        <v>46132</v>
      </c>
      <c r="C42" s="27" t="s">
        <v>224</v>
      </c>
      <c r="D42" s="27" t="s">
        <v>348</v>
      </c>
      <c r="E42" s="27" t="s">
        <v>208</v>
      </c>
      <c r="F42" s="27" t="s">
        <v>368</v>
      </c>
      <c r="G42" s="10">
        <v>30</v>
      </c>
      <c r="H42" s="36" t="s">
        <v>263</v>
      </c>
      <c r="I42" s="37" t="s">
        <v>309</v>
      </c>
      <c r="J42" s="37" t="s">
        <v>270</v>
      </c>
      <c r="K42" s="27"/>
      <c r="L42" s="27"/>
      <c r="M42" s="27" t="s">
        <v>370</v>
      </c>
      <c r="N42" s="27"/>
      <c r="O42" s="30">
        <v>46008</v>
      </c>
      <c r="P42" s="1" t="s">
        <v>264</v>
      </c>
      <c r="Q42" s="29" t="s">
        <v>265</v>
      </c>
      <c r="R42" s="27" t="s">
        <v>298</v>
      </c>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COUNTIF(OFFSET($A$1, 1, 0, ROW()-2, 1), "EVT*") + 1, "0000"), "")</f>
        <v>EVT-2026-0455</v>
      </c>
      <c r="B43" s="30">
        <v>46133</v>
      </c>
      <c r="C43" s="27" t="s">
        <v>227</v>
      </c>
      <c r="D43" s="27" t="s">
        <v>125</v>
      </c>
      <c r="E43" s="27" t="s">
        <v>208</v>
      </c>
      <c r="F43" s="27" t="s">
        <v>994</v>
      </c>
      <c r="G43" s="10">
        <v>120</v>
      </c>
      <c r="H43" s="38" t="s">
        <v>294</v>
      </c>
      <c r="I43" s="37" t="s">
        <v>338</v>
      </c>
      <c r="J43" s="37" t="s">
        <v>506</v>
      </c>
      <c r="K43" s="27"/>
      <c r="L43" s="27"/>
      <c r="M43" s="27" t="s">
        <v>378</v>
      </c>
      <c r="N43" s="27"/>
      <c r="O43" s="30" t="s">
        <v>2236</v>
      </c>
      <c r="P43" s="1" t="s">
        <v>264</v>
      </c>
      <c r="Q43" s="29" t="s">
        <v>265</v>
      </c>
      <c r="R43" s="27"/>
      <c r="S43" s="27"/>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COUNTIF(OFFSET($A$1, 1, 0, ROW()-2, 1), "EVT*") + 1, "0000"), "")</f>
        <v>EVT-2026-0456</v>
      </c>
      <c r="B44" s="30">
        <v>46133</v>
      </c>
      <c r="C44" s="27" t="s">
        <v>227</v>
      </c>
      <c r="D44" s="27" t="s">
        <v>348</v>
      </c>
      <c r="E44" s="27" t="s">
        <v>208</v>
      </c>
      <c r="F44" s="27" t="s">
        <v>368</v>
      </c>
      <c r="G44" s="10">
        <v>30</v>
      </c>
      <c r="H44" s="36" t="s">
        <v>263</v>
      </c>
      <c r="I44" s="37" t="s">
        <v>309</v>
      </c>
      <c r="J44" s="37" t="s">
        <v>270</v>
      </c>
      <c r="K44" s="27"/>
      <c r="L44" s="27"/>
      <c r="M44" s="27" t="s">
        <v>370</v>
      </c>
      <c r="N44" s="27"/>
      <c r="O44" s="30">
        <v>46008</v>
      </c>
      <c r="P44" s="3" t="s">
        <v>312</v>
      </c>
      <c r="Q44" s="29" t="s">
        <v>265</v>
      </c>
      <c r="R44" s="27" t="s">
        <v>298</v>
      </c>
      <c r="S44" s="27"/>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COUNTIF(OFFSET($A$1, 1, 0, ROW()-2, 1), "EVT*") + 1, "0000"), "")</f>
        <v>EVT-2026-0457</v>
      </c>
      <c r="B45" s="30">
        <v>46134</v>
      </c>
      <c r="C45" s="27" t="s">
        <v>201</v>
      </c>
      <c r="D45" s="27" t="s">
        <v>348</v>
      </c>
      <c r="E45" s="27" t="s">
        <v>208</v>
      </c>
      <c r="F45" s="27" t="s">
        <v>895</v>
      </c>
      <c r="G45" s="10">
        <v>40</v>
      </c>
      <c r="H45" s="36" t="s">
        <v>263</v>
      </c>
      <c r="I45" s="37" t="s">
        <v>275</v>
      </c>
      <c r="J45" s="37" t="s">
        <v>296</v>
      </c>
      <c r="K45" s="27"/>
      <c r="L45" s="27"/>
      <c r="M45" s="27" t="s">
        <v>370</v>
      </c>
      <c r="N45" s="27"/>
      <c r="O45" s="30">
        <v>46008</v>
      </c>
      <c r="P45" s="1" t="s">
        <v>264</v>
      </c>
      <c r="Q45" s="29" t="s">
        <v>265</v>
      </c>
      <c r="R45" s="27" t="s">
        <v>298</v>
      </c>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COUNTIF(OFFSET($A$1, 1, 0, ROW()-2, 1), "EVT*") + 1, "0000"), "")</f>
        <v>EVT-2026-0458</v>
      </c>
      <c r="B46" s="30">
        <v>46134</v>
      </c>
      <c r="C46" s="27" t="s">
        <v>201</v>
      </c>
      <c r="D46" s="27" t="s">
        <v>239</v>
      </c>
      <c r="E46" s="27" t="s">
        <v>208</v>
      </c>
      <c r="F46" s="27" t="s">
        <v>995</v>
      </c>
      <c r="G46" s="10">
        <v>60</v>
      </c>
      <c r="H46" s="36" t="s">
        <v>263</v>
      </c>
      <c r="I46" s="37" t="s">
        <v>359</v>
      </c>
      <c r="J46" s="37" t="s">
        <v>290</v>
      </c>
      <c r="K46" s="27"/>
      <c r="L46" s="27"/>
      <c r="M46" s="27" t="s">
        <v>583</v>
      </c>
      <c r="N46" s="27"/>
      <c r="O46" s="27"/>
      <c r="P46" s="1" t="s">
        <v>264</v>
      </c>
      <c r="Q46" s="29" t="s">
        <v>265</v>
      </c>
      <c r="R46" s="27" t="s">
        <v>298</v>
      </c>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COUNTIF(OFFSET($A$1, 1, 0, ROW()-2, 1), "EVT*") + 1, "0000"), "")</f>
        <v>EVT-2026-0459</v>
      </c>
      <c r="B47" s="30">
        <v>46135</v>
      </c>
      <c r="C47" s="27" t="s">
        <v>216</v>
      </c>
      <c r="D47" s="27" t="s">
        <v>348</v>
      </c>
      <c r="E47" s="27" t="s">
        <v>208</v>
      </c>
      <c r="F47" s="27" t="s">
        <v>895</v>
      </c>
      <c r="G47" s="10">
        <v>40</v>
      </c>
      <c r="H47" s="36" t="s">
        <v>263</v>
      </c>
      <c r="I47" s="37" t="s">
        <v>275</v>
      </c>
      <c r="J47" s="37" t="s">
        <v>296</v>
      </c>
      <c r="K47" s="27"/>
      <c r="L47" s="27"/>
      <c r="M47" s="27" t="s">
        <v>351</v>
      </c>
      <c r="N47" s="27"/>
      <c r="O47" s="30">
        <v>46008</v>
      </c>
      <c r="P47" s="3" t="s">
        <v>312</v>
      </c>
      <c r="Q47" s="29" t="s">
        <v>265</v>
      </c>
      <c r="R47" s="27" t="s">
        <v>303</v>
      </c>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COUNTIF(OFFSET($A$1, 1, 0, ROW()-2, 1), "EVT*") + 1, "0000"), "")</f>
        <v/>
      </c>
      <c r="B48" s="30">
        <v>46137</v>
      </c>
      <c r="C48" s="27" t="s">
        <v>266</v>
      </c>
      <c r="D48" s="27"/>
      <c r="E48" s="27" t="s">
        <v>202</v>
      </c>
      <c r="F48" s="27"/>
      <c r="G48" s="10"/>
      <c r="H48" s="36" t="s">
        <v>263</v>
      </c>
      <c r="I48" s="37"/>
      <c r="J48" s="37"/>
      <c r="K48" s="27"/>
      <c r="L48" s="27"/>
      <c r="M48" s="27"/>
      <c r="N48" s="27"/>
      <c r="O48" s="27"/>
      <c r="P48" s="1" t="s">
        <v>264</v>
      </c>
      <c r="Q48" s="29" t="s">
        <v>265</v>
      </c>
      <c r="R48" s="27"/>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COUNTIF(OFFSET($A$1, 1, 0, ROW()-2, 1), "EVT*") + 1, "0000"), "")</f>
        <v/>
      </c>
      <c r="B49" s="30">
        <v>46138</v>
      </c>
      <c r="C49" s="27" t="s">
        <v>267</v>
      </c>
      <c r="D49" s="27"/>
      <c r="E49" s="27"/>
      <c r="F49" s="27"/>
      <c r="G49" s="10"/>
      <c r="H49" s="36" t="s">
        <v>263</v>
      </c>
      <c r="I49" s="37"/>
      <c r="J49" s="37"/>
      <c r="K49" s="27"/>
      <c r="L49" s="27"/>
      <c r="M49" s="27"/>
      <c r="N49" s="27"/>
      <c r="O49" s="27"/>
      <c r="P49" s="1" t="s">
        <v>264</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COUNTIF(OFFSET($A$1, 1, 0, ROW()-2, 1), "EVT*") + 1, "0000"), "")</f>
        <v>EVT-2026-0460</v>
      </c>
      <c r="B50" s="30" t="s">
        <v>2250</v>
      </c>
      <c r="C50" s="27" t="s">
        <v>833</v>
      </c>
      <c r="D50" s="27" t="s">
        <v>996</v>
      </c>
      <c r="E50" s="27" t="s">
        <v>208</v>
      </c>
      <c r="F50" s="27" t="s">
        <v>989</v>
      </c>
      <c r="G50" s="10">
        <v>1</v>
      </c>
      <c r="H50" s="36" t="s">
        <v>263</v>
      </c>
      <c r="I50" s="37" t="s">
        <v>269</v>
      </c>
      <c r="J50" s="37" t="s">
        <v>270</v>
      </c>
      <c r="K50" s="27"/>
      <c r="L50" s="27"/>
      <c r="M50" s="27" t="s">
        <v>378</v>
      </c>
      <c r="N50" s="27"/>
      <c r="O50" s="27"/>
      <c r="P50" s="1" t="s">
        <v>264</v>
      </c>
      <c r="Q50" s="29" t="s">
        <v>265</v>
      </c>
      <c r="R50" s="27" t="s">
        <v>990</v>
      </c>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COUNTIF(OFFSET($A$1, 1, 0, ROW()-2, 1), "EVT*") + 1, "0000"), "")</f>
        <v>EVT-2026-0461</v>
      </c>
      <c r="B51" s="30" t="s">
        <v>2251</v>
      </c>
      <c r="C51" s="27" t="s">
        <v>224</v>
      </c>
      <c r="D51" s="27" t="s">
        <v>348</v>
      </c>
      <c r="E51" s="27" t="s">
        <v>202</v>
      </c>
      <c r="F51" s="27" t="s">
        <v>997</v>
      </c>
      <c r="G51" s="10">
        <v>45</v>
      </c>
      <c r="H51" s="36" t="s">
        <v>263</v>
      </c>
      <c r="I51" s="37" t="s">
        <v>269</v>
      </c>
      <c r="J51" s="37" t="s">
        <v>270</v>
      </c>
      <c r="K51" s="27"/>
      <c r="L51" s="27"/>
      <c r="M51" s="27" t="s">
        <v>952</v>
      </c>
      <c r="N51" s="27"/>
      <c r="O51" s="27"/>
      <c r="P51" s="1" t="s">
        <v>264</v>
      </c>
      <c r="Q51" s="29" t="s">
        <v>265</v>
      </c>
      <c r="R51" s="27" t="s">
        <v>998</v>
      </c>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COUNTIF(OFFSET($A$1, 1, 0, ROW()-2, 1), "EVT*") + 1, "0000"), "")</f>
        <v>EVT-2026-0462</v>
      </c>
      <c r="B52" s="30">
        <v>46139</v>
      </c>
      <c r="C52" s="27" t="s">
        <v>224</v>
      </c>
      <c r="D52" s="27" t="s">
        <v>348</v>
      </c>
      <c r="E52" s="27" t="s">
        <v>208</v>
      </c>
      <c r="F52" s="27" t="s">
        <v>999</v>
      </c>
      <c r="G52" s="10">
        <v>100</v>
      </c>
      <c r="H52" s="38" t="s">
        <v>294</v>
      </c>
      <c r="I52" s="37" t="s">
        <v>330</v>
      </c>
      <c r="J52" s="37" t="s">
        <v>331</v>
      </c>
      <c r="K52" s="27"/>
      <c r="L52" s="27"/>
      <c r="M52" s="27" t="s">
        <v>378</v>
      </c>
      <c r="N52" s="27"/>
      <c r="O52" s="27"/>
      <c r="P52" s="3" t="s">
        <v>312</v>
      </c>
      <c r="Q52" s="29" t="s">
        <v>265</v>
      </c>
      <c r="R52" s="27" t="s">
        <v>298</v>
      </c>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COUNTIF(OFFSET($A$1, 1, 0, ROW()-2, 1), "EVT*") + 1, "0000"), "")</f>
        <v>EVT-2026-0463</v>
      </c>
      <c r="B53" s="30">
        <v>46139</v>
      </c>
      <c r="C53" s="27" t="s">
        <v>224</v>
      </c>
      <c r="D53" s="27" t="s">
        <v>348</v>
      </c>
      <c r="E53" s="27" t="s">
        <v>208</v>
      </c>
      <c r="F53" s="27"/>
      <c r="G53" s="10"/>
      <c r="H53" s="36" t="s">
        <v>263</v>
      </c>
      <c r="I53" s="37" t="s">
        <v>309</v>
      </c>
      <c r="J53" s="37" t="s">
        <v>270</v>
      </c>
      <c r="K53" s="27"/>
      <c r="L53" s="27"/>
      <c r="M53" s="27" t="s">
        <v>370</v>
      </c>
      <c r="N53" s="27"/>
      <c r="O53" s="27"/>
      <c r="P53" s="1" t="s">
        <v>264</v>
      </c>
      <c r="Q53" s="29" t="s">
        <v>265</v>
      </c>
      <c r="R53" s="27" t="s">
        <v>303</v>
      </c>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COUNTIF(OFFSET($A$1, 1, 0, ROW()-2, 1), "EVT*") + 1, "0000"), "")</f>
        <v>EVT-2026-0464</v>
      </c>
      <c r="B54" s="30">
        <v>46140</v>
      </c>
      <c r="C54" s="27" t="s">
        <v>227</v>
      </c>
      <c r="D54" s="27" t="s">
        <v>348</v>
      </c>
      <c r="E54" s="27" t="s">
        <v>208</v>
      </c>
      <c r="F54" s="27" t="s">
        <v>1000</v>
      </c>
      <c r="G54" s="10">
        <v>20</v>
      </c>
      <c r="H54" s="36" t="s">
        <v>263</v>
      </c>
      <c r="I54" s="37" t="s">
        <v>330</v>
      </c>
      <c r="J54" s="37" t="s">
        <v>331</v>
      </c>
      <c r="K54" s="27"/>
      <c r="L54" s="27"/>
      <c r="M54" s="27" t="s">
        <v>1001</v>
      </c>
      <c r="N54" s="27"/>
      <c r="O54" s="27"/>
      <c r="P54" s="1" t="s">
        <v>264</v>
      </c>
      <c r="Q54" s="29" t="s">
        <v>265</v>
      </c>
      <c r="R54" s="27" t="s">
        <v>298</v>
      </c>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COUNTIF(OFFSET($A$1, 1, 0, ROW()-2, 1), "EVT*") + 1, "0000"), "")</f>
        <v>EVT-2026-0465</v>
      </c>
      <c r="B55" s="30">
        <v>46140</v>
      </c>
      <c r="C55" s="27" t="s">
        <v>227</v>
      </c>
      <c r="D55" s="27" t="s">
        <v>239</v>
      </c>
      <c r="E55" s="27" t="s">
        <v>202</v>
      </c>
      <c r="F55" s="27" t="s">
        <v>1002</v>
      </c>
      <c r="G55" s="10">
        <v>150</v>
      </c>
      <c r="H55" s="38" t="s">
        <v>294</v>
      </c>
      <c r="I55" s="37" t="s">
        <v>289</v>
      </c>
      <c r="J55" s="37" t="s">
        <v>359</v>
      </c>
      <c r="K55" s="27"/>
      <c r="L55" s="27"/>
      <c r="M55" s="27" t="s">
        <v>379</v>
      </c>
      <c r="N55" s="27"/>
      <c r="O55" s="30" t="s">
        <v>2252</v>
      </c>
      <c r="P55" s="1" t="s">
        <v>264</v>
      </c>
      <c r="Q55" s="29" t="s">
        <v>265</v>
      </c>
      <c r="R55" s="27" t="s">
        <v>298</v>
      </c>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COUNTIF(OFFSET($A$1, 1, 0, ROW()-2, 1), "EVT*") + 1, "0000"), "")</f>
        <v>EVT-2026-0466</v>
      </c>
      <c r="B56" s="30">
        <v>46140</v>
      </c>
      <c r="C56" s="27" t="s">
        <v>227</v>
      </c>
      <c r="D56" s="27" t="s">
        <v>348</v>
      </c>
      <c r="E56" s="27" t="s">
        <v>208</v>
      </c>
      <c r="F56" s="27" t="s">
        <v>349</v>
      </c>
      <c r="G56" s="10">
        <v>50</v>
      </c>
      <c r="H56" s="36" t="s">
        <v>263</v>
      </c>
      <c r="I56" s="37" t="s">
        <v>350</v>
      </c>
      <c r="J56" s="37" t="s">
        <v>296</v>
      </c>
      <c r="K56" s="27"/>
      <c r="L56" s="27"/>
      <c r="M56" s="27" t="s">
        <v>351</v>
      </c>
      <c r="N56" s="27"/>
      <c r="O56" s="30">
        <v>46008</v>
      </c>
      <c r="P56" s="1" t="s">
        <v>264</v>
      </c>
      <c r="Q56" s="29" t="s">
        <v>265</v>
      </c>
      <c r="R56" s="27" t="s">
        <v>303</v>
      </c>
      <c r="S56" s="27"/>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COUNTIF(OFFSET($A$1, 1, 0, ROW()-2, 1), "EVT*") + 1, "0000"), "")</f>
        <v>EVT-2026-0467</v>
      </c>
      <c r="B57" s="30">
        <v>46140</v>
      </c>
      <c r="C57" s="27" t="s">
        <v>227</v>
      </c>
      <c r="D57" s="27" t="s">
        <v>389</v>
      </c>
      <c r="E57" s="27" t="s">
        <v>202</v>
      </c>
      <c r="F57" s="27" t="s">
        <v>1002</v>
      </c>
      <c r="G57" s="10">
        <v>60</v>
      </c>
      <c r="H57" s="36" t="s">
        <v>263</v>
      </c>
      <c r="I57" s="37" t="s">
        <v>295</v>
      </c>
      <c r="J57" s="37" t="s">
        <v>290</v>
      </c>
      <c r="K57" s="27"/>
      <c r="L57" s="27"/>
      <c r="M57" s="27" t="s">
        <v>1003</v>
      </c>
      <c r="N57" s="27"/>
      <c r="O57" s="27"/>
      <c r="P57" s="1" t="s">
        <v>264</v>
      </c>
      <c r="Q57" s="29" t="s">
        <v>265</v>
      </c>
      <c r="R57" s="27" t="s">
        <v>298</v>
      </c>
      <c r="S57" s="27"/>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COUNTIF(OFFSET($A$1, 1, 0, ROW()-2, 1), "EVT*") + 1, "0000"), "")</f>
        <v>EVT-2026-0468</v>
      </c>
      <c r="B58" s="30">
        <v>46141</v>
      </c>
      <c r="C58" s="27" t="s">
        <v>201</v>
      </c>
      <c r="D58" s="27" t="s">
        <v>239</v>
      </c>
      <c r="E58" s="27" t="s">
        <v>202</v>
      </c>
      <c r="F58" s="27" t="s">
        <v>1004</v>
      </c>
      <c r="G58" s="10">
        <v>60</v>
      </c>
      <c r="H58" s="36" t="s">
        <v>263</v>
      </c>
      <c r="I58" s="37" t="s">
        <v>506</v>
      </c>
      <c r="J58" s="37" t="s">
        <v>429</v>
      </c>
      <c r="K58" s="27"/>
      <c r="L58" s="27"/>
      <c r="M58" s="27" t="s">
        <v>1005</v>
      </c>
      <c r="N58" s="27"/>
      <c r="O58" s="30" t="s">
        <v>2238</v>
      </c>
      <c r="P58" s="1" t="s">
        <v>264</v>
      </c>
      <c r="Q58" s="29" t="s">
        <v>265</v>
      </c>
      <c r="R58" s="27" t="s">
        <v>298</v>
      </c>
      <c r="S58" s="27"/>
    </row>
    <row r="59" spans="1:19" ht="24" customHeight="1">
      <c r="A59" s="27" t="str">
        <f ca="1">IF(OR(D59&lt;&gt;"", F59&lt;&gt;"", L59&lt;&gt;"", O59&lt;&gt;""), "EVT-2026-" &amp; TEXT(COUNTIF('DT-3 Jan26'!$A$3:$A$500, "EVT*") + COUNTIF('DT-4 Jan26'!$A$3:$A$500, "EVT*") + COUNTIF('DT-3 Feb26'!$A$3:$A$500, "EVT*") + COUNTIF('DT-4 Feb26'!$A$3:$A$500, "EVT*") + COUNTIF('DT-3 Mar26'!$A$3:$A$500, "EVT*") + COUNTIF('DT-4 Mar26'!$A$3:$A$500, "EVT*") + COUNTIF('DT-3 Apr26'!$A$3:$A$500, "EVT*") + COUNTIF(OFFSET($A$1, 1, 0, ROW()-2, 1), "EVT*") + 1, "0000"), "")</f>
        <v>EVT-2026-0469</v>
      </c>
      <c r="B59" s="30">
        <v>46141</v>
      </c>
      <c r="C59" s="27" t="s">
        <v>201</v>
      </c>
      <c r="D59" s="27" t="s">
        <v>239</v>
      </c>
      <c r="E59" s="27" t="s">
        <v>202</v>
      </c>
      <c r="F59" s="27" t="s">
        <v>1006</v>
      </c>
      <c r="G59" s="10">
        <v>60</v>
      </c>
      <c r="H59" s="36" t="s">
        <v>263</v>
      </c>
      <c r="I59" s="37" t="s">
        <v>295</v>
      </c>
      <c r="J59" s="37" t="s">
        <v>290</v>
      </c>
      <c r="K59" s="27"/>
      <c r="L59" s="27"/>
      <c r="M59" s="27" t="s">
        <v>1007</v>
      </c>
      <c r="N59" s="27"/>
      <c r="O59" s="30" t="s">
        <v>2253</v>
      </c>
      <c r="P59" s="1" t="s">
        <v>264</v>
      </c>
      <c r="Q59" s="29" t="s">
        <v>265</v>
      </c>
      <c r="R59" s="27"/>
      <c r="S59" s="27"/>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COUNTIF(OFFSET($A$1, 1, 0, ROW()-2, 1), "EVT*") + 1, "0000"), "")</f>
        <v>EVT-2026-0470</v>
      </c>
      <c r="B60" s="30">
        <v>46141</v>
      </c>
      <c r="C60" s="27" t="s">
        <v>201</v>
      </c>
      <c r="D60" s="27" t="s">
        <v>348</v>
      </c>
      <c r="E60" s="27" t="s">
        <v>202</v>
      </c>
      <c r="F60" s="27" t="s">
        <v>1008</v>
      </c>
      <c r="G60" s="10">
        <v>50</v>
      </c>
      <c r="H60" s="36" t="s">
        <v>263</v>
      </c>
      <c r="I60" s="37" t="s">
        <v>309</v>
      </c>
      <c r="J60" s="37" t="s">
        <v>359</v>
      </c>
      <c r="K60" s="27"/>
      <c r="L60" s="27"/>
      <c r="M60" s="27" t="s">
        <v>1009</v>
      </c>
      <c r="N60" s="27"/>
      <c r="O60" s="30" t="s">
        <v>2254</v>
      </c>
      <c r="P60" s="1" t="s">
        <v>264</v>
      </c>
      <c r="Q60" s="29" t="s">
        <v>265</v>
      </c>
      <c r="R60" s="27" t="s">
        <v>298</v>
      </c>
      <c r="S60" s="27"/>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COUNTIF(OFFSET($A$1, 1, 0, ROW()-2, 1), "EVT*") + 1, "0000"), "")</f>
        <v>EVT-2026-0471</v>
      </c>
      <c r="B61" s="30">
        <v>46141</v>
      </c>
      <c r="C61" s="27" t="s">
        <v>201</v>
      </c>
      <c r="D61" s="27" t="s">
        <v>1010</v>
      </c>
      <c r="E61" s="27" t="s">
        <v>208</v>
      </c>
      <c r="F61" s="27" t="s">
        <v>1011</v>
      </c>
      <c r="G61" s="10">
        <v>80</v>
      </c>
      <c r="H61" s="36" t="s">
        <v>263</v>
      </c>
      <c r="I61" s="37" t="s">
        <v>331</v>
      </c>
      <c r="J61" s="37" t="s">
        <v>350</v>
      </c>
      <c r="K61" s="27"/>
      <c r="L61" s="27"/>
      <c r="M61" s="27" t="s">
        <v>615</v>
      </c>
      <c r="N61" s="27"/>
      <c r="O61" s="27"/>
      <c r="P61" s="1" t="s">
        <v>264</v>
      </c>
      <c r="Q61" s="29" t="s">
        <v>265</v>
      </c>
      <c r="R61" s="27" t="s">
        <v>1012</v>
      </c>
      <c r="S61" s="27"/>
    </row>
    <row r="62" spans="1:19" ht="24" customHeight="1">
      <c r="A62" s="27" t="str">
        <f ca="1">IF(OR(D62&lt;&gt;"", F62&lt;&gt;"", L62&lt;&gt;"", O62&lt;&gt;""), "EVT-2026-" &amp; TEXT(COUNTIF('DT-3 Jan26'!$A$3:$A$500, "EVT*") + COUNTIF('DT-4 Jan26'!$A$3:$A$500, "EVT*") + COUNTIF('DT-3 Feb26'!$A$3:$A$500, "EVT*") + COUNTIF('DT-4 Feb26'!$A$3:$A$500, "EVT*") + COUNTIF('DT-3 Mar26'!$A$3:$A$500, "EVT*") + COUNTIF('DT-4 Mar26'!$A$3:$A$500, "EVT*") + COUNTIF('DT-3 Apr26'!$A$3:$A$500, "EVT*") + COUNTIF(OFFSET($A$1, 1, 0, ROW()-2, 1), "EVT*") + 1, "0000"), "")</f>
        <v>EVT-2026-0472</v>
      </c>
      <c r="B62" s="30">
        <v>46141</v>
      </c>
      <c r="C62" s="27" t="s">
        <v>201</v>
      </c>
      <c r="D62" s="27" t="s">
        <v>1013</v>
      </c>
      <c r="E62" s="27" t="s">
        <v>202</v>
      </c>
      <c r="F62" s="27" t="s">
        <v>1014</v>
      </c>
      <c r="G62" s="10"/>
      <c r="H62" s="36" t="s">
        <v>263</v>
      </c>
      <c r="I62" s="37" t="s">
        <v>295</v>
      </c>
      <c r="J62" s="37" t="s">
        <v>296</v>
      </c>
      <c r="K62" s="27"/>
      <c r="L62" s="27"/>
      <c r="M62" s="27" t="s">
        <v>1015</v>
      </c>
      <c r="N62" s="27"/>
      <c r="O62" s="30">
        <v>46129</v>
      </c>
      <c r="P62" s="1" t="s">
        <v>264</v>
      </c>
      <c r="Q62" s="29" t="s">
        <v>265</v>
      </c>
      <c r="R62" s="27" t="s">
        <v>1016</v>
      </c>
      <c r="S62" s="27"/>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COUNTIF(OFFSET($A$1, 1, 0, ROW()-2, 1), "EVT*") + 1, "0000"), "")</f>
        <v>EVT-2026-0473</v>
      </c>
      <c r="B63" s="30">
        <v>46141</v>
      </c>
      <c r="C63" s="27" t="s">
        <v>201</v>
      </c>
      <c r="D63" s="27" t="s">
        <v>348</v>
      </c>
      <c r="E63" s="27" t="s">
        <v>202</v>
      </c>
      <c r="F63" s="27" t="s">
        <v>1017</v>
      </c>
      <c r="G63" s="10">
        <v>60</v>
      </c>
      <c r="H63" s="36" t="s">
        <v>263</v>
      </c>
      <c r="I63" s="37" t="s">
        <v>309</v>
      </c>
      <c r="J63" s="37" t="s">
        <v>359</v>
      </c>
      <c r="K63" s="27"/>
      <c r="L63" s="27"/>
      <c r="M63" s="27" t="s">
        <v>1018</v>
      </c>
      <c r="N63" s="27"/>
      <c r="O63" s="27"/>
      <c r="P63" s="1" t="s">
        <v>264</v>
      </c>
      <c r="Q63" s="29" t="s">
        <v>265</v>
      </c>
      <c r="R63" s="27" t="s">
        <v>298</v>
      </c>
      <c r="S63" s="27"/>
    </row>
    <row r="64" spans="1:19" ht="24" customHeight="1">
      <c r="A64" s="27" t="str">
        <f ca="1">IF(OR(D64&lt;&gt;"", F64&lt;&gt;"", L64&lt;&gt;"", O64&lt;&gt;""), "EVT-2026-" &amp; TEXT(COUNTIF('DT-3 Jan26'!$A$3:$A$500, "EVT*") + COUNTIF('DT-4 Jan26'!$A$3:$A$500, "EVT*") + COUNTIF('DT-3 Feb26'!$A$3:$A$500, "EVT*") + COUNTIF('DT-4 Feb26'!$A$3:$A$500, "EVT*") + COUNTIF('DT-3 Mar26'!$A$3:$A$500, "EVT*") + COUNTIF('DT-4 Mar26'!$A$3:$A$500, "EVT*") + COUNTIF('DT-3 Apr26'!$A$3:$A$500, "EVT*") + COUNTIF(OFFSET($A$1, 1, 0, ROW()-2, 1), "EVT*") + 1, "0000"), "")</f>
        <v>EVT-2026-0474</v>
      </c>
      <c r="B64" s="30">
        <v>46142</v>
      </c>
      <c r="C64" s="27" t="s">
        <v>216</v>
      </c>
      <c r="D64" s="27" t="s">
        <v>348</v>
      </c>
      <c r="E64" s="27" t="s">
        <v>202</v>
      </c>
      <c r="F64" s="27" t="s">
        <v>1017</v>
      </c>
      <c r="G64" s="10">
        <v>60</v>
      </c>
      <c r="H64" s="36" t="s">
        <v>263</v>
      </c>
      <c r="I64" s="37" t="s">
        <v>309</v>
      </c>
      <c r="J64" s="37" t="s">
        <v>359</v>
      </c>
      <c r="K64" s="27"/>
      <c r="L64" s="27"/>
      <c r="M64" s="27" t="s">
        <v>1018</v>
      </c>
      <c r="N64" s="27"/>
      <c r="O64" s="27"/>
      <c r="P64" s="1" t="s">
        <v>264</v>
      </c>
      <c r="Q64" s="29" t="s">
        <v>265</v>
      </c>
      <c r="R64" s="27" t="s">
        <v>298</v>
      </c>
      <c r="S64" s="27"/>
    </row>
    <row r="65" spans="1:19" ht="24" customHeight="1">
      <c r="A65" s="27" t="str">
        <f ca="1">IF(OR(D65&lt;&gt;"", F65&lt;&gt;"", L65&lt;&gt;"", O65&lt;&gt;""), "EVT-2026-" &amp; TEXT(COUNTIF('DT-3 Jan26'!$A$3:$A$500, "EVT*") + COUNTIF('DT-4 Jan26'!$A$3:$A$500, "EVT*") + COUNTIF('DT-3 Feb26'!$A$3:$A$500, "EVT*") + COUNTIF('DT-4 Feb26'!$A$3:$A$500, "EVT*") + COUNTIF('DT-3 Mar26'!$A$3:$A$500, "EVT*") + COUNTIF('DT-4 Mar26'!$A$3:$A$500, "EVT*") + COUNTIF('DT-3 Apr26'!$A$3:$A$500, "EVT*") + COUNTIF(OFFSET($A$1, 1, 0, ROW()-2, 1), "EVT*") + 1, "0000"), "")</f>
        <v>EVT-2026-0475</v>
      </c>
      <c r="B65" s="30">
        <v>46142</v>
      </c>
      <c r="C65" s="27" t="s">
        <v>216</v>
      </c>
      <c r="D65" s="27" t="s">
        <v>348</v>
      </c>
      <c r="E65" s="27" t="s">
        <v>208</v>
      </c>
      <c r="F65" s="27" t="s">
        <v>349</v>
      </c>
      <c r="G65" s="10">
        <v>50</v>
      </c>
      <c r="H65" s="36" t="s">
        <v>263</v>
      </c>
      <c r="I65" s="37" t="s">
        <v>350</v>
      </c>
      <c r="J65" s="37" t="s">
        <v>296</v>
      </c>
      <c r="K65" s="27"/>
      <c r="L65" s="27"/>
      <c r="M65" s="27" t="s">
        <v>351</v>
      </c>
      <c r="N65" s="27"/>
      <c r="O65" s="30">
        <v>46008</v>
      </c>
      <c r="P65" s="1" t="s">
        <v>264</v>
      </c>
      <c r="Q65" s="29" t="s">
        <v>265</v>
      </c>
      <c r="R65" s="27" t="s">
        <v>303</v>
      </c>
      <c r="S65" s="27"/>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COUNTIF(OFFSET($A$1, 1, 0, ROW()-2, 1), "EVT*") + 1, "0000"), "")</f>
        <v>EVT-2026-0476</v>
      </c>
      <c r="B66" s="30">
        <v>46142</v>
      </c>
      <c r="C66" s="27" t="s">
        <v>216</v>
      </c>
      <c r="D66" s="27" t="s">
        <v>1019</v>
      </c>
      <c r="E66" s="27" t="s">
        <v>228</v>
      </c>
      <c r="F66" s="27" t="s">
        <v>1020</v>
      </c>
      <c r="G66" s="10"/>
      <c r="H66" s="36" t="s">
        <v>263</v>
      </c>
      <c r="I66" s="37" t="s">
        <v>338</v>
      </c>
      <c r="J66" s="37" t="s">
        <v>330</v>
      </c>
      <c r="K66" s="27"/>
      <c r="L66" s="27"/>
      <c r="M66" s="27" t="s">
        <v>551</v>
      </c>
      <c r="N66" s="27"/>
      <c r="O66" s="27"/>
      <c r="P66" s="3" t="s">
        <v>312</v>
      </c>
      <c r="Q66" s="29" t="s">
        <v>265</v>
      </c>
      <c r="R66" s="27" t="s">
        <v>298</v>
      </c>
      <c r="S66" s="27"/>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COUNTIF(OFFSET($A$1, 1, 0, ROW()-2, 1), "EVT*") + 1, "0000"), "")</f>
        <v>EVT-2026-0477</v>
      </c>
      <c r="B67" s="30">
        <v>46142</v>
      </c>
      <c r="C67" s="27" t="s">
        <v>216</v>
      </c>
      <c r="D67" s="27" t="s">
        <v>1021</v>
      </c>
      <c r="E67" s="27" t="s">
        <v>228</v>
      </c>
      <c r="F67" s="27" t="s">
        <v>353</v>
      </c>
      <c r="G67" s="10">
        <v>140</v>
      </c>
      <c r="H67" s="38" t="s">
        <v>294</v>
      </c>
      <c r="I67" s="37" t="s">
        <v>817</v>
      </c>
      <c r="J67" s="37" t="s">
        <v>295</v>
      </c>
      <c r="K67" s="27"/>
      <c r="L67" s="27"/>
      <c r="M67" s="27" t="s">
        <v>763</v>
      </c>
      <c r="N67" s="27"/>
      <c r="O67" s="30" t="s">
        <v>2249</v>
      </c>
      <c r="P67" s="1" t="s">
        <v>264</v>
      </c>
      <c r="Q67" s="29" t="s">
        <v>265</v>
      </c>
      <c r="R67" s="27" t="s">
        <v>894</v>
      </c>
      <c r="S67" s="27"/>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COUNTIF(OFFSET($A$1, 1, 0, ROW()-2, 1), "EVT*") + 1, "0000"), "")</f>
        <v>EVT-2026-0478</v>
      </c>
      <c r="B68" s="30">
        <v>46142</v>
      </c>
      <c r="C68" s="27" t="s">
        <v>216</v>
      </c>
      <c r="D68" s="27" t="s">
        <v>1021</v>
      </c>
      <c r="E68" s="27" t="s">
        <v>202</v>
      </c>
      <c r="F68" s="27" t="s">
        <v>1022</v>
      </c>
      <c r="G68" s="10">
        <v>140</v>
      </c>
      <c r="H68" s="38" t="s">
        <v>294</v>
      </c>
      <c r="I68" s="37" t="s">
        <v>275</v>
      </c>
      <c r="J68" s="37" t="s">
        <v>295</v>
      </c>
      <c r="K68" s="27"/>
      <c r="L68" s="27"/>
      <c r="M68" s="27" t="s">
        <v>1023</v>
      </c>
      <c r="N68" s="27"/>
      <c r="O68" s="27"/>
      <c r="P68" s="1" t="s">
        <v>264</v>
      </c>
      <c r="Q68" s="29" t="s">
        <v>265</v>
      </c>
      <c r="R68" s="27"/>
      <c r="S68" s="27"/>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COUNTIF(OFFSET($A$1, 1, 0, ROW()-2, 1), "EVT*") + 1, "0000"), "")</f>
        <v>EVT-2026-0479</v>
      </c>
      <c r="B69" s="30">
        <v>46142</v>
      </c>
      <c r="C69" s="27" t="s">
        <v>216</v>
      </c>
      <c r="D69" s="27" t="s">
        <v>1021</v>
      </c>
      <c r="E69" s="27" t="s">
        <v>228</v>
      </c>
      <c r="F69" s="27" t="s">
        <v>658</v>
      </c>
      <c r="G69" s="10">
        <v>60</v>
      </c>
      <c r="H69" s="36" t="s">
        <v>263</v>
      </c>
      <c r="I69" s="37" t="s">
        <v>295</v>
      </c>
      <c r="J69" s="37" t="s">
        <v>296</v>
      </c>
      <c r="K69" s="27"/>
      <c r="L69" s="27"/>
      <c r="M69" s="27" t="s">
        <v>1024</v>
      </c>
      <c r="N69" s="27"/>
      <c r="O69" s="27"/>
      <c r="P69" s="1" t="s">
        <v>264</v>
      </c>
      <c r="Q69" s="29" t="s">
        <v>265</v>
      </c>
      <c r="R69" s="27" t="s">
        <v>467</v>
      </c>
      <c r="S69" s="27"/>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COUNTIF(OFFSET($A$1, 1, 0, ROW()-2, 1), "EVT*") + 1, "0000"), "")</f>
        <v/>
      </c>
      <c r="B70" s="27"/>
      <c r="C70" s="27"/>
      <c r="D70" s="27"/>
      <c r="E70" s="27"/>
      <c r="F70" s="27"/>
      <c r="G70" s="10">
        <f>SUM(F3:F69)</f>
        <v>0</v>
      </c>
      <c r="H70" s="36" t="s">
        <v>263</v>
      </c>
      <c r="I70" s="37"/>
      <c r="J70" s="37"/>
      <c r="K70" s="27"/>
      <c r="L70" s="27"/>
      <c r="M70" s="27"/>
      <c r="N70" s="27"/>
      <c r="O70" s="27"/>
      <c r="P70" s="1" t="s">
        <v>264</v>
      </c>
      <c r="Q70" s="29" t="s">
        <v>265</v>
      </c>
      <c r="R70" s="27"/>
      <c r="S70" s="27"/>
    </row>
  </sheetData>
  <mergeCells count="3">
    <mergeCell ref="O1:S1"/>
    <mergeCell ref="A1:C1"/>
    <mergeCell ref="D1:N1"/>
  </mergeCells>
  <dataValidations count="4">
    <dataValidation type="list" allowBlank="1" sqref="O3:O500 P3:P70" xr:uid="{00000000-0002-0000-0900-000000000000}">
      <formula1>"Confirmed (Done),Pending Calendar Booking,Canceled"</formula1>
    </dataValidation>
    <dataValidation type="list" allowBlank="1" sqref="P3:P120" xr:uid="{00000000-0002-0000-0900-000001000000}">
      <formula1>"Form sent,NA"</formula1>
    </dataValidation>
    <dataValidation type="list" allowBlank="1" sqref="Q3:Q70" xr:uid="{00000000-0002-0000-0900-000002000000}">
      <formula1>"Form sent,Not Required,NA"</formula1>
    </dataValidation>
    <dataValidation type="list" allowBlank="1" sqref="H3:H70" xr:uid="{00000000-0002-0000-0900-000003000000}">
      <formula1>"Big Event,Small Event"</formula1>
    </dataValidation>
  </dataValidations>
  <hyperlinks>
    <hyperlink ref="A1" location="'Dashboard'!A1" display="🏠 ⮌ RETURN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50"/>
  <sheetViews>
    <sheetView workbookViewId="0">
      <pane ySplit="2" topLeftCell="A3" activePane="bottomLeft" state="frozen"/>
      <selection pane="bottomLeft"/>
    </sheetView>
  </sheetViews>
  <sheetFormatPr defaultRowHeight="14.45"/>
  <cols>
    <col min="1" max="1" width="18" customWidth="1"/>
    <col min="2" max="2" width="26" customWidth="1"/>
    <col min="3" max="3" width="13" customWidth="1"/>
    <col min="4" max="4" width="27" customWidth="1"/>
    <col min="5" max="5" width="48" customWidth="1"/>
    <col min="6" max="6" width="18" customWidth="1"/>
    <col min="7" max="7" width="15" customWidth="1"/>
    <col min="8" max="8" width="19" customWidth="1"/>
    <col min="9" max="9" width="17" customWidth="1"/>
    <col min="10" max="10" width="18" customWidth="1"/>
    <col min="11" max="11" width="22" customWidth="1"/>
    <col min="12" max="12" width="21" customWidth="1"/>
    <col min="13" max="13" width="25" customWidth="1"/>
    <col min="14" max="14" width="16" customWidth="1"/>
    <col min="15" max="15" width="25" customWidth="1"/>
    <col min="16" max="16" width="18" customWidth="1"/>
    <col min="17" max="17" width="48" customWidth="1"/>
    <col min="18" max="18" width="19" customWidth="1"/>
  </cols>
  <sheetData>
    <row r="1" spans="1:18" ht="27.95" customHeight="1">
      <c r="A1" s="62" t="s">
        <v>2138</v>
      </c>
      <c r="B1" s="134"/>
      <c r="C1" s="135"/>
      <c r="D1" s="63" t="s">
        <v>2255</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3" s="30">
        <v>46143</v>
      </c>
      <c r="C3" s="27" t="s">
        <v>220</v>
      </c>
      <c r="D3" s="27"/>
      <c r="E3" s="27"/>
      <c r="F3" s="10"/>
      <c r="G3" s="36" t="s">
        <v>263</v>
      </c>
      <c r="H3" s="37"/>
      <c r="I3" s="37"/>
      <c r="J3" s="27"/>
      <c r="K3" s="27"/>
      <c r="L3" s="27"/>
      <c r="M3" s="27"/>
      <c r="N3" s="27"/>
      <c r="O3" s="1" t="s">
        <v>264</v>
      </c>
      <c r="P3" s="29" t="s">
        <v>265</v>
      </c>
      <c r="Q3" s="27"/>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EVT-2026-0480</v>
      </c>
      <c r="B4" s="30">
        <v>46144</v>
      </c>
      <c r="C4" s="27" t="s">
        <v>266</v>
      </c>
      <c r="D4" s="27" t="s">
        <v>239</v>
      </c>
      <c r="E4" s="27" t="s">
        <v>300</v>
      </c>
      <c r="F4" s="10"/>
      <c r="G4" s="36" t="s">
        <v>263</v>
      </c>
      <c r="H4" s="37" t="s">
        <v>269</v>
      </c>
      <c r="I4" s="37" t="s">
        <v>270</v>
      </c>
      <c r="J4" s="27"/>
      <c r="K4" s="27"/>
      <c r="L4" s="27" t="s">
        <v>1025</v>
      </c>
      <c r="M4" s="27"/>
      <c r="N4" s="27"/>
      <c r="O4" s="1" t="s">
        <v>264</v>
      </c>
      <c r="P4" s="29" t="s">
        <v>265</v>
      </c>
      <c r="Q4" s="27" t="s">
        <v>1026</v>
      </c>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5" s="30">
        <v>46145</v>
      </c>
      <c r="C5" s="27" t="s">
        <v>267</v>
      </c>
      <c r="D5" s="27"/>
      <c r="E5" s="27"/>
      <c r="F5" s="10"/>
      <c r="G5" s="36" t="s">
        <v>263</v>
      </c>
      <c r="H5" s="37"/>
      <c r="I5" s="37"/>
      <c r="J5" s="27"/>
      <c r="K5" s="27"/>
      <c r="L5" s="27"/>
      <c r="M5" s="27"/>
      <c r="N5" s="27"/>
      <c r="O5" s="1" t="s">
        <v>264</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EVT-2026-0481</v>
      </c>
      <c r="B6" s="30">
        <v>46146</v>
      </c>
      <c r="C6" s="27" t="s">
        <v>224</v>
      </c>
      <c r="D6" s="27" t="s">
        <v>326</v>
      </c>
      <c r="E6" s="27" t="s">
        <v>236</v>
      </c>
      <c r="F6" s="10">
        <v>45</v>
      </c>
      <c r="G6" s="36" t="s">
        <v>263</v>
      </c>
      <c r="H6" s="37" t="s">
        <v>269</v>
      </c>
      <c r="I6" s="37" t="s">
        <v>270</v>
      </c>
      <c r="J6" s="27"/>
      <c r="K6" s="27"/>
      <c r="L6" s="27" t="s">
        <v>237</v>
      </c>
      <c r="M6" s="27"/>
      <c r="N6" s="27"/>
      <c r="O6" s="1" t="s">
        <v>264</v>
      </c>
      <c r="P6" s="29" t="s">
        <v>265</v>
      </c>
      <c r="Q6" s="27"/>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EVT-2026-0482</v>
      </c>
      <c r="B7" s="30">
        <v>46146</v>
      </c>
      <c r="C7" s="27" t="s">
        <v>224</v>
      </c>
      <c r="D7" s="27" t="s">
        <v>171</v>
      </c>
      <c r="E7" s="27" t="s">
        <v>1027</v>
      </c>
      <c r="F7" s="10">
        <v>60</v>
      </c>
      <c r="G7" s="36" t="s">
        <v>263</v>
      </c>
      <c r="H7" s="37" t="s">
        <v>330</v>
      </c>
      <c r="I7" s="37" t="s">
        <v>354</v>
      </c>
      <c r="J7" s="27"/>
      <c r="K7" s="27"/>
      <c r="L7" s="27" t="s">
        <v>1028</v>
      </c>
      <c r="M7" s="27"/>
      <c r="N7" s="30" t="s">
        <v>2256</v>
      </c>
      <c r="O7" s="1" t="s">
        <v>264</v>
      </c>
      <c r="P7" s="29" t="s">
        <v>265</v>
      </c>
      <c r="Q7" s="27" t="s">
        <v>500</v>
      </c>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EVT-2026-0483</v>
      </c>
      <c r="B8" s="30" t="s">
        <v>2257</v>
      </c>
      <c r="C8" s="27" t="s">
        <v>2258</v>
      </c>
      <c r="D8" s="27" t="s">
        <v>326</v>
      </c>
      <c r="E8" s="27" t="s">
        <v>1029</v>
      </c>
      <c r="F8" s="10">
        <v>45</v>
      </c>
      <c r="G8" s="36" t="s">
        <v>263</v>
      </c>
      <c r="H8" s="37" t="s">
        <v>269</v>
      </c>
      <c r="I8" s="37" t="s">
        <v>270</v>
      </c>
      <c r="J8" s="27"/>
      <c r="K8" s="27"/>
      <c r="L8" s="27" t="s">
        <v>952</v>
      </c>
      <c r="M8" s="27"/>
      <c r="N8" s="30" t="s">
        <v>2259</v>
      </c>
      <c r="O8" s="1" t="s">
        <v>264</v>
      </c>
      <c r="P8" s="29" t="s">
        <v>265</v>
      </c>
      <c r="Q8" s="27" t="s">
        <v>1030</v>
      </c>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EVT-2026-0484</v>
      </c>
      <c r="B9" s="30">
        <v>46147</v>
      </c>
      <c r="C9" s="27" t="s">
        <v>227</v>
      </c>
      <c r="D9" s="27" t="s">
        <v>171</v>
      </c>
      <c r="E9" s="27" t="s">
        <v>1031</v>
      </c>
      <c r="F9" s="10">
        <v>30</v>
      </c>
      <c r="G9" s="36" t="s">
        <v>263</v>
      </c>
      <c r="H9" s="37" t="s">
        <v>274</v>
      </c>
      <c r="I9" s="37" t="s">
        <v>429</v>
      </c>
      <c r="J9" s="27"/>
      <c r="K9" s="27"/>
      <c r="L9" s="27" t="s">
        <v>1032</v>
      </c>
      <c r="M9" s="27"/>
      <c r="N9" s="27"/>
      <c r="O9" s="1" t="s">
        <v>264</v>
      </c>
      <c r="P9" s="29" t="s">
        <v>265</v>
      </c>
      <c r="Q9" s="27" t="s">
        <v>321</v>
      </c>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EVT-2026-0485</v>
      </c>
      <c r="B10" s="30">
        <v>46147</v>
      </c>
      <c r="C10" s="27" t="s">
        <v>227</v>
      </c>
      <c r="D10" s="27" t="s">
        <v>171</v>
      </c>
      <c r="E10" s="27" t="s">
        <v>1033</v>
      </c>
      <c r="F10" s="10"/>
      <c r="G10" s="36" t="s">
        <v>263</v>
      </c>
      <c r="H10" s="37" t="s">
        <v>331</v>
      </c>
      <c r="I10" s="37" t="s">
        <v>275</v>
      </c>
      <c r="J10" s="27"/>
      <c r="K10" s="27"/>
      <c r="L10" s="27" t="s">
        <v>1032</v>
      </c>
      <c r="M10" s="27"/>
      <c r="N10" s="27"/>
      <c r="O10" s="1" t="s">
        <v>264</v>
      </c>
      <c r="P10" s="29" t="s">
        <v>265</v>
      </c>
      <c r="Q10" s="27" t="s">
        <v>1034</v>
      </c>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EVT-2026-0486</v>
      </c>
      <c r="B11" s="30">
        <v>46147</v>
      </c>
      <c r="C11" s="27" t="s">
        <v>227</v>
      </c>
      <c r="D11" s="27" t="s">
        <v>171</v>
      </c>
      <c r="E11" s="27" t="s">
        <v>895</v>
      </c>
      <c r="F11" s="10">
        <v>60</v>
      </c>
      <c r="G11" s="36" t="s">
        <v>263</v>
      </c>
      <c r="H11" s="37" t="s">
        <v>896</v>
      </c>
      <c r="I11" s="37" t="s">
        <v>359</v>
      </c>
      <c r="J11" s="27"/>
      <c r="K11" s="27"/>
      <c r="L11" s="27" t="s">
        <v>785</v>
      </c>
      <c r="M11" s="27"/>
      <c r="N11" s="30">
        <v>46111</v>
      </c>
      <c r="O11" s="1" t="s">
        <v>264</v>
      </c>
      <c r="P11" s="29" t="s">
        <v>265</v>
      </c>
      <c r="Q11" s="27" t="s">
        <v>321</v>
      </c>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EVT-2026-0487</v>
      </c>
      <c r="B12" s="30">
        <v>46147</v>
      </c>
      <c r="C12" s="27" t="s">
        <v>227</v>
      </c>
      <c r="D12" s="27" t="s">
        <v>171</v>
      </c>
      <c r="E12" s="27" t="s">
        <v>1035</v>
      </c>
      <c r="F12" s="10">
        <v>45</v>
      </c>
      <c r="G12" s="36" t="s">
        <v>263</v>
      </c>
      <c r="H12" s="37" t="s">
        <v>296</v>
      </c>
      <c r="I12" s="37" t="s">
        <v>270</v>
      </c>
      <c r="J12" s="27"/>
      <c r="K12" s="27"/>
      <c r="L12" s="27" t="s">
        <v>1036</v>
      </c>
      <c r="M12" s="27"/>
      <c r="N12" s="27"/>
      <c r="O12" s="1" t="s">
        <v>264</v>
      </c>
      <c r="P12" s="29" t="s">
        <v>265</v>
      </c>
      <c r="Q12" s="27" t="s">
        <v>298</v>
      </c>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EVT-2026-0488</v>
      </c>
      <c r="B13" s="30">
        <v>46148</v>
      </c>
      <c r="C13" s="27" t="s">
        <v>201</v>
      </c>
      <c r="D13" s="27" t="s">
        <v>171</v>
      </c>
      <c r="E13" s="27" t="s">
        <v>1037</v>
      </c>
      <c r="F13" s="10">
        <v>60</v>
      </c>
      <c r="G13" s="36" t="s">
        <v>263</v>
      </c>
      <c r="H13" s="37" t="s">
        <v>309</v>
      </c>
      <c r="I13" s="37" t="s">
        <v>296</v>
      </c>
      <c r="J13" s="27"/>
      <c r="K13" s="27"/>
      <c r="L13" s="27" t="s">
        <v>1038</v>
      </c>
      <c r="M13" s="27"/>
      <c r="N13" s="27"/>
      <c r="O13" s="1" t="s">
        <v>264</v>
      </c>
      <c r="P13" s="29" t="s">
        <v>265</v>
      </c>
      <c r="Q13" s="27" t="s">
        <v>298</v>
      </c>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14" s="30">
        <v>46149</v>
      </c>
      <c r="C14" s="27" t="s">
        <v>216</v>
      </c>
      <c r="D14" s="27"/>
      <c r="E14" s="27"/>
      <c r="F14" s="10"/>
      <c r="G14" s="36" t="s">
        <v>263</v>
      </c>
      <c r="H14" s="37"/>
      <c r="I14" s="37"/>
      <c r="J14" s="27"/>
      <c r="K14" s="27"/>
      <c r="L14" s="27"/>
      <c r="M14" s="27"/>
      <c r="N14" s="27"/>
      <c r="O14" s="1" t="s">
        <v>264</v>
      </c>
      <c r="P14" s="29" t="s">
        <v>265</v>
      </c>
      <c r="Q14" s="27"/>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15" s="30">
        <v>46150</v>
      </c>
      <c r="C15" s="27" t="s">
        <v>220</v>
      </c>
      <c r="D15" s="27"/>
      <c r="E15" s="27"/>
      <c r="F15" s="10"/>
      <c r="G15" s="36" t="s">
        <v>263</v>
      </c>
      <c r="H15" s="37"/>
      <c r="I15" s="37"/>
      <c r="J15" s="27"/>
      <c r="K15" s="27"/>
      <c r="L15" s="27"/>
      <c r="M15" s="27"/>
      <c r="N15" s="27"/>
      <c r="O15" s="1" t="s">
        <v>264</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16" s="30">
        <v>46151</v>
      </c>
      <c r="C16" s="27" t="s">
        <v>266</v>
      </c>
      <c r="D16" s="27"/>
      <c r="E16" s="27"/>
      <c r="F16" s="10"/>
      <c r="G16" s="36" t="s">
        <v>263</v>
      </c>
      <c r="H16" s="37"/>
      <c r="I16" s="37"/>
      <c r="J16" s="27"/>
      <c r="K16" s="27"/>
      <c r="L16" s="27"/>
      <c r="M16" s="27"/>
      <c r="N16" s="27"/>
      <c r="O16" s="1" t="s">
        <v>264</v>
      </c>
      <c r="P16" s="29" t="s">
        <v>265</v>
      </c>
      <c r="Q16" s="27"/>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17" s="30">
        <v>46152</v>
      </c>
      <c r="C17" s="27" t="s">
        <v>267</v>
      </c>
      <c r="D17" s="27"/>
      <c r="E17" s="27"/>
      <c r="F17" s="10"/>
      <c r="G17" s="36" t="s">
        <v>263</v>
      </c>
      <c r="H17" s="37"/>
      <c r="I17" s="37"/>
      <c r="J17" s="27"/>
      <c r="K17" s="27"/>
      <c r="L17" s="27"/>
      <c r="M17" s="27"/>
      <c r="N17" s="27"/>
      <c r="O17" s="1" t="s">
        <v>264</v>
      </c>
      <c r="P17" s="29" t="s">
        <v>265</v>
      </c>
      <c r="Q17" s="27"/>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EVT-2026-0489</v>
      </c>
      <c r="B18" s="30">
        <v>46153</v>
      </c>
      <c r="C18" s="27" t="s">
        <v>224</v>
      </c>
      <c r="D18" s="27" t="s">
        <v>326</v>
      </c>
      <c r="E18" s="27" t="s">
        <v>236</v>
      </c>
      <c r="F18" s="10"/>
      <c r="G18" s="36" t="s">
        <v>263</v>
      </c>
      <c r="H18" s="37" t="s">
        <v>269</v>
      </c>
      <c r="I18" s="37" t="s">
        <v>270</v>
      </c>
      <c r="J18" s="27"/>
      <c r="K18" s="27"/>
      <c r="L18" s="27" t="s">
        <v>237</v>
      </c>
      <c r="M18" s="27"/>
      <c r="N18" s="27"/>
      <c r="O18" s="1" t="s">
        <v>264</v>
      </c>
      <c r="P18" s="29" t="s">
        <v>265</v>
      </c>
      <c r="Q18" s="27" t="s">
        <v>303</v>
      </c>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EVT-2026-0490</v>
      </c>
      <c r="B19" s="30">
        <v>46153</v>
      </c>
      <c r="C19" s="27" t="s">
        <v>224</v>
      </c>
      <c r="D19" s="27" t="s">
        <v>171</v>
      </c>
      <c r="E19" s="27" t="s">
        <v>236</v>
      </c>
      <c r="F19" s="10">
        <v>25</v>
      </c>
      <c r="G19" s="36" t="s">
        <v>263</v>
      </c>
      <c r="H19" s="37" t="s">
        <v>269</v>
      </c>
      <c r="I19" s="37" t="s">
        <v>270</v>
      </c>
      <c r="J19" s="27"/>
      <c r="K19" s="27"/>
      <c r="L19" s="27" t="s">
        <v>743</v>
      </c>
      <c r="M19" s="27"/>
      <c r="N19" s="27"/>
      <c r="O19" s="1" t="s">
        <v>264</v>
      </c>
      <c r="P19" s="29" t="s">
        <v>265</v>
      </c>
      <c r="Q19" s="27" t="s">
        <v>303</v>
      </c>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EVT-2026-0491</v>
      </c>
      <c r="B20" s="30">
        <v>46154</v>
      </c>
      <c r="C20" s="27" t="s">
        <v>227</v>
      </c>
      <c r="D20" s="27" t="s">
        <v>171</v>
      </c>
      <c r="E20" s="27" t="s">
        <v>1039</v>
      </c>
      <c r="F20" s="10">
        <v>60</v>
      </c>
      <c r="G20" s="36" t="s">
        <v>263</v>
      </c>
      <c r="H20" s="37" t="s">
        <v>331</v>
      </c>
      <c r="I20" s="37" t="s">
        <v>296</v>
      </c>
      <c r="J20" s="27"/>
      <c r="K20" s="27"/>
      <c r="L20" s="27" t="s">
        <v>651</v>
      </c>
      <c r="M20" s="27"/>
      <c r="N20" s="27"/>
      <c r="O20" s="1" t="s">
        <v>264</v>
      </c>
      <c r="P20" s="29" t="s">
        <v>265</v>
      </c>
      <c r="Q20" s="27" t="s">
        <v>298</v>
      </c>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EVT-2026-0492</v>
      </c>
      <c r="B21" s="30">
        <v>46155</v>
      </c>
      <c r="C21" s="27" t="s">
        <v>201</v>
      </c>
      <c r="D21" s="27" t="s">
        <v>954</v>
      </c>
      <c r="E21" s="27" t="s">
        <v>1040</v>
      </c>
      <c r="F21" s="10">
        <v>25</v>
      </c>
      <c r="G21" s="36" t="s">
        <v>263</v>
      </c>
      <c r="H21" s="37" t="s">
        <v>289</v>
      </c>
      <c r="I21" s="37" t="s">
        <v>270</v>
      </c>
      <c r="J21" s="27"/>
      <c r="K21" s="27"/>
      <c r="L21" s="27" t="s">
        <v>1041</v>
      </c>
      <c r="M21" s="27"/>
      <c r="N21" s="27"/>
      <c r="O21" s="1" t="s">
        <v>264</v>
      </c>
      <c r="P21" s="29" t="s">
        <v>265</v>
      </c>
      <c r="Q21" s="27" t="s">
        <v>1042</v>
      </c>
      <c r="R21" s="27" t="s">
        <v>1043</v>
      </c>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EVT-2026-0493</v>
      </c>
      <c r="B22" s="30">
        <v>46155</v>
      </c>
      <c r="C22" s="27" t="s">
        <v>201</v>
      </c>
      <c r="D22" s="27" t="s">
        <v>171</v>
      </c>
      <c r="E22" s="27" t="s">
        <v>1039</v>
      </c>
      <c r="F22" s="10">
        <v>60</v>
      </c>
      <c r="G22" s="36" t="s">
        <v>263</v>
      </c>
      <c r="H22" s="37" t="s">
        <v>331</v>
      </c>
      <c r="I22" s="37" t="s">
        <v>296</v>
      </c>
      <c r="J22" s="27"/>
      <c r="K22" s="27"/>
      <c r="L22" s="27" t="s">
        <v>651</v>
      </c>
      <c r="M22" s="27"/>
      <c r="N22" s="27"/>
      <c r="O22" s="1" t="s">
        <v>264</v>
      </c>
      <c r="P22" s="29" t="s">
        <v>265</v>
      </c>
      <c r="Q22" s="27" t="s">
        <v>298</v>
      </c>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EVT-2026-0494</v>
      </c>
      <c r="B23" s="30">
        <v>46155</v>
      </c>
      <c r="C23" s="27" t="s">
        <v>201</v>
      </c>
      <c r="D23" s="27" t="s">
        <v>1044</v>
      </c>
      <c r="E23" s="27" t="s">
        <v>1045</v>
      </c>
      <c r="F23" s="10"/>
      <c r="G23" s="36" t="s">
        <v>263</v>
      </c>
      <c r="H23" s="37" t="s">
        <v>295</v>
      </c>
      <c r="I23" s="37" t="s">
        <v>270</v>
      </c>
      <c r="J23" s="27"/>
      <c r="K23" s="27"/>
      <c r="L23" s="27" t="s">
        <v>335</v>
      </c>
      <c r="M23" s="27"/>
      <c r="N23" s="27"/>
      <c r="O23" s="1" t="s">
        <v>264</v>
      </c>
      <c r="P23" s="29" t="s">
        <v>265</v>
      </c>
      <c r="Q23" s="27" t="s">
        <v>298</v>
      </c>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EVT-2026-0495</v>
      </c>
      <c r="B24" s="30">
        <v>46156</v>
      </c>
      <c r="C24" s="27" t="s">
        <v>216</v>
      </c>
      <c r="D24" s="27" t="s">
        <v>171</v>
      </c>
      <c r="E24" s="27" t="s">
        <v>1046</v>
      </c>
      <c r="F24" s="10">
        <v>40</v>
      </c>
      <c r="G24" s="36" t="s">
        <v>263</v>
      </c>
      <c r="H24" s="37" t="s">
        <v>309</v>
      </c>
      <c r="I24" s="37" t="s">
        <v>295</v>
      </c>
      <c r="J24" s="27"/>
      <c r="K24" s="27"/>
      <c r="L24" s="27" t="s">
        <v>1047</v>
      </c>
      <c r="M24" s="27"/>
      <c r="N24" s="27"/>
      <c r="O24" s="1" t="s">
        <v>264</v>
      </c>
      <c r="P24" s="29" t="s">
        <v>265</v>
      </c>
      <c r="Q24" s="27" t="s">
        <v>298</v>
      </c>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EVT-2026-0496</v>
      </c>
      <c r="B25" s="30">
        <v>46157</v>
      </c>
      <c r="C25" s="27" t="s">
        <v>220</v>
      </c>
      <c r="D25" s="27" t="s">
        <v>171</v>
      </c>
      <c r="E25" s="27"/>
      <c r="F25" s="10"/>
      <c r="G25" s="36" t="s">
        <v>263</v>
      </c>
      <c r="H25" s="37"/>
      <c r="I25" s="37"/>
      <c r="J25" s="27"/>
      <c r="K25" s="27"/>
      <c r="L25" s="27"/>
      <c r="M25" s="27"/>
      <c r="N25" s="27"/>
      <c r="O25" s="1" t="s">
        <v>264</v>
      </c>
      <c r="P25" s="29" t="s">
        <v>265</v>
      </c>
      <c r="Q25" s="27"/>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26" s="30">
        <v>46158</v>
      </c>
      <c r="C26" s="27" t="s">
        <v>266</v>
      </c>
      <c r="D26" s="27"/>
      <c r="E26" s="27"/>
      <c r="F26" s="10"/>
      <c r="G26" s="36" t="s">
        <v>263</v>
      </c>
      <c r="H26" s="37"/>
      <c r="I26" s="37"/>
      <c r="J26" s="27"/>
      <c r="K26" s="27"/>
      <c r="L26" s="27"/>
      <c r="M26" s="27"/>
      <c r="N26" s="27"/>
      <c r="O26" s="1" t="s">
        <v>264</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27" s="30">
        <v>46159</v>
      </c>
      <c r="C27" s="27" t="s">
        <v>267</v>
      </c>
      <c r="D27" s="27"/>
      <c r="E27" s="27"/>
      <c r="F27" s="10"/>
      <c r="G27" s="36" t="s">
        <v>263</v>
      </c>
      <c r="H27" s="37"/>
      <c r="I27" s="37"/>
      <c r="J27" s="27"/>
      <c r="K27" s="27"/>
      <c r="L27" s="27"/>
      <c r="M27" s="27"/>
      <c r="N27" s="27"/>
      <c r="O27" s="1" t="s">
        <v>264</v>
      </c>
      <c r="P27" s="29" t="s">
        <v>265</v>
      </c>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EVT-2026-0497</v>
      </c>
      <c r="B28" s="30">
        <v>46160</v>
      </c>
      <c r="C28" s="27" t="s">
        <v>224</v>
      </c>
      <c r="D28" s="27" t="s">
        <v>937</v>
      </c>
      <c r="E28" s="27" t="s">
        <v>236</v>
      </c>
      <c r="F28" s="10">
        <v>40</v>
      </c>
      <c r="G28" s="36" t="s">
        <v>263</v>
      </c>
      <c r="H28" s="37" t="s">
        <v>269</v>
      </c>
      <c r="I28" s="37" t="s">
        <v>270</v>
      </c>
      <c r="J28" s="27"/>
      <c r="K28" s="27"/>
      <c r="L28" s="27" t="s">
        <v>237</v>
      </c>
      <c r="M28" s="27"/>
      <c r="N28" s="27"/>
      <c r="O28" s="1" t="s">
        <v>264</v>
      </c>
      <c r="P28" s="29" t="s">
        <v>265</v>
      </c>
      <c r="Q28" s="27" t="s">
        <v>303</v>
      </c>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EVT-2026-0498</v>
      </c>
      <c r="B29" s="30">
        <v>46160</v>
      </c>
      <c r="C29" s="27" t="s">
        <v>224</v>
      </c>
      <c r="D29" s="27" t="s">
        <v>326</v>
      </c>
      <c r="E29" s="27"/>
      <c r="F29" s="10">
        <v>40</v>
      </c>
      <c r="G29" s="36" t="s">
        <v>263</v>
      </c>
      <c r="H29" s="37"/>
      <c r="I29" s="37"/>
      <c r="J29" s="27"/>
      <c r="K29" s="27"/>
      <c r="L29" s="27"/>
      <c r="M29" s="27"/>
      <c r="N29" s="27"/>
      <c r="O29" s="1" t="s">
        <v>264</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EVT-2026-0499</v>
      </c>
      <c r="B30" s="30">
        <v>46161</v>
      </c>
      <c r="C30" s="27" t="s">
        <v>227</v>
      </c>
      <c r="D30" s="27" t="s">
        <v>937</v>
      </c>
      <c r="E30" s="27" t="s">
        <v>1048</v>
      </c>
      <c r="F30" s="10">
        <v>80</v>
      </c>
      <c r="G30" s="36" t="s">
        <v>263</v>
      </c>
      <c r="H30" s="37" t="s">
        <v>274</v>
      </c>
      <c r="I30" s="37" t="s">
        <v>331</v>
      </c>
      <c r="J30" s="27"/>
      <c r="K30" s="27"/>
      <c r="L30" s="27" t="s">
        <v>378</v>
      </c>
      <c r="M30" s="27"/>
      <c r="N30" s="27"/>
      <c r="O30" s="3" t="s">
        <v>312</v>
      </c>
      <c r="P30" s="29" t="s">
        <v>265</v>
      </c>
      <c r="Q30" s="27" t="s">
        <v>1049</v>
      </c>
      <c r="R30" s="27" t="s">
        <v>901</v>
      </c>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EVT-2026-0500</v>
      </c>
      <c r="B31" s="30">
        <v>46161</v>
      </c>
      <c r="C31" s="27" t="s">
        <v>227</v>
      </c>
      <c r="D31" s="27" t="s">
        <v>1050</v>
      </c>
      <c r="E31" s="27" t="s">
        <v>1051</v>
      </c>
      <c r="F31" s="10">
        <v>30</v>
      </c>
      <c r="G31" s="36" t="s">
        <v>263</v>
      </c>
      <c r="H31" s="37" t="s">
        <v>269</v>
      </c>
      <c r="I31" s="37" t="s">
        <v>270</v>
      </c>
      <c r="J31" s="27"/>
      <c r="K31" s="27"/>
      <c r="L31" s="27" t="s">
        <v>1052</v>
      </c>
      <c r="M31" s="27"/>
      <c r="N31" s="27"/>
      <c r="O31" s="3" t="s">
        <v>312</v>
      </c>
      <c r="P31" s="29" t="s">
        <v>265</v>
      </c>
      <c r="Q31" s="27" t="s">
        <v>1053</v>
      </c>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EVT-2026-0501</v>
      </c>
      <c r="B32" s="30">
        <v>46162</v>
      </c>
      <c r="C32" s="27" t="s">
        <v>201</v>
      </c>
      <c r="D32" s="27" t="s">
        <v>1054</v>
      </c>
      <c r="E32" s="27" t="s">
        <v>1051</v>
      </c>
      <c r="F32" s="10">
        <v>30</v>
      </c>
      <c r="G32" s="36" t="s">
        <v>263</v>
      </c>
      <c r="H32" s="37" t="s">
        <v>269</v>
      </c>
      <c r="I32" s="37" t="s">
        <v>270</v>
      </c>
      <c r="J32" s="27"/>
      <c r="K32" s="27"/>
      <c r="L32" s="27" t="s">
        <v>1052</v>
      </c>
      <c r="M32" s="27"/>
      <c r="N32" s="27"/>
      <c r="O32" s="3" t="s">
        <v>312</v>
      </c>
      <c r="P32" s="29" t="s">
        <v>265</v>
      </c>
      <c r="Q32" s="27" t="s">
        <v>1053</v>
      </c>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EVT-2026-0502</v>
      </c>
      <c r="B33" s="30">
        <v>46163</v>
      </c>
      <c r="C33" s="27" t="s">
        <v>216</v>
      </c>
      <c r="D33" s="27" t="s">
        <v>1055</v>
      </c>
      <c r="E33" s="27" t="s">
        <v>1056</v>
      </c>
      <c r="F33" s="10">
        <v>45</v>
      </c>
      <c r="G33" s="36" t="s">
        <v>263</v>
      </c>
      <c r="H33" s="37" t="s">
        <v>1057</v>
      </c>
      <c r="I33" s="37" t="s">
        <v>330</v>
      </c>
      <c r="J33" s="27"/>
      <c r="K33" s="27"/>
      <c r="L33" s="27" t="s">
        <v>335</v>
      </c>
      <c r="M33" s="27"/>
      <c r="N33" s="27"/>
      <c r="O33" s="1" t="s">
        <v>264</v>
      </c>
      <c r="P33" s="29" t="s">
        <v>265</v>
      </c>
      <c r="Q33" s="27" t="s">
        <v>1058</v>
      </c>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EVT-2026-0503</v>
      </c>
      <c r="B34" s="30">
        <v>46164</v>
      </c>
      <c r="C34" s="27" t="s">
        <v>220</v>
      </c>
      <c r="D34" s="27" t="s">
        <v>1044</v>
      </c>
      <c r="E34" s="27" t="s">
        <v>337</v>
      </c>
      <c r="F34" s="10">
        <v>180</v>
      </c>
      <c r="G34" s="38" t="s">
        <v>294</v>
      </c>
      <c r="H34" s="37" t="s">
        <v>338</v>
      </c>
      <c r="I34" s="37" t="s">
        <v>429</v>
      </c>
      <c r="J34" s="27"/>
      <c r="K34" s="27" t="s">
        <v>811</v>
      </c>
      <c r="L34" s="27"/>
      <c r="M34" s="27"/>
      <c r="N34" s="27"/>
      <c r="O34" s="1" t="s">
        <v>264</v>
      </c>
      <c r="P34" s="29" t="s">
        <v>265</v>
      </c>
      <c r="Q34" s="27" t="s">
        <v>1059</v>
      </c>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EVT-2026-0504</v>
      </c>
      <c r="B35" s="30">
        <v>46164</v>
      </c>
      <c r="C35" s="27" t="s">
        <v>220</v>
      </c>
      <c r="D35" s="27" t="s">
        <v>171</v>
      </c>
      <c r="E35" s="27" t="s">
        <v>344</v>
      </c>
      <c r="F35" s="10"/>
      <c r="G35" s="36" t="s">
        <v>263</v>
      </c>
      <c r="H35" s="37" t="s">
        <v>275</v>
      </c>
      <c r="I35" s="37" t="s">
        <v>270</v>
      </c>
      <c r="J35" s="27"/>
      <c r="K35" s="27"/>
      <c r="L35" s="27" t="s">
        <v>1060</v>
      </c>
      <c r="M35" s="27"/>
      <c r="N35" s="27"/>
      <c r="O35" s="1" t="s">
        <v>264</v>
      </c>
      <c r="P35" s="29" t="s">
        <v>265</v>
      </c>
      <c r="Q35" s="27" t="s">
        <v>303</v>
      </c>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36" s="30">
        <v>46165</v>
      </c>
      <c r="C36" s="27" t="s">
        <v>266</v>
      </c>
      <c r="D36" s="27"/>
      <c r="E36" s="27"/>
      <c r="F36" s="10"/>
      <c r="G36" s="36" t="s">
        <v>263</v>
      </c>
      <c r="H36" s="37"/>
      <c r="I36" s="37"/>
      <c r="J36" s="27"/>
      <c r="K36" s="27"/>
      <c r="L36" s="27"/>
      <c r="M36" s="27"/>
      <c r="N36" s="27"/>
      <c r="O36" s="1" t="s">
        <v>264</v>
      </c>
      <c r="P36" s="29" t="s">
        <v>265</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37" s="30">
        <v>46166</v>
      </c>
      <c r="C37" s="27" t="s">
        <v>267</v>
      </c>
      <c r="D37" s="27"/>
      <c r="E37" s="27"/>
      <c r="F37" s="10"/>
      <c r="G37" s="36" t="s">
        <v>263</v>
      </c>
      <c r="H37" s="37"/>
      <c r="I37" s="37"/>
      <c r="J37" s="27"/>
      <c r="K37" s="27"/>
      <c r="L37" s="27"/>
      <c r="M37" s="27"/>
      <c r="N37" s="27"/>
      <c r="O37" s="1" t="s">
        <v>264</v>
      </c>
      <c r="P37" s="29" t="s">
        <v>265</v>
      </c>
      <c r="Q37" s="27"/>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EVT-2026-0505</v>
      </c>
      <c r="B38" s="30">
        <v>46166</v>
      </c>
      <c r="C38" s="27" t="s">
        <v>267</v>
      </c>
      <c r="D38" s="27" t="s">
        <v>1061</v>
      </c>
      <c r="E38" s="27" t="s">
        <v>236</v>
      </c>
      <c r="F38" s="10">
        <v>30</v>
      </c>
      <c r="G38" s="36" t="s">
        <v>263</v>
      </c>
      <c r="H38" s="37" t="s">
        <v>269</v>
      </c>
      <c r="I38" s="37" t="s">
        <v>270</v>
      </c>
      <c r="J38" s="27"/>
      <c r="K38" s="27"/>
      <c r="L38" s="27" t="s">
        <v>237</v>
      </c>
      <c r="M38" s="27"/>
      <c r="N38" s="27"/>
      <c r="O38" s="1" t="s">
        <v>264</v>
      </c>
      <c r="P38" s="29" t="s">
        <v>265</v>
      </c>
      <c r="Q38" s="27" t="s">
        <v>303</v>
      </c>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EVT-2026-0506</v>
      </c>
      <c r="B39" s="30">
        <v>46167</v>
      </c>
      <c r="C39" s="27" t="s">
        <v>224</v>
      </c>
      <c r="D39" s="27" t="s">
        <v>171</v>
      </c>
      <c r="E39" s="27" t="s">
        <v>1062</v>
      </c>
      <c r="F39" s="10">
        <v>35</v>
      </c>
      <c r="G39" s="36" t="s">
        <v>263</v>
      </c>
      <c r="H39" s="37" t="s">
        <v>269</v>
      </c>
      <c r="I39" s="37" t="s">
        <v>270</v>
      </c>
      <c r="J39" s="27"/>
      <c r="K39" s="27"/>
      <c r="L39" s="27" t="s">
        <v>237</v>
      </c>
      <c r="M39" s="27"/>
      <c r="N39" s="27"/>
      <c r="O39" s="1" t="s">
        <v>264</v>
      </c>
      <c r="P39" s="29" t="s">
        <v>265</v>
      </c>
      <c r="Q39" s="27" t="s">
        <v>1063</v>
      </c>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EVT-2026-0507</v>
      </c>
      <c r="B40" s="30">
        <v>46168</v>
      </c>
      <c r="C40" s="27" t="s">
        <v>227</v>
      </c>
      <c r="D40" s="27" t="s">
        <v>171</v>
      </c>
      <c r="E40" s="27"/>
      <c r="F40" s="10">
        <v>60</v>
      </c>
      <c r="G40" s="36" t="s">
        <v>263</v>
      </c>
      <c r="H40" s="37" t="s">
        <v>896</v>
      </c>
      <c r="I40" s="37" t="s">
        <v>359</v>
      </c>
      <c r="J40" s="27"/>
      <c r="K40" s="27"/>
      <c r="L40" s="27" t="s">
        <v>785</v>
      </c>
      <c r="M40" s="27"/>
      <c r="N40" s="27"/>
      <c r="O40" s="1" t="s">
        <v>264</v>
      </c>
      <c r="P40" s="29" t="s">
        <v>265</v>
      </c>
      <c r="Q40" s="27"/>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EVT-2026-0508</v>
      </c>
      <c r="B41" s="30">
        <v>46169</v>
      </c>
      <c r="C41" s="27" t="s">
        <v>201</v>
      </c>
      <c r="D41" s="27" t="s">
        <v>171</v>
      </c>
      <c r="E41" s="27" t="s">
        <v>1062</v>
      </c>
      <c r="F41" s="10">
        <v>25</v>
      </c>
      <c r="G41" s="36" t="s">
        <v>263</v>
      </c>
      <c r="H41" s="37" t="s">
        <v>269</v>
      </c>
      <c r="I41" s="37" t="s">
        <v>270</v>
      </c>
      <c r="J41" s="27"/>
      <c r="K41" s="27"/>
      <c r="L41" s="27" t="s">
        <v>743</v>
      </c>
      <c r="M41" s="27"/>
      <c r="N41" s="27"/>
      <c r="O41" s="1" t="s">
        <v>264</v>
      </c>
      <c r="P41" s="29" t="s">
        <v>265</v>
      </c>
      <c r="Q41" s="27" t="s">
        <v>1064</v>
      </c>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EVT-2026-0509</v>
      </c>
      <c r="B42" s="30">
        <v>46170</v>
      </c>
      <c r="C42" s="27" t="s">
        <v>216</v>
      </c>
      <c r="D42" s="27" t="s">
        <v>171</v>
      </c>
      <c r="E42" s="27" t="s">
        <v>1062</v>
      </c>
      <c r="F42" s="10">
        <v>25</v>
      </c>
      <c r="G42" s="36" t="s">
        <v>263</v>
      </c>
      <c r="H42" s="37" t="s">
        <v>269</v>
      </c>
      <c r="I42" s="37" t="s">
        <v>270</v>
      </c>
      <c r="J42" s="27"/>
      <c r="K42" s="27"/>
      <c r="L42" s="27" t="s">
        <v>743</v>
      </c>
      <c r="M42" s="27"/>
      <c r="N42" s="27"/>
      <c r="O42" s="1" t="s">
        <v>264</v>
      </c>
      <c r="P42" s="29" t="s">
        <v>265</v>
      </c>
      <c r="Q42" s="27" t="s">
        <v>1064</v>
      </c>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EVT-2026-0510</v>
      </c>
      <c r="B43" s="30">
        <v>46171</v>
      </c>
      <c r="C43" s="27" t="s">
        <v>220</v>
      </c>
      <c r="D43" s="27" t="s">
        <v>171</v>
      </c>
      <c r="E43" s="27" t="s">
        <v>1062</v>
      </c>
      <c r="F43" s="10">
        <v>25</v>
      </c>
      <c r="G43" s="36" t="s">
        <v>263</v>
      </c>
      <c r="H43" s="37" t="s">
        <v>269</v>
      </c>
      <c r="I43" s="37" t="s">
        <v>270</v>
      </c>
      <c r="J43" s="27"/>
      <c r="K43" s="27"/>
      <c r="L43" s="27" t="s">
        <v>743</v>
      </c>
      <c r="M43" s="27"/>
      <c r="N43" s="27"/>
      <c r="O43" s="1" t="s">
        <v>264</v>
      </c>
      <c r="P43" s="29" t="s">
        <v>265</v>
      </c>
      <c r="Q43" s="27" t="s">
        <v>1064</v>
      </c>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4" s="30">
        <v>46172</v>
      </c>
      <c r="C44" s="27" t="s">
        <v>266</v>
      </c>
      <c r="D44" s="27"/>
      <c r="E44" s="27"/>
      <c r="F44" s="10"/>
      <c r="G44" s="36" t="s">
        <v>263</v>
      </c>
      <c r="H44" s="37"/>
      <c r="I44" s="37"/>
      <c r="J44" s="27"/>
      <c r="K44" s="27"/>
      <c r="L44" s="27"/>
      <c r="M44" s="27"/>
      <c r="N44" s="27"/>
      <c r="O44" s="1" t="s">
        <v>264</v>
      </c>
      <c r="P44" s="29" t="s">
        <v>265</v>
      </c>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5" s="30">
        <v>46173</v>
      </c>
      <c r="C45" s="27" t="s">
        <v>267</v>
      </c>
      <c r="D45" s="27"/>
      <c r="E45" s="27"/>
      <c r="F45" s="10"/>
      <c r="G45" s="36" t="s">
        <v>263</v>
      </c>
      <c r="H45" s="37"/>
      <c r="I45" s="37"/>
      <c r="J45" s="27"/>
      <c r="K45" s="27"/>
      <c r="L45" s="27"/>
      <c r="M45" s="27"/>
      <c r="N45" s="27"/>
      <c r="O45" s="1" t="s">
        <v>264</v>
      </c>
      <c r="P45" s="29" t="s">
        <v>265</v>
      </c>
      <c r="Q45" s="27"/>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6" s="27"/>
      <c r="C46" s="27"/>
      <c r="D46" s="27"/>
      <c r="E46" s="27"/>
      <c r="F46" s="10">
        <f>SUM(E3:E42)</f>
        <v>0</v>
      </c>
      <c r="G46" s="36" t="s">
        <v>263</v>
      </c>
      <c r="H46" s="37"/>
      <c r="I46" s="37"/>
      <c r="J46" s="27"/>
      <c r="K46" s="27"/>
      <c r="L46" s="27"/>
      <c r="M46" s="27"/>
      <c r="N46" s="27"/>
      <c r="O46" s="1" t="s">
        <v>264</v>
      </c>
      <c r="P46" s="29" t="s">
        <v>265</v>
      </c>
      <c r="Q46" s="27"/>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7" s="27"/>
      <c r="C47" s="27"/>
      <c r="D47" s="27"/>
      <c r="E47" s="27"/>
      <c r="F47" s="10"/>
      <c r="G47" s="36" t="s">
        <v>263</v>
      </c>
      <c r="H47" s="37"/>
      <c r="I47" s="37"/>
      <c r="J47" s="27"/>
      <c r="K47" s="27"/>
      <c r="L47" s="27"/>
      <c r="M47" s="27"/>
      <c r="N47" s="27"/>
      <c r="O47" s="1" t="s">
        <v>264</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8" s="27"/>
      <c r="C48" s="27"/>
      <c r="D48" s="27"/>
      <c r="E48" s="27"/>
      <c r="F48" s="10"/>
      <c r="G48" s="36" t="s">
        <v>263</v>
      </c>
      <c r="H48" s="37"/>
      <c r="I48" s="37"/>
      <c r="J48" s="27"/>
      <c r="K48" s="27"/>
      <c r="L48" s="27"/>
      <c r="M48" s="27"/>
      <c r="N48" s="27"/>
      <c r="O48" s="1" t="s">
        <v>264</v>
      </c>
      <c r="P48" s="29" t="s">
        <v>265</v>
      </c>
      <c r="Q48" s="27"/>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49" s="27"/>
      <c r="C49" s="27"/>
      <c r="D49" s="27"/>
      <c r="E49" s="27"/>
      <c r="F49" s="10"/>
      <c r="G49" s="36" t="s">
        <v>263</v>
      </c>
      <c r="H49" s="37"/>
      <c r="I49" s="37"/>
      <c r="J49" s="27"/>
      <c r="K49" s="27"/>
      <c r="L49" s="27"/>
      <c r="M49" s="27"/>
      <c r="N49" s="27"/>
      <c r="O49" s="1" t="s">
        <v>264</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
      </c>
      <c r="B50" s="27"/>
      <c r="C50" s="27"/>
      <c r="D50" s="27"/>
      <c r="E50" s="27"/>
      <c r="F50" s="10"/>
      <c r="G50" s="36" t="s">
        <v>263</v>
      </c>
      <c r="H50" s="37"/>
      <c r="I50" s="37"/>
      <c r="J50" s="27"/>
      <c r="K50" s="27"/>
      <c r="L50" s="27"/>
      <c r="M50" s="27"/>
      <c r="N50" s="27"/>
      <c r="O50" s="1" t="s">
        <v>264</v>
      </c>
      <c r="P50" s="29" t="s">
        <v>265</v>
      </c>
      <c r="Q50" s="27"/>
      <c r="R50" s="27"/>
    </row>
  </sheetData>
  <mergeCells count="3">
    <mergeCell ref="A1:C1"/>
    <mergeCell ref="N1:R1"/>
    <mergeCell ref="D1:M1"/>
  </mergeCells>
  <dataValidations count="4">
    <dataValidation type="list" allowBlank="1" sqref="N3:N500 O3:O50" xr:uid="{00000000-0002-0000-0A00-000000000000}">
      <formula1>"Confirmed (Done),Pending Calendar Booking,Canceled"</formula1>
    </dataValidation>
    <dataValidation type="list" allowBlank="1" sqref="O3:O100" xr:uid="{00000000-0002-0000-0A00-000001000000}">
      <formula1>"Form sent,NA"</formula1>
    </dataValidation>
    <dataValidation type="list" allowBlank="1" sqref="P3:P50" xr:uid="{00000000-0002-0000-0A00-000002000000}">
      <formula1>"Form sent,Not Required,NA"</formula1>
    </dataValidation>
    <dataValidation type="list" allowBlank="1" sqref="G3:G50" xr:uid="{00000000-0002-0000-0A00-000003000000}">
      <formula1>"Big Event,Small Event"</formula1>
    </dataValidation>
  </dataValidations>
  <hyperlinks>
    <hyperlink ref="A1" location="'Dashboard'!A1" display="🏠 ⮌ RETURN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94"/>
  <sheetViews>
    <sheetView workbookViewId="0">
      <pane ySplit="2" topLeftCell="A3" activePane="bottomLeft" state="frozen"/>
      <selection pane="bottomLeft" activeCell="G76" sqref="G76"/>
    </sheetView>
  </sheetViews>
  <sheetFormatPr defaultRowHeight="14.45"/>
  <cols>
    <col min="1" max="1" width="18" customWidth="1"/>
    <col min="2" max="2" width="30" customWidth="1"/>
    <col min="3" max="3" width="13" customWidth="1"/>
    <col min="4" max="4" width="22" customWidth="1"/>
    <col min="5" max="5" width="29" customWidth="1"/>
    <col min="6" max="6" width="48" customWidth="1"/>
    <col min="7" max="7" width="18" customWidth="1"/>
    <col min="8" max="8" width="15" customWidth="1"/>
    <col min="9" max="9" width="19" customWidth="1"/>
    <col min="10" max="10" width="17" customWidth="1"/>
    <col min="11" max="11" width="48" customWidth="1"/>
    <col min="12" max="12" width="22" customWidth="1"/>
    <col min="13" max="13" width="48" customWidth="1"/>
    <col min="14" max="14" width="25" customWidth="1"/>
    <col min="15" max="15" width="18" customWidth="1"/>
    <col min="16" max="16" width="25" customWidth="1"/>
    <col min="17" max="17" width="18" customWidth="1"/>
    <col min="18" max="18" width="48" customWidth="1"/>
    <col min="19" max="19" width="19" customWidth="1"/>
  </cols>
  <sheetData>
    <row r="1" spans="1:19" ht="27.95" customHeight="1">
      <c r="A1" s="62" t="s">
        <v>2138</v>
      </c>
      <c r="B1" s="134"/>
      <c r="C1" s="135"/>
      <c r="D1" s="63" t="s">
        <v>2260</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EVT-2026-0511</v>
      </c>
      <c r="B3" s="30">
        <v>46143</v>
      </c>
      <c r="C3" s="27" t="s">
        <v>220</v>
      </c>
      <c r="D3" s="27" t="s">
        <v>202</v>
      </c>
      <c r="E3" s="27" t="s">
        <v>348</v>
      </c>
      <c r="F3" s="27" t="s">
        <v>1065</v>
      </c>
      <c r="G3" s="10">
        <v>20</v>
      </c>
      <c r="H3" s="36" t="s">
        <v>263</v>
      </c>
      <c r="I3" s="37" t="s">
        <v>309</v>
      </c>
      <c r="J3" s="37" t="s">
        <v>359</v>
      </c>
      <c r="K3" s="27"/>
      <c r="L3" s="27"/>
      <c r="M3" s="27"/>
      <c r="N3" s="27"/>
      <c r="O3" s="27" t="s">
        <v>1066</v>
      </c>
      <c r="P3" s="1" t="s">
        <v>264</v>
      </c>
      <c r="Q3" s="29" t="s">
        <v>265</v>
      </c>
      <c r="R3" s="27" t="s">
        <v>298</v>
      </c>
      <c r="S3" s="27"/>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EVT-2026-0512</v>
      </c>
      <c r="B4" s="30">
        <v>46143</v>
      </c>
      <c r="C4" s="27" t="s">
        <v>220</v>
      </c>
      <c r="D4" s="27" t="s">
        <v>208</v>
      </c>
      <c r="E4" s="27" t="s">
        <v>348</v>
      </c>
      <c r="F4" s="27" t="s">
        <v>1067</v>
      </c>
      <c r="G4" s="10">
        <v>75</v>
      </c>
      <c r="H4" s="36" t="s">
        <v>263</v>
      </c>
      <c r="I4" s="37" t="s">
        <v>289</v>
      </c>
      <c r="J4" s="37" t="s">
        <v>359</v>
      </c>
      <c r="K4" s="27"/>
      <c r="L4" s="27"/>
      <c r="M4" s="27"/>
      <c r="N4" s="27"/>
      <c r="O4" s="27" t="s">
        <v>378</v>
      </c>
      <c r="P4" s="1" t="s">
        <v>264</v>
      </c>
      <c r="Q4" s="29" t="s">
        <v>265</v>
      </c>
      <c r="R4" s="27" t="s">
        <v>1068</v>
      </c>
      <c r="S4" s="27"/>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EVT-2026-0513</v>
      </c>
      <c r="B5" s="30" t="s">
        <v>2241</v>
      </c>
      <c r="C5" s="27" t="s">
        <v>220</v>
      </c>
      <c r="D5" s="27" t="s">
        <v>202</v>
      </c>
      <c r="E5" s="27" t="s">
        <v>736</v>
      </c>
      <c r="F5" s="27" t="s">
        <v>955</v>
      </c>
      <c r="G5" s="10">
        <v>20</v>
      </c>
      <c r="H5" s="36" t="s">
        <v>263</v>
      </c>
      <c r="I5" s="37" t="s">
        <v>269</v>
      </c>
      <c r="J5" s="37" t="s">
        <v>270</v>
      </c>
      <c r="K5" s="27"/>
      <c r="L5" s="27"/>
      <c r="M5" s="27"/>
      <c r="N5" s="27"/>
      <c r="O5" s="27" t="s">
        <v>494</v>
      </c>
      <c r="P5" s="1" t="s">
        <v>264</v>
      </c>
      <c r="Q5" s="29" t="s">
        <v>265</v>
      </c>
      <c r="R5" s="27" t="s">
        <v>303</v>
      </c>
      <c r="S5" s="27"/>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6" s="30">
        <v>46144</v>
      </c>
      <c r="C6" s="27" t="s">
        <v>266</v>
      </c>
      <c r="D6" s="27"/>
      <c r="E6" s="27"/>
      <c r="F6" s="27"/>
      <c r="G6" s="10"/>
      <c r="H6" s="36" t="s">
        <v>263</v>
      </c>
      <c r="I6" s="37"/>
      <c r="J6" s="37"/>
      <c r="K6" s="27"/>
      <c r="L6" s="27"/>
      <c r="M6" s="27"/>
      <c r="N6" s="27"/>
      <c r="O6" s="27"/>
      <c r="P6" s="1" t="s">
        <v>264</v>
      </c>
      <c r="Q6" s="29" t="s">
        <v>265</v>
      </c>
      <c r="R6" s="27"/>
      <c r="S6" s="27"/>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7" s="30">
        <v>46145</v>
      </c>
      <c r="C7" s="27" t="s">
        <v>267</v>
      </c>
      <c r="D7" s="27"/>
      <c r="E7" s="27"/>
      <c r="F7" s="27"/>
      <c r="G7" s="10"/>
      <c r="H7" s="36" t="s">
        <v>263</v>
      </c>
      <c r="I7" s="37"/>
      <c r="J7" s="37"/>
      <c r="K7" s="27"/>
      <c r="L7" s="27"/>
      <c r="M7" s="27"/>
      <c r="N7" s="27"/>
      <c r="O7" s="27"/>
      <c r="P7" s="1" t="s">
        <v>264</v>
      </c>
      <c r="Q7" s="29" t="s">
        <v>265</v>
      </c>
      <c r="R7" s="27"/>
      <c r="S7" s="27"/>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EVT-2026-0514</v>
      </c>
      <c r="B8" s="30">
        <v>46146</v>
      </c>
      <c r="C8" s="27" t="s">
        <v>224</v>
      </c>
      <c r="D8" s="27" t="s">
        <v>208</v>
      </c>
      <c r="E8" s="27" t="s">
        <v>125</v>
      </c>
      <c r="F8" s="27" t="s">
        <v>1069</v>
      </c>
      <c r="G8" s="10">
        <v>110</v>
      </c>
      <c r="H8" s="38" t="s">
        <v>294</v>
      </c>
      <c r="I8" s="37" t="s">
        <v>506</v>
      </c>
      <c r="J8" s="37" t="s">
        <v>331</v>
      </c>
      <c r="K8" s="27" t="s">
        <v>1070</v>
      </c>
      <c r="L8" s="27"/>
      <c r="M8" s="27"/>
      <c r="N8" s="27"/>
      <c r="O8" s="27" t="s">
        <v>811</v>
      </c>
      <c r="P8" s="1" t="s">
        <v>264</v>
      </c>
      <c r="Q8" s="29" t="s">
        <v>265</v>
      </c>
      <c r="R8" s="27" t="s">
        <v>298</v>
      </c>
      <c r="S8" s="27"/>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EVT-2026-0515</v>
      </c>
      <c r="B9" s="30">
        <v>46146</v>
      </c>
      <c r="C9" s="27" t="s">
        <v>224</v>
      </c>
      <c r="D9" s="27" t="s">
        <v>208</v>
      </c>
      <c r="E9" s="27" t="s">
        <v>348</v>
      </c>
      <c r="F9" s="27" t="s">
        <v>1071</v>
      </c>
      <c r="G9" s="10">
        <v>60</v>
      </c>
      <c r="H9" s="36" t="s">
        <v>263</v>
      </c>
      <c r="I9" s="37" t="s">
        <v>330</v>
      </c>
      <c r="J9" s="37" t="s">
        <v>331</v>
      </c>
      <c r="K9" s="27"/>
      <c r="L9" s="27"/>
      <c r="M9" s="27" t="s">
        <v>1072</v>
      </c>
      <c r="N9" s="27"/>
      <c r="O9" s="27"/>
      <c r="P9" s="3" t="s">
        <v>312</v>
      </c>
      <c r="Q9" s="29" t="s">
        <v>265</v>
      </c>
      <c r="R9" s="27" t="s">
        <v>298</v>
      </c>
      <c r="S9" s="27"/>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EVT-2026-0516</v>
      </c>
      <c r="B10" s="30">
        <v>46147</v>
      </c>
      <c r="C10" s="27" t="s">
        <v>227</v>
      </c>
      <c r="D10" s="27" t="s">
        <v>202</v>
      </c>
      <c r="E10" s="27" t="s">
        <v>239</v>
      </c>
      <c r="F10" s="27" t="s">
        <v>1073</v>
      </c>
      <c r="G10" s="10">
        <v>150</v>
      </c>
      <c r="H10" s="38" t="s">
        <v>294</v>
      </c>
      <c r="I10" s="37" t="s">
        <v>274</v>
      </c>
      <c r="J10" s="37" t="s">
        <v>429</v>
      </c>
      <c r="K10" s="27"/>
      <c r="L10" s="27"/>
      <c r="M10" s="27" t="s">
        <v>1074</v>
      </c>
      <c r="N10" s="27"/>
      <c r="O10" s="27"/>
      <c r="P10" s="1" t="s">
        <v>264</v>
      </c>
      <c r="Q10" s="29" t="s">
        <v>265</v>
      </c>
      <c r="R10" s="27" t="s">
        <v>1075</v>
      </c>
      <c r="S10" s="27"/>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EVT-2026-0517</v>
      </c>
      <c r="B11" s="30">
        <v>46147</v>
      </c>
      <c r="C11" s="27" t="s">
        <v>227</v>
      </c>
      <c r="D11" s="27" t="s">
        <v>208</v>
      </c>
      <c r="E11" s="27" t="s">
        <v>348</v>
      </c>
      <c r="F11" s="27" t="s">
        <v>1076</v>
      </c>
      <c r="G11" s="10">
        <v>30</v>
      </c>
      <c r="H11" s="36" t="s">
        <v>263</v>
      </c>
      <c r="I11" s="37" t="s">
        <v>274</v>
      </c>
      <c r="J11" s="37" t="s">
        <v>429</v>
      </c>
      <c r="K11" s="27"/>
      <c r="L11" s="27"/>
      <c r="M11" s="27" t="s">
        <v>719</v>
      </c>
      <c r="N11" s="27"/>
      <c r="O11" s="27"/>
      <c r="P11" s="1" t="s">
        <v>264</v>
      </c>
      <c r="Q11" s="29" t="s">
        <v>265</v>
      </c>
      <c r="R11" s="27" t="s">
        <v>298</v>
      </c>
      <c r="S11" s="27"/>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EVT-2026-0518</v>
      </c>
      <c r="B12" s="30">
        <v>46147</v>
      </c>
      <c r="C12" s="27" t="s">
        <v>227</v>
      </c>
      <c r="D12" s="27" t="s">
        <v>208</v>
      </c>
      <c r="E12" s="27" t="s">
        <v>348</v>
      </c>
      <c r="F12" s="27" t="s">
        <v>1077</v>
      </c>
      <c r="G12" s="10">
        <v>30</v>
      </c>
      <c r="H12" s="36" t="s">
        <v>263</v>
      </c>
      <c r="I12" s="37" t="s">
        <v>331</v>
      </c>
      <c r="J12" s="37" t="s">
        <v>275</v>
      </c>
      <c r="K12" s="27" t="s">
        <v>1078</v>
      </c>
      <c r="L12" s="27"/>
      <c r="M12" s="27" t="s">
        <v>719</v>
      </c>
      <c r="N12" s="27"/>
      <c r="O12" s="30">
        <v>46112</v>
      </c>
      <c r="P12" s="1" t="s">
        <v>264</v>
      </c>
      <c r="Q12" s="29" t="s">
        <v>265</v>
      </c>
      <c r="R12" s="27" t="s">
        <v>1079</v>
      </c>
      <c r="S12" s="27"/>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EVT-2026-0519</v>
      </c>
      <c r="B13" s="30">
        <v>46147</v>
      </c>
      <c r="C13" s="27" t="s">
        <v>227</v>
      </c>
      <c r="D13" s="27" t="s">
        <v>208</v>
      </c>
      <c r="E13" s="27" t="s">
        <v>348</v>
      </c>
      <c r="F13" s="27" t="s">
        <v>349</v>
      </c>
      <c r="G13" s="10">
        <v>50</v>
      </c>
      <c r="H13" s="36" t="s">
        <v>263</v>
      </c>
      <c r="I13" s="37" t="s">
        <v>350</v>
      </c>
      <c r="J13" s="37" t="s">
        <v>296</v>
      </c>
      <c r="K13" s="27"/>
      <c r="L13" s="27"/>
      <c r="M13" s="27" t="s">
        <v>1080</v>
      </c>
      <c r="N13" s="27"/>
      <c r="O13" s="30">
        <v>46008</v>
      </c>
      <c r="P13" s="1" t="s">
        <v>264</v>
      </c>
      <c r="Q13" s="29" t="s">
        <v>265</v>
      </c>
      <c r="R13" s="27" t="s">
        <v>303</v>
      </c>
      <c r="S13" s="27"/>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EVT-2026-0520</v>
      </c>
      <c r="B14" s="30">
        <v>46148</v>
      </c>
      <c r="C14" s="27" t="s">
        <v>201</v>
      </c>
      <c r="D14" s="27" t="s">
        <v>202</v>
      </c>
      <c r="E14" s="27" t="s">
        <v>501</v>
      </c>
      <c r="F14" s="27" t="s">
        <v>1081</v>
      </c>
      <c r="G14" s="10">
        <v>120</v>
      </c>
      <c r="H14" s="38" t="s">
        <v>294</v>
      </c>
      <c r="I14" s="37" t="s">
        <v>295</v>
      </c>
      <c r="J14" s="37" t="s">
        <v>296</v>
      </c>
      <c r="K14" s="27"/>
      <c r="L14" s="27"/>
      <c r="M14" s="27" t="s">
        <v>1082</v>
      </c>
      <c r="N14" s="27"/>
      <c r="O14" s="27"/>
      <c r="P14" s="1" t="s">
        <v>264</v>
      </c>
      <c r="Q14" s="29" t="s">
        <v>265</v>
      </c>
      <c r="R14" s="27" t="s">
        <v>298</v>
      </c>
      <c r="S14" s="27"/>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EVT-2026-0521</v>
      </c>
      <c r="B15" s="30">
        <v>46148</v>
      </c>
      <c r="C15" s="27" t="s">
        <v>201</v>
      </c>
      <c r="D15" s="27" t="s">
        <v>208</v>
      </c>
      <c r="E15" s="27" t="s">
        <v>348</v>
      </c>
      <c r="F15" s="27" t="s">
        <v>349</v>
      </c>
      <c r="G15" s="10">
        <v>50</v>
      </c>
      <c r="H15" s="36" t="s">
        <v>263</v>
      </c>
      <c r="I15" s="37" t="s">
        <v>350</v>
      </c>
      <c r="J15" s="37" t="s">
        <v>296</v>
      </c>
      <c r="K15" s="27"/>
      <c r="L15" s="27"/>
      <c r="M15" s="27" t="s">
        <v>1080</v>
      </c>
      <c r="N15" s="27"/>
      <c r="O15" s="30">
        <v>46008</v>
      </c>
      <c r="P15" s="1" t="s">
        <v>264</v>
      </c>
      <c r="Q15" s="29" t="s">
        <v>265</v>
      </c>
      <c r="R15" s="27" t="s">
        <v>303</v>
      </c>
      <c r="S15" s="27"/>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EVT-2026-0522</v>
      </c>
      <c r="B16" s="30">
        <v>46148</v>
      </c>
      <c r="C16" s="27" t="s">
        <v>201</v>
      </c>
      <c r="D16" s="27" t="s">
        <v>202</v>
      </c>
      <c r="E16" s="27" t="s">
        <v>1013</v>
      </c>
      <c r="F16" s="27" t="s">
        <v>1083</v>
      </c>
      <c r="G16" s="10"/>
      <c r="H16" s="36" t="s">
        <v>263</v>
      </c>
      <c r="I16" s="37" t="s">
        <v>354</v>
      </c>
      <c r="J16" s="37" t="s">
        <v>350</v>
      </c>
      <c r="K16" s="27"/>
      <c r="L16" s="27"/>
      <c r="M16" s="27" t="s">
        <v>1015</v>
      </c>
      <c r="N16" s="27"/>
      <c r="O16" s="27"/>
      <c r="P16" s="1" t="s">
        <v>264</v>
      </c>
      <c r="Q16" s="29" t="s">
        <v>265</v>
      </c>
      <c r="R16" s="27" t="s">
        <v>1084</v>
      </c>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17" s="30">
        <v>46148</v>
      </c>
      <c r="C17" s="27" t="s">
        <v>201</v>
      </c>
      <c r="D17" s="27"/>
      <c r="E17" s="27"/>
      <c r="F17" s="27"/>
      <c r="G17" s="10"/>
      <c r="H17" s="36" t="s">
        <v>263</v>
      </c>
      <c r="I17" s="37"/>
      <c r="J17" s="37"/>
      <c r="K17" s="27"/>
      <c r="L17" s="27"/>
      <c r="M17" s="27"/>
      <c r="N17" s="27"/>
      <c r="O17" s="27"/>
      <c r="P17" s="1" t="s">
        <v>264</v>
      </c>
      <c r="Q17" s="29" t="s">
        <v>265</v>
      </c>
      <c r="R17" s="27"/>
      <c r="S17" s="27"/>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EVT-2026-0523</v>
      </c>
      <c r="B18" s="30">
        <v>46149</v>
      </c>
      <c r="C18" s="27" t="s">
        <v>216</v>
      </c>
      <c r="D18" s="27" t="s">
        <v>208</v>
      </c>
      <c r="E18" s="27" t="s">
        <v>348</v>
      </c>
      <c r="F18" s="27" t="s">
        <v>1085</v>
      </c>
      <c r="G18" s="10">
        <v>55</v>
      </c>
      <c r="H18" s="36" t="s">
        <v>263</v>
      </c>
      <c r="I18" s="37" t="s">
        <v>506</v>
      </c>
      <c r="J18" s="37" t="s">
        <v>331</v>
      </c>
      <c r="K18" s="27"/>
      <c r="L18" s="27"/>
      <c r="M18" s="27" t="s">
        <v>774</v>
      </c>
      <c r="N18" s="27"/>
      <c r="O18" s="27"/>
      <c r="P18" s="1" t="s">
        <v>264</v>
      </c>
      <c r="Q18" s="29" t="s">
        <v>265</v>
      </c>
      <c r="R18" s="27" t="s">
        <v>298</v>
      </c>
      <c r="S18" s="27"/>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19" s="30">
        <v>46149</v>
      </c>
      <c r="C19" s="27" t="s">
        <v>216</v>
      </c>
      <c r="D19" s="27"/>
      <c r="E19" s="27"/>
      <c r="F19" s="27"/>
      <c r="G19" s="10"/>
      <c r="H19" s="36" t="s">
        <v>263</v>
      </c>
      <c r="I19" s="37"/>
      <c r="J19" s="37"/>
      <c r="K19" s="27"/>
      <c r="L19" s="27"/>
      <c r="M19" s="27"/>
      <c r="N19" s="27"/>
      <c r="O19" s="27"/>
      <c r="P19" s="1" t="s">
        <v>264</v>
      </c>
      <c r="Q19" s="29" t="s">
        <v>265</v>
      </c>
      <c r="R19" s="27" t="s">
        <v>298</v>
      </c>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EVT-2026-0524</v>
      </c>
      <c r="B20" s="30">
        <v>46149</v>
      </c>
      <c r="C20" s="27" t="s">
        <v>216</v>
      </c>
      <c r="D20" s="27" t="s">
        <v>208</v>
      </c>
      <c r="E20" s="27" t="s">
        <v>348</v>
      </c>
      <c r="F20" s="27" t="s">
        <v>349</v>
      </c>
      <c r="G20" s="10">
        <v>50</v>
      </c>
      <c r="H20" s="36" t="s">
        <v>263</v>
      </c>
      <c r="I20" s="37" t="s">
        <v>350</v>
      </c>
      <c r="J20" s="37" t="s">
        <v>296</v>
      </c>
      <c r="K20" s="27"/>
      <c r="L20" s="27"/>
      <c r="M20" s="27" t="s">
        <v>1080</v>
      </c>
      <c r="N20" s="27"/>
      <c r="O20" s="30">
        <v>46008</v>
      </c>
      <c r="P20" s="1" t="s">
        <v>264</v>
      </c>
      <c r="Q20" s="29" t="s">
        <v>265</v>
      </c>
      <c r="R20" s="27" t="s">
        <v>303</v>
      </c>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EVT-2026-0525</v>
      </c>
      <c r="B21" s="30">
        <v>46150</v>
      </c>
      <c r="C21" s="27" t="s">
        <v>220</v>
      </c>
      <c r="D21" s="27" t="s">
        <v>208</v>
      </c>
      <c r="E21" s="27" t="s">
        <v>348</v>
      </c>
      <c r="F21" s="27" t="s">
        <v>1086</v>
      </c>
      <c r="G21" s="10">
        <v>45</v>
      </c>
      <c r="H21" s="36" t="s">
        <v>263</v>
      </c>
      <c r="I21" s="37" t="s">
        <v>506</v>
      </c>
      <c r="J21" s="37" t="s">
        <v>429</v>
      </c>
      <c r="K21" s="27"/>
      <c r="L21" s="27"/>
      <c r="M21" s="27" t="s">
        <v>774</v>
      </c>
      <c r="N21" s="27"/>
      <c r="O21" s="30">
        <v>46143</v>
      </c>
      <c r="P21" s="1" t="s">
        <v>264</v>
      </c>
      <c r="Q21" s="29" t="s">
        <v>265</v>
      </c>
      <c r="R21" s="27" t="s">
        <v>298</v>
      </c>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EVT-2026-0526</v>
      </c>
      <c r="B22" s="30">
        <v>46150</v>
      </c>
      <c r="C22" s="27" t="s">
        <v>220</v>
      </c>
      <c r="D22" s="27" t="s">
        <v>208</v>
      </c>
      <c r="E22" s="27" t="s">
        <v>348</v>
      </c>
      <c r="F22" s="27" t="s">
        <v>1087</v>
      </c>
      <c r="G22" s="10">
        <v>18</v>
      </c>
      <c r="H22" s="36" t="s">
        <v>263</v>
      </c>
      <c r="I22" s="37"/>
      <c r="J22" s="37"/>
      <c r="K22" s="27"/>
      <c r="L22" s="27"/>
      <c r="M22" s="27" t="s">
        <v>583</v>
      </c>
      <c r="N22" s="27"/>
      <c r="O22" s="27"/>
      <c r="P22" s="1" t="s">
        <v>264</v>
      </c>
      <c r="Q22" s="29" t="s">
        <v>265</v>
      </c>
      <c r="R22" s="27" t="s">
        <v>1084</v>
      </c>
      <c r="S22" s="27"/>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EVT-2026-0527</v>
      </c>
      <c r="B23" s="30">
        <v>46150</v>
      </c>
      <c r="C23" s="27" t="s">
        <v>220</v>
      </c>
      <c r="D23" s="27" t="s">
        <v>1088</v>
      </c>
      <c r="E23" s="27" t="s">
        <v>125</v>
      </c>
      <c r="F23" s="27"/>
      <c r="G23" s="10">
        <v>30</v>
      </c>
      <c r="H23" s="36" t="s">
        <v>263</v>
      </c>
      <c r="I23" s="37" t="s">
        <v>269</v>
      </c>
      <c r="J23" s="37" t="s">
        <v>270</v>
      </c>
      <c r="K23" s="27"/>
      <c r="L23" s="27"/>
      <c r="M23" s="27" t="s">
        <v>1089</v>
      </c>
      <c r="N23" s="27"/>
      <c r="O23" s="27"/>
      <c r="P23" s="1" t="s">
        <v>264</v>
      </c>
      <c r="Q23" s="29" t="s">
        <v>265</v>
      </c>
      <c r="R23" s="27"/>
      <c r="S23" s="27"/>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EVT-2026-0528</v>
      </c>
      <c r="B24" s="30">
        <v>46150</v>
      </c>
      <c r="C24" s="27" t="s">
        <v>220</v>
      </c>
      <c r="D24" s="27" t="s">
        <v>202</v>
      </c>
      <c r="E24" s="27" t="s">
        <v>239</v>
      </c>
      <c r="F24" s="27" t="s">
        <v>1090</v>
      </c>
      <c r="G24" s="10">
        <v>175</v>
      </c>
      <c r="H24" s="38" t="s">
        <v>294</v>
      </c>
      <c r="I24" s="37" t="s">
        <v>289</v>
      </c>
      <c r="J24" s="37" t="s">
        <v>448</v>
      </c>
      <c r="K24" s="27" t="s">
        <v>1091</v>
      </c>
      <c r="L24" s="27"/>
      <c r="M24" s="27" t="s">
        <v>504</v>
      </c>
      <c r="N24" s="27"/>
      <c r="O24" s="30" t="s">
        <v>2261</v>
      </c>
      <c r="P24" s="1" t="s">
        <v>264</v>
      </c>
      <c r="Q24" s="29" t="s">
        <v>265</v>
      </c>
      <c r="R24" s="27" t="s">
        <v>298</v>
      </c>
      <c r="S24" s="27"/>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25" s="30">
        <v>46151</v>
      </c>
      <c r="C25" s="27" t="s">
        <v>266</v>
      </c>
      <c r="D25" s="27"/>
      <c r="E25" s="27"/>
      <c r="F25" s="27"/>
      <c r="G25" s="10"/>
      <c r="H25" s="36" t="s">
        <v>263</v>
      </c>
      <c r="I25" s="37"/>
      <c r="J25" s="37"/>
      <c r="K25" s="27"/>
      <c r="L25" s="27"/>
      <c r="M25" s="27"/>
      <c r="N25" s="27"/>
      <c r="O25" s="27"/>
      <c r="P25" s="1" t="s">
        <v>264</v>
      </c>
      <c r="Q25" s="29" t="s">
        <v>265</v>
      </c>
      <c r="R25" s="27"/>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26" s="30">
        <v>46152</v>
      </c>
      <c r="C26" s="27" t="s">
        <v>267</v>
      </c>
      <c r="D26" s="27"/>
      <c r="E26" s="27"/>
      <c r="F26" s="27"/>
      <c r="G26" s="10"/>
      <c r="H26" s="36" t="s">
        <v>263</v>
      </c>
      <c r="I26" s="37"/>
      <c r="J26" s="37"/>
      <c r="K26" s="27"/>
      <c r="L26" s="27"/>
      <c r="M26" s="27"/>
      <c r="N26" s="27"/>
      <c r="O26" s="27"/>
      <c r="P26" s="1" t="s">
        <v>264</v>
      </c>
      <c r="Q26" s="29" t="s">
        <v>265</v>
      </c>
      <c r="R26" s="27"/>
      <c r="S26" s="27"/>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EVT-2026-0529</v>
      </c>
      <c r="B27" s="30" t="s">
        <v>2262</v>
      </c>
      <c r="C27" s="27" t="s">
        <v>224</v>
      </c>
      <c r="D27" s="27" t="s">
        <v>208</v>
      </c>
      <c r="E27" s="27" t="s">
        <v>1092</v>
      </c>
      <c r="F27" s="27" t="s">
        <v>801</v>
      </c>
      <c r="G27" s="10">
        <v>1</v>
      </c>
      <c r="H27" s="36" t="s">
        <v>263</v>
      </c>
      <c r="I27" s="37" t="s">
        <v>269</v>
      </c>
      <c r="J27" s="37" t="s">
        <v>270</v>
      </c>
      <c r="K27" s="27"/>
      <c r="L27" s="27"/>
      <c r="M27" s="27" t="s">
        <v>367</v>
      </c>
      <c r="N27" s="27"/>
      <c r="O27" s="27"/>
      <c r="P27" s="1" t="s">
        <v>264</v>
      </c>
      <c r="Q27" s="29" t="s">
        <v>265</v>
      </c>
      <c r="R27" s="27" t="s">
        <v>1093</v>
      </c>
      <c r="S27" s="27"/>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EVT-2026-0530</v>
      </c>
      <c r="B28" s="30" t="s">
        <v>2262</v>
      </c>
      <c r="C28" s="27" t="s">
        <v>224</v>
      </c>
      <c r="D28" s="27" t="s">
        <v>208</v>
      </c>
      <c r="E28" s="27" t="s">
        <v>1094</v>
      </c>
      <c r="F28" s="27" t="s">
        <v>801</v>
      </c>
      <c r="G28" s="10">
        <v>2</v>
      </c>
      <c r="H28" s="36" t="s">
        <v>263</v>
      </c>
      <c r="I28" s="37" t="s">
        <v>269</v>
      </c>
      <c r="J28" s="37" t="s">
        <v>270</v>
      </c>
      <c r="K28" s="27"/>
      <c r="L28" s="27"/>
      <c r="M28" s="27" t="s">
        <v>367</v>
      </c>
      <c r="N28" s="27"/>
      <c r="O28" s="27"/>
      <c r="P28" s="1" t="s">
        <v>264</v>
      </c>
      <c r="Q28" s="29" t="s">
        <v>265</v>
      </c>
      <c r="R28" s="27" t="s">
        <v>1095</v>
      </c>
      <c r="S28" s="27"/>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EVT-2026-0531</v>
      </c>
      <c r="B29" s="30" t="s">
        <v>2263</v>
      </c>
      <c r="C29" s="27" t="s">
        <v>833</v>
      </c>
      <c r="D29" s="27" t="s">
        <v>202</v>
      </c>
      <c r="E29" s="27" t="s">
        <v>348</v>
      </c>
      <c r="F29" s="27" t="s">
        <v>571</v>
      </c>
      <c r="G29" s="10">
        <v>30</v>
      </c>
      <c r="H29" s="36" t="s">
        <v>263</v>
      </c>
      <c r="I29" s="37" t="s">
        <v>269</v>
      </c>
      <c r="J29" s="37" t="s">
        <v>270</v>
      </c>
      <c r="K29" s="27"/>
      <c r="L29" s="27"/>
      <c r="M29" s="27" t="s">
        <v>1052</v>
      </c>
      <c r="N29" s="27"/>
      <c r="O29" s="27"/>
      <c r="P29" s="1" t="s">
        <v>264</v>
      </c>
      <c r="Q29" s="29" t="s">
        <v>265</v>
      </c>
      <c r="R29" s="27"/>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EVT-2026-0532</v>
      </c>
      <c r="B30" s="30">
        <v>46153</v>
      </c>
      <c r="C30" s="27" t="s">
        <v>224</v>
      </c>
      <c r="D30" s="27" t="s">
        <v>208</v>
      </c>
      <c r="E30" s="27" t="s">
        <v>348</v>
      </c>
      <c r="F30" s="27" t="s">
        <v>1096</v>
      </c>
      <c r="G30" s="10">
        <v>50</v>
      </c>
      <c r="H30" s="36" t="s">
        <v>263</v>
      </c>
      <c r="I30" s="37" t="s">
        <v>506</v>
      </c>
      <c r="J30" s="37" t="s">
        <v>429</v>
      </c>
      <c r="K30" s="27"/>
      <c r="L30" s="27"/>
      <c r="M30" s="27" t="s">
        <v>1097</v>
      </c>
      <c r="N30" s="27"/>
      <c r="O30" s="27"/>
      <c r="P30" s="1" t="s">
        <v>264</v>
      </c>
      <c r="Q30" s="29" t="s">
        <v>265</v>
      </c>
      <c r="R30" s="27" t="s">
        <v>1098</v>
      </c>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EVT-2026-0533</v>
      </c>
      <c r="B31" s="30">
        <v>46153</v>
      </c>
      <c r="C31" s="27" t="s">
        <v>224</v>
      </c>
      <c r="D31" s="27" t="s">
        <v>208</v>
      </c>
      <c r="E31" s="27" t="s">
        <v>348</v>
      </c>
      <c r="F31" s="27" t="s">
        <v>1099</v>
      </c>
      <c r="G31" s="10">
        <v>80</v>
      </c>
      <c r="H31" s="36" t="s">
        <v>263</v>
      </c>
      <c r="I31" s="37" t="s">
        <v>289</v>
      </c>
      <c r="J31" s="37" t="s">
        <v>296</v>
      </c>
      <c r="K31" s="27"/>
      <c r="L31" s="27"/>
      <c r="M31" s="27" t="s">
        <v>1100</v>
      </c>
      <c r="N31" s="27"/>
      <c r="O31" s="30" t="s">
        <v>2264</v>
      </c>
      <c r="P31" s="1" t="s">
        <v>264</v>
      </c>
      <c r="Q31" s="29" t="s">
        <v>265</v>
      </c>
      <c r="R31" s="27" t="s">
        <v>298</v>
      </c>
      <c r="S31" s="27"/>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EVT-2026-0534</v>
      </c>
      <c r="B32" s="30">
        <v>46154</v>
      </c>
      <c r="C32" s="27" t="s">
        <v>227</v>
      </c>
      <c r="D32" s="27" t="s">
        <v>202</v>
      </c>
      <c r="E32" s="27" t="s">
        <v>239</v>
      </c>
      <c r="F32" s="27" t="s">
        <v>1101</v>
      </c>
      <c r="G32" s="10">
        <v>200</v>
      </c>
      <c r="H32" s="38" t="s">
        <v>294</v>
      </c>
      <c r="I32" s="37" t="s">
        <v>274</v>
      </c>
      <c r="J32" s="37" t="s">
        <v>330</v>
      </c>
      <c r="K32" s="27"/>
      <c r="L32" s="27"/>
      <c r="M32" s="27" t="s">
        <v>1102</v>
      </c>
      <c r="N32" s="27"/>
      <c r="O32" s="30" t="s">
        <v>2249</v>
      </c>
      <c r="P32" s="1" t="s">
        <v>264</v>
      </c>
      <c r="Q32" s="29" t="s">
        <v>265</v>
      </c>
      <c r="R32" s="27" t="s">
        <v>1103</v>
      </c>
      <c r="S32" s="27"/>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EVT-2026-0535</v>
      </c>
      <c r="B33" s="30">
        <v>46154</v>
      </c>
      <c r="C33" s="27" t="s">
        <v>227</v>
      </c>
      <c r="D33" s="27" t="s">
        <v>228</v>
      </c>
      <c r="E33" s="27" t="s">
        <v>125</v>
      </c>
      <c r="F33" s="27" t="s">
        <v>1104</v>
      </c>
      <c r="G33" s="10">
        <v>80</v>
      </c>
      <c r="H33" s="36" t="s">
        <v>263</v>
      </c>
      <c r="I33" s="37" t="s">
        <v>330</v>
      </c>
      <c r="J33" s="37" t="s">
        <v>946</v>
      </c>
      <c r="K33" s="27" t="s">
        <v>1105</v>
      </c>
      <c r="L33" s="27"/>
      <c r="M33" s="27" t="s">
        <v>379</v>
      </c>
      <c r="N33" s="27"/>
      <c r="O33" s="27"/>
      <c r="P33" s="1" t="s">
        <v>264</v>
      </c>
      <c r="Q33" s="29" t="s">
        <v>265</v>
      </c>
      <c r="R33" s="27" t="s">
        <v>298</v>
      </c>
      <c r="S33" s="27"/>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EVT-2026-0536</v>
      </c>
      <c r="B34" s="30">
        <v>46154</v>
      </c>
      <c r="C34" s="27" t="s">
        <v>227</v>
      </c>
      <c r="D34" s="27" t="s">
        <v>208</v>
      </c>
      <c r="E34" s="27" t="s">
        <v>348</v>
      </c>
      <c r="F34" s="27" t="s">
        <v>349</v>
      </c>
      <c r="G34" s="10">
        <v>50</v>
      </c>
      <c r="H34" s="36" t="s">
        <v>263</v>
      </c>
      <c r="I34" s="37" t="s">
        <v>350</v>
      </c>
      <c r="J34" s="37" t="s">
        <v>296</v>
      </c>
      <c r="K34" s="27"/>
      <c r="L34" s="27"/>
      <c r="M34" s="27" t="s">
        <v>1080</v>
      </c>
      <c r="N34" s="27"/>
      <c r="O34" s="30">
        <v>46008</v>
      </c>
      <c r="P34" s="1" t="s">
        <v>264</v>
      </c>
      <c r="Q34" s="29" t="s">
        <v>265</v>
      </c>
      <c r="R34" s="27" t="s">
        <v>303</v>
      </c>
      <c r="S34" s="27"/>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EVT-2026-0537</v>
      </c>
      <c r="B35" s="30">
        <v>46155</v>
      </c>
      <c r="C35" s="27" t="s">
        <v>201</v>
      </c>
      <c r="D35" s="27" t="s">
        <v>208</v>
      </c>
      <c r="E35" s="27" t="s">
        <v>348</v>
      </c>
      <c r="F35" s="27" t="s">
        <v>349</v>
      </c>
      <c r="G35" s="10">
        <v>80</v>
      </c>
      <c r="H35" s="36" t="s">
        <v>263</v>
      </c>
      <c r="I35" s="37" t="s">
        <v>350</v>
      </c>
      <c r="J35" s="37" t="s">
        <v>296</v>
      </c>
      <c r="K35" s="27"/>
      <c r="L35" s="27"/>
      <c r="M35" s="27" t="s">
        <v>1080</v>
      </c>
      <c r="N35" s="27"/>
      <c r="O35" s="30">
        <v>46008</v>
      </c>
      <c r="P35" s="1" t="s">
        <v>264</v>
      </c>
      <c r="Q35" s="29" t="s">
        <v>265</v>
      </c>
      <c r="R35" s="27" t="s">
        <v>303</v>
      </c>
      <c r="S35" s="27"/>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EVT-2026-0538</v>
      </c>
      <c r="B36" s="30">
        <v>46155</v>
      </c>
      <c r="C36" s="27" t="s">
        <v>201</v>
      </c>
      <c r="D36" s="27" t="s">
        <v>228</v>
      </c>
      <c r="E36" s="27" t="s">
        <v>125</v>
      </c>
      <c r="F36" s="27" t="s">
        <v>1106</v>
      </c>
      <c r="G36" s="10">
        <v>60</v>
      </c>
      <c r="H36" s="36" t="s">
        <v>263</v>
      </c>
      <c r="I36" s="37" t="s">
        <v>350</v>
      </c>
      <c r="J36" s="37" t="s">
        <v>289</v>
      </c>
      <c r="K36" s="27"/>
      <c r="L36" s="27"/>
      <c r="M36" s="27" t="s">
        <v>1107</v>
      </c>
      <c r="N36" s="27"/>
      <c r="O36" s="30" t="s">
        <v>2249</v>
      </c>
      <c r="P36" s="1" t="s">
        <v>264</v>
      </c>
      <c r="Q36" s="29" t="s">
        <v>265</v>
      </c>
      <c r="R36" s="27" t="s">
        <v>298</v>
      </c>
      <c r="S36" s="27"/>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EVT-2026-0539</v>
      </c>
      <c r="B37" s="30">
        <v>46155</v>
      </c>
      <c r="C37" s="27" t="s">
        <v>201</v>
      </c>
      <c r="D37" s="27" t="s">
        <v>228</v>
      </c>
      <c r="E37" s="27" t="s">
        <v>125</v>
      </c>
      <c r="F37" s="27" t="s">
        <v>1108</v>
      </c>
      <c r="G37" s="10">
        <v>55</v>
      </c>
      <c r="H37" s="36" t="s">
        <v>263</v>
      </c>
      <c r="I37" s="37" t="s">
        <v>295</v>
      </c>
      <c r="J37" s="37" t="s">
        <v>290</v>
      </c>
      <c r="K37" s="27"/>
      <c r="L37" s="27"/>
      <c r="M37" s="27" t="s">
        <v>1109</v>
      </c>
      <c r="N37" s="27"/>
      <c r="O37" s="27"/>
      <c r="P37" s="1" t="s">
        <v>264</v>
      </c>
      <c r="Q37" s="29" t="s">
        <v>265</v>
      </c>
      <c r="R37" s="27"/>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EVT-2026-0540</v>
      </c>
      <c r="B38" s="30">
        <v>46156</v>
      </c>
      <c r="C38" s="27" t="s">
        <v>216</v>
      </c>
      <c r="D38" s="27" t="s">
        <v>202</v>
      </c>
      <c r="E38" s="27" t="s">
        <v>239</v>
      </c>
      <c r="F38" s="27" t="s">
        <v>1067</v>
      </c>
      <c r="G38" s="10">
        <v>100</v>
      </c>
      <c r="H38" s="38" t="s">
        <v>294</v>
      </c>
      <c r="I38" s="37" t="s">
        <v>295</v>
      </c>
      <c r="J38" s="37" t="s">
        <v>296</v>
      </c>
      <c r="K38" s="27"/>
      <c r="L38" s="27"/>
      <c r="M38" s="27" t="s">
        <v>378</v>
      </c>
      <c r="N38" s="27"/>
      <c r="O38" s="30" t="s">
        <v>2265</v>
      </c>
      <c r="P38" s="1" t="s">
        <v>264</v>
      </c>
      <c r="Q38" s="29" t="s">
        <v>265</v>
      </c>
      <c r="R38" s="27" t="s">
        <v>1110</v>
      </c>
      <c r="S38" s="27"/>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EVT-2026-0541</v>
      </c>
      <c r="B39" s="30">
        <v>46156</v>
      </c>
      <c r="C39" s="27" t="s">
        <v>216</v>
      </c>
      <c r="D39" s="27" t="s">
        <v>208</v>
      </c>
      <c r="E39" s="27" t="s">
        <v>348</v>
      </c>
      <c r="F39" s="27" t="s">
        <v>1111</v>
      </c>
      <c r="G39" s="10">
        <v>50</v>
      </c>
      <c r="H39" s="36" t="s">
        <v>263</v>
      </c>
      <c r="I39" s="37" t="s">
        <v>330</v>
      </c>
      <c r="J39" s="37" t="s">
        <v>331</v>
      </c>
      <c r="K39" s="27"/>
      <c r="L39" s="27"/>
      <c r="M39" s="27" t="s">
        <v>1097</v>
      </c>
      <c r="N39" s="27"/>
      <c r="O39" s="30" t="s">
        <v>2261</v>
      </c>
      <c r="P39" s="1" t="s">
        <v>264</v>
      </c>
      <c r="Q39" s="29" t="s">
        <v>265</v>
      </c>
      <c r="R39" s="27" t="s">
        <v>298</v>
      </c>
      <c r="S39" s="27"/>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EVT-2026-0542</v>
      </c>
      <c r="B40" s="30">
        <v>46156</v>
      </c>
      <c r="C40" s="27" t="s">
        <v>216</v>
      </c>
      <c r="D40" s="27" t="s">
        <v>208</v>
      </c>
      <c r="E40" s="27" t="s">
        <v>348</v>
      </c>
      <c r="F40" s="27" t="s">
        <v>349</v>
      </c>
      <c r="G40" s="10">
        <v>50</v>
      </c>
      <c r="H40" s="36" t="s">
        <v>263</v>
      </c>
      <c r="I40" s="37" t="s">
        <v>350</v>
      </c>
      <c r="J40" s="37" t="s">
        <v>296</v>
      </c>
      <c r="K40" s="27"/>
      <c r="L40" s="27"/>
      <c r="M40" s="27" t="s">
        <v>1080</v>
      </c>
      <c r="N40" s="27"/>
      <c r="O40" s="30">
        <v>46008</v>
      </c>
      <c r="P40" s="1" t="s">
        <v>264</v>
      </c>
      <c r="Q40" s="29" t="s">
        <v>265</v>
      </c>
      <c r="R40" s="27" t="s">
        <v>303</v>
      </c>
      <c r="S40" s="27"/>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41" s="30">
        <v>46157</v>
      </c>
      <c r="C41" s="27" t="s">
        <v>220</v>
      </c>
      <c r="D41" s="27"/>
      <c r="E41" s="27"/>
      <c r="F41" s="27"/>
      <c r="G41" s="10"/>
      <c r="H41" s="36" t="s">
        <v>263</v>
      </c>
      <c r="I41" s="37"/>
      <c r="J41" s="37"/>
      <c r="K41" s="27"/>
      <c r="L41" s="27"/>
      <c r="M41" s="27"/>
      <c r="N41" s="27"/>
      <c r="O41" s="27"/>
      <c r="P41" s="1" t="s">
        <v>264</v>
      </c>
      <c r="Q41" s="29" t="s">
        <v>265</v>
      </c>
      <c r="R41" s="27"/>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42" s="30">
        <v>46158</v>
      </c>
      <c r="C42" s="27" t="s">
        <v>266</v>
      </c>
      <c r="D42" s="27"/>
      <c r="E42" s="27"/>
      <c r="F42" s="27"/>
      <c r="G42" s="10"/>
      <c r="H42" s="36" t="s">
        <v>263</v>
      </c>
      <c r="I42" s="37"/>
      <c r="J42" s="37"/>
      <c r="K42" s="27"/>
      <c r="L42" s="27"/>
      <c r="M42" s="27"/>
      <c r="N42" s="27"/>
      <c r="O42" s="27"/>
      <c r="P42" s="1" t="s">
        <v>264</v>
      </c>
      <c r="Q42" s="29" t="s">
        <v>265</v>
      </c>
      <c r="R42" s="27"/>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43" s="30">
        <v>46159</v>
      </c>
      <c r="C43" s="27" t="s">
        <v>267</v>
      </c>
      <c r="D43" s="27"/>
      <c r="E43" s="27"/>
      <c r="F43" s="27"/>
      <c r="G43" s="10"/>
      <c r="H43" s="36" t="s">
        <v>263</v>
      </c>
      <c r="I43" s="37"/>
      <c r="J43" s="37"/>
      <c r="K43" s="27"/>
      <c r="L43" s="27"/>
      <c r="M43" s="27"/>
      <c r="N43" s="27"/>
      <c r="O43" s="27"/>
      <c r="P43" s="1" t="s">
        <v>264</v>
      </c>
      <c r="Q43" s="29" t="s">
        <v>265</v>
      </c>
      <c r="R43" s="27"/>
      <c r="S43" s="27"/>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EVT-2026-0543</v>
      </c>
      <c r="B44" s="30">
        <v>46160</v>
      </c>
      <c r="C44" s="27" t="s">
        <v>224</v>
      </c>
      <c r="D44" s="27" t="s">
        <v>208</v>
      </c>
      <c r="E44" s="27" t="s">
        <v>1112</v>
      </c>
      <c r="F44" s="27" t="s">
        <v>1113</v>
      </c>
      <c r="G44" s="10">
        <v>18</v>
      </c>
      <c r="H44" s="36" t="s">
        <v>263</v>
      </c>
      <c r="I44" s="37" t="s">
        <v>269</v>
      </c>
      <c r="J44" s="37" t="s">
        <v>270</v>
      </c>
      <c r="K44" s="27"/>
      <c r="L44" s="27"/>
      <c r="M44" s="27" t="s">
        <v>1114</v>
      </c>
      <c r="N44" s="27"/>
      <c r="O44" s="27"/>
      <c r="P44" s="1" t="s">
        <v>264</v>
      </c>
      <c r="Q44" s="29" t="s">
        <v>265</v>
      </c>
      <c r="R44" s="27"/>
      <c r="S44" s="27"/>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EVT-2026-0544</v>
      </c>
      <c r="B45" s="30">
        <v>46160</v>
      </c>
      <c r="C45" s="27" t="s">
        <v>224</v>
      </c>
      <c r="D45" s="27" t="s">
        <v>208</v>
      </c>
      <c r="E45" s="27" t="s">
        <v>1112</v>
      </c>
      <c r="F45" s="27" t="s">
        <v>1113</v>
      </c>
      <c r="G45" s="10">
        <v>18</v>
      </c>
      <c r="H45" s="36" t="s">
        <v>263</v>
      </c>
      <c r="I45" s="37" t="s">
        <v>275</v>
      </c>
      <c r="J45" s="37"/>
      <c r="K45" s="27"/>
      <c r="L45" s="27"/>
      <c r="M45" s="27" t="s">
        <v>1115</v>
      </c>
      <c r="N45" s="27"/>
      <c r="O45" s="27"/>
      <c r="P45" s="1" t="s">
        <v>264</v>
      </c>
      <c r="Q45" s="29" t="s">
        <v>265</v>
      </c>
      <c r="R45" s="27"/>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EVT-2026-0545</v>
      </c>
      <c r="B46" s="30">
        <v>46161</v>
      </c>
      <c r="C46" s="27" t="s">
        <v>227</v>
      </c>
      <c r="D46" s="27" t="s">
        <v>208</v>
      </c>
      <c r="E46" s="27" t="s">
        <v>348</v>
      </c>
      <c r="F46" s="27" t="s">
        <v>349</v>
      </c>
      <c r="G46" s="10">
        <v>50</v>
      </c>
      <c r="H46" s="36" t="s">
        <v>263</v>
      </c>
      <c r="I46" s="37" t="s">
        <v>350</v>
      </c>
      <c r="J46" s="37" t="s">
        <v>296</v>
      </c>
      <c r="K46" s="27"/>
      <c r="L46" s="27"/>
      <c r="M46" s="27" t="s">
        <v>1080</v>
      </c>
      <c r="N46" s="27"/>
      <c r="O46" s="30">
        <v>46008</v>
      </c>
      <c r="P46" s="1" t="s">
        <v>264</v>
      </c>
      <c r="Q46" s="29" t="s">
        <v>265</v>
      </c>
      <c r="R46" s="27" t="s">
        <v>303</v>
      </c>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EVT-2026-0546</v>
      </c>
      <c r="B47" s="30">
        <v>46161</v>
      </c>
      <c r="C47" s="27" t="s">
        <v>227</v>
      </c>
      <c r="D47" s="27" t="s">
        <v>202</v>
      </c>
      <c r="E47" s="27" t="s">
        <v>736</v>
      </c>
      <c r="F47" s="27" t="s">
        <v>1116</v>
      </c>
      <c r="G47" s="10">
        <v>35</v>
      </c>
      <c r="H47" s="36" t="s">
        <v>263</v>
      </c>
      <c r="I47" s="37" t="s">
        <v>315</v>
      </c>
      <c r="J47" s="37" t="s">
        <v>270</v>
      </c>
      <c r="K47" s="27"/>
      <c r="L47" s="27"/>
      <c r="M47" s="27" t="s">
        <v>367</v>
      </c>
      <c r="N47" s="27"/>
      <c r="O47" s="30" t="s">
        <v>2099</v>
      </c>
      <c r="P47" s="1" t="s">
        <v>264</v>
      </c>
      <c r="Q47" s="29" t="s">
        <v>265</v>
      </c>
      <c r="R47" s="27" t="s">
        <v>1117</v>
      </c>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EVT-2026-0547</v>
      </c>
      <c r="B48" s="30">
        <v>46161</v>
      </c>
      <c r="C48" s="27" t="s">
        <v>227</v>
      </c>
      <c r="D48" s="27" t="s">
        <v>228</v>
      </c>
      <c r="E48" s="27" t="s">
        <v>125</v>
      </c>
      <c r="F48" s="27" t="s">
        <v>1118</v>
      </c>
      <c r="G48" s="10">
        <v>25</v>
      </c>
      <c r="H48" s="36" t="s">
        <v>263</v>
      </c>
      <c r="I48" s="37" t="s">
        <v>350</v>
      </c>
      <c r="J48" s="37" t="s">
        <v>290</v>
      </c>
      <c r="K48" s="27"/>
      <c r="L48" s="27"/>
      <c r="M48" s="27" t="s">
        <v>651</v>
      </c>
      <c r="N48" s="27"/>
      <c r="O48" s="30" t="s">
        <v>2266</v>
      </c>
      <c r="P48" s="1" t="s">
        <v>264</v>
      </c>
      <c r="Q48" s="29" t="s">
        <v>265</v>
      </c>
      <c r="R48" s="27" t="s">
        <v>298</v>
      </c>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EVT-2026-0548</v>
      </c>
      <c r="B49" s="30">
        <v>46161</v>
      </c>
      <c r="C49" s="27" t="s">
        <v>227</v>
      </c>
      <c r="D49" s="27" t="s">
        <v>202</v>
      </c>
      <c r="E49" s="27" t="s">
        <v>501</v>
      </c>
      <c r="F49" s="27" t="s">
        <v>353</v>
      </c>
      <c r="G49" s="10">
        <v>150</v>
      </c>
      <c r="H49" s="38" t="s">
        <v>294</v>
      </c>
      <c r="I49" s="37" t="s">
        <v>295</v>
      </c>
      <c r="J49" s="37" t="s">
        <v>270</v>
      </c>
      <c r="K49" s="27"/>
      <c r="L49" s="27"/>
      <c r="M49" s="27" t="s">
        <v>811</v>
      </c>
      <c r="N49" s="27"/>
      <c r="O49" s="27"/>
      <c r="P49" s="1" t="s">
        <v>264</v>
      </c>
      <c r="Q49" s="29" t="s">
        <v>265</v>
      </c>
      <c r="R49" s="27" t="s">
        <v>298</v>
      </c>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EVT-2026-0549</v>
      </c>
      <c r="B50" s="30">
        <v>46162</v>
      </c>
      <c r="C50" s="27" t="s">
        <v>201</v>
      </c>
      <c r="D50" s="27" t="s">
        <v>208</v>
      </c>
      <c r="E50" s="27" t="s">
        <v>348</v>
      </c>
      <c r="F50" s="27" t="s">
        <v>584</v>
      </c>
      <c r="G50" s="10">
        <v>60</v>
      </c>
      <c r="H50" s="36" t="s">
        <v>263</v>
      </c>
      <c r="I50" s="37" t="s">
        <v>338</v>
      </c>
      <c r="J50" s="37" t="s">
        <v>506</v>
      </c>
      <c r="K50" s="27"/>
      <c r="L50" s="27"/>
      <c r="M50" s="27" t="s">
        <v>507</v>
      </c>
      <c r="N50" s="27"/>
      <c r="O50" s="30" t="s">
        <v>2249</v>
      </c>
      <c r="P50" s="1" t="s">
        <v>264</v>
      </c>
      <c r="Q50" s="29" t="s">
        <v>265</v>
      </c>
      <c r="R50" s="27" t="s">
        <v>298</v>
      </c>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EVT-2026-0550</v>
      </c>
      <c r="B51" s="30">
        <v>46162</v>
      </c>
      <c r="C51" s="27" t="s">
        <v>201</v>
      </c>
      <c r="D51" s="27" t="s">
        <v>208</v>
      </c>
      <c r="E51" s="27" t="s">
        <v>348</v>
      </c>
      <c r="F51" s="27" t="s">
        <v>1119</v>
      </c>
      <c r="G51" s="10">
        <v>55</v>
      </c>
      <c r="H51" s="36" t="s">
        <v>263</v>
      </c>
      <c r="I51" s="37" t="s">
        <v>506</v>
      </c>
      <c r="J51" s="37" t="s">
        <v>350</v>
      </c>
      <c r="K51" s="27"/>
      <c r="L51" s="27"/>
      <c r="M51" s="27" t="s">
        <v>548</v>
      </c>
      <c r="N51" s="27"/>
      <c r="O51" s="27"/>
      <c r="P51" s="1" t="s">
        <v>264</v>
      </c>
      <c r="Q51" s="29" t="s">
        <v>265</v>
      </c>
      <c r="R51" s="27" t="s">
        <v>1120</v>
      </c>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EVT-2026-0551</v>
      </c>
      <c r="B52" s="30">
        <v>46162</v>
      </c>
      <c r="C52" s="27" t="s">
        <v>201</v>
      </c>
      <c r="D52" s="27" t="s">
        <v>228</v>
      </c>
      <c r="E52" s="27" t="s">
        <v>125</v>
      </c>
      <c r="F52" s="27" t="s">
        <v>1121</v>
      </c>
      <c r="G52" s="10">
        <v>120</v>
      </c>
      <c r="H52" s="38" t="s">
        <v>294</v>
      </c>
      <c r="I52" s="37" t="s">
        <v>315</v>
      </c>
      <c r="J52" s="37" t="s">
        <v>506</v>
      </c>
      <c r="K52" s="27"/>
      <c r="L52" s="27"/>
      <c r="M52" s="27" t="s">
        <v>518</v>
      </c>
      <c r="N52" s="27"/>
      <c r="O52" s="30" t="s">
        <v>2267</v>
      </c>
      <c r="P52" s="1" t="s">
        <v>264</v>
      </c>
      <c r="Q52" s="29" t="s">
        <v>265</v>
      </c>
      <c r="R52" s="27" t="s">
        <v>298</v>
      </c>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EVT-2026-0552</v>
      </c>
      <c r="B53" s="30">
        <v>46162</v>
      </c>
      <c r="C53" s="27" t="s">
        <v>201</v>
      </c>
      <c r="D53" s="27" t="s">
        <v>228</v>
      </c>
      <c r="E53" s="27" t="s">
        <v>125</v>
      </c>
      <c r="F53" s="27" t="s">
        <v>1122</v>
      </c>
      <c r="G53" s="10">
        <v>35</v>
      </c>
      <c r="H53" s="36" t="s">
        <v>263</v>
      </c>
      <c r="I53" s="37" t="s">
        <v>289</v>
      </c>
      <c r="J53" s="37" t="s">
        <v>296</v>
      </c>
      <c r="K53" s="27"/>
      <c r="L53" s="27"/>
      <c r="M53" s="27" t="s">
        <v>1123</v>
      </c>
      <c r="N53" s="27"/>
      <c r="O53" s="27"/>
      <c r="P53" s="1" t="s">
        <v>264</v>
      </c>
      <c r="Q53" s="29" t="s">
        <v>265</v>
      </c>
      <c r="R53" s="27" t="s">
        <v>298</v>
      </c>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EVT-2026-0553</v>
      </c>
      <c r="B54" s="30">
        <v>46162</v>
      </c>
      <c r="C54" s="27" t="s">
        <v>201</v>
      </c>
      <c r="D54" s="27" t="s">
        <v>202</v>
      </c>
      <c r="E54" s="27" t="s">
        <v>736</v>
      </c>
      <c r="F54" s="27" t="s">
        <v>1124</v>
      </c>
      <c r="G54" s="10"/>
      <c r="H54" s="36" t="s">
        <v>263</v>
      </c>
      <c r="I54" s="37" t="s">
        <v>274</v>
      </c>
      <c r="J54" s="37" t="s">
        <v>698</v>
      </c>
      <c r="K54" s="27" t="s">
        <v>1125</v>
      </c>
      <c r="L54" s="27"/>
      <c r="M54" s="27" t="s">
        <v>1126</v>
      </c>
      <c r="N54" s="27"/>
      <c r="O54" s="27"/>
      <c r="P54" s="1" t="s">
        <v>264</v>
      </c>
      <c r="Q54" s="29" t="s">
        <v>265</v>
      </c>
      <c r="R54" s="27" t="s">
        <v>1127</v>
      </c>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EVT-2026-0554</v>
      </c>
      <c r="B55" s="30">
        <v>46162</v>
      </c>
      <c r="C55" s="27" t="s">
        <v>201</v>
      </c>
      <c r="D55" s="27" t="s">
        <v>208</v>
      </c>
      <c r="E55" s="27" t="s">
        <v>348</v>
      </c>
      <c r="F55" s="27" t="s">
        <v>349</v>
      </c>
      <c r="G55" s="10">
        <v>50</v>
      </c>
      <c r="H55" s="36" t="s">
        <v>263</v>
      </c>
      <c r="I55" s="37" t="s">
        <v>350</v>
      </c>
      <c r="J55" s="37" t="s">
        <v>296</v>
      </c>
      <c r="K55" s="27"/>
      <c r="L55" s="27"/>
      <c r="M55" s="27" t="s">
        <v>1080</v>
      </c>
      <c r="N55" s="27"/>
      <c r="O55" s="30">
        <v>46008</v>
      </c>
      <c r="P55" s="1" t="s">
        <v>264</v>
      </c>
      <c r="Q55" s="29" t="s">
        <v>265</v>
      </c>
      <c r="R55" s="27" t="s">
        <v>303</v>
      </c>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EVT-2026-0555</v>
      </c>
      <c r="B56" s="30">
        <v>46163</v>
      </c>
      <c r="C56" s="27" t="s">
        <v>216</v>
      </c>
      <c r="D56" s="27" t="s">
        <v>208</v>
      </c>
      <c r="E56" s="27" t="s">
        <v>348</v>
      </c>
      <c r="F56" s="27" t="s">
        <v>1128</v>
      </c>
      <c r="G56" s="10">
        <v>25</v>
      </c>
      <c r="H56" s="36" t="s">
        <v>263</v>
      </c>
      <c r="I56" s="37" t="s">
        <v>330</v>
      </c>
      <c r="J56" s="37" t="s">
        <v>275</v>
      </c>
      <c r="K56" s="27"/>
      <c r="L56" s="27"/>
      <c r="M56" s="27" t="s">
        <v>651</v>
      </c>
      <c r="N56" s="27"/>
      <c r="O56" s="27"/>
      <c r="P56" s="1" t="s">
        <v>264</v>
      </c>
      <c r="Q56" s="29" t="s">
        <v>265</v>
      </c>
      <c r="R56" s="27" t="s">
        <v>298</v>
      </c>
      <c r="S56" s="27"/>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EVT-2026-0556</v>
      </c>
      <c r="B57" s="30">
        <v>46163</v>
      </c>
      <c r="C57" s="27" t="s">
        <v>216</v>
      </c>
      <c r="D57" s="27" t="s">
        <v>228</v>
      </c>
      <c r="E57" s="27" t="s">
        <v>125</v>
      </c>
      <c r="F57" s="27" t="s">
        <v>1129</v>
      </c>
      <c r="G57" s="10">
        <v>35</v>
      </c>
      <c r="H57" s="36" t="s">
        <v>263</v>
      </c>
      <c r="I57" s="37" t="s">
        <v>732</v>
      </c>
      <c r="J57" s="37" t="s">
        <v>275</v>
      </c>
      <c r="K57" s="27"/>
      <c r="L57" s="27"/>
      <c r="M57" s="27" t="s">
        <v>1130</v>
      </c>
      <c r="N57" s="27"/>
      <c r="O57" s="30" t="s">
        <v>2268</v>
      </c>
      <c r="P57" s="1" t="s">
        <v>264</v>
      </c>
      <c r="Q57" s="29" t="s">
        <v>265</v>
      </c>
      <c r="R57" s="27" t="s">
        <v>1131</v>
      </c>
      <c r="S57" s="27"/>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EVT-2026-0557</v>
      </c>
      <c r="B58" s="30">
        <v>46163</v>
      </c>
      <c r="C58" s="27" t="s">
        <v>216</v>
      </c>
      <c r="D58" s="27" t="s">
        <v>228</v>
      </c>
      <c r="E58" s="27" t="s">
        <v>125</v>
      </c>
      <c r="F58" s="27" t="s">
        <v>1132</v>
      </c>
      <c r="G58" s="10">
        <v>35</v>
      </c>
      <c r="H58" s="36" t="s">
        <v>263</v>
      </c>
      <c r="I58" s="37" t="s">
        <v>359</v>
      </c>
      <c r="J58" s="37" t="s">
        <v>290</v>
      </c>
      <c r="K58" s="27"/>
      <c r="L58" s="27"/>
      <c r="M58" s="27" t="s">
        <v>367</v>
      </c>
      <c r="N58" s="27"/>
      <c r="O58" s="27"/>
      <c r="P58" s="1" t="s">
        <v>264</v>
      </c>
      <c r="Q58" s="29" t="s">
        <v>265</v>
      </c>
      <c r="R58" s="27" t="s">
        <v>298</v>
      </c>
      <c r="S58" s="27"/>
    </row>
    <row r="59" spans="1:19" ht="24" customHeight="1">
      <c r="A59" s="27"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EVT-2026-0558</v>
      </c>
      <c r="B59" s="30">
        <v>46163</v>
      </c>
      <c r="C59" s="27" t="s">
        <v>216</v>
      </c>
      <c r="D59" s="27" t="s">
        <v>202</v>
      </c>
      <c r="E59" s="27" t="s">
        <v>239</v>
      </c>
      <c r="F59" s="27" t="s">
        <v>1133</v>
      </c>
      <c r="G59" s="10">
        <v>100</v>
      </c>
      <c r="H59" s="38" t="s">
        <v>294</v>
      </c>
      <c r="I59" s="37" t="s">
        <v>295</v>
      </c>
      <c r="J59" s="37" t="s">
        <v>296</v>
      </c>
      <c r="K59" s="27"/>
      <c r="L59" s="27"/>
      <c r="M59" s="27" t="s">
        <v>378</v>
      </c>
      <c r="N59" s="27"/>
      <c r="O59" s="30" t="s">
        <v>2269</v>
      </c>
      <c r="P59" s="1" t="s">
        <v>264</v>
      </c>
      <c r="Q59" s="29" t="s">
        <v>265</v>
      </c>
      <c r="R59" s="27" t="s">
        <v>298</v>
      </c>
      <c r="S59" s="27"/>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EVT-2026-0559</v>
      </c>
      <c r="B60" s="30">
        <v>46163</v>
      </c>
      <c r="C60" s="27" t="s">
        <v>216</v>
      </c>
      <c r="D60" s="27" t="s">
        <v>208</v>
      </c>
      <c r="E60" s="27" t="s">
        <v>348</v>
      </c>
      <c r="F60" s="27" t="s">
        <v>349</v>
      </c>
      <c r="G60" s="10">
        <v>50</v>
      </c>
      <c r="H60" s="36" t="s">
        <v>263</v>
      </c>
      <c r="I60" s="37" t="s">
        <v>350</v>
      </c>
      <c r="J60" s="37" t="s">
        <v>296</v>
      </c>
      <c r="K60" s="27"/>
      <c r="L60" s="27"/>
      <c r="M60" s="27" t="s">
        <v>1080</v>
      </c>
      <c r="N60" s="27"/>
      <c r="O60" s="30">
        <v>46008</v>
      </c>
      <c r="P60" s="1" t="s">
        <v>264</v>
      </c>
      <c r="Q60" s="29" t="s">
        <v>265</v>
      </c>
      <c r="R60" s="27" t="s">
        <v>303</v>
      </c>
      <c r="S60" s="27"/>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EVT-2026-0560</v>
      </c>
      <c r="B61" s="30">
        <v>46164</v>
      </c>
      <c r="C61" s="27" t="s">
        <v>220</v>
      </c>
      <c r="D61" s="27" t="s">
        <v>202</v>
      </c>
      <c r="E61" s="27" t="s">
        <v>1134</v>
      </c>
      <c r="F61" s="27" t="s">
        <v>337</v>
      </c>
      <c r="G61" s="10">
        <v>180</v>
      </c>
      <c r="H61" s="38" t="s">
        <v>294</v>
      </c>
      <c r="I61" s="37" t="s">
        <v>338</v>
      </c>
      <c r="J61" s="37" t="s">
        <v>506</v>
      </c>
      <c r="K61" s="27"/>
      <c r="L61" s="27"/>
      <c r="M61" s="27" t="s">
        <v>1135</v>
      </c>
      <c r="N61" s="27"/>
      <c r="O61" s="27"/>
      <c r="P61" s="1" t="s">
        <v>264</v>
      </c>
      <c r="Q61" s="29" t="s">
        <v>265</v>
      </c>
      <c r="R61" s="27" t="s">
        <v>1059</v>
      </c>
      <c r="S61" s="27"/>
    </row>
    <row r="62" spans="1:19" ht="24" customHeight="1">
      <c r="A62" s="27"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EVT-2026-0561</v>
      </c>
      <c r="B62" s="30">
        <v>46164</v>
      </c>
      <c r="C62" s="27" t="s">
        <v>220</v>
      </c>
      <c r="D62" s="27" t="s">
        <v>202</v>
      </c>
      <c r="E62" s="27" t="s">
        <v>501</v>
      </c>
      <c r="F62" s="27" t="s">
        <v>337</v>
      </c>
      <c r="G62" s="10">
        <v>200</v>
      </c>
      <c r="H62" s="38" t="s">
        <v>294</v>
      </c>
      <c r="I62" s="37" t="s">
        <v>506</v>
      </c>
      <c r="J62" s="37" t="s">
        <v>429</v>
      </c>
      <c r="K62" s="27" t="s">
        <v>1136</v>
      </c>
      <c r="L62" s="27"/>
      <c r="M62" s="27" t="s">
        <v>1137</v>
      </c>
      <c r="N62" s="27"/>
      <c r="O62" s="27"/>
      <c r="P62" s="1" t="s">
        <v>264</v>
      </c>
      <c r="Q62" s="29" t="s">
        <v>265</v>
      </c>
      <c r="R62" s="27"/>
      <c r="S62" s="27"/>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EVT-2026-0562</v>
      </c>
      <c r="B63" s="30">
        <v>46164</v>
      </c>
      <c r="C63" s="27" t="s">
        <v>220</v>
      </c>
      <c r="D63" s="27" t="s">
        <v>228</v>
      </c>
      <c r="E63" s="27" t="s">
        <v>125</v>
      </c>
      <c r="F63" s="27" t="s">
        <v>1138</v>
      </c>
      <c r="G63" s="10">
        <v>35</v>
      </c>
      <c r="H63" s="36" t="s">
        <v>263</v>
      </c>
      <c r="I63" s="37" t="s">
        <v>330</v>
      </c>
      <c r="J63" s="37" t="s">
        <v>275</v>
      </c>
      <c r="K63" s="27"/>
      <c r="L63" s="27"/>
      <c r="M63" s="27" t="s">
        <v>1139</v>
      </c>
      <c r="N63" s="27"/>
      <c r="O63" s="27"/>
      <c r="P63" s="1" t="s">
        <v>264</v>
      </c>
      <c r="Q63" s="29" t="s">
        <v>265</v>
      </c>
      <c r="R63" s="27" t="s">
        <v>298</v>
      </c>
      <c r="S63" s="27"/>
    </row>
    <row r="64" spans="1:19" ht="24" customHeight="1">
      <c r="A64" s="27"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EVT-2026-0563</v>
      </c>
      <c r="B64" s="30">
        <v>46164</v>
      </c>
      <c r="C64" s="27" t="s">
        <v>220</v>
      </c>
      <c r="D64" s="27" t="s">
        <v>202</v>
      </c>
      <c r="E64" s="27" t="s">
        <v>239</v>
      </c>
      <c r="F64" s="27"/>
      <c r="G64" s="10">
        <v>45</v>
      </c>
      <c r="H64" s="36" t="s">
        <v>263</v>
      </c>
      <c r="I64" s="37" t="s">
        <v>350</v>
      </c>
      <c r="J64" s="37" t="s">
        <v>359</v>
      </c>
      <c r="K64" s="27"/>
      <c r="L64" s="27"/>
      <c r="M64" s="27" t="s">
        <v>393</v>
      </c>
      <c r="N64" s="27"/>
      <c r="O64" s="27"/>
      <c r="P64" s="1" t="s">
        <v>264</v>
      </c>
      <c r="Q64" s="29" t="s">
        <v>265</v>
      </c>
      <c r="R64" s="27"/>
      <c r="S64" s="27"/>
    </row>
    <row r="65" spans="1:19" ht="24" customHeight="1">
      <c r="A65" s="27"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EVT-2026-0564</v>
      </c>
      <c r="B65" s="30">
        <v>46164</v>
      </c>
      <c r="C65" s="27" t="s">
        <v>220</v>
      </c>
      <c r="D65" s="27" t="s">
        <v>202</v>
      </c>
      <c r="E65" s="27" t="s">
        <v>239</v>
      </c>
      <c r="F65" s="27" t="s">
        <v>1140</v>
      </c>
      <c r="G65" s="10">
        <v>80</v>
      </c>
      <c r="H65" s="36" t="s">
        <v>263</v>
      </c>
      <c r="I65" s="37" t="s">
        <v>359</v>
      </c>
      <c r="J65" s="37" t="s">
        <v>1141</v>
      </c>
      <c r="K65" s="27"/>
      <c r="L65" s="27"/>
      <c r="M65" s="27"/>
      <c r="N65" s="27"/>
      <c r="O65" s="27"/>
      <c r="P65" s="1" t="s">
        <v>264</v>
      </c>
      <c r="Q65" s="29" t="s">
        <v>265</v>
      </c>
      <c r="R65" s="27"/>
      <c r="S65" s="27"/>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EVT-2026-0565</v>
      </c>
      <c r="B66" s="30">
        <v>46164</v>
      </c>
      <c r="C66" s="27" t="s">
        <v>220</v>
      </c>
      <c r="D66" s="27" t="s">
        <v>228</v>
      </c>
      <c r="E66" s="27" t="s">
        <v>125</v>
      </c>
      <c r="F66" s="27"/>
      <c r="G66" s="10"/>
      <c r="H66" s="36" t="s">
        <v>263</v>
      </c>
      <c r="I66" s="37" t="s">
        <v>309</v>
      </c>
      <c r="J66" s="37" t="s">
        <v>359</v>
      </c>
      <c r="K66" s="27"/>
      <c r="L66" s="27"/>
      <c r="M66" s="27" t="s">
        <v>355</v>
      </c>
      <c r="N66" s="27"/>
      <c r="O66" s="27"/>
      <c r="P66" s="1" t="s">
        <v>264</v>
      </c>
      <c r="Q66" s="29" t="s">
        <v>265</v>
      </c>
      <c r="R66" s="27" t="s">
        <v>298</v>
      </c>
      <c r="S66" s="27"/>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EVT-2026-0566</v>
      </c>
      <c r="B67" s="30">
        <v>46164</v>
      </c>
      <c r="C67" s="27" t="s">
        <v>220</v>
      </c>
      <c r="D67" s="27" t="s">
        <v>208</v>
      </c>
      <c r="E67" s="27" t="s">
        <v>1142</v>
      </c>
      <c r="F67" s="27" t="s">
        <v>895</v>
      </c>
      <c r="G67" s="10">
        <v>40</v>
      </c>
      <c r="H67" s="36" t="s">
        <v>263</v>
      </c>
      <c r="I67" s="37" t="s">
        <v>553</v>
      </c>
      <c r="J67" s="37" t="s">
        <v>354</v>
      </c>
      <c r="K67" s="27"/>
      <c r="L67" s="27"/>
      <c r="M67" s="27" t="s">
        <v>594</v>
      </c>
      <c r="N67" s="27"/>
      <c r="O67" s="30" t="s">
        <v>2266</v>
      </c>
      <c r="P67" s="1" t="s">
        <v>264</v>
      </c>
      <c r="Q67" s="29" t="s">
        <v>265</v>
      </c>
      <c r="R67" s="27" t="s">
        <v>298</v>
      </c>
      <c r="S67" s="27"/>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68" s="30">
        <v>46165</v>
      </c>
      <c r="C68" s="27" t="s">
        <v>266</v>
      </c>
      <c r="D68" s="27"/>
      <c r="E68" s="27"/>
      <c r="F68" s="27"/>
      <c r="G68" s="10"/>
      <c r="H68" s="36" t="s">
        <v>263</v>
      </c>
      <c r="I68" s="37"/>
      <c r="J68" s="37"/>
      <c r="K68" s="27"/>
      <c r="L68" s="27"/>
      <c r="M68" s="27"/>
      <c r="N68" s="27"/>
      <c r="O68" s="27"/>
      <c r="P68" s="1" t="s">
        <v>264</v>
      </c>
      <c r="Q68" s="29" t="s">
        <v>265</v>
      </c>
      <c r="R68" s="27"/>
      <c r="S68" s="27"/>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69" s="30">
        <v>46166</v>
      </c>
      <c r="C69" s="27" t="s">
        <v>267</v>
      </c>
      <c r="D69" s="27"/>
      <c r="E69" s="27"/>
      <c r="F69" s="27"/>
      <c r="G69" s="10"/>
      <c r="H69" s="36" t="s">
        <v>263</v>
      </c>
      <c r="I69" s="37"/>
      <c r="J69" s="37"/>
      <c r="K69" s="27"/>
      <c r="L69" s="27"/>
      <c r="M69" s="27"/>
      <c r="N69" s="27"/>
      <c r="O69" s="27"/>
      <c r="P69" s="1" t="s">
        <v>264</v>
      </c>
      <c r="Q69" s="29" t="s">
        <v>265</v>
      </c>
      <c r="R69" s="27"/>
      <c r="S69" s="27"/>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EVT-2026-0567</v>
      </c>
      <c r="B70" s="30" t="s">
        <v>2270</v>
      </c>
      <c r="C70" s="27" t="s">
        <v>224</v>
      </c>
      <c r="D70" s="27" t="s">
        <v>228</v>
      </c>
      <c r="E70" s="27" t="s">
        <v>496</v>
      </c>
      <c r="F70" s="27" t="s">
        <v>1108</v>
      </c>
      <c r="G70" s="10">
        <v>24</v>
      </c>
      <c r="H70" s="36" t="s">
        <v>263</v>
      </c>
      <c r="I70" s="37" t="s">
        <v>269</v>
      </c>
      <c r="J70" s="37" t="s">
        <v>270</v>
      </c>
      <c r="K70" s="27"/>
      <c r="L70" s="27"/>
      <c r="M70" s="27" t="s">
        <v>494</v>
      </c>
      <c r="N70" s="27"/>
      <c r="O70" s="27"/>
      <c r="P70" s="1" t="s">
        <v>264</v>
      </c>
      <c r="Q70" s="29" t="s">
        <v>265</v>
      </c>
      <c r="R70" s="27" t="s">
        <v>1143</v>
      </c>
      <c r="S70" s="27"/>
    </row>
    <row r="71" spans="1:19" ht="24" customHeight="1">
      <c r="A71" s="27"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EVT-2026-0568</v>
      </c>
      <c r="B71" s="30">
        <v>46167</v>
      </c>
      <c r="C71" s="27" t="s">
        <v>224</v>
      </c>
      <c r="D71" s="27" t="s">
        <v>208</v>
      </c>
      <c r="E71" s="27" t="s">
        <v>348</v>
      </c>
      <c r="F71" s="27" t="s">
        <v>1144</v>
      </c>
      <c r="G71" s="10"/>
      <c r="H71" s="36" t="s">
        <v>263</v>
      </c>
      <c r="I71" s="37" t="s">
        <v>330</v>
      </c>
      <c r="J71" s="37" t="s">
        <v>275</v>
      </c>
      <c r="K71" s="27"/>
      <c r="L71" s="27"/>
      <c r="M71" s="27" t="s">
        <v>847</v>
      </c>
      <c r="N71" s="27"/>
      <c r="O71" s="27"/>
      <c r="P71" s="1" t="s">
        <v>264</v>
      </c>
      <c r="Q71" s="29" t="s">
        <v>265</v>
      </c>
      <c r="R71" s="27" t="s">
        <v>341</v>
      </c>
      <c r="S71" s="27"/>
    </row>
    <row r="72" spans="1:19" ht="24" customHeight="1">
      <c r="A72" s="27"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EVT-2026-0569</v>
      </c>
      <c r="B72" s="30">
        <v>46167</v>
      </c>
      <c r="C72" s="27" t="s">
        <v>224</v>
      </c>
      <c r="D72" s="27" t="s">
        <v>208</v>
      </c>
      <c r="E72" s="27" t="s">
        <v>348</v>
      </c>
      <c r="F72" s="27" t="s">
        <v>1145</v>
      </c>
      <c r="G72" s="10">
        <v>30</v>
      </c>
      <c r="H72" s="36" t="s">
        <v>263</v>
      </c>
      <c r="I72" s="37" t="s">
        <v>309</v>
      </c>
      <c r="J72" s="37" t="s">
        <v>359</v>
      </c>
      <c r="K72" s="27"/>
      <c r="L72" s="27"/>
      <c r="M72" s="27" t="s">
        <v>583</v>
      </c>
      <c r="N72" s="27"/>
      <c r="O72" s="27"/>
      <c r="P72" s="1" t="s">
        <v>264</v>
      </c>
      <c r="Q72" s="29" t="s">
        <v>265</v>
      </c>
      <c r="R72" s="27" t="s">
        <v>1146</v>
      </c>
      <c r="S72" s="27"/>
    </row>
    <row r="73" spans="1:19" ht="24" customHeight="1">
      <c r="A73" s="27"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EVT-2026-0570</v>
      </c>
      <c r="B73" s="30">
        <v>46167</v>
      </c>
      <c r="C73" s="27" t="s">
        <v>224</v>
      </c>
      <c r="D73" s="27" t="s">
        <v>228</v>
      </c>
      <c r="E73" s="27" t="s">
        <v>125</v>
      </c>
      <c r="F73" s="27" t="s">
        <v>1147</v>
      </c>
      <c r="G73" s="10"/>
      <c r="H73" s="36" t="s">
        <v>263</v>
      </c>
      <c r="I73" s="37" t="s">
        <v>275</v>
      </c>
      <c r="J73" s="37" t="s">
        <v>270</v>
      </c>
      <c r="K73" s="27"/>
      <c r="L73" s="27"/>
      <c r="M73" s="27" t="s">
        <v>367</v>
      </c>
      <c r="N73" s="27"/>
      <c r="O73" s="27"/>
      <c r="P73" s="3" t="s">
        <v>312</v>
      </c>
      <c r="Q73" s="29" t="s">
        <v>265</v>
      </c>
      <c r="R73" s="27" t="s">
        <v>1148</v>
      </c>
      <c r="S73" s="27"/>
    </row>
    <row r="74" spans="1:19" ht="24" customHeight="1">
      <c r="A74" s="27"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EVT-2026-0571</v>
      </c>
      <c r="B74" s="30">
        <v>46167</v>
      </c>
      <c r="C74" s="27" t="s">
        <v>224</v>
      </c>
      <c r="D74" s="27" t="s">
        <v>202</v>
      </c>
      <c r="E74" s="27" t="s">
        <v>1134</v>
      </c>
      <c r="F74" s="27" t="s">
        <v>1149</v>
      </c>
      <c r="G74" s="10">
        <v>100</v>
      </c>
      <c r="H74" s="38" t="s">
        <v>294</v>
      </c>
      <c r="I74" s="37" t="s">
        <v>274</v>
      </c>
      <c r="J74" s="37" t="s">
        <v>429</v>
      </c>
      <c r="K74" s="27"/>
      <c r="L74" s="27"/>
      <c r="M74" s="27" t="s">
        <v>355</v>
      </c>
      <c r="N74" s="27"/>
      <c r="O74" s="30" t="s">
        <v>2271</v>
      </c>
      <c r="P74" s="1" t="s">
        <v>264</v>
      </c>
      <c r="Q74" s="29" t="s">
        <v>265</v>
      </c>
      <c r="R74" s="27" t="s">
        <v>1150</v>
      </c>
      <c r="S74" s="27"/>
    </row>
    <row r="75" spans="1:19" ht="24" customHeight="1">
      <c r="A75" s="27"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EVT-2026-0572</v>
      </c>
      <c r="B75" s="30">
        <v>46167</v>
      </c>
      <c r="C75" s="27" t="s">
        <v>224</v>
      </c>
      <c r="D75" s="27" t="s">
        <v>228</v>
      </c>
      <c r="E75" s="27" t="s">
        <v>1151</v>
      </c>
      <c r="F75" s="27" t="s">
        <v>1152</v>
      </c>
      <c r="G75" s="10">
        <v>100</v>
      </c>
      <c r="H75" s="38" t="s">
        <v>294</v>
      </c>
      <c r="I75" s="37" t="s">
        <v>429</v>
      </c>
      <c r="J75" s="37" t="s">
        <v>354</v>
      </c>
      <c r="K75" s="27" t="s">
        <v>1153</v>
      </c>
      <c r="L75" s="27"/>
      <c r="M75" s="27" t="s">
        <v>355</v>
      </c>
      <c r="N75" s="27"/>
      <c r="O75" s="27"/>
      <c r="P75" s="1" t="s">
        <v>264</v>
      </c>
      <c r="Q75" s="29" t="s">
        <v>265</v>
      </c>
      <c r="R75" s="27" t="s">
        <v>1154</v>
      </c>
      <c r="S75" s="27"/>
    </row>
    <row r="76" spans="1:19" ht="24" customHeight="1">
      <c r="A76" s="27"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EVT-2026-0573</v>
      </c>
      <c r="B76" s="30">
        <v>46168</v>
      </c>
      <c r="C76" s="27" t="s">
        <v>227</v>
      </c>
      <c r="D76" s="27" t="s">
        <v>202</v>
      </c>
      <c r="E76" s="27" t="s">
        <v>239</v>
      </c>
      <c r="F76" s="27" t="s">
        <v>1155</v>
      </c>
      <c r="G76" s="10">
        <v>200</v>
      </c>
      <c r="H76" s="38" t="s">
        <v>294</v>
      </c>
      <c r="I76" s="37" t="s">
        <v>309</v>
      </c>
      <c r="J76" s="37" t="s">
        <v>296</v>
      </c>
      <c r="K76" s="27"/>
      <c r="L76" s="27"/>
      <c r="M76" s="27" t="s">
        <v>811</v>
      </c>
      <c r="N76" s="27"/>
      <c r="O76" s="30" t="s">
        <v>2272</v>
      </c>
      <c r="P76" s="3" t="s">
        <v>312</v>
      </c>
      <c r="Q76" s="29" t="s">
        <v>265</v>
      </c>
      <c r="R76" s="27" t="s">
        <v>298</v>
      </c>
      <c r="S76" s="27"/>
    </row>
    <row r="77" spans="1:19" ht="24" customHeight="1">
      <c r="A77" s="27"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EVT-2026-0574</v>
      </c>
      <c r="B77" s="30">
        <v>46168</v>
      </c>
      <c r="C77" s="27" t="s">
        <v>227</v>
      </c>
      <c r="D77" s="27" t="s">
        <v>208</v>
      </c>
      <c r="E77" s="27" t="s">
        <v>125</v>
      </c>
      <c r="F77" s="27" t="s">
        <v>1156</v>
      </c>
      <c r="G77" s="10">
        <v>33</v>
      </c>
      <c r="H77" s="36" t="s">
        <v>263</v>
      </c>
      <c r="I77" s="37" t="s">
        <v>506</v>
      </c>
      <c r="J77" s="37" t="s">
        <v>354</v>
      </c>
      <c r="K77" s="27"/>
      <c r="L77" s="27"/>
      <c r="M77" s="27" t="s">
        <v>1157</v>
      </c>
      <c r="N77" s="27"/>
      <c r="O77" s="27"/>
      <c r="P77" s="1" t="s">
        <v>264</v>
      </c>
      <c r="Q77" s="29" t="s">
        <v>265</v>
      </c>
      <c r="R77" s="27" t="s">
        <v>298</v>
      </c>
      <c r="S77" s="27"/>
    </row>
    <row r="78" spans="1:19" ht="24" customHeight="1">
      <c r="A78" s="27"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EVT-2026-0575</v>
      </c>
      <c r="B78" s="30">
        <v>46168</v>
      </c>
      <c r="C78" s="27" t="s">
        <v>227</v>
      </c>
      <c r="D78" s="27" t="s">
        <v>208</v>
      </c>
      <c r="E78" s="27" t="s">
        <v>348</v>
      </c>
      <c r="F78" s="27" t="s">
        <v>349</v>
      </c>
      <c r="G78" s="10">
        <v>50</v>
      </c>
      <c r="H78" s="36" t="s">
        <v>263</v>
      </c>
      <c r="I78" s="37" t="s">
        <v>350</v>
      </c>
      <c r="J78" s="37" t="s">
        <v>296</v>
      </c>
      <c r="K78" s="27"/>
      <c r="L78" s="27"/>
      <c r="M78" s="27" t="s">
        <v>1080</v>
      </c>
      <c r="N78" s="27"/>
      <c r="O78" s="30">
        <v>46008</v>
      </c>
      <c r="P78" s="1" t="s">
        <v>264</v>
      </c>
      <c r="Q78" s="29" t="s">
        <v>265</v>
      </c>
      <c r="R78" s="27" t="s">
        <v>303</v>
      </c>
      <c r="S78" s="27"/>
    </row>
    <row r="79" spans="1:19" ht="24" customHeight="1">
      <c r="A79" s="27"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EVT-2026-0576</v>
      </c>
      <c r="B79" s="30">
        <v>46169</v>
      </c>
      <c r="C79" s="27" t="s">
        <v>201</v>
      </c>
      <c r="D79" s="27" t="s">
        <v>208</v>
      </c>
      <c r="E79" s="27" t="s">
        <v>348</v>
      </c>
      <c r="F79" s="27" t="s">
        <v>1158</v>
      </c>
      <c r="G79" s="10">
        <v>20</v>
      </c>
      <c r="H79" s="36" t="s">
        <v>263</v>
      </c>
      <c r="I79" s="37" t="s">
        <v>330</v>
      </c>
      <c r="J79" s="37" t="s">
        <v>331</v>
      </c>
      <c r="K79" s="27"/>
      <c r="L79" s="27"/>
      <c r="M79" s="27" t="s">
        <v>1159</v>
      </c>
      <c r="N79" s="27"/>
      <c r="O79" s="27"/>
      <c r="P79" s="1" t="s">
        <v>264</v>
      </c>
      <c r="Q79" s="29" t="s">
        <v>265</v>
      </c>
      <c r="R79" s="27"/>
      <c r="S79" s="27"/>
    </row>
    <row r="80" spans="1:19" ht="24" customHeight="1">
      <c r="A80" s="27"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EVT-2026-0577</v>
      </c>
      <c r="B80" s="30">
        <v>46169</v>
      </c>
      <c r="C80" s="27" t="s">
        <v>201</v>
      </c>
      <c r="D80" s="27" t="s">
        <v>208</v>
      </c>
      <c r="E80" s="27" t="s">
        <v>348</v>
      </c>
      <c r="F80" s="27" t="s">
        <v>349</v>
      </c>
      <c r="G80" s="10">
        <v>50</v>
      </c>
      <c r="H80" s="36" t="s">
        <v>263</v>
      </c>
      <c r="I80" s="37" t="s">
        <v>350</v>
      </c>
      <c r="J80" s="37" t="s">
        <v>296</v>
      </c>
      <c r="K80" s="27"/>
      <c r="L80" s="27"/>
      <c r="M80" s="27" t="s">
        <v>1080</v>
      </c>
      <c r="N80" s="27"/>
      <c r="O80" s="30">
        <v>46008</v>
      </c>
      <c r="P80" s="1" t="s">
        <v>264</v>
      </c>
      <c r="Q80" s="29" t="s">
        <v>265</v>
      </c>
      <c r="R80" s="27" t="s">
        <v>303</v>
      </c>
      <c r="S80" s="27"/>
    </row>
    <row r="81" spans="1:19" ht="24" customHeight="1">
      <c r="A81" s="27"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EVT-2026-0578</v>
      </c>
      <c r="B81" s="30">
        <v>46170</v>
      </c>
      <c r="C81" s="27" t="s">
        <v>216</v>
      </c>
      <c r="D81" s="27" t="s">
        <v>228</v>
      </c>
      <c r="E81" s="27" t="s">
        <v>125</v>
      </c>
      <c r="F81" s="27" t="s">
        <v>1160</v>
      </c>
      <c r="G81" s="10">
        <v>80</v>
      </c>
      <c r="H81" s="36" t="s">
        <v>263</v>
      </c>
      <c r="I81" s="37" t="s">
        <v>274</v>
      </c>
      <c r="J81" s="37" t="s">
        <v>354</v>
      </c>
      <c r="K81" s="27"/>
      <c r="L81" s="27"/>
      <c r="M81" s="27" t="s">
        <v>379</v>
      </c>
      <c r="N81" s="27"/>
      <c r="O81" s="30">
        <v>46141</v>
      </c>
      <c r="P81" s="1" t="s">
        <v>264</v>
      </c>
      <c r="Q81" s="29" t="s">
        <v>265</v>
      </c>
      <c r="R81" s="27" t="s">
        <v>298</v>
      </c>
      <c r="S81" s="27"/>
    </row>
    <row r="82" spans="1:19" ht="24" customHeight="1">
      <c r="A82" s="27"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EVT-2026-0579</v>
      </c>
      <c r="B82" s="30">
        <v>46170</v>
      </c>
      <c r="C82" s="27" t="s">
        <v>216</v>
      </c>
      <c r="D82" s="27" t="s">
        <v>1161</v>
      </c>
      <c r="E82" s="27" t="s">
        <v>239</v>
      </c>
      <c r="F82" s="27"/>
      <c r="G82" s="10"/>
      <c r="H82" s="36" t="s">
        <v>263</v>
      </c>
      <c r="I82" s="37" t="s">
        <v>274</v>
      </c>
      <c r="J82" s="37" t="s">
        <v>330</v>
      </c>
      <c r="K82" s="27"/>
      <c r="L82" s="27"/>
      <c r="M82" s="27" t="s">
        <v>916</v>
      </c>
      <c r="N82" s="27"/>
      <c r="O82" s="27"/>
      <c r="P82" s="1" t="s">
        <v>264</v>
      </c>
      <c r="Q82" s="29" t="s">
        <v>265</v>
      </c>
      <c r="R82" s="27" t="s">
        <v>298</v>
      </c>
      <c r="S82" s="27"/>
    </row>
    <row r="83" spans="1:19" ht="24" customHeight="1">
      <c r="A83" s="27"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EVT-2026-0580</v>
      </c>
      <c r="B83" s="30">
        <v>46170</v>
      </c>
      <c r="C83" s="27" t="s">
        <v>216</v>
      </c>
      <c r="D83" s="27" t="s">
        <v>228</v>
      </c>
      <c r="E83" s="27" t="s">
        <v>125</v>
      </c>
      <c r="F83" s="27" t="s">
        <v>658</v>
      </c>
      <c r="G83" s="10">
        <v>50</v>
      </c>
      <c r="H83" s="36" t="s">
        <v>263</v>
      </c>
      <c r="I83" s="37" t="s">
        <v>359</v>
      </c>
      <c r="J83" s="37" t="s">
        <v>290</v>
      </c>
      <c r="K83" s="27" t="s">
        <v>1162</v>
      </c>
      <c r="L83" s="27"/>
      <c r="M83" s="27" t="s">
        <v>1163</v>
      </c>
      <c r="N83" s="27"/>
      <c r="O83" s="27"/>
      <c r="P83" s="1" t="s">
        <v>264</v>
      </c>
      <c r="Q83" s="29" t="s">
        <v>265</v>
      </c>
      <c r="R83" s="27" t="s">
        <v>298</v>
      </c>
      <c r="S83" s="27"/>
    </row>
    <row r="84" spans="1:19" ht="24" customHeight="1">
      <c r="A84" s="27"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EVT-2026-0581</v>
      </c>
      <c r="B84" s="30">
        <v>46170</v>
      </c>
      <c r="C84" s="27" t="s">
        <v>216</v>
      </c>
      <c r="D84" s="27" t="s">
        <v>208</v>
      </c>
      <c r="E84" s="27" t="s">
        <v>348</v>
      </c>
      <c r="F84" s="27" t="s">
        <v>1164</v>
      </c>
      <c r="G84" s="10">
        <v>60</v>
      </c>
      <c r="H84" s="36" t="s">
        <v>263</v>
      </c>
      <c r="I84" s="37" t="s">
        <v>338</v>
      </c>
      <c r="J84" s="37" t="s">
        <v>506</v>
      </c>
      <c r="K84" s="27"/>
      <c r="L84" s="27"/>
      <c r="M84" s="27" t="s">
        <v>507</v>
      </c>
      <c r="N84" s="27"/>
      <c r="O84" s="30" t="s">
        <v>2273</v>
      </c>
      <c r="P84" s="1" t="s">
        <v>264</v>
      </c>
      <c r="Q84" s="29" t="s">
        <v>265</v>
      </c>
      <c r="R84" s="27" t="s">
        <v>298</v>
      </c>
      <c r="S84" s="27"/>
    </row>
    <row r="85" spans="1:19" ht="24" customHeight="1">
      <c r="A85" s="27"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EVT-2026-0582</v>
      </c>
      <c r="B85" s="30">
        <v>46170</v>
      </c>
      <c r="C85" s="27" t="s">
        <v>216</v>
      </c>
      <c r="D85" s="27" t="s">
        <v>208</v>
      </c>
      <c r="E85" s="27" t="s">
        <v>348</v>
      </c>
      <c r="F85" s="27" t="s">
        <v>1144</v>
      </c>
      <c r="G85" s="10">
        <v>35</v>
      </c>
      <c r="H85" s="36" t="s">
        <v>263</v>
      </c>
      <c r="I85" s="37" t="s">
        <v>330</v>
      </c>
      <c r="J85" s="37" t="s">
        <v>275</v>
      </c>
      <c r="K85" s="27"/>
      <c r="L85" s="27"/>
      <c r="M85" s="27" t="s">
        <v>865</v>
      </c>
      <c r="N85" s="27"/>
      <c r="O85" s="27"/>
      <c r="P85" s="1" t="s">
        <v>264</v>
      </c>
      <c r="Q85" s="29" t="s">
        <v>265</v>
      </c>
      <c r="R85" s="27" t="s">
        <v>298</v>
      </c>
      <c r="S85" s="27"/>
    </row>
    <row r="86" spans="1:19" ht="24" customHeight="1">
      <c r="A86" s="27"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EVT-2026-0583</v>
      </c>
      <c r="B86" s="30">
        <v>46170</v>
      </c>
      <c r="C86" s="27" t="s">
        <v>216</v>
      </c>
      <c r="D86" s="27" t="s">
        <v>208</v>
      </c>
      <c r="E86" s="27" t="s">
        <v>348</v>
      </c>
      <c r="F86" s="27" t="s">
        <v>349</v>
      </c>
      <c r="G86" s="10">
        <v>50</v>
      </c>
      <c r="H86" s="36" t="s">
        <v>263</v>
      </c>
      <c r="I86" s="37" t="s">
        <v>350</v>
      </c>
      <c r="J86" s="37" t="s">
        <v>296</v>
      </c>
      <c r="K86" s="27"/>
      <c r="L86" s="27"/>
      <c r="M86" s="27" t="s">
        <v>1080</v>
      </c>
      <c r="N86" s="27"/>
      <c r="O86" s="30">
        <v>46008</v>
      </c>
      <c r="P86" s="1" t="s">
        <v>264</v>
      </c>
      <c r="Q86" s="29" t="s">
        <v>265</v>
      </c>
      <c r="R86" s="27" t="s">
        <v>303</v>
      </c>
      <c r="S86" s="27"/>
    </row>
    <row r="87" spans="1:19" ht="24" customHeight="1">
      <c r="A87" s="27"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EVT-2026-0584</v>
      </c>
      <c r="B87" s="30">
        <v>46171</v>
      </c>
      <c r="C87" s="27" t="s">
        <v>220</v>
      </c>
      <c r="D87" s="27" t="s">
        <v>208</v>
      </c>
      <c r="E87" s="27" t="s">
        <v>348</v>
      </c>
      <c r="F87" s="27" t="s">
        <v>1165</v>
      </c>
      <c r="G87" s="10">
        <v>100</v>
      </c>
      <c r="H87" s="38" t="s">
        <v>294</v>
      </c>
      <c r="I87" s="37" t="s">
        <v>275</v>
      </c>
      <c r="J87" s="37" t="s">
        <v>289</v>
      </c>
      <c r="K87" s="27"/>
      <c r="L87" s="27"/>
      <c r="M87" s="27" t="s">
        <v>916</v>
      </c>
      <c r="N87" s="27"/>
      <c r="O87" s="27"/>
      <c r="P87" s="1" t="s">
        <v>264</v>
      </c>
      <c r="Q87" s="29" t="s">
        <v>265</v>
      </c>
      <c r="R87" s="27" t="s">
        <v>1166</v>
      </c>
      <c r="S87" s="27"/>
    </row>
    <row r="88" spans="1:19" ht="24" customHeight="1">
      <c r="A88" s="27"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EVT-2026-0585</v>
      </c>
      <c r="B88" s="30">
        <v>46171</v>
      </c>
      <c r="C88" s="27" t="s">
        <v>220</v>
      </c>
      <c r="D88" s="27" t="s">
        <v>228</v>
      </c>
      <c r="E88" s="27" t="s">
        <v>125</v>
      </c>
      <c r="F88" s="27" t="s">
        <v>125</v>
      </c>
      <c r="G88" s="10">
        <v>40</v>
      </c>
      <c r="H88" s="36" t="s">
        <v>263</v>
      </c>
      <c r="I88" s="37" t="s">
        <v>274</v>
      </c>
      <c r="J88" s="37" t="s">
        <v>330</v>
      </c>
      <c r="K88" s="27"/>
      <c r="L88" s="27"/>
      <c r="M88" s="27" t="s">
        <v>379</v>
      </c>
      <c r="N88" s="27"/>
      <c r="O88" s="30" t="s">
        <v>2274</v>
      </c>
      <c r="P88" s="1" t="s">
        <v>264</v>
      </c>
      <c r="Q88" s="29" t="s">
        <v>265</v>
      </c>
      <c r="R88" s="27" t="s">
        <v>298</v>
      </c>
      <c r="S88" s="27"/>
    </row>
    <row r="89" spans="1:19" ht="24" customHeight="1">
      <c r="A89" s="27"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EVT-2026-0586</v>
      </c>
      <c r="B89" s="30">
        <v>46171</v>
      </c>
      <c r="C89" s="27" t="s">
        <v>220</v>
      </c>
      <c r="D89" s="27" t="s">
        <v>228</v>
      </c>
      <c r="E89" s="27" t="s">
        <v>125</v>
      </c>
      <c r="F89" s="27" t="s">
        <v>1167</v>
      </c>
      <c r="G89" s="10">
        <v>35</v>
      </c>
      <c r="H89" s="36" t="s">
        <v>263</v>
      </c>
      <c r="I89" s="37" t="s">
        <v>331</v>
      </c>
      <c r="J89" s="37" t="s">
        <v>1168</v>
      </c>
      <c r="K89" s="27" t="s">
        <v>1169</v>
      </c>
      <c r="L89" s="27"/>
      <c r="M89" s="27" t="s">
        <v>1170</v>
      </c>
      <c r="N89" s="27"/>
      <c r="O89" s="27"/>
      <c r="P89" s="1" t="s">
        <v>264</v>
      </c>
      <c r="Q89" s="29" t="s">
        <v>265</v>
      </c>
      <c r="R89" s="27" t="s">
        <v>307</v>
      </c>
      <c r="S89" s="27"/>
    </row>
    <row r="90" spans="1:19" ht="24" customHeight="1">
      <c r="A90" s="27"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EVT-2026-0587</v>
      </c>
      <c r="B90" s="30">
        <v>46171</v>
      </c>
      <c r="C90" s="27" t="s">
        <v>220</v>
      </c>
      <c r="D90" s="27" t="s">
        <v>202</v>
      </c>
      <c r="E90" s="27" t="s">
        <v>239</v>
      </c>
      <c r="F90" s="27"/>
      <c r="G90" s="10"/>
      <c r="H90" s="36" t="s">
        <v>263</v>
      </c>
      <c r="I90" s="37"/>
      <c r="J90" s="37"/>
      <c r="K90" s="27"/>
      <c r="L90" s="27"/>
      <c r="M90" s="27"/>
      <c r="N90" s="27"/>
      <c r="O90" s="27"/>
      <c r="P90" s="1" t="s">
        <v>264</v>
      </c>
      <c r="Q90" s="29" t="s">
        <v>265</v>
      </c>
      <c r="R90" s="27"/>
      <c r="S90" s="27"/>
    </row>
    <row r="91" spans="1:19" ht="24" customHeight="1">
      <c r="A91" s="27"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EVT-2026-0588</v>
      </c>
      <c r="B91" s="30">
        <v>46171</v>
      </c>
      <c r="C91" s="27" t="s">
        <v>220</v>
      </c>
      <c r="D91" s="27" t="s">
        <v>208</v>
      </c>
      <c r="E91" s="27" t="s">
        <v>348</v>
      </c>
      <c r="F91" s="27" t="s">
        <v>1171</v>
      </c>
      <c r="G91" s="10"/>
      <c r="H91" s="36" t="s">
        <v>263</v>
      </c>
      <c r="I91" s="37" t="s">
        <v>274</v>
      </c>
      <c r="J91" s="37" t="s">
        <v>331</v>
      </c>
      <c r="K91" s="27"/>
      <c r="L91" s="27"/>
      <c r="M91" s="27" t="s">
        <v>1172</v>
      </c>
      <c r="N91" s="27"/>
      <c r="O91" s="27"/>
      <c r="P91" s="1" t="s">
        <v>264</v>
      </c>
      <c r="Q91" s="29" t="s">
        <v>265</v>
      </c>
      <c r="R91" s="27" t="s">
        <v>1173</v>
      </c>
      <c r="S91" s="27"/>
    </row>
    <row r="92" spans="1:19" ht="24" customHeight="1">
      <c r="A92" s="27"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92" s="30">
        <v>46172</v>
      </c>
      <c r="C92" s="27" t="s">
        <v>266</v>
      </c>
      <c r="D92" s="27"/>
      <c r="E92" s="27"/>
      <c r="F92" s="27"/>
      <c r="G92" s="10"/>
      <c r="H92" s="36" t="s">
        <v>263</v>
      </c>
      <c r="I92" s="37"/>
      <c r="J92" s="37"/>
      <c r="K92" s="27"/>
      <c r="L92" s="27"/>
      <c r="M92" s="27"/>
      <c r="N92" s="27"/>
      <c r="O92" s="27"/>
      <c r="P92" s="1" t="s">
        <v>264</v>
      </c>
      <c r="Q92" s="29" t="s">
        <v>265</v>
      </c>
      <c r="R92" s="27"/>
      <c r="S92" s="27"/>
    </row>
    <row r="93" spans="1:19" ht="24" customHeight="1">
      <c r="A93" s="27"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
      </c>
      <c r="B93" s="30">
        <v>46173</v>
      </c>
      <c r="C93" s="27" t="s">
        <v>267</v>
      </c>
      <c r="D93" s="27"/>
      <c r="E93" s="27"/>
      <c r="F93" s="27"/>
      <c r="G93" s="10"/>
      <c r="H93" s="36" t="s">
        <v>263</v>
      </c>
      <c r="I93" s="37"/>
      <c r="J93" s="37"/>
      <c r="K93" s="27"/>
      <c r="L93" s="27"/>
      <c r="M93" s="27"/>
      <c r="N93" s="27"/>
      <c r="O93" s="27"/>
      <c r="P93" s="1" t="s">
        <v>264</v>
      </c>
      <c r="Q93" s="29" t="s">
        <v>265</v>
      </c>
      <c r="R93" s="27"/>
      <c r="S93" s="27"/>
    </row>
    <row r="94" spans="1:19" ht="24" customHeight="1">
      <c r="A94" s="27"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EVT-2026-0589</v>
      </c>
      <c r="B94" s="30">
        <v>46173</v>
      </c>
      <c r="C94" s="27" t="s">
        <v>267</v>
      </c>
      <c r="D94" s="27"/>
      <c r="E94" s="27"/>
      <c r="F94" s="27" t="s">
        <v>1174</v>
      </c>
      <c r="G94" s="10">
        <f>SUM(F3:F93)</f>
        <v>0</v>
      </c>
      <c r="H94" s="36" t="s">
        <v>263</v>
      </c>
      <c r="I94" s="37"/>
      <c r="J94" s="37"/>
      <c r="K94" s="27"/>
      <c r="L94" s="27"/>
      <c r="M94" s="27"/>
      <c r="N94" s="27"/>
      <c r="O94" s="27"/>
      <c r="P94" s="1" t="s">
        <v>264</v>
      </c>
      <c r="Q94" s="29" t="s">
        <v>265</v>
      </c>
      <c r="R94" s="27"/>
      <c r="S94" s="27"/>
    </row>
  </sheetData>
  <mergeCells count="3">
    <mergeCell ref="O1:S1"/>
    <mergeCell ref="A1:C1"/>
    <mergeCell ref="D1:N1"/>
  </mergeCells>
  <dataValidations count="4">
    <dataValidation type="list" allowBlank="1" sqref="O3:O500 P3:P94" xr:uid="{00000000-0002-0000-0B00-000000000000}">
      <formula1>"Confirmed (Done),Pending Calendar Booking,Canceled"</formula1>
    </dataValidation>
    <dataValidation type="list" allowBlank="1" sqref="P3:P144" xr:uid="{00000000-0002-0000-0B00-000001000000}">
      <formula1>"Form sent,NA"</formula1>
    </dataValidation>
    <dataValidation type="list" allowBlank="1" sqref="Q3:Q94" xr:uid="{00000000-0002-0000-0B00-000002000000}">
      <formula1>"Form sent,Not Required,NA"</formula1>
    </dataValidation>
    <dataValidation type="list" allowBlank="1" sqref="H3:H94" xr:uid="{00000000-0002-0000-0B00-000003000000}">
      <formula1>"Big Event,Small Event"</formula1>
    </dataValidation>
  </dataValidations>
  <hyperlinks>
    <hyperlink ref="A1" location="'Dashboard'!A1" display="🏠 ⮌ RETURN TO DASHBOARD"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50"/>
  <sheetViews>
    <sheetView topLeftCell="A7" workbookViewId="0">
      <pane ySplit="2" topLeftCell="A3" activePane="bottomLeft" state="frozen"/>
      <selection pane="bottomLeft" activeCell="D45" sqref="D45"/>
    </sheetView>
  </sheetViews>
  <sheetFormatPr defaultRowHeight="14.45"/>
  <cols>
    <col min="1" max="1" width="18" bestFit="1" customWidth="1"/>
    <col min="2" max="2" width="15" bestFit="1" customWidth="1"/>
    <col min="3" max="3" width="12" bestFit="1" customWidth="1"/>
    <col min="4" max="4" width="28" bestFit="1" customWidth="1"/>
    <col min="5" max="5" width="48" bestFit="1" customWidth="1"/>
    <col min="6" max="6" width="18" bestFit="1" customWidth="1"/>
    <col min="7" max="7" width="15" bestFit="1" customWidth="1"/>
    <col min="8" max="8" width="19" bestFit="1" customWidth="1"/>
    <col min="9" max="9" width="17" bestFit="1" customWidth="1"/>
    <col min="10" max="10" width="18" bestFit="1" customWidth="1"/>
    <col min="11" max="11" width="41" bestFit="1" customWidth="1"/>
    <col min="12" max="12" width="39" bestFit="1" customWidth="1"/>
    <col min="13" max="13" width="25" bestFit="1" customWidth="1"/>
    <col min="14" max="14" width="15" bestFit="1" customWidth="1"/>
    <col min="15" max="15" width="25" bestFit="1" customWidth="1"/>
    <col min="16" max="16" width="18" bestFit="1" customWidth="1"/>
    <col min="17" max="17" width="48" bestFit="1" customWidth="1"/>
    <col min="18" max="18" width="19" customWidth="1"/>
  </cols>
  <sheetData>
    <row r="1" spans="1:18" ht="27.95" customHeight="1">
      <c r="A1" s="62" t="s">
        <v>2138</v>
      </c>
      <c r="B1" s="134"/>
      <c r="C1" s="135"/>
      <c r="D1" s="63" t="s">
        <v>2275</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EVT-2026-0590</v>
      </c>
      <c r="B3" s="30">
        <v>46174</v>
      </c>
      <c r="C3" s="27" t="s">
        <v>224</v>
      </c>
      <c r="D3" s="27" t="s">
        <v>1175</v>
      </c>
      <c r="E3" s="27" t="s">
        <v>236</v>
      </c>
      <c r="F3" s="10">
        <v>45</v>
      </c>
      <c r="G3" s="36" t="s">
        <v>263</v>
      </c>
      <c r="H3" s="37" t="s">
        <v>269</v>
      </c>
      <c r="I3" s="37" t="s">
        <v>270</v>
      </c>
      <c r="J3" s="27"/>
      <c r="K3" s="27"/>
      <c r="L3" s="27" t="s">
        <v>237</v>
      </c>
      <c r="M3" s="27"/>
      <c r="N3" s="27"/>
      <c r="O3" s="1" t="s">
        <v>264</v>
      </c>
      <c r="P3" s="29" t="s">
        <v>265</v>
      </c>
      <c r="Q3" s="27" t="s">
        <v>298</v>
      </c>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EVT-2026-0591</v>
      </c>
      <c r="B4" s="30">
        <v>46175</v>
      </c>
      <c r="C4" s="27" t="s">
        <v>227</v>
      </c>
      <c r="D4" s="27" t="s">
        <v>937</v>
      </c>
      <c r="E4" s="27" t="s">
        <v>1167</v>
      </c>
      <c r="F4" s="10">
        <v>30</v>
      </c>
      <c r="G4" s="36" t="s">
        <v>263</v>
      </c>
      <c r="H4" s="37" t="s">
        <v>295</v>
      </c>
      <c r="I4" s="37" t="s">
        <v>359</v>
      </c>
      <c r="J4" s="27" t="s">
        <v>531</v>
      </c>
      <c r="K4" s="27" t="s">
        <v>531</v>
      </c>
      <c r="L4" s="27" t="s">
        <v>1176</v>
      </c>
      <c r="M4" s="27"/>
      <c r="N4" s="30" t="s">
        <v>2276</v>
      </c>
      <c r="O4" s="1" t="s">
        <v>264</v>
      </c>
      <c r="P4" s="29" t="s">
        <v>265</v>
      </c>
      <c r="Q4" s="27" t="s">
        <v>1177</v>
      </c>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EVT-2026-0592</v>
      </c>
      <c r="B5" s="30">
        <v>46175</v>
      </c>
      <c r="C5" s="27" t="s">
        <v>227</v>
      </c>
      <c r="D5" s="27" t="s">
        <v>1178</v>
      </c>
      <c r="E5" s="27"/>
      <c r="F5" s="10"/>
      <c r="G5" s="36" t="s">
        <v>263</v>
      </c>
      <c r="H5" s="37"/>
      <c r="I5" s="37"/>
      <c r="J5" s="27"/>
      <c r="K5" s="27"/>
      <c r="L5" s="27"/>
      <c r="M5" s="27"/>
      <c r="N5" s="27"/>
      <c r="O5" s="1" t="s">
        <v>264</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EVT-2026-0593</v>
      </c>
      <c r="B6" s="30">
        <v>46177</v>
      </c>
      <c r="C6" s="27" t="s">
        <v>216</v>
      </c>
      <c r="D6" s="27" t="s">
        <v>171</v>
      </c>
      <c r="E6" s="27" t="s">
        <v>1179</v>
      </c>
      <c r="F6" s="10">
        <v>30</v>
      </c>
      <c r="G6" s="36" t="s">
        <v>263</v>
      </c>
      <c r="H6" s="37" t="s">
        <v>295</v>
      </c>
      <c r="I6" s="37" t="s">
        <v>270</v>
      </c>
      <c r="J6" s="27"/>
      <c r="K6" s="27"/>
      <c r="L6" s="27" t="s">
        <v>237</v>
      </c>
      <c r="M6" s="27"/>
      <c r="N6" s="27"/>
      <c r="O6" s="1" t="s">
        <v>264</v>
      </c>
      <c r="P6" s="29" t="s">
        <v>265</v>
      </c>
      <c r="Q6" s="27" t="s">
        <v>1180</v>
      </c>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EVT-2026-0594</v>
      </c>
      <c r="B7" s="30">
        <v>46179</v>
      </c>
      <c r="C7" s="27" t="s">
        <v>266</v>
      </c>
      <c r="D7" s="27" t="s">
        <v>300</v>
      </c>
      <c r="E7" s="27" t="s">
        <v>300</v>
      </c>
      <c r="F7" s="10">
        <v>70</v>
      </c>
      <c r="G7" s="36" t="s">
        <v>263</v>
      </c>
      <c r="H7" s="37" t="s">
        <v>269</v>
      </c>
      <c r="I7" s="37" t="s">
        <v>270</v>
      </c>
      <c r="J7" s="27"/>
      <c r="K7" s="27"/>
      <c r="L7" s="27" t="s">
        <v>1025</v>
      </c>
      <c r="M7" s="27"/>
      <c r="N7" s="27"/>
      <c r="O7" s="3" t="s">
        <v>312</v>
      </c>
      <c r="P7" s="29" t="s">
        <v>265</v>
      </c>
      <c r="Q7" s="27" t="s">
        <v>1181</v>
      </c>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8" s="30">
        <v>46180</v>
      </c>
      <c r="C8" s="27" t="s">
        <v>267</v>
      </c>
      <c r="D8" s="27"/>
      <c r="E8" s="27"/>
      <c r="F8" s="10"/>
      <c r="G8" s="36" t="s">
        <v>263</v>
      </c>
      <c r="H8" s="37"/>
      <c r="I8" s="37"/>
      <c r="J8" s="27"/>
      <c r="K8" s="27"/>
      <c r="L8" s="27"/>
      <c r="M8" s="27"/>
      <c r="N8" s="27"/>
      <c r="O8" s="1" t="s">
        <v>264</v>
      </c>
      <c r="P8" s="29" t="s">
        <v>265</v>
      </c>
      <c r="Q8" s="27"/>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EVT-2026-0595</v>
      </c>
      <c r="B9" s="30">
        <v>46181</v>
      </c>
      <c r="C9" s="27" t="s">
        <v>224</v>
      </c>
      <c r="D9" s="27" t="s">
        <v>1182</v>
      </c>
      <c r="E9" s="27" t="s">
        <v>1183</v>
      </c>
      <c r="F9" s="10">
        <v>25</v>
      </c>
      <c r="G9" s="36" t="s">
        <v>263</v>
      </c>
      <c r="H9" s="37" t="s">
        <v>354</v>
      </c>
      <c r="I9" s="37" t="s">
        <v>275</v>
      </c>
      <c r="J9" s="27" t="s">
        <v>531</v>
      </c>
      <c r="K9" s="27" t="s">
        <v>531</v>
      </c>
      <c r="L9" s="27" t="s">
        <v>1184</v>
      </c>
      <c r="M9" s="27"/>
      <c r="N9" s="27"/>
      <c r="O9" s="1" t="s">
        <v>264</v>
      </c>
      <c r="P9" s="29" t="s">
        <v>265</v>
      </c>
      <c r="Q9" s="27" t="s">
        <v>1185</v>
      </c>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EVT-2026-0596</v>
      </c>
      <c r="B10" s="30">
        <v>46181</v>
      </c>
      <c r="C10" s="27" t="s">
        <v>224</v>
      </c>
      <c r="D10" s="27" t="s">
        <v>1186</v>
      </c>
      <c r="E10" s="27" t="s">
        <v>1187</v>
      </c>
      <c r="F10" s="10">
        <v>31</v>
      </c>
      <c r="G10" s="36" t="s">
        <v>263</v>
      </c>
      <c r="H10" s="37" t="s">
        <v>269</v>
      </c>
      <c r="I10" s="37" t="s">
        <v>270</v>
      </c>
      <c r="J10" s="27" t="s">
        <v>531</v>
      </c>
      <c r="K10" s="27" t="s">
        <v>531</v>
      </c>
      <c r="L10" s="27" t="s">
        <v>237</v>
      </c>
      <c r="M10" s="27"/>
      <c r="N10" s="27"/>
      <c r="O10" s="1" t="s">
        <v>264</v>
      </c>
      <c r="P10" s="29" t="s">
        <v>265</v>
      </c>
      <c r="Q10" s="27" t="s">
        <v>1185</v>
      </c>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EVT-2026-0597</v>
      </c>
      <c r="B11" s="30">
        <v>46182</v>
      </c>
      <c r="C11" s="27" t="s">
        <v>227</v>
      </c>
      <c r="D11" s="27" t="s">
        <v>171</v>
      </c>
      <c r="E11" s="27" t="s">
        <v>895</v>
      </c>
      <c r="F11" s="10">
        <v>60</v>
      </c>
      <c r="G11" s="36" t="s">
        <v>263</v>
      </c>
      <c r="H11" s="37" t="s">
        <v>896</v>
      </c>
      <c r="I11" s="37" t="s">
        <v>981</v>
      </c>
      <c r="J11" s="27"/>
      <c r="K11" s="27"/>
      <c r="L11" s="27" t="s">
        <v>785</v>
      </c>
      <c r="M11" s="27"/>
      <c r="N11" s="27"/>
      <c r="O11" s="1" t="s">
        <v>264</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EVT-2026-0598</v>
      </c>
      <c r="B12" s="30">
        <v>46183</v>
      </c>
      <c r="C12" s="27" t="s">
        <v>201</v>
      </c>
      <c r="D12" s="27" t="s">
        <v>1188</v>
      </c>
      <c r="E12" s="27" t="s">
        <v>1118</v>
      </c>
      <c r="F12" s="10">
        <v>30</v>
      </c>
      <c r="G12" s="36" t="s">
        <v>263</v>
      </c>
      <c r="H12" s="37" t="s">
        <v>330</v>
      </c>
      <c r="I12" s="37" t="s">
        <v>275</v>
      </c>
      <c r="J12" s="27"/>
      <c r="K12" s="27" t="s">
        <v>1189</v>
      </c>
      <c r="L12" s="27" t="s">
        <v>237</v>
      </c>
      <c r="M12" s="27"/>
      <c r="N12" s="27"/>
      <c r="O12" s="1" t="s">
        <v>264</v>
      </c>
      <c r="P12" s="29" t="s">
        <v>265</v>
      </c>
      <c r="Q12" s="27" t="s">
        <v>1190</v>
      </c>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EVT-2026-0599</v>
      </c>
      <c r="B13" s="30">
        <v>46183</v>
      </c>
      <c r="C13" s="27" t="s">
        <v>201</v>
      </c>
      <c r="D13" s="27" t="s">
        <v>171</v>
      </c>
      <c r="E13" s="27" t="s">
        <v>1191</v>
      </c>
      <c r="F13" s="10">
        <v>40</v>
      </c>
      <c r="G13" s="36" t="s">
        <v>263</v>
      </c>
      <c r="H13" s="37" t="s">
        <v>330</v>
      </c>
      <c r="I13" s="37" t="s">
        <v>309</v>
      </c>
      <c r="J13" s="27"/>
      <c r="K13" s="27"/>
      <c r="L13" s="27" t="s">
        <v>1192</v>
      </c>
      <c r="M13" s="27"/>
      <c r="N13" s="27"/>
      <c r="O13" s="1" t="s">
        <v>264</v>
      </c>
      <c r="P13" s="29" t="s">
        <v>265</v>
      </c>
      <c r="Q13" s="27" t="s">
        <v>1177</v>
      </c>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EVT-2026-0600</v>
      </c>
      <c r="B14" s="30">
        <v>46183</v>
      </c>
      <c r="C14" s="27" t="s">
        <v>201</v>
      </c>
      <c r="D14" s="27" t="s">
        <v>937</v>
      </c>
      <c r="E14" s="27" t="s">
        <v>1193</v>
      </c>
      <c r="F14" s="10">
        <v>60</v>
      </c>
      <c r="G14" s="36" t="s">
        <v>263</v>
      </c>
      <c r="H14" s="37" t="s">
        <v>289</v>
      </c>
      <c r="I14" s="37" t="s">
        <v>296</v>
      </c>
      <c r="J14" s="27"/>
      <c r="K14" s="27"/>
      <c r="L14" s="27" t="s">
        <v>1194</v>
      </c>
      <c r="M14" s="27"/>
      <c r="N14" s="27"/>
      <c r="O14" s="1" t="s">
        <v>264</v>
      </c>
      <c r="P14" s="29" t="s">
        <v>265</v>
      </c>
      <c r="Q14" s="27" t="s">
        <v>298</v>
      </c>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EVT-2026-0601</v>
      </c>
      <c r="B15" s="30">
        <v>46183</v>
      </c>
      <c r="C15" s="27" t="s">
        <v>201</v>
      </c>
      <c r="D15" s="27" t="s">
        <v>1186</v>
      </c>
      <c r="E15" s="27" t="s">
        <v>1195</v>
      </c>
      <c r="F15" s="10">
        <v>40</v>
      </c>
      <c r="G15" s="36" t="s">
        <v>263</v>
      </c>
      <c r="H15" s="37" t="s">
        <v>295</v>
      </c>
      <c r="I15" s="37" t="s">
        <v>296</v>
      </c>
      <c r="J15" s="27"/>
      <c r="K15" s="27"/>
      <c r="L15" s="27" t="s">
        <v>1196</v>
      </c>
      <c r="M15" s="27"/>
      <c r="N15" s="27"/>
      <c r="O15" s="1" t="s">
        <v>264</v>
      </c>
      <c r="P15" s="29" t="s">
        <v>265</v>
      </c>
      <c r="Q15" s="27" t="s">
        <v>1197</v>
      </c>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EVT-2026-0602</v>
      </c>
      <c r="B16" s="30">
        <v>46184</v>
      </c>
      <c r="C16" s="27" t="s">
        <v>216</v>
      </c>
      <c r="D16" s="27" t="s">
        <v>171</v>
      </c>
      <c r="E16" s="27" t="s">
        <v>344</v>
      </c>
      <c r="F16" s="10">
        <v>25</v>
      </c>
      <c r="G16" s="36" t="s">
        <v>263</v>
      </c>
      <c r="H16" s="37" t="s">
        <v>269</v>
      </c>
      <c r="I16" s="37" t="s">
        <v>270</v>
      </c>
      <c r="J16" s="27"/>
      <c r="K16" s="27"/>
      <c r="L16" s="27" t="s">
        <v>1198</v>
      </c>
      <c r="M16" s="27"/>
      <c r="N16" s="27"/>
      <c r="O16" s="1" t="s">
        <v>264</v>
      </c>
      <c r="P16" s="29" t="s">
        <v>265</v>
      </c>
      <c r="Q16" s="27" t="s">
        <v>1199</v>
      </c>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EVT-2026-0603</v>
      </c>
      <c r="B17" s="30">
        <v>46185</v>
      </c>
      <c r="C17" s="27" t="s">
        <v>220</v>
      </c>
      <c r="D17" s="27" t="s">
        <v>171</v>
      </c>
      <c r="E17" s="27" t="s">
        <v>344</v>
      </c>
      <c r="F17" s="10">
        <v>25</v>
      </c>
      <c r="G17" s="36" t="s">
        <v>263</v>
      </c>
      <c r="H17" s="37" t="s">
        <v>269</v>
      </c>
      <c r="I17" s="37" t="s">
        <v>270</v>
      </c>
      <c r="J17" s="27"/>
      <c r="K17" s="27"/>
      <c r="L17" s="27" t="s">
        <v>1198</v>
      </c>
      <c r="M17" s="27"/>
      <c r="N17" s="27"/>
      <c r="O17" s="1" t="s">
        <v>264</v>
      </c>
      <c r="P17" s="29" t="s">
        <v>265</v>
      </c>
      <c r="Q17" s="27" t="s">
        <v>1199</v>
      </c>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18" s="30">
        <v>46186</v>
      </c>
      <c r="C18" s="27" t="s">
        <v>266</v>
      </c>
      <c r="D18" s="27"/>
      <c r="E18" s="27"/>
      <c r="F18" s="10"/>
      <c r="G18" s="36" t="s">
        <v>263</v>
      </c>
      <c r="H18" s="37"/>
      <c r="I18" s="37"/>
      <c r="J18" s="27"/>
      <c r="K18" s="27"/>
      <c r="L18" s="27"/>
      <c r="M18" s="27"/>
      <c r="N18" s="27"/>
      <c r="O18" s="1" t="s">
        <v>264</v>
      </c>
      <c r="P18" s="29" t="s">
        <v>265</v>
      </c>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19" s="30">
        <v>46187</v>
      </c>
      <c r="C19" s="27" t="s">
        <v>267</v>
      </c>
      <c r="D19" s="27"/>
      <c r="E19" s="27"/>
      <c r="F19" s="10"/>
      <c r="G19" s="36" t="s">
        <v>263</v>
      </c>
      <c r="H19" s="37"/>
      <c r="I19" s="37"/>
      <c r="J19" s="27"/>
      <c r="K19" s="27"/>
      <c r="L19" s="27"/>
      <c r="M19" s="27"/>
      <c r="N19" s="27"/>
      <c r="O19" s="1" t="s">
        <v>264</v>
      </c>
      <c r="P19" s="29" t="s">
        <v>265</v>
      </c>
      <c r="Q19" s="27"/>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EVT-2026-0604</v>
      </c>
      <c r="B20" s="30">
        <v>46188</v>
      </c>
      <c r="C20" s="27" t="s">
        <v>224</v>
      </c>
      <c r="D20" s="27" t="s">
        <v>1186</v>
      </c>
      <c r="E20" s="27" t="s">
        <v>236</v>
      </c>
      <c r="F20" s="10">
        <v>40</v>
      </c>
      <c r="G20" s="36" t="s">
        <v>263</v>
      </c>
      <c r="H20" s="37" t="s">
        <v>269</v>
      </c>
      <c r="I20" s="37" t="s">
        <v>270</v>
      </c>
      <c r="J20" s="27"/>
      <c r="K20" s="27"/>
      <c r="L20" s="27" t="s">
        <v>237</v>
      </c>
      <c r="M20" s="27"/>
      <c r="N20" s="27"/>
      <c r="O20" s="1" t="s">
        <v>264</v>
      </c>
      <c r="P20" s="29" t="s">
        <v>265</v>
      </c>
      <c r="Q20" s="27" t="s">
        <v>1200</v>
      </c>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EVT-2026-0605</v>
      </c>
      <c r="B21" s="30">
        <v>46188</v>
      </c>
      <c r="C21" s="27" t="s">
        <v>224</v>
      </c>
      <c r="D21" s="27" t="s">
        <v>937</v>
      </c>
      <c r="E21" s="27" t="s">
        <v>1187</v>
      </c>
      <c r="F21" s="10">
        <v>24</v>
      </c>
      <c r="G21" s="36" t="s">
        <v>263</v>
      </c>
      <c r="H21" s="37" t="s">
        <v>269</v>
      </c>
      <c r="I21" s="37" t="s">
        <v>270</v>
      </c>
      <c r="J21" s="27" t="s">
        <v>531</v>
      </c>
      <c r="K21" s="27" t="s">
        <v>531</v>
      </c>
      <c r="L21" s="27" t="s">
        <v>1201</v>
      </c>
      <c r="M21" s="27"/>
      <c r="N21" s="27"/>
      <c r="O21" s="1" t="s">
        <v>264</v>
      </c>
      <c r="P21" s="29" t="s">
        <v>265</v>
      </c>
      <c r="Q21" s="27" t="s">
        <v>1200</v>
      </c>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EVT-2026-0606</v>
      </c>
      <c r="B22" s="30">
        <v>46189</v>
      </c>
      <c r="C22" s="27" t="s">
        <v>227</v>
      </c>
      <c r="D22" s="27" t="s">
        <v>171</v>
      </c>
      <c r="E22" s="27" t="s">
        <v>1202</v>
      </c>
      <c r="F22" s="10">
        <v>25</v>
      </c>
      <c r="G22" s="36" t="s">
        <v>263</v>
      </c>
      <c r="H22" s="37" t="s">
        <v>315</v>
      </c>
      <c r="I22" s="37" t="s">
        <v>354</v>
      </c>
      <c r="J22" s="27"/>
      <c r="K22" s="27"/>
      <c r="L22" s="27" t="s">
        <v>1203</v>
      </c>
      <c r="M22" s="27"/>
      <c r="N22" s="27"/>
      <c r="O22" s="1" t="s">
        <v>264</v>
      </c>
      <c r="P22" s="29" t="s">
        <v>265</v>
      </c>
      <c r="Q22" s="27" t="s">
        <v>1204</v>
      </c>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EVT-2026-0607</v>
      </c>
      <c r="B23" s="30">
        <v>46189</v>
      </c>
      <c r="C23" s="27" t="s">
        <v>227</v>
      </c>
      <c r="D23" s="27" t="s">
        <v>1061</v>
      </c>
      <c r="E23" s="27" t="s">
        <v>1205</v>
      </c>
      <c r="F23" s="10">
        <v>30</v>
      </c>
      <c r="G23" s="36" t="s">
        <v>263</v>
      </c>
      <c r="H23" s="37" t="s">
        <v>330</v>
      </c>
      <c r="I23" s="37" t="s">
        <v>275</v>
      </c>
      <c r="J23" s="27"/>
      <c r="K23" s="27"/>
      <c r="L23" s="27" t="s">
        <v>237</v>
      </c>
      <c r="M23" s="27"/>
      <c r="N23" s="27"/>
      <c r="O23" s="1" t="s">
        <v>264</v>
      </c>
      <c r="P23" s="29" t="s">
        <v>265</v>
      </c>
      <c r="Q23" s="27" t="s">
        <v>1180</v>
      </c>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EVT-2026-0608</v>
      </c>
      <c r="B24" s="30">
        <v>46189</v>
      </c>
      <c r="C24" s="27" t="s">
        <v>227</v>
      </c>
      <c r="D24" s="27" t="s">
        <v>1206</v>
      </c>
      <c r="E24" s="27" t="s">
        <v>1207</v>
      </c>
      <c r="F24" s="10">
        <v>2</v>
      </c>
      <c r="G24" s="36" t="s">
        <v>263</v>
      </c>
      <c r="H24" s="37" t="s">
        <v>506</v>
      </c>
      <c r="I24" s="37" t="s">
        <v>290</v>
      </c>
      <c r="J24" s="27"/>
      <c r="K24" s="27"/>
      <c r="L24" s="27" t="s">
        <v>1208</v>
      </c>
      <c r="M24" s="27"/>
      <c r="N24" s="27"/>
      <c r="O24" s="1" t="s">
        <v>264</v>
      </c>
      <c r="P24" s="29" t="s">
        <v>265</v>
      </c>
      <c r="Q24" s="27" t="s">
        <v>1209</v>
      </c>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EVT-2026-0609</v>
      </c>
      <c r="B25" s="30">
        <v>46190</v>
      </c>
      <c r="C25" s="27" t="s">
        <v>201</v>
      </c>
      <c r="D25" s="27" t="s">
        <v>1210</v>
      </c>
      <c r="E25" s="27" t="s">
        <v>1211</v>
      </c>
      <c r="F25" s="10">
        <v>30</v>
      </c>
      <c r="G25" s="36" t="s">
        <v>263</v>
      </c>
      <c r="H25" s="37" t="s">
        <v>817</v>
      </c>
      <c r="I25" s="37" t="s">
        <v>354</v>
      </c>
      <c r="J25" s="27"/>
      <c r="K25" s="27"/>
      <c r="L25" s="27" t="s">
        <v>1212</v>
      </c>
      <c r="M25" s="27"/>
      <c r="N25" s="27"/>
      <c r="O25" s="1" t="s">
        <v>264</v>
      </c>
      <c r="P25" s="29" t="s">
        <v>265</v>
      </c>
      <c r="Q25" s="27" t="s">
        <v>1213</v>
      </c>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EVT-2026-0610</v>
      </c>
      <c r="B26" s="30">
        <v>46190</v>
      </c>
      <c r="C26" s="27" t="s">
        <v>201</v>
      </c>
      <c r="D26" s="27" t="s">
        <v>1061</v>
      </c>
      <c r="E26" s="27" t="s">
        <v>1214</v>
      </c>
      <c r="F26" s="10">
        <v>30</v>
      </c>
      <c r="G26" s="36" t="s">
        <v>263</v>
      </c>
      <c r="H26" s="37" t="s">
        <v>275</v>
      </c>
      <c r="I26" s="37" t="s">
        <v>270</v>
      </c>
      <c r="J26" s="27"/>
      <c r="K26" s="27"/>
      <c r="L26" s="27" t="s">
        <v>237</v>
      </c>
      <c r="M26" s="27"/>
      <c r="N26" s="27"/>
      <c r="O26" s="1" t="s">
        <v>264</v>
      </c>
      <c r="P26" s="29" t="s">
        <v>265</v>
      </c>
      <c r="Q26" s="27" t="s">
        <v>298</v>
      </c>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EVT-2026-0611</v>
      </c>
      <c r="B27" s="30">
        <v>46191</v>
      </c>
      <c r="C27" s="27" t="s">
        <v>216</v>
      </c>
      <c r="D27" s="27" t="s">
        <v>171</v>
      </c>
      <c r="E27" s="27" t="s">
        <v>1215</v>
      </c>
      <c r="F27" s="10">
        <v>22</v>
      </c>
      <c r="G27" s="36" t="s">
        <v>263</v>
      </c>
      <c r="H27" s="37" t="s">
        <v>269</v>
      </c>
      <c r="I27" s="37" t="s">
        <v>270</v>
      </c>
      <c r="J27" s="27"/>
      <c r="K27" s="27"/>
      <c r="L27" s="27" t="s">
        <v>545</v>
      </c>
      <c r="M27" s="27"/>
      <c r="N27" s="27"/>
      <c r="O27" s="1" t="s">
        <v>264</v>
      </c>
      <c r="P27" s="29" t="s">
        <v>265</v>
      </c>
      <c r="Q27" s="27" t="s">
        <v>1216</v>
      </c>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EVT-2026-0612</v>
      </c>
      <c r="B28" s="30">
        <v>46192</v>
      </c>
      <c r="C28" s="27" t="s">
        <v>220</v>
      </c>
      <c r="D28" s="27" t="s">
        <v>171</v>
      </c>
      <c r="E28" s="27" t="s">
        <v>1217</v>
      </c>
      <c r="F28" s="10">
        <v>24</v>
      </c>
      <c r="G28" s="36" t="s">
        <v>263</v>
      </c>
      <c r="H28" s="37" t="s">
        <v>269</v>
      </c>
      <c r="I28" s="37" t="s">
        <v>270</v>
      </c>
      <c r="J28" s="27"/>
      <c r="K28" s="27"/>
      <c r="L28" s="27" t="s">
        <v>545</v>
      </c>
      <c r="M28" s="27"/>
      <c r="N28" s="27"/>
      <c r="O28" s="3" t="s">
        <v>312</v>
      </c>
      <c r="P28" s="29" t="s">
        <v>265</v>
      </c>
      <c r="Q28" s="27" t="s">
        <v>1218</v>
      </c>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EVT-2026-0613</v>
      </c>
      <c r="B29" s="30">
        <v>46192</v>
      </c>
      <c r="C29" s="27" t="s">
        <v>220</v>
      </c>
      <c r="D29" s="27" t="s">
        <v>239</v>
      </c>
      <c r="E29" s="27" t="s">
        <v>1219</v>
      </c>
      <c r="F29" s="10">
        <v>150</v>
      </c>
      <c r="G29" s="38" t="s">
        <v>294</v>
      </c>
      <c r="H29" s="37" t="s">
        <v>295</v>
      </c>
      <c r="I29" s="37" t="s">
        <v>296</v>
      </c>
      <c r="J29" s="27" t="s">
        <v>531</v>
      </c>
      <c r="K29" s="27"/>
      <c r="L29" s="27" t="s">
        <v>1220</v>
      </c>
      <c r="M29" s="27"/>
      <c r="N29" s="27"/>
      <c r="O29" s="1" t="s">
        <v>264</v>
      </c>
      <c r="P29" s="29" t="s">
        <v>265</v>
      </c>
      <c r="Q29" s="27" t="s">
        <v>298</v>
      </c>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EVT-2026-0614</v>
      </c>
      <c r="B30" s="30">
        <v>46193</v>
      </c>
      <c r="C30" s="27" t="s">
        <v>266</v>
      </c>
      <c r="D30" s="27" t="s">
        <v>1221</v>
      </c>
      <c r="E30" s="27" t="s">
        <v>300</v>
      </c>
      <c r="F30" s="10"/>
      <c r="G30" s="36" t="s">
        <v>263</v>
      </c>
      <c r="H30" s="37" t="s">
        <v>269</v>
      </c>
      <c r="I30" s="37" t="s">
        <v>270</v>
      </c>
      <c r="J30" s="27"/>
      <c r="K30" s="27"/>
      <c r="L30" s="27" t="s">
        <v>760</v>
      </c>
      <c r="M30" s="27"/>
      <c r="N30" s="27"/>
      <c r="O30" s="1" t="s">
        <v>264</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31" s="30">
        <v>46194</v>
      </c>
      <c r="C31" s="27" t="s">
        <v>267</v>
      </c>
      <c r="D31" s="27"/>
      <c r="E31" s="27"/>
      <c r="F31" s="10"/>
      <c r="G31" s="36" t="s">
        <v>263</v>
      </c>
      <c r="H31" s="37"/>
      <c r="I31" s="37"/>
      <c r="J31" s="27"/>
      <c r="K31" s="27"/>
      <c r="L31" s="27"/>
      <c r="M31" s="27"/>
      <c r="N31" s="27"/>
      <c r="O31" s="1" t="s">
        <v>264</v>
      </c>
      <c r="P31" s="29" t="s">
        <v>265</v>
      </c>
      <c r="Q31" s="27"/>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EVT-2026-0615</v>
      </c>
      <c r="B32" s="30">
        <v>46195</v>
      </c>
      <c r="C32" s="27" t="s">
        <v>224</v>
      </c>
      <c r="D32" s="27" t="s">
        <v>171</v>
      </c>
      <c r="E32" s="27" t="s">
        <v>1187</v>
      </c>
      <c r="F32" s="10">
        <v>25</v>
      </c>
      <c r="G32" s="36" t="s">
        <v>263</v>
      </c>
      <c r="H32" s="37" t="s">
        <v>269</v>
      </c>
      <c r="I32" s="37" t="s">
        <v>270</v>
      </c>
      <c r="J32" s="27"/>
      <c r="K32" s="27"/>
      <c r="L32" s="27" t="s">
        <v>237</v>
      </c>
      <c r="M32" s="27"/>
      <c r="N32" s="27"/>
      <c r="O32" s="1" t="s">
        <v>264</v>
      </c>
      <c r="P32" s="29" t="s">
        <v>265</v>
      </c>
      <c r="Q32" s="27" t="s">
        <v>1222</v>
      </c>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EVT-2026-0616</v>
      </c>
      <c r="B33" s="30">
        <v>46195</v>
      </c>
      <c r="C33" s="27" t="s">
        <v>224</v>
      </c>
      <c r="D33" s="27" t="s">
        <v>1186</v>
      </c>
      <c r="E33" s="27" t="s">
        <v>1187</v>
      </c>
      <c r="F33" s="10">
        <v>33</v>
      </c>
      <c r="G33" s="36" t="s">
        <v>263</v>
      </c>
      <c r="H33" s="37" t="s">
        <v>269</v>
      </c>
      <c r="I33" s="37" t="s">
        <v>270</v>
      </c>
      <c r="J33" s="27"/>
      <c r="K33" s="27"/>
      <c r="L33" s="27" t="s">
        <v>237</v>
      </c>
      <c r="M33" s="27"/>
      <c r="N33" s="27"/>
      <c r="O33" s="1" t="s">
        <v>264</v>
      </c>
      <c r="P33" s="29" t="s">
        <v>265</v>
      </c>
      <c r="Q33" s="27" t="s">
        <v>1223</v>
      </c>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EVT-2026-0617</v>
      </c>
      <c r="B34" s="30">
        <v>46196</v>
      </c>
      <c r="C34" s="27" t="s">
        <v>227</v>
      </c>
      <c r="D34" s="27" t="s">
        <v>171</v>
      </c>
      <c r="E34" s="27" t="s">
        <v>1224</v>
      </c>
      <c r="F34" s="10">
        <v>25</v>
      </c>
      <c r="G34" s="36" t="s">
        <v>263</v>
      </c>
      <c r="H34" s="37" t="s">
        <v>281</v>
      </c>
      <c r="I34" s="37" t="s">
        <v>1225</v>
      </c>
      <c r="J34" s="27"/>
      <c r="K34" s="27"/>
      <c r="L34" s="27" t="s">
        <v>1226</v>
      </c>
      <c r="M34" s="27"/>
      <c r="N34" s="27"/>
      <c r="O34" s="1" t="s">
        <v>264</v>
      </c>
      <c r="P34" s="29" t="s">
        <v>265</v>
      </c>
      <c r="Q34" s="27" t="s">
        <v>1227</v>
      </c>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EVT-2026-0618</v>
      </c>
      <c r="B35" s="30">
        <v>46196</v>
      </c>
      <c r="C35" s="27" t="s">
        <v>227</v>
      </c>
      <c r="D35" s="27" t="s">
        <v>171</v>
      </c>
      <c r="E35" s="27" t="s">
        <v>1228</v>
      </c>
      <c r="F35" s="10">
        <v>60</v>
      </c>
      <c r="G35" s="36" t="s">
        <v>263</v>
      </c>
      <c r="H35" s="37" t="s">
        <v>275</v>
      </c>
      <c r="I35" s="37" t="s">
        <v>359</v>
      </c>
      <c r="J35" s="27"/>
      <c r="K35" s="27"/>
      <c r="L35" s="27" t="s">
        <v>1229</v>
      </c>
      <c r="M35" s="27"/>
      <c r="N35" s="27"/>
      <c r="O35" s="3" t="s">
        <v>312</v>
      </c>
      <c r="P35" s="29" t="s">
        <v>265</v>
      </c>
      <c r="Q35" s="27" t="s">
        <v>1177</v>
      </c>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36" s="30">
        <v>46197</v>
      </c>
      <c r="C36" s="27" t="s">
        <v>201</v>
      </c>
      <c r="D36" s="27"/>
      <c r="E36" s="27"/>
      <c r="F36" s="10"/>
      <c r="G36" s="36" t="s">
        <v>263</v>
      </c>
      <c r="H36" s="37"/>
      <c r="I36" s="37"/>
      <c r="J36" s="27"/>
      <c r="K36" s="27"/>
      <c r="L36" s="27"/>
      <c r="M36" s="27"/>
      <c r="N36" s="27"/>
      <c r="O36" s="1" t="s">
        <v>264</v>
      </c>
      <c r="P36" s="29" t="s">
        <v>265</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EVT-2026-0619</v>
      </c>
      <c r="B37" s="30">
        <v>46197</v>
      </c>
      <c r="C37" s="27" t="s">
        <v>201</v>
      </c>
      <c r="D37" s="27" t="s">
        <v>171</v>
      </c>
      <c r="E37" s="27" t="s">
        <v>1230</v>
      </c>
      <c r="F37" s="10">
        <v>30</v>
      </c>
      <c r="G37" s="36" t="s">
        <v>263</v>
      </c>
      <c r="H37" s="37" t="s">
        <v>295</v>
      </c>
      <c r="I37" s="37" t="s">
        <v>359</v>
      </c>
      <c r="J37" s="27"/>
      <c r="K37" s="27"/>
      <c r="L37" s="27" t="s">
        <v>1231</v>
      </c>
      <c r="M37" s="27"/>
      <c r="N37" s="27"/>
      <c r="O37" s="1" t="s">
        <v>264</v>
      </c>
      <c r="P37" s="29" t="s">
        <v>265</v>
      </c>
      <c r="Q37" s="27" t="s">
        <v>1177</v>
      </c>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38" s="30">
        <v>46198</v>
      </c>
      <c r="C38" s="27" t="s">
        <v>216</v>
      </c>
      <c r="D38" s="27"/>
      <c r="E38" s="27"/>
      <c r="F38" s="10"/>
      <c r="G38" s="36" t="s">
        <v>263</v>
      </c>
      <c r="H38" s="37"/>
      <c r="I38" s="37"/>
      <c r="J38" s="27"/>
      <c r="K38" s="27"/>
      <c r="L38" s="27"/>
      <c r="M38" s="27"/>
      <c r="N38" s="27"/>
      <c r="O38" s="1" t="s">
        <v>264</v>
      </c>
      <c r="P38" s="29" t="s">
        <v>265</v>
      </c>
      <c r="Q38" s="27"/>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EVT-2026-0620</v>
      </c>
      <c r="B39" s="30">
        <v>46198</v>
      </c>
      <c r="C39" s="27" t="s">
        <v>216</v>
      </c>
      <c r="D39" s="27" t="s">
        <v>1188</v>
      </c>
      <c r="E39" s="27" t="s">
        <v>708</v>
      </c>
      <c r="F39" s="10">
        <v>30</v>
      </c>
      <c r="G39" s="36" t="s">
        <v>263</v>
      </c>
      <c r="H39" s="37" t="s">
        <v>295</v>
      </c>
      <c r="I39" s="37" t="s">
        <v>270</v>
      </c>
      <c r="J39" s="27"/>
      <c r="K39" s="27"/>
      <c r="L39" s="27" t="s">
        <v>237</v>
      </c>
      <c r="M39" s="27"/>
      <c r="N39" s="27"/>
      <c r="O39" s="1" t="s">
        <v>264</v>
      </c>
      <c r="P39" s="29" t="s">
        <v>265</v>
      </c>
      <c r="Q39" s="27" t="s">
        <v>1180</v>
      </c>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EVT-2026-0621</v>
      </c>
      <c r="B40" s="30">
        <v>46199</v>
      </c>
      <c r="C40" s="27" t="s">
        <v>220</v>
      </c>
      <c r="D40" s="27" t="s">
        <v>171</v>
      </c>
      <c r="E40" s="27" t="s">
        <v>1232</v>
      </c>
      <c r="F40" s="10"/>
      <c r="G40" s="36" t="s">
        <v>263</v>
      </c>
      <c r="H40" s="37" t="s">
        <v>315</v>
      </c>
      <c r="I40" s="37" t="s">
        <v>429</v>
      </c>
      <c r="J40" s="27"/>
      <c r="K40" s="27" t="s">
        <v>1233</v>
      </c>
      <c r="L40" s="27"/>
      <c r="M40" s="27"/>
      <c r="N40" s="27"/>
      <c r="O40" s="1" t="s">
        <v>264</v>
      </c>
      <c r="P40" s="29" t="s">
        <v>265</v>
      </c>
      <c r="Q40" s="27" t="s">
        <v>1234</v>
      </c>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EVT-2026-0622</v>
      </c>
      <c r="B41" s="30">
        <v>46199</v>
      </c>
      <c r="C41" s="27" t="s">
        <v>220</v>
      </c>
      <c r="D41" s="27" t="s">
        <v>171</v>
      </c>
      <c r="E41" s="27" t="s">
        <v>1232</v>
      </c>
      <c r="F41" s="10"/>
      <c r="G41" s="36" t="s">
        <v>263</v>
      </c>
      <c r="H41" s="37" t="s">
        <v>289</v>
      </c>
      <c r="I41" s="37" t="s">
        <v>270</v>
      </c>
      <c r="J41" s="27"/>
      <c r="K41" s="27" t="s">
        <v>1233</v>
      </c>
      <c r="L41" s="27"/>
      <c r="M41" s="27"/>
      <c r="N41" s="27"/>
      <c r="O41" s="1" t="s">
        <v>264</v>
      </c>
      <c r="P41" s="29" t="s">
        <v>265</v>
      </c>
      <c r="Q41" s="27" t="s">
        <v>1234</v>
      </c>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EVT-2026-0623</v>
      </c>
      <c r="B42" s="30">
        <v>46200</v>
      </c>
      <c r="C42" s="27" t="s">
        <v>266</v>
      </c>
      <c r="D42" s="27" t="s">
        <v>1235</v>
      </c>
      <c r="E42" s="27" t="s">
        <v>300</v>
      </c>
      <c r="F42" s="10" t="s">
        <v>2277</v>
      </c>
      <c r="G42" s="36" t="s">
        <v>263</v>
      </c>
      <c r="H42" s="37" t="s">
        <v>269</v>
      </c>
      <c r="I42" s="37" t="s">
        <v>270</v>
      </c>
      <c r="J42" s="27"/>
      <c r="K42" s="27"/>
      <c r="L42" s="27"/>
      <c r="M42" s="27"/>
      <c r="N42" s="27"/>
      <c r="O42" s="1" t="s">
        <v>264</v>
      </c>
      <c r="P42" s="29" t="s">
        <v>265</v>
      </c>
      <c r="Q42" s="27" t="s">
        <v>1236</v>
      </c>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43" s="30">
        <v>46201</v>
      </c>
      <c r="C43" s="27" t="s">
        <v>267</v>
      </c>
      <c r="D43" s="27"/>
      <c r="E43" s="27"/>
      <c r="F43" s="10"/>
      <c r="G43" s="36" t="s">
        <v>263</v>
      </c>
      <c r="H43" s="37"/>
      <c r="I43" s="37"/>
      <c r="J43" s="27"/>
      <c r="K43" s="27"/>
      <c r="L43" s="27"/>
      <c r="M43" s="27"/>
      <c r="N43" s="27"/>
      <c r="O43" s="1" t="s">
        <v>264</v>
      </c>
      <c r="P43" s="29" t="s">
        <v>265</v>
      </c>
      <c r="Q43" s="27"/>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EVT-2026-0624</v>
      </c>
      <c r="B44" s="30">
        <v>46202</v>
      </c>
      <c r="C44" s="27" t="s">
        <v>224</v>
      </c>
      <c r="D44" s="27" t="s">
        <v>937</v>
      </c>
      <c r="E44" s="27" t="s">
        <v>1187</v>
      </c>
      <c r="F44" s="10" t="s">
        <v>2278</v>
      </c>
      <c r="G44" s="36" t="s">
        <v>263</v>
      </c>
      <c r="H44" s="37" t="s">
        <v>269</v>
      </c>
      <c r="I44" s="37" t="s">
        <v>270</v>
      </c>
      <c r="J44" s="27" t="s">
        <v>531</v>
      </c>
      <c r="K44" s="27" t="s">
        <v>531</v>
      </c>
      <c r="L44" s="27" t="s">
        <v>237</v>
      </c>
      <c r="M44" s="27"/>
      <c r="N44" s="27"/>
      <c r="O44" s="1" t="s">
        <v>264</v>
      </c>
      <c r="P44" s="29" t="s">
        <v>265</v>
      </c>
      <c r="Q44" s="27" t="s">
        <v>1237</v>
      </c>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EVT-2026-0625</v>
      </c>
      <c r="B45" s="30">
        <v>46203</v>
      </c>
      <c r="C45" s="27" t="s">
        <v>227</v>
      </c>
      <c r="D45" s="27" t="s">
        <v>1238</v>
      </c>
      <c r="E45" s="27" t="s">
        <v>1239</v>
      </c>
      <c r="F45" s="10">
        <v>100</v>
      </c>
      <c r="G45" s="38" t="s">
        <v>294</v>
      </c>
      <c r="H45" s="37" t="s">
        <v>315</v>
      </c>
      <c r="I45" s="37" t="s">
        <v>429</v>
      </c>
      <c r="J45" s="27" t="s">
        <v>531</v>
      </c>
      <c r="K45" s="27" t="s">
        <v>531</v>
      </c>
      <c r="L45" s="27" t="s">
        <v>491</v>
      </c>
      <c r="M45" s="27"/>
      <c r="N45" s="27"/>
      <c r="O45" s="1" t="s">
        <v>264</v>
      </c>
      <c r="P45" s="29" t="s">
        <v>265</v>
      </c>
      <c r="Q45" s="27" t="s">
        <v>1237</v>
      </c>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EVT-2026-0626</v>
      </c>
      <c r="B46" s="30">
        <v>46203</v>
      </c>
      <c r="C46" s="27" t="s">
        <v>227</v>
      </c>
      <c r="D46" s="27" t="s">
        <v>1240</v>
      </c>
      <c r="E46" s="27" t="s">
        <v>1241</v>
      </c>
      <c r="F46" s="10">
        <v>26</v>
      </c>
      <c r="G46" s="36" t="s">
        <v>263</v>
      </c>
      <c r="H46" s="37" t="s">
        <v>309</v>
      </c>
      <c r="I46" s="37" t="s">
        <v>270</v>
      </c>
      <c r="J46" s="27"/>
      <c r="K46" s="27" t="s">
        <v>531</v>
      </c>
      <c r="L46" s="27" t="s">
        <v>1242</v>
      </c>
      <c r="M46" s="27"/>
      <c r="N46" s="27"/>
      <c r="O46" s="1" t="s">
        <v>264</v>
      </c>
      <c r="P46" s="29" t="s">
        <v>265</v>
      </c>
      <c r="Q46" s="27" t="s">
        <v>1243</v>
      </c>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EVT-2026-0627</v>
      </c>
      <c r="B47" s="30">
        <v>46203</v>
      </c>
      <c r="C47" s="27" t="s">
        <v>227</v>
      </c>
      <c r="D47" s="27"/>
      <c r="E47" s="27" t="s">
        <v>1174</v>
      </c>
      <c r="F47" s="10">
        <f>SUM(E2:E46)</f>
        <v>0</v>
      </c>
      <c r="G47" s="36" t="s">
        <v>263</v>
      </c>
      <c r="H47" s="37"/>
      <c r="I47" s="37"/>
      <c r="J47" s="27"/>
      <c r="K47" s="27"/>
      <c r="L47" s="27"/>
      <c r="M47" s="27"/>
      <c r="N47" s="27"/>
      <c r="O47" s="1" t="s">
        <v>264</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48" s="27"/>
      <c r="C48" s="27"/>
      <c r="D48" s="27"/>
      <c r="E48" s="27"/>
      <c r="F48" s="10"/>
      <c r="G48" s="36" t="s">
        <v>263</v>
      </c>
      <c r="H48" s="37"/>
      <c r="I48" s="37"/>
      <c r="J48" s="27"/>
      <c r="K48" s="27"/>
      <c r="L48" s="27"/>
      <c r="M48" s="27"/>
      <c r="N48" s="27"/>
      <c r="O48" s="1" t="s">
        <v>264</v>
      </c>
      <c r="P48" s="29" t="s">
        <v>265</v>
      </c>
      <c r="Q48" s="27"/>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49" s="27"/>
      <c r="C49" s="27"/>
      <c r="D49" s="27"/>
      <c r="E49" s="27"/>
      <c r="F49" s="10"/>
      <c r="G49" s="36" t="s">
        <v>263</v>
      </c>
      <c r="H49" s="37"/>
      <c r="I49" s="37"/>
      <c r="J49" s="27"/>
      <c r="K49" s="27"/>
      <c r="L49" s="27"/>
      <c r="M49" s="27"/>
      <c r="N49" s="27"/>
      <c r="O49" s="1" t="s">
        <v>264</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
      </c>
      <c r="B50" s="27"/>
      <c r="C50" s="27"/>
      <c r="D50" s="27"/>
      <c r="E50" s="27"/>
      <c r="F50" s="10"/>
      <c r="G50" s="36" t="s">
        <v>263</v>
      </c>
      <c r="H50" s="37"/>
      <c r="I50" s="37"/>
      <c r="J50" s="27"/>
      <c r="K50" s="27"/>
      <c r="L50" s="27"/>
      <c r="M50" s="27"/>
      <c r="N50" s="27"/>
      <c r="O50" s="1" t="s">
        <v>264</v>
      </c>
      <c r="P50" s="29" t="s">
        <v>265</v>
      </c>
      <c r="Q50" s="27"/>
      <c r="R50" s="27"/>
    </row>
  </sheetData>
  <mergeCells count="3">
    <mergeCell ref="A1:C1"/>
    <mergeCell ref="N1:R1"/>
    <mergeCell ref="D1:M1"/>
  </mergeCells>
  <dataValidations count="4">
    <dataValidation type="list" allowBlank="1" sqref="N3:N500 O3:O50" xr:uid="{00000000-0002-0000-0C00-000000000000}">
      <formula1>"Confirmed (Done),Pending Calendar Booking,Canceled"</formula1>
    </dataValidation>
    <dataValidation type="list" allowBlank="1" sqref="O3:O100" xr:uid="{00000000-0002-0000-0C00-000001000000}">
      <formula1>"Form sent,NA"</formula1>
    </dataValidation>
    <dataValidation type="list" allowBlank="1" sqref="P3:P50" xr:uid="{00000000-0002-0000-0C00-000002000000}">
      <formula1>"Form sent,Not Required,NA"</formula1>
    </dataValidation>
    <dataValidation type="list" allowBlank="1" sqref="G3:G50" xr:uid="{00000000-0002-0000-0C00-000003000000}">
      <formula1>"Big Event,Small Event"</formula1>
    </dataValidation>
  </dataValidations>
  <hyperlinks>
    <hyperlink ref="A1" location="'Dashboard'!A1" display="🏠 ⮌ RETURN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20"/>
  <sheetViews>
    <sheetView topLeftCell="A34" workbookViewId="0">
      <pane ySplit="2" topLeftCell="A105" activePane="bottomLeft" state="frozen"/>
      <selection pane="bottomLeft" activeCell="F39" sqref="F39"/>
    </sheetView>
  </sheetViews>
  <sheetFormatPr defaultRowHeight="14.45"/>
  <cols>
    <col min="1" max="1" width="18" customWidth="1"/>
    <col min="2" max="2" width="23" customWidth="1"/>
    <col min="3" max="3" width="12" customWidth="1"/>
    <col min="4" max="4" width="29" customWidth="1"/>
    <col min="5" max="5" width="12" customWidth="1"/>
    <col min="6" max="6" width="48" customWidth="1"/>
    <col min="7" max="7" width="18" customWidth="1"/>
    <col min="8" max="8" width="15" customWidth="1"/>
    <col min="9" max="9" width="19" customWidth="1"/>
    <col min="10" max="10" width="17" customWidth="1"/>
    <col min="11" max="11" width="34" customWidth="1"/>
    <col min="12" max="12" width="22" customWidth="1"/>
    <col min="13" max="13" width="46" customWidth="1"/>
    <col min="14" max="16" width="25" customWidth="1"/>
    <col min="17" max="17" width="18" customWidth="1"/>
    <col min="18" max="18" width="48" customWidth="1"/>
    <col min="19" max="19" width="19" customWidth="1"/>
  </cols>
  <sheetData>
    <row r="1" spans="1:19" ht="27.95" customHeight="1">
      <c r="A1" s="62" t="s">
        <v>2138</v>
      </c>
      <c r="B1" s="134"/>
      <c r="C1" s="135"/>
      <c r="D1" s="63" t="s">
        <v>2279</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EVT-2026-0628</v>
      </c>
      <c r="B3" s="27" t="s">
        <v>1244</v>
      </c>
      <c r="C3" s="27" t="s">
        <v>224</v>
      </c>
      <c r="D3" s="27" t="s">
        <v>1245</v>
      </c>
      <c r="E3" s="27" t="s">
        <v>208</v>
      </c>
      <c r="F3" s="27" t="s">
        <v>1246</v>
      </c>
      <c r="G3" s="10">
        <v>1</v>
      </c>
      <c r="H3" s="36" t="s">
        <v>263</v>
      </c>
      <c r="I3" s="37" t="s">
        <v>269</v>
      </c>
      <c r="J3" s="37" t="s">
        <v>270</v>
      </c>
      <c r="K3" s="27"/>
      <c r="L3" s="27"/>
      <c r="M3" s="27" t="s">
        <v>774</v>
      </c>
      <c r="N3" s="27"/>
      <c r="O3" s="30" t="s">
        <v>2280</v>
      </c>
      <c r="P3" s="1" t="s">
        <v>264</v>
      </c>
      <c r="Q3" s="29" t="s">
        <v>265</v>
      </c>
      <c r="R3" s="27" t="s">
        <v>1247</v>
      </c>
      <c r="S3" s="27"/>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EVT-2026-0629</v>
      </c>
      <c r="B4" s="30" t="s">
        <v>2281</v>
      </c>
      <c r="C4" s="27" t="s">
        <v>224</v>
      </c>
      <c r="D4" s="27" t="s">
        <v>1248</v>
      </c>
      <c r="E4" s="27" t="s">
        <v>208</v>
      </c>
      <c r="F4" s="27" t="s">
        <v>1246</v>
      </c>
      <c r="G4" s="10">
        <v>1</v>
      </c>
      <c r="H4" s="36" t="s">
        <v>263</v>
      </c>
      <c r="I4" s="37" t="s">
        <v>269</v>
      </c>
      <c r="J4" s="37" t="s">
        <v>270</v>
      </c>
      <c r="K4" s="27"/>
      <c r="L4" s="27"/>
      <c r="M4" s="27" t="s">
        <v>1249</v>
      </c>
      <c r="N4" s="27"/>
      <c r="O4" s="27"/>
      <c r="P4" s="1" t="s">
        <v>264</v>
      </c>
      <c r="Q4" s="29" t="s">
        <v>265</v>
      </c>
      <c r="R4" s="27" t="s">
        <v>1250</v>
      </c>
      <c r="S4" s="27"/>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EVT-2026-0630</v>
      </c>
      <c r="B5" s="30">
        <v>46174</v>
      </c>
      <c r="C5" s="27" t="s">
        <v>224</v>
      </c>
      <c r="D5" s="27" t="s">
        <v>348</v>
      </c>
      <c r="E5" s="27" t="s">
        <v>208</v>
      </c>
      <c r="F5" s="27" t="s">
        <v>1251</v>
      </c>
      <c r="G5" s="10">
        <v>30</v>
      </c>
      <c r="H5" s="36" t="s">
        <v>263</v>
      </c>
      <c r="I5" s="37" t="s">
        <v>359</v>
      </c>
      <c r="J5" s="37" t="s">
        <v>290</v>
      </c>
      <c r="K5" s="27" t="s">
        <v>1252</v>
      </c>
      <c r="L5" s="27"/>
      <c r="M5" s="27" t="s">
        <v>675</v>
      </c>
      <c r="N5" s="27"/>
      <c r="O5" s="30" t="s">
        <v>2282</v>
      </c>
      <c r="P5" s="1" t="s">
        <v>264</v>
      </c>
      <c r="Q5" s="29" t="s">
        <v>265</v>
      </c>
      <c r="R5" s="27" t="s">
        <v>298</v>
      </c>
      <c r="S5" s="27"/>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EVT-2026-0631</v>
      </c>
      <c r="B6" s="30" t="s">
        <v>2283</v>
      </c>
      <c r="C6" s="27" t="s">
        <v>224</v>
      </c>
      <c r="D6" s="27" t="s">
        <v>1248</v>
      </c>
      <c r="E6" s="27" t="s">
        <v>208</v>
      </c>
      <c r="F6" s="27" t="s">
        <v>1246</v>
      </c>
      <c r="G6" s="10">
        <v>1</v>
      </c>
      <c r="H6" s="36" t="s">
        <v>263</v>
      </c>
      <c r="I6" s="37" t="s">
        <v>269</v>
      </c>
      <c r="J6" s="37" t="s">
        <v>270</v>
      </c>
      <c r="K6" s="27"/>
      <c r="L6" s="27"/>
      <c r="M6" s="27" t="s">
        <v>1249</v>
      </c>
      <c r="N6" s="27"/>
      <c r="O6" s="27"/>
      <c r="P6" s="1" t="s">
        <v>264</v>
      </c>
      <c r="Q6" s="29" t="s">
        <v>265</v>
      </c>
      <c r="R6" s="27"/>
      <c r="S6" s="27"/>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EVT-2026-0632</v>
      </c>
      <c r="B7" s="30">
        <v>46175</v>
      </c>
      <c r="C7" s="27" t="s">
        <v>227</v>
      </c>
      <c r="D7" s="27" t="s">
        <v>348</v>
      </c>
      <c r="E7" s="27" t="s">
        <v>208</v>
      </c>
      <c r="F7" s="27" t="s">
        <v>1253</v>
      </c>
      <c r="G7" s="10">
        <v>50</v>
      </c>
      <c r="H7" s="36" t="s">
        <v>263</v>
      </c>
      <c r="I7" s="37" t="s">
        <v>354</v>
      </c>
      <c r="J7" s="37" t="s">
        <v>350</v>
      </c>
      <c r="K7" s="27" t="s">
        <v>1254</v>
      </c>
      <c r="L7" s="27"/>
      <c r="M7" s="27" t="s">
        <v>675</v>
      </c>
      <c r="N7" s="27"/>
      <c r="O7" s="30" t="s">
        <v>2282</v>
      </c>
      <c r="P7" s="3" t="s">
        <v>312</v>
      </c>
      <c r="Q7" s="29" t="s">
        <v>265</v>
      </c>
      <c r="R7" s="27" t="s">
        <v>1255</v>
      </c>
      <c r="S7" s="27"/>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EVT-2026-0633</v>
      </c>
      <c r="B8" s="30">
        <v>46175</v>
      </c>
      <c r="C8" s="27" t="s">
        <v>227</v>
      </c>
      <c r="D8" s="27" t="s">
        <v>348</v>
      </c>
      <c r="E8" s="27" t="s">
        <v>208</v>
      </c>
      <c r="F8" s="27" t="s">
        <v>1256</v>
      </c>
      <c r="G8" s="10">
        <v>30</v>
      </c>
      <c r="H8" s="36" t="s">
        <v>263</v>
      </c>
      <c r="I8" s="37" t="s">
        <v>359</v>
      </c>
      <c r="J8" s="37" t="s">
        <v>290</v>
      </c>
      <c r="K8" s="27"/>
      <c r="L8" s="27"/>
      <c r="M8" s="27" t="s">
        <v>675</v>
      </c>
      <c r="N8" s="27"/>
      <c r="O8" s="30" t="s">
        <v>2282</v>
      </c>
      <c r="P8" s="1" t="s">
        <v>264</v>
      </c>
      <c r="Q8" s="29" t="s">
        <v>265</v>
      </c>
      <c r="R8" s="27" t="s">
        <v>298</v>
      </c>
      <c r="S8" s="27"/>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EVT-2026-0634</v>
      </c>
      <c r="B9" s="30">
        <v>46175</v>
      </c>
      <c r="C9" s="27" t="s">
        <v>227</v>
      </c>
      <c r="D9" s="27" t="s">
        <v>239</v>
      </c>
      <c r="E9" s="27" t="s">
        <v>202</v>
      </c>
      <c r="F9" s="27" t="s">
        <v>1257</v>
      </c>
      <c r="G9" s="10">
        <v>150</v>
      </c>
      <c r="H9" s="38" t="s">
        <v>294</v>
      </c>
      <c r="I9" s="37" t="s">
        <v>274</v>
      </c>
      <c r="J9" s="37" t="s">
        <v>330</v>
      </c>
      <c r="K9" s="27"/>
      <c r="L9" s="27"/>
      <c r="M9" s="27" t="s">
        <v>993</v>
      </c>
      <c r="N9" s="27"/>
      <c r="O9" s="30" t="s">
        <v>2284</v>
      </c>
      <c r="P9" s="1" t="s">
        <v>264</v>
      </c>
      <c r="Q9" s="29" t="s">
        <v>265</v>
      </c>
      <c r="R9" s="27" t="s">
        <v>298</v>
      </c>
      <c r="S9" s="27"/>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EVT-2026-0635</v>
      </c>
      <c r="B10" s="30">
        <v>46175</v>
      </c>
      <c r="C10" s="27" t="s">
        <v>227</v>
      </c>
      <c r="D10" s="27" t="s">
        <v>1258</v>
      </c>
      <c r="E10" s="27" t="s">
        <v>208</v>
      </c>
      <c r="F10" s="27" t="s">
        <v>1246</v>
      </c>
      <c r="G10" s="10">
        <v>1</v>
      </c>
      <c r="H10" s="36" t="s">
        <v>263</v>
      </c>
      <c r="I10" s="37" t="s">
        <v>269</v>
      </c>
      <c r="J10" s="37" t="s">
        <v>270</v>
      </c>
      <c r="K10" s="27"/>
      <c r="L10" s="27"/>
      <c r="M10" s="27" t="s">
        <v>774</v>
      </c>
      <c r="N10" s="27"/>
      <c r="O10" s="27"/>
      <c r="P10" s="1" t="s">
        <v>264</v>
      </c>
      <c r="Q10" s="29" t="s">
        <v>265</v>
      </c>
      <c r="R10" s="27" t="s">
        <v>1250</v>
      </c>
      <c r="S10" s="27"/>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EVT-2026-0636</v>
      </c>
      <c r="B11" s="30">
        <v>46175</v>
      </c>
      <c r="C11" s="27" t="s">
        <v>227</v>
      </c>
      <c r="D11" s="27" t="s">
        <v>125</v>
      </c>
      <c r="E11" s="27" t="s">
        <v>228</v>
      </c>
      <c r="F11" s="27" t="s">
        <v>1259</v>
      </c>
      <c r="G11" s="10">
        <v>30</v>
      </c>
      <c r="H11" s="36" t="s">
        <v>263</v>
      </c>
      <c r="I11" s="37" t="s">
        <v>309</v>
      </c>
      <c r="J11" s="37" t="s">
        <v>295</v>
      </c>
      <c r="K11" s="27"/>
      <c r="L11" s="27"/>
      <c r="M11" s="27" t="s">
        <v>367</v>
      </c>
      <c r="N11" s="27"/>
      <c r="O11" s="30" t="s">
        <v>2099</v>
      </c>
      <c r="P11" s="3" t="s">
        <v>312</v>
      </c>
      <c r="Q11" s="29" t="s">
        <v>265</v>
      </c>
      <c r="R11" s="27" t="s">
        <v>298</v>
      </c>
      <c r="S11" s="27"/>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EVT-2026-0637</v>
      </c>
      <c r="B12" s="30">
        <v>46175</v>
      </c>
      <c r="C12" s="27" t="s">
        <v>227</v>
      </c>
      <c r="D12" s="27" t="s">
        <v>1167</v>
      </c>
      <c r="E12" s="27" t="s">
        <v>1260</v>
      </c>
      <c r="F12" s="27" t="s">
        <v>1261</v>
      </c>
      <c r="G12" s="10">
        <v>15</v>
      </c>
      <c r="H12" s="36" t="s">
        <v>263</v>
      </c>
      <c r="I12" s="37" t="s">
        <v>359</v>
      </c>
      <c r="J12" s="37" t="s">
        <v>270</v>
      </c>
      <c r="K12" s="27"/>
      <c r="L12" s="27"/>
      <c r="M12" s="27" t="s">
        <v>1262</v>
      </c>
      <c r="N12" s="27"/>
      <c r="O12" s="30">
        <v>46174</v>
      </c>
      <c r="P12" s="1" t="s">
        <v>264</v>
      </c>
      <c r="Q12" s="29" t="s">
        <v>265</v>
      </c>
      <c r="R12" s="27" t="s">
        <v>298</v>
      </c>
      <c r="S12" s="27"/>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EVT-2026-0638</v>
      </c>
      <c r="B13" s="30">
        <v>46176</v>
      </c>
      <c r="C13" s="27" t="s">
        <v>201</v>
      </c>
      <c r="D13" s="27" t="s">
        <v>1167</v>
      </c>
      <c r="E13" s="27" t="s">
        <v>1260</v>
      </c>
      <c r="F13" s="27" t="s">
        <v>1261</v>
      </c>
      <c r="G13" s="10">
        <v>15</v>
      </c>
      <c r="H13" s="36" t="s">
        <v>263</v>
      </c>
      <c r="I13" s="37" t="s">
        <v>309</v>
      </c>
      <c r="J13" s="37" t="s">
        <v>448</v>
      </c>
      <c r="K13" s="27"/>
      <c r="L13" s="27"/>
      <c r="M13" s="27" t="s">
        <v>1262</v>
      </c>
      <c r="N13" s="27"/>
      <c r="O13" s="30">
        <v>46174</v>
      </c>
      <c r="P13" s="1" t="s">
        <v>264</v>
      </c>
      <c r="Q13" s="29" t="s">
        <v>265</v>
      </c>
      <c r="R13" s="27" t="s">
        <v>298</v>
      </c>
      <c r="S13" s="27"/>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EVT-2026-0639</v>
      </c>
      <c r="B14" s="30">
        <v>46176</v>
      </c>
      <c r="C14" s="27" t="s">
        <v>201</v>
      </c>
      <c r="D14" s="27" t="s">
        <v>125</v>
      </c>
      <c r="E14" s="27" t="s">
        <v>228</v>
      </c>
      <c r="F14" s="27" t="s">
        <v>1259</v>
      </c>
      <c r="G14" s="10">
        <v>30</v>
      </c>
      <c r="H14" s="36" t="s">
        <v>263</v>
      </c>
      <c r="I14" s="37" t="s">
        <v>330</v>
      </c>
      <c r="J14" s="37" t="s">
        <v>354</v>
      </c>
      <c r="K14" s="27"/>
      <c r="L14" s="27"/>
      <c r="M14" s="27" t="s">
        <v>367</v>
      </c>
      <c r="N14" s="27"/>
      <c r="O14" s="30" t="s">
        <v>2285</v>
      </c>
      <c r="P14" s="1" t="s">
        <v>264</v>
      </c>
      <c r="Q14" s="29" t="s">
        <v>265</v>
      </c>
      <c r="R14" s="27" t="s">
        <v>298</v>
      </c>
      <c r="S14" s="27"/>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EVT-2026-0640</v>
      </c>
      <c r="B15" s="30">
        <v>46176</v>
      </c>
      <c r="C15" s="27" t="s">
        <v>201</v>
      </c>
      <c r="D15" s="27" t="s">
        <v>125</v>
      </c>
      <c r="E15" s="27" t="s">
        <v>228</v>
      </c>
      <c r="F15" s="27" t="s">
        <v>874</v>
      </c>
      <c r="G15" s="10">
        <v>50</v>
      </c>
      <c r="H15" s="36" t="s">
        <v>263</v>
      </c>
      <c r="I15" s="37" t="s">
        <v>639</v>
      </c>
      <c r="J15" s="37" t="s">
        <v>289</v>
      </c>
      <c r="K15" s="27"/>
      <c r="L15" s="27"/>
      <c r="M15" s="27" t="s">
        <v>370</v>
      </c>
      <c r="N15" s="27"/>
      <c r="O15" s="30" t="s">
        <v>1551</v>
      </c>
      <c r="P15" s="1" t="s">
        <v>264</v>
      </c>
      <c r="Q15" s="29" t="s">
        <v>265</v>
      </c>
      <c r="R15" s="27" t="s">
        <v>298</v>
      </c>
      <c r="S15" s="27"/>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EVT-2026-0641</v>
      </c>
      <c r="B16" s="30">
        <v>46176</v>
      </c>
      <c r="C16" s="27" t="s">
        <v>201</v>
      </c>
      <c r="D16" s="27" t="s">
        <v>125</v>
      </c>
      <c r="E16" s="27" t="s">
        <v>228</v>
      </c>
      <c r="F16" s="27" t="s">
        <v>1263</v>
      </c>
      <c r="G16" s="10">
        <v>150</v>
      </c>
      <c r="H16" s="38" t="s">
        <v>294</v>
      </c>
      <c r="I16" s="37" t="s">
        <v>359</v>
      </c>
      <c r="J16" s="37" t="s">
        <v>270</v>
      </c>
      <c r="K16" s="27"/>
      <c r="L16" s="27"/>
      <c r="M16" s="27" t="s">
        <v>774</v>
      </c>
      <c r="N16" s="27"/>
      <c r="O16" s="27"/>
      <c r="P16" s="1" t="s">
        <v>264</v>
      </c>
      <c r="Q16" s="29" t="s">
        <v>265</v>
      </c>
      <c r="R16" s="27" t="s">
        <v>298</v>
      </c>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EVT-2026-0642</v>
      </c>
      <c r="B17" s="30">
        <v>46176</v>
      </c>
      <c r="C17" s="27" t="s">
        <v>201</v>
      </c>
      <c r="D17" s="27" t="s">
        <v>348</v>
      </c>
      <c r="E17" s="27" t="s">
        <v>208</v>
      </c>
      <c r="F17" s="27" t="s">
        <v>1264</v>
      </c>
      <c r="G17" s="10">
        <v>20</v>
      </c>
      <c r="H17" s="36" t="s">
        <v>263</v>
      </c>
      <c r="I17" s="37" t="s">
        <v>275</v>
      </c>
      <c r="J17" s="37" t="s">
        <v>309</v>
      </c>
      <c r="K17" s="27"/>
      <c r="L17" s="27"/>
      <c r="M17" s="27" t="s">
        <v>675</v>
      </c>
      <c r="N17" s="27"/>
      <c r="O17" s="27"/>
      <c r="P17" s="1" t="s">
        <v>264</v>
      </c>
      <c r="Q17" s="29" t="s">
        <v>265</v>
      </c>
      <c r="R17" s="27" t="s">
        <v>298</v>
      </c>
      <c r="S17" s="27"/>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EVT-2026-0643</v>
      </c>
      <c r="B18" s="30">
        <v>46176</v>
      </c>
      <c r="C18" s="27" t="s">
        <v>201</v>
      </c>
      <c r="D18" s="27" t="s">
        <v>348</v>
      </c>
      <c r="E18" s="27" t="s">
        <v>1260</v>
      </c>
      <c r="F18" s="27" t="s">
        <v>1265</v>
      </c>
      <c r="G18" s="10">
        <v>25</v>
      </c>
      <c r="H18" s="36" t="s">
        <v>263</v>
      </c>
      <c r="I18" s="37" t="s">
        <v>429</v>
      </c>
      <c r="J18" s="37" t="s">
        <v>354</v>
      </c>
      <c r="K18" s="27"/>
      <c r="L18" s="27"/>
      <c r="M18" s="27" t="s">
        <v>1249</v>
      </c>
      <c r="N18" s="27"/>
      <c r="O18" s="30" t="s">
        <v>2280</v>
      </c>
      <c r="P18" s="1" t="s">
        <v>264</v>
      </c>
      <c r="Q18" s="29" t="s">
        <v>265</v>
      </c>
      <c r="R18" s="27" t="s">
        <v>298</v>
      </c>
      <c r="S18" s="27"/>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EVT-2026-0644</v>
      </c>
      <c r="B19" s="30">
        <v>46176</v>
      </c>
      <c r="C19" s="27" t="s">
        <v>201</v>
      </c>
      <c r="D19" s="27" t="s">
        <v>348</v>
      </c>
      <c r="E19" s="27" t="s">
        <v>208</v>
      </c>
      <c r="F19" s="27" t="s">
        <v>349</v>
      </c>
      <c r="G19" s="10">
        <v>50</v>
      </c>
      <c r="H19" s="36" t="s">
        <v>263</v>
      </c>
      <c r="I19" s="37" t="s">
        <v>1266</v>
      </c>
      <c r="J19" s="37" t="s">
        <v>270</v>
      </c>
      <c r="K19" s="27"/>
      <c r="L19" s="27"/>
      <c r="M19" s="27" t="s">
        <v>351</v>
      </c>
      <c r="N19" s="27"/>
      <c r="O19" s="27"/>
      <c r="P19" s="1" t="s">
        <v>264</v>
      </c>
      <c r="Q19" s="29" t="s">
        <v>265</v>
      </c>
      <c r="R19" s="27" t="s">
        <v>1185</v>
      </c>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EVT-2026-0645</v>
      </c>
      <c r="B20" s="30">
        <v>46176</v>
      </c>
      <c r="C20" s="27" t="s">
        <v>201</v>
      </c>
      <c r="D20" s="27" t="s">
        <v>1267</v>
      </c>
      <c r="E20" s="27" t="s">
        <v>202</v>
      </c>
      <c r="F20" s="27" t="s">
        <v>1268</v>
      </c>
      <c r="G20" s="10">
        <v>80</v>
      </c>
      <c r="H20" s="36" t="s">
        <v>263</v>
      </c>
      <c r="I20" s="37" t="s">
        <v>331</v>
      </c>
      <c r="J20" s="37" t="s">
        <v>350</v>
      </c>
      <c r="K20" s="27"/>
      <c r="L20" s="27"/>
      <c r="M20" s="27" t="s">
        <v>615</v>
      </c>
      <c r="N20" s="27"/>
      <c r="O20" s="30">
        <v>46175</v>
      </c>
      <c r="P20" s="1" t="s">
        <v>264</v>
      </c>
      <c r="Q20" s="29" t="s">
        <v>265</v>
      </c>
      <c r="R20" s="27" t="s">
        <v>1269</v>
      </c>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EVT-2026-0646</v>
      </c>
      <c r="B21" s="30">
        <v>46176</v>
      </c>
      <c r="C21" s="27" t="s">
        <v>201</v>
      </c>
      <c r="D21" s="27" t="s">
        <v>736</v>
      </c>
      <c r="E21" s="27" t="s">
        <v>202</v>
      </c>
      <c r="F21" s="27" t="s">
        <v>1270</v>
      </c>
      <c r="G21" s="10">
        <v>35</v>
      </c>
      <c r="H21" s="36" t="s">
        <v>263</v>
      </c>
      <c r="I21" s="37" t="s">
        <v>315</v>
      </c>
      <c r="J21" s="37" t="s">
        <v>270</v>
      </c>
      <c r="K21" s="27"/>
      <c r="L21" s="27"/>
      <c r="M21" s="27" t="s">
        <v>367</v>
      </c>
      <c r="N21" s="27"/>
      <c r="O21" s="27"/>
      <c r="P21" s="3" t="s">
        <v>312</v>
      </c>
      <c r="Q21" s="29" t="s">
        <v>265</v>
      </c>
      <c r="R21" s="27" t="s">
        <v>1271</v>
      </c>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EVT-2026-0647</v>
      </c>
      <c r="B22" s="30">
        <v>46177</v>
      </c>
      <c r="C22" s="27" t="s">
        <v>216</v>
      </c>
      <c r="D22" s="27" t="s">
        <v>348</v>
      </c>
      <c r="E22" s="27" t="s">
        <v>208</v>
      </c>
      <c r="F22" s="27" t="s">
        <v>1272</v>
      </c>
      <c r="G22" s="10">
        <v>100</v>
      </c>
      <c r="H22" s="38" t="s">
        <v>294</v>
      </c>
      <c r="I22" s="37" t="s">
        <v>331</v>
      </c>
      <c r="J22" s="37" t="s">
        <v>639</v>
      </c>
      <c r="K22" s="27"/>
      <c r="L22" s="27"/>
      <c r="M22" s="27" t="s">
        <v>1273</v>
      </c>
      <c r="N22" s="27"/>
      <c r="O22" s="27" t="s">
        <v>1274</v>
      </c>
      <c r="P22" s="1" t="s">
        <v>264</v>
      </c>
      <c r="Q22" s="29" t="s">
        <v>265</v>
      </c>
      <c r="R22" s="27" t="s">
        <v>298</v>
      </c>
      <c r="S22" s="27"/>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EVT-2026-0648</v>
      </c>
      <c r="B23" s="30">
        <v>46177</v>
      </c>
      <c r="C23" s="27" t="s">
        <v>216</v>
      </c>
      <c r="D23" s="27" t="s">
        <v>125</v>
      </c>
      <c r="E23" s="27" t="s">
        <v>228</v>
      </c>
      <c r="F23" s="27" t="s">
        <v>874</v>
      </c>
      <c r="G23" s="10">
        <v>50</v>
      </c>
      <c r="H23" s="36" t="s">
        <v>263</v>
      </c>
      <c r="I23" s="37" t="s">
        <v>309</v>
      </c>
      <c r="J23" s="37" t="s">
        <v>270</v>
      </c>
      <c r="K23" s="27"/>
      <c r="L23" s="27"/>
      <c r="M23" s="27" t="s">
        <v>370</v>
      </c>
      <c r="N23" s="27"/>
      <c r="O23" s="30" t="s">
        <v>1551</v>
      </c>
      <c r="P23" s="1" t="s">
        <v>264</v>
      </c>
      <c r="Q23" s="29" t="s">
        <v>265</v>
      </c>
      <c r="R23" s="27" t="s">
        <v>298</v>
      </c>
      <c r="S23" s="27"/>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EVT-2026-0649</v>
      </c>
      <c r="B24" s="30">
        <v>46177</v>
      </c>
      <c r="C24" s="27" t="s">
        <v>216</v>
      </c>
      <c r="D24" s="27" t="s">
        <v>348</v>
      </c>
      <c r="E24" s="27" t="s">
        <v>1260</v>
      </c>
      <c r="F24" s="27" t="s">
        <v>710</v>
      </c>
      <c r="G24" s="10">
        <v>30</v>
      </c>
      <c r="H24" s="36" t="s">
        <v>263</v>
      </c>
      <c r="I24" s="37" t="s">
        <v>309</v>
      </c>
      <c r="J24" s="37" t="s">
        <v>295</v>
      </c>
      <c r="K24" s="27"/>
      <c r="L24" s="27"/>
      <c r="M24" s="27" t="s">
        <v>673</v>
      </c>
      <c r="N24" s="27"/>
      <c r="O24" s="27"/>
      <c r="P24" s="1" t="s">
        <v>264</v>
      </c>
      <c r="Q24" s="29" t="s">
        <v>265</v>
      </c>
      <c r="R24" s="27" t="s">
        <v>298</v>
      </c>
      <c r="S24" s="27"/>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EVT-2026-0650</v>
      </c>
      <c r="B25" s="30">
        <v>46177</v>
      </c>
      <c r="C25" s="27" t="s">
        <v>216</v>
      </c>
      <c r="D25" s="27" t="s">
        <v>348</v>
      </c>
      <c r="E25" s="27" t="s">
        <v>208</v>
      </c>
      <c r="F25" s="27" t="s">
        <v>217</v>
      </c>
      <c r="G25" s="10">
        <v>50</v>
      </c>
      <c r="H25" s="36" t="s">
        <v>263</v>
      </c>
      <c r="I25" s="37" t="s">
        <v>309</v>
      </c>
      <c r="J25" s="37" t="s">
        <v>270</v>
      </c>
      <c r="K25" s="27"/>
      <c r="L25" s="27"/>
      <c r="M25" s="27" t="s">
        <v>351</v>
      </c>
      <c r="N25" s="27"/>
      <c r="O25" s="27"/>
      <c r="P25" s="1" t="s">
        <v>264</v>
      </c>
      <c r="Q25" s="29" t="s">
        <v>265</v>
      </c>
      <c r="R25" s="27" t="s">
        <v>1275</v>
      </c>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EVT-2026-0651</v>
      </c>
      <c r="B26" s="30">
        <v>46177</v>
      </c>
      <c r="C26" s="27" t="s">
        <v>216</v>
      </c>
      <c r="D26" s="27" t="s">
        <v>239</v>
      </c>
      <c r="E26" s="27" t="s">
        <v>202</v>
      </c>
      <c r="F26" s="27" t="s">
        <v>1276</v>
      </c>
      <c r="G26" s="10">
        <v>100</v>
      </c>
      <c r="H26" s="38" t="s">
        <v>294</v>
      </c>
      <c r="I26" s="37" t="s">
        <v>295</v>
      </c>
      <c r="J26" s="37" t="s">
        <v>296</v>
      </c>
      <c r="K26" s="27"/>
      <c r="L26" s="27"/>
      <c r="M26" s="27" t="s">
        <v>518</v>
      </c>
      <c r="N26" s="27"/>
      <c r="O26" s="30" t="s">
        <v>2268</v>
      </c>
      <c r="P26" s="1" t="s">
        <v>264</v>
      </c>
      <c r="Q26" s="29" t="s">
        <v>265</v>
      </c>
      <c r="R26" s="27" t="s">
        <v>1150</v>
      </c>
      <c r="S26" s="27"/>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EVT-2026-0652</v>
      </c>
      <c r="B27" s="30">
        <v>46178</v>
      </c>
      <c r="C27" s="27" t="s">
        <v>220</v>
      </c>
      <c r="D27" s="27" t="s">
        <v>736</v>
      </c>
      <c r="E27" s="27" t="s">
        <v>228</v>
      </c>
      <c r="F27" s="27" t="s">
        <v>874</v>
      </c>
      <c r="G27" s="10">
        <v>50</v>
      </c>
      <c r="H27" s="36" t="s">
        <v>263</v>
      </c>
      <c r="I27" s="37" t="s">
        <v>309</v>
      </c>
      <c r="J27" s="37" t="s">
        <v>270</v>
      </c>
      <c r="K27" s="27"/>
      <c r="L27" s="27"/>
      <c r="M27" s="27" t="s">
        <v>370</v>
      </c>
      <c r="N27" s="27"/>
      <c r="O27" s="30" t="s">
        <v>1551</v>
      </c>
      <c r="P27" s="1" t="s">
        <v>264</v>
      </c>
      <c r="Q27" s="29" t="s">
        <v>265</v>
      </c>
      <c r="R27" s="27" t="s">
        <v>1275</v>
      </c>
      <c r="S27" s="27"/>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EVT-2026-0653</v>
      </c>
      <c r="B28" s="30">
        <v>46178</v>
      </c>
      <c r="C28" s="27" t="s">
        <v>220</v>
      </c>
      <c r="D28" s="27" t="s">
        <v>125</v>
      </c>
      <c r="E28" s="27" t="s">
        <v>228</v>
      </c>
      <c r="F28" s="27" t="s">
        <v>1277</v>
      </c>
      <c r="G28" s="10">
        <v>25</v>
      </c>
      <c r="H28" s="36" t="s">
        <v>263</v>
      </c>
      <c r="I28" s="37" t="s">
        <v>338</v>
      </c>
      <c r="J28" s="37" t="s">
        <v>270</v>
      </c>
      <c r="K28" s="27"/>
      <c r="L28" s="27"/>
      <c r="M28" s="27" t="s">
        <v>1278</v>
      </c>
      <c r="N28" s="27"/>
      <c r="O28" s="30" t="s">
        <v>2286</v>
      </c>
      <c r="P28" s="1" t="s">
        <v>264</v>
      </c>
      <c r="Q28" s="29" t="s">
        <v>265</v>
      </c>
      <c r="R28" s="27" t="s">
        <v>1279</v>
      </c>
      <c r="S28" s="27"/>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29" s="30">
        <v>46179</v>
      </c>
      <c r="C29" s="27" t="s">
        <v>266</v>
      </c>
      <c r="D29" s="27"/>
      <c r="E29" s="27"/>
      <c r="F29" s="27"/>
      <c r="G29" s="10"/>
      <c r="H29" s="36" t="s">
        <v>263</v>
      </c>
      <c r="I29" s="37"/>
      <c r="J29" s="37"/>
      <c r="K29" s="27"/>
      <c r="L29" s="27"/>
      <c r="M29" s="27"/>
      <c r="N29" s="27"/>
      <c r="O29" s="27"/>
      <c r="P29" s="1" t="s">
        <v>264</v>
      </c>
      <c r="Q29" s="29" t="s">
        <v>265</v>
      </c>
      <c r="R29" s="27"/>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30" s="30">
        <v>46180</v>
      </c>
      <c r="C30" s="27" t="s">
        <v>267</v>
      </c>
      <c r="D30" s="27"/>
      <c r="E30" s="27"/>
      <c r="F30" s="27"/>
      <c r="G30" s="10"/>
      <c r="H30" s="36" t="s">
        <v>263</v>
      </c>
      <c r="I30" s="37"/>
      <c r="J30" s="37"/>
      <c r="K30" s="27"/>
      <c r="L30" s="27"/>
      <c r="M30" s="27"/>
      <c r="N30" s="27"/>
      <c r="O30" s="27"/>
      <c r="P30" s="1" t="s">
        <v>264</v>
      </c>
      <c r="Q30" s="29" t="s">
        <v>265</v>
      </c>
      <c r="R30" s="27"/>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EVT-2026-0654</v>
      </c>
      <c r="B31" s="30">
        <v>46181</v>
      </c>
      <c r="C31" s="27" t="s">
        <v>224</v>
      </c>
      <c r="D31" s="27" t="s">
        <v>125</v>
      </c>
      <c r="E31" s="27" t="s">
        <v>228</v>
      </c>
      <c r="F31" s="27" t="s">
        <v>1280</v>
      </c>
      <c r="G31" s="10">
        <v>25</v>
      </c>
      <c r="H31" s="36" t="s">
        <v>263</v>
      </c>
      <c r="I31" s="37" t="s">
        <v>354</v>
      </c>
      <c r="J31" s="37" t="s">
        <v>275</v>
      </c>
      <c r="K31" s="27"/>
      <c r="L31" s="27"/>
      <c r="M31" s="27" t="s">
        <v>1281</v>
      </c>
      <c r="N31" s="27"/>
      <c r="O31" s="27"/>
      <c r="P31" s="1" t="s">
        <v>264</v>
      </c>
      <c r="Q31" s="29" t="s">
        <v>265</v>
      </c>
      <c r="R31" s="27" t="s">
        <v>1177</v>
      </c>
      <c r="S31" s="27"/>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EVT-2026-0655</v>
      </c>
      <c r="B32" s="30">
        <v>46181</v>
      </c>
      <c r="C32" s="27" t="s">
        <v>224</v>
      </c>
      <c r="D32" s="27" t="s">
        <v>125</v>
      </c>
      <c r="E32" s="27" t="s">
        <v>228</v>
      </c>
      <c r="F32" s="27" t="s">
        <v>1282</v>
      </c>
      <c r="G32" s="10">
        <v>30</v>
      </c>
      <c r="H32" s="36" t="s">
        <v>263</v>
      </c>
      <c r="I32" s="37" t="s">
        <v>309</v>
      </c>
      <c r="J32" s="37" t="s">
        <v>270</v>
      </c>
      <c r="K32" s="27"/>
      <c r="L32" s="27"/>
      <c r="M32" s="27" t="s">
        <v>367</v>
      </c>
      <c r="N32" s="27"/>
      <c r="O32" s="27"/>
      <c r="P32" s="1" t="s">
        <v>264</v>
      </c>
      <c r="Q32" s="29" t="s">
        <v>265</v>
      </c>
      <c r="R32" s="27" t="s">
        <v>696</v>
      </c>
      <c r="S32" s="27"/>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EVT-2026-0656</v>
      </c>
      <c r="B33" s="30">
        <v>46182</v>
      </c>
      <c r="C33" s="27" t="s">
        <v>227</v>
      </c>
      <c r="D33" s="27" t="s">
        <v>1283</v>
      </c>
      <c r="E33" s="27" t="s">
        <v>202</v>
      </c>
      <c r="F33" s="27" t="s">
        <v>1284</v>
      </c>
      <c r="G33" s="10">
        <v>200</v>
      </c>
      <c r="H33" s="38" t="s">
        <v>294</v>
      </c>
      <c r="I33" s="37" t="s">
        <v>295</v>
      </c>
      <c r="J33" s="37" t="s">
        <v>290</v>
      </c>
      <c r="K33" s="27" t="s">
        <v>1285</v>
      </c>
      <c r="L33" s="27"/>
      <c r="M33" s="27" t="s">
        <v>585</v>
      </c>
      <c r="N33" s="27"/>
      <c r="O33" s="27"/>
      <c r="P33" s="1" t="s">
        <v>264</v>
      </c>
      <c r="Q33" s="29" t="s">
        <v>265</v>
      </c>
      <c r="R33" s="27" t="s">
        <v>1286</v>
      </c>
      <c r="S33" s="27"/>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EVT-2026-0657</v>
      </c>
      <c r="B34" s="30">
        <v>46182</v>
      </c>
      <c r="C34" s="27" t="s">
        <v>227</v>
      </c>
      <c r="D34" s="27" t="s">
        <v>1287</v>
      </c>
      <c r="E34" s="27" t="s">
        <v>202</v>
      </c>
      <c r="F34" s="27" t="s">
        <v>1288</v>
      </c>
      <c r="G34" s="10"/>
      <c r="H34" s="36" t="s">
        <v>263</v>
      </c>
      <c r="I34" s="37" t="s">
        <v>269</v>
      </c>
      <c r="J34" s="37" t="s">
        <v>270</v>
      </c>
      <c r="K34" s="27"/>
      <c r="L34" s="27"/>
      <c r="M34" s="27" t="s">
        <v>379</v>
      </c>
      <c r="N34" s="27"/>
      <c r="O34" s="27"/>
      <c r="P34" s="1" t="s">
        <v>264</v>
      </c>
      <c r="Q34" s="29" t="s">
        <v>265</v>
      </c>
      <c r="R34" s="27" t="s">
        <v>1289</v>
      </c>
      <c r="S34" s="27"/>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EVT-2026-0658</v>
      </c>
      <c r="B35" s="30">
        <v>46182</v>
      </c>
      <c r="C35" s="27" t="s">
        <v>227</v>
      </c>
      <c r="D35" s="27" t="s">
        <v>1290</v>
      </c>
      <c r="E35" s="27" t="s">
        <v>208</v>
      </c>
      <c r="F35" s="27" t="s">
        <v>217</v>
      </c>
      <c r="G35" s="10">
        <v>50</v>
      </c>
      <c r="H35" s="36" t="s">
        <v>263</v>
      </c>
      <c r="I35" s="37" t="s">
        <v>309</v>
      </c>
      <c r="J35" s="37" t="s">
        <v>296</v>
      </c>
      <c r="K35" s="27"/>
      <c r="L35" s="27"/>
      <c r="M35" s="27" t="s">
        <v>1291</v>
      </c>
      <c r="N35" s="27"/>
      <c r="O35" s="27"/>
      <c r="P35" s="1" t="s">
        <v>264</v>
      </c>
      <c r="Q35" s="29" t="s">
        <v>265</v>
      </c>
      <c r="R35" s="27"/>
      <c r="S35" s="27"/>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EVT-2026-0659</v>
      </c>
      <c r="B36" s="30">
        <v>46182</v>
      </c>
      <c r="C36" s="27" t="s">
        <v>227</v>
      </c>
      <c r="D36" s="27" t="s">
        <v>1292</v>
      </c>
      <c r="E36" s="27" t="s">
        <v>228</v>
      </c>
      <c r="F36" s="27" t="s">
        <v>217</v>
      </c>
      <c r="G36" s="10">
        <v>50</v>
      </c>
      <c r="H36" s="36" t="s">
        <v>263</v>
      </c>
      <c r="I36" s="37" t="s">
        <v>309</v>
      </c>
      <c r="J36" s="37" t="s">
        <v>270</v>
      </c>
      <c r="K36" s="27"/>
      <c r="L36" s="27"/>
      <c r="M36" s="27" t="s">
        <v>370</v>
      </c>
      <c r="N36" s="27"/>
      <c r="O36" s="27"/>
      <c r="P36" s="1" t="s">
        <v>264</v>
      </c>
      <c r="Q36" s="29" t="s">
        <v>265</v>
      </c>
      <c r="R36" s="27" t="s">
        <v>298</v>
      </c>
      <c r="S36" s="27"/>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EVT-2026-0660</v>
      </c>
      <c r="B37" s="30">
        <v>46183</v>
      </c>
      <c r="C37" s="27" t="s">
        <v>201</v>
      </c>
      <c r="D37" s="27" t="s">
        <v>348</v>
      </c>
      <c r="E37" s="27" t="s">
        <v>202</v>
      </c>
      <c r="F37" s="27" t="s">
        <v>1293</v>
      </c>
      <c r="G37" s="10">
        <v>100</v>
      </c>
      <c r="H37" s="38" t="s">
        <v>294</v>
      </c>
      <c r="I37" s="37" t="s">
        <v>359</v>
      </c>
      <c r="J37" s="37" t="s">
        <v>290</v>
      </c>
      <c r="K37" s="27"/>
      <c r="L37" s="27"/>
      <c r="M37" s="27" t="s">
        <v>1294</v>
      </c>
      <c r="N37" s="27"/>
      <c r="O37" s="27" t="s">
        <v>1295</v>
      </c>
      <c r="P37" s="1" t="s">
        <v>264</v>
      </c>
      <c r="Q37" s="29" t="s">
        <v>265</v>
      </c>
      <c r="R37" s="27" t="s">
        <v>1296</v>
      </c>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EVT-2026-0661</v>
      </c>
      <c r="B38" s="30">
        <v>46183</v>
      </c>
      <c r="C38" s="27" t="s">
        <v>201</v>
      </c>
      <c r="D38" s="27" t="s">
        <v>348</v>
      </c>
      <c r="E38" s="27" t="s">
        <v>208</v>
      </c>
      <c r="F38" s="27" t="s">
        <v>1297</v>
      </c>
      <c r="G38" s="10">
        <v>80</v>
      </c>
      <c r="H38" s="36" t="s">
        <v>263</v>
      </c>
      <c r="I38" s="37" t="s">
        <v>338</v>
      </c>
      <c r="J38" s="37" t="s">
        <v>354</v>
      </c>
      <c r="K38" s="27"/>
      <c r="L38" s="27"/>
      <c r="M38" s="27" t="s">
        <v>1298</v>
      </c>
      <c r="N38" s="27"/>
      <c r="O38" s="27"/>
      <c r="P38" s="1" t="s">
        <v>264</v>
      </c>
      <c r="Q38" s="29" t="s">
        <v>265</v>
      </c>
      <c r="R38" s="27" t="s">
        <v>298</v>
      </c>
      <c r="S38" s="27"/>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EVT-2026-0662</v>
      </c>
      <c r="B39" s="30">
        <v>46183</v>
      </c>
      <c r="C39" s="27" t="s">
        <v>201</v>
      </c>
      <c r="D39" s="27" t="s">
        <v>125</v>
      </c>
      <c r="E39" s="27" t="s">
        <v>228</v>
      </c>
      <c r="F39" s="27" t="s">
        <v>1299</v>
      </c>
      <c r="G39" s="10">
        <v>50</v>
      </c>
      <c r="H39" s="36" t="s">
        <v>263</v>
      </c>
      <c r="I39" s="37" t="s">
        <v>506</v>
      </c>
      <c r="J39" s="37" t="s">
        <v>429</v>
      </c>
      <c r="K39" s="27"/>
      <c r="L39" s="27"/>
      <c r="M39" s="27" t="s">
        <v>1300</v>
      </c>
      <c r="N39" s="27"/>
      <c r="O39" s="27"/>
      <c r="P39" s="3" t="s">
        <v>312</v>
      </c>
      <c r="Q39" s="29" t="s">
        <v>265</v>
      </c>
      <c r="R39" s="27"/>
      <c r="S39" s="27"/>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EVT-2026-0663</v>
      </c>
      <c r="B40" s="30">
        <v>46183</v>
      </c>
      <c r="C40" s="27" t="s">
        <v>201</v>
      </c>
      <c r="D40" s="27" t="s">
        <v>125</v>
      </c>
      <c r="E40" s="27" t="s">
        <v>228</v>
      </c>
      <c r="F40" s="27" t="s">
        <v>1301</v>
      </c>
      <c r="G40" s="10">
        <v>120</v>
      </c>
      <c r="H40" s="38" t="s">
        <v>294</v>
      </c>
      <c r="I40" s="37" t="s">
        <v>309</v>
      </c>
      <c r="J40" s="37" t="s">
        <v>295</v>
      </c>
      <c r="K40" s="27"/>
      <c r="L40" s="27"/>
      <c r="M40" s="27" t="s">
        <v>1302</v>
      </c>
      <c r="N40" s="27"/>
      <c r="O40" s="27"/>
      <c r="P40" s="1" t="s">
        <v>264</v>
      </c>
      <c r="Q40" s="29" t="s">
        <v>265</v>
      </c>
      <c r="R40" s="27" t="s">
        <v>298</v>
      </c>
      <c r="S40" s="27"/>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EVT-2026-0664</v>
      </c>
      <c r="B41" s="30">
        <v>46183</v>
      </c>
      <c r="C41" s="27" t="s">
        <v>201</v>
      </c>
      <c r="D41" s="27" t="s">
        <v>348</v>
      </c>
      <c r="E41" s="27" t="s">
        <v>208</v>
      </c>
      <c r="F41" s="27" t="s">
        <v>1303</v>
      </c>
      <c r="G41" s="10">
        <v>50</v>
      </c>
      <c r="H41" s="36" t="s">
        <v>263</v>
      </c>
      <c r="I41" s="37" t="s">
        <v>309</v>
      </c>
      <c r="J41" s="37" t="s">
        <v>296</v>
      </c>
      <c r="K41" s="27"/>
      <c r="L41" s="27"/>
      <c r="M41" s="27" t="s">
        <v>1304</v>
      </c>
      <c r="N41" s="27"/>
      <c r="O41" s="27"/>
      <c r="P41" s="3" t="s">
        <v>312</v>
      </c>
      <c r="Q41" s="29" t="s">
        <v>265</v>
      </c>
      <c r="R41" s="27"/>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EVT-2026-0665</v>
      </c>
      <c r="B42" s="30">
        <v>46184</v>
      </c>
      <c r="C42" s="27" t="s">
        <v>216</v>
      </c>
      <c r="D42" s="27" t="s">
        <v>348</v>
      </c>
      <c r="E42" s="27" t="s">
        <v>208</v>
      </c>
      <c r="F42" s="27" t="s">
        <v>1305</v>
      </c>
      <c r="G42" s="10">
        <v>65</v>
      </c>
      <c r="H42" s="36" t="s">
        <v>263</v>
      </c>
      <c r="I42" s="37" t="s">
        <v>330</v>
      </c>
      <c r="J42" s="37" t="s">
        <v>354</v>
      </c>
      <c r="K42" s="27"/>
      <c r="L42" s="27"/>
      <c r="M42" s="27" t="s">
        <v>532</v>
      </c>
      <c r="N42" s="27"/>
      <c r="O42" s="27"/>
      <c r="P42" s="1" t="s">
        <v>264</v>
      </c>
      <c r="Q42" s="29" t="s">
        <v>265</v>
      </c>
      <c r="R42" s="27" t="s">
        <v>298</v>
      </c>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EVT-2026-0666</v>
      </c>
      <c r="B43" s="30">
        <v>46184</v>
      </c>
      <c r="C43" s="27" t="s">
        <v>216</v>
      </c>
      <c r="D43" s="27" t="s">
        <v>125</v>
      </c>
      <c r="E43" s="27" t="s">
        <v>228</v>
      </c>
      <c r="F43" s="27" t="s">
        <v>1306</v>
      </c>
      <c r="G43" s="10">
        <v>15</v>
      </c>
      <c r="H43" s="36" t="s">
        <v>263</v>
      </c>
      <c r="I43" s="37" t="s">
        <v>331</v>
      </c>
      <c r="J43" s="37" t="s">
        <v>270</v>
      </c>
      <c r="K43" s="27" t="s">
        <v>1307</v>
      </c>
      <c r="L43" s="27"/>
      <c r="M43" s="27" t="s">
        <v>916</v>
      </c>
      <c r="N43" s="27"/>
      <c r="O43" s="27"/>
      <c r="P43" s="1" t="s">
        <v>264</v>
      </c>
      <c r="Q43" s="29" t="s">
        <v>265</v>
      </c>
      <c r="R43" s="27" t="s">
        <v>1308</v>
      </c>
      <c r="S43" s="27"/>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EVT-2026-0667</v>
      </c>
      <c r="B44" s="30">
        <v>46184</v>
      </c>
      <c r="C44" s="27" t="s">
        <v>216</v>
      </c>
      <c r="D44" s="27" t="s">
        <v>1309</v>
      </c>
      <c r="E44" s="27" t="s">
        <v>202</v>
      </c>
      <c r="F44" s="27" t="s">
        <v>895</v>
      </c>
      <c r="G44" s="10"/>
      <c r="H44" s="36" t="s">
        <v>263</v>
      </c>
      <c r="I44" s="37"/>
      <c r="J44" s="37"/>
      <c r="K44" s="27"/>
      <c r="L44" s="27"/>
      <c r="M44" s="27" t="s">
        <v>1310</v>
      </c>
      <c r="N44" s="27"/>
      <c r="O44" s="27"/>
      <c r="P44" s="1" t="s">
        <v>264</v>
      </c>
      <c r="Q44" s="29" t="s">
        <v>265</v>
      </c>
      <c r="R44" s="27"/>
      <c r="S44" s="27"/>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EVT-2026-0668</v>
      </c>
      <c r="B45" s="30">
        <v>46184</v>
      </c>
      <c r="C45" s="27" t="s">
        <v>216</v>
      </c>
      <c r="D45" s="27" t="s">
        <v>348</v>
      </c>
      <c r="E45" s="27" t="s">
        <v>208</v>
      </c>
      <c r="F45" s="27" t="s">
        <v>1303</v>
      </c>
      <c r="G45" s="10">
        <v>50</v>
      </c>
      <c r="H45" s="36" t="s">
        <v>263</v>
      </c>
      <c r="I45" s="37" t="s">
        <v>309</v>
      </c>
      <c r="J45" s="37" t="s">
        <v>296</v>
      </c>
      <c r="K45" s="27"/>
      <c r="L45" s="27"/>
      <c r="M45" s="27" t="s">
        <v>1304</v>
      </c>
      <c r="N45" s="27"/>
      <c r="O45" s="27"/>
      <c r="P45" s="1" t="s">
        <v>264</v>
      </c>
      <c r="Q45" s="29" t="s">
        <v>265</v>
      </c>
      <c r="R45" s="27" t="s">
        <v>1311</v>
      </c>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EVT-2026-0669</v>
      </c>
      <c r="B46" s="30">
        <v>46185</v>
      </c>
      <c r="C46" s="27" t="s">
        <v>220</v>
      </c>
      <c r="D46" s="27" t="s">
        <v>125</v>
      </c>
      <c r="E46" s="27" t="s">
        <v>228</v>
      </c>
      <c r="F46" s="27" t="s">
        <v>1299</v>
      </c>
      <c r="G46" s="10">
        <v>50</v>
      </c>
      <c r="H46" s="36" t="s">
        <v>263</v>
      </c>
      <c r="I46" s="37" t="s">
        <v>274</v>
      </c>
      <c r="J46" s="37" t="s">
        <v>330</v>
      </c>
      <c r="K46" s="27"/>
      <c r="L46" s="27"/>
      <c r="M46" s="27" t="s">
        <v>1300</v>
      </c>
      <c r="N46" s="27"/>
      <c r="O46" s="27"/>
      <c r="P46" s="1" t="s">
        <v>264</v>
      </c>
      <c r="Q46" s="29" t="s">
        <v>265</v>
      </c>
      <c r="R46" s="27"/>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EVT-2026-0670</v>
      </c>
      <c r="B47" s="30">
        <v>46185</v>
      </c>
      <c r="C47" s="27" t="s">
        <v>220</v>
      </c>
      <c r="D47" s="27" t="s">
        <v>1312</v>
      </c>
      <c r="E47" s="27" t="s">
        <v>202</v>
      </c>
      <c r="F47" s="27" t="s">
        <v>895</v>
      </c>
      <c r="G47" s="10">
        <v>17</v>
      </c>
      <c r="H47" s="36" t="s">
        <v>263</v>
      </c>
      <c r="I47" s="37" t="s">
        <v>331</v>
      </c>
      <c r="J47" s="37" t="s">
        <v>275</v>
      </c>
      <c r="K47" s="27"/>
      <c r="L47" s="27"/>
      <c r="M47" s="27" t="s">
        <v>993</v>
      </c>
      <c r="N47" s="27"/>
      <c r="O47" s="27"/>
      <c r="P47" s="1" t="s">
        <v>264</v>
      </c>
      <c r="Q47" s="29" t="s">
        <v>265</v>
      </c>
      <c r="R47" s="27" t="s">
        <v>1313</v>
      </c>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EVT-2026-0671</v>
      </c>
      <c r="B48" s="30">
        <v>46185</v>
      </c>
      <c r="C48" s="27" t="s">
        <v>220</v>
      </c>
      <c r="D48" s="27" t="s">
        <v>125</v>
      </c>
      <c r="E48" s="27" t="s">
        <v>228</v>
      </c>
      <c r="F48" s="27" t="s">
        <v>1314</v>
      </c>
      <c r="G48" s="10">
        <v>24</v>
      </c>
      <c r="H48" s="36" t="s">
        <v>263</v>
      </c>
      <c r="I48" s="37" t="s">
        <v>275</v>
      </c>
      <c r="J48" s="37" t="s">
        <v>270</v>
      </c>
      <c r="K48" s="27" t="s">
        <v>1315</v>
      </c>
      <c r="L48" s="27"/>
      <c r="M48" s="27" t="s">
        <v>1316</v>
      </c>
      <c r="N48" s="27"/>
      <c r="O48" s="27"/>
      <c r="P48" s="1" t="s">
        <v>264</v>
      </c>
      <c r="Q48" s="29" t="s">
        <v>265</v>
      </c>
      <c r="R48" s="27" t="s">
        <v>1317</v>
      </c>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49" s="30">
        <v>46186</v>
      </c>
      <c r="C49" s="27" t="s">
        <v>266</v>
      </c>
      <c r="D49" s="27"/>
      <c r="E49" s="27"/>
      <c r="F49" s="27"/>
      <c r="G49" s="10"/>
      <c r="H49" s="36" t="s">
        <v>263</v>
      </c>
      <c r="I49" s="37"/>
      <c r="J49" s="37"/>
      <c r="K49" s="27"/>
      <c r="L49" s="27"/>
      <c r="M49" s="27"/>
      <c r="N49" s="27"/>
      <c r="O49" s="27"/>
      <c r="P49" s="1" t="s">
        <v>264</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50" s="30">
        <v>46187</v>
      </c>
      <c r="C50" s="27" t="s">
        <v>267</v>
      </c>
      <c r="D50" s="27"/>
      <c r="E50" s="27"/>
      <c r="F50" s="27"/>
      <c r="G50" s="10"/>
      <c r="H50" s="36" t="s">
        <v>263</v>
      </c>
      <c r="I50" s="37"/>
      <c r="J50" s="37"/>
      <c r="K50" s="27"/>
      <c r="L50" s="27"/>
      <c r="M50" s="27"/>
      <c r="N50" s="27"/>
      <c r="O50" s="27"/>
      <c r="P50" s="1" t="s">
        <v>264</v>
      </c>
      <c r="Q50" s="29" t="s">
        <v>265</v>
      </c>
      <c r="R50" s="27"/>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EVT-2026-0672</v>
      </c>
      <c r="B51" s="30">
        <v>46188</v>
      </c>
      <c r="C51" s="27" t="s">
        <v>224</v>
      </c>
      <c r="D51" s="27" t="s">
        <v>1318</v>
      </c>
      <c r="E51" s="27" t="s">
        <v>1260</v>
      </c>
      <c r="F51" s="27" t="s">
        <v>1319</v>
      </c>
      <c r="G51" s="10">
        <v>8</v>
      </c>
      <c r="H51" s="36" t="s">
        <v>263</v>
      </c>
      <c r="I51" s="37" t="s">
        <v>269</v>
      </c>
      <c r="J51" s="37" t="s">
        <v>1320</v>
      </c>
      <c r="K51" s="27"/>
      <c r="L51" s="27"/>
      <c r="M51" s="27" t="s">
        <v>1321</v>
      </c>
      <c r="N51" s="27"/>
      <c r="O51" s="30">
        <v>46181</v>
      </c>
      <c r="P51" s="1" t="s">
        <v>264</v>
      </c>
      <c r="Q51" s="29" t="s">
        <v>265</v>
      </c>
      <c r="R51" s="27" t="s">
        <v>1322</v>
      </c>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EVT-2026-0673</v>
      </c>
      <c r="B52" s="30">
        <v>46189</v>
      </c>
      <c r="C52" s="27" t="s">
        <v>227</v>
      </c>
      <c r="D52" s="27" t="s">
        <v>239</v>
      </c>
      <c r="E52" s="27" t="s">
        <v>202</v>
      </c>
      <c r="F52" s="27" t="s">
        <v>353</v>
      </c>
      <c r="G52" s="10">
        <v>180</v>
      </c>
      <c r="H52" s="38" t="s">
        <v>294</v>
      </c>
      <c r="I52" s="37" t="s">
        <v>295</v>
      </c>
      <c r="J52" s="37" t="s">
        <v>296</v>
      </c>
      <c r="K52" s="27"/>
      <c r="L52" s="27"/>
      <c r="M52" s="27" t="s">
        <v>811</v>
      </c>
      <c r="N52" s="27"/>
      <c r="O52" s="30" t="s">
        <v>2287</v>
      </c>
      <c r="P52" s="1" t="s">
        <v>264</v>
      </c>
      <c r="Q52" s="29" t="s">
        <v>265</v>
      </c>
      <c r="R52" s="27" t="s">
        <v>1323</v>
      </c>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EVT-2026-0674</v>
      </c>
      <c r="B53" s="30">
        <v>46189</v>
      </c>
      <c r="C53" s="27" t="s">
        <v>227</v>
      </c>
      <c r="D53" s="27" t="s">
        <v>736</v>
      </c>
      <c r="E53" s="27" t="s">
        <v>202</v>
      </c>
      <c r="F53" s="27" t="s">
        <v>1324</v>
      </c>
      <c r="G53" s="10">
        <v>25</v>
      </c>
      <c r="H53" s="36" t="s">
        <v>263</v>
      </c>
      <c r="I53" s="37" t="s">
        <v>506</v>
      </c>
      <c r="J53" s="37" t="s">
        <v>331</v>
      </c>
      <c r="K53" s="27"/>
      <c r="L53" s="27"/>
      <c r="M53" s="27" t="s">
        <v>774</v>
      </c>
      <c r="N53" s="27"/>
      <c r="O53" s="27"/>
      <c r="P53" s="1" t="s">
        <v>264</v>
      </c>
      <c r="Q53" s="29" t="s">
        <v>265</v>
      </c>
      <c r="R53" s="27" t="s">
        <v>1177</v>
      </c>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EVT-2026-0675</v>
      </c>
      <c r="B54" s="30">
        <v>46189</v>
      </c>
      <c r="C54" s="27" t="s">
        <v>227</v>
      </c>
      <c r="D54" s="27" t="s">
        <v>348</v>
      </c>
      <c r="E54" s="27" t="s">
        <v>208</v>
      </c>
      <c r="F54" s="27" t="s">
        <v>1303</v>
      </c>
      <c r="G54" s="10">
        <v>50</v>
      </c>
      <c r="H54" s="36" t="s">
        <v>263</v>
      </c>
      <c r="I54" s="37" t="s">
        <v>309</v>
      </c>
      <c r="J54" s="37" t="s">
        <v>296</v>
      </c>
      <c r="K54" s="27"/>
      <c r="L54" s="27"/>
      <c r="M54" s="27" t="s">
        <v>1304</v>
      </c>
      <c r="N54" s="27"/>
      <c r="O54" s="27"/>
      <c r="P54" s="1" t="s">
        <v>264</v>
      </c>
      <c r="Q54" s="29" t="s">
        <v>265</v>
      </c>
      <c r="R54" s="27"/>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EVT-2026-0676</v>
      </c>
      <c r="B55" s="30">
        <v>46189</v>
      </c>
      <c r="C55" s="27" t="s">
        <v>227</v>
      </c>
      <c r="D55" s="27" t="s">
        <v>1318</v>
      </c>
      <c r="E55" s="27" t="s">
        <v>1260</v>
      </c>
      <c r="F55" s="27" t="s">
        <v>1319</v>
      </c>
      <c r="G55" s="10">
        <v>8</v>
      </c>
      <c r="H55" s="36" t="s">
        <v>263</v>
      </c>
      <c r="I55" s="37" t="s">
        <v>269</v>
      </c>
      <c r="J55" s="37" t="s">
        <v>1320</v>
      </c>
      <c r="K55" s="27"/>
      <c r="L55" s="27"/>
      <c r="M55" s="27" t="s">
        <v>1321</v>
      </c>
      <c r="N55" s="27"/>
      <c r="O55" s="30">
        <v>46181</v>
      </c>
      <c r="P55" s="1" t="s">
        <v>264</v>
      </c>
      <c r="Q55" s="29" t="s">
        <v>265</v>
      </c>
      <c r="R55" s="27" t="s">
        <v>1322</v>
      </c>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EVT-2026-0677</v>
      </c>
      <c r="B56" s="30">
        <v>46189</v>
      </c>
      <c r="C56" s="27" t="s">
        <v>227</v>
      </c>
      <c r="D56" s="27" t="s">
        <v>348</v>
      </c>
      <c r="E56" s="27" t="s">
        <v>208</v>
      </c>
      <c r="F56" s="27" t="s">
        <v>812</v>
      </c>
      <c r="G56" s="10">
        <v>75</v>
      </c>
      <c r="H56" s="36" t="s">
        <v>263</v>
      </c>
      <c r="I56" s="37" t="s">
        <v>274</v>
      </c>
      <c r="J56" s="37" t="s">
        <v>354</v>
      </c>
      <c r="K56" s="27"/>
      <c r="L56" s="27"/>
      <c r="M56" s="27" t="s">
        <v>1325</v>
      </c>
      <c r="N56" s="27"/>
      <c r="O56" s="30" t="s">
        <v>2176</v>
      </c>
      <c r="P56" s="1" t="s">
        <v>264</v>
      </c>
      <c r="Q56" s="29" t="s">
        <v>265</v>
      </c>
      <c r="R56" s="27" t="s">
        <v>298</v>
      </c>
      <c r="S56" s="27"/>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EVT-2026-0678</v>
      </c>
      <c r="B57" s="30">
        <v>46189</v>
      </c>
      <c r="C57" s="27" t="s">
        <v>227</v>
      </c>
      <c r="D57" s="27" t="s">
        <v>125</v>
      </c>
      <c r="E57" s="27" t="s">
        <v>228</v>
      </c>
      <c r="F57" s="27" t="s">
        <v>1326</v>
      </c>
      <c r="G57" s="10">
        <v>85</v>
      </c>
      <c r="H57" s="36" t="s">
        <v>263</v>
      </c>
      <c r="I57" s="37" t="s">
        <v>350</v>
      </c>
      <c r="J57" s="37" t="s">
        <v>289</v>
      </c>
      <c r="K57" s="27"/>
      <c r="L57" s="27"/>
      <c r="M57" s="27" t="s">
        <v>378</v>
      </c>
      <c r="N57" s="27"/>
      <c r="O57" s="30" t="s">
        <v>2288</v>
      </c>
      <c r="P57" s="1" t="s">
        <v>264</v>
      </c>
      <c r="Q57" s="29" t="s">
        <v>265</v>
      </c>
      <c r="R57" s="27" t="s">
        <v>298</v>
      </c>
      <c r="S57" s="27"/>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EVT-2026-0679</v>
      </c>
      <c r="B58" s="30">
        <v>46189</v>
      </c>
      <c r="C58" s="27" t="s">
        <v>227</v>
      </c>
      <c r="D58" s="27" t="s">
        <v>125</v>
      </c>
      <c r="E58" s="27" t="s">
        <v>228</v>
      </c>
      <c r="F58" s="27" t="s">
        <v>1167</v>
      </c>
      <c r="G58" s="10">
        <v>15</v>
      </c>
      <c r="H58" s="36" t="s">
        <v>263</v>
      </c>
      <c r="I58" s="37" t="s">
        <v>1327</v>
      </c>
      <c r="J58" s="37" t="s">
        <v>275</v>
      </c>
      <c r="K58" s="27" t="s">
        <v>1328</v>
      </c>
      <c r="L58" s="27"/>
      <c r="M58" s="27" t="s">
        <v>1329</v>
      </c>
      <c r="N58" s="27"/>
      <c r="O58" s="27"/>
      <c r="P58" s="1" t="s">
        <v>264</v>
      </c>
      <c r="Q58" s="29" t="s">
        <v>265</v>
      </c>
      <c r="R58" s="27"/>
      <c r="S58" s="27"/>
    </row>
    <row r="59" spans="1:19" ht="24" customHeight="1">
      <c r="A59" s="27"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EVT-2026-0680</v>
      </c>
      <c r="B59" s="30">
        <v>46189</v>
      </c>
      <c r="C59" s="27" t="s">
        <v>227</v>
      </c>
      <c r="D59" s="27" t="s">
        <v>125</v>
      </c>
      <c r="E59" s="27" t="s">
        <v>228</v>
      </c>
      <c r="F59" s="27" t="s">
        <v>1330</v>
      </c>
      <c r="G59" s="10">
        <v>100</v>
      </c>
      <c r="H59" s="38" t="s">
        <v>294</v>
      </c>
      <c r="I59" s="37" t="s">
        <v>274</v>
      </c>
      <c r="J59" s="37" t="s">
        <v>429</v>
      </c>
      <c r="K59" s="27"/>
      <c r="L59" s="27"/>
      <c r="M59" s="27" t="s">
        <v>585</v>
      </c>
      <c r="N59" s="27"/>
      <c r="O59" s="27"/>
      <c r="P59" s="1" t="s">
        <v>264</v>
      </c>
      <c r="Q59" s="29" t="s">
        <v>265</v>
      </c>
      <c r="R59" s="27" t="s">
        <v>298</v>
      </c>
      <c r="S59" s="27"/>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EVT-2026-0681</v>
      </c>
      <c r="B60" s="30">
        <v>46190</v>
      </c>
      <c r="C60" s="27" t="s">
        <v>201</v>
      </c>
      <c r="D60" s="27" t="s">
        <v>348</v>
      </c>
      <c r="E60" s="27" t="s">
        <v>208</v>
      </c>
      <c r="F60" s="27" t="s">
        <v>1297</v>
      </c>
      <c r="G60" s="10">
        <v>100</v>
      </c>
      <c r="H60" s="38" t="s">
        <v>294</v>
      </c>
      <c r="I60" s="37" t="s">
        <v>269</v>
      </c>
      <c r="J60" s="37" t="s">
        <v>429</v>
      </c>
      <c r="K60" s="27" t="s">
        <v>1331</v>
      </c>
      <c r="L60" s="27"/>
      <c r="M60" s="27" t="s">
        <v>1332</v>
      </c>
      <c r="N60" s="27"/>
      <c r="O60" s="30" t="s">
        <v>2099</v>
      </c>
      <c r="P60" s="1" t="s">
        <v>264</v>
      </c>
      <c r="Q60" s="29" t="s">
        <v>265</v>
      </c>
      <c r="R60" s="27" t="s">
        <v>298</v>
      </c>
      <c r="S60" s="27"/>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EVT-2026-0682</v>
      </c>
      <c r="B61" s="30">
        <v>46190</v>
      </c>
      <c r="C61" s="27" t="s">
        <v>201</v>
      </c>
      <c r="D61" s="27" t="s">
        <v>125</v>
      </c>
      <c r="E61" s="27" t="s">
        <v>228</v>
      </c>
      <c r="F61" s="27" t="s">
        <v>1333</v>
      </c>
      <c r="G61" s="10">
        <v>60</v>
      </c>
      <c r="H61" s="36" t="s">
        <v>263</v>
      </c>
      <c r="I61" s="37" t="s">
        <v>275</v>
      </c>
      <c r="J61" s="37" t="s">
        <v>309</v>
      </c>
      <c r="K61" s="27"/>
      <c r="L61" s="27"/>
      <c r="M61" s="27" t="s">
        <v>1334</v>
      </c>
      <c r="N61" s="27"/>
      <c r="O61" s="27"/>
      <c r="P61" s="1" t="s">
        <v>264</v>
      </c>
      <c r="Q61" s="29" t="s">
        <v>265</v>
      </c>
      <c r="R61" s="27" t="s">
        <v>1335</v>
      </c>
      <c r="S61" s="27"/>
    </row>
    <row r="62" spans="1:19" ht="24" customHeight="1">
      <c r="A62" s="27"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EVT-2026-0683</v>
      </c>
      <c r="B62" s="30">
        <v>46190</v>
      </c>
      <c r="C62" s="27" t="s">
        <v>201</v>
      </c>
      <c r="D62" s="27" t="s">
        <v>125</v>
      </c>
      <c r="E62" s="27" t="s">
        <v>228</v>
      </c>
      <c r="F62" s="27" t="s">
        <v>872</v>
      </c>
      <c r="G62" s="10">
        <v>50</v>
      </c>
      <c r="H62" s="36" t="s">
        <v>263</v>
      </c>
      <c r="I62" s="37" t="s">
        <v>274</v>
      </c>
      <c r="J62" s="37" t="s">
        <v>330</v>
      </c>
      <c r="K62" s="27"/>
      <c r="L62" s="27"/>
      <c r="M62" s="27" t="s">
        <v>1336</v>
      </c>
      <c r="N62" s="27"/>
      <c r="O62" s="27"/>
      <c r="P62" s="1" t="s">
        <v>264</v>
      </c>
      <c r="Q62" s="29" t="s">
        <v>265</v>
      </c>
      <c r="R62" s="27" t="s">
        <v>1337</v>
      </c>
      <c r="S62" s="27"/>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EVT-2026-0684</v>
      </c>
      <c r="B63" s="30">
        <v>46190</v>
      </c>
      <c r="C63" s="27" t="s">
        <v>201</v>
      </c>
      <c r="D63" s="27" t="s">
        <v>348</v>
      </c>
      <c r="E63" s="27" t="s">
        <v>208</v>
      </c>
      <c r="F63" s="27" t="s">
        <v>1303</v>
      </c>
      <c r="G63" s="10">
        <v>50</v>
      </c>
      <c r="H63" s="36" t="s">
        <v>263</v>
      </c>
      <c r="I63" s="37" t="s">
        <v>309</v>
      </c>
      <c r="J63" s="37" t="s">
        <v>296</v>
      </c>
      <c r="K63" s="27"/>
      <c r="L63" s="27"/>
      <c r="M63" s="27" t="s">
        <v>1304</v>
      </c>
      <c r="N63" s="27"/>
      <c r="O63" s="27"/>
      <c r="P63" s="1" t="s">
        <v>264</v>
      </c>
      <c r="Q63" s="29" t="s">
        <v>265</v>
      </c>
      <c r="R63" s="27"/>
      <c r="S63" s="27"/>
    </row>
    <row r="64" spans="1:19" ht="24" customHeight="1">
      <c r="A64" s="27"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EVT-2026-0685</v>
      </c>
      <c r="B64" s="30">
        <v>46190</v>
      </c>
      <c r="C64" s="27" t="s">
        <v>201</v>
      </c>
      <c r="D64" s="27" t="s">
        <v>1318</v>
      </c>
      <c r="E64" s="27" t="s">
        <v>1260</v>
      </c>
      <c r="F64" s="27" t="s">
        <v>1319</v>
      </c>
      <c r="G64" s="10">
        <v>8</v>
      </c>
      <c r="H64" s="36" t="s">
        <v>263</v>
      </c>
      <c r="I64" s="37" t="s">
        <v>269</v>
      </c>
      <c r="J64" s="37" t="s">
        <v>1320</v>
      </c>
      <c r="K64" s="27"/>
      <c r="L64" s="27"/>
      <c r="M64" s="27" t="s">
        <v>1321</v>
      </c>
      <c r="N64" s="27"/>
      <c r="O64" s="30">
        <v>46181</v>
      </c>
      <c r="P64" s="1" t="s">
        <v>264</v>
      </c>
      <c r="Q64" s="29" t="s">
        <v>265</v>
      </c>
      <c r="R64" s="27" t="s">
        <v>1322</v>
      </c>
      <c r="S64" s="27"/>
    </row>
    <row r="65" spans="1:19" ht="24" customHeight="1">
      <c r="A65" s="27"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EVT-2026-0686</v>
      </c>
      <c r="B65" s="30">
        <v>46190</v>
      </c>
      <c r="C65" s="27" t="s">
        <v>201</v>
      </c>
      <c r="D65" s="27" t="s">
        <v>125</v>
      </c>
      <c r="E65" s="27" t="s">
        <v>228</v>
      </c>
      <c r="F65" s="27" t="s">
        <v>1338</v>
      </c>
      <c r="G65" s="10">
        <v>30</v>
      </c>
      <c r="H65" s="36" t="s">
        <v>263</v>
      </c>
      <c r="I65" s="37" t="s">
        <v>359</v>
      </c>
      <c r="J65" s="37" t="s">
        <v>270</v>
      </c>
      <c r="K65" s="27"/>
      <c r="L65" s="27"/>
      <c r="M65" s="27" t="s">
        <v>745</v>
      </c>
      <c r="N65" s="27"/>
      <c r="O65" s="30">
        <v>46183</v>
      </c>
      <c r="P65" s="1" t="s">
        <v>264</v>
      </c>
      <c r="Q65" s="29" t="s">
        <v>265</v>
      </c>
      <c r="R65" s="27"/>
      <c r="S65" s="27"/>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EVT-2026-0687</v>
      </c>
      <c r="B66" s="30">
        <v>46190</v>
      </c>
      <c r="C66" s="27" t="s">
        <v>201</v>
      </c>
      <c r="D66" s="27" t="s">
        <v>736</v>
      </c>
      <c r="E66" s="27" t="s">
        <v>202</v>
      </c>
      <c r="F66" s="27" t="s">
        <v>1339</v>
      </c>
      <c r="G66" s="10">
        <v>40</v>
      </c>
      <c r="H66" s="36" t="s">
        <v>263</v>
      </c>
      <c r="I66" s="37" t="s">
        <v>274</v>
      </c>
      <c r="J66" s="37" t="s">
        <v>429</v>
      </c>
      <c r="K66" s="27"/>
      <c r="L66" s="27"/>
      <c r="M66" s="27" t="s">
        <v>1340</v>
      </c>
      <c r="N66" s="27"/>
      <c r="O66" s="30">
        <v>46189</v>
      </c>
      <c r="P66" s="1" t="s">
        <v>264</v>
      </c>
      <c r="Q66" s="29" t="s">
        <v>265</v>
      </c>
      <c r="R66" s="27" t="s">
        <v>1177</v>
      </c>
      <c r="S66" s="27"/>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EVT-2026-0688</v>
      </c>
      <c r="B67" s="30">
        <v>46190</v>
      </c>
      <c r="C67" s="27" t="s">
        <v>201</v>
      </c>
      <c r="D67" s="27" t="s">
        <v>736</v>
      </c>
      <c r="E67" s="27" t="s">
        <v>202</v>
      </c>
      <c r="F67" s="27" t="s">
        <v>1341</v>
      </c>
      <c r="G67" s="10">
        <v>80</v>
      </c>
      <c r="H67" s="36" t="s">
        <v>263</v>
      </c>
      <c r="I67" s="37" t="s">
        <v>1342</v>
      </c>
      <c r="J67" s="37" t="s">
        <v>350</v>
      </c>
      <c r="K67" s="27"/>
      <c r="L67" s="27"/>
      <c r="M67" s="27" t="s">
        <v>1343</v>
      </c>
      <c r="N67" s="27"/>
      <c r="O67" s="30">
        <v>46189</v>
      </c>
      <c r="P67" s="1" t="s">
        <v>264</v>
      </c>
      <c r="Q67" s="29" t="s">
        <v>265</v>
      </c>
      <c r="R67" s="27" t="s">
        <v>1344</v>
      </c>
      <c r="S67" s="27"/>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EVT-2026-0689</v>
      </c>
      <c r="B68" s="30">
        <v>46191</v>
      </c>
      <c r="C68" s="27" t="s">
        <v>216</v>
      </c>
      <c r="D68" s="27" t="s">
        <v>348</v>
      </c>
      <c r="E68" s="27" t="s">
        <v>202</v>
      </c>
      <c r="F68" s="27" t="s">
        <v>1345</v>
      </c>
      <c r="G68" s="10">
        <v>25</v>
      </c>
      <c r="H68" s="36" t="s">
        <v>263</v>
      </c>
      <c r="I68" s="37" t="s">
        <v>331</v>
      </c>
      <c r="J68" s="37" t="s">
        <v>309</v>
      </c>
      <c r="K68" s="27"/>
      <c r="L68" s="27"/>
      <c r="M68" s="27" t="s">
        <v>379</v>
      </c>
      <c r="N68" s="27"/>
      <c r="O68" s="27"/>
      <c r="P68" s="1" t="s">
        <v>264</v>
      </c>
      <c r="Q68" s="29" t="s">
        <v>265</v>
      </c>
      <c r="R68" s="27" t="s">
        <v>1346</v>
      </c>
      <c r="S68" s="27"/>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EVT-2026-0690</v>
      </c>
      <c r="B69" s="30">
        <v>46191</v>
      </c>
      <c r="C69" s="27" t="s">
        <v>216</v>
      </c>
      <c r="D69" s="27" t="s">
        <v>125</v>
      </c>
      <c r="E69" s="27" t="s">
        <v>228</v>
      </c>
      <c r="F69" s="27" t="s">
        <v>1347</v>
      </c>
      <c r="G69" s="10">
        <v>25</v>
      </c>
      <c r="H69" s="36" t="s">
        <v>263</v>
      </c>
      <c r="I69" s="37" t="s">
        <v>429</v>
      </c>
      <c r="J69" s="37" t="s">
        <v>354</v>
      </c>
      <c r="K69" s="27"/>
      <c r="L69" s="27"/>
      <c r="M69" s="27" t="s">
        <v>1348</v>
      </c>
      <c r="N69" s="27"/>
      <c r="O69" s="30" t="s">
        <v>2287</v>
      </c>
      <c r="P69" s="1" t="s">
        <v>264</v>
      </c>
      <c r="Q69" s="29" t="s">
        <v>265</v>
      </c>
      <c r="R69" s="27" t="s">
        <v>1349</v>
      </c>
      <c r="S69" s="27"/>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EVT-2026-0691</v>
      </c>
      <c r="B70" s="30">
        <v>46191</v>
      </c>
      <c r="C70" s="27" t="s">
        <v>216</v>
      </c>
      <c r="D70" s="27" t="s">
        <v>125</v>
      </c>
      <c r="E70" s="27" t="s">
        <v>228</v>
      </c>
      <c r="F70" s="27" t="s">
        <v>1132</v>
      </c>
      <c r="G70" s="10">
        <v>50</v>
      </c>
      <c r="H70" s="36" t="s">
        <v>263</v>
      </c>
      <c r="I70" s="37" t="s">
        <v>359</v>
      </c>
      <c r="J70" s="37" t="s">
        <v>290</v>
      </c>
      <c r="K70" s="27"/>
      <c r="L70" s="27"/>
      <c r="M70" s="27" t="s">
        <v>367</v>
      </c>
      <c r="N70" s="27"/>
      <c r="O70" s="30" t="s">
        <v>2289</v>
      </c>
      <c r="P70" s="1" t="s">
        <v>264</v>
      </c>
      <c r="Q70" s="29" t="s">
        <v>265</v>
      </c>
      <c r="R70" s="27" t="s">
        <v>298</v>
      </c>
      <c r="S70" s="27"/>
    </row>
    <row r="71" spans="1:19" ht="24" customHeight="1">
      <c r="A71" s="27"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EVT-2026-0692</v>
      </c>
      <c r="B71" s="30">
        <v>46191</v>
      </c>
      <c r="C71" s="27" t="s">
        <v>216</v>
      </c>
      <c r="D71" s="27" t="s">
        <v>736</v>
      </c>
      <c r="E71" s="27" t="s">
        <v>202</v>
      </c>
      <c r="F71" s="27" t="s">
        <v>1350</v>
      </c>
      <c r="G71" s="10"/>
      <c r="H71" s="36" t="s">
        <v>263</v>
      </c>
      <c r="I71" s="37" t="s">
        <v>604</v>
      </c>
      <c r="J71" s="37" t="s">
        <v>275</v>
      </c>
      <c r="K71" s="27"/>
      <c r="L71" s="27"/>
      <c r="M71" s="27" t="s">
        <v>379</v>
      </c>
      <c r="N71" s="27"/>
      <c r="O71" s="30">
        <v>46189</v>
      </c>
      <c r="P71" s="1" t="s">
        <v>264</v>
      </c>
      <c r="Q71" s="29" t="s">
        <v>265</v>
      </c>
      <c r="R71" s="27" t="s">
        <v>1351</v>
      </c>
      <c r="S71" s="27"/>
    </row>
    <row r="72" spans="1:19" ht="24" customHeight="1">
      <c r="A72" s="27"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EVT-2026-0693</v>
      </c>
      <c r="B72" s="30">
        <v>46191</v>
      </c>
      <c r="C72" s="27" t="s">
        <v>216</v>
      </c>
      <c r="D72" s="27" t="s">
        <v>736</v>
      </c>
      <c r="E72" s="27" t="s">
        <v>202</v>
      </c>
      <c r="F72" s="27" t="s">
        <v>1167</v>
      </c>
      <c r="G72" s="10">
        <v>30</v>
      </c>
      <c r="H72" s="36" t="s">
        <v>263</v>
      </c>
      <c r="I72" s="37" t="s">
        <v>309</v>
      </c>
      <c r="J72" s="37" t="s">
        <v>295</v>
      </c>
      <c r="K72" s="27"/>
      <c r="L72" s="27"/>
      <c r="M72" s="27" t="s">
        <v>1352</v>
      </c>
      <c r="N72" s="27"/>
      <c r="O72" s="30" t="s">
        <v>2290</v>
      </c>
      <c r="P72" s="1" t="s">
        <v>264</v>
      </c>
      <c r="Q72" s="29" t="s">
        <v>265</v>
      </c>
      <c r="R72" s="27"/>
      <c r="S72" s="27"/>
    </row>
    <row r="73" spans="1:19" ht="24" customHeight="1">
      <c r="A73" s="27"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EVT-2026-0694</v>
      </c>
      <c r="B73" s="30">
        <v>46191</v>
      </c>
      <c r="C73" s="27" t="s">
        <v>216</v>
      </c>
      <c r="D73" s="27" t="s">
        <v>348</v>
      </c>
      <c r="E73" s="27" t="s">
        <v>208</v>
      </c>
      <c r="F73" s="27" t="s">
        <v>1303</v>
      </c>
      <c r="G73" s="10">
        <v>50</v>
      </c>
      <c r="H73" s="36" t="s">
        <v>263</v>
      </c>
      <c r="I73" s="37" t="s">
        <v>309</v>
      </c>
      <c r="J73" s="37" t="s">
        <v>296</v>
      </c>
      <c r="K73" s="27"/>
      <c r="L73" s="27"/>
      <c r="M73" s="27" t="s">
        <v>1304</v>
      </c>
      <c r="N73" s="27"/>
      <c r="O73" s="27"/>
      <c r="P73" s="1" t="s">
        <v>264</v>
      </c>
      <c r="Q73" s="29" t="s">
        <v>265</v>
      </c>
      <c r="R73" s="27"/>
      <c r="S73" s="27"/>
    </row>
    <row r="74" spans="1:19" ht="24" customHeight="1">
      <c r="A74" s="27"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EVT-2026-0695</v>
      </c>
      <c r="B74" s="30">
        <v>46191</v>
      </c>
      <c r="C74" s="27" t="s">
        <v>216</v>
      </c>
      <c r="D74" s="27" t="s">
        <v>1318</v>
      </c>
      <c r="E74" s="27" t="s">
        <v>1260</v>
      </c>
      <c r="F74" s="27" t="s">
        <v>1319</v>
      </c>
      <c r="G74" s="10">
        <v>8</v>
      </c>
      <c r="H74" s="36" t="s">
        <v>263</v>
      </c>
      <c r="I74" s="37" t="s">
        <v>269</v>
      </c>
      <c r="J74" s="37" t="s">
        <v>1320</v>
      </c>
      <c r="K74" s="27"/>
      <c r="L74" s="27"/>
      <c r="M74" s="27" t="s">
        <v>1321</v>
      </c>
      <c r="N74" s="27"/>
      <c r="O74" s="30">
        <v>46181</v>
      </c>
      <c r="P74" s="1" t="s">
        <v>264</v>
      </c>
      <c r="Q74" s="29" t="s">
        <v>265</v>
      </c>
      <c r="R74" s="27" t="s">
        <v>1322</v>
      </c>
      <c r="S74" s="27"/>
    </row>
    <row r="75" spans="1:19" ht="24" customHeight="1">
      <c r="A75" s="27"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EVT-2026-0696</v>
      </c>
      <c r="B75" s="30">
        <v>46191</v>
      </c>
      <c r="C75" s="27" t="s">
        <v>216</v>
      </c>
      <c r="D75" s="27" t="s">
        <v>239</v>
      </c>
      <c r="E75" s="27" t="s">
        <v>202</v>
      </c>
      <c r="F75" s="27" t="s">
        <v>1353</v>
      </c>
      <c r="G75" s="10">
        <v>200</v>
      </c>
      <c r="H75" s="38" t="s">
        <v>294</v>
      </c>
      <c r="I75" s="37" t="s">
        <v>309</v>
      </c>
      <c r="J75" s="37" t="s">
        <v>270</v>
      </c>
      <c r="K75" s="27" t="s">
        <v>1354</v>
      </c>
      <c r="L75" s="27"/>
      <c r="M75" s="27" t="s">
        <v>379</v>
      </c>
      <c r="N75" s="27"/>
      <c r="O75" s="30" t="s">
        <v>2291</v>
      </c>
      <c r="P75" s="1" t="s">
        <v>264</v>
      </c>
      <c r="Q75" s="29" t="s">
        <v>265</v>
      </c>
      <c r="R75" s="27" t="s">
        <v>1355</v>
      </c>
      <c r="S75" s="27"/>
    </row>
    <row r="76" spans="1:19" ht="24" customHeight="1">
      <c r="A76" s="27"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EVT-2026-0697</v>
      </c>
      <c r="B76" s="30">
        <v>46191</v>
      </c>
      <c r="C76" s="27" t="s">
        <v>216</v>
      </c>
      <c r="D76" s="27" t="s">
        <v>1357</v>
      </c>
      <c r="E76" s="27" t="s">
        <v>1356</v>
      </c>
      <c r="F76" s="27" t="s">
        <v>1358</v>
      </c>
      <c r="G76" s="10">
        <v>35</v>
      </c>
      <c r="H76" s="36" t="s">
        <v>263</v>
      </c>
      <c r="I76" s="37" t="s">
        <v>1359</v>
      </c>
      <c r="J76" s="37" t="s">
        <v>1360</v>
      </c>
      <c r="K76" s="27"/>
      <c r="L76" s="27"/>
      <c r="M76" s="27" t="s">
        <v>1361</v>
      </c>
      <c r="N76" s="27"/>
      <c r="O76" s="27"/>
      <c r="P76" s="1" t="s">
        <v>264</v>
      </c>
      <c r="Q76" s="29" t="s">
        <v>265</v>
      </c>
      <c r="R76" s="27" t="s">
        <v>1362</v>
      </c>
      <c r="S76" s="27"/>
    </row>
    <row r="77" spans="1:19" ht="24" customHeight="1">
      <c r="A77" s="27"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EVT-2026-0698</v>
      </c>
      <c r="B77" s="30">
        <v>46192</v>
      </c>
      <c r="C77" s="27" t="s">
        <v>220</v>
      </c>
      <c r="D77" s="27" t="s">
        <v>348</v>
      </c>
      <c r="E77" s="27" t="s">
        <v>202</v>
      </c>
      <c r="F77" s="27" t="s">
        <v>1345</v>
      </c>
      <c r="G77" s="10">
        <v>27</v>
      </c>
      <c r="H77" s="36" t="s">
        <v>263</v>
      </c>
      <c r="I77" s="37" t="s">
        <v>331</v>
      </c>
      <c r="J77" s="37" t="s">
        <v>309</v>
      </c>
      <c r="K77" s="27"/>
      <c r="L77" s="27"/>
      <c r="M77" s="27" t="s">
        <v>379</v>
      </c>
      <c r="N77" s="27"/>
      <c r="O77" s="27"/>
      <c r="P77" s="1" t="s">
        <v>264</v>
      </c>
      <c r="Q77" s="29" t="s">
        <v>265</v>
      </c>
      <c r="R77" s="27" t="s">
        <v>1346</v>
      </c>
      <c r="S77" s="27"/>
    </row>
    <row r="78" spans="1:19" ht="24" customHeight="1">
      <c r="A78" s="27"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EVT-2026-0699</v>
      </c>
      <c r="B78" s="30">
        <v>46192</v>
      </c>
      <c r="C78" s="27" t="s">
        <v>220</v>
      </c>
      <c r="D78" s="27" t="s">
        <v>1318</v>
      </c>
      <c r="E78" s="27" t="s">
        <v>1260</v>
      </c>
      <c r="F78" s="27" t="s">
        <v>1319</v>
      </c>
      <c r="G78" s="10">
        <v>8</v>
      </c>
      <c r="H78" s="36" t="s">
        <v>263</v>
      </c>
      <c r="I78" s="37" t="s">
        <v>269</v>
      </c>
      <c r="J78" s="37" t="s">
        <v>1320</v>
      </c>
      <c r="K78" s="27"/>
      <c r="L78" s="27"/>
      <c r="M78" s="27" t="s">
        <v>1321</v>
      </c>
      <c r="N78" s="27"/>
      <c r="O78" s="30">
        <v>46181</v>
      </c>
      <c r="P78" s="1" t="s">
        <v>264</v>
      </c>
      <c r="Q78" s="29" t="s">
        <v>265</v>
      </c>
      <c r="R78" s="27" t="s">
        <v>1322</v>
      </c>
      <c r="S78" s="27"/>
    </row>
    <row r="79" spans="1:19" ht="24" customHeight="1">
      <c r="A79" s="27"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EVT-2026-0700</v>
      </c>
      <c r="B79" s="30">
        <v>46192</v>
      </c>
      <c r="C79" s="27" t="s">
        <v>220</v>
      </c>
      <c r="D79" s="27" t="s">
        <v>239</v>
      </c>
      <c r="E79" s="27" t="s">
        <v>202</v>
      </c>
      <c r="F79" s="27" t="s">
        <v>1363</v>
      </c>
      <c r="G79" s="10"/>
      <c r="H79" s="36" t="s">
        <v>263</v>
      </c>
      <c r="I79" s="37" t="s">
        <v>295</v>
      </c>
      <c r="J79" s="37" t="s">
        <v>296</v>
      </c>
      <c r="K79" s="27" t="s">
        <v>1364</v>
      </c>
      <c r="L79" s="27"/>
      <c r="M79" s="27" t="s">
        <v>425</v>
      </c>
      <c r="N79" s="27"/>
      <c r="O79" s="30" t="s">
        <v>2292</v>
      </c>
      <c r="P79" s="3" t="s">
        <v>312</v>
      </c>
      <c r="Q79" s="29" t="s">
        <v>265</v>
      </c>
      <c r="R79" s="27" t="s">
        <v>1365</v>
      </c>
      <c r="S79" s="27"/>
    </row>
    <row r="80" spans="1:19" ht="24" customHeight="1">
      <c r="A80" s="27"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EVT-2026-0701</v>
      </c>
      <c r="B80" s="30">
        <v>46192</v>
      </c>
      <c r="C80" s="27" t="s">
        <v>220</v>
      </c>
      <c r="D80" s="27" t="s">
        <v>1366</v>
      </c>
      <c r="E80" s="27" t="s">
        <v>1260</v>
      </c>
      <c r="F80" s="27" t="s">
        <v>895</v>
      </c>
      <c r="G80" s="10">
        <v>35</v>
      </c>
      <c r="H80" s="36" t="s">
        <v>263</v>
      </c>
      <c r="I80" s="37" t="s">
        <v>330</v>
      </c>
      <c r="J80" s="37" t="s">
        <v>354</v>
      </c>
      <c r="K80" s="27"/>
      <c r="L80" s="27"/>
      <c r="M80" s="27" t="s">
        <v>1367</v>
      </c>
      <c r="N80" s="27"/>
      <c r="O80" s="27"/>
      <c r="P80" s="1" t="s">
        <v>264</v>
      </c>
      <c r="Q80" s="29" t="s">
        <v>265</v>
      </c>
      <c r="R80" s="27" t="s">
        <v>1177</v>
      </c>
      <c r="S80" s="27"/>
    </row>
    <row r="81" spans="1:19" ht="24" customHeight="1">
      <c r="A81" s="27"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EVT-2026-0702</v>
      </c>
      <c r="B81" s="30">
        <v>46192</v>
      </c>
      <c r="C81" s="27" t="s">
        <v>220</v>
      </c>
      <c r="D81" s="27" t="s">
        <v>125</v>
      </c>
      <c r="E81" s="27" t="s">
        <v>228</v>
      </c>
      <c r="F81" s="27" t="s">
        <v>1368</v>
      </c>
      <c r="G81" s="10">
        <v>50</v>
      </c>
      <c r="H81" s="36" t="s">
        <v>263</v>
      </c>
      <c r="I81" s="37" t="s">
        <v>274</v>
      </c>
      <c r="J81" s="37" t="s">
        <v>330</v>
      </c>
      <c r="K81" s="27"/>
      <c r="L81" s="27"/>
      <c r="M81" s="27" t="s">
        <v>785</v>
      </c>
      <c r="N81" s="27"/>
      <c r="O81" s="27"/>
      <c r="P81" s="1" t="s">
        <v>264</v>
      </c>
      <c r="Q81" s="29" t="s">
        <v>265</v>
      </c>
      <c r="R81" s="27" t="s">
        <v>1311</v>
      </c>
      <c r="S81" s="27"/>
    </row>
    <row r="82" spans="1:19" ht="24" customHeight="1">
      <c r="A82" s="27"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EVT-2026-0703</v>
      </c>
      <c r="B82" s="30">
        <v>46192</v>
      </c>
      <c r="C82" s="27" t="s">
        <v>220</v>
      </c>
      <c r="D82" s="27" t="s">
        <v>736</v>
      </c>
      <c r="E82" s="27" t="s">
        <v>202</v>
      </c>
      <c r="F82" s="27" t="s">
        <v>1167</v>
      </c>
      <c r="G82" s="10">
        <v>25</v>
      </c>
      <c r="H82" s="36" t="s">
        <v>263</v>
      </c>
      <c r="I82" s="37" t="s">
        <v>281</v>
      </c>
      <c r="J82" s="37" t="s">
        <v>429</v>
      </c>
      <c r="K82" s="27"/>
      <c r="L82" s="27"/>
      <c r="M82" s="27" t="s">
        <v>1369</v>
      </c>
      <c r="N82" s="27"/>
      <c r="O82" s="30">
        <v>46191</v>
      </c>
      <c r="P82" s="1" t="s">
        <v>264</v>
      </c>
      <c r="Q82" s="29" t="s">
        <v>265</v>
      </c>
      <c r="R82" s="27" t="s">
        <v>1177</v>
      </c>
      <c r="S82" s="27"/>
    </row>
    <row r="83" spans="1:19" ht="24" customHeight="1">
      <c r="A83" s="27"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EVT-2026-0704</v>
      </c>
      <c r="B83" s="30">
        <v>46192</v>
      </c>
      <c r="C83" s="27" t="s">
        <v>220</v>
      </c>
      <c r="D83" s="27" t="s">
        <v>736</v>
      </c>
      <c r="E83" s="27" t="s">
        <v>202</v>
      </c>
      <c r="F83" s="27" t="s">
        <v>1370</v>
      </c>
      <c r="G83" s="10">
        <v>15</v>
      </c>
      <c r="H83" s="36" t="s">
        <v>263</v>
      </c>
      <c r="I83" s="37" t="s">
        <v>350</v>
      </c>
      <c r="J83" s="37" t="s">
        <v>270</v>
      </c>
      <c r="K83" s="27"/>
      <c r="L83" s="27"/>
      <c r="M83" s="27" t="s">
        <v>1192</v>
      </c>
      <c r="N83" s="27"/>
      <c r="O83" s="30">
        <v>46332</v>
      </c>
      <c r="P83" s="1" t="s">
        <v>264</v>
      </c>
      <c r="Q83" s="29" t="s">
        <v>265</v>
      </c>
      <c r="R83" s="27" t="s">
        <v>303</v>
      </c>
      <c r="S83" s="27"/>
    </row>
    <row r="84" spans="1:19" ht="24" customHeight="1">
      <c r="A84" s="27"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EVT-2026-0705</v>
      </c>
      <c r="B84" s="30">
        <v>46192</v>
      </c>
      <c r="C84" s="27" t="s">
        <v>220</v>
      </c>
      <c r="D84" s="27" t="s">
        <v>125</v>
      </c>
      <c r="E84" s="27" t="s">
        <v>228</v>
      </c>
      <c r="F84" s="27" t="s">
        <v>1371</v>
      </c>
      <c r="G84" s="10">
        <v>35</v>
      </c>
      <c r="H84" s="36" t="s">
        <v>263</v>
      </c>
      <c r="I84" s="37" t="s">
        <v>429</v>
      </c>
      <c r="J84" s="37" t="s">
        <v>354</v>
      </c>
      <c r="K84" s="27"/>
      <c r="L84" s="27"/>
      <c r="M84" s="27" t="s">
        <v>484</v>
      </c>
      <c r="N84" s="27"/>
      <c r="O84" s="30">
        <v>46189</v>
      </c>
      <c r="P84" s="1" t="s">
        <v>264</v>
      </c>
      <c r="Q84" s="29" t="s">
        <v>265</v>
      </c>
      <c r="R84" s="27" t="s">
        <v>1177</v>
      </c>
      <c r="S84" s="27"/>
    </row>
    <row r="85" spans="1:19" ht="24" customHeight="1">
      <c r="A85" s="27"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85" s="30">
        <v>46193</v>
      </c>
      <c r="C85" s="27" t="s">
        <v>266</v>
      </c>
      <c r="D85" s="27"/>
      <c r="E85" s="27"/>
      <c r="F85" s="27"/>
      <c r="G85" s="10"/>
      <c r="H85" s="36" t="s">
        <v>263</v>
      </c>
      <c r="I85" s="37"/>
      <c r="J85" s="37"/>
      <c r="K85" s="27"/>
      <c r="L85" s="27"/>
      <c r="M85" s="27"/>
      <c r="N85" s="27"/>
      <c r="O85" s="27"/>
      <c r="P85" s="1" t="s">
        <v>264</v>
      </c>
      <c r="Q85" s="29" t="s">
        <v>265</v>
      </c>
      <c r="R85" s="27"/>
      <c r="S85" s="27"/>
    </row>
    <row r="86" spans="1:19" ht="24" customHeight="1">
      <c r="A86" s="27"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86" s="30">
        <v>46194</v>
      </c>
      <c r="C86" s="27" t="s">
        <v>267</v>
      </c>
      <c r="D86" s="27"/>
      <c r="E86" s="27"/>
      <c r="F86" s="27"/>
      <c r="G86" s="10"/>
      <c r="H86" s="36" t="s">
        <v>263</v>
      </c>
      <c r="I86" s="37"/>
      <c r="J86" s="37"/>
      <c r="K86" s="27"/>
      <c r="L86" s="27"/>
      <c r="M86" s="27"/>
      <c r="N86" s="27"/>
      <c r="O86" s="27"/>
      <c r="P86" s="1" t="s">
        <v>264</v>
      </c>
      <c r="Q86" s="29" t="s">
        <v>265</v>
      </c>
      <c r="R86" s="27"/>
      <c r="S86" s="27"/>
    </row>
    <row r="87" spans="1:19" ht="24" customHeight="1">
      <c r="A87" s="27"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EVT-2026-0706</v>
      </c>
      <c r="B87" s="30">
        <v>46195</v>
      </c>
      <c r="C87" s="27" t="s">
        <v>224</v>
      </c>
      <c r="D87" s="27" t="s">
        <v>1318</v>
      </c>
      <c r="E87" s="27" t="s">
        <v>1260</v>
      </c>
      <c r="F87" s="27" t="s">
        <v>1319</v>
      </c>
      <c r="G87" s="10" t="s">
        <v>2293</v>
      </c>
      <c r="H87" s="36" t="s">
        <v>263</v>
      </c>
      <c r="I87" s="37" t="s">
        <v>269</v>
      </c>
      <c r="J87" s="37" t="s">
        <v>1320</v>
      </c>
      <c r="K87" s="27"/>
      <c r="L87" s="27"/>
      <c r="M87" s="27" t="s">
        <v>1321</v>
      </c>
      <c r="N87" s="27"/>
      <c r="O87" s="30">
        <v>46181</v>
      </c>
      <c r="P87" s="1" t="s">
        <v>264</v>
      </c>
      <c r="Q87" s="29" t="s">
        <v>265</v>
      </c>
      <c r="R87" s="27" t="s">
        <v>1322</v>
      </c>
      <c r="S87" s="27"/>
    </row>
    <row r="88" spans="1:19" ht="24" customHeight="1">
      <c r="A88" s="27"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EVT-2026-0707</v>
      </c>
      <c r="B88" s="30">
        <v>46195</v>
      </c>
      <c r="C88" s="27" t="s">
        <v>224</v>
      </c>
      <c r="D88" s="27" t="s">
        <v>125</v>
      </c>
      <c r="E88" s="27" t="s">
        <v>228</v>
      </c>
      <c r="F88" s="27" t="s">
        <v>1372</v>
      </c>
      <c r="G88" s="10">
        <v>55</v>
      </c>
      <c r="H88" s="36" t="s">
        <v>263</v>
      </c>
      <c r="I88" s="37" t="s">
        <v>274</v>
      </c>
      <c r="J88" s="37" t="s">
        <v>429</v>
      </c>
      <c r="K88" s="27"/>
      <c r="L88" s="27"/>
      <c r="M88" s="27" t="s">
        <v>1373</v>
      </c>
      <c r="N88" s="27"/>
      <c r="O88" s="30">
        <v>46189</v>
      </c>
      <c r="P88" s="1" t="s">
        <v>264</v>
      </c>
      <c r="Q88" s="29" t="s">
        <v>265</v>
      </c>
      <c r="R88" s="27" t="s">
        <v>1177</v>
      </c>
      <c r="S88" s="27"/>
    </row>
    <row r="89" spans="1:19" ht="24" customHeight="1">
      <c r="A89" s="27"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EVT-2026-0708</v>
      </c>
      <c r="B89" s="30">
        <v>46196</v>
      </c>
      <c r="C89" s="27" t="s">
        <v>227</v>
      </c>
      <c r="D89" s="27" t="s">
        <v>125</v>
      </c>
      <c r="E89" s="27" t="s">
        <v>228</v>
      </c>
      <c r="F89" s="27" t="s">
        <v>874</v>
      </c>
      <c r="G89" s="10">
        <v>50</v>
      </c>
      <c r="H89" s="36" t="s">
        <v>263</v>
      </c>
      <c r="I89" s="37" t="s">
        <v>309</v>
      </c>
      <c r="J89" s="37" t="s">
        <v>270</v>
      </c>
      <c r="K89" s="27"/>
      <c r="L89" s="27"/>
      <c r="M89" s="27" t="s">
        <v>370</v>
      </c>
      <c r="N89" s="27"/>
      <c r="O89" s="27"/>
      <c r="P89" s="3" t="s">
        <v>312</v>
      </c>
      <c r="Q89" s="29" t="s">
        <v>265</v>
      </c>
      <c r="R89" s="27" t="s">
        <v>298</v>
      </c>
      <c r="S89" s="27"/>
    </row>
    <row r="90" spans="1:19" ht="24" customHeight="1">
      <c r="A90" s="27"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EVT-2026-0709</v>
      </c>
      <c r="B90" s="30">
        <v>46196</v>
      </c>
      <c r="C90" s="27" t="s">
        <v>227</v>
      </c>
      <c r="D90" s="27" t="s">
        <v>348</v>
      </c>
      <c r="E90" s="27" t="s">
        <v>208</v>
      </c>
      <c r="F90" s="27" t="s">
        <v>1303</v>
      </c>
      <c r="G90" s="10">
        <v>50</v>
      </c>
      <c r="H90" s="36" t="s">
        <v>263</v>
      </c>
      <c r="I90" s="37" t="s">
        <v>309</v>
      </c>
      <c r="J90" s="37" t="s">
        <v>296</v>
      </c>
      <c r="K90" s="27"/>
      <c r="L90" s="27"/>
      <c r="M90" s="27" t="s">
        <v>1304</v>
      </c>
      <c r="N90" s="27"/>
      <c r="O90" s="27"/>
      <c r="P90" s="1" t="s">
        <v>264</v>
      </c>
      <c r="Q90" s="29" t="s">
        <v>265</v>
      </c>
      <c r="R90" s="27"/>
      <c r="S90" s="27"/>
    </row>
    <row r="91" spans="1:19" ht="24" customHeight="1">
      <c r="A91" s="27"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EVT-2026-0710</v>
      </c>
      <c r="B91" s="30">
        <v>46196</v>
      </c>
      <c r="C91" s="27" t="s">
        <v>227</v>
      </c>
      <c r="D91" s="27" t="s">
        <v>125</v>
      </c>
      <c r="E91" s="27" t="s">
        <v>228</v>
      </c>
      <c r="F91" s="27" t="s">
        <v>1374</v>
      </c>
      <c r="G91" s="10">
        <v>80</v>
      </c>
      <c r="H91" s="36" t="s">
        <v>263</v>
      </c>
      <c r="I91" s="37" t="s">
        <v>350</v>
      </c>
      <c r="J91" s="37" t="s">
        <v>295</v>
      </c>
      <c r="K91" s="27"/>
      <c r="L91" s="27"/>
      <c r="M91" s="27" t="s">
        <v>1373</v>
      </c>
      <c r="N91" s="27"/>
      <c r="O91" s="30">
        <v>46189</v>
      </c>
      <c r="P91" s="1" t="s">
        <v>264</v>
      </c>
      <c r="Q91" s="29" t="s">
        <v>265</v>
      </c>
      <c r="R91" s="27" t="s">
        <v>1375</v>
      </c>
      <c r="S91" s="27"/>
    </row>
    <row r="92" spans="1:19" ht="24" customHeight="1">
      <c r="A92" s="27"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EVT-2026-0711</v>
      </c>
      <c r="B92" s="30">
        <v>46196</v>
      </c>
      <c r="C92" s="27" t="s">
        <v>227</v>
      </c>
      <c r="D92" s="27" t="s">
        <v>1318</v>
      </c>
      <c r="E92" s="27" t="s">
        <v>1260</v>
      </c>
      <c r="F92" s="27" t="s">
        <v>1319</v>
      </c>
      <c r="G92" s="10">
        <v>8</v>
      </c>
      <c r="H92" s="36" t="s">
        <v>263</v>
      </c>
      <c r="I92" s="37" t="s">
        <v>269</v>
      </c>
      <c r="J92" s="37" t="s">
        <v>1320</v>
      </c>
      <c r="K92" s="27"/>
      <c r="L92" s="27"/>
      <c r="M92" s="27" t="s">
        <v>1321</v>
      </c>
      <c r="N92" s="27"/>
      <c r="O92" s="30">
        <v>46181</v>
      </c>
      <c r="P92" s="1" t="s">
        <v>264</v>
      </c>
      <c r="Q92" s="29" t="s">
        <v>265</v>
      </c>
      <c r="R92" s="27" t="s">
        <v>1376</v>
      </c>
      <c r="S92" s="27"/>
    </row>
    <row r="93" spans="1:19" ht="24" customHeight="1">
      <c r="A93" s="27"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EVT-2026-0712</v>
      </c>
      <c r="B93" s="30">
        <v>46196</v>
      </c>
      <c r="C93" s="27" t="s">
        <v>227</v>
      </c>
      <c r="D93" s="27" t="s">
        <v>348</v>
      </c>
      <c r="E93" s="27" t="s">
        <v>208</v>
      </c>
      <c r="F93" s="27" t="s">
        <v>1377</v>
      </c>
      <c r="G93" s="10">
        <v>60</v>
      </c>
      <c r="H93" s="36" t="s">
        <v>263</v>
      </c>
      <c r="I93" s="37" t="s">
        <v>315</v>
      </c>
      <c r="J93" s="37" t="s">
        <v>429</v>
      </c>
      <c r="K93" s="27"/>
      <c r="L93" s="27"/>
      <c r="M93" s="27" t="s">
        <v>367</v>
      </c>
      <c r="N93" s="27"/>
      <c r="O93" s="27"/>
      <c r="P93" s="1" t="s">
        <v>264</v>
      </c>
      <c r="Q93" s="29" t="s">
        <v>265</v>
      </c>
      <c r="R93" s="27" t="s">
        <v>298</v>
      </c>
      <c r="S93" s="27"/>
    </row>
    <row r="94" spans="1:19" ht="24" customHeight="1">
      <c r="A94" s="27"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EVT-2026-0713</v>
      </c>
      <c r="B94" s="30">
        <v>46197</v>
      </c>
      <c r="C94" s="27" t="s">
        <v>201</v>
      </c>
      <c r="D94" s="27" t="s">
        <v>1366</v>
      </c>
      <c r="E94" s="27" t="s">
        <v>202</v>
      </c>
      <c r="F94" s="27" t="s">
        <v>1378</v>
      </c>
      <c r="G94" s="10">
        <v>35</v>
      </c>
      <c r="H94" s="36" t="s">
        <v>263</v>
      </c>
      <c r="I94" s="37" t="s">
        <v>309</v>
      </c>
      <c r="J94" s="37" t="s">
        <v>296</v>
      </c>
      <c r="K94" s="27"/>
      <c r="L94" s="27"/>
      <c r="M94" s="27" t="s">
        <v>1379</v>
      </c>
      <c r="N94" s="27"/>
      <c r="O94" s="27"/>
      <c r="P94" s="1" t="s">
        <v>264</v>
      </c>
      <c r="Q94" s="29" t="s">
        <v>265</v>
      </c>
      <c r="R94" s="27" t="s">
        <v>1380</v>
      </c>
      <c r="S94" s="27"/>
    </row>
    <row r="95" spans="1:19" ht="24" customHeight="1">
      <c r="A95" s="27"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EVT-2026-0714</v>
      </c>
      <c r="B95" s="30">
        <v>46197</v>
      </c>
      <c r="C95" s="27" t="s">
        <v>201</v>
      </c>
      <c r="D95" s="27" t="s">
        <v>125</v>
      </c>
      <c r="E95" s="27" t="s">
        <v>228</v>
      </c>
      <c r="F95" s="27" t="s">
        <v>1381</v>
      </c>
      <c r="G95" s="10">
        <v>45</v>
      </c>
      <c r="H95" s="36" t="s">
        <v>263</v>
      </c>
      <c r="I95" s="37" t="s">
        <v>274</v>
      </c>
      <c r="J95" s="37" t="s">
        <v>331</v>
      </c>
      <c r="K95" s="27"/>
      <c r="L95" s="27"/>
      <c r="M95" s="27" t="s">
        <v>646</v>
      </c>
      <c r="N95" s="27"/>
      <c r="O95" s="27"/>
      <c r="P95" s="1" t="s">
        <v>264</v>
      </c>
      <c r="Q95" s="29" t="s">
        <v>265</v>
      </c>
      <c r="R95" s="27" t="s">
        <v>307</v>
      </c>
      <c r="S95" s="27"/>
    </row>
    <row r="96" spans="1:19" ht="24" customHeight="1">
      <c r="A96" s="27"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EVT-2026-0715</v>
      </c>
      <c r="B96" s="30">
        <v>46197</v>
      </c>
      <c r="C96" s="27" t="s">
        <v>201</v>
      </c>
      <c r="D96" s="27" t="s">
        <v>736</v>
      </c>
      <c r="E96" s="27" t="s">
        <v>202</v>
      </c>
      <c r="F96" s="27" t="s">
        <v>1382</v>
      </c>
      <c r="G96" s="10">
        <v>50</v>
      </c>
      <c r="H96" s="36" t="s">
        <v>263</v>
      </c>
      <c r="I96" s="37" t="s">
        <v>295</v>
      </c>
      <c r="J96" s="37" t="s">
        <v>296</v>
      </c>
      <c r="K96" s="27"/>
      <c r="L96" s="27"/>
      <c r="M96" s="27" t="s">
        <v>583</v>
      </c>
      <c r="N96" s="27"/>
      <c r="O96" s="30" t="s">
        <v>2294</v>
      </c>
      <c r="P96" s="1" t="s">
        <v>264</v>
      </c>
      <c r="Q96" s="29" t="s">
        <v>265</v>
      </c>
      <c r="R96" s="27" t="s">
        <v>1177</v>
      </c>
      <c r="S96" s="27"/>
    </row>
    <row r="97" spans="1:19" ht="24" customHeight="1">
      <c r="A97" s="27"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EVT-2026-0716</v>
      </c>
      <c r="B97" s="30">
        <v>46197</v>
      </c>
      <c r="C97" s="27" t="s">
        <v>201</v>
      </c>
      <c r="D97" s="27" t="s">
        <v>125</v>
      </c>
      <c r="E97" s="27" t="s">
        <v>228</v>
      </c>
      <c r="F97" s="27" t="s">
        <v>1383</v>
      </c>
      <c r="G97" s="10">
        <v>50</v>
      </c>
      <c r="H97" s="36" t="s">
        <v>263</v>
      </c>
      <c r="I97" s="37" t="s">
        <v>309</v>
      </c>
      <c r="J97" s="37" t="s">
        <v>359</v>
      </c>
      <c r="K97" s="27"/>
      <c r="L97" s="27"/>
      <c r="M97" s="27" t="s">
        <v>367</v>
      </c>
      <c r="N97" s="27"/>
      <c r="O97" s="27"/>
      <c r="P97" s="3" t="s">
        <v>312</v>
      </c>
      <c r="Q97" s="29" t="s">
        <v>265</v>
      </c>
      <c r="R97" s="27" t="s">
        <v>298</v>
      </c>
      <c r="S97" s="27"/>
    </row>
    <row r="98" spans="1:19" ht="24" customHeight="1">
      <c r="A98" s="27"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EVT-2026-0717</v>
      </c>
      <c r="B98" s="30">
        <v>46197</v>
      </c>
      <c r="C98" s="27" t="s">
        <v>201</v>
      </c>
      <c r="D98" s="27" t="s">
        <v>348</v>
      </c>
      <c r="E98" s="27" t="s">
        <v>208</v>
      </c>
      <c r="F98" s="27" t="s">
        <v>1303</v>
      </c>
      <c r="G98" s="10">
        <v>50</v>
      </c>
      <c r="H98" s="36" t="s">
        <v>263</v>
      </c>
      <c r="I98" s="37" t="s">
        <v>309</v>
      </c>
      <c r="J98" s="37" t="s">
        <v>296</v>
      </c>
      <c r="K98" s="27"/>
      <c r="L98" s="27"/>
      <c r="M98" s="27" t="s">
        <v>1304</v>
      </c>
      <c r="N98" s="27"/>
      <c r="O98" s="27"/>
      <c r="P98" s="1" t="s">
        <v>264</v>
      </c>
      <c r="Q98" s="29" t="s">
        <v>265</v>
      </c>
      <c r="R98" s="27"/>
      <c r="S98" s="27"/>
    </row>
    <row r="99" spans="1:19" ht="24" customHeight="1">
      <c r="A99" s="27"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EVT-2026-0718</v>
      </c>
      <c r="B99" s="30">
        <v>46197</v>
      </c>
      <c r="C99" s="27" t="s">
        <v>201</v>
      </c>
      <c r="D99" s="27" t="s">
        <v>1318</v>
      </c>
      <c r="E99" s="27" t="s">
        <v>1260</v>
      </c>
      <c r="F99" s="27" t="s">
        <v>1319</v>
      </c>
      <c r="G99" s="10">
        <v>8</v>
      </c>
      <c r="H99" s="36" t="s">
        <v>263</v>
      </c>
      <c r="I99" s="37" t="s">
        <v>269</v>
      </c>
      <c r="J99" s="37" t="s">
        <v>1320</v>
      </c>
      <c r="K99" s="27"/>
      <c r="L99" s="27"/>
      <c r="M99" s="27" t="s">
        <v>1321</v>
      </c>
      <c r="N99" s="27"/>
      <c r="O99" s="30">
        <v>46181</v>
      </c>
      <c r="P99" s="1" t="s">
        <v>264</v>
      </c>
      <c r="Q99" s="29" t="s">
        <v>265</v>
      </c>
      <c r="R99" s="27" t="s">
        <v>1322</v>
      </c>
      <c r="S99" s="27"/>
    </row>
    <row r="100" spans="1:19" ht="24" customHeight="1">
      <c r="A100" s="27"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EVT-2026-0719</v>
      </c>
      <c r="B100" s="30" t="s">
        <v>2295</v>
      </c>
      <c r="C100" s="27" t="s">
        <v>216</v>
      </c>
      <c r="D100" s="27" t="s">
        <v>736</v>
      </c>
      <c r="E100" s="27" t="s">
        <v>202</v>
      </c>
      <c r="F100" s="27" t="s">
        <v>1167</v>
      </c>
      <c r="G100" s="10">
        <v>30</v>
      </c>
      <c r="H100" s="36" t="s">
        <v>263</v>
      </c>
      <c r="I100" s="37" t="s">
        <v>309</v>
      </c>
      <c r="J100" s="37" t="s">
        <v>295</v>
      </c>
      <c r="K100" s="27"/>
      <c r="L100" s="27"/>
      <c r="M100" s="27" t="s">
        <v>1352</v>
      </c>
      <c r="N100" s="27"/>
      <c r="O100" s="27"/>
      <c r="P100" s="1" t="s">
        <v>264</v>
      </c>
      <c r="Q100" s="29" t="s">
        <v>265</v>
      </c>
      <c r="R100" s="27"/>
      <c r="S100" s="27"/>
    </row>
    <row r="101" spans="1:19" ht="24" customHeight="1">
      <c r="A101" s="27"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EVT-2026-0720</v>
      </c>
      <c r="B101" s="30" t="s">
        <v>2295</v>
      </c>
      <c r="C101" s="27" t="s">
        <v>216</v>
      </c>
      <c r="D101" s="27" t="s">
        <v>736</v>
      </c>
      <c r="E101" s="27" t="s">
        <v>202</v>
      </c>
      <c r="F101" s="27" t="s">
        <v>543</v>
      </c>
      <c r="G101" s="10">
        <v>30</v>
      </c>
      <c r="H101" s="36" t="s">
        <v>263</v>
      </c>
      <c r="I101" s="37" t="s">
        <v>295</v>
      </c>
      <c r="J101" s="37" t="s">
        <v>270</v>
      </c>
      <c r="K101" s="27"/>
      <c r="L101" s="27"/>
      <c r="M101" s="27" t="s">
        <v>651</v>
      </c>
      <c r="N101" s="27"/>
      <c r="O101" s="27"/>
      <c r="P101" s="1" t="s">
        <v>264</v>
      </c>
      <c r="Q101" s="29" t="s">
        <v>265</v>
      </c>
      <c r="R101" s="27"/>
      <c r="S101" s="27"/>
    </row>
    <row r="102" spans="1:19" ht="24" customHeight="1">
      <c r="A102" s="27"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EVT-2026-0721</v>
      </c>
      <c r="B102" s="30">
        <v>46198</v>
      </c>
      <c r="C102" s="27" t="s">
        <v>216</v>
      </c>
      <c r="D102" s="27" t="s">
        <v>125</v>
      </c>
      <c r="E102" s="27" t="s">
        <v>228</v>
      </c>
      <c r="F102" s="27" t="s">
        <v>1384</v>
      </c>
      <c r="G102" s="10">
        <v>28</v>
      </c>
      <c r="H102" s="36" t="s">
        <v>263</v>
      </c>
      <c r="I102" s="37" t="s">
        <v>269</v>
      </c>
      <c r="J102" s="37" t="s">
        <v>270</v>
      </c>
      <c r="K102" s="27"/>
      <c r="L102" s="27"/>
      <c r="M102" s="27" t="s">
        <v>1198</v>
      </c>
      <c r="N102" s="27"/>
      <c r="O102" s="27"/>
      <c r="P102" s="1" t="s">
        <v>264</v>
      </c>
      <c r="Q102" s="29" t="s">
        <v>265</v>
      </c>
      <c r="R102" s="27"/>
      <c r="S102" s="27"/>
    </row>
    <row r="103" spans="1:19" ht="24" customHeight="1">
      <c r="A103" s="27"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EVT-2026-0722</v>
      </c>
      <c r="B103" s="30">
        <v>46198</v>
      </c>
      <c r="C103" s="27" t="s">
        <v>216</v>
      </c>
      <c r="D103" s="27" t="s">
        <v>348</v>
      </c>
      <c r="E103" s="27" t="s">
        <v>208</v>
      </c>
      <c r="F103" s="27" t="s">
        <v>1303</v>
      </c>
      <c r="G103" s="10">
        <v>50</v>
      </c>
      <c r="H103" s="36" t="s">
        <v>263</v>
      </c>
      <c r="I103" s="37" t="s">
        <v>309</v>
      </c>
      <c r="J103" s="37" t="s">
        <v>296</v>
      </c>
      <c r="K103" s="27"/>
      <c r="L103" s="27"/>
      <c r="M103" s="27" t="s">
        <v>1304</v>
      </c>
      <c r="N103" s="27"/>
      <c r="O103" s="27"/>
      <c r="P103" s="1" t="s">
        <v>264</v>
      </c>
      <c r="Q103" s="29" t="s">
        <v>265</v>
      </c>
      <c r="R103" s="27"/>
      <c r="S103" s="27"/>
    </row>
    <row r="104" spans="1:19" ht="24" customHeight="1">
      <c r="A104" s="27"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EVT-2026-0723</v>
      </c>
      <c r="B104" s="30">
        <v>46199</v>
      </c>
      <c r="C104" s="27" t="s">
        <v>220</v>
      </c>
      <c r="D104" s="27" t="s">
        <v>1366</v>
      </c>
      <c r="E104" s="27" t="s">
        <v>208</v>
      </c>
      <c r="F104" s="27" t="s">
        <v>1385</v>
      </c>
      <c r="G104" s="10">
        <v>45</v>
      </c>
      <c r="H104" s="36" t="s">
        <v>263</v>
      </c>
      <c r="I104" s="37" t="s">
        <v>274</v>
      </c>
      <c r="J104" s="37" t="s">
        <v>429</v>
      </c>
      <c r="K104" s="27"/>
      <c r="L104" s="27"/>
      <c r="M104" s="27" t="s">
        <v>1386</v>
      </c>
      <c r="N104" s="27"/>
      <c r="O104" s="30">
        <v>46192</v>
      </c>
      <c r="P104" s="1" t="s">
        <v>264</v>
      </c>
      <c r="Q104" s="29" t="s">
        <v>265</v>
      </c>
      <c r="R104" s="27" t="s">
        <v>1177</v>
      </c>
      <c r="S104" s="27"/>
    </row>
    <row r="105" spans="1:19" ht="24" customHeight="1">
      <c r="A105" s="27"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EVT-2026-0724</v>
      </c>
      <c r="B105" s="30">
        <v>46199</v>
      </c>
      <c r="C105" s="27" t="s">
        <v>220</v>
      </c>
      <c r="D105" s="27" t="s">
        <v>125</v>
      </c>
      <c r="E105" s="27" t="s">
        <v>228</v>
      </c>
      <c r="F105" s="27" t="s">
        <v>1384</v>
      </c>
      <c r="G105" s="10">
        <v>28</v>
      </c>
      <c r="H105" s="36" t="s">
        <v>263</v>
      </c>
      <c r="I105" s="37" t="s">
        <v>269</v>
      </c>
      <c r="J105" s="37" t="s">
        <v>270</v>
      </c>
      <c r="K105" s="27"/>
      <c r="L105" s="27"/>
      <c r="M105" s="27" t="s">
        <v>1198</v>
      </c>
      <c r="N105" s="27"/>
      <c r="O105" s="27"/>
      <c r="P105" s="1" t="s">
        <v>264</v>
      </c>
      <c r="Q105" s="29" t="s">
        <v>265</v>
      </c>
      <c r="R105" s="27" t="s">
        <v>307</v>
      </c>
      <c r="S105" s="27"/>
    </row>
    <row r="106" spans="1:19" ht="24" customHeight="1">
      <c r="A106" s="27"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EVT-2026-0725</v>
      </c>
      <c r="B106" s="30">
        <v>46199</v>
      </c>
      <c r="C106" s="27" t="s">
        <v>220</v>
      </c>
      <c r="D106" s="27" t="s">
        <v>736</v>
      </c>
      <c r="E106" s="27" t="s">
        <v>202</v>
      </c>
      <c r="F106" s="27" t="s">
        <v>1383</v>
      </c>
      <c r="G106" s="10">
        <v>50</v>
      </c>
      <c r="H106" s="36" t="s">
        <v>263</v>
      </c>
      <c r="I106" s="37" t="s">
        <v>309</v>
      </c>
      <c r="J106" s="37" t="s">
        <v>359</v>
      </c>
      <c r="K106" s="27"/>
      <c r="L106" s="27"/>
      <c r="M106" s="27" t="s">
        <v>367</v>
      </c>
      <c r="N106" s="27"/>
      <c r="O106" s="27"/>
      <c r="P106" s="1" t="s">
        <v>264</v>
      </c>
      <c r="Q106" s="29" t="s">
        <v>265</v>
      </c>
      <c r="R106" s="27" t="s">
        <v>298</v>
      </c>
      <c r="S106" s="27"/>
    </row>
    <row r="107" spans="1:19" ht="24" customHeight="1">
      <c r="A107" s="27"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EVT-2026-0726</v>
      </c>
      <c r="B107" s="30">
        <v>46199</v>
      </c>
      <c r="C107" s="27" t="s">
        <v>220</v>
      </c>
      <c r="D107" s="27" t="s">
        <v>1366</v>
      </c>
      <c r="E107" s="27" t="s">
        <v>202</v>
      </c>
      <c r="F107" s="27" t="s">
        <v>1167</v>
      </c>
      <c r="G107" s="10">
        <v>30</v>
      </c>
      <c r="H107" s="36" t="s">
        <v>263</v>
      </c>
      <c r="I107" s="37" t="s">
        <v>350</v>
      </c>
      <c r="J107" s="37" t="s">
        <v>289</v>
      </c>
      <c r="K107" s="27"/>
      <c r="L107" s="27"/>
      <c r="M107" s="27" t="s">
        <v>1369</v>
      </c>
      <c r="N107" s="27"/>
      <c r="O107" s="30">
        <v>46199</v>
      </c>
      <c r="P107" s="1" t="s">
        <v>264</v>
      </c>
      <c r="Q107" s="29" t="s">
        <v>265</v>
      </c>
      <c r="R107" s="27" t="s">
        <v>1177</v>
      </c>
      <c r="S107" s="27"/>
    </row>
    <row r="108" spans="1:19" ht="24" customHeight="1">
      <c r="A108" s="27"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108" s="30">
        <v>46200</v>
      </c>
      <c r="C108" s="27" t="s">
        <v>266</v>
      </c>
      <c r="D108" s="27"/>
      <c r="E108" s="27"/>
      <c r="F108" s="27"/>
      <c r="G108" s="10"/>
      <c r="H108" s="36" t="s">
        <v>263</v>
      </c>
      <c r="I108" s="37"/>
      <c r="J108" s="37"/>
      <c r="K108" s="27"/>
      <c r="L108" s="27"/>
      <c r="M108" s="27"/>
      <c r="N108" s="27"/>
      <c r="O108" s="27"/>
      <c r="P108" s="1" t="s">
        <v>264</v>
      </c>
      <c r="Q108" s="29" t="s">
        <v>265</v>
      </c>
      <c r="R108" s="27"/>
      <c r="S108" s="27"/>
    </row>
    <row r="109" spans="1:19" ht="24" customHeight="1">
      <c r="A109" s="27"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109" s="30">
        <v>46201</v>
      </c>
      <c r="C109" s="27" t="s">
        <v>267</v>
      </c>
      <c r="D109" s="27"/>
      <c r="E109" s="27"/>
      <c r="F109" s="27"/>
      <c r="G109" s="10"/>
      <c r="H109" s="36" t="s">
        <v>263</v>
      </c>
      <c r="I109" s="37"/>
      <c r="J109" s="37"/>
      <c r="K109" s="27"/>
      <c r="L109" s="27"/>
      <c r="M109" s="27"/>
      <c r="N109" s="27"/>
      <c r="O109" s="27"/>
      <c r="P109" s="1" t="s">
        <v>264</v>
      </c>
      <c r="Q109" s="29" t="s">
        <v>265</v>
      </c>
      <c r="R109" s="27" t="s">
        <v>303</v>
      </c>
      <c r="S109" s="27"/>
    </row>
    <row r="110" spans="1:19" ht="24" customHeight="1">
      <c r="A110" s="27"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EVT-2026-0727</v>
      </c>
      <c r="B110" s="30">
        <v>46202</v>
      </c>
      <c r="C110" s="27" t="s">
        <v>224</v>
      </c>
      <c r="D110" s="27" t="s">
        <v>736</v>
      </c>
      <c r="E110" s="27" t="s">
        <v>420</v>
      </c>
      <c r="F110" s="27" t="s">
        <v>1387</v>
      </c>
      <c r="G110" s="10">
        <v>30</v>
      </c>
      <c r="H110" s="36" t="s">
        <v>263</v>
      </c>
      <c r="I110" s="37" t="s">
        <v>506</v>
      </c>
      <c r="J110" s="37" t="s">
        <v>331</v>
      </c>
      <c r="K110" s="27"/>
      <c r="L110" s="27"/>
      <c r="M110" s="27" t="s">
        <v>1388</v>
      </c>
      <c r="N110" s="27"/>
      <c r="O110" s="30">
        <v>46196</v>
      </c>
      <c r="P110" s="1" t="s">
        <v>264</v>
      </c>
      <c r="Q110" s="29" t="s">
        <v>265</v>
      </c>
      <c r="R110" s="27" t="s">
        <v>1313</v>
      </c>
      <c r="S110" s="27"/>
    </row>
    <row r="111" spans="1:19" ht="24" customHeight="1">
      <c r="A111" s="27"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EVT-2026-0728</v>
      </c>
      <c r="B111" s="30">
        <v>46202</v>
      </c>
      <c r="C111" s="27" t="s">
        <v>224</v>
      </c>
      <c r="D111" s="27" t="s">
        <v>1366</v>
      </c>
      <c r="E111" s="27" t="s">
        <v>208</v>
      </c>
      <c r="F111" s="27" t="s">
        <v>1389</v>
      </c>
      <c r="G111" s="10" t="s">
        <v>1391</v>
      </c>
      <c r="H111" s="36" t="s">
        <v>263</v>
      </c>
      <c r="I111" s="37" t="s">
        <v>1390</v>
      </c>
      <c r="J111" s="37" t="s">
        <v>1390</v>
      </c>
      <c r="K111" s="27" t="s">
        <v>382</v>
      </c>
      <c r="L111" s="27"/>
      <c r="M111" s="27" t="s">
        <v>1369</v>
      </c>
      <c r="N111" s="27"/>
      <c r="O111" s="30">
        <v>46199</v>
      </c>
      <c r="P111" s="1" t="s">
        <v>264</v>
      </c>
      <c r="Q111" s="29" t="s">
        <v>265</v>
      </c>
      <c r="R111" s="27" t="s">
        <v>1391</v>
      </c>
      <c r="S111" s="27"/>
    </row>
    <row r="112" spans="1:19" ht="24" customHeight="1">
      <c r="A112" s="27"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EVT-2026-0729</v>
      </c>
      <c r="B112" s="30">
        <v>46202</v>
      </c>
      <c r="C112" s="27" t="s">
        <v>224</v>
      </c>
      <c r="D112" s="27" t="s">
        <v>1392</v>
      </c>
      <c r="E112" s="27" t="s">
        <v>202</v>
      </c>
      <c r="F112" s="27" t="s">
        <v>1378</v>
      </c>
      <c r="G112" s="10">
        <v>35</v>
      </c>
      <c r="H112" s="36" t="s">
        <v>263</v>
      </c>
      <c r="I112" s="37" t="s">
        <v>309</v>
      </c>
      <c r="J112" s="37" t="s">
        <v>296</v>
      </c>
      <c r="K112" s="27"/>
      <c r="L112" s="27"/>
      <c r="M112" s="27" t="s">
        <v>1393</v>
      </c>
      <c r="N112" s="27"/>
      <c r="O112" s="30">
        <v>46191</v>
      </c>
      <c r="P112" s="3" t="s">
        <v>312</v>
      </c>
      <c r="Q112" s="29" t="s">
        <v>265</v>
      </c>
      <c r="R112" s="27" t="s">
        <v>1380</v>
      </c>
      <c r="S112" s="27"/>
    </row>
    <row r="113" spans="1:19" ht="24" customHeight="1">
      <c r="A113" s="27"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EVT-2026-0730</v>
      </c>
      <c r="B113" s="30">
        <v>46202</v>
      </c>
      <c r="C113" s="27" t="s">
        <v>224</v>
      </c>
      <c r="D113" s="27" t="s">
        <v>125</v>
      </c>
      <c r="E113" s="27" t="s">
        <v>228</v>
      </c>
      <c r="F113" s="27" t="s">
        <v>1389</v>
      </c>
      <c r="G113" s="10">
        <v>75</v>
      </c>
      <c r="H113" s="36" t="s">
        <v>263</v>
      </c>
      <c r="I113" s="37" t="s">
        <v>338</v>
      </c>
      <c r="J113" s="37" t="s">
        <v>295</v>
      </c>
      <c r="K113" s="27" t="s">
        <v>1394</v>
      </c>
      <c r="L113" s="27"/>
      <c r="M113" s="27" t="s">
        <v>785</v>
      </c>
      <c r="N113" s="27"/>
      <c r="O113" s="27"/>
      <c r="P113" s="1" t="s">
        <v>264</v>
      </c>
      <c r="Q113" s="29" t="s">
        <v>265</v>
      </c>
      <c r="R113" s="27" t="s">
        <v>1395</v>
      </c>
      <c r="S113" s="27"/>
    </row>
    <row r="114" spans="1:19" ht="24" customHeight="1">
      <c r="A114" s="27"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EVT-2026-0731</v>
      </c>
      <c r="B114" s="30">
        <v>46203</v>
      </c>
      <c r="C114" s="27" t="s">
        <v>227</v>
      </c>
      <c r="D114" s="27" t="s">
        <v>125</v>
      </c>
      <c r="E114" s="27" t="s">
        <v>228</v>
      </c>
      <c r="F114" s="27" t="s">
        <v>1396</v>
      </c>
      <c r="G114" s="10">
        <v>150</v>
      </c>
      <c r="H114" s="38" t="s">
        <v>294</v>
      </c>
      <c r="I114" s="37" t="s">
        <v>315</v>
      </c>
      <c r="J114" s="37" t="s">
        <v>1397</v>
      </c>
      <c r="K114" s="27"/>
      <c r="L114" s="27"/>
      <c r="M114" s="27" t="s">
        <v>378</v>
      </c>
      <c r="N114" s="27"/>
      <c r="O114" s="30" t="s">
        <v>2267</v>
      </c>
      <c r="P114" s="1" t="s">
        <v>264</v>
      </c>
      <c r="Q114" s="29" t="s">
        <v>265</v>
      </c>
      <c r="R114" s="27" t="s">
        <v>298</v>
      </c>
      <c r="S114" s="27"/>
    </row>
    <row r="115" spans="1:19" ht="24" customHeight="1">
      <c r="A115" s="27"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EVT-2026-0732</v>
      </c>
      <c r="B115" s="30">
        <v>46203</v>
      </c>
      <c r="C115" s="27" t="s">
        <v>227</v>
      </c>
      <c r="D115" s="27" t="s">
        <v>348</v>
      </c>
      <c r="E115" s="27" t="s">
        <v>208</v>
      </c>
      <c r="F115" s="27" t="s">
        <v>1389</v>
      </c>
      <c r="G115" s="10" t="s">
        <v>2296</v>
      </c>
      <c r="H115" s="36" t="s">
        <v>263</v>
      </c>
      <c r="I115" s="37" t="s">
        <v>1390</v>
      </c>
      <c r="J115" s="37"/>
      <c r="K115" s="27"/>
      <c r="L115" s="27"/>
      <c r="M115" s="27"/>
      <c r="N115" s="27"/>
      <c r="O115" s="27"/>
      <c r="P115" s="1" t="s">
        <v>264</v>
      </c>
      <c r="Q115" s="29" t="s">
        <v>265</v>
      </c>
      <c r="R115" s="27"/>
      <c r="S115" s="27"/>
    </row>
    <row r="116" spans="1:19" ht="24" customHeight="1">
      <c r="A116" s="27"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EVT-2026-0733</v>
      </c>
      <c r="B116" s="30">
        <v>46203</v>
      </c>
      <c r="C116" s="27" t="s">
        <v>227</v>
      </c>
      <c r="D116" s="27" t="s">
        <v>1366</v>
      </c>
      <c r="E116" s="27" t="s">
        <v>1260</v>
      </c>
      <c r="F116" s="27" t="s">
        <v>344</v>
      </c>
      <c r="G116" s="10">
        <v>24</v>
      </c>
      <c r="H116" s="36" t="s">
        <v>263</v>
      </c>
      <c r="I116" s="37" t="s">
        <v>269</v>
      </c>
      <c r="J116" s="37" t="s">
        <v>270</v>
      </c>
      <c r="K116" s="27"/>
      <c r="L116" s="27"/>
      <c r="M116" s="27" t="s">
        <v>1398</v>
      </c>
      <c r="N116" s="27"/>
      <c r="O116" s="27"/>
      <c r="P116" s="1" t="s">
        <v>264</v>
      </c>
      <c r="Q116" s="29" t="s">
        <v>265</v>
      </c>
      <c r="R116" s="27" t="s">
        <v>1399</v>
      </c>
      <c r="S116" s="27"/>
    </row>
    <row r="117" spans="1:19" ht="24" customHeight="1">
      <c r="A117" s="27"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EVT-2026-0734</v>
      </c>
      <c r="B117" s="30">
        <v>46203</v>
      </c>
      <c r="C117" s="27" t="s">
        <v>227</v>
      </c>
      <c r="D117" s="27" t="s">
        <v>1366</v>
      </c>
      <c r="E117" s="27" t="s">
        <v>202</v>
      </c>
      <c r="F117" s="27" t="s">
        <v>1389</v>
      </c>
      <c r="G117" s="10">
        <v>35</v>
      </c>
      <c r="H117" s="36" t="s">
        <v>263</v>
      </c>
      <c r="I117" s="37" t="s">
        <v>506</v>
      </c>
      <c r="J117" s="37" t="s">
        <v>309</v>
      </c>
      <c r="K117" s="27" t="s">
        <v>1394</v>
      </c>
      <c r="L117" s="27"/>
      <c r="M117" s="27" t="s">
        <v>785</v>
      </c>
      <c r="N117" s="27"/>
      <c r="O117" s="27"/>
      <c r="P117" s="1" t="s">
        <v>264</v>
      </c>
      <c r="Q117" s="29" t="s">
        <v>265</v>
      </c>
      <c r="R117" s="27" t="s">
        <v>307</v>
      </c>
      <c r="S117" s="27"/>
    </row>
    <row r="118" spans="1:19" ht="24" customHeight="1">
      <c r="A118" s="27"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EVT-2026-0735</v>
      </c>
      <c r="B118" s="30" t="s">
        <v>2297</v>
      </c>
      <c r="C118" s="27" t="s">
        <v>227</v>
      </c>
      <c r="D118" s="27" t="s">
        <v>125</v>
      </c>
      <c r="E118" s="27" t="s">
        <v>228</v>
      </c>
      <c r="F118" s="27" t="s">
        <v>895</v>
      </c>
      <c r="G118" s="10">
        <v>50</v>
      </c>
      <c r="H118" s="36" t="s">
        <v>263</v>
      </c>
      <c r="I118" s="37" t="s">
        <v>295</v>
      </c>
      <c r="J118" s="37" t="s">
        <v>296</v>
      </c>
      <c r="K118" s="27"/>
      <c r="L118" s="27"/>
      <c r="M118" s="27" t="s">
        <v>1400</v>
      </c>
      <c r="N118" s="27"/>
      <c r="O118" s="27"/>
      <c r="P118" s="1" t="s">
        <v>264</v>
      </c>
      <c r="Q118" s="29" t="s">
        <v>265</v>
      </c>
      <c r="R118" s="27" t="s">
        <v>500</v>
      </c>
      <c r="S118" s="27"/>
    </row>
    <row r="119" spans="1:19" ht="24" customHeight="1">
      <c r="A119" s="27"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EVT-2026-0736</v>
      </c>
      <c r="B119" s="30" t="s">
        <v>2297</v>
      </c>
      <c r="C119" s="27" t="s">
        <v>227</v>
      </c>
      <c r="D119" s="27" t="s">
        <v>736</v>
      </c>
      <c r="E119" s="27" t="s">
        <v>202</v>
      </c>
      <c r="F119" s="27" t="s">
        <v>1401</v>
      </c>
      <c r="G119" s="10"/>
      <c r="H119" s="36" t="s">
        <v>263</v>
      </c>
      <c r="I119" s="37" t="s">
        <v>274</v>
      </c>
      <c r="J119" s="37" t="s">
        <v>331</v>
      </c>
      <c r="K119" s="27"/>
      <c r="L119" s="27"/>
      <c r="M119" s="27" t="s">
        <v>1402</v>
      </c>
      <c r="N119" s="27"/>
      <c r="O119" s="27"/>
      <c r="P119" s="1" t="s">
        <v>264</v>
      </c>
      <c r="Q119" s="29" t="s">
        <v>265</v>
      </c>
      <c r="R119" s="27"/>
      <c r="S119" s="27"/>
    </row>
    <row r="120" spans="1:19" ht="24" customHeight="1">
      <c r="A120" s="27"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
      </c>
      <c r="B120" s="27"/>
      <c r="C120" s="27"/>
      <c r="D120" s="27"/>
      <c r="E120" s="27"/>
      <c r="F120" s="27"/>
      <c r="G120" s="10">
        <f>SUM(H2:H118)</f>
        <v>0</v>
      </c>
      <c r="H120" s="36" t="s">
        <v>263</v>
      </c>
      <c r="I120" s="37"/>
      <c r="J120" s="37"/>
      <c r="K120" s="27"/>
      <c r="L120" s="27"/>
      <c r="M120" s="27"/>
      <c r="N120" s="27"/>
      <c r="O120" s="27"/>
      <c r="P120" s="1" t="s">
        <v>264</v>
      </c>
      <c r="Q120" s="29" t="s">
        <v>265</v>
      </c>
      <c r="R120" s="27"/>
      <c r="S120" s="27"/>
    </row>
  </sheetData>
  <mergeCells count="3">
    <mergeCell ref="O1:S1"/>
    <mergeCell ref="A1:C1"/>
    <mergeCell ref="D1:N1"/>
  </mergeCells>
  <dataValidations count="4">
    <dataValidation type="list" allowBlank="1" sqref="O3:O500 P3:P120" xr:uid="{00000000-0002-0000-0D00-000000000000}">
      <formula1>"Confirmed (Done),Pending Calendar Booking,Canceled"</formula1>
    </dataValidation>
    <dataValidation type="list" allowBlank="1" sqref="P3:P170" xr:uid="{00000000-0002-0000-0D00-000001000000}">
      <formula1>"Form sent,NA"</formula1>
    </dataValidation>
    <dataValidation type="list" allowBlank="1" sqref="Q3:Q120" xr:uid="{00000000-0002-0000-0D00-000002000000}">
      <formula1>"Form sent,Not Required,NA"</formula1>
    </dataValidation>
    <dataValidation type="list" allowBlank="1" sqref="H3:H120" xr:uid="{00000000-0002-0000-0D00-000003000000}">
      <formula1>"Big Event,Small Event"</formula1>
    </dataValidation>
  </dataValidations>
  <hyperlinks>
    <hyperlink ref="A1" location="'Dashboard'!A1" display="🏠 ⮌ RETURN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66"/>
  <sheetViews>
    <sheetView workbookViewId="0">
      <pane ySplit="2" topLeftCell="A3" activePane="bottomLeft" state="frozen"/>
      <selection pane="bottomLeft" activeCell="D4" sqref="D4"/>
    </sheetView>
  </sheetViews>
  <sheetFormatPr defaultRowHeight="14.45"/>
  <cols>
    <col min="1" max="1" width="18" customWidth="1"/>
    <col min="2" max="2" width="15" customWidth="1"/>
    <col min="3" max="3" width="12" customWidth="1"/>
    <col min="4" max="5" width="48" customWidth="1"/>
    <col min="6" max="6" width="27" customWidth="1"/>
    <col min="7" max="7" width="15" customWidth="1"/>
    <col min="8" max="8" width="19" customWidth="1"/>
    <col min="9" max="9" width="17" customWidth="1"/>
    <col min="10" max="10" width="34" customWidth="1"/>
    <col min="11" max="12" width="48" customWidth="1"/>
    <col min="13" max="13" width="25" customWidth="1"/>
    <col min="14" max="14" width="19" customWidth="1"/>
    <col min="15" max="15" width="25" customWidth="1"/>
    <col min="16" max="16" width="18" customWidth="1"/>
    <col min="17" max="17" width="48" customWidth="1"/>
    <col min="18" max="18" width="19" customWidth="1"/>
  </cols>
  <sheetData>
    <row r="1" spans="1:18" ht="27.95" customHeight="1">
      <c r="A1" s="62" t="s">
        <v>2138</v>
      </c>
      <c r="B1" s="134"/>
      <c r="C1" s="135"/>
      <c r="D1" s="63" t="s">
        <v>2298</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EVT-2026-0737</v>
      </c>
      <c r="B3" s="30">
        <v>46204</v>
      </c>
      <c r="C3" s="27" t="s">
        <v>201</v>
      </c>
      <c r="D3" s="27" t="s">
        <v>1403</v>
      </c>
      <c r="E3" s="27" t="s">
        <v>1404</v>
      </c>
      <c r="F3" s="10">
        <v>150</v>
      </c>
      <c r="G3" s="38" t="s">
        <v>294</v>
      </c>
      <c r="H3" s="37" t="s">
        <v>1405</v>
      </c>
      <c r="I3" s="37" t="s">
        <v>503</v>
      </c>
      <c r="J3" s="27"/>
      <c r="K3" s="27"/>
      <c r="L3" s="27" t="s">
        <v>1406</v>
      </c>
      <c r="M3" s="27"/>
      <c r="N3" s="30" t="s">
        <v>2299</v>
      </c>
      <c r="O3" s="1" t="s">
        <v>264</v>
      </c>
      <c r="P3" s="29" t="s">
        <v>265</v>
      </c>
      <c r="Q3" s="27" t="s">
        <v>1407</v>
      </c>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EVT-2026-0738</v>
      </c>
      <c r="B4" s="30">
        <v>46204</v>
      </c>
      <c r="C4" s="27" t="s">
        <v>201</v>
      </c>
      <c r="D4" s="27" t="s">
        <v>171</v>
      </c>
      <c r="E4" s="27" t="s">
        <v>1408</v>
      </c>
      <c r="F4" s="10"/>
      <c r="G4" s="36" t="s">
        <v>263</v>
      </c>
      <c r="H4" s="37" t="s">
        <v>315</v>
      </c>
      <c r="I4" s="37" t="s">
        <v>429</v>
      </c>
      <c r="J4" s="27" t="s">
        <v>1409</v>
      </c>
      <c r="K4" s="27"/>
      <c r="L4" s="27" t="s">
        <v>1410</v>
      </c>
      <c r="M4" s="27"/>
      <c r="N4" s="30">
        <v>46198</v>
      </c>
      <c r="O4" s="1" t="s">
        <v>264</v>
      </c>
      <c r="P4" s="29" t="s">
        <v>265</v>
      </c>
      <c r="Q4" s="27" t="s">
        <v>1411</v>
      </c>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EVT-2026-0739</v>
      </c>
      <c r="B5" s="30">
        <v>46204</v>
      </c>
      <c r="C5" s="27" t="s">
        <v>201</v>
      </c>
      <c r="D5" s="27" t="s">
        <v>1240</v>
      </c>
      <c r="E5" s="27" t="s">
        <v>1408</v>
      </c>
      <c r="F5" s="10"/>
      <c r="G5" s="36" t="s">
        <v>263</v>
      </c>
      <c r="H5" s="37" t="s">
        <v>289</v>
      </c>
      <c r="I5" s="37" t="s">
        <v>270</v>
      </c>
      <c r="J5" s="27" t="s">
        <v>1409</v>
      </c>
      <c r="K5" s="27"/>
      <c r="L5" s="27" t="s">
        <v>1410</v>
      </c>
      <c r="M5" s="27"/>
      <c r="N5" s="30">
        <v>46198</v>
      </c>
      <c r="O5" s="1" t="s">
        <v>264</v>
      </c>
      <c r="P5" s="29" t="s">
        <v>265</v>
      </c>
      <c r="Q5" s="27" t="s">
        <v>1412</v>
      </c>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EVT-2026-0740</v>
      </c>
      <c r="B6" s="30">
        <v>46205</v>
      </c>
      <c r="C6" s="27" t="s">
        <v>216</v>
      </c>
      <c r="D6" s="27" t="s">
        <v>171</v>
      </c>
      <c r="E6" s="27" t="s">
        <v>1413</v>
      </c>
      <c r="F6" s="10" t="s">
        <v>2300</v>
      </c>
      <c r="G6" s="36" t="s">
        <v>263</v>
      </c>
      <c r="H6" s="37" t="s">
        <v>309</v>
      </c>
      <c r="I6" s="37" t="s">
        <v>296</v>
      </c>
      <c r="J6" s="27"/>
      <c r="K6" s="27"/>
      <c r="L6" s="27" t="s">
        <v>479</v>
      </c>
      <c r="M6" s="27"/>
      <c r="N6" s="27"/>
      <c r="O6" s="1" t="s">
        <v>264</v>
      </c>
      <c r="P6" s="29" t="s">
        <v>265</v>
      </c>
      <c r="Q6" s="27" t="s">
        <v>1411</v>
      </c>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EVT-2026-0741</v>
      </c>
      <c r="B7" s="30">
        <v>46206</v>
      </c>
      <c r="C7" s="27" t="s">
        <v>220</v>
      </c>
      <c r="D7" s="27" t="s">
        <v>171</v>
      </c>
      <c r="E7" s="27" t="s">
        <v>1413</v>
      </c>
      <c r="F7" s="10" t="s">
        <v>2300</v>
      </c>
      <c r="G7" s="36" t="s">
        <v>263</v>
      </c>
      <c r="H7" s="37" t="s">
        <v>309</v>
      </c>
      <c r="I7" s="37" t="s">
        <v>296</v>
      </c>
      <c r="J7" s="27" t="s">
        <v>1409</v>
      </c>
      <c r="K7" s="27"/>
      <c r="L7" s="27" t="s">
        <v>479</v>
      </c>
      <c r="M7" s="27"/>
      <c r="N7" s="30" t="s">
        <v>2301</v>
      </c>
      <c r="O7" s="1" t="s">
        <v>264</v>
      </c>
      <c r="P7" s="29" t="s">
        <v>265</v>
      </c>
      <c r="Q7" s="27" t="s">
        <v>1411</v>
      </c>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EVT-2026-0742</v>
      </c>
      <c r="B8" s="30">
        <v>46207</v>
      </c>
      <c r="C8" s="27" t="s">
        <v>266</v>
      </c>
      <c r="D8" s="27" t="s">
        <v>1414</v>
      </c>
      <c r="E8" s="27" t="s">
        <v>279</v>
      </c>
      <c r="F8" s="10">
        <v>58</v>
      </c>
      <c r="G8" s="36" t="s">
        <v>263</v>
      </c>
      <c r="H8" s="37" t="s">
        <v>269</v>
      </c>
      <c r="I8" s="37" t="s">
        <v>296</v>
      </c>
      <c r="J8" s="27"/>
      <c r="K8" s="27"/>
      <c r="L8" s="27" t="s">
        <v>760</v>
      </c>
      <c r="M8" s="27"/>
      <c r="N8" s="27"/>
      <c r="O8" s="1" t="s">
        <v>264</v>
      </c>
      <c r="P8" s="29" t="s">
        <v>265</v>
      </c>
      <c r="Q8" s="27" t="s">
        <v>1411</v>
      </c>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9" s="30">
        <v>46208</v>
      </c>
      <c r="C9" s="27" t="s">
        <v>267</v>
      </c>
      <c r="D9" s="27"/>
      <c r="E9" s="27"/>
      <c r="F9" s="10"/>
      <c r="G9" s="36" t="s">
        <v>263</v>
      </c>
      <c r="H9" s="37"/>
      <c r="I9" s="37"/>
      <c r="J9" s="27"/>
      <c r="K9" s="27"/>
      <c r="L9" s="27"/>
      <c r="M9" s="27"/>
      <c r="N9" s="27"/>
      <c r="O9" s="1" t="s">
        <v>264</v>
      </c>
      <c r="P9" s="29" t="s">
        <v>265</v>
      </c>
      <c r="Q9" s="27"/>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EVT-2026-0743</v>
      </c>
      <c r="B10" s="30">
        <v>46209</v>
      </c>
      <c r="C10" s="27" t="s">
        <v>224</v>
      </c>
      <c r="D10" s="27" t="s">
        <v>1186</v>
      </c>
      <c r="E10" s="27" t="s">
        <v>1187</v>
      </c>
      <c r="F10" s="10">
        <v>44</v>
      </c>
      <c r="G10" s="36" t="s">
        <v>263</v>
      </c>
      <c r="H10" s="37" t="s">
        <v>269</v>
      </c>
      <c r="I10" s="37" t="s">
        <v>270</v>
      </c>
      <c r="J10" s="27"/>
      <c r="K10" s="27"/>
      <c r="L10" s="27" t="s">
        <v>1415</v>
      </c>
      <c r="M10" s="27"/>
      <c r="N10" s="30">
        <v>46206</v>
      </c>
      <c r="O10" s="1" t="s">
        <v>264</v>
      </c>
      <c r="P10" s="29" t="s">
        <v>265</v>
      </c>
      <c r="Q10" s="27" t="s">
        <v>1411</v>
      </c>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EVT-2026-0744</v>
      </c>
      <c r="B11" s="30">
        <v>46209</v>
      </c>
      <c r="C11" s="27" t="s">
        <v>224</v>
      </c>
      <c r="D11" s="27" t="s">
        <v>171</v>
      </c>
      <c r="E11" s="27" t="s">
        <v>1187</v>
      </c>
      <c r="F11" s="10">
        <v>44</v>
      </c>
      <c r="G11" s="36" t="s">
        <v>263</v>
      </c>
      <c r="H11" s="37" t="s">
        <v>269</v>
      </c>
      <c r="I11" s="37" t="s">
        <v>270</v>
      </c>
      <c r="J11" s="27"/>
      <c r="K11" s="27"/>
      <c r="L11" s="27" t="s">
        <v>1415</v>
      </c>
      <c r="M11" s="27"/>
      <c r="N11" s="27"/>
      <c r="O11" s="1" t="s">
        <v>264</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EVT-2026-0745</v>
      </c>
      <c r="B12" s="30">
        <v>46209</v>
      </c>
      <c r="C12" s="27" t="s">
        <v>224</v>
      </c>
      <c r="D12" s="27" t="s">
        <v>1055</v>
      </c>
      <c r="E12" s="27" t="s">
        <v>1416</v>
      </c>
      <c r="F12" s="10">
        <v>40</v>
      </c>
      <c r="G12" s="36" t="s">
        <v>263</v>
      </c>
      <c r="H12" s="37" t="s">
        <v>296</v>
      </c>
      <c r="I12" s="37" t="s">
        <v>290</v>
      </c>
      <c r="J12" s="27" t="s">
        <v>1417</v>
      </c>
      <c r="K12" s="27"/>
      <c r="L12" s="27" t="s">
        <v>1418</v>
      </c>
      <c r="M12" s="27"/>
      <c r="N12" s="30">
        <v>46209</v>
      </c>
      <c r="O12" s="1" t="s">
        <v>264</v>
      </c>
      <c r="P12" s="29" t="s">
        <v>265</v>
      </c>
      <c r="Q12" s="27" t="s">
        <v>1412</v>
      </c>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EVT-2026-0746</v>
      </c>
      <c r="B13" s="30">
        <v>46210</v>
      </c>
      <c r="C13" s="27" t="s">
        <v>227</v>
      </c>
      <c r="D13" s="27" t="s">
        <v>171</v>
      </c>
      <c r="E13" s="27" t="s">
        <v>1419</v>
      </c>
      <c r="F13" s="10" t="s">
        <v>2302</v>
      </c>
      <c r="G13" s="36" t="s">
        <v>263</v>
      </c>
      <c r="H13" s="37" t="s">
        <v>354</v>
      </c>
      <c r="I13" s="37" t="s">
        <v>290</v>
      </c>
      <c r="J13" s="27"/>
      <c r="K13" s="27"/>
      <c r="L13" s="27" t="s">
        <v>1420</v>
      </c>
      <c r="M13" s="27"/>
      <c r="N13" s="30" t="s">
        <v>2303</v>
      </c>
      <c r="O13" s="1" t="s">
        <v>264</v>
      </c>
      <c r="P13" s="29" t="s">
        <v>265</v>
      </c>
      <c r="Q13" s="27" t="s">
        <v>1411</v>
      </c>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EVT-2026-0747</v>
      </c>
      <c r="B14" s="30">
        <v>46210</v>
      </c>
      <c r="C14" s="27" t="s">
        <v>227</v>
      </c>
      <c r="D14" s="27" t="s">
        <v>1055</v>
      </c>
      <c r="E14" s="27" t="s">
        <v>1421</v>
      </c>
      <c r="F14" s="10">
        <v>40</v>
      </c>
      <c r="G14" s="36" t="s">
        <v>263</v>
      </c>
      <c r="H14" s="37" t="s">
        <v>331</v>
      </c>
      <c r="I14" s="37" t="s">
        <v>275</v>
      </c>
      <c r="J14" s="27" t="s">
        <v>1422</v>
      </c>
      <c r="K14" s="27"/>
      <c r="L14" s="27" t="s">
        <v>1418</v>
      </c>
      <c r="M14" s="27"/>
      <c r="N14" s="30">
        <v>46209</v>
      </c>
      <c r="O14" s="1" t="s">
        <v>264</v>
      </c>
      <c r="P14" s="29" t="s">
        <v>265</v>
      </c>
      <c r="Q14" s="27" t="s">
        <v>1411</v>
      </c>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EVT-2026-0748</v>
      </c>
      <c r="B15" s="30">
        <v>46210</v>
      </c>
      <c r="C15" s="27" t="s">
        <v>227</v>
      </c>
      <c r="D15" s="27" t="s">
        <v>171</v>
      </c>
      <c r="E15" s="27" t="s">
        <v>1423</v>
      </c>
      <c r="F15" s="10" t="s">
        <v>2300</v>
      </c>
      <c r="G15" s="36" t="s">
        <v>263</v>
      </c>
      <c r="H15" s="37" t="s">
        <v>274</v>
      </c>
      <c r="I15" s="37" t="s">
        <v>331</v>
      </c>
      <c r="J15" s="27"/>
      <c r="K15" s="27"/>
      <c r="L15" s="27" t="s">
        <v>1424</v>
      </c>
      <c r="M15" s="27"/>
      <c r="N15" s="27"/>
      <c r="O15" s="1" t="s">
        <v>264</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EVT-2026-0749</v>
      </c>
      <c r="B16" s="30">
        <v>46210</v>
      </c>
      <c r="C16" s="27" t="s">
        <v>227</v>
      </c>
      <c r="D16" s="27" t="s">
        <v>1186</v>
      </c>
      <c r="E16" s="27" t="s">
        <v>327</v>
      </c>
      <c r="F16" s="10">
        <v>30</v>
      </c>
      <c r="G16" s="36" t="s">
        <v>263</v>
      </c>
      <c r="H16" s="37" t="s">
        <v>269</v>
      </c>
      <c r="I16" s="37" t="s">
        <v>270</v>
      </c>
      <c r="J16" s="27" t="s">
        <v>1425</v>
      </c>
      <c r="K16" s="27" t="s">
        <v>1426</v>
      </c>
      <c r="L16" s="27" t="s">
        <v>1427</v>
      </c>
      <c r="M16" s="27"/>
      <c r="N16" s="30" t="s">
        <v>2304</v>
      </c>
      <c r="O16" s="1" t="s">
        <v>264</v>
      </c>
      <c r="P16" s="29" t="s">
        <v>265</v>
      </c>
      <c r="Q16" s="27" t="s">
        <v>1411</v>
      </c>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EVT-2026-0750</v>
      </c>
      <c r="B17" s="30">
        <v>46211</v>
      </c>
      <c r="C17" s="27" t="s">
        <v>201</v>
      </c>
      <c r="D17" s="27" t="s">
        <v>171</v>
      </c>
      <c r="E17" s="27" t="s">
        <v>670</v>
      </c>
      <c r="F17" s="10">
        <v>70</v>
      </c>
      <c r="G17" s="36" t="s">
        <v>263</v>
      </c>
      <c r="H17" s="37" t="s">
        <v>338</v>
      </c>
      <c r="I17" s="37" t="s">
        <v>330</v>
      </c>
      <c r="J17" s="27" t="s">
        <v>610</v>
      </c>
      <c r="K17" s="27" t="s">
        <v>369</v>
      </c>
      <c r="L17" s="27" t="s">
        <v>1428</v>
      </c>
      <c r="M17" s="27"/>
      <c r="N17" s="30" t="s">
        <v>2112</v>
      </c>
      <c r="O17" s="3" t="s">
        <v>312</v>
      </c>
      <c r="P17" s="29" t="s">
        <v>265</v>
      </c>
      <c r="Q17" s="27" t="s">
        <v>298</v>
      </c>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EVT-2026-0751</v>
      </c>
      <c r="B18" s="30">
        <v>46211</v>
      </c>
      <c r="C18" s="27" t="s">
        <v>201</v>
      </c>
      <c r="D18" s="27" t="s">
        <v>1044</v>
      </c>
      <c r="E18" s="27" t="s">
        <v>1429</v>
      </c>
      <c r="F18" s="10">
        <v>150</v>
      </c>
      <c r="G18" s="38" t="s">
        <v>294</v>
      </c>
      <c r="H18" s="37" t="s">
        <v>1405</v>
      </c>
      <c r="I18" s="37" t="s">
        <v>411</v>
      </c>
      <c r="J18" s="27" t="s">
        <v>382</v>
      </c>
      <c r="K18" s="27"/>
      <c r="L18" s="27" t="s">
        <v>1430</v>
      </c>
      <c r="M18" s="27"/>
      <c r="N18" s="30" t="s">
        <v>2299</v>
      </c>
      <c r="O18" s="1" t="s">
        <v>264</v>
      </c>
      <c r="P18" s="29" t="s">
        <v>265</v>
      </c>
      <c r="Q18" s="27" t="s">
        <v>298</v>
      </c>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EVT-2026-0752</v>
      </c>
      <c r="B19" s="30">
        <v>46211</v>
      </c>
      <c r="C19" s="27" t="s">
        <v>201</v>
      </c>
      <c r="D19" s="27" t="s">
        <v>1186</v>
      </c>
      <c r="E19" s="27" t="s">
        <v>327</v>
      </c>
      <c r="F19" s="10">
        <v>30</v>
      </c>
      <c r="G19" s="36" t="s">
        <v>263</v>
      </c>
      <c r="H19" s="37" t="s">
        <v>269</v>
      </c>
      <c r="I19" s="37" t="s">
        <v>270</v>
      </c>
      <c r="J19" s="27" t="s">
        <v>382</v>
      </c>
      <c r="K19" s="27" t="s">
        <v>1426</v>
      </c>
      <c r="L19" s="27" t="s">
        <v>1427</v>
      </c>
      <c r="M19" s="27"/>
      <c r="N19" s="30" t="s">
        <v>2305</v>
      </c>
      <c r="O19" s="1" t="s">
        <v>264</v>
      </c>
      <c r="P19" s="29" t="s">
        <v>265</v>
      </c>
      <c r="Q19" s="27" t="s">
        <v>1185</v>
      </c>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EVT-2026-0753</v>
      </c>
      <c r="B20" s="30">
        <v>46212</v>
      </c>
      <c r="C20" s="27" t="s">
        <v>216</v>
      </c>
      <c r="D20" s="27" t="s">
        <v>171</v>
      </c>
      <c r="E20" s="27" t="s">
        <v>1419</v>
      </c>
      <c r="F20" s="10" t="s">
        <v>2302</v>
      </c>
      <c r="G20" s="36" t="s">
        <v>263</v>
      </c>
      <c r="H20" s="37" t="s">
        <v>1431</v>
      </c>
      <c r="I20" s="37" t="s">
        <v>354</v>
      </c>
      <c r="J20" s="27"/>
      <c r="K20" s="27"/>
      <c r="L20" s="27" t="s">
        <v>1420</v>
      </c>
      <c r="M20" s="27"/>
      <c r="N20" s="30">
        <v>46198</v>
      </c>
      <c r="O20" s="1" t="s">
        <v>264</v>
      </c>
      <c r="P20" s="29" t="s">
        <v>265</v>
      </c>
      <c r="Q20" s="27" t="s">
        <v>1411</v>
      </c>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EVT-2026-0754</v>
      </c>
      <c r="B21" s="30">
        <v>46212</v>
      </c>
      <c r="C21" s="27" t="s">
        <v>216</v>
      </c>
      <c r="D21" s="27" t="s">
        <v>171</v>
      </c>
      <c r="E21" s="27" t="s">
        <v>1413</v>
      </c>
      <c r="F21" s="10" t="s">
        <v>2300</v>
      </c>
      <c r="G21" s="36" t="s">
        <v>263</v>
      </c>
      <c r="H21" s="37" t="s">
        <v>309</v>
      </c>
      <c r="I21" s="37" t="s">
        <v>296</v>
      </c>
      <c r="J21" s="27"/>
      <c r="K21" s="27"/>
      <c r="L21" s="27" t="s">
        <v>1424</v>
      </c>
      <c r="M21" s="27"/>
      <c r="N21" s="27"/>
      <c r="O21" s="1" t="s">
        <v>264</v>
      </c>
      <c r="P21" s="29" t="s">
        <v>265</v>
      </c>
      <c r="Q21" s="27" t="s">
        <v>1432</v>
      </c>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EVT-2026-0755</v>
      </c>
      <c r="B22" s="30">
        <v>46212</v>
      </c>
      <c r="C22" s="27" t="s">
        <v>216</v>
      </c>
      <c r="D22" s="27" t="s">
        <v>171</v>
      </c>
      <c r="E22" s="27" t="s">
        <v>1423</v>
      </c>
      <c r="F22" s="10" t="s">
        <v>2300</v>
      </c>
      <c r="G22" s="36" t="s">
        <v>263</v>
      </c>
      <c r="H22" s="37" t="s">
        <v>296</v>
      </c>
      <c r="I22" s="37" t="s">
        <v>270</v>
      </c>
      <c r="J22" s="27"/>
      <c r="K22" s="27"/>
      <c r="L22" s="27" t="s">
        <v>1433</v>
      </c>
      <c r="M22" s="27"/>
      <c r="N22" s="27"/>
      <c r="O22" s="1" t="s">
        <v>264</v>
      </c>
      <c r="P22" s="29" t="s">
        <v>265</v>
      </c>
      <c r="Q22" s="27"/>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EVT-2026-0756</v>
      </c>
      <c r="B23" s="30">
        <v>46213</v>
      </c>
      <c r="C23" s="27" t="s">
        <v>220</v>
      </c>
      <c r="D23" s="27" t="s">
        <v>171</v>
      </c>
      <c r="E23" s="27" t="s">
        <v>1434</v>
      </c>
      <c r="F23" s="10" t="s">
        <v>2277</v>
      </c>
      <c r="G23" s="36" t="s">
        <v>263</v>
      </c>
      <c r="H23" s="37" t="s">
        <v>309</v>
      </c>
      <c r="I23" s="37" t="s">
        <v>295</v>
      </c>
      <c r="J23" s="27"/>
      <c r="K23" s="27"/>
      <c r="L23" s="27" t="s">
        <v>1435</v>
      </c>
      <c r="M23" s="27"/>
      <c r="N23" s="30">
        <v>46205</v>
      </c>
      <c r="O23" s="3" t="s">
        <v>312</v>
      </c>
      <c r="P23" s="29" t="s">
        <v>265</v>
      </c>
      <c r="Q23" s="27" t="s">
        <v>1436</v>
      </c>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EVT-2026-0757</v>
      </c>
      <c r="B24" s="30">
        <v>46213</v>
      </c>
      <c r="C24" s="27" t="s">
        <v>220</v>
      </c>
      <c r="D24" s="27" t="s">
        <v>171</v>
      </c>
      <c r="E24" s="27" t="s">
        <v>1413</v>
      </c>
      <c r="F24" s="10" t="s">
        <v>2300</v>
      </c>
      <c r="G24" s="36" t="s">
        <v>263</v>
      </c>
      <c r="H24" s="37" t="s">
        <v>274</v>
      </c>
      <c r="I24" s="37" t="s">
        <v>331</v>
      </c>
      <c r="J24" s="27"/>
      <c r="K24" s="27"/>
      <c r="L24" s="27" t="s">
        <v>1437</v>
      </c>
      <c r="M24" s="27"/>
      <c r="N24" s="27"/>
      <c r="O24" s="3" t="s">
        <v>312</v>
      </c>
      <c r="P24" s="29" t="s">
        <v>265</v>
      </c>
      <c r="Q24" s="27" t="s">
        <v>1432</v>
      </c>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EVT-2026-0758</v>
      </c>
      <c r="B25" s="30">
        <v>46213</v>
      </c>
      <c r="C25" s="27" t="s">
        <v>220</v>
      </c>
      <c r="D25" s="27" t="s">
        <v>171</v>
      </c>
      <c r="E25" s="27" t="s">
        <v>1438</v>
      </c>
      <c r="F25" s="10" t="s">
        <v>2306</v>
      </c>
      <c r="G25" s="36" t="s">
        <v>263</v>
      </c>
      <c r="H25" s="37"/>
      <c r="I25" s="37"/>
      <c r="J25" s="27"/>
      <c r="K25" s="27"/>
      <c r="L25" s="27"/>
      <c r="M25" s="27"/>
      <c r="N25" s="27"/>
      <c r="O25" s="1" t="s">
        <v>264</v>
      </c>
      <c r="P25" s="29" t="s">
        <v>265</v>
      </c>
      <c r="Q25" s="27"/>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EVT-2026-0759</v>
      </c>
      <c r="B26" s="30">
        <v>46214</v>
      </c>
      <c r="C26" s="27" t="s">
        <v>266</v>
      </c>
      <c r="D26" s="27" t="s">
        <v>1439</v>
      </c>
      <c r="E26" s="27" t="s">
        <v>279</v>
      </c>
      <c r="F26" s="10">
        <v>51</v>
      </c>
      <c r="G26" s="36" t="s">
        <v>263</v>
      </c>
      <c r="H26" s="37" t="s">
        <v>269</v>
      </c>
      <c r="I26" s="37" t="s">
        <v>544</v>
      </c>
      <c r="J26" s="27"/>
      <c r="K26" s="27"/>
      <c r="L26" s="27" t="s">
        <v>1440</v>
      </c>
      <c r="M26" s="27"/>
      <c r="N26" s="30" t="s">
        <v>2307</v>
      </c>
      <c r="O26" s="1" t="s">
        <v>264</v>
      </c>
      <c r="P26" s="29" t="s">
        <v>265</v>
      </c>
      <c r="Q26" s="27" t="s">
        <v>1313</v>
      </c>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27" s="30">
        <v>46215</v>
      </c>
      <c r="C27" s="27" t="s">
        <v>267</v>
      </c>
      <c r="D27" s="27"/>
      <c r="E27" s="27"/>
      <c r="F27" s="10"/>
      <c r="G27" s="36" t="s">
        <v>263</v>
      </c>
      <c r="H27" s="37"/>
      <c r="I27" s="37"/>
      <c r="J27" s="27"/>
      <c r="K27" s="27"/>
      <c r="L27" s="27"/>
      <c r="M27" s="27"/>
      <c r="N27" s="27"/>
      <c r="O27" s="1" t="s">
        <v>264</v>
      </c>
      <c r="P27" s="29" t="s">
        <v>265</v>
      </c>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EVT-2026-0760</v>
      </c>
      <c r="B28" s="30">
        <v>46216</v>
      </c>
      <c r="C28" s="27" t="s">
        <v>224</v>
      </c>
      <c r="D28" s="27" t="s">
        <v>1186</v>
      </c>
      <c r="E28" s="27" t="s">
        <v>1187</v>
      </c>
      <c r="F28" s="10">
        <v>40</v>
      </c>
      <c r="G28" s="36" t="s">
        <v>263</v>
      </c>
      <c r="H28" s="37" t="s">
        <v>269</v>
      </c>
      <c r="I28" s="37" t="s">
        <v>270</v>
      </c>
      <c r="J28" s="27"/>
      <c r="K28" s="27"/>
      <c r="L28" s="27" t="s">
        <v>1415</v>
      </c>
      <c r="M28" s="27"/>
      <c r="N28" s="30" t="s">
        <v>2301</v>
      </c>
      <c r="O28" s="1" t="s">
        <v>264</v>
      </c>
      <c r="P28" s="29" t="s">
        <v>265</v>
      </c>
      <c r="Q28" s="27" t="s">
        <v>1441</v>
      </c>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EVT-2026-0761</v>
      </c>
      <c r="B29" s="30">
        <v>46216</v>
      </c>
      <c r="C29" s="27" t="s">
        <v>224</v>
      </c>
      <c r="D29" s="27" t="s">
        <v>171</v>
      </c>
      <c r="E29" s="27" t="s">
        <v>1187</v>
      </c>
      <c r="F29" s="10">
        <v>40</v>
      </c>
      <c r="G29" s="36" t="s">
        <v>263</v>
      </c>
      <c r="H29" s="37" t="s">
        <v>269</v>
      </c>
      <c r="I29" s="37" t="s">
        <v>270</v>
      </c>
      <c r="J29" s="27"/>
      <c r="K29" s="27"/>
      <c r="L29" s="27" t="s">
        <v>1415</v>
      </c>
      <c r="M29" s="27"/>
      <c r="N29" s="27"/>
      <c r="O29" s="1" t="s">
        <v>264</v>
      </c>
      <c r="P29" s="29" t="s">
        <v>265</v>
      </c>
      <c r="Q29" s="27" t="s">
        <v>1441</v>
      </c>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EVT-2026-0762</v>
      </c>
      <c r="B30" s="30">
        <v>46217</v>
      </c>
      <c r="C30" s="27" t="s">
        <v>227</v>
      </c>
      <c r="D30" s="27" t="s">
        <v>171</v>
      </c>
      <c r="E30" s="27" t="s">
        <v>1442</v>
      </c>
      <c r="F30" s="10">
        <v>70</v>
      </c>
      <c r="G30" s="36" t="s">
        <v>263</v>
      </c>
      <c r="H30" s="37" t="s">
        <v>338</v>
      </c>
      <c r="I30" s="37" t="s">
        <v>330</v>
      </c>
      <c r="J30" s="27"/>
      <c r="K30" s="27"/>
      <c r="L30" s="27" t="s">
        <v>1443</v>
      </c>
      <c r="M30" s="27"/>
      <c r="N30" s="30">
        <v>46216</v>
      </c>
      <c r="O30" s="1" t="s">
        <v>264</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EVT-2026-0763</v>
      </c>
      <c r="B31" s="30">
        <v>46217</v>
      </c>
      <c r="C31" s="27" t="s">
        <v>227</v>
      </c>
      <c r="D31" s="27" t="s">
        <v>171</v>
      </c>
      <c r="E31" s="27" t="s">
        <v>1444</v>
      </c>
      <c r="F31" s="10">
        <v>30</v>
      </c>
      <c r="G31" s="36" t="s">
        <v>263</v>
      </c>
      <c r="H31" s="37" t="s">
        <v>275</v>
      </c>
      <c r="I31" s="37" t="s">
        <v>270</v>
      </c>
      <c r="J31" s="27" t="s">
        <v>1445</v>
      </c>
      <c r="K31" s="27"/>
      <c r="L31" s="27" t="s">
        <v>1427</v>
      </c>
      <c r="M31" s="27"/>
      <c r="N31" s="30">
        <v>46190</v>
      </c>
      <c r="O31" s="1" t="s">
        <v>264</v>
      </c>
      <c r="P31" s="29" t="s">
        <v>265</v>
      </c>
      <c r="Q31" s="27" t="s">
        <v>298</v>
      </c>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EVT-2026-0764</v>
      </c>
      <c r="B32" s="30">
        <v>46218</v>
      </c>
      <c r="C32" s="27" t="s">
        <v>201</v>
      </c>
      <c r="D32" s="27" t="s">
        <v>171</v>
      </c>
      <c r="E32" s="27" t="s">
        <v>1444</v>
      </c>
      <c r="F32" s="10">
        <v>30</v>
      </c>
      <c r="G32" s="36" t="s">
        <v>263</v>
      </c>
      <c r="H32" s="37" t="s">
        <v>275</v>
      </c>
      <c r="I32" s="37" t="s">
        <v>270</v>
      </c>
      <c r="J32" s="27" t="s">
        <v>1445</v>
      </c>
      <c r="K32" s="27"/>
      <c r="L32" s="27" t="s">
        <v>1427</v>
      </c>
      <c r="M32" s="27"/>
      <c r="N32" s="30">
        <v>46190</v>
      </c>
      <c r="O32" s="1" t="s">
        <v>264</v>
      </c>
      <c r="P32" s="29" t="s">
        <v>265</v>
      </c>
      <c r="Q32" s="27" t="s">
        <v>298</v>
      </c>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EVT-2026-0765</v>
      </c>
      <c r="B33" s="30">
        <v>46219</v>
      </c>
      <c r="C33" s="27" t="s">
        <v>216</v>
      </c>
      <c r="D33" s="27" t="s">
        <v>171</v>
      </c>
      <c r="E33" s="27" t="s">
        <v>769</v>
      </c>
      <c r="F33" s="10">
        <v>45</v>
      </c>
      <c r="G33" s="36" t="s">
        <v>263</v>
      </c>
      <c r="H33" s="37" t="s">
        <v>338</v>
      </c>
      <c r="I33" s="37" t="s">
        <v>506</v>
      </c>
      <c r="J33" s="27" t="s">
        <v>382</v>
      </c>
      <c r="K33" s="27"/>
      <c r="L33" s="27" t="s">
        <v>1446</v>
      </c>
      <c r="M33" s="27"/>
      <c r="N33" s="30">
        <v>46218</v>
      </c>
      <c r="O33" s="1" t="s">
        <v>264</v>
      </c>
      <c r="P33" s="29" t="s">
        <v>265</v>
      </c>
      <c r="Q33" s="27" t="s">
        <v>1441</v>
      </c>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EVT-2026-0766</v>
      </c>
      <c r="B34" s="30">
        <v>46219</v>
      </c>
      <c r="C34" s="27" t="s">
        <v>216</v>
      </c>
      <c r="D34" s="27" t="s">
        <v>171</v>
      </c>
      <c r="E34" s="27" t="s">
        <v>1350</v>
      </c>
      <c r="F34" s="10" t="s">
        <v>2308</v>
      </c>
      <c r="G34" s="36" t="s">
        <v>263</v>
      </c>
      <c r="H34" s="37" t="s">
        <v>289</v>
      </c>
      <c r="I34" s="37" t="s">
        <v>359</v>
      </c>
      <c r="J34" s="27" t="s">
        <v>382</v>
      </c>
      <c r="K34" s="27"/>
      <c r="L34" s="27" t="s">
        <v>1447</v>
      </c>
      <c r="M34" s="27"/>
      <c r="N34" s="30">
        <v>46203</v>
      </c>
      <c r="O34" s="1" t="s">
        <v>264</v>
      </c>
      <c r="P34" s="29" t="s">
        <v>265</v>
      </c>
      <c r="Q34" s="27" t="s">
        <v>298</v>
      </c>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EVT-2026-0767</v>
      </c>
      <c r="B35" s="30">
        <v>46220</v>
      </c>
      <c r="C35" s="27" t="s">
        <v>220</v>
      </c>
      <c r="D35" s="27" t="s">
        <v>171</v>
      </c>
      <c r="E35" s="27" t="s">
        <v>1448</v>
      </c>
      <c r="F35" s="10">
        <v>24</v>
      </c>
      <c r="G35" s="36" t="s">
        <v>263</v>
      </c>
      <c r="H35" s="37" t="s">
        <v>269</v>
      </c>
      <c r="I35" s="37" t="s">
        <v>270</v>
      </c>
      <c r="J35" s="27" t="s">
        <v>1449</v>
      </c>
      <c r="K35" s="27"/>
      <c r="L35" s="27" t="s">
        <v>1450</v>
      </c>
      <c r="M35" s="27"/>
      <c r="N35" s="30">
        <v>46212</v>
      </c>
      <c r="O35" s="1" t="s">
        <v>264</v>
      </c>
      <c r="P35" s="29" t="s">
        <v>265</v>
      </c>
      <c r="Q35" s="27" t="s">
        <v>1441</v>
      </c>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EVT-2026-0768</v>
      </c>
      <c r="B36" s="30">
        <v>46221</v>
      </c>
      <c r="C36" s="27" t="s">
        <v>266</v>
      </c>
      <c r="D36" s="27" t="s">
        <v>292</v>
      </c>
      <c r="E36" s="27" t="s">
        <v>279</v>
      </c>
      <c r="F36" s="10" t="s">
        <v>2309</v>
      </c>
      <c r="G36" s="36" t="s">
        <v>263</v>
      </c>
      <c r="H36" s="37" t="s">
        <v>269</v>
      </c>
      <c r="I36" s="37" t="s">
        <v>270</v>
      </c>
      <c r="J36" s="27" t="s">
        <v>1449</v>
      </c>
      <c r="K36" s="27"/>
      <c r="L36" s="27" t="s">
        <v>1440</v>
      </c>
      <c r="M36" s="27"/>
      <c r="N36" s="30">
        <v>46219</v>
      </c>
      <c r="O36" s="1" t="s">
        <v>264</v>
      </c>
      <c r="P36" s="29" t="s">
        <v>265</v>
      </c>
      <c r="Q36" s="27" t="s">
        <v>1313</v>
      </c>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37" s="30">
        <v>46222</v>
      </c>
      <c r="C37" s="27" t="s">
        <v>267</v>
      </c>
      <c r="D37" s="27"/>
      <c r="E37" s="27"/>
      <c r="F37" s="10"/>
      <c r="G37" s="36" t="s">
        <v>263</v>
      </c>
      <c r="H37" s="37"/>
      <c r="I37" s="37"/>
      <c r="J37" s="27"/>
      <c r="K37" s="27"/>
      <c r="L37" s="27"/>
      <c r="M37" s="27"/>
      <c r="N37" s="27"/>
      <c r="O37" s="1" t="s">
        <v>264</v>
      </c>
      <c r="P37" s="29" t="s">
        <v>265</v>
      </c>
      <c r="Q37" s="27"/>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EVT-2026-0769</v>
      </c>
      <c r="B38" s="30">
        <v>46223</v>
      </c>
      <c r="C38" s="27" t="s">
        <v>224</v>
      </c>
      <c r="D38" s="27" t="s">
        <v>1451</v>
      </c>
      <c r="E38" s="27" t="s">
        <v>1452</v>
      </c>
      <c r="F38" s="10">
        <v>35</v>
      </c>
      <c r="G38" s="36" t="s">
        <v>263</v>
      </c>
      <c r="H38" s="37" t="s">
        <v>354</v>
      </c>
      <c r="I38" s="37" t="s">
        <v>289</v>
      </c>
      <c r="J38" s="27" t="s">
        <v>610</v>
      </c>
      <c r="K38" s="27"/>
      <c r="L38" s="27" t="s">
        <v>1453</v>
      </c>
      <c r="M38" s="27"/>
      <c r="N38" s="27"/>
      <c r="O38" s="1" t="s">
        <v>264</v>
      </c>
      <c r="P38" s="29" t="s">
        <v>265</v>
      </c>
      <c r="Q38" s="27" t="s">
        <v>1411</v>
      </c>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EVT-2026-0770</v>
      </c>
      <c r="B39" s="30">
        <v>46223</v>
      </c>
      <c r="C39" s="27" t="s">
        <v>224</v>
      </c>
      <c r="D39" s="27" t="s">
        <v>171</v>
      </c>
      <c r="E39" s="27" t="s">
        <v>1187</v>
      </c>
      <c r="F39" s="10">
        <v>31</v>
      </c>
      <c r="G39" s="36" t="s">
        <v>263</v>
      </c>
      <c r="H39" s="37" t="s">
        <v>269</v>
      </c>
      <c r="I39" s="37" t="s">
        <v>270</v>
      </c>
      <c r="J39" s="27"/>
      <c r="K39" s="27"/>
      <c r="L39" s="27" t="s">
        <v>1415</v>
      </c>
      <c r="M39" s="27"/>
      <c r="N39" s="27"/>
      <c r="O39" s="1" t="s">
        <v>264</v>
      </c>
      <c r="P39" s="29" t="s">
        <v>265</v>
      </c>
      <c r="Q39" s="27" t="s">
        <v>1454</v>
      </c>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EVT-2026-0771</v>
      </c>
      <c r="B40" s="30">
        <v>46223</v>
      </c>
      <c r="C40" s="27" t="s">
        <v>224</v>
      </c>
      <c r="D40" s="27" t="s">
        <v>1186</v>
      </c>
      <c r="E40" s="27" t="s">
        <v>1187</v>
      </c>
      <c r="F40" s="10">
        <v>40</v>
      </c>
      <c r="G40" s="36" t="s">
        <v>263</v>
      </c>
      <c r="H40" s="37" t="s">
        <v>269</v>
      </c>
      <c r="I40" s="37" t="s">
        <v>270</v>
      </c>
      <c r="J40" s="27"/>
      <c r="K40" s="27"/>
      <c r="L40" s="27" t="s">
        <v>1415</v>
      </c>
      <c r="M40" s="27"/>
      <c r="N40" s="27"/>
      <c r="O40" s="1" t="s">
        <v>264</v>
      </c>
      <c r="P40" s="29" t="s">
        <v>265</v>
      </c>
      <c r="Q40" s="27" t="s">
        <v>1411</v>
      </c>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EVT-2026-0772</v>
      </c>
      <c r="B41" s="30">
        <v>46223</v>
      </c>
      <c r="C41" s="27" t="s">
        <v>224</v>
      </c>
      <c r="D41" s="27" t="s">
        <v>1455</v>
      </c>
      <c r="E41" s="27" t="s">
        <v>1246</v>
      </c>
      <c r="F41" s="10">
        <v>3</v>
      </c>
      <c r="G41" s="36" t="s">
        <v>263</v>
      </c>
      <c r="H41" s="37" t="s">
        <v>269</v>
      </c>
      <c r="I41" s="37" t="s">
        <v>270</v>
      </c>
      <c r="J41" s="27" t="s">
        <v>382</v>
      </c>
      <c r="K41" s="27"/>
      <c r="L41" s="27" t="s">
        <v>1446</v>
      </c>
      <c r="M41" s="27"/>
      <c r="N41" s="30" t="s">
        <v>2310</v>
      </c>
      <c r="O41" s="1" t="s">
        <v>264</v>
      </c>
      <c r="P41" s="29" t="s">
        <v>265</v>
      </c>
      <c r="Q41" s="27" t="s">
        <v>1411</v>
      </c>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EVT-2026-0773</v>
      </c>
      <c r="B42" s="30">
        <v>46224</v>
      </c>
      <c r="C42" s="27" t="s">
        <v>227</v>
      </c>
      <c r="D42" s="27" t="s">
        <v>171</v>
      </c>
      <c r="E42" s="27" t="s">
        <v>1456</v>
      </c>
      <c r="F42" s="10">
        <v>50</v>
      </c>
      <c r="G42" s="36" t="s">
        <v>263</v>
      </c>
      <c r="H42" s="37" t="s">
        <v>1225</v>
      </c>
      <c r="I42" s="37" t="s">
        <v>330</v>
      </c>
      <c r="J42" s="27" t="s">
        <v>610</v>
      </c>
      <c r="K42" s="27" t="s">
        <v>1457</v>
      </c>
      <c r="L42" s="27" t="s">
        <v>1458</v>
      </c>
      <c r="M42" s="27"/>
      <c r="N42" s="30" t="s">
        <v>2311</v>
      </c>
      <c r="O42" s="1" t="s">
        <v>264</v>
      </c>
      <c r="P42" s="29" t="s">
        <v>265</v>
      </c>
      <c r="Q42" s="27" t="s">
        <v>1411</v>
      </c>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EVT-2026-0774</v>
      </c>
      <c r="B43" s="30">
        <v>46224</v>
      </c>
      <c r="C43" s="27" t="s">
        <v>227</v>
      </c>
      <c r="D43" s="27" t="s">
        <v>171</v>
      </c>
      <c r="E43" s="27" t="s">
        <v>1459</v>
      </c>
      <c r="F43" s="10">
        <v>70</v>
      </c>
      <c r="G43" s="36" t="s">
        <v>263</v>
      </c>
      <c r="H43" s="37" t="s">
        <v>309</v>
      </c>
      <c r="I43" s="37" t="s">
        <v>296</v>
      </c>
      <c r="J43" s="27" t="s">
        <v>382</v>
      </c>
      <c r="K43" s="27"/>
      <c r="L43" s="27" t="s">
        <v>1460</v>
      </c>
      <c r="M43" s="27"/>
      <c r="N43" s="30" t="s">
        <v>2312</v>
      </c>
      <c r="O43" s="1" t="s">
        <v>264</v>
      </c>
      <c r="P43" s="29" t="s">
        <v>265</v>
      </c>
      <c r="Q43" s="27" t="s">
        <v>1461</v>
      </c>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EVT-2026-0775</v>
      </c>
      <c r="B44" s="30">
        <v>46224</v>
      </c>
      <c r="C44" s="27" t="s">
        <v>227</v>
      </c>
      <c r="D44" s="27" t="s">
        <v>1462</v>
      </c>
      <c r="E44" s="27" t="s">
        <v>1463</v>
      </c>
      <c r="F44" s="10">
        <v>1</v>
      </c>
      <c r="G44" s="36" t="s">
        <v>263</v>
      </c>
      <c r="H44" s="37" t="s">
        <v>269</v>
      </c>
      <c r="I44" s="37" t="s">
        <v>270</v>
      </c>
      <c r="J44" s="27" t="s">
        <v>382</v>
      </c>
      <c r="K44" s="27"/>
      <c r="L44" s="27" t="s">
        <v>1430</v>
      </c>
      <c r="M44" s="27"/>
      <c r="N44" s="30">
        <v>46218</v>
      </c>
      <c r="O44" s="1" t="s">
        <v>264</v>
      </c>
      <c r="P44" s="29" t="s">
        <v>265</v>
      </c>
      <c r="Q44" s="27" t="s">
        <v>1464</v>
      </c>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EVT-2026-0776</v>
      </c>
      <c r="B45" s="30">
        <v>46224</v>
      </c>
      <c r="C45" s="27" t="s">
        <v>227</v>
      </c>
      <c r="D45" s="27" t="s">
        <v>1465</v>
      </c>
      <c r="E45" s="27" t="s">
        <v>1466</v>
      </c>
      <c r="F45" s="10">
        <v>4</v>
      </c>
      <c r="G45" s="36" t="s">
        <v>263</v>
      </c>
      <c r="H45" s="37" t="s">
        <v>506</v>
      </c>
      <c r="I45" s="37" t="s">
        <v>290</v>
      </c>
      <c r="J45" s="27"/>
      <c r="K45" s="27"/>
      <c r="L45" s="27" t="s">
        <v>1467</v>
      </c>
      <c r="M45" s="27"/>
      <c r="N45" s="30">
        <v>46223</v>
      </c>
      <c r="O45" s="3" t="s">
        <v>312</v>
      </c>
      <c r="P45" s="29" t="s">
        <v>265</v>
      </c>
      <c r="Q45" s="27" t="s">
        <v>1468</v>
      </c>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EVT-2026-0777</v>
      </c>
      <c r="B46" s="30">
        <v>46224</v>
      </c>
      <c r="C46" s="27" t="s">
        <v>227</v>
      </c>
      <c r="D46" s="27" t="s">
        <v>1469</v>
      </c>
      <c r="E46" s="27" t="s">
        <v>1470</v>
      </c>
      <c r="F46" s="10">
        <v>35</v>
      </c>
      <c r="G46" s="36" t="s">
        <v>263</v>
      </c>
      <c r="H46" s="37" t="s">
        <v>350</v>
      </c>
      <c r="I46" s="37" t="s">
        <v>359</v>
      </c>
      <c r="J46" s="27" t="s">
        <v>369</v>
      </c>
      <c r="K46" s="27" t="s">
        <v>1471</v>
      </c>
      <c r="L46" s="27" t="s">
        <v>1472</v>
      </c>
      <c r="M46" s="27"/>
      <c r="N46" s="30">
        <v>46216</v>
      </c>
      <c r="O46" s="1" t="s">
        <v>264</v>
      </c>
      <c r="P46" s="29" t="s">
        <v>265</v>
      </c>
      <c r="Q46" s="27" t="s">
        <v>1411</v>
      </c>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EVT-2026-0778</v>
      </c>
      <c r="B47" s="30">
        <v>46225</v>
      </c>
      <c r="C47" s="27" t="s">
        <v>201</v>
      </c>
      <c r="D47" s="27" t="s">
        <v>171</v>
      </c>
      <c r="E47" s="27" t="s">
        <v>1470</v>
      </c>
      <c r="F47" s="10">
        <v>35</v>
      </c>
      <c r="G47" s="36" t="s">
        <v>263</v>
      </c>
      <c r="H47" s="37" t="s">
        <v>275</v>
      </c>
      <c r="I47" s="37" t="s">
        <v>295</v>
      </c>
      <c r="J47" s="27" t="s">
        <v>369</v>
      </c>
      <c r="K47" s="27" t="s">
        <v>1457</v>
      </c>
      <c r="L47" s="27" t="s">
        <v>1453</v>
      </c>
      <c r="M47" s="27"/>
      <c r="N47" s="30" t="s">
        <v>2313</v>
      </c>
      <c r="O47" s="1" t="s">
        <v>264</v>
      </c>
      <c r="P47" s="29" t="s">
        <v>265</v>
      </c>
      <c r="Q47" s="27" t="s">
        <v>1237</v>
      </c>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EVT-2026-0779</v>
      </c>
      <c r="B48" s="30">
        <v>46225</v>
      </c>
      <c r="C48" s="27" t="s">
        <v>201</v>
      </c>
      <c r="D48" s="27" t="s">
        <v>239</v>
      </c>
      <c r="E48" s="27" t="s">
        <v>1473</v>
      </c>
      <c r="F48" s="10">
        <v>150</v>
      </c>
      <c r="G48" s="38" t="s">
        <v>294</v>
      </c>
      <c r="H48" s="37" t="s">
        <v>295</v>
      </c>
      <c r="I48" s="37" t="s">
        <v>296</v>
      </c>
      <c r="J48" s="27" t="s">
        <v>1449</v>
      </c>
      <c r="K48" s="27" t="s">
        <v>1457</v>
      </c>
      <c r="L48" s="27" t="s">
        <v>1474</v>
      </c>
      <c r="M48" s="27"/>
      <c r="N48" s="30" t="s">
        <v>2310</v>
      </c>
      <c r="O48" s="1" t="s">
        <v>264</v>
      </c>
      <c r="P48" s="29" t="s">
        <v>265</v>
      </c>
      <c r="Q48" s="27" t="s">
        <v>1411</v>
      </c>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EVT-2026-0780</v>
      </c>
      <c r="B49" s="30">
        <v>46226</v>
      </c>
      <c r="C49" s="27" t="s">
        <v>216</v>
      </c>
      <c r="D49" s="27" t="s">
        <v>1475</v>
      </c>
      <c r="E49" s="27" t="s">
        <v>1476</v>
      </c>
      <c r="F49" s="10">
        <v>1</v>
      </c>
      <c r="G49" s="36" t="s">
        <v>263</v>
      </c>
      <c r="H49" s="37" t="s">
        <v>269</v>
      </c>
      <c r="I49" s="37" t="s">
        <v>270</v>
      </c>
      <c r="J49" s="27" t="s">
        <v>382</v>
      </c>
      <c r="K49" s="27" t="s">
        <v>1477</v>
      </c>
      <c r="L49" s="27" t="s">
        <v>1478</v>
      </c>
      <c r="M49" s="27"/>
      <c r="N49" s="30" t="s">
        <v>2314</v>
      </c>
      <c r="O49" s="1" t="s">
        <v>264</v>
      </c>
      <c r="P49" s="29" t="s">
        <v>265</v>
      </c>
      <c r="Q49" s="27" t="s">
        <v>1412</v>
      </c>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EVT-2026-0781</v>
      </c>
      <c r="B50" s="30">
        <v>46226</v>
      </c>
      <c r="C50" s="27" t="s">
        <v>216</v>
      </c>
      <c r="D50" s="27" t="s">
        <v>1479</v>
      </c>
      <c r="E50" s="27" t="s">
        <v>1480</v>
      </c>
      <c r="F50" s="10">
        <v>2</v>
      </c>
      <c r="G50" s="36" t="s">
        <v>263</v>
      </c>
      <c r="H50" s="37" t="s">
        <v>315</v>
      </c>
      <c r="I50" s="37" t="s">
        <v>506</v>
      </c>
      <c r="J50" s="27" t="s">
        <v>1481</v>
      </c>
      <c r="K50" s="27" t="s">
        <v>1477</v>
      </c>
      <c r="L50" s="27" t="s">
        <v>1420</v>
      </c>
      <c r="M50" s="27"/>
      <c r="N50" s="27" t="s">
        <v>1482</v>
      </c>
      <c r="O50" s="1" t="s">
        <v>264</v>
      </c>
      <c r="P50" s="29" t="s">
        <v>265</v>
      </c>
      <c r="Q50" s="27" t="s">
        <v>1483</v>
      </c>
      <c r="R50" s="27"/>
    </row>
    <row r="51" spans="1:18" ht="24" customHeight="1">
      <c r="A51" s="27"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EVT-2026-0782</v>
      </c>
      <c r="B51" s="30">
        <v>46226</v>
      </c>
      <c r="C51" s="27" t="s">
        <v>216</v>
      </c>
      <c r="D51" s="27" t="s">
        <v>171</v>
      </c>
      <c r="E51" s="27" t="s">
        <v>1484</v>
      </c>
      <c r="F51" s="10">
        <v>25</v>
      </c>
      <c r="G51" s="36" t="s">
        <v>263</v>
      </c>
      <c r="H51" s="37" t="s">
        <v>315</v>
      </c>
      <c r="I51" s="37" t="s">
        <v>354</v>
      </c>
      <c r="J51" s="27"/>
      <c r="K51" s="27" t="s">
        <v>1485</v>
      </c>
      <c r="L51" s="27" t="s">
        <v>1203</v>
      </c>
      <c r="M51" s="27"/>
      <c r="N51" s="27"/>
      <c r="O51" s="1" t="s">
        <v>264</v>
      </c>
      <c r="P51" s="29" t="s">
        <v>265</v>
      </c>
      <c r="Q51" s="27" t="s">
        <v>1411</v>
      </c>
      <c r="R51" s="27"/>
    </row>
    <row r="52" spans="1:18" ht="24" customHeight="1">
      <c r="A52" s="27"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EVT-2026-0783</v>
      </c>
      <c r="B52" s="30">
        <v>46226</v>
      </c>
      <c r="C52" s="27" t="s">
        <v>216</v>
      </c>
      <c r="D52" s="27" t="s">
        <v>1465</v>
      </c>
      <c r="E52" s="27" t="s">
        <v>1466</v>
      </c>
      <c r="F52" s="10">
        <v>4</v>
      </c>
      <c r="G52" s="36" t="s">
        <v>263</v>
      </c>
      <c r="H52" s="37" t="s">
        <v>506</v>
      </c>
      <c r="I52" s="37" t="s">
        <v>290</v>
      </c>
      <c r="J52" s="27"/>
      <c r="K52" s="27"/>
      <c r="L52" s="27" t="s">
        <v>1467</v>
      </c>
      <c r="M52" s="27"/>
      <c r="N52" s="30">
        <v>46223</v>
      </c>
      <c r="O52" s="1" t="s">
        <v>264</v>
      </c>
      <c r="P52" s="29" t="s">
        <v>265</v>
      </c>
      <c r="Q52" s="27" t="s">
        <v>1486</v>
      </c>
      <c r="R52" s="27"/>
    </row>
    <row r="53" spans="1:18" ht="24" customHeight="1">
      <c r="A53" s="27"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EVT-2026-0784</v>
      </c>
      <c r="B53" s="30">
        <v>46226</v>
      </c>
      <c r="C53" s="27" t="s">
        <v>216</v>
      </c>
      <c r="D53" s="27" t="s">
        <v>171</v>
      </c>
      <c r="E53" s="27" t="s">
        <v>334</v>
      </c>
      <c r="F53" s="10" t="s">
        <v>2315</v>
      </c>
      <c r="G53" s="36" t="s">
        <v>263</v>
      </c>
      <c r="H53" s="37" t="s">
        <v>309</v>
      </c>
      <c r="I53" s="37" t="s">
        <v>359</v>
      </c>
      <c r="J53" s="27" t="s">
        <v>382</v>
      </c>
      <c r="K53" s="27" t="s">
        <v>1487</v>
      </c>
      <c r="L53" s="27" t="s">
        <v>335</v>
      </c>
      <c r="M53" s="27"/>
      <c r="N53" s="30">
        <v>46225</v>
      </c>
      <c r="O53" s="1" t="s">
        <v>264</v>
      </c>
      <c r="P53" s="29" t="s">
        <v>265</v>
      </c>
      <c r="Q53" s="27" t="s">
        <v>1411</v>
      </c>
      <c r="R53" s="27"/>
    </row>
    <row r="54" spans="1:18" ht="24" customHeight="1">
      <c r="A54" s="27"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EVT-2026-0785</v>
      </c>
      <c r="B54" s="30">
        <v>46227</v>
      </c>
      <c r="C54" s="27" t="s">
        <v>220</v>
      </c>
      <c r="D54" s="27" t="s">
        <v>1488</v>
      </c>
      <c r="E54" s="27" t="s">
        <v>1489</v>
      </c>
      <c r="F54" s="10">
        <v>2</v>
      </c>
      <c r="G54" s="36" t="s">
        <v>263</v>
      </c>
      <c r="H54" s="37" t="s">
        <v>269</v>
      </c>
      <c r="I54" s="37" t="s">
        <v>270</v>
      </c>
      <c r="J54" s="27" t="s">
        <v>1490</v>
      </c>
      <c r="K54" s="27" t="s">
        <v>1477</v>
      </c>
      <c r="L54" s="27" t="s">
        <v>1491</v>
      </c>
      <c r="M54" s="27"/>
      <c r="N54" s="27" t="s">
        <v>1492</v>
      </c>
      <c r="O54" s="1" t="s">
        <v>264</v>
      </c>
      <c r="P54" s="29" t="s">
        <v>265</v>
      </c>
      <c r="Q54" s="27" t="s">
        <v>1411</v>
      </c>
      <c r="R54" s="27"/>
    </row>
    <row r="55" spans="1:18" ht="24" customHeight="1">
      <c r="A55" s="27" t="str">
        <f ca="1">IF(OR(D55&lt;&gt;"", E55&lt;&gt;"", K55&lt;&gt;"", N55&lt;&gt;""),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55" s="27"/>
      <c r="C55" s="27"/>
      <c r="D55" s="27"/>
      <c r="E55" s="27"/>
      <c r="F55" s="10" t="s">
        <v>2293</v>
      </c>
      <c r="G55" s="36" t="s">
        <v>263</v>
      </c>
      <c r="H55" s="37"/>
      <c r="I55" s="37"/>
      <c r="J55" s="27"/>
      <c r="K55" s="27"/>
      <c r="L55" s="27"/>
      <c r="M55" s="27"/>
      <c r="N55" s="27"/>
      <c r="O55" s="1" t="s">
        <v>264</v>
      </c>
      <c r="P55" s="29" t="s">
        <v>265</v>
      </c>
      <c r="Q55" s="27"/>
      <c r="R55" s="27"/>
    </row>
    <row r="56" spans="1:18" ht="24" customHeight="1">
      <c r="A56" s="27"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56" s="30">
        <v>46228</v>
      </c>
      <c r="C56" s="27" t="s">
        <v>266</v>
      </c>
      <c r="D56" s="27"/>
      <c r="E56" s="27"/>
      <c r="F56" s="10"/>
      <c r="G56" s="36" t="s">
        <v>263</v>
      </c>
      <c r="H56" s="37"/>
      <c r="I56" s="37"/>
      <c r="J56" s="27"/>
      <c r="K56" s="27"/>
      <c r="L56" s="27"/>
      <c r="M56" s="27"/>
      <c r="N56" s="27"/>
      <c r="O56" s="1" t="s">
        <v>264</v>
      </c>
      <c r="P56" s="29" t="s">
        <v>265</v>
      </c>
      <c r="Q56" s="27"/>
      <c r="R56" s="27"/>
    </row>
    <row r="57" spans="1:18" ht="24" customHeight="1">
      <c r="A57" s="27" t="str">
        <f ca="1">IF(OR(D57&lt;&gt;"", E57&lt;&gt;"", K57&lt;&gt;"", N57&lt;&gt;""),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57" s="30">
        <v>46229</v>
      </c>
      <c r="C57" s="27" t="s">
        <v>267</v>
      </c>
      <c r="D57" s="27"/>
      <c r="E57" s="27"/>
      <c r="F57" s="10"/>
      <c r="G57" s="36" t="s">
        <v>263</v>
      </c>
      <c r="H57" s="37"/>
      <c r="I57" s="37"/>
      <c r="J57" s="27"/>
      <c r="K57" s="27"/>
      <c r="L57" s="27"/>
      <c r="M57" s="27"/>
      <c r="N57" s="27"/>
      <c r="O57" s="1" t="s">
        <v>264</v>
      </c>
      <c r="P57" s="29" t="s">
        <v>265</v>
      </c>
      <c r="Q57" s="27"/>
      <c r="R57" s="27"/>
    </row>
    <row r="58" spans="1:18" ht="24" customHeight="1">
      <c r="A58" s="27" t="str">
        <f ca="1">IF(OR(D58&lt;&gt;"", E58&lt;&gt;"", K58&lt;&gt;"", N58&lt;&gt;""),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EVT-2026-0786</v>
      </c>
      <c r="B58" s="30">
        <v>46230</v>
      </c>
      <c r="C58" s="27" t="s">
        <v>224</v>
      </c>
      <c r="D58" s="27" t="s">
        <v>292</v>
      </c>
      <c r="E58" s="27" t="s">
        <v>1493</v>
      </c>
      <c r="F58" s="10" t="s">
        <v>2202</v>
      </c>
      <c r="G58" s="38" t="s">
        <v>294</v>
      </c>
      <c r="H58" s="37" t="s">
        <v>295</v>
      </c>
      <c r="I58" s="37" t="s">
        <v>296</v>
      </c>
      <c r="J58" s="27" t="s">
        <v>1494</v>
      </c>
      <c r="K58" s="27" t="s">
        <v>1457</v>
      </c>
      <c r="L58" s="27" t="s">
        <v>1495</v>
      </c>
      <c r="M58" s="27"/>
      <c r="N58" s="30" t="s">
        <v>2311</v>
      </c>
      <c r="O58" s="1" t="s">
        <v>264</v>
      </c>
      <c r="P58" s="29" t="s">
        <v>265</v>
      </c>
      <c r="Q58" s="27" t="s">
        <v>1496</v>
      </c>
      <c r="R58" s="27" t="s">
        <v>1497</v>
      </c>
    </row>
    <row r="59" spans="1:18" ht="24" customHeight="1">
      <c r="A59" s="27" t="str">
        <f ca="1">IF(OR(D59&lt;&gt;"", E59&lt;&gt;"", K59&lt;&gt;"", N59&lt;&gt;""),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EVT-2026-0787</v>
      </c>
      <c r="B59" s="30">
        <v>46230</v>
      </c>
      <c r="C59" s="27" t="s">
        <v>224</v>
      </c>
      <c r="D59" s="27" t="s">
        <v>1186</v>
      </c>
      <c r="E59" s="27" t="s">
        <v>1187</v>
      </c>
      <c r="F59" s="10">
        <v>45</v>
      </c>
      <c r="G59" s="36" t="s">
        <v>263</v>
      </c>
      <c r="H59" s="37" t="s">
        <v>269</v>
      </c>
      <c r="I59" s="37" t="s">
        <v>270</v>
      </c>
      <c r="J59" s="27" t="s">
        <v>610</v>
      </c>
      <c r="K59" s="27" t="s">
        <v>369</v>
      </c>
      <c r="L59" s="27" t="s">
        <v>1498</v>
      </c>
      <c r="M59" s="27"/>
      <c r="N59" s="30" t="s">
        <v>2312</v>
      </c>
      <c r="O59" s="1" t="s">
        <v>264</v>
      </c>
      <c r="P59" s="29" t="s">
        <v>265</v>
      </c>
      <c r="Q59" s="27" t="s">
        <v>1499</v>
      </c>
      <c r="R59" s="27"/>
    </row>
    <row r="60" spans="1:18" ht="24" customHeight="1">
      <c r="A60" s="27" t="str">
        <f ca="1">IF(OR(D60&lt;&gt;"", E60&lt;&gt;"", K60&lt;&gt;"", N60&lt;&gt;""),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EVT-2026-0788</v>
      </c>
      <c r="B60" s="30">
        <v>46230</v>
      </c>
      <c r="C60" s="27" t="s">
        <v>224</v>
      </c>
      <c r="D60" s="27" t="s">
        <v>1500</v>
      </c>
      <c r="E60" s="27" t="s">
        <v>1246</v>
      </c>
      <c r="F60" s="10">
        <v>1</v>
      </c>
      <c r="G60" s="36" t="s">
        <v>263</v>
      </c>
      <c r="H60" s="37" t="s">
        <v>269</v>
      </c>
      <c r="I60" s="37" t="s">
        <v>270</v>
      </c>
      <c r="J60" s="27" t="s">
        <v>382</v>
      </c>
      <c r="K60" s="27" t="s">
        <v>1477</v>
      </c>
      <c r="L60" s="27" t="s">
        <v>1478</v>
      </c>
      <c r="M60" s="27"/>
      <c r="N60" s="30" t="s">
        <v>2314</v>
      </c>
      <c r="O60" s="1" t="s">
        <v>264</v>
      </c>
      <c r="P60" s="29" t="s">
        <v>265</v>
      </c>
      <c r="Q60" s="27" t="s">
        <v>1411</v>
      </c>
      <c r="R60" s="27"/>
    </row>
    <row r="61" spans="1:18" ht="24" customHeight="1">
      <c r="A61" s="27" t="str">
        <f ca="1">IF(OR(D61&lt;&gt;"", E61&lt;&gt;"", K61&lt;&gt;"", N61&lt;&gt;""),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EVT-2026-0789</v>
      </c>
      <c r="B61" s="30">
        <v>46231</v>
      </c>
      <c r="C61" s="27" t="s">
        <v>227</v>
      </c>
      <c r="D61" s="27" t="s">
        <v>292</v>
      </c>
      <c r="E61" s="27" t="s">
        <v>1501</v>
      </c>
      <c r="F61" s="10" t="s">
        <v>2316</v>
      </c>
      <c r="G61" s="36" t="s">
        <v>263</v>
      </c>
      <c r="H61" s="37" t="s">
        <v>295</v>
      </c>
      <c r="I61" s="37" t="s">
        <v>296</v>
      </c>
      <c r="J61" s="27" t="s">
        <v>1445</v>
      </c>
      <c r="K61" s="27" t="s">
        <v>1445</v>
      </c>
      <c r="L61" s="27" t="s">
        <v>1502</v>
      </c>
      <c r="M61" s="27"/>
      <c r="N61" s="30" t="s">
        <v>2312</v>
      </c>
      <c r="O61" s="1" t="s">
        <v>264</v>
      </c>
      <c r="P61" s="29" t="s">
        <v>265</v>
      </c>
      <c r="Q61" s="27" t="s">
        <v>1411</v>
      </c>
      <c r="R61" s="27"/>
    </row>
    <row r="62" spans="1:18" ht="24" customHeight="1">
      <c r="A62" s="27" t="str">
        <f ca="1">IF(OR(D62&lt;&gt;"", E62&lt;&gt;"", K62&lt;&gt;"", N62&lt;&gt;""),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EVT-2026-0790</v>
      </c>
      <c r="B62" s="30">
        <v>46231</v>
      </c>
      <c r="C62" s="27" t="s">
        <v>227</v>
      </c>
      <c r="D62" s="27" t="s">
        <v>1503</v>
      </c>
      <c r="E62" s="27" t="s">
        <v>1504</v>
      </c>
      <c r="F62" s="10">
        <v>2</v>
      </c>
      <c r="G62" s="36" t="s">
        <v>263</v>
      </c>
      <c r="H62" s="37" t="s">
        <v>269</v>
      </c>
      <c r="I62" s="37" t="s">
        <v>270</v>
      </c>
      <c r="J62" s="27" t="s">
        <v>382</v>
      </c>
      <c r="K62" s="27" t="s">
        <v>1477</v>
      </c>
      <c r="L62" s="27" t="s">
        <v>1420</v>
      </c>
      <c r="M62" s="27"/>
      <c r="N62" s="27" t="s">
        <v>1482</v>
      </c>
      <c r="O62" s="1" t="s">
        <v>264</v>
      </c>
      <c r="P62" s="29" t="s">
        <v>265</v>
      </c>
      <c r="Q62" s="27" t="s">
        <v>1411</v>
      </c>
      <c r="R62" s="27"/>
    </row>
    <row r="63" spans="1:18" ht="24" customHeight="1">
      <c r="A63" s="27" t="str">
        <f ca="1">IF(OR(D63&lt;&gt;"", E63&lt;&gt;"", K63&lt;&gt;"", N63&lt;&gt;""),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EVT-2026-0791</v>
      </c>
      <c r="B63" s="30">
        <v>46232</v>
      </c>
      <c r="C63" s="27" t="s">
        <v>201</v>
      </c>
      <c r="D63" s="27" t="s">
        <v>171</v>
      </c>
      <c r="E63" s="27" t="s">
        <v>1505</v>
      </c>
      <c r="F63" s="10">
        <v>30</v>
      </c>
      <c r="G63" s="36" t="s">
        <v>263</v>
      </c>
      <c r="H63" s="37" t="s">
        <v>309</v>
      </c>
      <c r="I63" s="37" t="s">
        <v>296</v>
      </c>
      <c r="J63" s="27" t="s">
        <v>610</v>
      </c>
      <c r="K63" s="27" t="s">
        <v>922</v>
      </c>
      <c r="L63" s="27" t="s">
        <v>378</v>
      </c>
      <c r="M63" s="27"/>
      <c r="N63" s="27"/>
      <c r="O63" s="1" t="s">
        <v>264</v>
      </c>
      <c r="P63" s="29" t="s">
        <v>265</v>
      </c>
      <c r="Q63" s="27" t="s">
        <v>1506</v>
      </c>
      <c r="R63" s="27"/>
    </row>
    <row r="64" spans="1:18" ht="24" customHeight="1">
      <c r="A64" s="27" t="str">
        <f ca="1">IF(OR(D64&lt;&gt;"", E64&lt;&gt;"", K64&lt;&gt;"", N64&lt;&gt;""),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EVT-2026-0792</v>
      </c>
      <c r="B64" s="30">
        <v>46232</v>
      </c>
      <c r="C64" s="27" t="s">
        <v>201</v>
      </c>
      <c r="D64" s="27" t="s">
        <v>171</v>
      </c>
      <c r="E64" s="27" t="s">
        <v>335</v>
      </c>
      <c r="F64" s="10">
        <v>60</v>
      </c>
      <c r="G64" s="36" t="s">
        <v>263</v>
      </c>
      <c r="H64" s="37" t="s">
        <v>330</v>
      </c>
      <c r="I64" s="37" t="s">
        <v>354</v>
      </c>
      <c r="J64" s="27"/>
      <c r="K64" s="27" t="s">
        <v>1313</v>
      </c>
      <c r="L64" s="27" t="s">
        <v>335</v>
      </c>
      <c r="M64" s="27"/>
      <c r="N64" s="27"/>
      <c r="O64" s="3" t="s">
        <v>312</v>
      </c>
      <c r="P64" s="29" t="s">
        <v>265</v>
      </c>
      <c r="Q64" s="27" t="s">
        <v>298</v>
      </c>
      <c r="R64" s="27"/>
    </row>
    <row r="65" spans="1:18" ht="24" customHeight="1">
      <c r="A65" s="27" t="str">
        <f ca="1">IF(OR(D65&lt;&gt;"", E65&lt;&gt;"", K65&lt;&gt;"", N65&lt;&gt;""),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65" s="30">
        <v>46233</v>
      </c>
      <c r="C65" s="27" t="s">
        <v>216</v>
      </c>
      <c r="D65" s="27"/>
      <c r="E65" s="27"/>
      <c r="F65" s="10"/>
      <c r="G65" s="36" t="s">
        <v>263</v>
      </c>
      <c r="H65" s="37"/>
      <c r="I65" s="37"/>
      <c r="J65" s="27"/>
      <c r="K65" s="27"/>
      <c r="L65" s="27"/>
      <c r="M65" s="27"/>
      <c r="N65" s="27"/>
      <c r="O65" s="1" t="s">
        <v>264</v>
      </c>
      <c r="P65" s="29" t="s">
        <v>265</v>
      </c>
      <c r="Q65" s="27"/>
      <c r="R65" s="27"/>
    </row>
    <row r="66" spans="1:18" ht="24" customHeight="1">
      <c r="A66" s="27" t="str">
        <f ca="1">IF(OR(D66&lt;&gt;"", E66&lt;&gt;"", K66&lt;&gt;"", N66&lt;&gt;""),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EVT-2026-0793</v>
      </c>
      <c r="B66" s="30">
        <v>46234</v>
      </c>
      <c r="C66" s="27" t="s">
        <v>220</v>
      </c>
      <c r="D66" s="27" t="s">
        <v>171</v>
      </c>
      <c r="E66" s="27" t="s">
        <v>1507</v>
      </c>
      <c r="F66" s="10">
        <v>70</v>
      </c>
      <c r="G66" s="36" t="s">
        <v>263</v>
      </c>
      <c r="H66" s="37" t="s">
        <v>274</v>
      </c>
      <c r="I66" s="37" t="s">
        <v>350</v>
      </c>
      <c r="J66" s="27" t="s">
        <v>1508</v>
      </c>
      <c r="K66" s="27" t="s">
        <v>382</v>
      </c>
      <c r="L66" s="27" t="s">
        <v>719</v>
      </c>
      <c r="M66" s="27"/>
      <c r="N66" s="30">
        <v>46100</v>
      </c>
      <c r="O66" s="1" t="s">
        <v>264</v>
      </c>
      <c r="P66" s="29" t="s">
        <v>265</v>
      </c>
      <c r="Q66" s="27" t="s">
        <v>1509</v>
      </c>
      <c r="R66" s="27" t="s">
        <v>1497</v>
      </c>
    </row>
  </sheetData>
  <mergeCells count="3">
    <mergeCell ref="A1:C1"/>
    <mergeCell ref="N1:R1"/>
    <mergeCell ref="D1:M1"/>
  </mergeCells>
  <dataValidations count="4">
    <dataValidation type="list" allowBlank="1" sqref="N3:N500 O3:O66" xr:uid="{00000000-0002-0000-0E00-000000000000}">
      <formula1>"Confirmed (Done),Pending Calendar Booking,Canceled"</formula1>
    </dataValidation>
    <dataValidation type="list" allowBlank="1" sqref="O3:O116" xr:uid="{00000000-0002-0000-0E00-000001000000}">
      <formula1>"Form sent,NA"</formula1>
    </dataValidation>
    <dataValidation type="list" allowBlank="1" sqref="P3:P66" xr:uid="{00000000-0002-0000-0E00-000002000000}">
      <formula1>"Form sent,Not Required,NA"</formula1>
    </dataValidation>
    <dataValidation type="list" allowBlank="1" sqref="G3:G66" xr:uid="{00000000-0002-0000-0E00-000003000000}">
      <formula1>"Big Event,Small Event"</formula1>
    </dataValidation>
  </dataValidations>
  <hyperlinks>
    <hyperlink ref="A1" location="'Dashboard'!A1" display="🏠 ⮌ RETURN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179"/>
  <sheetViews>
    <sheetView workbookViewId="0">
      <pane ySplit="2" topLeftCell="A137" activePane="bottomLeft" state="frozen"/>
      <selection pane="bottomLeft" activeCell="F139" sqref="F139"/>
    </sheetView>
  </sheetViews>
  <sheetFormatPr defaultRowHeight="14.45"/>
  <cols>
    <col min="1" max="1" width="18" customWidth="1"/>
    <col min="2" max="2" width="24" customWidth="1"/>
    <col min="3" max="3" width="12" customWidth="1"/>
    <col min="4" max="4" width="27" customWidth="1"/>
    <col min="5" max="5" width="12" customWidth="1"/>
    <col min="6" max="6" width="48" customWidth="1"/>
    <col min="7" max="7" width="22" customWidth="1"/>
    <col min="8" max="8" width="15" customWidth="1"/>
    <col min="9" max="9" width="19" customWidth="1"/>
    <col min="10" max="10" width="17" customWidth="1"/>
    <col min="11" max="12" width="48" customWidth="1"/>
    <col min="13" max="13" width="33" customWidth="1"/>
    <col min="14" max="14" width="37" customWidth="1"/>
    <col min="15" max="15" width="24" customWidth="1"/>
    <col min="16" max="16" width="25" customWidth="1"/>
    <col min="17" max="17" width="18" customWidth="1"/>
    <col min="18" max="19" width="48" customWidth="1"/>
  </cols>
  <sheetData>
    <row r="1" spans="1:19" ht="27.95" customHeight="1">
      <c r="A1" s="62" t="s">
        <v>2138</v>
      </c>
      <c r="B1" s="134"/>
      <c r="C1" s="135"/>
      <c r="D1" s="63" t="s">
        <v>2317</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EVT-2026-0794</v>
      </c>
      <c r="B3" s="30">
        <v>46204</v>
      </c>
      <c r="C3" s="27" t="s">
        <v>201</v>
      </c>
      <c r="D3" s="27" t="s">
        <v>1366</v>
      </c>
      <c r="E3" s="27" t="s">
        <v>208</v>
      </c>
      <c r="F3" s="27" t="s">
        <v>217</v>
      </c>
      <c r="G3" s="10">
        <v>50</v>
      </c>
      <c r="H3" s="36" t="s">
        <v>263</v>
      </c>
      <c r="I3" s="37" t="s">
        <v>309</v>
      </c>
      <c r="J3" s="37" t="s">
        <v>296</v>
      </c>
      <c r="K3" s="27" t="s">
        <v>1445</v>
      </c>
      <c r="L3" s="27"/>
      <c r="M3" s="27" t="s">
        <v>1510</v>
      </c>
      <c r="N3" s="27" t="s">
        <v>1511</v>
      </c>
      <c r="O3" s="27"/>
      <c r="P3" s="1" t="s">
        <v>264</v>
      </c>
      <c r="Q3" s="29" t="s">
        <v>265</v>
      </c>
      <c r="R3" s="27" t="s">
        <v>298</v>
      </c>
      <c r="S3" s="27"/>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EVT-2026-0795</v>
      </c>
      <c r="B4" s="30">
        <v>46204</v>
      </c>
      <c r="C4" s="27" t="s">
        <v>201</v>
      </c>
      <c r="D4" s="27" t="s">
        <v>1512</v>
      </c>
      <c r="E4" s="27" t="s">
        <v>228</v>
      </c>
      <c r="F4" s="27" t="s">
        <v>1389</v>
      </c>
      <c r="G4" s="10">
        <v>35</v>
      </c>
      <c r="H4" s="36" t="s">
        <v>263</v>
      </c>
      <c r="I4" s="37" t="s">
        <v>506</v>
      </c>
      <c r="J4" s="37" t="s">
        <v>275</v>
      </c>
      <c r="K4" s="27"/>
      <c r="L4" s="27"/>
      <c r="M4" s="27" t="s">
        <v>785</v>
      </c>
      <c r="N4" s="27" t="s">
        <v>1513</v>
      </c>
      <c r="O4" s="27"/>
      <c r="P4" s="1" t="s">
        <v>264</v>
      </c>
      <c r="Q4" s="29" t="s">
        <v>265</v>
      </c>
      <c r="R4" s="27" t="s">
        <v>1514</v>
      </c>
      <c r="S4" s="27"/>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EVT-2026-0796</v>
      </c>
      <c r="B5" s="30">
        <v>46204</v>
      </c>
      <c r="C5" s="27" t="s">
        <v>201</v>
      </c>
      <c r="D5" s="27" t="s">
        <v>736</v>
      </c>
      <c r="E5" s="27" t="s">
        <v>202</v>
      </c>
      <c r="F5" s="27" t="s">
        <v>1515</v>
      </c>
      <c r="G5" s="10">
        <v>60</v>
      </c>
      <c r="H5" s="36" t="s">
        <v>263</v>
      </c>
      <c r="I5" s="37" t="s">
        <v>295</v>
      </c>
      <c r="J5" s="37" t="s">
        <v>296</v>
      </c>
      <c r="K5" s="27"/>
      <c r="L5" s="27"/>
      <c r="M5" s="27" t="s">
        <v>1516</v>
      </c>
      <c r="N5" s="27" t="s">
        <v>1517</v>
      </c>
      <c r="O5" s="27"/>
      <c r="P5" s="1" t="s">
        <v>264</v>
      </c>
      <c r="Q5" s="29" t="s">
        <v>265</v>
      </c>
      <c r="R5" s="27" t="s">
        <v>1177</v>
      </c>
      <c r="S5" s="27"/>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EVT-2026-0797</v>
      </c>
      <c r="B6" s="30">
        <v>46204</v>
      </c>
      <c r="C6" s="27" t="s">
        <v>201</v>
      </c>
      <c r="D6" s="27" t="s">
        <v>1366</v>
      </c>
      <c r="E6" s="27" t="s">
        <v>202</v>
      </c>
      <c r="F6" s="27" t="s">
        <v>1293</v>
      </c>
      <c r="G6" s="10">
        <v>100</v>
      </c>
      <c r="H6" s="38" t="s">
        <v>294</v>
      </c>
      <c r="I6" s="37" t="s">
        <v>359</v>
      </c>
      <c r="J6" s="37" t="s">
        <v>290</v>
      </c>
      <c r="K6" s="27"/>
      <c r="L6" s="27"/>
      <c r="M6" s="27" t="s">
        <v>1015</v>
      </c>
      <c r="N6" s="27" t="s">
        <v>1518</v>
      </c>
      <c r="O6" s="27"/>
      <c r="P6" s="3" t="s">
        <v>312</v>
      </c>
      <c r="Q6" s="29" t="s">
        <v>265</v>
      </c>
      <c r="R6" s="27" t="s">
        <v>1519</v>
      </c>
      <c r="S6" s="27"/>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EVT-2026-0798</v>
      </c>
      <c r="B7" s="30">
        <v>46205</v>
      </c>
      <c r="C7" s="27" t="s">
        <v>216</v>
      </c>
      <c r="D7" s="27" t="s">
        <v>1366</v>
      </c>
      <c r="E7" s="27" t="s">
        <v>208</v>
      </c>
      <c r="F7" s="27" t="s">
        <v>217</v>
      </c>
      <c r="G7" s="10">
        <v>50</v>
      </c>
      <c r="H7" s="36" t="s">
        <v>263</v>
      </c>
      <c r="I7" s="37" t="s">
        <v>309</v>
      </c>
      <c r="J7" s="37" t="s">
        <v>296</v>
      </c>
      <c r="K7" s="27"/>
      <c r="L7" s="27"/>
      <c r="M7" s="27" t="s">
        <v>1510</v>
      </c>
      <c r="N7" s="27" t="s">
        <v>1511</v>
      </c>
      <c r="O7" s="27"/>
      <c r="P7" s="3" t="s">
        <v>312</v>
      </c>
      <c r="Q7" s="29" t="s">
        <v>265</v>
      </c>
      <c r="R7" s="27" t="s">
        <v>298</v>
      </c>
      <c r="S7" s="27"/>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EVT-2026-0799</v>
      </c>
      <c r="B8" s="30">
        <v>46206</v>
      </c>
      <c r="C8" s="27" t="s">
        <v>220</v>
      </c>
      <c r="D8" s="27" t="s">
        <v>125</v>
      </c>
      <c r="E8" s="27" t="s">
        <v>228</v>
      </c>
      <c r="F8" s="27" t="s">
        <v>353</v>
      </c>
      <c r="G8" s="10">
        <v>35</v>
      </c>
      <c r="H8" s="36" t="s">
        <v>263</v>
      </c>
      <c r="I8" s="37" t="s">
        <v>350</v>
      </c>
      <c r="J8" s="37" t="s">
        <v>289</v>
      </c>
      <c r="K8" s="27"/>
      <c r="L8" s="27"/>
      <c r="M8" s="27" t="s">
        <v>425</v>
      </c>
      <c r="N8" s="27" t="s">
        <v>1520</v>
      </c>
      <c r="O8" s="27"/>
      <c r="P8" s="1" t="s">
        <v>264</v>
      </c>
      <c r="Q8" s="29" t="s">
        <v>265</v>
      </c>
      <c r="R8" s="27" t="s">
        <v>1313</v>
      </c>
      <c r="S8" s="27"/>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EVT-2026-0800</v>
      </c>
      <c r="B9" s="30">
        <v>46206</v>
      </c>
      <c r="C9" s="27" t="s">
        <v>220</v>
      </c>
      <c r="D9" s="27" t="s">
        <v>736</v>
      </c>
      <c r="E9" s="27" t="s">
        <v>202</v>
      </c>
      <c r="F9" s="27" t="s">
        <v>1521</v>
      </c>
      <c r="G9" s="10">
        <v>75</v>
      </c>
      <c r="H9" s="36" t="s">
        <v>263</v>
      </c>
      <c r="I9" s="37" t="s">
        <v>350</v>
      </c>
      <c r="J9" s="37" t="s">
        <v>289</v>
      </c>
      <c r="K9" s="27"/>
      <c r="L9" s="27"/>
      <c r="M9" s="27" t="s">
        <v>1343</v>
      </c>
      <c r="N9" s="27" t="s">
        <v>1522</v>
      </c>
      <c r="O9" s="27"/>
      <c r="P9" s="1" t="s">
        <v>264</v>
      </c>
      <c r="Q9" s="29" t="s">
        <v>265</v>
      </c>
      <c r="R9" s="27" t="s">
        <v>1313</v>
      </c>
      <c r="S9" s="27"/>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EVT-2026-0801</v>
      </c>
      <c r="B10" s="30">
        <v>46206</v>
      </c>
      <c r="C10" s="27" t="s">
        <v>220</v>
      </c>
      <c r="D10" s="27" t="s">
        <v>125</v>
      </c>
      <c r="E10" s="27" t="s">
        <v>228</v>
      </c>
      <c r="F10" s="27" t="s">
        <v>658</v>
      </c>
      <c r="G10" s="10">
        <v>60</v>
      </c>
      <c r="H10" s="36" t="s">
        <v>263</v>
      </c>
      <c r="I10" s="37" t="s">
        <v>295</v>
      </c>
      <c r="J10" s="37" t="s">
        <v>270</v>
      </c>
      <c r="K10" s="27"/>
      <c r="L10" s="27"/>
      <c r="M10" s="27" t="s">
        <v>1369</v>
      </c>
      <c r="N10" s="27" t="s">
        <v>1523</v>
      </c>
      <c r="O10" s="30">
        <v>46192</v>
      </c>
      <c r="P10" s="1" t="s">
        <v>264</v>
      </c>
      <c r="Q10" s="29" t="s">
        <v>265</v>
      </c>
      <c r="R10" s="27" t="s">
        <v>1177</v>
      </c>
      <c r="S10" s="27"/>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EVT-2026-0802</v>
      </c>
      <c r="B11" s="30">
        <v>46206</v>
      </c>
      <c r="C11" s="27" t="s">
        <v>220</v>
      </c>
      <c r="D11" s="27" t="s">
        <v>736</v>
      </c>
      <c r="E11" s="27" t="s">
        <v>202</v>
      </c>
      <c r="F11" s="27" t="s">
        <v>1524</v>
      </c>
      <c r="G11" s="10">
        <v>16</v>
      </c>
      <c r="H11" s="36" t="s">
        <v>263</v>
      </c>
      <c r="I11" s="37" t="s">
        <v>295</v>
      </c>
      <c r="J11" s="37" t="s">
        <v>270</v>
      </c>
      <c r="K11" s="27"/>
      <c r="L11" s="27"/>
      <c r="M11" s="27" t="s">
        <v>1525</v>
      </c>
      <c r="N11" s="27" t="s">
        <v>1526</v>
      </c>
      <c r="O11" s="30">
        <v>46206</v>
      </c>
      <c r="P11" s="1" t="s">
        <v>264</v>
      </c>
      <c r="Q11" s="29" t="s">
        <v>265</v>
      </c>
      <c r="R11" s="27" t="s">
        <v>1527</v>
      </c>
      <c r="S11" s="27"/>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EVT-2026-0803</v>
      </c>
      <c r="B12" s="30">
        <v>46206</v>
      </c>
      <c r="C12" s="27" t="s">
        <v>220</v>
      </c>
      <c r="D12" s="27" t="s">
        <v>1392</v>
      </c>
      <c r="E12" s="27" t="s">
        <v>202</v>
      </c>
      <c r="F12" s="27" t="s">
        <v>1378</v>
      </c>
      <c r="G12" s="10">
        <v>35</v>
      </c>
      <c r="H12" s="36" t="s">
        <v>263</v>
      </c>
      <c r="I12" s="37" t="s">
        <v>309</v>
      </c>
      <c r="J12" s="37" t="s">
        <v>296</v>
      </c>
      <c r="K12" s="27"/>
      <c r="L12" s="27"/>
      <c r="M12" s="27" t="s">
        <v>1393</v>
      </c>
      <c r="N12" s="27" t="s">
        <v>1528</v>
      </c>
      <c r="O12" s="30">
        <v>46191</v>
      </c>
      <c r="P12" s="1" t="s">
        <v>264</v>
      </c>
      <c r="Q12" s="29" t="s">
        <v>265</v>
      </c>
      <c r="R12" s="27" t="s">
        <v>1380</v>
      </c>
      <c r="S12" s="27"/>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EVT-2026-0804</v>
      </c>
      <c r="B13" s="30">
        <v>46206</v>
      </c>
      <c r="C13" s="27" t="s">
        <v>220</v>
      </c>
      <c r="D13" s="27" t="s">
        <v>1529</v>
      </c>
      <c r="E13" s="27" t="s">
        <v>202</v>
      </c>
      <c r="F13" s="27" t="s">
        <v>1530</v>
      </c>
      <c r="G13" s="10">
        <v>350</v>
      </c>
      <c r="H13" s="38" t="s">
        <v>294</v>
      </c>
      <c r="I13" s="37" t="s">
        <v>295</v>
      </c>
      <c r="J13" s="37" t="s">
        <v>290</v>
      </c>
      <c r="K13" s="27" t="s">
        <v>1285</v>
      </c>
      <c r="L13" s="27"/>
      <c r="M13" s="27" t="s">
        <v>425</v>
      </c>
      <c r="N13" s="27" t="s">
        <v>1520</v>
      </c>
      <c r="O13" s="30">
        <v>46175</v>
      </c>
      <c r="P13" s="3" t="s">
        <v>312</v>
      </c>
      <c r="Q13" s="29" t="s">
        <v>265</v>
      </c>
      <c r="R13" s="27" t="s">
        <v>298</v>
      </c>
      <c r="S13" s="27"/>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14" s="30">
        <v>46207</v>
      </c>
      <c r="C14" s="27" t="s">
        <v>266</v>
      </c>
      <c r="D14" s="27"/>
      <c r="E14" s="27"/>
      <c r="F14" s="27"/>
      <c r="G14" s="10"/>
      <c r="H14" s="36" t="s">
        <v>263</v>
      </c>
      <c r="I14" s="37"/>
      <c r="J14" s="37"/>
      <c r="K14" s="27"/>
      <c r="L14" s="27"/>
      <c r="M14" s="27"/>
      <c r="N14" s="27"/>
      <c r="O14" s="27"/>
      <c r="P14" s="1" t="s">
        <v>264</v>
      </c>
      <c r="Q14" s="29" t="s">
        <v>265</v>
      </c>
      <c r="R14" s="27"/>
      <c r="S14" s="27"/>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15" s="30">
        <v>46208</v>
      </c>
      <c r="C15" s="27" t="s">
        <v>267</v>
      </c>
      <c r="D15" s="27"/>
      <c r="E15" s="27"/>
      <c r="F15" s="27"/>
      <c r="G15" s="10"/>
      <c r="H15" s="36" t="s">
        <v>263</v>
      </c>
      <c r="I15" s="37"/>
      <c r="J15" s="37"/>
      <c r="K15" s="27"/>
      <c r="L15" s="27"/>
      <c r="M15" s="27"/>
      <c r="N15" s="27"/>
      <c r="O15" s="27"/>
      <c r="P15" s="1" t="s">
        <v>264</v>
      </c>
      <c r="Q15" s="29" t="s">
        <v>265</v>
      </c>
      <c r="R15" s="27"/>
      <c r="S15" s="27"/>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EVT-2026-0805</v>
      </c>
      <c r="B16" s="30">
        <v>46209</v>
      </c>
      <c r="C16" s="27" t="s">
        <v>224</v>
      </c>
      <c r="D16" s="27" t="s">
        <v>736</v>
      </c>
      <c r="E16" s="27" t="s">
        <v>202</v>
      </c>
      <c r="F16" s="27" t="s">
        <v>1350</v>
      </c>
      <c r="G16" s="10">
        <v>60</v>
      </c>
      <c r="H16" s="36" t="s">
        <v>263</v>
      </c>
      <c r="I16" s="37" t="s">
        <v>275</v>
      </c>
      <c r="J16" s="37" t="s">
        <v>270</v>
      </c>
      <c r="K16" s="27"/>
      <c r="L16" s="27"/>
      <c r="M16" s="27" t="s">
        <v>1531</v>
      </c>
      <c r="N16" s="27" t="s">
        <v>1532</v>
      </c>
      <c r="O16" s="30">
        <v>46202</v>
      </c>
      <c r="P16" s="1" t="s">
        <v>264</v>
      </c>
      <c r="Q16" s="29" t="s">
        <v>265</v>
      </c>
      <c r="R16" s="27" t="s">
        <v>1313</v>
      </c>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EVT-2026-0806</v>
      </c>
      <c r="B17" s="30">
        <v>46209</v>
      </c>
      <c r="C17" s="27" t="s">
        <v>224</v>
      </c>
      <c r="D17" s="27" t="s">
        <v>125</v>
      </c>
      <c r="E17" s="27" t="s">
        <v>228</v>
      </c>
      <c r="F17" s="27" t="s">
        <v>1533</v>
      </c>
      <c r="G17" s="10">
        <v>50</v>
      </c>
      <c r="H17" s="36" t="s">
        <v>263</v>
      </c>
      <c r="I17" s="37" t="s">
        <v>309</v>
      </c>
      <c r="J17" s="37" t="s">
        <v>270</v>
      </c>
      <c r="K17" s="27"/>
      <c r="L17" s="27"/>
      <c r="M17" s="27" t="s">
        <v>1510</v>
      </c>
      <c r="N17" s="27" t="s">
        <v>1511</v>
      </c>
      <c r="O17" s="30" t="s">
        <v>1551</v>
      </c>
      <c r="P17" s="1" t="s">
        <v>264</v>
      </c>
      <c r="Q17" s="29" t="s">
        <v>265</v>
      </c>
      <c r="R17" s="27" t="s">
        <v>298</v>
      </c>
      <c r="S17" s="27"/>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EVT-2026-0807</v>
      </c>
      <c r="B18" s="30">
        <v>46209</v>
      </c>
      <c r="C18" s="27" t="s">
        <v>224</v>
      </c>
      <c r="D18" s="27" t="s">
        <v>125</v>
      </c>
      <c r="E18" s="27" t="s">
        <v>228</v>
      </c>
      <c r="F18" s="27" t="s">
        <v>1534</v>
      </c>
      <c r="G18" s="10">
        <v>60</v>
      </c>
      <c r="H18" s="36" t="s">
        <v>263</v>
      </c>
      <c r="I18" s="37" t="s">
        <v>269</v>
      </c>
      <c r="J18" s="37" t="s">
        <v>429</v>
      </c>
      <c r="K18" s="27"/>
      <c r="L18" s="27"/>
      <c r="M18" s="27" t="s">
        <v>1535</v>
      </c>
      <c r="N18" s="27"/>
      <c r="O18" s="27"/>
      <c r="P18" s="1" t="s">
        <v>264</v>
      </c>
      <c r="Q18" s="29" t="s">
        <v>265</v>
      </c>
      <c r="R18" s="27" t="s">
        <v>1536</v>
      </c>
      <c r="S18" s="27" t="s">
        <v>1537</v>
      </c>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EVT-2026-0808</v>
      </c>
      <c r="B19" s="30">
        <v>46209</v>
      </c>
      <c r="C19" s="27" t="s">
        <v>224</v>
      </c>
      <c r="D19" s="27" t="s">
        <v>736</v>
      </c>
      <c r="E19" s="27" t="s">
        <v>420</v>
      </c>
      <c r="F19" s="27" t="s">
        <v>279</v>
      </c>
      <c r="G19" s="10"/>
      <c r="H19" s="36" t="s">
        <v>263</v>
      </c>
      <c r="I19" s="37" t="s">
        <v>732</v>
      </c>
      <c r="J19" s="37" t="s">
        <v>331</v>
      </c>
      <c r="K19" s="27"/>
      <c r="L19" s="27"/>
      <c r="M19" s="27" t="s">
        <v>760</v>
      </c>
      <c r="N19" s="27"/>
      <c r="O19" s="27"/>
      <c r="P19" s="1" t="s">
        <v>264</v>
      </c>
      <c r="Q19" s="29" t="s">
        <v>265</v>
      </c>
      <c r="R19" s="27"/>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EVT-2026-0809</v>
      </c>
      <c r="B20" s="30">
        <v>46209</v>
      </c>
      <c r="C20" s="27" t="s">
        <v>224</v>
      </c>
      <c r="D20" s="27" t="s">
        <v>736</v>
      </c>
      <c r="E20" s="27" t="s">
        <v>202</v>
      </c>
      <c r="F20" s="27" t="s">
        <v>1524</v>
      </c>
      <c r="G20" s="10"/>
      <c r="H20" s="36" t="s">
        <v>263</v>
      </c>
      <c r="I20" s="37" t="s">
        <v>295</v>
      </c>
      <c r="J20" s="37" t="s">
        <v>270</v>
      </c>
      <c r="K20" s="27"/>
      <c r="L20" s="27"/>
      <c r="M20" s="27" t="s">
        <v>1402</v>
      </c>
      <c r="N20" s="27"/>
      <c r="O20" s="27"/>
      <c r="P20" s="1" t="s">
        <v>264</v>
      </c>
      <c r="Q20" s="29" t="s">
        <v>265</v>
      </c>
      <c r="R20" s="27" t="s">
        <v>1538</v>
      </c>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EVT-2026-0810</v>
      </c>
      <c r="B21" s="30">
        <v>46210</v>
      </c>
      <c r="C21" s="27" t="s">
        <v>227</v>
      </c>
      <c r="D21" s="27" t="s">
        <v>736</v>
      </c>
      <c r="E21" s="27" t="s">
        <v>202</v>
      </c>
      <c r="F21" s="27" t="s">
        <v>1539</v>
      </c>
      <c r="G21" s="10">
        <v>24</v>
      </c>
      <c r="H21" s="36" t="s">
        <v>263</v>
      </c>
      <c r="I21" s="37" t="s">
        <v>281</v>
      </c>
      <c r="J21" s="37" t="s">
        <v>270</v>
      </c>
      <c r="K21" s="27"/>
      <c r="L21" s="27"/>
      <c r="M21" s="27" t="s">
        <v>1198</v>
      </c>
      <c r="N21" s="27"/>
      <c r="O21" s="27"/>
      <c r="P21" s="1" t="s">
        <v>264</v>
      </c>
      <c r="Q21" s="29" t="s">
        <v>265</v>
      </c>
      <c r="R21" s="27" t="s">
        <v>1540</v>
      </c>
      <c r="S21" s="27" t="s">
        <v>298</v>
      </c>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EVT-2026-0811</v>
      </c>
      <c r="B22" s="30">
        <v>46210</v>
      </c>
      <c r="C22" s="27" t="s">
        <v>227</v>
      </c>
      <c r="D22" s="27" t="s">
        <v>1366</v>
      </c>
      <c r="E22" s="27" t="s">
        <v>208</v>
      </c>
      <c r="F22" s="27" t="s">
        <v>217</v>
      </c>
      <c r="G22" s="10">
        <v>50</v>
      </c>
      <c r="H22" s="36" t="s">
        <v>263</v>
      </c>
      <c r="I22" s="37" t="s">
        <v>309</v>
      </c>
      <c r="J22" s="37" t="s">
        <v>296</v>
      </c>
      <c r="K22" s="27"/>
      <c r="L22" s="27"/>
      <c r="M22" s="27" t="s">
        <v>1510</v>
      </c>
      <c r="N22" s="27"/>
      <c r="O22" s="27"/>
      <c r="P22" s="1" t="s">
        <v>264</v>
      </c>
      <c r="Q22" s="29" t="s">
        <v>265</v>
      </c>
      <c r="R22" s="27"/>
      <c r="S22" s="27" t="s">
        <v>298</v>
      </c>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EVT-2026-0812</v>
      </c>
      <c r="B23" s="30">
        <v>46210</v>
      </c>
      <c r="C23" s="27" t="s">
        <v>227</v>
      </c>
      <c r="D23" s="27" t="s">
        <v>1366</v>
      </c>
      <c r="E23" s="27" t="s">
        <v>202</v>
      </c>
      <c r="F23" s="27" t="s">
        <v>1541</v>
      </c>
      <c r="G23" s="10">
        <v>40</v>
      </c>
      <c r="H23" s="36" t="s">
        <v>263</v>
      </c>
      <c r="I23" s="37" t="s">
        <v>1542</v>
      </c>
      <c r="J23" s="37" t="s">
        <v>295</v>
      </c>
      <c r="K23" s="27"/>
      <c r="L23" s="27"/>
      <c r="M23" s="27" t="s">
        <v>1047</v>
      </c>
      <c r="N23" s="27"/>
      <c r="O23" s="27"/>
      <c r="P23" s="1" t="s">
        <v>264</v>
      </c>
      <c r="Q23" s="29" t="s">
        <v>265</v>
      </c>
      <c r="R23" s="27" t="s">
        <v>1543</v>
      </c>
      <c r="S23" s="27" t="s">
        <v>1200</v>
      </c>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EVT-2026-0813</v>
      </c>
      <c r="B24" s="30">
        <v>46210</v>
      </c>
      <c r="C24" s="27" t="s">
        <v>227</v>
      </c>
      <c r="D24" s="27" t="s">
        <v>1512</v>
      </c>
      <c r="E24" s="27" t="s">
        <v>228</v>
      </c>
      <c r="F24" s="27" t="s">
        <v>1544</v>
      </c>
      <c r="G24" s="10">
        <v>150</v>
      </c>
      <c r="H24" s="38" t="s">
        <v>294</v>
      </c>
      <c r="I24" s="37" t="s">
        <v>289</v>
      </c>
      <c r="J24" s="37" t="s">
        <v>296</v>
      </c>
      <c r="K24" s="27"/>
      <c r="L24" s="27"/>
      <c r="M24" s="27" t="s">
        <v>1545</v>
      </c>
      <c r="N24" s="27"/>
      <c r="O24" s="27"/>
      <c r="P24" s="1" t="s">
        <v>264</v>
      </c>
      <c r="Q24" s="29" t="s">
        <v>265</v>
      </c>
      <c r="R24" s="27" t="s">
        <v>1546</v>
      </c>
      <c r="S24" s="27" t="s">
        <v>1177</v>
      </c>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EVT-2026-0814</v>
      </c>
      <c r="B25" s="30">
        <v>46210</v>
      </c>
      <c r="C25" s="27" t="s">
        <v>227</v>
      </c>
      <c r="D25" s="27" t="s">
        <v>1512</v>
      </c>
      <c r="E25" s="27" t="s">
        <v>228</v>
      </c>
      <c r="F25" s="27" t="s">
        <v>1547</v>
      </c>
      <c r="G25" s="10">
        <v>100</v>
      </c>
      <c r="H25" s="38" t="s">
        <v>294</v>
      </c>
      <c r="I25" s="37" t="s">
        <v>275</v>
      </c>
      <c r="J25" s="37" t="s">
        <v>309</v>
      </c>
      <c r="K25" s="27"/>
      <c r="L25" s="27"/>
      <c r="M25" s="27" t="s">
        <v>355</v>
      </c>
      <c r="N25" s="27"/>
      <c r="O25" s="27"/>
      <c r="P25" s="1" t="s">
        <v>264</v>
      </c>
      <c r="Q25" s="29" t="s">
        <v>265</v>
      </c>
      <c r="R25" s="27" t="s">
        <v>1548</v>
      </c>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EVT-2026-0815</v>
      </c>
      <c r="B26" s="30">
        <v>46210</v>
      </c>
      <c r="C26" s="27" t="s">
        <v>227</v>
      </c>
      <c r="D26" s="27" t="s">
        <v>1549</v>
      </c>
      <c r="E26" s="27" t="s">
        <v>202</v>
      </c>
      <c r="F26" s="27" t="s">
        <v>1550</v>
      </c>
      <c r="G26" s="10">
        <v>50</v>
      </c>
      <c r="H26" s="36" t="s">
        <v>263</v>
      </c>
      <c r="I26" s="37" t="s">
        <v>506</v>
      </c>
      <c r="J26" s="37" t="s">
        <v>354</v>
      </c>
      <c r="K26" s="27"/>
      <c r="L26" s="27"/>
      <c r="M26" s="27" t="s">
        <v>393</v>
      </c>
      <c r="N26" s="27"/>
      <c r="O26" s="27"/>
      <c r="P26" s="1" t="s">
        <v>264</v>
      </c>
      <c r="Q26" s="29" t="s">
        <v>265</v>
      </c>
      <c r="R26" s="27" t="s">
        <v>1543</v>
      </c>
      <c r="S26" s="27" t="s">
        <v>1177</v>
      </c>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EVT-2026-0816</v>
      </c>
      <c r="B27" s="30">
        <v>46211</v>
      </c>
      <c r="C27" s="27" t="s">
        <v>201</v>
      </c>
      <c r="D27" s="27" t="s">
        <v>125</v>
      </c>
      <c r="E27" s="27" t="s">
        <v>228</v>
      </c>
      <c r="F27" s="27" t="s">
        <v>1533</v>
      </c>
      <c r="G27" s="10">
        <v>50</v>
      </c>
      <c r="H27" s="36" t="s">
        <v>263</v>
      </c>
      <c r="I27" s="37" t="s">
        <v>309</v>
      </c>
      <c r="J27" s="37" t="s">
        <v>270</v>
      </c>
      <c r="K27" s="27"/>
      <c r="L27" s="27"/>
      <c r="M27" s="27" t="s">
        <v>370</v>
      </c>
      <c r="N27" s="27"/>
      <c r="O27" s="27"/>
      <c r="P27" s="1" t="s">
        <v>264</v>
      </c>
      <c r="Q27" s="29" t="s">
        <v>265</v>
      </c>
      <c r="R27" s="27" t="s">
        <v>1551</v>
      </c>
      <c r="S27" s="27" t="s">
        <v>298</v>
      </c>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EVT-2026-0817</v>
      </c>
      <c r="B28" s="30">
        <v>46211</v>
      </c>
      <c r="C28" s="27" t="s">
        <v>201</v>
      </c>
      <c r="D28" s="27" t="s">
        <v>1366</v>
      </c>
      <c r="E28" s="27" t="s">
        <v>1260</v>
      </c>
      <c r="F28" s="27" t="s">
        <v>1552</v>
      </c>
      <c r="G28" s="10">
        <v>40</v>
      </c>
      <c r="H28" s="36" t="s">
        <v>263</v>
      </c>
      <c r="I28" s="37" t="s">
        <v>309</v>
      </c>
      <c r="J28" s="37" t="s">
        <v>295</v>
      </c>
      <c r="K28" s="27"/>
      <c r="L28" s="27"/>
      <c r="M28" s="27" t="s">
        <v>355</v>
      </c>
      <c r="N28" s="27"/>
      <c r="O28" s="27"/>
      <c r="P28" s="1" t="s">
        <v>264</v>
      </c>
      <c r="Q28" s="29" t="s">
        <v>265</v>
      </c>
      <c r="R28" s="27"/>
      <c r="S28" s="27" t="s">
        <v>298</v>
      </c>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EVT-2026-0818</v>
      </c>
      <c r="B29" s="30">
        <v>46211</v>
      </c>
      <c r="C29" s="27" t="s">
        <v>201</v>
      </c>
      <c r="D29" s="27" t="s">
        <v>125</v>
      </c>
      <c r="E29" s="27" t="s">
        <v>228</v>
      </c>
      <c r="F29" s="27" t="s">
        <v>1524</v>
      </c>
      <c r="G29" s="10"/>
      <c r="H29" s="36" t="s">
        <v>263</v>
      </c>
      <c r="I29" s="37" t="s">
        <v>274</v>
      </c>
      <c r="J29" s="37" t="s">
        <v>331</v>
      </c>
      <c r="K29" s="27"/>
      <c r="L29" s="27"/>
      <c r="M29" s="27" t="s">
        <v>1402</v>
      </c>
      <c r="N29" s="27"/>
      <c r="O29" s="27"/>
      <c r="P29" s="1" t="s">
        <v>264</v>
      </c>
      <c r="Q29" s="29" t="s">
        <v>265</v>
      </c>
      <c r="R29" s="27" t="s">
        <v>1538</v>
      </c>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EVT-2026-0819</v>
      </c>
      <c r="B30" s="30">
        <v>46211</v>
      </c>
      <c r="C30" s="27" t="s">
        <v>201</v>
      </c>
      <c r="D30" s="27" t="s">
        <v>1366</v>
      </c>
      <c r="E30" s="27" t="s">
        <v>208</v>
      </c>
      <c r="F30" s="27" t="s">
        <v>217</v>
      </c>
      <c r="G30" s="10">
        <v>50</v>
      </c>
      <c r="H30" s="36" t="s">
        <v>263</v>
      </c>
      <c r="I30" s="37" t="s">
        <v>309</v>
      </c>
      <c r="J30" s="37" t="s">
        <v>296</v>
      </c>
      <c r="K30" s="27"/>
      <c r="L30" s="27"/>
      <c r="M30" s="27" t="s">
        <v>1510</v>
      </c>
      <c r="N30" s="27"/>
      <c r="O30" s="27"/>
      <c r="P30" s="1" t="s">
        <v>264</v>
      </c>
      <c r="Q30" s="29" t="s">
        <v>265</v>
      </c>
      <c r="R30" s="27"/>
      <c r="S30" s="27" t="s">
        <v>298</v>
      </c>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EVT-2026-0820</v>
      </c>
      <c r="B31" s="30">
        <v>46211</v>
      </c>
      <c r="C31" s="27" t="s">
        <v>201</v>
      </c>
      <c r="D31" s="27" t="s">
        <v>736</v>
      </c>
      <c r="E31" s="27" t="s">
        <v>202</v>
      </c>
      <c r="F31" s="27" t="s">
        <v>1539</v>
      </c>
      <c r="G31" s="10">
        <v>24</v>
      </c>
      <c r="H31" s="36" t="s">
        <v>263</v>
      </c>
      <c r="I31" s="37" t="s">
        <v>281</v>
      </c>
      <c r="J31" s="37" t="s">
        <v>270</v>
      </c>
      <c r="K31" s="27"/>
      <c r="L31" s="27"/>
      <c r="M31" s="27" t="s">
        <v>1198</v>
      </c>
      <c r="N31" s="27"/>
      <c r="O31" s="27"/>
      <c r="P31" s="1" t="s">
        <v>264</v>
      </c>
      <c r="Q31" s="29" t="s">
        <v>265</v>
      </c>
      <c r="R31" s="27" t="s">
        <v>1540</v>
      </c>
      <c r="S31" s="27" t="s">
        <v>298</v>
      </c>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EVT-2026-0821</v>
      </c>
      <c r="B32" s="30">
        <v>46211</v>
      </c>
      <c r="C32" s="27" t="s">
        <v>201</v>
      </c>
      <c r="D32" s="27" t="s">
        <v>1366</v>
      </c>
      <c r="E32" s="27" t="s">
        <v>208</v>
      </c>
      <c r="F32" s="27" t="s">
        <v>1553</v>
      </c>
      <c r="G32" s="10">
        <v>12</v>
      </c>
      <c r="H32" s="36" t="s">
        <v>263</v>
      </c>
      <c r="I32" s="37" t="s">
        <v>354</v>
      </c>
      <c r="J32" s="37" t="s">
        <v>350</v>
      </c>
      <c r="K32" s="27"/>
      <c r="L32" s="27"/>
      <c r="M32" s="27" t="s">
        <v>1554</v>
      </c>
      <c r="N32" s="27"/>
      <c r="O32" s="27"/>
      <c r="P32" s="1" t="s">
        <v>264</v>
      </c>
      <c r="Q32" s="29" t="s">
        <v>265</v>
      </c>
      <c r="R32" s="27" t="s">
        <v>1543</v>
      </c>
      <c r="S32" s="27" t="s">
        <v>1555</v>
      </c>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EVT-2026-0822</v>
      </c>
      <c r="B33" s="30">
        <v>46211</v>
      </c>
      <c r="C33" s="27" t="s">
        <v>201</v>
      </c>
      <c r="D33" s="27" t="s">
        <v>1512</v>
      </c>
      <c r="E33" s="27" t="s">
        <v>228</v>
      </c>
      <c r="F33" s="27" t="s">
        <v>1350</v>
      </c>
      <c r="G33" s="10"/>
      <c r="H33" s="36" t="s">
        <v>263</v>
      </c>
      <c r="I33" s="37" t="s">
        <v>295</v>
      </c>
      <c r="J33" s="37" t="s">
        <v>296</v>
      </c>
      <c r="K33" s="27"/>
      <c r="L33" s="27"/>
      <c r="M33" s="27" t="s">
        <v>1556</v>
      </c>
      <c r="N33" s="27"/>
      <c r="O33" s="27"/>
      <c r="P33" s="1" t="s">
        <v>264</v>
      </c>
      <c r="Q33" s="29" t="s">
        <v>265</v>
      </c>
      <c r="R33" s="27" t="s">
        <v>1543</v>
      </c>
      <c r="S33" s="27" t="s">
        <v>1557</v>
      </c>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EVT-2026-0823</v>
      </c>
      <c r="B34" s="30">
        <v>46211</v>
      </c>
      <c r="C34" s="27" t="s">
        <v>201</v>
      </c>
      <c r="D34" s="27" t="s">
        <v>1512</v>
      </c>
      <c r="E34" s="27" t="s">
        <v>228</v>
      </c>
      <c r="F34" s="27" t="s">
        <v>670</v>
      </c>
      <c r="G34" s="10">
        <v>100</v>
      </c>
      <c r="H34" s="38" t="s">
        <v>294</v>
      </c>
      <c r="I34" s="37" t="s">
        <v>338</v>
      </c>
      <c r="J34" s="37" t="s">
        <v>330</v>
      </c>
      <c r="K34" s="27"/>
      <c r="L34" s="27"/>
      <c r="M34" s="27" t="s">
        <v>1558</v>
      </c>
      <c r="N34" s="27"/>
      <c r="O34" s="27"/>
      <c r="P34" s="3" t="s">
        <v>312</v>
      </c>
      <c r="Q34" s="29" t="s">
        <v>265</v>
      </c>
      <c r="R34" s="27"/>
      <c r="S34" s="27" t="s">
        <v>1559</v>
      </c>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EVT-2026-0824</v>
      </c>
      <c r="B35" s="30">
        <v>46211</v>
      </c>
      <c r="C35" s="27" t="s">
        <v>201</v>
      </c>
      <c r="D35" s="27" t="s">
        <v>1366</v>
      </c>
      <c r="E35" s="27" t="s">
        <v>202</v>
      </c>
      <c r="F35" s="27" t="s">
        <v>353</v>
      </c>
      <c r="G35" s="10">
        <v>50</v>
      </c>
      <c r="H35" s="36" t="s">
        <v>263</v>
      </c>
      <c r="I35" s="37" t="s">
        <v>1542</v>
      </c>
      <c r="J35" s="37" t="s">
        <v>295</v>
      </c>
      <c r="K35" s="27"/>
      <c r="L35" s="27"/>
      <c r="M35" s="27" t="s">
        <v>1560</v>
      </c>
      <c r="N35" s="27"/>
      <c r="O35" s="27"/>
      <c r="P35" s="1" t="s">
        <v>264</v>
      </c>
      <c r="Q35" s="29" t="s">
        <v>265</v>
      </c>
      <c r="R35" s="27"/>
      <c r="S35" s="27" t="s">
        <v>1177</v>
      </c>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EVT-2026-0825</v>
      </c>
      <c r="B36" s="30">
        <v>46211</v>
      </c>
      <c r="C36" s="27" t="s">
        <v>201</v>
      </c>
      <c r="D36" s="27" t="s">
        <v>1366</v>
      </c>
      <c r="E36" s="27" t="s">
        <v>202</v>
      </c>
      <c r="F36" s="27" t="s">
        <v>1547</v>
      </c>
      <c r="G36" s="10">
        <v>50</v>
      </c>
      <c r="H36" s="36" t="s">
        <v>263</v>
      </c>
      <c r="I36" s="37" t="s">
        <v>506</v>
      </c>
      <c r="J36" s="37" t="s">
        <v>1561</v>
      </c>
      <c r="K36" s="27"/>
      <c r="L36" s="27"/>
      <c r="M36" s="27" t="s">
        <v>1562</v>
      </c>
      <c r="N36" s="27"/>
      <c r="O36" s="27"/>
      <c r="P36" s="1" t="s">
        <v>264</v>
      </c>
      <c r="Q36" s="29" t="s">
        <v>265</v>
      </c>
      <c r="R36" s="27"/>
      <c r="S36" s="27" t="s">
        <v>1177</v>
      </c>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EVT-2026-0826</v>
      </c>
      <c r="B37" s="30">
        <v>46212</v>
      </c>
      <c r="C37" s="27" t="s">
        <v>216</v>
      </c>
      <c r="D37" s="27" t="s">
        <v>125</v>
      </c>
      <c r="E37" s="27" t="s">
        <v>228</v>
      </c>
      <c r="F37" s="27" t="s">
        <v>1563</v>
      </c>
      <c r="G37" s="10">
        <v>60</v>
      </c>
      <c r="H37" s="36" t="s">
        <v>263</v>
      </c>
      <c r="I37" s="37" t="s">
        <v>338</v>
      </c>
      <c r="J37" s="37" t="s">
        <v>331</v>
      </c>
      <c r="K37" s="27"/>
      <c r="L37" s="27"/>
      <c r="M37" s="27" t="s">
        <v>1535</v>
      </c>
      <c r="N37" s="27"/>
      <c r="O37" s="27"/>
      <c r="P37" s="1" t="s">
        <v>264</v>
      </c>
      <c r="Q37" s="29" t="s">
        <v>265</v>
      </c>
      <c r="R37" s="27" t="s">
        <v>1564</v>
      </c>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EVT-2026-0827</v>
      </c>
      <c r="B38" s="30">
        <v>46212</v>
      </c>
      <c r="C38" s="27" t="s">
        <v>216</v>
      </c>
      <c r="D38" s="27" t="s">
        <v>736</v>
      </c>
      <c r="E38" s="27" t="s">
        <v>202</v>
      </c>
      <c r="F38" s="27" t="s">
        <v>344</v>
      </c>
      <c r="G38" s="10">
        <v>20</v>
      </c>
      <c r="H38" s="36" t="s">
        <v>263</v>
      </c>
      <c r="I38" s="37" t="s">
        <v>269</v>
      </c>
      <c r="J38" s="37" t="s">
        <v>270</v>
      </c>
      <c r="K38" s="27"/>
      <c r="L38" s="27"/>
      <c r="M38" s="27" t="s">
        <v>370</v>
      </c>
      <c r="N38" s="27"/>
      <c r="O38" s="27"/>
      <c r="P38" s="1" t="s">
        <v>264</v>
      </c>
      <c r="Q38" s="29" t="s">
        <v>265</v>
      </c>
      <c r="R38" s="27" t="s">
        <v>1551</v>
      </c>
      <c r="S38" s="27" t="s">
        <v>1565</v>
      </c>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EVT-2026-0828</v>
      </c>
      <c r="B39" s="30">
        <v>46212</v>
      </c>
      <c r="C39" s="27" t="s">
        <v>216</v>
      </c>
      <c r="D39" s="27" t="s">
        <v>125</v>
      </c>
      <c r="E39" s="27" t="s">
        <v>228</v>
      </c>
      <c r="F39" s="27" t="s">
        <v>1533</v>
      </c>
      <c r="G39" s="10">
        <v>50</v>
      </c>
      <c r="H39" s="36" t="s">
        <v>263</v>
      </c>
      <c r="I39" s="37" t="s">
        <v>309</v>
      </c>
      <c r="J39" s="37" t="s">
        <v>270</v>
      </c>
      <c r="K39" s="27"/>
      <c r="L39" s="27"/>
      <c r="M39" s="27" t="s">
        <v>370</v>
      </c>
      <c r="N39" s="27"/>
      <c r="O39" s="27"/>
      <c r="P39" s="1" t="s">
        <v>264</v>
      </c>
      <c r="Q39" s="29" t="s">
        <v>265</v>
      </c>
      <c r="R39" s="27" t="s">
        <v>1551</v>
      </c>
      <c r="S39" s="27" t="s">
        <v>298</v>
      </c>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EVT-2026-0829</v>
      </c>
      <c r="B40" s="30">
        <v>46212</v>
      </c>
      <c r="C40" s="27" t="s">
        <v>216</v>
      </c>
      <c r="D40" s="27" t="s">
        <v>1549</v>
      </c>
      <c r="E40" s="27" t="s">
        <v>202</v>
      </c>
      <c r="F40" s="27" t="s">
        <v>1550</v>
      </c>
      <c r="G40" s="10">
        <v>50</v>
      </c>
      <c r="H40" s="36" t="s">
        <v>263</v>
      </c>
      <c r="I40" s="37" t="s">
        <v>506</v>
      </c>
      <c r="J40" s="37" t="s">
        <v>354</v>
      </c>
      <c r="K40" s="27"/>
      <c r="L40" s="27"/>
      <c r="M40" s="27" t="s">
        <v>393</v>
      </c>
      <c r="N40" s="27"/>
      <c r="O40" s="27"/>
      <c r="P40" s="1" t="s">
        <v>264</v>
      </c>
      <c r="Q40" s="29" t="s">
        <v>265</v>
      </c>
      <c r="R40" s="27" t="s">
        <v>1543</v>
      </c>
      <c r="S40" s="27" t="s">
        <v>298</v>
      </c>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EVT-2026-0830</v>
      </c>
      <c r="B41" s="30">
        <v>46212</v>
      </c>
      <c r="C41" s="27" t="s">
        <v>216</v>
      </c>
      <c r="D41" s="27" t="s">
        <v>1549</v>
      </c>
      <c r="E41" s="27" t="s">
        <v>202</v>
      </c>
      <c r="F41" s="27" t="s">
        <v>543</v>
      </c>
      <c r="G41" s="10">
        <v>30</v>
      </c>
      <c r="H41" s="36" t="s">
        <v>263</v>
      </c>
      <c r="I41" s="37" t="s">
        <v>275</v>
      </c>
      <c r="J41" s="37" t="s">
        <v>309</v>
      </c>
      <c r="K41" s="27"/>
      <c r="L41" s="27"/>
      <c r="M41" s="27" t="s">
        <v>769</v>
      </c>
      <c r="N41" s="27"/>
      <c r="O41" s="27"/>
      <c r="P41" s="1" t="s">
        <v>264</v>
      </c>
      <c r="Q41" s="29" t="s">
        <v>265</v>
      </c>
      <c r="R41" s="27" t="s">
        <v>1566</v>
      </c>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EVT-2026-0831</v>
      </c>
      <c r="B42" s="30">
        <v>46212</v>
      </c>
      <c r="C42" s="27" t="s">
        <v>216</v>
      </c>
      <c r="D42" s="27" t="s">
        <v>1366</v>
      </c>
      <c r="E42" s="27" t="s">
        <v>202</v>
      </c>
      <c r="F42" s="27" t="s">
        <v>1567</v>
      </c>
      <c r="G42" s="10">
        <v>35</v>
      </c>
      <c r="H42" s="36" t="s">
        <v>263</v>
      </c>
      <c r="I42" s="37" t="s">
        <v>309</v>
      </c>
      <c r="J42" s="37" t="s">
        <v>296</v>
      </c>
      <c r="K42" s="27"/>
      <c r="L42" s="27"/>
      <c r="M42" s="27" t="s">
        <v>1568</v>
      </c>
      <c r="N42" s="27"/>
      <c r="O42" s="27"/>
      <c r="P42" s="1" t="s">
        <v>264</v>
      </c>
      <c r="Q42" s="29" t="s">
        <v>265</v>
      </c>
      <c r="R42" s="27" t="s">
        <v>1569</v>
      </c>
      <c r="S42" s="27" t="s">
        <v>298</v>
      </c>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EVT-2026-0832</v>
      </c>
      <c r="B43" s="30">
        <v>46212</v>
      </c>
      <c r="C43" s="27" t="s">
        <v>216</v>
      </c>
      <c r="D43" s="27" t="s">
        <v>1366</v>
      </c>
      <c r="E43" s="27" t="s">
        <v>208</v>
      </c>
      <c r="F43" s="27" t="s">
        <v>217</v>
      </c>
      <c r="G43" s="10">
        <v>50</v>
      </c>
      <c r="H43" s="36" t="s">
        <v>263</v>
      </c>
      <c r="I43" s="37" t="s">
        <v>309</v>
      </c>
      <c r="J43" s="37" t="s">
        <v>296</v>
      </c>
      <c r="K43" s="27"/>
      <c r="L43" s="27"/>
      <c r="M43" s="27" t="s">
        <v>1510</v>
      </c>
      <c r="N43" s="27"/>
      <c r="O43" s="27"/>
      <c r="P43" s="1" t="s">
        <v>264</v>
      </c>
      <c r="Q43" s="29" t="s">
        <v>265</v>
      </c>
      <c r="R43" s="27"/>
      <c r="S43" s="27" t="s">
        <v>298</v>
      </c>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EVT-2026-0833</v>
      </c>
      <c r="B44" s="30">
        <v>46212</v>
      </c>
      <c r="C44" s="27" t="s">
        <v>216</v>
      </c>
      <c r="D44" s="27" t="s">
        <v>1366</v>
      </c>
      <c r="E44" s="27" t="s">
        <v>1260</v>
      </c>
      <c r="F44" s="27" t="s">
        <v>1570</v>
      </c>
      <c r="G44" s="10">
        <v>16</v>
      </c>
      <c r="H44" s="36" t="s">
        <v>263</v>
      </c>
      <c r="I44" s="37" t="s">
        <v>275</v>
      </c>
      <c r="J44" s="37" t="s">
        <v>270</v>
      </c>
      <c r="K44" s="27"/>
      <c r="L44" s="27"/>
      <c r="M44" s="27" t="s">
        <v>351</v>
      </c>
      <c r="N44" s="27"/>
      <c r="O44" s="27"/>
      <c r="P44" s="1" t="s">
        <v>264</v>
      </c>
      <c r="Q44" s="29" t="s">
        <v>265</v>
      </c>
      <c r="R44" s="27" t="s">
        <v>1548</v>
      </c>
      <c r="S44" s="27" t="s">
        <v>1571</v>
      </c>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EVT-2026-0834</v>
      </c>
      <c r="B45" s="30">
        <v>46212</v>
      </c>
      <c r="C45" s="27" t="s">
        <v>216</v>
      </c>
      <c r="D45" s="27" t="s">
        <v>1366</v>
      </c>
      <c r="E45" s="27" t="s">
        <v>208</v>
      </c>
      <c r="F45" s="27" t="s">
        <v>1572</v>
      </c>
      <c r="G45" s="10">
        <v>40</v>
      </c>
      <c r="H45" s="36" t="s">
        <v>263</v>
      </c>
      <c r="I45" s="37" t="s">
        <v>1561</v>
      </c>
      <c r="J45" s="37" t="s">
        <v>1342</v>
      </c>
      <c r="K45" s="27"/>
      <c r="L45" s="27"/>
      <c r="M45" s="27" t="s">
        <v>1047</v>
      </c>
      <c r="N45" s="27"/>
      <c r="O45" s="27"/>
      <c r="P45" s="1" t="s">
        <v>264</v>
      </c>
      <c r="Q45" s="29" t="s">
        <v>265</v>
      </c>
      <c r="R45" s="27" t="s">
        <v>1548</v>
      </c>
      <c r="S45" s="27" t="s">
        <v>298</v>
      </c>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EVT-2026-0835</v>
      </c>
      <c r="B46" s="30">
        <v>46213</v>
      </c>
      <c r="C46" s="27" t="s">
        <v>220</v>
      </c>
      <c r="D46" s="27" t="s">
        <v>736</v>
      </c>
      <c r="E46" s="27" t="s">
        <v>202</v>
      </c>
      <c r="F46" s="27" t="s">
        <v>344</v>
      </c>
      <c r="G46" s="10">
        <v>20</v>
      </c>
      <c r="H46" s="36" t="s">
        <v>263</v>
      </c>
      <c r="I46" s="37" t="s">
        <v>269</v>
      </c>
      <c r="J46" s="37" t="s">
        <v>270</v>
      </c>
      <c r="K46" s="27"/>
      <c r="L46" s="27"/>
      <c r="M46" s="27" t="s">
        <v>370</v>
      </c>
      <c r="N46" s="27"/>
      <c r="O46" s="27"/>
      <c r="P46" s="1" t="s">
        <v>264</v>
      </c>
      <c r="Q46" s="29" t="s">
        <v>265</v>
      </c>
      <c r="R46" s="27" t="s">
        <v>1573</v>
      </c>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EVT-2026-0836</v>
      </c>
      <c r="B47" s="30">
        <v>46213</v>
      </c>
      <c r="C47" s="27" t="s">
        <v>220</v>
      </c>
      <c r="D47" s="27" t="s">
        <v>125</v>
      </c>
      <c r="E47" s="27" t="s">
        <v>228</v>
      </c>
      <c r="F47" s="27" t="s">
        <v>1533</v>
      </c>
      <c r="G47" s="10">
        <v>50</v>
      </c>
      <c r="H47" s="36" t="s">
        <v>263</v>
      </c>
      <c r="I47" s="37" t="s">
        <v>309</v>
      </c>
      <c r="J47" s="37" t="s">
        <v>270</v>
      </c>
      <c r="K47" s="27"/>
      <c r="L47" s="27"/>
      <c r="M47" s="27" t="s">
        <v>370</v>
      </c>
      <c r="N47" s="27"/>
      <c r="O47" s="27"/>
      <c r="P47" s="1" t="s">
        <v>264</v>
      </c>
      <c r="Q47" s="29" t="s">
        <v>265</v>
      </c>
      <c r="R47" s="27" t="s">
        <v>1551</v>
      </c>
      <c r="S47" s="27" t="s">
        <v>298</v>
      </c>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EVT-2026-0837</v>
      </c>
      <c r="B48" s="30">
        <v>46213</v>
      </c>
      <c r="C48" s="27" t="s">
        <v>220</v>
      </c>
      <c r="D48" s="27" t="s">
        <v>125</v>
      </c>
      <c r="E48" s="27" t="s">
        <v>228</v>
      </c>
      <c r="F48" s="27" t="s">
        <v>1574</v>
      </c>
      <c r="G48" s="10"/>
      <c r="H48" s="36" t="s">
        <v>263</v>
      </c>
      <c r="I48" s="37" t="s">
        <v>274</v>
      </c>
      <c r="J48" s="37" t="s">
        <v>330</v>
      </c>
      <c r="K48" s="27"/>
      <c r="L48" s="27"/>
      <c r="M48" s="27" t="s">
        <v>1575</v>
      </c>
      <c r="N48" s="27"/>
      <c r="O48" s="27"/>
      <c r="P48" s="1" t="s">
        <v>264</v>
      </c>
      <c r="Q48" s="29" t="s">
        <v>265</v>
      </c>
      <c r="R48" s="27" t="s">
        <v>1566</v>
      </c>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EVT-2026-0838</v>
      </c>
      <c r="B49" s="30">
        <v>46213</v>
      </c>
      <c r="C49" s="27" t="s">
        <v>220</v>
      </c>
      <c r="D49" s="27" t="s">
        <v>125</v>
      </c>
      <c r="E49" s="27" t="s">
        <v>228</v>
      </c>
      <c r="F49" s="27" t="s">
        <v>1576</v>
      </c>
      <c r="G49" s="10">
        <v>50</v>
      </c>
      <c r="H49" s="36" t="s">
        <v>263</v>
      </c>
      <c r="I49" s="37" t="s">
        <v>315</v>
      </c>
      <c r="J49" s="37" t="s">
        <v>506</v>
      </c>
      <c r="K49" s="27"/>
      <c r="L49" s="27"/>
      <c r="M49" s="27" t="s">
        <v>367</v>
      </c>
      <c r="N49" s="27"/>
      <c r="O49" s="27"/>
      <c r="P49" s="3" t="s">
        <v>312</v>
      </c>
      <c r="Q49" s="29" t="s">
        <v>265</v>
      </c>
      <c r="R49" s="27" t="s">
        <v>1577</v>
      </c>
      <c r="S49" s="27" t="s">
        <v>1578</v>
      </c>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EVT-2026-0839</v>
      </c>
      <c r="B50" s="30">
        <v>46213</v>
      </c>
      <c r="C50" s="27" t="s">
        <v>220</v>
      </c>
      <c r="D50" s="27" t="s">
        <v>125</v>
      </c>
      <c r="E50" s="27" t="s">
        <v>228</v>
      </c>
      <c r="F50" s="27" t="s">
        <v>1579</v>
      </c>
      <c r="G50" s="10">
        <v>70</v>
      </c>
      <c r="H50" s="36" t="s">
        <v>263</v>
      </c>
      <c r="I50" s="37" t="s">
        <v>331</v>
      </c>
      <c r="J50" s="37" t="s">
        <v>275</v>
      </c>
      <c r="K50" s="27"/>
      <c r="L50" s="27"/>
      <c r="M50" s="27" t="s">
        <v>1580</v>
      </c>
      <c r="N50" s="27"/>
      <c r="O50" s="27"/>
      <c r="P50" s="1" t="s">
        <v>264</v>
      </c>
      <c r="Q50" s="29" t="s">
        <v>265</v>
      </c>
      <c r="R50" s="27" t="s">
        <v>1577</v>
      </c>
      <c r="S50" s="27" t="s">
        <v>1313</v>
      </c>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51" s="30">
        <v>46214</v>
      </c>
      <c r="C51" s="27" t="s">
        <v>266</v>
      </c>
      <c r="D51" s="27"/>
      <c r="E51" s="27"/>
      <c r="F51" s="27"/>
      <c r="G51" s="10"/>
      <c r="H51" s="36" t="s">
        <v>263</v>
      </c>
      <c r="I51" s="37"/>
      <c r="J51" s="37"/>
      <c r="K51" s="27"/>
      <c r="L51" s="27"/>
      <c r="M51" s="27"/>
      <c r="N51" s="27"/>
      <c r="O51" s="27"/>
      <c r="P51" s="1" t="s">
        <v>264</v>
      </c>
      <c r="Q51" s="29" t="s">
        <v>265</v>
      </c>
      <c r="R51" s="27"/>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52" s="30">
        <v>46215</v>
      </c>
      <c r="C52" s="27" t="s">
        <v>267</v>
      </c>
      <c r="D52" s="27"/>
      <c r="E52" s="27"/>
      <c r="F52" s="27"/>
      <c r="G52" s="10"/>
      <c r="H52" s="36" t="s">
        <v>263</v>
      </c>
      <c r="I52" s="37"/>
      <c r="J52" s="37"/>
      <c r="K52" s="27"/>
      <c r="L52" s="27"/>
      <c r="M52" s="27"/>
      <c r="N52" s="27"/>
      <c r="O52" s="27"/>
      <c r="P52" s="1" t="s">
        <v>264</v>
      </c>
      <c r="Q52" s="29" t="s">
        <v>265</v>
      </c>
      <c r="R52" s="27"/>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EVT-2026-0840</v>
      </c>
      <c r="B53" s="30">
        <v>46216</v>
      </c>
      <c r="C53" s="27" t="s">
        <v>224</v>
      </c>
      <c r="D53" s="27" t="s">
        <v>125</v>
      </c>
      <c r="E53" s="27" t="s">
        <v>228</v>
      </c>
      <c r="F53" s="27" t="s">
        <v>1576</v>
      </c>
      <c r="G53" s="10">
        <v>50</v>
      </c>
      <c r="H53" s="36" t="s">
        <v>263</v>
      </c>
      <c r="I53" s="37" t="s">
        <v>315</v>
      </c>
      <c r="J53" s="37" t="s">
        <v>506</v>
      </c>
      <c r="K53" s="27" t="s">
        <v>1581</v>
      </c>
      <c r="L53" s="27"/>
      <c r="M53" s="27" t="s">
        <v>367</v>
      </c>
      <c r="N53" s="27" t="s">
        <v>213</v>
      </c>
      <c r="O53" s="30">
        <v>46210</v>
      </c>
      <c r="P53" s="3" t="s">
        <v>312</v>
      </c>
      <c r="Q53" s="29" t="s">
        <v>265</v>
      </c>
      <c r="R53" s="27" t="s">
        <v>1313</v>
      </c>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EVT-2026-0841</v>
      </c>
      <c r="B54" s="30">
        <v>46216</v>
      </c>
      <c r="C54" s="27" t="s">
        <v>224</v>
      </c>
      <c r="D54" s="27" t="s">
        <v>125</v>
      </c>
      <c r="E54" s="27" t="s">
        <v>228</v>
      </c>
      <c r="F54" s="27" t="s">
        <v>1582</v>
      </c>
      <c r="G54" s="10">
        <v>80</v>
      </c>
      <c r="H54" s="36" t="s">
        <v>263</v>
      </c>
      <c r="I54" s="37" t="s">
        <v>309</v>
      </c>
      <c r="J54" s="37" t="s">
        <v>295</v>
      </c>
      <c r="K54" s="27"/>
      <c r="L54" s="27"/>
      <c r="M54" s="27" t="s">
        <v>355</v>
      </c>
      <c r="N54" s="27" t="s">
        <v>1583</v>
      </c>
      <c r="O54" s="30">
        <v>46209</v>
      </c>
      <c r="P54" s="1" t="s">
        <v>264</v>
      </c>
      <c r="Q54" s="29" t="s">
        <v>265</v>
      </c>
      <c r="R54" s="27" t="s">
        <v>1313</v>
      </c>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EVT-2026-0842</v>
      </c>
      <c r="B55" s="27" t="s">
        <v>2318</v>
      </c>
      <c r="C55" s="27" t="s">
        <v>224</v>
      </c>
      <c r="D55" s="27" t="s">
        <v>1584</v>
      </c>
      <c r="E55" s="27" t="s">
        <v>228</v>
      </c>
      <c r="F55" s="27" t="s">
        <v>344</v>
      </c>
      <c r="G55" s="10">
        <v>10</v>
      </c>
      <c r="H55" s="36" t="s">
        <v>263</v>
      </c>
      <c r="I55" s="37" t="s">
        <v>269</v>
      </c>
      <c r="J55" s="37" t="s">
        <v>270</v>
      </c>
      <c r="K55" s="27"/>
      <c r="L55" s="27"/>
      <c r="M55" s="27" t="s">
        <v>1585</v>
      </c>
      <c r="N55" s="27" t="s">
        <v>1586</v>
      </c>
      <c r="O55" s="27"/>
      <c r="P55" s="1" t="s">
        <v>264</v>
      </c>
      <c r="Q55" s="29" t="s">
        <v>265</v>
      </c>
      <c r="R55" s="27"/>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EVT-2026-0843</v>
      </c>
      <c r="B56" s="30">
        <v>46216</v>
      </c>
      <c r="C56" s="27" t="s">
        <v>224</v>
      </c>
      <c r="D56" s="27" t="s">
        <v>736</v>
      </c>
      <c r="E56" s="27" t="s">
        <v>202</v>
      </c>
      <c r="F56" s="27" t="s">
        <v>344</v>
      </c>
      <c r="G56" s="10">
        <v>24</v>
      </c>
      <c r="H56" s="36" t="s">
        <v>263</v>
      </c>
      <c r="I56" s="37" t="s">
        <v>269</v>
      </c>
      <c r="J56" s="37" t="s">
        <v>270</v>
      </c>
      <c r="K56" s="27"/>
      <c r="L56" s="27"/>
      <c r="M56" s="27" t="s">
        <v>277</v>
      </c>
      <c r="N56" s="27" t="s">
        <v>1587</v>
      </c>
      <c r="O56" s="30">
        <v>46203</v>
      </c>
      <c r="P56" s="1" t="s">
        <v>264</v>
      </c>
      <c r="Q56" s="29" t="s">
        <v>265</v>
      </c>
      <c r="R56" s="27"/>
      <c r="S56" s="27"/>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EVT-2026-0844</v>
      </c>
      <c r="B57" s="30">
        <v>46217</v>
      </c>
      <c r="C57" s="27" t="s">
        <v>227</v>
      </c>
      <c r="D57" s="27" t="s">
        <v>125</v>
      </c>
      <c r="E57" s="27" t="s">
        <v>228</v>
      </c>
      <c r="F57" s="27" t="s">
        <v>1588</v>
      </c>
      <c r="G57" s="10">
        <v>40</v>
      </c>
      <c r="H57" s="36" t="s">
        <v>263</v>
      </c>
      <c r="I57" s="37" t="s">
        <v>1542</v>
      </c>
      <c r="J57" s="37" t="s">
        <v>295</v>
      </c>
      <c r="K57" s="27"/>
      <c r="L57" s="27"/>
      <c r="M57" s="27" t="s">
        <v>433</v>
      </c>
      <c r="N57" s="27"/>
      <c r="O57" s="27"/>
      <c r="P57" s="1" t="s">
        <v>264</v>
      </c>
      <c r="Q57" s="29" t="s">
        <v>265</v>
      </c>
      <c r="R57" s="27"/>
      <c r="S57" s="27"/>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EVT-2026-0845</v>
      </c>
      <c r="B58" s="30">
        <v>46217</v>
      </c>
      <c r="C58" s="27" t="s">
        <v>227</v>
      </c>
      <c r="D58" s="27" t="s">
        <v>1512</v>
      </c>
      <c r="E58" s="27" t="s">
        <v>228</v>
      </c>
      <c r="F58" s="27" t="s">
        <v>1589</v>
      </c>
      <c r="G58" s="10">
        <v>160</v>
      </c>
      <c r="H58" s="38" t="s">
        <v>294</v>
      </c>
      <c r="I58" s="37" t="s">
        <v>295</v>
      </c>
      <c r="J58" s="37" t="s">
        <v>296</v>
      </c>
      <c r="K58" s="27"/>
      <c r="L58" s="27"/>
      <c r="M58" s="27" t="s">
        <v>367</v>
      </c>
      <c r="N58" s="27" t="s">
        <v>213</v>
      </c>
      <c r="O58" s="30">
        <v>46203</v>
      </c>
      <c r="P58" s="1" t="s">
        <v>264</v>
      </c>
      <c r="Q58" s="29" t="s">
        <v>265</v>
      </c>
      <c r="R58" s="27" t="s">
        <v>1177</v>
      </c>
      <c r="S58" s="27"/>
    </row>
    <row r="59" spans="1:19" ht="24" customHeight="1">
      <c r="A59" s="27"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EVT-2026-0846</v>
      </c>
      <c r="B59" s="30">
        <v>46217</v>
      </c>
      <c r="C59" s="27" t="s">
        <v>227</v>
      </c>
      <c r="D59" s="27" t="s">
        <v>1584</v>
      </c>
      <c r="E59" s="27" t="s">
        <v>228</v>
      </c>
      <c r="F59" s="27" t="s">
        <v>344</v>
      </c>
      <c r="G59" s="10">
        <v>10</v>
      </c>
      <c r="H59" s="36" t="s">
        <v>263</v>
      </c>
      <c r="I59" s="37" t="s">
        <v>269</v>
      </c>
      <c r="J59" s="37" t="s">
        <v>270</v>
      </c>
      <c r="K59" s="27"/>
      <c r="L59" s="27"/>
      <c r="M59" s="27" t="s">
        <v>1585</v>
      </c>
      <c r="N59" s="27" t="s">
        <v>1586</v>
      </c>
      <c r="O59" s="27"/>
      <c r="P59" s="1" t="s">
        <v>264</v>
      </c>
      <c r="Q59" s="29" t="s">
        <v>265</v>
      </c>
      <c r="R59" s="27"/>
      <c r="S59" s="27"/>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EVT-2026-0847</v>
      </c>
      <c r="B60" s="30">
        <v>46217</v>
      </c>
      <c r="C60" s="27" t="s">
        <v>227</v>
      </c>
      <c r="D60" s="27" t="s">
        <v>1512</v>
      </c>
      <c r="E60" s="27" t="s">
        <v>228</v>
      </c>
      <c r="F60" s="27" t="s">
        <v>1590</v>
      </c>
      <c r="G60" s="10">
        <v>150</v>
      </c>
      <c r="H60" s="38" t="s">
        <v>294</v>
      </c>
      <c r="I60" s="37" t="s">
        <v>330</v>
      </c>
      <c r="J60" s="37" t="s">
        <v>354</v>
      </c>
      <c r="K60" s="27"/>
      <c r="L60" s="27"/>
      <c r="M60" s="27" t="s">
        <v>1591</v>
      </c>
      <c r="N60" s="27" t="s">
        <v>1592</v>
      </c>
      <c r="O60" s="27"/>
      <c r="P60" s="1" t="s">
        <v>264</v>
      </c>
      <c r="Q60" s="29" t="s">
        <v>265</v>
      </c>
      <c r="R60" s="27"/>
      <c r="S60" s="27"/>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EVT-2026-0848</v>
      </c>
      <c r="B61" s="30">
        <v>46217</v>
      </c>
      <c r="C61" s="27" t="s">
        <v>227</v>
      </c>
      <c r="D61" s="27" t="s">
        <v>1512</v>
      </c>
      <c r="E61" s="27" t="s">
        <v>228</v>
      </c>
      <c r="F61" s="27" t="s">
        <v>1593</v>
      </c>
      <c r="G61" s="10">
        <v>100</v>
      </c>
      <c r="H61" s="38" t="s">
        <v>294</v>
      </c>
      <c r="I61" s="37" t="s">
        <v>338</v>
      </c>
      <c r="J61" s="37" t="s">
        <v>330</v>
      </c>
      <c r="K61" s="27" t="s">
        <v>1594</v>
      </c>
      <c r="L61" s="27"/>
      <c r="M61" s="27" t="s">
        <v>1595</v>
      </c>
      <c r="N61" s="27" t="s">
        <v>1596</v>
      </c>
      <c r="O61" s="30" t="s">
        <v>2319</v>
      </c>
      <c r="P61" s="3" t="s">
        <v>312</v>
      </c>
      <c r="Q61" s="29" t="s">
        <v>265</v>
      </c>
      <c r="R61" s="27" t="s">
        <v>1597</v>
      </c>
      <c r="S61" s="27"/>
    </row>
    <row r="62" spans="1:19" ht="24" customHeight="1">
      <c r="A62" s="27"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EVT-2026-0849</v>
      </c>
      <c r="B62" s="30">
        <v>46217</v>
      </c>
      <c r="C62" s="27" t="s">
        <v>227</v>
      </c>
      <c r="D62" s="27" t="s">
        <v>1366</v>
      </c>
      <c r="E62" s="27" t="s">
        <v>202</v>
      </c>
      <c r="F62" s="27" t="s">
        <v>1598</v>
      </c>
      <c r="G62" s="10">
        <v>40</v>
      </c>
      <c r="H62" s="36" t="s">
        <v>263</v>
      </c>
      <c r="I62" s="37" t="s">
        <v>338</v>
      </c>
      <c r="J62" s="37" t="s">
        <v>506</v>
      </c>
      <c r="K62" s="27"/>
      <c r="L62" s="27"/>
      <c r="M62" s="27" t="s">
        <v>1599</v>
      </c>
      <c r="N62" s="27" t="s">
        <v>1600</v>
      </c>
      <c r="O62" s="30">
        <v>46203</v>
      </c>
      <c r="P62" s="1" t="s">
        <v>264</v>
      </c>
      <c r="Q62" s="29" t="s">
        <v>265</v>
      </c>
      <c r="R62" s="27" t="s">
        <v>1177</v>
      </c>
      <c r="S62" s="27"/>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EVT-2026-0850</v>
      </c>
      <c r="B63" s="30">
        <v>46217</v>
      </c>
      <c r="C63" s="27" t="s">
        <v>227</v>
      </c>
      <c r="D63" s="27" t="s">
        <v>1366</v>
      </c>
      <c r="E63" s="27" t="s">
        <v>1260</v>
      </c>
      <c r="F63" s="27" t="s">
        <v>1570</v>
      </c>
      <c r="G63" s="10">
        <v>16</v>
      </c>
      <c r="H63" s="36" t="s">
        <v>263</v>
      </c>
      <c r="I63" s="37" t="s">
        <v>275</v>
      </c>
      <c r="J63" s="37" t="s">
        <v>270</v>
      </c>
      <c r="K63" s="27" t="s">
        <v>901</v>
      </c>
      <c r="L63" s="27"/>
      <c r="M63" s="27" t="s">
        <v>351</v>
      </c>
      <c r="N63" s="27" t="s">
        <v>1601</v>
      </c>
      <c r="O63" s="30">
        <v>46209</v>
      </c>
      <c r="P63" s="3" t="s">
        <v>312</v>
      </c>
      <c r="Q63" s="29" t="s">
        <v>265</v>
      </c>
      <c r="R63" s="27" t="s">
        <v>1571</v>
      </c>
      <c r="S63" s="27"/>
    </row>
    <row r="64" spans="1:19" ht="24" customHeight="1">
      <c r="A64" s="27"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EVT-2026-0851</v>
      </c>
      <c r="B64" s="30">
        <v>46217</v>
      </c>
      <c r="C64" s="27" t="s">
        <v>227</v>
      </c>
      <c r="D64" s="27" t="s">
        <v>736</v>
      </c>
      <c r="E64" s="27" t="s">
        <v>202</v>
      </c>
      <c r="F64" s="27" t="s">
        <v>344</v>
      </c>
      <c r="G64" s="10">
        <v>24</v>
      </c>
      <c r="H64" s="36" t="s">
        <v>263</v>
      </c>
      <c r="I64" s="37" t="s">
        <v>269</v>
      </c>
      <c r="J64" s="37" t="s">
        <v>270</v>
      </c>
      <c r="K64" s="27"/>
      <c r="L64" s="27"/>
      <c r="M64" s="27" t="s">
        <v>277</v>
      </c>
      <c r="N64" s="27" t="s">
        <v>1587</v>
      </c>
      <c r="O64" s="30">
        <v>46203</v>
      </c>
      <c r="P64" s="1" t="s">
        <v>264</v>
      </c>
      <c r="Q64" s="29" t="s">
        <v>265</v>
      </c>
      <c r="R64" s="27"/>
      <c r="S64" s="27"/>
    </row>
    <row r="65" spans="1:19" ht="24" customHeight="1">
      <c r="A65" s="27"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EVT-2026-0852</v>
      </c>
      <c r="B65" s="30">
        <v>46217</v>
      </c>
      <c r="C65" s="27" t="s">
        <v>227</v>
      </c>
      <c r="D65" s="27" t="s">
        <v>1366</v>
      </c>
      <c r="E65" s="27" t="s">
        <v>208</v>
      </c>
      <c r="F65" s="27" t="s">
        <v>217</v>
      </c>
      <c r="G65" s="10">
        <v>50</v>
      </c>
      <c r="H65" s="36" t="s">
        <v>263</v>
      </c>
      <c r="I65" s="37" t="s">
        <v>309</v>
      </c>
      <c r="J65" s="37" t="s">
        <v>296</v>
      </c>
      <c r="K65" s="27"/>
      <c r="L65" s="27"/>
      <c r="M65" s="27" t="s">
        <v>1510</v>
      </c>
      <c r="N65" s="27" t="s">
        <v>1511</v>
      </c>
      <c r="O65" s="27"/>
      <c r="P65" s="3" t="s">
        <v>312</v>
      </c>
      <c r="Q65" s="29" t="s">
        <v>265</v>
      </c>
      <c r="R65" s="27" t="s">
        <v>298</v>
      </c>
      <c r="S65" s="27"/>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EVT-2026-0853</v>
      </c>
      <c r="B66" s="30">
        <v>46217</v>
      </c>
      <c r="C66" s="27" t="s">
        <v>227</v>
      </c>
      <c r="D66" s="27" t="s">
        <v>1366</v>
      </c>
      <c r="E66" s="27" t="s">
        <v>202</v>
      </c>
      <c r="F66" s="27" t="s">
        <v>1602</v>
      </c>
      <c r="G66" s="10">
        <v>50</v>
      </c>
      <c r="H66" s="36" t="s">
        <v>263</v>
      </c>
      <c r="I66" s="37" t="s">
        <v>429</v>
      </c>
      <c r="J66" s="37" t="s">
        <v>354</v>
      </c>
      <c r="K66" s="27"/>
      <c r="L66" s="27"/>
      <c r="M66" s="27" t="s">
        <v>1603</v>
      </c>
      <c r="N66" s="27" t="s">
        <v>1604</v>
      </c>
      <c r="O66" s="30">
        <v>46212</v>
      </c>
      <c r="P66" s="1" t="s">
        <v>264</v>
      </c>
      <c r="Q66" s="29" t="s">
        <v>265</v>
      </c>
      <c r="R66" s="27" t="s">
        <v>298</v>
      </c>
      <c r="S66" s="27"/>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EVT-2026-0854</v>
      </c>
      <c r="B67" s="30">
        <v>46217</v>
      </c>
      <c r="C67" s="27" t="s">
        <v>227</v>
      </c>
      <c r="D67" s="27" t="s">
        <v>1366</v>
      </c>
      <c r="E67" s="27" t="s">
        <v>208</v>
      </c>
      <c r="F67" s="27" t="s">
        <v>1605</v>
      </c>
      <c r="G67" s="10">
        <v>20</v>
      </c>
      <c r="H67" s="36" t="s">
        <v>263</v>
      </c>
      <c r="I67" s="37" t="s">
        <v>290</v>
      </c>
      <c r="J67" s="37" t="s">
        <v>1320</v>
      </c>
      <c r="K67" s="27"/>
      <c r="L67" s="27"/>
      <c r="M67" s="27" t="s">
        <v>1606</v>
      </c>
      <c r="N67" s="27"/>
      <c r="O67" s="27"/>
      <c r="P67" s="1" t="s">
        <v>264</v>
      </c>
      <c r="Q67" s="29" t="s">
        <v>265</v>
      </c>
      <c r="R67" s="27" t="s">
        <v>1607</v>
      </c>
      <c r="S67" s="27" t="s">
        <v>1608</v>
      </c>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EVT-2026-0855</v>
      </c>
      <c r="B68" s="30">
        <v>46217</v>
      </c>
      <c r="C68" s="27" t="s">
        <v>227</v>
      </c>
      <c r="D68" s="27" t="s">
        <v>125</v>
      </c>
      <c r="E68" s="27" t="s">
        <v>228</v>
      </c>
      <c r="F68" s="27" t="s">
        <v>1576</v>
      </c>
      <c r="G68" s="10">
        <v>70</v>
      </c>
      <c r="H68" s="36" t="s">
        <v>263</v>
      </c>
      <c r="I68" s="37" t="s">
        <v>315</v>
      </c>
      <c r="J68" s="37" t="s">
        <v>506</v>
      </c>
      <c r="K68" s="27"/>
      <c r="L68" s="27"/>
      <c r="M68" s="27" t="s">
        <v>1609</v>
      </c>
      <c r="N68" s="27" t="s">
        <v>213</v>
      </c>
      <c r="O68" s="30">
        <v>46210</v>
      </c>
      <c r="P68" s="1" t="s">
        <v>264</v>
      </c>
      <c r="Q68" s="29" t="s">
        <v>265</v>
      </c>
      <c r="R68" s="27" t="s">
        <v>1610</v>
      </c>
      <c r="S68" s="27"/>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EVT-2026-0856</v>
      </c>
      <c r="B69" s="30">
        <v>46218</v>
      </c>
      <c r="C69" s="27" t="s">
        <v>201</v>
      </c>
      <c r="D69" s="27" t="s">
        <v>1366</v>
      </c>
      <c r="E69" s="27" t="s">
        <v>208</v>
      </c>
      <c r="F69" s="27" t="s">
        <v>217</v>
      </c>
      <c r="G69" s="10">
        <v>50</v>
      </c>
      <c r="H69" s="36" t="s">
        <v>263</v>
      </c>
      <c r="I69" s="37" t="s">
        <v>309</v>
      </c>
      <c r="J69" s="37" t="s">
        <v>296</v>
      </c>
      <c r="K69" s="27"/>
      <c r="L69" s="27"/>
      <c r="M69" s="27" t="s">
        <v>370</v>
      </c>
      <c r="N69" s="27" t="s">
        <v>1511</v>
      </c>
      <c r="O69" s="27"/>
      <c r="P69" s="1" t="s">
        <v>264</v>
      </c>
      <c r="Q69" s="29" t="s">
        <v>265</v>
      </c>
      <c r="R69" s="27" t="s">
        <v>298</v>
      </c>
      <c r="S69" s="27"/>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EVT-2026-0857</v>
      </c>
      <c r="B70" s="30">
        <v>46218</v>
      </c>
      <c r="C70" s="27" t="s">
        <v>201</v>
      </c>
      <c r="D70" s="27" t="s">
        <v>1611</v>
      </c>
      <c r="E70" s="27" t="s">
        <v>228</v>
      </c>
      <c r="F70" s="27" t="s">
        <v>344</v>
      </c>
      <c r="G70" s="10">
        <v>10</v>
      </c>
      <c r="H70" s="36" t="s">
        <v>263</v>
      </c>
      <c r="I70" s="37" t="s">
        <v>269</v>
      </c>
      <c r="J70" s="37" t="s">
        <v>270</v>
      </c>
      <c r="K70" s="27"/>
      <c r="L70" s="27"/>
      <c r="M70" s="27" t="s">
        <v>1585</v>
      </c>
      <c r="N70" s="27" t="s">
        <v>1586</v>
      </c>
      <c r="O70" s="27"/>
      <c r="P70" s="1" t="s">
        <v>264</v>
      </c>
      <c r="Q70" s="29" t="s">
        <v>265</v>
      </c>
      <c r="R70" s="27"/>
      <c r="S70" s="27"/>
    </row>
    <row r="71" spans="1:19" ht="24" customHeight="1">
      <c r="A71" s="27"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EVT-2026-0858</v>
      </c>
      <c r="B71" s="30">
        <v>46218</v>
      </c>
      <c r="C71" s="27" t="s">
        <v>201</v>
      </c>
      <c r="D71" s="27" t="s">
        <v>736</v>
      </c>
      <c r="E71" s="27" t="s">
        <v>202</v>
      </c>
      <c r="F71" s="27" t="s">
        <v>344</v>
      </c>
      <c r="G71" s="10">
        <v>24</v>
      </c>
      <c r="H71" s="36" t="s">
        <v>263</v>
      </c>
      <c r="I71" s="37" t="s">
        <v>269</v>
      </c>
      <c r="J71" s="37" t="s">
        <v>270</v>
      </c>
      <c r="K71" s="27"/>
      <c r="L71" s="27"/>
      <c r="M71" s="27" t="s">
        <v>277</v>
      </c>
      <c r="N71" s="27" t="s">
        <v>1587</v>
      </c>
      <c r="O71" s="30">
        <v>46203</v>
      </c>
      <c r="P71" s="1" t="s">
        <v>264</v>
      </c>
      <c r="Q71" s="29" t="s">
        <v>265</v>
      </c>
      <c r="R71" s="27"/>
      <c r="S71" s="27"/>
    </row>
    <row r="72" spans="1:19" ht="24" customHeight="1">
      <c r="A72" s="27"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EVT-2026-0859</v>
      </c>
      <c r="B72" s="30">
        <v>46218</v>
      </c>
      <c r="C72" s="27" t="s">
        <v>201</v>
      </c>
      <c r="D72" s="27" t="s">
        <v>239</v>
      </c>
      <c r="E72" s="27" t="s">
        <v>202</v>
      </c>
      <c r="F72" s="27" t="s">
        <v>1160</v>
      </c>
      <c r="G72" s="10" t="s">
        <v>2320</v>
      </c>
      <c r="H72" s="38" t="s">
        <v>294</v>
      </c>
      <c r="I72" s="37" t="s">
        <v>295</v>
      </c>
      <c r="J72" s="37" t="s">
        <v>270</v>
      </c>
      <c r="K72" s="27"/>
      <c r="L72" s="27"/>
      <c r="M72" s="27" t="s">
        <v>1612</v>
      </c>
      <c r="N72" s="27" t="s">
        <v>1613</v>
      </c>
      <c r="O72" s="30">
        <v>46211</v>
      </c>
      <c r="P72" s="1" t="s">
        <v>264</v>
      </c>
      <c r="Q72" s="29" t="s">
        <v>265</v>
      </c>
      <c r="R72" s="27" t="s">
        <v>1177</v>
      </c>
      <c r="S72" s="27"/>
    </row>
    <row r="73" spans="1:19" ht="24" customHeight="1">
      <c r="A73" s="27"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EVT-2026-0860</v>
      </c>
      <c r="B73" s="30">
        <v>46218</v>
      </c>
      <c r="C73" s="27" t="s">
        <v>201</v>
      </c>
      <c r="D73" s="27" t="s">
        <v>1614</v>
      </c>
      <c r="E73" s="27" t="s">
        <v>202</v>
      </c>
      <c r="F73" s="27" t="s">
        <v>1615</v>
      </c>
      <c r="G73" s="10">
        <v>50</v>
      </c>
      <c r="H73" s="36" t="s">
        <v>263</v>
      </c>
      <c r="I73" s="37" t="s">
        <v>309</v>
      </c>
      <c r="J73" s="37" t="s">
        <v>296</v>
      </c>
      <c r="K73" s="27"/>
      <c r="L73" s="27"/>
      <c r="M73" s="27" t="s">
        <v>1616</v>
      </c>
      <c r="N73" s="27" t="s">
        <v>1617</v>
      </c>
      <c r="O73" s="30">
        <v>46206</v>
      </c>
      <c r="P73" s="1" t="s">
        <v>264</v>
      </c>
      <c r="Q73" s="29" t="s">
        <v>265</v>
      </c>
      <c r="R73" s="27" t="s">
        <v>1618</v>
      </c>
      <c r="S73" s="27"/>
    </row>
    <row r="74" spans="1:19" ht="24" customHeight="1">
      <c r="A74" s="27"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EVT-2026-0861</v>
      </c>
      <c r="B74" s="30">
        <v>46218</v>
      </c>
      <c r="C74" s="27" t="s">
        <v>201</v>
      </c>
      <c r="D74" s="27" t="s">
        <v>239</v>
      </c>
      <c r="E74" s="27" t="s">
        <v>202</v>
      </c>
      <c r="F74" s="27" t="s">
        <v>1619</v>
      </c>
      <c r="G74" s="10">
        <v>175</v>
      </c>
      <c r="H74" s="38" t="s">
        <v>294</v>
      </c>
      <c r="I74" s="37" t="s">
        <v>550</v>
      </c>
      <c r="J74" s="37" t="s">
        <v>429</v>
      </c>
      <c r="K74" s="27"/>
      <c r="L74" s="27"/>
      <c r="M74" s="27" t="s">
        <v>785</v>
      </c>
      <c r="N74" s="27" t="s">
        <v>1620</v>
      </c>
      <c r="O74" s="30">
        <v>46213</v>
      </c>
      <c r="P74" s="1" t="s">
        <v>264</v>
      </c>
      <c r="Q74" s="29" t="s">
        <v>265</v>
      </c>
      <c r="R74" s="27" t="s">
        <v>1177</v>
      </c>
      <c r="S74" s="27"/>
    </row>
    <row r="75" spans="1:19" ht="24" customHeight="1">
      <c r="A75" s="27"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EVT-2026-0862</v>
      </c>
      <c r="B75" s="30">
        <v>46218</v>
      </c>
      <c r="C75" s="27" t="s">
        <v>201</v>
      </c>
      <c r="D75" s="27" t="s">
        <v>1512</v>
      </c>
      <c r="E75" s="27" t="s">
        <v>228</v>
      </c>
      <c r="F75" s="27" t="s">
        <v>1621</v>
      </c>
      <c r="G75" s="10">
        <v>30</v>
      </c>
      <c r="H75" s="36" t="s">
        <v>263</v>
      </c>
      <c r="I75" s="37" t="s">
        <v>309</v>
      </c>
      <c r="J75" s="37" t="s">
        <v>1168</v>
      </c>
      <c r="K75" s="27"/>
      <c r="L75" s="27"/>
      <c r="M75" s="27" t="s">
        <v>760</v>
      </c>
      <c r="N75" s="27" t="s">
        <v>1622</v>
      </c>
      <c r="O75" s="30">
        <v>46217</v>
      </c>
      <c r="P75" s="1" t="s">
        <v>264</v>
      </c>
      <c r="Q75" s="29" t="s">
        <v>265</v>
      </c>
      <c r="R75" s="27" t="s">
        <v>1623</v>
      </c>
      <c r="S75" s="27"/>
    </row>
    <row r="76" spans="1:19" ht="24" customHeight="1">
      <c r="A76" s="27"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EVT-2026-0863</v>
      </c>
      <c r="B76" s="30">
        <v>46218</v>
      </c>
      <c r="C76" s="27" t="s">
        <v>201</v>
      </c>
      <c r="D76" s="27" t="s">
        <v>1512</v>
      </c>
      <c r="E76" s="27" t="s">
        <v>228</v>
      </c>
      <c r="F76" s="27" t="s">
        <v>1624</v>
      </c>
      <c r="G76" s="10">
        <v>100</v>
      </c>
      <c r="H76" s="38" t="s">
        <v>294</v>
      </c>
      <c r="I76" s="37" t="s">
        <v>330</v>
      </c>
      <c r="J76" s="37" t="s">
        <v>331</v>
      </c>
      <c r="K76" s="27"/>
      <c r="L76" s="27"/>
      <c r="M76" s="27" t="s">
        <v>1625</v>
      </c>
      <c r="N76" s="27" t="s">
        <v>1626</v>
      </c>
      <c r="O76" s="30">
        <v>46197</v>
      </c>
      <c r="P76" s="1" t="s">
        <v>264</v>
      </c>
      <c r="Q76" s="29" t="s">
        <v>265</v>
      </c>
      <c r="R76" s="27" t="s">
        <v>1627</v>
      </c>
      <c r="S76" s="27"/>
    </row>
    <row r="77" spans="1:19" ht="24" customHeight="1">
      <c r="A77" s="27"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EVT-2026-0864</v>
      </c>
      <c r="B77" s="30">
        <v>46218</v>
      </c>
      <c r="C77" s="27" t="s">
        <v>201</v>
      </c>
      <c r="D77" s="27" t="s">
        <v>1366</v>
      </c>
      <c r="E77" s="27" t="s">
        <v>1260</v>
      </c>
      <c r="F77" s="27" t="s">
        <v>1570</v>
      </c>
      <c r="G77" s="10">
        <v>16</v>
      </c>
      <c r="H77" s="36" t="s">
        <v>263</v>
      </c>
      <c r="I77" s="37" t="s">
        <v>275</v>
      </c>
      <c r="J77" s="37" t="s">
        <v>270</v>
      </c>
      <c r="K77" s="27"/>
      <c r="L77" s="27"/>
      <c r="M77" s="27" t="s">
        <v>351</v>
      </c>
      <c r="N77" s="27" t="s">
        <v>1601</v>
      </c>
      <c r="O77" s="30">
        <v>46209</v>
      </c>
      <c r="P77" s="1" t="s">
        <v>264</v>
      </c>
      <c r="Q77" s="29" t="s">
        <v>265</v>
      </c>
      <c r="R77" s="27" t="s">
        <v>1571</v>
      </c>
      <c r="S77" s="27"/>
    </row>
    <row r="78" spans="1:19" ht="24" customHeight="1">
      <c r="A78" s="27"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EVT-2026-0865</v>
      </c>
      <c r="B78" s="30">
        <v>46218</v>
      </c>
      <c r="C78" s="27" t="s">
        <v>201</v>
      </c>
      <c r="D78" s="27" t="s">
        <v>1366</v>
      </c>
      <c r="E78" s="27" t="s">
        <v>202</v>
      </c>
      <c r="F78" s="27" t="s">
        <v>1628</v>
      </c>
      <c r="G78" s="10">
        <v>70</v>
      </c>
      <c r="H78" s="36" t="s">
        <v>263</v>
      </c>
      <c r="I78" s="37" t="s">
        <v>359</v>
      </c>
      <c r="J78" s="37" t="s">
        <v>296</v>
      </c>
      <c r="K78" s="27"/>
      <c r="L78" s="27"/>
      <c r="M78" s="27" t="s">
        <v>1629</v>
      </c>
      <c r="N78" s="27" t="s">
        <v>1630</v>
      </c>
      <c r="O78" s="30">
        <v>46212</v>
      </c>
      <c r="P78" s="1" t="s">
        <v>264</v>
      </c>
      <c r="Q78" s="29" t="s">
        <v>265</v>
      </c>
      <c r="R78" s="27" t="s">
        <v>1177</v>
      </c>
      <c r="S78" s="27"/>
    </row>
    <row r="79" spans="1:19" ht="24" customHeight="1">
      <c r="A79" s="27"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EVT-2026-0866</v>
      </c>
      <c r="B79" s="30">
        <v>46219</v>
      </c>
      <c r="C79" s="27" t="s">
        <v>216</v>
      </c>
      <c r="D79" s="27" t="s">
        <v>125</v>
      </c>
      <c r="E79" s="27" t="s">
        <v>228</v>
      </c>
      <c r="F79" s="27" t="s">
        <v>1132</v>
      </c>
      <c r="G79" s="10">
        <v>40</v>
      </c>
      <c r="H79" s="36" t="s">
        <v>263</v>
      </c>
      <c r="I79" s="37" t="s">
        <v>359</v>
      </c>
      <c r="J79" s="37" t="s">
        <v>290</v>
      </c>
      <c r="K79" s="27"/>
      <c r="L79" s="27"/>
      <c r="M79" s="27" t="s">
        <v>367</v>
      </c>
      <c r="N79" s="27" t="s">
        <v>213</v>
      </c>
      <c r="O79" s="27"/>
      <c r="P79" s="1" t="s">
        <v>264</v>
      </c>
      <c r="Q79" s="29" t="s">
        <v>265</v>
      </c>
      <c r="R79" s="27" t="s">
        <v>298</v>
      </c>
      <c r="S79" s="27"/>
    </row>
    <row r="80" spans="1:19" ht="24" customHeight="1">
      <c r="A80" s="27"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EVT-2026-0867</v>
      </c>
      <c r="B80" s="30">
        <v>46219</v>
      </c>
      <c r="C80" s="27" t="s">
        <v>216</v>
      </c>
      <c r="D80" s="27" t="s">
        <v>1611</v>
      </c>
      <c r="E80" s="27" t="s">
        <v>228</v>
      </c>
      <c r="F80" s="27" t="s">
        <v>1631</v>
      </c>
      <c r="G80" s="10">
        <v>10</v>
      </c>
      <c r="H80" s="36" t="s">
        <v>263</v>
      </c>
      <c r="I80" s="37" t="s">
        <v>269</v>
      </c>
      <c r="J80" s="37" t="s">
        <v>270</v>
      </c>
      <c r="K80" s="27"/>
      <c r="L80" s="27"/>
      <c r="M80" s="27" t="s">
        <v>1585</v>
      </c>
      <c r="N80" s="27" t="s">
        <v>1586</v>
      </c>
      <c r="O80" s="27"/>
      <c r="P80" s="1" t="s">
        <v>264</v>
      </c>
      <c r="Q80" s="29" t="s">
        <v>265</v>
      </c>
      <c r="R80" s="27"/>
      <c r="S80" s="27"/>
    </row>
    <row r="81" spans="1:19" ht="24" customHeight="1">
      <c r="A81" s="27"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EVT-2026-0868</v>
      </c>
      <c r="B81" s="30">
        <v>46219</v>
      </c>
      <c r="C81" s="27" t="s">
        <v>216</v>
      </c>
      <c r="D81" s="27" t="s">
        <v>125</v>
      </c>
      <c r="E81" s="27" t="s">
        <v>228</v>
      </c>
      <c r="F81" s="27" t="s">
        <v>1590</v>
      </c>
      <c r="G81" s="10">
        <v>150</v>
      </c>
      <c r="H81" s="38" t="s">
        <v>294</v>
      </c>
      <c r="I81" s="37" t="s">
        <v>275</v>
      </c>
      <c r="J81" s="37" t="s">
        <v>359</v>
      </c>
      <c r="K81" s="27" t="s">
        <v>1632</v>
      </c>
      <c r="L81" s="27"/>
      <c r="M81" s="27" t="s">
        <v>585</v>
      </c>
      <c r="N81" s="27" t="s">
        <v>1592</v>
      </c>
      <c r="O81" s="30">
        <v>46213</v>
      </c>
      <c r="P81" s="3" t="s">
        <v>312</v>
      </c>
      <c r="Q81" s="29" t="s">
        <v>265</v>
      </c>
      <c r="R81" s="27" t="s">
        <v>1633</v>
      </c>
      <c r="S81" s="27"/>
    </row>
    <row r="82" spans="1:19" ht="24" customHeight="1">
      <c r="A82" s="27"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EVT-2026-0869</v>
      </c>
      <c r="B82" s="30">
        <v>46219</v>
      </c>
      <c r="C82" s="27" t="s">
        <v>216</v>
      </c>
      <c r="D82" s="27" t="s">
        <v>736</v>
      </c>
      <c r="E82" s="27" t="s">
        <v>202</v>
      </c>
      <c r="F82" s="27" t="s">
        <v>1631</v>
      </c>
      <c r="G82" s="10">
        <v>24</v>
      </c>
      <c r="H82" s="36" t="s">
        <v>263</v>
      </c>
      <c r="I82" s="37" t="s">
        <v>269</v>
      </c>
      <c r="J82" s="37" t="s">
        <v>270</v>
      </c>
      <c r="K82" s="27"/>
      <c r="L82" s="27"/>
      <c r="M82" s="27" t="s">
        <v>277</v>
      </c>
      <c r="N82" s="27" t="s">
        <v>1587</v>
      </c>
      <c r="O82" s="30">
        <v>46203</v>
      </c>
      <c r="P82" s="1" t="s">
        <v>264</v>
      </c>
      <c r="Q82" s="29" t="s">
        <v>265</v>
      </c>
      <c r="R82" s="27"/>
      <c r="S82" s="27"/>
    </row>
    <row r="83" spans="1:19" ht="24" customHeight="1">
      <c r="A83" s="27"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EVT-2026-0870</v>
      </c>
      <c r="B83" s="30">
        <v>46219</v>
      </c>
      <c r="C83" s="27" t="s">
        <v>216</v>
      </c>
      <c r="D83" s="27" t="s">
        <v>1366</v>
      </c>
      <c r="E83" s="27" t="s">
        <v>202</v>
      </c>
      <c r="F83" s="27" t="s">
        <v>1634</v>
      </c>
      <c r="G83" s="10">
        <v>30</v>
      </c>
      <c r="H83" s="36" t="s">
        <v>263</v>
      </c>
      <c r="I83" s="37" t="s">
        <v>309</v>
      </c>
      <c r="J83" s="37" t="s">
        <v>295</v>
      </c>
      <c r="K83" s="27"/>
      <c r="L83" s="27"/>
      <c r="M83" s="27" t="s">
        <v>351</v>
      </c>
      <c r="N83" s="27" t="s">
        <v>1601</v>
      </c>
      <c r="O83" s="30">
        <v>46212</v>
      </c>
      <c r="P83" s="1" t="s">
        <v>264</v>
      </c>
      <c r="Q83" s="29" t="s">
        <v>265</v>
      </c>
      <c r="R83" s="27" t="s">
        <v>298</v>
      </c>
      <c r="S83" s="27"/>
    </row>
    <row r="84" spans="1:19" ht="24" customHeight="1">
      <c r="A84" s="27"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EVT-2026-0871</v>
      </c>
      <c r="B84" s="30">
        <v>46219</v>
      </c>
      <c r="C84" s="27" t="s">
        <v>216</v>
      </c>
      <c r="D84" s="27" t="s">
        <v>125</v>
      </c>
      <c r="E84" s="27" t="s">
        <v>228</v>
      </c>
      <c r="F84" s="27" t="s">
        <v>1635</v>
      </c>
      <c r="G84" s="10">
        <v>100</v>
      </c>
      <c r="H84" s="38" t="s">
        <v>294</v>
      </c>
      <c r="I84" s="37" t="s">
        <v>338</v>
      </c>
      <c r="J84" s="37" t="s">
        <v>274</v>
      </c>
      <c r="K84" s="27" t="s">
        <v>1445</v>
      </c>
      <c r="L84" s="27"/>
      <c r="M84" s="27" t="s">
        <v>355</v>
      </c>
      <c r="N84" s="27" t="s">
        <v>1583</v>
      </c>
      <c r="O84" s="30">
        <v>46218</v>
      </c>
      <c r="P84" s="1" t="s">
        <v>264</v>
      </c>
      <c r="Q84" s="29" t="s">
        <v>265</v>
      </c>
      <c r="R84" s="27" t="s">
        <v>298</v>
      </c>
      <c r="S84" s="27"/>
    </row>
    <row r="85" spans="1:19" ht="24" customHeight="1">
      <c r="A85" s="27"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EVT-2026-0872</v>
      </c>
      <c r="B85" s="30">
        <v>46219</v>
      </c>
      <c r="C85" s="27" t="s">
        <v>216</v>
      </c>
      <c r="D85" s="27" t="s">
        <v>125</v>
      </c>
      <c r="E85" s="27" t="s">
        <v>228</v>
      </c>
      <c r="F85" s="27" t="s">
        <v>1636</v>
      </c>
      <c r="G85" s="10">
        <v>90</v>
      </c>
      <c r="H85" s="36" t="s">
        <v>263</v>
      </c>
      <c r="I85" s="37" t="s">
        <v>274</v>
      </c>
      <c r="J85" s="37" t="s">
        <v>354</v>
      </c>
      <c r="K85" s="27"/>
      <c r="L85" s="27"/>
      <c r="M85" s="27" t="s">
        <v>378</v>
      </c>
      <c r="N85" s="27" t="s">
        <v>1637</v>
      </c>
      <c r="O85" s="30">
        <v>46197</v>
      </c>
      <c r="P85" s="1" t="s">
        <v>264</v>
      </c>
      <c r="Q85" s="29" t="s">
        <v>265</v>
      </c>
      <c r="R85" s="27" t="s">
        <v>298</v>
      </c>
      <c r="S85" s="27"/>
    </row>
    <row r="86" spans="1:19" ht="24" customHeight="1">
      <c r="A86" s="27"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EVT-2026-0873</v>
      </c>
      <c r="B86" s="30">
        <v>46219</v>
      </c>
      <c r="C86" s="27" t="s">
        <v>216</v>
      </c>
      <c r="D86" s="27" t="s">
        <v>1366</v>
      </c>
      <c r="E86" s="27" t="s">
        <v>208</v>
      </c>
      <c r="F86" s="27" t="s">
        <v>217</v>
      </c>
      <c r="G86" s="10">
        <v>50</v>
      </c>
      <c r="H86" s="36" t="s">
        <v>263</v>
      </c>
      <c r="I86" s="37" t="s">
        <v>309</v>
      </c>
      <c r="J86" s="37" t="s">
        <v>296</v>
      </c>
      <c r="K86" s="27"/>
      <c r="L86" s="27"/>
      <c r="M86" s="27" t="s">
        <v>370</v>
      </c>
      <c r="N86" s="27" t="s">
        <v>1511</v>
      </c>
      <c r="O86" s="27"/>
      <c r="P86" s="1" t="s">
        <v>264</v>
      </c>
      <c r="Q86" s="29" t="s">
        <v>265</v>
      </c>
      <c r="R86" s="27" t="s">
        <v>298</v>
      </c>
      <c r="S86" s="27"/>
    </row>
    <row r="87" spans="1:19" ht="24" customHeight="1">
      <c r="A87" s="27"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EVT-2026-0874</v>
      </c>
      <c r="B87" s="30">
        <v>46220</v>
      </c>
      <c r="C87" s="27" t="s">
        <v>220</v>
      </c>
      <c r="D87" s="27" t="s">
        <v>125</v>
      </c>
      <c r="E87" s="27" t="s">
        <v>228</v>
      </c>
      <c r="F87" s="27" t="s">
        <v>1638</v>
      </c>
      <c r="G87" s="10">
        <v>25</v>
      </c>
      <c r="H87" s="36" t="s">
        <v>263</v>
      </c>
      <c r="I87" s="37" t="s">
        <v>275</v>
      </c>
      <c r="J87" s="37" t="s">
        <v>295</v>
      </c>
      <c r="K87" s="27"/>
      <c r="L87" s="27"/>
      <c r="M87" s="27" t="s">
        <v>1591</v>
      </c>
      <c r="N87" s="27" t="s">
        <v>1592</v>
      </c>
      <c r="O87" s="30">
        <v>46212</v>
      </c>
      <c r="P87" s="1" t="s">
        <v>264</v>
      </c>
      <c r="Q87" s="29" t="s">
        <v>265</v>
      </c>
      <c r="R87" s="27" t="s">
        <v>1639</v>
      </c>
      <c r="S87" s="27"/>
    </row>
    <row r="88" spans="1:19" ht="24" customHeight="1">
      <c r="A88" s="27"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EVT-2026-0875</v>
      </c>
      <c r="B88" s="30">
        <v>46220</v>
      </c>
      <c r="C88" s="27" t="s">
        <v>220</v>
      </c>
      <c r="D88" s="27" t="s">
        <v>1611</v>
      </c>
      <c r="E88" s="27" t="s">
        <v>228</v>
      </c>
      <c r="F88" s="27" t="s">
        <v>344</v>
      </c>
      <c r="G88" s="10">
        <v>10</v>
      </c>
      <c r="H88" s="36" t="s">
        <v>263</v>
      </c>
      <c r="I88" s="37" t="s">
        <v>269</v>
      </c>
      <c r="J88" s="37" t="s">
        <v>270</v>
      </c>
      <c r="K88" s="27"/>
      <c r="L88" s="27"/>
      <c r="M88" s="27" t="s">
        <v>1585</v>
      </c>
      <c r="N88" s="27" t="s">
        <v>1586</v>
      </c>
      <c r="O88" s="27"/>
      <c r="P88" s="1" t="s">
        <v>264</v>
      </c>
      <c r="Q88" s="29" t="s">
        <v>265</v>
      </c>
      <c r="R88" s="27"/>
      <c r="S88" s="27"/>
    </row>
    <row r="89" spans="1:19" ht="24" customHeight="1">
      <c r="A89" s="27"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EVT-2026-0876</v>
      </c>
      <c r="B89" s="30">
        <v>46220</v>
      </c>
      <c r="C89" s="27" t="s">
        <v>220</v>
      </c>
      <c r="D89" s="27" t="s">
        <v>736</v>
      </c>
      <c r="E89" s="27" t="s">
        <v>202</v>
      </c>
      <c r="F89" s="27" t="s">
        <v>1631</v>
      </c>
      <c r="G89" s="10">
        <v>24</v>
      </c>
      <c r="H89" s="36" t="s">
        <v>263</v>
      </c>
      <c r="I89" s="37" t="s">
        <v>269</v>
      </c>
      <c r="J89" s="37" t="s">
        <v>270</v>
      </c>
      <c r="K89" s="27"/>
      <c r="L89" s="27"/>
      <c r="M89" s="27" t="s">
        <v>277</v>
      </c>
      <c r="N89" s="27" t="s">
        <v>1587</v>
      </c>
      <c r="O89" s="30">
        <v>46203</v>
      </c>
      <c r="P89" s="1" t="s">
        <v>264</v>
      </c>
      <c r="Q89" s="29" t="s">
        <v>265</v>
      </c>
      <c r="R89" s="27"/>
      <c r="S89" s="27"/>
    </row>
    <row r="90" spans="1:19" ht="24" customHeight="1">
      <c r="A90" s="27"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90" s="30">
        <v>46221</v>
      </c>
      <c r="C90" s="27" t="s">
        <v>266</v>
      </c>
      <c r="D90" s="27"/>
      <c r="E90" s="27"/>
      <c r="F90" s="27"/>
      <c r="G90" s="10"/>
      <c r="H90" s="36" t="s">
        <v>263</v>
      </c>
      <c r="I90" s="37"/>
      <c r="J90" s="37"/>
      <c r="K90" s="27"/>
      <c r="L90" s="27"/>
      <c r="M90" s="27"/>
      <c r="N90" s="27"/>
      <c r="O90" s="27"/>
      <c r="P90" s="1" t="s">
        <v>264</v>
      </c>
      <c r="Q90" s="29" t="s">
        <v>265</v>
      </c>
      <c r="R90" s="27"/>
      <c r="S90" s="27"/>
    </row>
    <row r="91" spans="1:19" ht="24" customHeight="1">
      <c r="A91" s="27"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91" s="30">
        <v>46222</v>
      </c>
      <c r="C91" s="27" t="s">
        <v>267</v>
      </c>
      <c r="D91" s="27"/>
      <c r="E91" s="27"/>
      <c r="F91" s="27"/>
      <c r="G91" s="10"/>
      <c r="H91" s="36" t="s">
        <v>263</v>
      </c>
      <c r="I91" s="37"/>
      <c r="J91" s="37"/>
      <c r="K91" s="27"/>
      <c r="L91" s="27"/>
      <c r="M91" s="27"/>
      <c r="N91" s="27"/>
      <c r="O91" s="27"/>
      <c r="P91" s="1" t="s">
        <v>264</v>
      </c>
      <c r="Q91" s="29" t="s">
        <v>265</v>
      </c>
      <c r="R91" s="27"/>
      <c r="S91" s="27"/>
    </row>
    <row r="92" spans="1:19" ht="24" customHeight="1">
      <c r="A92" s="27"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EVT-2026-0877</v>
      </c>
      <c r="B92" s="30">
        <v>46223</v>
      </c>
      <c r="C92" s="27" t="s">
        <v>224</v>
      </c>
      <c r="D92" s="27" t="s">
        <v>1366</v>
      </c>
      <c r="E92" s="27" t="s">
        <v>1260</v>
      </c>
      <c r="F92" s="27" t="s">
        <v>1640</v>
      </c>
      <c r="G92" s="10">
        <v>16</v>
      </c>
      <c r="H92" s="36" t="s">
        <v>263</v>
      </c>
      <c r="I92" s="37" t="s">
        <v>269</v>
      </c>
      <c r="J92" s="37" t="s">
        <v>270</v>
      </c>
      <c r="K92" s="27" t="s">
        <v>1445</v>
      </c>
      <c r="L92" s="27"/>
      <c r="M92" s="27" t="s">
        <v>1641</v>
      </c>
      <c r="N92" s="27" t="s">
        <v>1642</v>
      </c>
      <c r="O92" s="30">
        <v>46216</v>
      </c>
      <c r="P92" s="3" t="s">
        <v>312</v>
      </c>
      <c r="Q92" s="29" t="s">
        <v>265</v>
      </c>
      <c r="R92" s="27" t="s">
        <v>1643</v>
      </c>
      <c r="S92" s="27"/>
    </row>
    <row r="93" spans="1:19" ht="24" customHeight="1">
      <c r="A93" s="27"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EVT-2026-0878</v>
      </c>
      <c r="B93" s="30">
        <v>46223</v>
      </c>
      <c r="C93" s="27" t="s">
        <v>224</v>
      </c>
      <c r="D93" s="27" t="s">
        <v>1366</v>
      </c>
      <c r="E93" s="27" t="s">
        <v>202</v>
      </c>
      <c r="F93" s="27" t="s">
        <v>1033</v>
      </c>
      <c r="G93" s="10">
        <v>15</v>
      </c>
      <c r="H93" s="36" t="s">
        <v>263</v>
      </c>
      <c r="I93" s="37" t="s">
        <v>331</v>
      </c>
      <c r="J93" s="37" t="s">
        <v>309</v>
      </c>
      <c r="K93" s="27"/>
      <c r="L93" s="27" t="s">
        <v>1644</v>
      </c>
      <c r="M93" s="27" t="s">
        <v>379</v>
      </c>
      <c r="N93" s="27" t="s">
        <v>1645</v>
      </c>
      <c r="O93" s="30">
        <v>46217</v>
      </c>
      <c r="P93" s="1" t="s">
        <v>264</v>
      </c>
      <c r="Q93" s="29" t="s">
        <v>265</v>
      </c>
      <c r="R93" s="27" t="s">
        <v>1646</v>
      </c>
      <c r="S93" s="27" t="s">
        <v>1647</v>
      </c>
    </row>
    <row r="94" spans="1:19" ht="24" customHeight="1">
      <c r="A94" s="27"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EVT-2026-0879</v>
      </c>
      <c r="B94" s="30">
        <v>46223</v>
      </c>
      <c r="C94" s="27" t="s">
        <v>224</v>
      </c>
      <c r="D94" s="27" t="s">
        <v>736</v>
      </c>
      <c r="E94" s="27" t="s">
        <v>202</v>
      </c>
      <c r="F94" s="27" t="s">
        <v>344</v>
      </c>
      <c r="G94" s="10">
        <v>24</v>
      </c>
      <c r="H94" s="36" t="s">
        <v>263</v>
      </c>
      <c r="I94" s="37" t="s">
        <v>269</v>
      </c>
      <c r="J94" s="37" t="s">
        <v>270</v>
      </c>
      <c r="K94" s="27"/>
      <c r="L94" s="27"/>
      <c r="M94" s="27" t="s">
        <v>277</v>
      </c>
      <c r="N94" s="27" t="s">
        <v>1587</v>
      </c>
      <c r="O94" s="30">
        <v>46203</v>
      </c>
      <c r="P94" s="1" t="s">
        <v>264</v>
      </c>
      <c r="Q94" s="29" t="s">
        <v>265</v>
      </c>
      <c r="R94" s="27"/>
      <c r="S94" s="27"/>
    </row>
    <row r="95" spans="1:19" ht="24" customHeight="1">
      <c r="A95" s="27"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EVT-2026-0880</v>
      </c>
      <c r="B95" s="30">
        <v>46223</v>
      </c>
      <c r="C95" s="27" t="s">
        <v>224</v>
      </c>
      <c r="D95" s="27" t="s">
        <v>1611</v>
      </c>
      <c r="E95" s="27" t="s">
        <v>228</v>
      </c>
      <c r="F95" s="27" t="s">
        <v>344</v>
      </c>
      <c r="G95" s="10">
        <v>10</v>
      </c>
      <c r="H95" s="36" t="s">
        <v>263</v>
      </c>
      <c r="I95" s="37" t="s">
        <v>269</v>
      </c>
      <c r="J95" s="37" t="s">
        <v>270</v>
      </c>
      <c r="K95" s="27"/>
      <c r="L95" s="27"/>
      <c r="M95" s="27" t="s">
        <v>1585</v>
      </c>
      <c r="N95" s="27" t="s">
        <v>1586</v>
      </c>
      <c r="O95" s="27"/>
      <c r="P95" s="1" t="s">
        <v>264</v>
      </c>
      <c r="Q95" s="29" t="s">
        <v>265</v>
      </c>
      <c r="R95" s="27"/>
      <c r="S95" s="27"/>
    </row>
    <row r="96" spans="1:19" ht="24" customHeight="1">
      <c r="A96" s="27"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EVT-2026-0881</v>
      </c>
      <c r="B96" s="30">
        <v>46223</v>
      </c>
      <c r="C96" s="27" t="s">
        <v>224</v>
      </c>
      <c r="D96" s="27" t="s">
        <v>125</v>
      </c>
      <c r="E96" s="27" t="s">
        <v>228</v>
      </c>
      <c r="F96" s="27" t="s">
        <v>1648</v>
      </c>
      <c r="G96" s="10">
        <v>70</v>
      </c>
      <c r="H96" s="36" t="s">
        <v>263</v>
      </c>
      <c r="I96" s="37" t="s">
        <v>309</v>
      </c>
      <c r="J96" s="37" t="s">
        <v>295</v>
      </c>
      <c r="K96" s="27" t="s">
        <v>1445</v>
      </c>
      <c r="L96" s="27"/>
      <c r="M96" s="27" t="s">
        <v>367</v>
      </c>
      <c r="N96" s="27" t="s">
        <v>213</v>
      </c>
      <c r="O96" s="30">
        <v>46218</v>
      </c>
      <c r="P96" s="1" t="s">
        <v>264</v>
      </c>
      <c r="Q96" s="29" t="s">
        <v>265</v>
      </c>
      <c r="R96" s="27" t="s">
        <v>1649</v>
      </c>
      <c r="S96" s="27" t="s">
        <v>1497</v>
      </c>
    </row>
    <row r="97" spans="1:19" ht="24" customHeight="1">
      <c r="A97" s="27"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EVT-2026-0882</v>
      </c>
      <c r="B97" s="30">
        <v>46223</v>
      </c>
      <c r="C97" s="27" t="s">
        <v>224</v>
      </c>
      <c r="D97" s="27" t="s">
        <v>1650</v>
      </c>
      <c r="E97" s="27" t="s">
        <v>202</v>
      </c>
      <c r="F97" s="27" t="s">
        <v>1651</v>
      </c>
      <c r="G97" s="10">
        <v>1</v>
      </c>
      <c r="H97" s="36" t="s">
        <v>263</v>
      </c>
      <c r="I97" s="37" t="s">
        <v>269</v>
      </c>
      <c r="J97" s="37" t="s">
        <v>270</v>
      </c>
      <c r="K97" s="27"/>
      <c r="L97" s="27"/>
      <c r="M97" s="27" t="s">
        <v>379</v>
      </c>
      <c r="N97" s="27" t="s">
        <v>1645</v>
      </c>
      <c r="O97" s="27"/>
      <c r="P97" s="1" t="s">
        <v>264</v>
      </c>
      <c r="Q97" s="29" t="s">
        <v>265</v>
      </c>
      <c r="R97" s="27" t="s">
        <v>1652</v>
      </c>
      <c r="S97" s="27"/>
    </row>
    <row r="98" spans="1:19" ht="24" customHeight="1">
      <c r="A98" s="27"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EVT-2026-0883</v>
      </c>
      <c r="B98" s="30">
        <v>46223</v>
      </c>
      <c r="C98" s="27" t="s">
        <v>224</v>
      </c>
      <c r="D98" s="27" t="s">
        <v>125</v>
      </c>
      <c r="E98" s="27" t="s">
        <v>228</v>
      </c>
      <c r="F98" s="27" t="s">
        <v>1653</v>
      </c>
      <c r="G98" s="10">
        <v>50</v>
      </c>
      <c r="H98" s="36" t="s">
        <v>263</v>
      </c>
      <c r="I98" s="37" t="s">
        <v>338</v>
      </c>
      <c r="J98" s="37" t="s">
        <v>274</v>
      </c>
      <c r="K98" s="27"/>
      <c r="L98" s="27"/>
      <c r="M98" s="27" t="s">
        <v>367</v>
      </c>
      <c r="N98" s="27" t="s">
        <v>213</v>
      </c>
      <c r="O98" s="30">
        <v>46180</v>
      </c>
      <c r="P98" s="3" t="s">
        <v>312</v>
      </c>
      <c r="Q98" s="29" t="s">
        <v>265</v>
      </c>
      <c r="R98" s="27" t="s">
        <v>298</v>
      </c>
      <c r="S98" s="27"/>
    </row>
    <row r="99" spans="1:19" ht="24" customHeight="1">
      <c r="A99" s="27"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EVT-2026-0884</v>
      </c>
      <c r="B99" s="30">
        <v>46224</v>
      </c>
      <c r="C99" s="27" t="s">
        <v>227</v>
      </c>
      <c r="D99" s="27" t="s">
        <v>1366</v>
      </c>
      <c r="E99" s="27" t="s">
        <v>1260</v>
      </c>
      <c r="F99" s="27" t="s">
        <v>1640</v>
      </c>
      <c r="G99" s="10">
        <v>16</v>
      </c>
      <c r="H99" s="36" t="s">
        <v>263</v>
      </c>
      <c r="I99" s="37" t="s">
        <v>269</v>
      </c>
      <c r="J99" s="37" t="s">
        <v>270</v>
      </c>
      <c r="K99" s="27" t="s">
        <v>1632</v>
      </c>
      <c r="L99" s="27"/>
      <c r="M99" s="27" t="s">
        <v>1641</v>
      </c>
      <c r="N99" s="27" t="s">
        <v>1642</v>
      </c>
      <c r="O99" s="30">
        <v>46216</v>
      </c>
      <c r="P99" s="3" t="s">
        <v>312</v>
      </c>
      <c r="Q99" s="29" t="s">
        <v>265</v>
      </c>
      <c r="R99" s="27" t="s">
        <v>1643</v>
      </c>
      <c r="S99" s="27"/>
    </row>
    <row r="100" spans="1:19" ht="24" customHeight="1">
      <c r="A100" s="27"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EVT-2026-0885</v>
      </c>
      <c r="B100" s="30">
        <v>46224</v>
      </c>
      <c r="C100" s="27" t="s">
        <v>227</v>
      </c>
      <c r="D100" s="27" t="s">
        <v>1366</v>
      </c>
      <c r="E100" s="27" t="s">
        <v>208</v>
      </c>
      <c r="F100" s="27" t="s">
        <v>217</v>
      </c>
      <c r="G100" s="10">
        <v>50</v>
      </c>
      <c r="H100" s="36" t="s">
        <v>263</v>
      </c>
      <c r="I100" s="37" t="s">
        <v>309</v>
      </c>
      <c r="J100" s="37" t="s">
        <v>296</v>
      </c>
      <c r="K100" s="27"/>
      <c r="L100" s="27"/>
      <c r="M100" s="27" t="s">
        <v>1510</v>
      </c>
      <c r="N100" s="27" t="s">
        <v>1511</v>
      </c>
      <c r="O100" s="27"/>
      <c r="P100" s="1" t="s">
        <v>264</v>
      </c>
      <c r="Q100" s="29" t="s">
        <v>265</v>
      </c>
      <c r="R100" s="27" t="s">
        <v>298</v>
      </c>
      <c r="S100" s="27"/>
    </row>
    <row r="101" spans="1:19" ht="24" customHeight="1">
      <c r="A101" s="27"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EVT-2026-0886</v>
      </c>
      <c r="B101" s="30">
        <v>46224</v>
      </c>
      <c r="C101" s="27" t="s">
        <v>227</v>
      </c>
      <c r="D101" s="27" t="s">
        <v>1611</v>
      </c>
      <c r="E101" s="27" t="s">
        <v>228</v>
      </c>
      <c r="F101" s="27" t="s">
        <v>344</v>
      </c>
      <c r="G101" s="10">
        <v>10</v>
      </c>
      <c r="H101" s="36" t="s">
        <v>263</v>
      </c>
      <c r="I101" s="37" t="s">
        <v>269</v>
      </c>
      <c r="J101" s="37" t="s">
        <v>270</v>
      </c>
      <c r="K101" s="27"/>
      <c r="L101" s="27"/>
      <c r="M101" s="27" t="s">
        <v>1585</v>
      </c>
      <c r="N101" s="27" t="s">
        <v>1586</v>
      </c>
      <c r="O101" s="27"/>
      <c r="P101" s="1" t="s">
        <v>264</v>
      </c>
      <c r="Q101" s="29" t="s">
        <v>265</v>
      </c>
      <c r="R101" s="27"/>
      <c r="S101" s="27"/>
    </row>
    <row r="102" spans="1:19" ht="24" customHeight="1">
      <c r="A102" s="27"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EVT-2026-0887</v>
      </c>
      <c r="B102" s="30">
        <v>46224</v>
      </c>
      <c r="C102" s="27" t="s">
        <v>227</v>
      </c>
      <c r="D102" s="27" t="s">
        <v>736</v>
      </c>
      <c r="E102" s="27" t="s">
        <v>202</v>
      </c>
      <c r="F102" s="27" t="s">
        <v>344</v>
      </c>
      <c r="G102" s="10">
        <v>24</v>
      </c>
      <c r="H102" s="36" t="s">
        <v>263</v>
      </c>
      <c r="I102" s="37" t="s">
        <v>269</v>
      </c>
      <c r="J102" s="37" t="s">
        <v>270</v>
      </c>
      <c r="K102" s="27"/>
      <c r="L102" s="27"/>
      <c r="M102" s="27" t="s">
        <v>277</v>
      </c>
      <c r="N102" s="27" t="s">
        <v>1587</v>
      </c>
      <c r="O102" s="30">
        <v>46203</v>
      </c>
      <c r="P102" s="1" t="s">
        <v>264</v>
      </c>
      <c r="Q102" s="29" t="s">
        <v>265</v>
      </c>
      <c r="R102" s="27"/>
      <c r="S102" s="27"/>
    </row>
    <row r="103" spans="1:19" ht="24" customHeight="1">
      <c r="A103" s="27"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EVT-2026-0888</v>
      </c>
      <c r="B103" s="30">
        <v>46224</v>
      </c>
      <c r="C103" s="27" t="s">
        <v>227</v>
      </c>
      <c r="D103" s="27" t="s">
        <v>1654</v>
      </c>
      <c r="E103" s="27" t="s">
        <v>202</v>
      </c>
      <c r="F103" s="27" t="s">
        <v>1651</v>
      </c>
      <c r="G103" s="10">
        <v>4</v>
      </c>
      <c r="H103" s="36" t="s">
        <v>263</v>
      </c>
      <c r="I103" s="37" t="s">
        <v>269</v>
      </c>
      <c r="J103" s="37" t="s">
        <v>270</v>
      </c>
      <c r="K103" s="27"/>
      <c r="L103" s="27"/>
      <c r="M103" s="27" t="s">
        <v>379</v>
      </c>
      <c r="N103" s="27" t="s">
        <v>1655</v>
      </c>
      <c r="O103" s="27"/>
      <c r="P103" s="1" t="s">
        <v>264</v>
      </c>
      <c r="Q103" s="29" t="s">
        <v>265</v>
      </c>
      <c r="R103" s="27"/>
      <c r="S103" s="27"/>
    </row>
    <row r="104" spans="1:19" ht="24" customHeight="1">
      <c r="A104" s="27"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EVT-2026-0889</v>
      </c>
      <c r="B104" s="30">
        <v>46224</v>
      </c>
      <c r="C104" s="27" t="s">
        <v>227</v>
      </c>
      <c r="D104" s="27" t="s">
        <v>1650</v>
      </c>
      <c r="E104" s="27" t="s">
        <v>202</v>
      </c>
      <c r="F104" s="27" t="s">
        <v>1651</v>
      </c>
      <c r="G104" s="10">
        <v>1</v>
      </c>
      <c r="H104" s="36" t="s">
        <v>263</v>
      </c>
      <c r="I104" s="37" t="s">
        <v>269</v>
      </c>
      <c r="J104" s="37" t="s">
        <v>270</v>
      </c>
      <c r="K104" s="27"/>
      <c r="L104" s="27"/>
      <c r="M104" s="27" t="s">
        <v>379</v>
      </c>
      <c r="N104" s="27" t="s">
        <v>1655</v>
      </c>
      <c r="O104" s="27"/>
      <c r="P104" s="1" t="s">
        <v>264</v>
      </c>
      <c r="Q104" s="29" t="s">
        <v>265</v>
      </c>
      <c r="R104" s="27" t="s">
        <v>1656</v>
      </c>
      <c r="S104" s="27"/>
    </row>
    <row r="105" spans="1:19" ht="24" customHeight="1">
      <c r="A105" s="27"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EVT-2026-0890</v>
      </c>
      <c r="B105" s="30">
        <v>46224</v>
      </c>
      <c r="C105" s="27" t="s">
        <v>227</v>
      </c>
      <c r="D105" s="27" t="s">
        <v>1366</v>
      </c>
      <c r="E105" s="27" t="s">
        <v>202</v>
      </c>
      <c r="F105" s="27" t="s">
        <v>1657</v>
      </c>
      <c r="G105" s="10">
        <v>50</v>
      </c>
      <c r="H105" s="36" t="s">
        <v>263</v>
      </c>
      <c r="I105" s="37" t="s">
        <v>350</v>
      </c>
      <c r="J105" s="37" t="s">
        <v>359</v>
      </c>
      <c r="K105" s="27" t="s">
        <v>1445</v>
      </c>
      <c r="L105" s="27"/>
      <c r="M105" s="27" t="s">
        <v>393</v>
      </c>
      <c r="N105" s="27"/>
      <c r="O105" s="27"/>
      <c r="P105" s="1" t="s">
        <v>264</v>
      </c>
      <c r="Q105" s="29" t="s">
        <v>265</v>
      </c>
      <c r="R105" s="27" t="s">
        <v>1658</v>
      </c>
      <c r="S105" s="27" t="s">
        <v>1659</v>
      </c>
    </row>
    <row r="106" spans="1:19" ht="24" customHeight="1">
      <c r="A106" s="27"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EVT-2026-0891</v>
      </c>
      <c r="B106" s="30">
        <v>46224</v>
      </c>
      <c r="C106" s="27" t="s">
        <v>227</v>
      </c>
      <c r="D106" s="27" t="s">
        <v>125</v>
      </c>
      <c r="E106" s="27" t="s">
        <v>228</v>
      </c>
      <c r="F106" s="27" t="s">
        <v>1660</v>
      </c>
      <c r="G106" s="10">
        <v>50</v>
      </c>
      <c r="H106" s="36" t="s">
        <v>263</v>
      </c>
      <c r="I106" s="37" t="s">
        <v>331</v>
      </c>
      <c r="J106" s="37" t="s">
        <v>289</v>
      </c>
      <c r="K106" s="27" t="s">
        <v>1445</v>
      </c>
      <c r="L106" s="27"/>
      <c r="M106" s="27" t="s">
        <v>865</v>
      </c>
      <c r="N106" s="27" t="s">
        <v>1661</v>
      </c>
      <c r="O106" s="30">
        <v>46218</v>
      </c>
      <c r="P106" s="1" t="s">
        <v>264</v>
      </c>
      <c r="Q106" s="29" t="s">
        <v>265</v>
      </c>
      <c r="R106" s="27" t="s">
        <v>298</v>
      </c>
      <c r="S106" s="27"/>
    </row>
    <row r="107" spans="1:19" ht="24" customHeight="1">
      <c r="A107" s="27"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EVT-2026-0892</v>
      </c>
      <c r="B107" s="30">
        <v>46225</v>
      </c>
      <c r="C107" s="27" t="s">
        <v>201</v>
      </c>
      <c r="D107" s="27" t="s">
        <v>1366</v>
      </c>
      <c r="E107" s="27" t="s">
        <v>1260</v>
      </c>
      <c r="F107" s="27" t="s">
        <v>1640</v>
      </c>
      <c r="G107" s="10">
        <v>16</v>
      </c>
      <c r="H107" s="36" t="s">
        <v>263</v>
      </c>
      <c r="I107" s="37" t="s">
        <v>269</v>
      </c>
      <c r="J107" s="37" t="s">
        <v>270</v>
      </c>
      <c r="K107" s="27" t="s">
        <v>1445</v>
      </c>
      <c r="L107" s="27"/>
      <c r="M107" s="27" t="s">
        <v>1641</v>
      </c>
      <c r="N107" s="27"/>
      <c r="O107" s="27"/>
      <c r="P107" s="3" t="s">
        <v>312</v>
      </c>
      <c r="Q107" s="29" t="s">
        <v>265</v>
      </c>
      <c r="R107" s="27" t="s">
        <v>1607</v>
      </c>
      <c r="S107" s="27" t="s">
        <v>1643</v>
      </c>
    </row>
    <row r="108" spans="1:19" ht="24" customHeight="1">
      <c r="A108" s="27"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EVT-2026-0893</v>
      </c>
      <c r="B108" s="30">
        <v>46225</v>
      </c>
      <c r="C108" s="27" t="s">
        <v>201</v>
      </c>
      <c r="D108" s="27" t="s">
        <v>736</v>
      </c>
      <c r="E108" s="27" t="s">
        <v>202</v>
      </c>
      <c r="F108" s="27" t="s">
        <v>344</v>
      </c>
      <c r="G108" s="10">
        <v>24</v>
      </c>
      <c r="H108" s="36" t="s">
        <v>263</v>
      </c>
      <c r="I108" s="37" t="s">
        <v>269</v>
      </c>
      <c r="J108" s="37" t="s">
        <v>270</v>
      </c>
      <c r="K108" s="27"/>
      <c r="L108" s="27"/>
      <c r="M108" s="27" t="s">
        <v>277</v>
      </c>
      <c r="N108" s="27" t="s">
        <v>1587</v>
      </c>
      <c r="O108" s="30">
        <v>46203</v>
      </c>
      <c r="P108" s="3" t="s">
        <v>312</v>
      </c>
      <c r="Q108" s="29" t="s">
        <v>265</v>
      </c>
      <c r="R108" s="27"/>
      <c r="S108" s="27"/>
    </row>
    <row r="109" spans="1:19" ht="24" customHeight="1">
      <c r="A109" s="27"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EVT-2026-0894</v>
      </c>
      <c r="B109" s="30">
        <v>46225</v>
      </c>
      <c r="C109" s="27" t="s">
        <v>201</v>
      </c>
      <c r="D109" s="27" t="s">
        <v>1611</v>
      </c>
      <c r="E109" s="27" t="s">
        <v>228</v>
      </c>
      <c r="F109" s="27" t="s">
        <v>344</v>
      </c>
      <c r="G109" s="10">
        <v>10</v>
      </c>
      <c r="H109" s="36" t="s">
        <v>263</v>
      </c>
      <c r="I109" s="37" t="s">
        <v>269</v>
      </c>
      <c r="J109" s="37" t="s">
        <v>270</v>
      </c>
      <c r="K109" s="27"/>
      <c r="L109" s="27"/>
      <c r="M109" s="27" t="s">
        <v>1585</v>
      </c>
      <c r="N109" s="27" t="s">
        <v>1586</v>
      </c>
      <c r="O109" s="27"/>
      <c r="P109" s="1" t="s">
        <v>264</v>
      </c>
      <c r="Q109" s="29" t="s">
        <v>265</v>
      </c>
      <c r="R109" s="27"/>
      <c r="S109" s="27"/>
    </row>
    <row r="110" spans="1:19" ht="24" customHeight="1">
      <c r="A110" s="27"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EVT-2026-0895</v>
      </c>
      <c r="B110" s="30">
        <v>46225</v>
      </c>
      <c r="C110" s="27" t="s">
        <v>201</v>
      </c>
      <c r="D110" s="27" t="s">
        <v>1662</v>
      </c>
      <c r="E110" s="27" t="s">
        <v>202</v>
      </c>
      <c r="F110" s="27" t="s">
        <v>1651</v>
      </c>
      <c r="G110" s="10">
        <v>1</v>
      </c>
      <c r="H110" s="36" t="s">
        <v>263</v>
      </c>
      <c r="I110" s="37" t="s">
        <v>269</v>
      </c>
      <c r="J110" s="37" t="s">
        <v>270</v>
      </c>
      <c r="K110" s="27"/>
      <c r="L110" s="27"/>
      <c r="M110" s="27" t="s">
        <v>379</v>
      </c>
      <c r="N110" s="27" t="s">
        <v>1655</v>
      </c>
      <c r="O110" s="27"/>
      <c r="P110" s="1" t="s">
        <v>264</v>
      </c>
      <c r="Q110" s="29" t="s">
        <v>265</v>
      </c>
      <c r="R110" s="27" t="s">
        <v>1656</v>
      </c>
      <c r="S110" s="27"/>
    </row>
    <row r="111" spans="1:19" ht="24" customHeight="1">
      <c r="A111" s="27"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EVT-2026-0896</v>
      </c>
      <c r="B111" s="30">
        <v>46225</v>
      </c>
      <c r="C111" s="27" t="s">
        <v>201</v>
      </c>
      <c r="D111" s="27" t="s">
        <v>125</v>
      </c>
      <c r="E111" s="27" t="s">
        <v>228</v>
      </c>
      <c r="F111" s="27" t="s">
        <v>1663</v>
      </c>
      <c r="G111" s="10">
        <v>30</v>
      </c>
      <c r="H111" s="36" t="s">
        <v>263</v>
      </c>
      <c r="I111" s="37" t="s">
        <v>295</v>
      </c>
      <c r="J111" s="37" t="s">
        <v>270</v>
      </c>
      <c r="K111" s="27"/>
      <c r="L111" s="27"/>
      <c r="M111" s="27" t="s">
        <v>379</v>
      </c>
      <c r="N111" s="27" t="s">
        <v>1655</v>
      </c>
      <c r="O111" s="30">
        <v>46211</v>
      </c>
      <c r="P111" s="1" t="s">
        <v>264</v>
      </c>
      <c r="Q111" s="29" t="s">
        <v>265</v>
      </c>
      <c r="R111" s="27" t="s">
        <v>1664</v>
      </c>
      <c r="S111" s="27"/>
    </row>
    <row r="112" spans="1:19" ht="24" customHeight="1">
      <c r="A112" s="27"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EVT-2026-0897</v>
      </c>
      <c r="B112" s="30">
        <v>46225</v>
      </c>
      <c r="C112" s="27" t="s">
        <v>201</v>
      </c>
      <c r="D112" s="27" t="s">
        <v>125</v>
      </c>
      <c r="E112" s="27" t="s">
        <v>228</v>
      </c>
      <c r="F112" s="27" t="s">
        <v>1665</v>
      </c>
      <c r="G112" s="10">
        <v>50</v>
      </c>
      <c r="H112" s="36" t="s">
        <v>263</v>
      </c>
      <c r="I112" s="37" t="s">
        <v>330</v>
      </c>
      <c r="J112" s="37" t="s">
        <v>275</v>
      </c>
      <c r="K112" s="27" t="s">
        <v>1666</v>
      </c>
      <c r="L112" s="27" t="s">
        <v>1457</v>
      </c>
      <c r="M112" s="27" t="s">
        <v>355</v>
      </c>
      <c r="N112" s="27" t="s">
        <v>1667</v>
      </c>
      <c r="O112" s="30">
        <v>46209</v>
      </c>
      <c r="P112" s="1" t="s">
        <v>264</v>
      </c>
      <c r="Q112" s="29" t="s">
        <v>265</v>
      </c>
      <c r="R112" s="27" t="s">
        <v>298</v>
      </c>
      <c r="S112" s="27"/>
    </row>
    <row r="113" spans="1:19" ht="24" customHeight="1">
      <c r="A113" s="27"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EVT-2026-0898</v>
      </c>
      <c r="B113" s="30">
        <v>46225</v>
      </c>
      <c r="C113" s="27" t="s">
        <v>201</v>
      </c>
      <c r="D113" s="27" t="s">
        <v>1366</v>
      </c>
      <c r="E113" s="27" t="s">
        <v>208</v>
      </c>
      <c r="F113" s="27" t="s">
        <v>217</v>
      </c>
      <c r="G113" s="10">
        <v>50</v>
      </c>
      <c r="H113" s="36" t="s">
        <v>263</v>
      </c>
      <c r="I113" s="37" t="s">
        <v>309</v>
      </c>
      <c r="J113" s="37" t="s">
        <v>296</v>
      </c>
      <c r="K113" s="27"/>
      <c r="L113" s="27"/>
      <c r="M113" s="27" t="s">
        <v>370</v>
      </c>
      <c r="N113" s="27" t="s">
        <v>1511</v>
      </c>
      <c r="O113" s="27"/>
      <c r="P113" s="1" t="s">
        <v>264</v>
      </c>
      <c r="Q113" s="29" t="s">
        <v>265</v>
      </c>
      <c r="R113" s="27" t="s">
        <v>298</v>
      </c>
      <c r="S113" s="27"/>
    </row>
    <row r="114" spans="1:19" ht="24" customHeight="1">
      <c r="A114" s="27"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EVT-2026-0899</v>
      </c>
      <c r="B114" s="30">
        <v>46225</v>
      </c>
      <c r="C114" s="27" t="s">
        <v>201</v>
      </c>
      <c r="D114" s="27" t="s">
        <v>1668</v>
      </c>
      <c r="E114" s="27" t="s">
        <v>208</v>
      </c>
      <c r="F114" s="27" t="s">
        <v>1669</v>
      </c>
      <c r="G114" s="10">
        <v>50</v>
      </c>
      <c r="H114" s="36" t="s">
        <v>263</v>
      </c>
      <c r="I114" s="37" t="s">
        <v>330</v>
      </c>
      <c r="J114" s="37" t="s">
        <v>331</v>
      </c>
      <c r="K114" s="27" t="s">
        <v>610</v>
      </c>
      <c r="L114" s="27" t="s">
        <v>1670</v>
      </c>
      <c r="M114" s="27" t="s">
        <v>1671</v>
      </c>
      <c r="N114" s="27" t="s">
        <v>1672</v>
      </c>
      <c r="O114" s="30">
        <v>46220</v>
      </c>
      <c r="P114" s="1" t="s">
        <v>264</v>
      </c>
      <c r="Q114" s="29" t="s">
        <v>265</v>
      </c>
      <c r="R114" s="27" t="s">
        <v>1673</v>
      </c>
      <c r="S114" s="27"/>
    </row>
    <row r="115" spans="1:19" ht="24" customHeight="1">
      <c r="A115" s="27"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EVT-2026-0900</v>
      </c>
      <c r="B115" s="30">
        <v>46225</v>
      </c>
      <c r="C115" s="27" t="s">
        <v>201</v>
      </c>
      <c r="D115" s="27" t="s">
        <v>1650</v>
      </c>
      <c r="E115" s="27" t="s">
        <v>202</v>
      </c>
      <c r="F115" s="27" t="s">
        <v>1651</v>
      </c>
      <c r="G115" s="10">
        <v>1</v>
      </c>
      <c r="H115" s="36" t="s">
        <v>263</v>
      </c>
      <c r="I115" s="37" t="s">
        <v>269</v>
      </c>
      <c r="J115" s="37" t="s">
        <v>270</v>
      </c>
      <c r="K115" s="27"/>
      <c r="L115" s="27"/>
      <c r="M115" s="27" t="s">
        <v>379</v>
      </c>
      <c r="N115" s="27" t="s">
        <v>1655</v>
      </c>
      <c r="O115" s="27"/>
      <c r="P115" s="1" t="s">
        <v>264</v>
      </c>
      <c r="Q115" s="29" t="s">
        <v>265</v>
      </c>
      <c r="R115" s="27" t="s">
        <v>1656</v>
      </c>
      <c r="S115" s="27"/>
    </row>
    <row r="116" spans="1:19" ht="24" customHeight="1">
      <c r="A116" s="27"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EVT-2026-0901</v>
      </c>
      <c r="B116" s="30">
        <v>46225</v>
      </c>
      <c r="C116" s="27" t="s">
        <v>201</v>
      </c>
      <c r="D116" s="27" t="s">
        <v>239</v>
      </c>
      <c r="E116" s="27" t="s">
        <v>202</v>
      </c>
      <c r="F116" s="27" t="s">
        <v>1674</v>
      </c>
      <c r="G116" s="10">
        <v>150</v>
      </c>
      <c r="H116" s="38" t="s">
        <v>294</v>
      </c>
      <c r="I116" s="37" t="s">
        <v>506</v>
      </c>
      <c r="J116" s="37" t="s">
        <v>429</v>
      </c>
      <c r="K116" s="27" t="s">
        <v>1632</v>
      </c>
      <c r="L116" s="27"/>
      <c r="M116" s="27" t="s">
        <v>1675</v>
      </c>
      <c r="N116" s="27" t="s">
        <v>1676</v>
      </c>
      <c r="O116" s="30">
        <v>46217</v>
      </c>
      <c r="P116" s="1" t="s">
        <v>264</v>
      </c>
      <c r="Q116" s="29" t="s">
        <v>265</v>
      </c>
      <c r="R116" s="27" t="s">
        <v>1177</v>
      </c>
      <c r="S116" s="27" t="s">
        <v>1497</v>
      </c>
    </row>
    <row r="117" spans="1:19" ht="24" customHeight="1">
      <c r="A117" s="27"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EVT-2026-0902</v>
      </c>
      <c r="B117" s="30">
        <v>46225</v>
      </c>
      <c r="C117" s="27" t="s">
        <v>201</v>
      </c>
      <c r="D117" s="27" t="s">
        <v>1668</v>
      </c>
      <c r="E117" s="27" t="s">
        <v>202</v>
      </c>
      <c r="F117" s="27" t="s">
        <v>1677</v>
      </c>
      <c r="G117" s="10">
        <v>50</v>
      </c>
      <c r="H117" s="36" t="s">
        <v>263</v>
      </c>
      <c r="I117" s="37" t="s">
        <v>295</v>
      </c>
      <c r="J117" s="37" t="s">
        <v>296</v>
      </c>
      <c r="K117" s="27" t="s">
        <v>1632</v>
      </c>
      <c r="L117" s="27"/>
      <c r="M117" s="27" t="s">
        <v>367</v>
      </c>
      <c r="N117" s="27" t="s">
        <v>213</v>
      </c>
      <c r="O117" s="30">
        <v>46218</v>
      </c>
      <c r="P117" s="1" t="s">
        <v>264</v>
      </c>
      <c r="Q117" s="29" t="s">
        <v>265</v>
      </c>
      <c r="R117" s="27" t="s">
        <v>1177</v>
      </c>
      <c r="S117" s="27" t="s">
        <v>1497</v>
      </c>
    </row>
    <row r="118" spans="1:19" ht="24" customHeight="1">
      <c r="A118" s="27"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EVT-2026-0903</v>
      </c>
      <c r="B118" s="30">
        <v>46226</v>
      </c>
      <c r="C118" s="27" t="s">
        <v>216</v>
      </c>
      <c r="D118" s="27" t="s">
        <v>1366</v>
      </c>
      <c r="E118" s="27" t="s">
        <v>1260</v>
      </c>
      <c r="F118" s="27" t="s">
        <v>1640</v>
      </c>
      <c r="G118" s="10">
        <v>16</v>
      </c>
      <c r="H118" s="36" t="s">
        <v>263</v>
      </c>
      <c r="I118" s="37" t="s">
        <v>269</v>
      </c>
      <c r="J118" s="37" t="s">
        <v>270</v>
      </c>
      <c r="K118" s="27" t="s">
        <v>1632</v>
      </c>
      <c r="L118" s="27"/>
      <c r="M118" s="27" t="s">
        <v>1641</v>
      </c>
      <c r="N118" s="27"/>
      <c r="O118" s="27"/>
      <c r="P118" s="3" t="s">
        <v>312</v>
      </c>
      <c r="Q118" s="29" t="s">
        <v>265</v>
      </c>
      <c r="R118" s="27" t="s">
        <v>1607</v>
      </c>
      <c r="S118" s="27" t="s">
        <v>1643</v>
      </c>
    </row>
    <row r="119" spans="1:19" ht="24" customHeight="1">
      <c r="A119" s="27"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EVT-2026-0904</v>
      </c>
      <c r="B119" s="30">
        <v>46226</v>
      </c>
      <c r="C119" s="27" t="s">
        <v>216</v>
      </c>
      <c r="D119" s="27" t="s">
        <v>125</v>
      </c>
      <c r="E119" s="27" t="s">
        <v>228</v>
      </c>
      <c r="F119" s="27" t="s">
        <v>1678</v>
      </c>
      <c r="G119" s="10">
        <v>45</v>
      </c>
      <c r="H119" s="36" t="s">
        <v>263</v>
      </c>
      <c r="I119" s="37" t="s">
        <v>338</v>
      </c>
      <c r="J119" s="37" t="s">
        <v>270</v>
      </c>
      <c r="K119" s="27" t="s">
        <v>1394</v>
      </c>
      <c r="L119" s="27"/>
      <c r="M119" s="27" t="s">
        <v>949</v>
      </c>
      <c r="N119" s="27" t="s">
        <v>1679</v>
      </c>
      <c r="O119" s="27"/>
      <c r="P119" s="1" t="s">
        <v>264</v>
      </c>
      <c r="Q119" s="29" t="s">
        <v>265</v>
      </c>
      <c r="R119" s="27" t="s">
        <v>1680</v>
      </c>
      <c r="S119" s="27"/>
    </row>
    <row r="120" spans="1:19" ht="24" customHeight="1">
      <c r="A120" s="27"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EVT-2026-0905</v>
      </c>
      <c r="B120" s="30">
        <v>46226</v>
      </c>
      <c r="C120" s="27" t="s">
        <v>216</v>
      </c>
      <c r="D120" s="27" t="s">
        <v>1611</v>
      </c>
      <c r="E120" s="27" t="s">
        <v>228</v>
      </c>
      <c r="F120" s="27" t="s">
        <v>344</v>
      </c>
      <c r="G120" s="10">
        <v>10</v>
      </c>
      <c r="H120" s="36" t="s">
        <v>263</v>
      </c>
      <c r="I120" s="37" t="s">
        <v>269</v>
      </c>
      <c r="J120" s="37" t="s">
        <v>270</v>
      </c>
      <c r="K120" s="27"/>
      <c r="L120" s="27"/>
      <c r="M120" s="27" t="s">
        <v>1585</v>
      </c>
      <c r="N120" s="27" t="s">
        <v>1586</v>
      </c>
      <c r="O120" s="27"/>
      <c r="P120" s="1" t="s">
        <v>264</v>
      </c>
      <c r="Q120" s="29" t="s">
        <v>265</v>
      </c>
      <c r="R120" s="27"/>
      <c r="S120" s="27"/>
    </row>
    <row r="121" spans="1:19" ht="24" customHeight="1">
      <c r="A121" s="27"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EVT-2026-0906</v>
      </c>
      <c r="B121" s="30">
        <v>46226</v>
      </c>
      <c r="C121" s="27" t="s">
        <v>216</v>
      </c>
      <c r="D121" s="27" t="s">
        <v>1650</v>
      </c>
      <c r="E121" s="27" t="s">
        <v>202</v>
      </c>
      <c r="F121" s="27" t="s">
        <v>1651</v>
      </c>
      <c r="G121" s="10">
        <v>1</v>
      </c>
      <c r="H121" s="36" t="s">
        <v>263</v>
      </c>
      <c r="I121" s="37" t="s">
        <v>269</v>
      </c>
      <c r="J121" s="37" t="s">
        <v>270</v>
      </c>
      <c r="K121" s="27"/>
      <c r="L121" s="27"/>
      <c r="M121" s="27" t="s">
        <v>379</v>
      </c>
      <c r="N121" s="27" t="s">
        <v>1655</v>
      </c>
      <c r="O121" s="27"/>
      <c r="P121" s="1" t="s">
        <v>264</v>
      </c>
      <c r="Q121" s="29" t="s">
        <v>265</v>
      </c>
      <c r="R121" s="27"/>
      <c r="S121" s="27"/>
    </row>
    <row r="122" spans="1:19" ht="24" customHeight="1">
      <c r="A122" s="27"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EVT-2026-0907</v>
      </c>
      <c r="B122" s="30">
        <v>46226</v>
      </c>
      <c r="C122" s="27" t="s">
        <v>216</v>
      </c>
      <c r="D122" s="27" t="s">
        <v>1654</v>
      </c>
      <c r="E122" s="27" t="s">
        <v>202</v>
      </c>
      <c r="F122" s="27" t="s">
        <v>1651</v>
      </c>
      <c r="G122" s="10">
        <v>1</v>
      </c>
      <c r="H122" s="36" t="s">
        <v>263</v>
      </c>
      <c r="I122" s="37" t="s">
        <v>269</v>
      </c>
      <c r="J122" s="37" t="s">
        <v>270</v>
      </c>
      <c r="K122" s="27"/>
      <c r="L122" s="27"/>
      <c r="M122" s="27" t="s">
        <v>379</v>
      </c>
      <c r="N122" s="27" t="s">
        <v>1655</v>
      </c>
      <c r="O122" s="27"/>
      <c r="P122" s="1" t="s">
        <v>264</v>
      </c>
      <c r="Q122" s="29" t="s">
        <v>265</v>
      </c>
      <c r="R122" s="27" t="s">
        <v>1656</v>
      </c>
      <c r="S122" s="27"/>
    </row>
    <row r="123" spans="1:19" ht="24" customHeight="1">
      <c r="A123" s="27" t="str">
        <f ca="1">IF(OR(D123&lt;&gt;"", F123&lt;&gt;"", L123&lt;&gt;"", O123&lt;&gt;""),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EVT-2026-0908</v>
      </c>
      <c r="B123" s="30">
        <v>46226</v>
      </c>
      <c r="C123" s="27" t="s">
        <v>216</v>
      </c>
      <c r="D123" s="27" t="s">
        <v>736</v>
      </c>
      <c r="E123" s="27" t="s">
        <v>202</v>
      </c>
      <c r="F123" s="27" t="s">
        <v>344</v>
      </c>
      <c r="G123" s="10">
        <v>24</v>
      </c>
      <c r="H123" s="36" t="s">
        <v>263</v>
      </c>
      <c r="I123" s="37" t="s">
        <v>269</v>
      </c>
      <c r="J123" s="37" t="s">
        <v>270</v>
      </c>
      <c r="K123" s="27"/>
      <c r="L123" s="27"/>
      <c r="M123" s="27" t="s">
        <v>277</v>
      </c>
      <c r="N123" s="27" t="s">
        <v>1587</v>
      </c>
      <c r="O123" s="30">
        <v>46203</v>
      </c>
      <c r="P123" s="3" t="s">
        <v>312</v>
      </c>
      <c r="Q123" s="29" t="s">
        <v>265</v>
      </c>
      <c r="R123" s="27"/>
      <c r="S123" s="27"/>
    </row>
    <row r="124" spans="1:19" ht="24" customHeight="1">
      <c r="A124" s="27"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EVT-2026-0909</v>
      </c>
      <c r="B124" s="30">
        <v>46226</v>
      </c>
      <c r="C124" s="27" t="s">
        <v>216</v>
      </c>
      <c r="D124" s="27" t="s">
        <v>239</v>
      </c>
      <c r="E124" s="27" t="s">
        <v>202</v>
      </c>
      <c r="F124" s="27" t="s">
        <v>1681</v>
      </c>
      <c r="G124" s="10" t="s">
        <v>2321</v>
      </c>
      <c r="H124" s="38" t="s">
        <v>294</v>
      </c>
      <c r="I124" s="37" t="s">
        <v>506</v>
      </c>
      <c r="J124" s="37" t="s">
        <v>429</v>
      </c>
      <c r="K124" s="27" t="s">
        <v>1394</v>
      </c>
      <c r="L124" s="27" t="s">
        <v>1394</v>
      </c>
      <c r="M124" s="27" t="s">
        <v>1682</v>
      </c>
      <c r="N124" s="27" t="s">
        <v>1683</v>
      </c>
      <c r="O124" s="30">
        <v>46218</v>
      </c>
      <c r="P124" s="1" t="s">
        <v>264</v>
      </c>
      <c r="Q124" s="29" t="s">
        <v>265</v>
      </c>
      <c r="R124" s="27" t="s">
        <v>1673</v>
      </c>
      <c r="S124" s="27" t="s">
        <v>1684</v>
      </c>
    </row>
    <row r="125" spans="1:19" ht="24" customHeight="1">
      <c r="A125" s="27" t="str">
        <f ca="1">IF(OR(D125&lt;&gt;"", F125&lt;&gt;"", L125&lt;&gt;"", O125&lt;&gt;""),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EVT-2026-0910</v>
      </c>
      <c r="B125" s="30">
        <v>46226</v>
      </c>
      <c r="C125" s="27" t="s">
        <v>216</v>
      </c>
      <c r="D125" s="27" t="s">
        <v>239</v>
      </c>
      <c r="E125" s="27" t="s">
        <v>202</v>
      </c>
      <c r="F125" s="27" t="s">
        <v>1685</v>
      </c>
      <c r="G125" s="10" t="s">
        <v>2322</v>
      </c>
      <c r="H125" s="38" t="s">
        <v>294</v>
      </c>
      <c r="I125" s="37" t="s">
        <v>1405</v>
      </c>
      <c r="J125" s="37" t="s">
        <v>290</v>
      </c>
      <c r="K125" s="27" t="s">
        <v>369</v>
      </c>
      <c r="L125" s="27" t="s">
        <v>1670</v>
      </c>
      <c r="M125" s="27" t="s">
        <v>425</v>
      </c>
      <c r="N125" s="27" t="s">
        <v>1686</v>
      </c>
      <c r="O125" s="30">
        <v>46212</v>
      </c>
      <c r="P125" s="1" t="s">
        <v>264</v>
      </c>
      <c r="Q125" s="29" t="s">
        <v>265</v>
      </c>
      <c r="R125" s="27" t="s">
        <v>1313</v>
      </c>
      <c r="S125" s="27" t="s">
        <v>1684</v>
      </c>
    </row>
    <row r="126" spans="1:19" ht="24" customHeight="1">
      <c r="A126" s="27"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EVT-2026-0911</v>
      </c>
      <c r="B126" s="30">
        <v>46226</v>
      </c>
      <c r="C126" s="27" t="s">
        <v>216</v>
      </c>
      <c r="D126" s="27" t="s">
        <v>1366</v>
      </c>
      <c r="E126" s="27" t="s">
        <v>202</v>
      </c>
      <c r="F126" s="27" t="s">
        <v>1687</v>
      </c>
      <c r="G126" s="10">
        <v>30</v>
      </c>
      <c r="H126" s="36" t="s">
        <v>263</v>
      </c>
      <c r="I126" s="37" t="s">
        <v>309</v>
      </c>
      <c r="J126" s="37" t="s">
        <v>295</v>
      </c>
      <c r="K126" s="27" t="s">
        <v>369</v>
      </c>
      <c r="L126" s="27" t="s">
        <v>1670</v>
      </c>
      <c r="M126" s="27" t="s">
        <v>351</v>
      </c>
      <c r="N126" s="27" t="s">
        <v>1688</v>
      </c>
      <c r="O126" s="30">
        <v>46218</v>
      </c>
      <c r="P126" s="1" t="s">
        <v>264</v>
      </c>
      <c r="Q126" s="29" t="s">
        <v>265</v>
      </c>
      <c r="R126" s="27" t="s">
        <v>1177</v>
      </c>
      <c r="S126" s="27" t="s">
        <v>1497</v>
      </c>
    </row>
    <row r="127" spans="1:19" ht="24" customHeight="1">
      <c r="A127" s="27"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EVT-2026-0912</v>
      </c>
      <c r="B127" s="30">
        <v>46226</v>
      </c>
      <c r="C127" s="27" t="s">
        <v>216</v>
      </c>
      <c r="D127" s="27" t="s">
        <v>1366</v>
      </c>
      <c r="E127" s="27" t="s">
        <v>1260</v>
      </c>
      <c r="F127" s="27" t="s">
        <v>1689</v>
      </c>
      <c r="G127" s="10">
        <v>25</v>
      </c>
      <c r="H127" s="36" t="s">
        <v>263</v>
      </c>
      <c r="I127" s="37" t="s">
        <v>309</v>
      </c>
      <c r="J127" s="37" t="s">
        <v>1168</v>
      </c>
      <c r="K127" s="27"/>
      <c r="L127" s="27" t="s">
        <v>1690</v>
      </c>
      <c r="M127" s="27" t="s">
        <v>760</v>
      </c>
      <c r="N127" s="27" t="s">
        <v>1691</v>
      </c>
      <c r="O127" s="30">
        <v>46224</v>
      </c>
      <c r="P127" s="1" t="s">
        <v>264</v>
      </c>
      <c r="Q127" s="29" t="s">
        <v>265</v>
      </c>
      <c r="R127" s="27" t="s">
        <v>1692</v>
      </c>
      <c r="S127" s="27" t="s">
        <v>1497</v>
      </c>
    </row>
    <row r="128" spans="1:19" ht="24" customHeight="1">
      <c r="A128" s="27" t="str">
        <f ca="1">IF(OR(D128&lt;&gt;"", F128&lt;&gt;"", L128&lt;&gt;"", O128&lt;&gt;""),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EVT-2026-0913</v>
      </c>
      <c r="B128" s="30">
        <v>46227</v>
      </c>
      <c r="C128" s="27" t="s">
        <v>220</v>
      </c>
      <c r="D128" s="27" t="s">
        <v>1693</v>
      </c>
      <c r="E128" s="27" t="s">
        <v>202</v>
      </c>
      <c r="F128" s="27" t="s">
        <v>1651</v>
      </c>
      <c r="G128" s="10">
        <v>1</v>
      </c>
      <c r="H128" s="36" t="s">
        <v>263</v>
      </c>
      <c r="I128" s="37" t="s">
        <v>269</v>
      </c>
      <c r="J128" s="37" t="s">
        <v>270</v>
      </c>
      <c r="K128" s="27"/>
      <c r="L128" s="27"/>
      <c r="M128" s="27" t="s">
        <v>379</v>
      </c>
      <c r="N128" s="27" t="s">
        <v>1655</v>
      </c>
      <c r="O128" s="27"/>
      <c r="P128" s="1" t="s">
        <v>264</v>
      </c>
      <c r="Q128" s="29" t="s">
        <v>265</v>
      </c>
      <c r="R128" s="27" t="s">
        <v>1656</v>
      </c>
      <c r="S128" s="27"/>
    </row>
    <row r="129" spans="1:19" ht="24" customHeight="1">
      <c r="A129" s="27"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EVT-2026-0914</v>
      </c>
      <c r="B129" s="30">
        <v>46227</v>
      </c>
      <c r="C129" s="27" t="s">
        <v>220</v>
      </c>
      <c r="D129" s="27" t="s">
        <v>1366</v>
      </c>
      <c r="E129" s="27" t="s">
        <v>1260</v>
      </c>
      <c r="F129" s="27" t="s">
        <v>1640</v>
      </c>
      <c r="G129" s="10">
        <v>16</v>
      </c>
      <c r="H129" s="36" t="s">
        <v>263</v>
      </c>
      <c r="I129" s="37" t="s">
        <v>269</v>
      </c>
      <c r="J129" s="37" t="s">
        <v>270</v>
      </c>
      <c r="K129" s="27" t="s">
        <v>1632</v>
      </c>
      <c r="L129" s="27"/>
      <c r="M129" s="27" t="s">
        <v>1641</v>
      </c>
      <c r="N129" s="27"/>
      <c r="O129" s="27"/>
      <c r="P129" s="3" t="s">
        <v>312</v>
      </c>
      <c r="Q129" s="29" t="s">
        <v>265</v>
      </c>
      <c r="R129" s="27" t="s">
        <v>1607</v>
      </c>
      <c r="S129" s="27" t="s">
        <v>1643</v>
      </c>
    </row>
    <row r="130" spans="1:19" ht="24" customHeight="1">
      <c r="A130" s="27"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EVT-2026-0915</v>
      </c>
      <c r="B130" s="30">
        <v>46227</v>
      </c>
      <c r="C130" s="27" t="s">
        <v>220</v>
      </c>
      <c r="D130" s="27" t="s">
        <v>736</v>
      </c>
      <c r="E130" s="27" t="s">
        <v>202</v>
      </c>
      <c r="F130" s="27" t="s">
        <v>344</v>
      </c>
      <c r="G130" s="10">
        <v>24</v>
      </c>
      <c r="H130" s="36" t="s">
        <v>263</v>
      </c>
      <c r="I130" s="37" t="s">
        <v>269</v>
      </c>
      <c r="J130" s="37" t="s">
        <v>270</v>
      </c>
      <c r="K130" s="27"/>
      <c r="L130" s="27"/>
      <c r="M130" s="27" t="s">
        <v>277</v>
      </c>
      <c r="N130" s="27" t="s">
        <v>1587</v>
      </c>
      <c r="O130" s="30">
        <v>46203</v>
      </c>
      <c r="P130" s="3" t="s">
        <v>312</v>
      </c>
      <c r="Q130" s="29" t="s">
        <v>265</v>
      </c>
      <c r="R130" s="27"/>
      <c r="S130" s="27"/>
    </row>
    <row r="131" spans="1:19" ht="24" customHeight="1">
      <c r="A131" s="27"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EVT-2026-0916</v>
      </c>
      <c r="B131" s="30">
        <v>46227</v>
      </c>
      <c r="C131" s="27" t="s">
        <v>220</v>
      </c>
      <c r="D131" s="27" t="s">
        <v>1611</v>
      </c>
      <c r="E131" s="27" t="s">
        <v>228</v>
      </c>
      <c r="F131" s="27" t="s">
        <v>344</v>
      </c>
      <c r="G131" s="10">
        <v>10</v>
      </c>
      <c r="H131" s="36" t="s">
        <v>263</v>
      </c>
      <c r="I131" s="37" t="s">
        <v>269</v>
      </c>
      <c r="J131" s="37" t="s">
        <v>270</v>
      </c>
      <c r="K131" s="27"/>
      <c r="L131" s="27"/>
      <c r="M131" s="27" t="s">
        <v>1585</v>
      </c>
      <c r="N131" s="27" t="s">
        <v>1586</v>
      </c>
      <c r="O131" s="27"/>
      <c r="P131" s="1" t="s">
        <v>264</v>
      </c>
      <c r="Q131" s="29" t="s">
        <v>265</v>
      </c>
      <c r="R131" s="27"/>
      <c r="S131" s="27"/>
    </row>
    <row r="132" spans="1:19" ht="24" customHeight="1">
      <c r="A132" s="27"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EVT-2026-0917</v>
      </c>
      <c r="B132" s="30">
        <v>46227</v>
      </c>
      <c r="C132" s="27" t="s">
        <v>220</v>
      </c>
      <c r="D132" s="27" t="s">
        <v>125</v>
      </c>
      <c r="E132" s="27" t="s">
        <v>228</v>
      </c>
      <c r="F132" s="27" t="s">
        <v>1694</v>
      </c>
      <c r="G132" s="10">
        <v>45</v>
      </c>
      <c r="H132" s="36" t="s">
        <v>263</v>
      </c>
      <c r="I132" s="37" t="s">
        <v>269</v>
      </c>
      <c r="J132" s="37" t="s">
        <v>315</v>
      </c>
      <c r="K132" s="27" t="s">
        <v>382</v>
      </c>
      <c r="L132" s="27" t="s">
        <v>1670</v>
      </c>
      <c r="M132" s="27" t="s">
        <v>1695</v>
      </c>
      <c r="N132" s="27" t="s">
        <v>1696</v>
      </c>
      <c r="O132" s="30">
        <v>46220</v>
      </c>
      <c r="P132" s="1" t="s">
        <v>264</v>
      </c>
      <c r="Q132" s="29" t="s">
        <v>265</v>
      </c>
      <c r="R132" s="27" t="s">
        <v>298</v>
      </c>
      <c r="S132" s="27" t="s">
        <v>1497</v>
      </c>
    </row>
    <row r="133" spans="1:19" ht="24" customHeight="1">
      <c r="A133" s="27"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EVT-2026-0918</v>
      </c>
      <c r="B133" s="30">
        <v>46227</v>
      </c>
      <c r="C133" s="27" t="s">
        <v>220</v>
      </c>
      <c r="D133" s="27" t="s">
        <v>125</v>
      </c>
      <c r="E133" s="27" t="s">
        <v>228</v>
      </c>
      <c r="F133" s="27" t="s">
        <v>1697</v>
      </c>
      <c r="G133" s="10">
        <v>60</v>
      </c>
      <c r="H133" s="36" t="s">
        <v>263</v>
      </c>
      <c r="I133" s="37" t="s">
        <v>274</v>
      </c>
      <c r="J133" s="37" t="s">
        <v>331</v>
      </c>
      <c r="K133" s="27" t="s">
        <v>382</v>
      </c>
      <c r="L133" s="27" t="s">
        <v>1698</v>
      </c>
      <c r="M133" s="27" t="s">
        <v>1699</v>
      </c>
      <c r="N133" s="27" t="s">
        <v>1700</v>
      </c>
      <c r="O133" s="30">
        <v>46217</v>
      </c>
      <c r="P133" s="1" t="s">
        <v>264</v>
      </c>
      <c r="Q133" s="29" t="s">
        <v>265</v>
      </c>
      <c r="R133" s="27" t="s">
        <v>1177</v>
      </c>
      <c r="S133" s="27" t="s">
        <v>1701</v>
      </c>
    </row>
    <row r="134" spans="1:19" ht="24" customHeight="1">
      <c r="A134" s="27"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EVT-2026-0919</v>
      </c>
      <c r="B134" s="30">
        <v>46227</v>
      </c>
      <c r="C134" s="27" t="s">
        <v>220</v>
      </c>
      <c r="D134" s="27" t="s">
        <v>125</v>
      </c>
      <c r="E134" s="27" t="s">
        <v>228</v>
      </c>
      <c r="F134" s="27" t="s">
        <v>1702</v>
      </c>
      <c r="G134" s="10" t="s">
        <v>2323</v>
      </c>
      <c r="H134" s="36" t="s">
        <v>263</v>
      </c>
      <c r="I134" s="37" t="s">
        <v>309</v>
      </c>
      <c r="J134" s="37" t="s">
        <v>1168</v>
      </c>
      <c r="K134" s="27" t="s">
        <v>369</v>
      </c>
      <c r="L134" s="27" t="s">
        <v>1690</v>
      </c>
      <c r="M134" s="27" t="s">
        <v>1703</v>
      </c>
      <c r="N134" s="27"/>
      <c r="O134" s="27" t="s">
        <v>1704</v>
      </c>
      <c r="P134" s="1" t="s">
        <v>264</v>
      </c>
      <c r="Q134" s="29" t="s">
        <v>265</v>
      </c>
      <c r="R134" s="27" t="s">
        <v>1705</v>
      </c>
      <c r="S134" s="27" t="s">
        <v>1692</v>
      </c>
    </row>
    <row r="135" spans="1:19" ht="24" customHeight="1">
      <c r="A135" s="27"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EVT-2026-0920</v>
      </c>
      <c r="B135" s="30">
        <v>46227</v>
      </c>
      <c r="C135" s="27" t="s">
        <v>220</v>
      </c>
      <c r="D135" s="27" t="s">
        <v>1366</v>
      </c>
      <c r="E135" s="27" t="s">
        <v>208</v>
      </c>
      <c r="F135" s="27" t="s">
        <v>217</v>
      </c>
      <c r="G135" s="10">
        <v>50</v>
      </c>
      <c r="H135" s="36" t="s">
        <v>263</v>
      </c>
      <c r="I135" s="37" t="s">
        <v>309</v>
      </c>
      <c r="J135" s="37" t="s">
        <v>296</v>
      </c>
      <c r="K135" s="27"/>
      <c r="L135" s="27"/>
      <c r="M135" s="27" t="s">
        <v>370</v>
      </c>
      <c r="N135" s="27" t="s">
        <v>1511</v>
      </c>
      <c r="O135" s="27"/>
      <c r="P135" s="1" t="s">
        <v>264</v>
      </c>
      <c r="Q135" s="29" t="s">
        <v>265</v>
      </c>
      <c r="R135" s="27" t="s">
        <v>298</v>
      </c>
      <c r="S135" s="27"/>
    </row>
    <row r="136" spans="1:19" ht="24" customHeight="1">
      <c r="A136" s="27"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EVT-2026-0921</v>
      </c>
      <c r="B136" s="30">
        <v>46227</v>
      </c>
      <c r="C136" s="27" t="s">
        <v>220</v>
      </c>
      <c r="D136" s="27" t="s">
        <v>1706</v>
      </c>
      <c r="E136" s="27" t="s">
        <v>202</v>
      </c>
      <c r="F136" s="27" t="s">
        <v>1687</v>
      </c>
      <c r="G136" s="10">
        <v>30</v>
      </c>
      <c r="H136" s="36" t="s">
        <v>263</v>
      </c>
      <c r="I136" s="37" t="s">
        <v>309</v>
      </c>
      <c r="J136" s="37" t="s">
        <v>295</v>
      </c>
      <c r="K136" s="27" t="s">
        <v>369</v>
      </c>
      <c r="L136" s="27" t="s">
        <v>1670</v>
      </c>
      <c r="M136" s="27" t="s">
        <v>1707</v>
      </c>
      <c r="N136" s="27" t="s">
        <v>1601</v>
      </c>
      <c r="O136" s="30">
        <v>46224</v>
      </c>
      <c r="P136" s="1" t="s">
        <v>264</v>
      </c>
      <c r="Q136" s="29" t="s">
        <v>265</v>
      </c>
      <c r="R136" s="27" t="s">
        <v>1177</v>
      </c>
      <c r="S136" s="27" t="s">
        <v>1497</v>
      </c>
    </row>
    <row r="137" spans="1:19" ht="24" customHeight="1">
      <c r="A137" s="27"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EVT-2026-0922</v>
      </c>
      <c r="B137" s="30">
        <v>46227</v>
      </c>
      <c r="C137" s="27" t="s">
        <v>220</v>
      </c>
      <c r="D137" s="27" t="s">
        <v>736</v>
      </c>
      <c r="E137" s="27" t="s">
        <v>202</v>
      </c>
      <c r="F137" s="27" t="s">
        <v>1708</v>
      </c>
      <c r="G137" s="10">
        <v>90</v>
      </c>
      <c r="H137" s="36" t="s">
        <v>263</v>
      </c>
      <c r="I137" s="37" t="s">
        <v>309</v>
      </c>
      <c r="J137" s="37" t="s">
        <v>296</v>
      </c>
      <c r="K137" s="27"/>
      <c r="L137" s="27"/>
      <c r="M137" s="27" t="s">
        <v>378</v>
      </c>
      <c r="N137" s="27"/>
      <c r="O137" s="27"/>
      <c r="P137" s="3" t="s">
        <v>312</v>
      </c>
      <c r="Q137" s="29" t="s">
        <v>265</v>
      </c>
      <c r="R137" s="27"/>
      <c r="S137" s="27" t="s">
        <v>1177</v>
      </c>
    </row>
    <row r="138" spans="1:19" ht="24" customHeight="1">
      <c r="A138" s="27"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EVT-2026-0923</v>
      </c>
      <c r="B138" s="30">
        <v>46227</v>
      </c>
      <c r="C138" s="27" t="s">
        <v>220</v>
      </c>
      <c r="D138" s="27" t="s">
        <v>1706</v>
      </c>
      <c r="E138" s="27" t="s">
        <v>202</v>
      </c>
      <c r="F138" s="27" t="s">
        <v>1657</v>
      </c>
      <c r="G138" s="10">
        <v>50</v>
      </c>
      <c r="H138" s="36" t="s">
        <v>263</v>
      </c>
      <c r="I138" s="37" t="s">
        <v>506</v>
      </c>
      <c r="J138" s="37" t="s">
        <v>275</v>
      </c>
      <c r="K138" s="27" t="s">
        <v>369</v>
      </c>
      <c r="L138" s="27"/>
      <c r="M138" s="27" t="s">
        <v>393</v>
      </c>
      <c r="N138" s="27"/>
      <c r="O138" s="27"/>
      <c r="P138" s="1" t="s">
        <v>264</v>
      </c>
      <c r="Q138" s="29" t="s">
        <v>265</v>
      </c>
      <c r="R138" s="27"/>
      <c r="S138" s="27" t="s">
        <v>1177</v>
      </c>
    </row>
    <row r="139" spans="1:19" ht="24" customHeight="1">
      <c r="A139" s="27" t="str">
        <f ca="1">IF(OR(D139&lt;&gt;"", F139&lt;&gt;"", L139&lt;&gt;"", O139&lt;&gt;""),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
      </c>
      <c r="B139" s="30">
        <v>46229</v>
      </c>
      <c r="C139" s="27" t="s">
        <v>267</v>
      </c>
      <c r="D139" s="27"/>
      <c r="E139" s="27"/>
      <c r="F139" s="27"/>
      <c r="G139" s="10"/>
      <c r="H139" s="36" t="s">
        <v>263</v>
      </c>
      <c r="I139" s="37"/>
      <c r="J139" s="37"/>
      <c r="K139" s="27"/>
      <c r="L139" s="27"/>
      <c r="M139" s="27"/>
      <c r="N139" s="27"/>
      <c r="O139" s="27"/>
      <c r="P139" s="1" t="s">
        <v>264</v>
      </c>
      <c r="Q139" s="29" t="s">
        <v>265</v>
      </c>
      <c r="R139" s="27"/>
      <c r="S139" s="27"/>
    </row>
    <row r="140" spans="1:19" ht="24" customHeight="1">
      <c r="A140" s="27" t="str">
        <f ca="1">IF(OR(D140&lt;&gt;"", F140&lt;&gt;"", L140&lt;&gt;"", O140&lt;&gt;""),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EVT-2026-0924</v>
      </c>
      <c r="B140" s="30">
        <v>46230</v>
      </c>
      <c r="C140" s="27" t="s">
        <v>224</v>
      </c>
      <c r="D140" s="27" t="s">
        <v>1366</v>
      </c>
      <c r="E140" s="27" t="s">
        <v>1260</v>
      </c>
      <c r="F140" s="27" t="s">
        <v>1640</v>
      </c>
      <c r="G140" s="10">
        <v>16</v>
      </c>
      <c r="H140" s="36" t="s">
        <v>263</v>
      </c>
      <c r="I140" s="37" t="s">
        <v>269</v>
      </c>
      <c r="J140" s="37" t="s">
        <v>270</v>
      </c>
      <c r="K140" s="27" t="s">
        <v>1632</v>
      </c>
      <c r="L140" s="27"/>
      <c r="M140" s="27" t="s">
        <v>1641</v>
      </c>
      <c r="N140" s="27"/>
      <c r="O140" s="27"/>
      <c r="P140" s="3" t="s">
        <v>312</v>
      </c>
      <c r="Q140" s="29" t="s">
        <v>265</v>
      </c>
      <c r="R140" s="27" t="s">
        <v>1607</v>
      </c>
      <c r="S140" s="27" t="s">
        <v>1643</v>
      </c>
    </row>
    <row r="141" spans="1:19" ht="24" customHeight="1">
      <c r="A141" s="27" t="str">
        <f ca="1">IF(OR(D141&lt;&gt;"", F141&lt;&gt;"", L141&lt;&gt;"", O141&lt;&gt;""),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EVT-2026-0925</v>
      </c>
      <c r="B141" s="30">
        <v>46230</v>
      </c>
      <c r="C141" s="27" t="s">
        <v>224</v>
      </c>
      <c r="D141" s="27" t="s">
        <v>125</v>
      </c>
      <c r="E141" s="27" t="s">
        <v>228</v>
      </c>
      <c r="F141" s="27" t="s">
        <v>1709</v>
      </c>
      <c r="G141" s="10">
        <v>40</v>
      </c>
      <c r="H141" s="36" t="s">
        <v>263</v>
      </c>
      <c r="I141" s="37" t="s">
        <v>331</v>
      </c>
      <c r="J141" s="37" t="s">
        <v>289</v>
      </c>
      <c r="K141" s="27" t="s">
        <v>1710</v>
      </c>
      <c r="L141" s="27"/>
      <c r="M141" s="27" t="s">
        <v>1711</v>
      </c>
      <c r="N141" s="27" t="s">
        <v>1712</v>
      </c>
      <c r="O141" s="27"/>
      <c r="P141" s="1" t="s">
        <v>264</v>
      </c>
      <c r="Q141" s="29" t="s">
        <v>265</v>
      </c>
      <c r="R141" s="27" t="s">
        <v>1713</v>
      </c>
      <c r="S141" s="27"/>
    </row>
    <row r="142" spans="1:19" ht="24" customHeight="1">
      <c r="A142" s="27" t="str">
        <f ca="1">IF(OR(D142&lt;&gt;"", F142&lt;&gt;"", L142&lt;&gt;"", O142&lt;&gt;""),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EVT-2026-0926</v>
      </c>
      <c r="B142" s="30">
        <v>46230</v>
      </c>
      <c r="C142" s="27" t="s">
        <v>224</v>
      </c>
      <c r="D142" s="27" t="s">
        <v>1714</v>
      </c>
      <c r="E142" s="27" t="s">
        <v>202</v>
      </c>
      <c r="F142" s="27" t="s">
        <v>1715</v>
      </c>
      <c r="G142" s="10">
        <v>23</v>
      </c>
      <c r="H142" s="36" t="s">
        <v>263</v>
      </c>
      <c r="I142" s="37" t="s">
        <v>331</v>
      </c>
      <c r="J142" s="37" t="s">
        <v>1342</v>
      </c>
      <c r="K142" s="27" t="s">
        <v>1445</v>
      </c>
      <c r="L142" s="27" t="s">
        <v>1445</v>
      </c>
      <c r="M142" s="27" t="s">
        <v>1278</v>
      </c>
      <c r="N142" s="27" t="s">
        <v>1450</v>
      </c>
      <c r="O142" s="27" t="s">
        <v>1716</v>
      </c>
      <c r="P142" s="3" t="s">
        <v>312</v>
      </c>
      <c r="Q142" s="29" t="s">
        <v>265</v>
      </c>
      <c r="R142" s="27" t="s">
        <v>1717</v>
      </c>
      <c r="S142" s="27" t="s">
        <v>1497</v>
      </c>
    </row>
    <row r="143" spans="1:19" ht="24" customHeight="1">
      <c r="A143" s="27" t="str">
        <f ca="1">IF(OR(D143&lt;&gt;"", F143&lt;&gt;"", L143&lt;&gt;"", O143&lt;&gt;""),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EVT-2026-0927</v>
      </c>
      <c r="B143" s="30">
        <v>46230</v>
      </c>
      <c r="C143" s="27" t="s">
        <v>224</v>
      </c>
      <c r="D143" s="27" t="s">
        <v>1706</v>
      </c>
      <c r="E143" s="27" t="s">
        <v>202</v>
      </c>
      <c r="F143" s="27" t="s">
        <v>1718</v>
      </c>
      <c r="G143" s="10">
        <v>45</v>
      </c>
      <c r="H143" s="36" t="s">
        <v>263</v>
      </c>
      <c r="I143" s="37" t="s">
        <v>506</v>
      </c>
      <c r="J143" s="37" t="s">
        <v>350</v>
      </c>
      <c r="K143" s="27" t="s">
        <v>1719</v>
      </c>
      <c r="L143" s="27"/>
      <c r="M143" s="27" t="s">
        <v>1720</v>
      </c>
      <c r="N143" s="27" t="s">
        <v>1478</v>
      </c>
      <c r="O143" s="27" t="s">
        <v>1716</v>
      </c>
      <c r="P143" s="1" t="s">
        <v>264</v>
      </c>
      <c r="Q143" s="29" t="s">
        <v>265</v>
      </c>
      <c r="R143" s="27" t="s">
        <v>1177</v>
      </c>
      <c r="S143" s="27" t="s">
        <v>1497</v>
      </c>
    </row>
    <row r="144" spans="1:19" ht="24" customHeight="1">
      <c r="A144" s="27" t="str">
        <f ca="1">IF(OR(D144&lt;&gt;"", F144&lt;&gt;"", L144&lt;&gt;"", O144&lt;&gt;""),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EVT-2026-0928</v>
      </c>
      <c r="B144" s="30">
        <v>46230</v>
      </c>
      <c r="C144" s="27" t="s">
        <v>224</v>
      </c>
      <c r="D144" s="27" t="s">
        <v>239</v>
      </c>
      <c r="E144" s="27" t="s">
        <v>202</v>
      </c>
      <c r="F144" s="27" t="s">
        <v>1721</v>
      </c>
      <c r="G144" s="10">
        <v>150</v>
      </c>
      <c r="H144" s="38" t="s">
        <v>294</v>
      </c>
      <c r="I144" s="37" t="s">
        <v>295</v>
      </c>
      <c r="J144" s="37" t="s">
        <v>296</v>
      </c>
      <c r="K144" s="27" t="s">
        <v>382</v>
      </c>
      <c r="L144" s="27"/>
      <c r="M144" s="27" t="s">
        <v>1722</v>
      </c>
      <c r="N144" s="27" t="s">
        <v>1495</v>
      </c>
      <c r="O144" s="27" t="s">
        <v>1723</v>
      </c>
      <c r="P144" s="3" t="s">
        <v>312</v>
      </c>
      <c r="Q144" s="29" t="s">
        <v>265</v>
      </c>
      <c r="R144" s="27" t="s">
        <v>1177</v>
      </c>
      <c r="S144" s="27" t="s">
        <v>1497</v>
      </c>
    </row>
    <row r="145" spans="1:19" ht="24" customHeight="1">
      <c r="A145" s="27" t="str">
        <f ca="1">IF(OR(D145&lt;&gt;"", F145&lt;&gt;"", L145&lt;&gt;"", O145&lt;&gt;""),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EVT-2026-0929</v>
      </c>
      <c r="B145" s="30">
        <v>46230</v>
      </c>
      <c r="C145" s="27" t="s">
        <v>224</v>
      </c>
      <c r="D145" s="27" t="s">
        <v>1366</v>
      </c>
      <c r="E145" s="27" t="s">
        <v>208</v>
      </c>
      <c r="F145" s="27" t="s">
        <v>1724</v>
      </c>
      <c r="G145" s="10">
        <v>22</v>
      </c>
      <c r="H145" s="36" t="s">
        <v>263</v>
      </c>
      <c r="I145" s="37" t="s">
        <v>275</v>
      </c>
      <c r="J145" s="37" t="s">
        <v>289</v>
      </c>
      <c r="K145" s="27" t="s">
        <v>610</v>
      </c>
      <c r="L145" s="27" t="s">
        <v>1725</v>
      </c>
      <c r="M145" s="27" t="s">
        <v>1726</v>
      </c>
      <c r="N145" s="27" t="s">
        <v>1727</v>
      </c>
      <c r="O145" s="30" t="s">
        <v>2324</v>
      </c>
      <c r="P145" s="1" t="s">
        <v>264</v>
      </c>
      <c r="Q145" s="29" t="s">
        <v>265</v>
      </c>
      <c r="R145" s="27" t="s">
        <v>1728</v>
      </c>
      <c r="S145" s="27" t="s">
        <v>1497</v>
      </c>
    </row>
    <row r="146" spans="1:19" ht="24" customHeight="1">
      <c r="A146" s="27" t="str">
        <f ca="1">IF(OR(D146&lt;&gt;"", F146&lt;&gt;"", L146&lt;&gt;"", O146&lt;&gt;""),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EVT-2026-0930</v>
      </c>
      <c r="B146" s="30">
        <v>46231</v>
      </c>
      <c r="C146" s="27" t="s">
        <v>227</v>
      </c>
      <c r="D146" s="27" t="s">
        <v>125</v>
      </c>
      <c r="E146" s="27" t="s">
        <v>228</v>
      </c>
      <c r="F146" s="27" t="s">
        <v>1729</v>
      </c>
      <c r="G146" s="10">
        <v>40</v>
      </c>
      <c r="H146" s="36" t="s">
        <v>263</v>
      </c>
      <c r="I146" s="37" t="s">
        <v>506</v>
      </c>
      <c r="J146" s="37" t="s">
        <v>429</v>
      </c>
      <c r="K146" s="27"/>
      <c r="L146" s="27"/>
      <c r="M146" s="27" t="s">
        <v>1730</v>
      </c>
      <c r="N146" s="27"/>
      <c r="O146" s="27"/>
      <c r="P146" s="1" t="s">
        <v>264</v>
      </c>
      <c r="Q146" s="29" t="s">
        <v>265</v>
      </c>
      <c r="R146" s="27"/>
      <c r="S146" s="27" t="s">
        <v>1731</v>
      </c>
    </row>
    <row r="147" spans="1:19" ht="24" customHeight="1">
      <c r="A147" s="27" t="str">
        <f ca="1">IF(OR(D147&lt;&gt;"", F147&lt;&gt;"", L147&lt;&gt;"", O147&lt;&gt;""),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EVT-2026-0931</v>
      </c>
      <c r="B147" s="30">
        <v>46231</v>
      </c>
      <c r="C147" s="27" t="s">
        <v>227</v>
      </c>
      <c r="D147" s="27" t="s">
        <v>125</v>
      </c>
      <c r="E147" s="27" t="s">
        <v>228</v>
      </c>
      <c r="F147" s="27" t="s">
        <v>1732</v>
      </c>
      <c r="G147" s="10">
        <v>45</v>
      </c>
      <c r="H147" s="36" t="s">
        <v>263</v>
      </c>
      <c r="I147" s="37" t="s">
        <v>946</v>
      </c>
      <c r="J147" s="37" t="s">
        <v>1733</v>
      </c>
      <c r="K147" s="27" t="s">
        <v>1734</v>
      </c>
      <c r="L147" s="27" t="s">
        <v>1735</v>
      </c>
      <c r="M147" s="27" t="s">
        <v>1720</v>
      </c>
      <c r="N147" s="27" t="s">
        <v>1736</v>
      </c>
      <c r="O147" s="30" t="s">
        <v>2325</v>
      </c>
      <c r="P147" s="1" t="s">
        <v>264</v>
      </c>
      <c r="Q147" s="29" t="s">
        <v>265</v>
      </c>
      <c r="R147" s="27" t="s">
        <v>1177</v>
      </c>
      <c r="S147" s="27"/>
    </row>
    <row r="148" spans="1:19" ht="24" customHeight="1">
      <c r="A148" s="27" t="str">
        <f ca="1">IF(OR(D148&lt;&gt;"", F148&lt;&gt;"", L148&lt;&gt;"", O148&lt;&gt;""),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EVT-2026-0932</v>
      </c>
      <c r="B148" s="30">
        <v>46231</v>
      </c>
      <c r="C148" s="27" t="s">
        <v>227</v>
      </c>
      <c r="D148" s="27" t="s">
        <v>125</v>
      </c>
      <c r="E148" s="27" t="s">
        <v>228</v>
      </c>
      <c r="F148" s="27" t="s">
        <v>1737</v>
      </c>
      <c r="G148" s="10">
        <v>40</v>
      </c>
      <c r="H148" s="36" t="s">
        <v>263</v>
      </c>
      <c r="I148" s="37" t="s">
        <v>295</v>
      </c>
      <c r="J148" s="37" t="s">
        <v>270</v>
      </c>
      <c r="K148" s="27"/>
      <c r="L148" s="27"/>
      <c r="M148" s="27" t="s">
        <v>1711</v>
      </c>
      <c r="N148" s="27"/>
      <c r="O148" s="27"/>
      <c r="P148" s="1" t="s">
        <v>264</v>
      </c>
      <c r="Q148" s="29" t="s">
        <v>265</v>
      </c>
      <c r="R148" s="27"/>
      <c r="S148" s="27" t="s">
        <v>1738</v>
      </c>
    </row>
    <row r="149" spans="1:19" ht="24" customHeight="1">
      <c r="A149" s="27" t="str">
        <f ca="1">IF(OR(D149&lt;&gt;"", F149&lt;&gt;"", L149&lt;&gt;"", O149&lt;&gt;""),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EVT-2026-0933</v>
      </c>
      <c r="B149" s="30">
        <v>46231</v>
      </c>
      <c r="C149" s="27" t="s">
        <v>227</v>
      </c>
      <c r="D149" s="27" t="s">
        <v>1366</v>
      </c>
      <c r="E149" s="27" t="s">
        <v>208</v>
      </c>
      <c r="F149" s="27" t="s">
        <v>217</v>
      </c>
      <c r="G149" s="10">
        <v>50</v>
      </c>
      <c r="H149" s="36" t="s">
        <v>263</v>
      </c>
      <c r="I149" s="37" t="s">
        <v>309</v>
      </c>
      <c r="J149" s="37" t="s">
        <v>296</v>
      </c>
      <c r="K149" s="27"/>
      <c r="L149" s="27"/>
      <c r="M149" s="27" t="s">
        <v>370</v>
      </c>
      <c r="N149" s="27" t="s">
        <v>1511</v>
      </c>
      <c r="O149" s="27"/>
      <c r="P149" s="1" t="s">
        <v>264</v>
      </c>
      <c r="Q149" s="29" t="s">
        <v>265</v>
      </c>
      <c r="R149" s="27" t="s">
        <v>298</v>
      </c>
      <c r="S149" s="27"/>
    </row>
    <row r="150" spans="1:19" ht="24" customHeight="1">
      <c r="A150" s="27" t="str">
        <f ca="1">IF(OR(D150&lt;&gt;"", F150&lt;&gt;"", L150&lt;&gt;"", O150&lt;&gt;""),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EVT-2026-0934</v>
      </c>
      <c r="B150" s="30">
        <v>46231</v>
      </c>
      <c r="C150" s="27" t="s">
        <v>227</v>
      </c>
      <c r="D150" s="27" t="s">
        <v>1366</v>
      </c>
      <c r="E150" s="27" t="s">
        <v>1260</v>
      </c>
      <c r="F150" s="27" t="s">
        <v>1640</v>
      </c>
      <c r="G150" s="10">
        <v>16</v>
      </c>
      <c r="H150" s="36" t="s">
        <v>263</v>
      </c>
      <c r="I150" s="37" t="s">
        <v>269</v>
      </c>
      <c r="J150" s="37" t="s">
        <v>270</v>
      </c>
      <c r="K150" s="27" t="s">
        <v>1632</v>
      </c>
      <c r="L150" s="27"/>
      <c r="M150" s="27" t="s">
        <v>1641</v>
      </c>
      <c r="N150" s="27"/>
      <c r="O150" s="27"/>
      <c r="P150" s="3" t="s">
        <v>312</v>
      </c>
      <c r="Q150" s="29" t="s">
        <v>265</v>
      </c>
      <c r="R150" s="27" t="s">
        <v>1607</v>
      </c>
      <c r="S150" s="27" t="s">
        <v>1643</v>
      </c>
    </row>
    <row r="151" spans="1:19" ht="24" customHeight="1">
      <c r="A151" s="27" t="str">
        <f ca="1">IF(OR(D151&lt;&gt;"", F151&lt;&gt;"", L151&lt;&gt;"", O151&lt;&gt;""),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EVT-2026-0935</v>
      </c>
      <c r="B151" s="30">
        <v>46231</v>
      </c>
      <c r="C151" s="27" t="s">
        <v>227</v>
      </c>
      <c r="D151" s="27" t="s">
        <v>1366</v>
      </c>
      <c r="E151" s="27" t="s">
        <v>1260</v>
      </c>
      <c r="F151" s="27" t="s">
        <v>1719</v>
      </c>
      <c r="G151" s="10" t="s">
        <v>2326</v>
      </c>
      <c r="H151" s="36" t="s">
        <v>263</v>
      </c>
      <c r="I151" s="37" t="s">
        <v>639</v>
      </c>
      <c r="J151" s="37" t="s">
        <v>1733</v>
      </c>
      <c r="K151" s="27" t="s">
        <v>1739</v>
      </c>
      <c r="L151" s="27" t="s">
        <v>1740</v>
      </c>
      <c r="M151" s="27" t="s">
        <v>1741</v>
      </c>
      <c r="N151" s="27" t="s">
        <v>1742</v>
      </c>
      <c r="O151" s="30">
        <v>46230</v>
      </c>
      <c r="P151" s="3" t="s">
        <v>312</v>
      </c>
      <c r="Q151" s="29" t="s">
        <v>265</v>
      </c>
      <c r="R151" s="27"/>
      <c r="S151" s="27"/>
    </row>
    <row r="152" spans="1:19" ht="24" customHeight="1">
      <c r="A152" s="27" t="str">
        <f ca="1">IF(OR(D152&lt;&gt;"", F152&lt;&gt;"", L152&lt;&gt;"", O152&lt;&gt;""),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EVT-2026-0936</v>
      </c>
      <c r="B152" s="30">
        <v>46231</v>
      </c>
      <c r="C152" s="27" t="s">
        <v>227</v>
      </c>
      <c r="D152" s="27" t="s">
        <v>1714</v>
      </c>
      <c r="E152" s="27" t="s">
        <v>202</v>
      </c>
      <c r="F152" s="27" t="s">
        <v>1743</v>
      </c>
      <c r="G152" s="10">
        <v>80</v>
      </c>
      <c r="H152" s="36" t="s">
        <v>263</v>
      </c>
      <c r="I152" s="37" t="s">
        <v>309</v>
      </c>
      <c r="J152" s="37" t="s">
        <v>448</v>
      </c>
      <c r="K152" s="27" t="s">
        <v>1710</v>
      </c>
      <c r="L152" s="27"/>
      <c r="M152" s="27" t="s">
        <v>1744</v>
      </c>
      <c r="N152" s="27"/>
      <c r="O152" s="27"/>
      <c r="P152" s="1" t="s">
        <v>264</v>
      </c>
      <c r="Q152" s="29" t="s">
        <v>265</v>
      </c>
      <c r="R152" s="27" t="s">
        <v>1658</v>
      </c>
      <c r="S152" s="27" t="s">
        <v>1745</v>
      </c>
    </row>
    <row r="153" spans="1:19" ht="24" customHeight="1">
      <c r="A153" s="27" t="str">
        <f ca="1">IF(OR(D153&lt;&gt;"", F153&lt;&gt;"", L153&lt;&gt;"", O153&lt;&gt;""),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EVT-2026-0937</v>
      </c>
      <c r="B153" s="30">
        <v>46231</v>
      </c>
      <c r="C153" s="27" t="s">
        <v>227</v>
      </c>
      <c r="D153" s="27" t="s">
        <v>1366</v>
      </c>
      <c r="E153" s="27" t="s">
        <v>202</v>
      </c>
      <c r="F153" s="27" t="s">
        <v>543</v>
      </c>
      <c r="G153" s="10"/>
      <c r="H153" s="36" t="s">
        <v>263</v>
      </c>
      <c r="I153" s="37" t="s">
        <v>295</v>
      </c>
      <c r="J153" s="37" t="s">
        <v>503</v>
      </c>
      <c r="K153" s="27"/>
      <c r="L153" s="27"/>
      <c r="M153" s="27" t="s">
        <v>1746</v>
      </c>
      <c r="N153" s="27"/>
      <c r="O153" s="27"/>
      <c r="P153" s="1" t="s">
        <v>264</v>
      </c>
      <c r="Q153" s="29" t="s">
        <v>265</v>
      </c>
      <c r="R153" s="27" t="s">
        <v>1747</v>
      </c>
      <c r="S153" s="27" t="s">
        <v>1748</v>
      </c>
    </row>
    <row r="154" spans="1:19" ht="24" customHeight="1">
      <c r="A154" s="27" t="str">
        <f ca="1">IF(OR(D154&lt;&gt;"", F154&lt;&gt;"", L154&lt;&gt;"", O154&lt;&gt;""),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EVT-2026-0938</v>
      </c>
      <c r="B154" s="30">
        <v>46231</v>
      </c>
      <c r="C154" s="27" t="s">
        <v>227</v>
      </c>
      <c r="D154" s="27" t="s">
        <v>1366</v>
      </c>
      <c r="E154" s="27" t="s">
        <v>202</v>
      </c>
      <c r="F154" s="27" t="s">
        <v>895</v>
      </c>
      <c r="G154" s="10">
        <v>22</v>
      </c>
      <c r="H154" s="36" t="s">
        <v>263</v>
      </c>
      <c r="I154" s="37" t="s">
        <v>275</v>
      </c>
      <c r="J154" s="37" t="s">
        <v>289</v>
      </c>
      <c r="K154" s="27" t="s">
        <v>1445</v>
      </c>
      <c r="L154" s="27" t="s">
        <v>1445</v>
      </c>
      <c r="M154" s="27" t="s">
        <v>1749</v>
      </c>
      <c r="N154" s="27" t="s">
        <v>1750</v>
      </c>
      <c r="O154" s="30">
        <v>46230</v>
      </c>
      <c r="P154" s="1" t="s">
        <v>264</v>
      </c>
      <c r="Q154" s="29" t="s">
        <v>265</v>
      </c>
      <c r="R154" s="27" t="s">
        <v>1748</v>
      </c>
      <c r="S154" s="27" t="s">
        <v>1751</v>
      </c>
    </row>
    <row r="155" spans="1:19" ht="24" customHeight="1">
      <c r="A155" s="27" t="str">
        <f ca="1">IF(OR(D155&lt;&gt;"", F155&lt;&gt;"", L155&lt;&gt;"", O155&lt;&gt;""),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EVT-2026-0939</v>
      </c>
      <c r="B155" s="30">
        <v>46232</v>
      </c>
      <c r="C155" s="27" t="s">
        <v>201</v>
      </c>
      <c r="D155" s="27" t="s">
        <v>125</v>
      </c>
      <c r="E155" s="27" t="s">
        <v>228</v>
      </c>
      <c r="F155" s="27" t="s">
        <v>1752</v>
      </c>
      <c r="G155" s="10">
        <v>60</v>
      </c>
      <c r="H155" s="36" t="s">
        <v>263</v>
      </c>
      <c r="I155" s="37" t="s">
        <v>281</v>
      </c>
      <c r="J155" s="37" t="s">
        <v>315</v>
      </c>
      <c r="K155" s="27" t="s">
        <v>1445</v>
      </c>
      <c r="L155" s="27" t="s">
        <v>1445</v>
      </c>
      <c r="M155" s="27" t="s">
        <v>1753</v>
      </c>
      <c r="N155" s="27" t="s">
        <v>1754</v>
      </c>
      <c r="O155" s="30">
        <v>46230</v>
      </c>
      <c r="P155" s="1" t="s">
        <v>264</v>
      </c>
      <c r="Q155" s="29" t="s">
        <v>265</v>
      </c>
      <c r="R155" s="27" t="s">
        <v>1755</v>
      </c>
      <c r="S155" s="27" t="s">
        <v>1497</v>
      </c>
    </row>
    <row r="156" spans="1:19" ht="24" customHeight="1">
      <c r="A156" s="27" t="str">
        <f ca="1">IF(OR(D156&lt;&gt;"", F156&lt;&gt;"", L156&lt;&gt;"", O156&lt;&gt;""),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EVT-2026-0940</v>
      </c>
      <c r="B156" s="30">
        <v>46232</v>
      </c>
      <c r="C156" s="27" t="s">
        <v>201</v>
      </c>
      <c r="D156" s="27" t="s">
        <v>125</v>
      </c>
      <c r="E156" s="27" t="s">
        <v>228</v>
      </c>
      <c r="F156" s="27" t="s">
        <v>1756</v>
      </c>
      <c r="G156" s="10" t="s">
        <v>2202</v>
      </c>
      <c r="H156" s="38" t="s">
        <v>294</v>
      </c>
      <c r="I156" s="37" t="s">
        <v>274</v>
      </c>
      <c r="J156" s="37" t="s">
        <v>331</v>
      </c>
      <c r="K156" s="27" t="s">
        <v>382</v>
      </c>
      <c r="L156" s="27" t="s">
        <v>1757</v>
      </c>
      <c r="M156" s="27" t="s">
        <v>1758</v>
      </c>
      <c r="N156" s="27" t="s">
        <v>1759</v>
      </c>
      <c r="O156" s="30">
        <v>46225</v>
      </c>
      <c r="P156" s="1" t="s">
        <v>264</v>
      </c>
      <c r="Q156" s="29" t="s">
        <v>265</v>
      </c>
      <c r="R156" s="27" t="s">
        <v>1760</v>
      </c>
      <c r="S156" s="27" t="s">
        <v>1497</v>
      </c>
    </row>
    <row r="157" spans="1:19" ht="24" customHeight="1">
      <c r="A157" s="27" t="str">
        <f ca="1">IF(OR(D157&lt;&gt;"", F157&lt;&gt;"", L157&lt;&gt;"", O157&lt;&gt;""),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EVT-2026-0941</v>
      </c>
      <c r="B157" s="30">
        <v>46232</v>
      </c>
      <c r="C157" s="27" t="s">
        <v>201</v>
      </c>
      <c r="D157" s="27" t="s">
        <v>125</v>
      </c>
      <c r="E157" s="27" t="s">
        <v>228</v>
      </c>
      <c r="F157" s="27" t="s">
        <v>1761</v>
      </c>
      <c r="G157" s="10">
        <v>50</v>
      </c>
      <c r="H157" s="36" t="s">
        <v>263</v>
      </c>
      <c r="I157" s="37" t="s">
        <v>354</v>
      </c>
      <c r="J157" s="37" t="s">
        <v>289</v>
      </c>
      <c r="K157" s="27" t="s">
        <v>369</v>
      </c>
      <c r="L157" s="27" t="s">
        <v>369</v>
      </c>
      <c r="M157" s="27" t="s">
        <v>1762</v>
      </c>
      <c r="N157" s="27" t="s">
        <v>1763</v>
      </c>
      <c r="O157" s="30">
        <v>46225</v>
      </c>
      <c r="P157" s="1" t="s">
        <v>264</v>
      </c>
      <c r="Q157" s="29" t="s">
        <v>265</v>
      </c>
      <c r="R157" s="27" t="s">
        <v>1764</v>
      </c>
      <c r="S157" s="27"/>
    </row>
    <row r="158" spans="1:19" ht="24" customHeight="1">
      <c r="A158" s="27" t="str">
        <f ca="1">IF(OR(D158&lt;&gt;"", F158&lt;&gt;"", L158&lt;&gt;"", O158&lt;&gt;""),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EVT-2026-0942</v>
      </c>
      <c r="B158" s="30">
        <v>46232</v>
      </c>
      <c r="C158" s="27" t="s">
        <v>201</v>
      </c>
      <c r="D158" s="27" t="s">
        <v>1512</v>
      </c>
      <c r="E158" s="27" t="s">
        <v>228</v>
      </c>
      <c r="F158" s="27" t="s">
        <v>1765</v>
      </c>
      <c r="G158" s="10">
        <v>40</v>
      </c>
      <c r="H158" s="36" t="s">
        <v>263</v>
      </c>
      <c r="I158" s="37" t="s">
        <v>295</v>
      </c>
      <c r="J158" s="37" t="s">
        <v>290</v>
      </c>
      <c r="K158" s="27"/>
      <c r="L158" s="27"/>
      <c r="M158" s="27" t="s">
        <v>1766</v>
      </c>
      <c r="N158" s="27" t="s">
        <v>1767</v>
      </c>
      <c r="O158" s="30">
        <v>46230</v>
      </c>
      <c r="P158" s="1" t="s">
        <v>264</v>
      </c>
      <c r="Q158" s="29" t="s">
        <v>265</v>
      </c>
      <c r="R158" s="27" t="s">
        <v>1768</v>
      </c>
      <c r="S158" s="27" t="s">
        <v>1751</v>
      </c>
    </row>
    <row r="159" spans="1:19" ht="24" customHeight="1">
      <c r="A159" s="27" t="str">
        <f ca="1">IF(OR(D159&lt;&gt;"", F159&lt;&gt;"", L159&lt;&gt;"", O159&lt;&gt;""),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EVT-2026-0943</v>
      </c>
      <c r="B159" s="30">
        <v>46232</v>
      </c>
      <c r="C159" s="27" t="s">
        <v>201</v>
      </c>
      <c r="D159" s="27" t="s">
        <v>239</v>
      </c>
      <c r="E159" s="27" t="s">
        <v>202</v>
      </c>
      <c r="F159" s="27" t="s">
        <v>1501</v>
      </c>
      <c r="G159" s="10">
        <v>150</v>
      </c>
      <c r="H159" s="38" t="s">
        <v>294</v>
      </c>
      <c r="I159" s="37" t="s">
        <v>274</v>
      </c>
      <c r="J159" s="37" t="s">
        <v>429</v>
      </c>
      <c r="K159" s="27"/>
      <c r="L159" s="27"/>
      <c r="M159" s="27" t="s">
        <v>1730</v>
      </c>
      <c r="N159" s="27"/>
      <c r="O159" s="27"/>
      <c r="P159" s="1" t="s">
        <v>264</v>
      </c>
      <c r="Q159" s="29" t="s">
        <v>265</v>
      </c>
      <c r="R159" s="27"/>
      <c r="S159" s="27" t="s">
        <v>1769</v>
      </c>
    </row>
    <row r="160" spans="1:19" ht="24" customHeight="1">
      <c r="A160" s="27" t="str">
        <f ca="1">IF(OR(D160&lt;&gt;"", F160&lt;&gt;"", L160&lt;&gt;"", O160&lt;&gt;""),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EVT-2026-0944</v>
      </c>
      <c r="B160" s="30">
        <v>46232</v>
      </c>
      <c r="C160" s="27" t="s">
        <v>201</v>
      </c>
      <c r="D160" s="27" t="s">
        <v>1366</v>
      </c>
      <c r="E160" s="27" t="s">
        <v>208</v>
      </c>
      <c r="F160" s="27" t="s">
        <v>217</v>
      </c>
      <c r="G160" s="10">
        <v>50</v>
      </c>
      <c r="H160" s="36" t="s">
        <v>263</v>
      </c>
      <c r="I160" s="37" t="s">
        <v>309</v>
      </c>
      <c r="J160" s="37" t="s">
        <v>296</v>
      </c>
      <c r="K160" s="27"/>
      <c r="L160" s="27"/>
      <c r="M160" s="27" t="s">
        <v>370</v>
      </c>
      <c r="N160" s="27" t="s">
        <v>1511</v>
      </c>
      <c r="O160" s="27"/>
      <c r="P160" s="1" t="s">
        <v>264</v>
      </c>
      <c r="Q160" s="29" t="s">
        <v>265</v>
      </c>
      <c r="R160" s="27" t="s">
        <v>298</v>
      </c>
      <c r="S160" s="27"/>
    </row>
    <row r="161" spans="1:19" ht="24" customHeight="1">
      <c r="A161" s="27" t="str">
        <f ca="1">IF(OR(D161&lt;&gt;"", F161&lt;&gt;"", L161&lt;&gt;"", O161&lt;&gt;""),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EVT-2026-0945</v>
      </c>
      <c r="B161" s="30">
        <v>46232</v>
      </c>
      <c r="C161" s="27" t="s">
        <v>201</v>
      </c>
      <c r="D161" s="27" t="s">
        <v>1714</v>
      </c>
      <c r="E161" s="27" t="s">
        <v>202</v>
      </c>
      <c r="F161" s="27" t="s">
        <v>1770</v>
      </c>
      <c r="G161" s="10">
        <v>45</v>
      </c>
      <c r="H161" s="36" t="s">
        <v>263</v>
      </c>
      <c r="I161" s="37" t="s">
        <v>309</v>
      </c>
      <c r="J161" s="37" t="s">
        <v>359</v>
      </c>
      <c r="K161" s="27" t="s">
        <v>369</v>
      </c>
      <c r="L161" s="27" t="s">
        <v>1771</v>
      </c>
      <c r="M161" s="27" t="s">
        <v>583</v>
      </c>
      <c r="N161" s="27" t="s">
        <v>1772</v>
      </c>
      <c r="O161" s="30">
        <v>46226</v>
      </c>
      <c r="P161" s="1" t="s">
        <v>264</v>
      </c>
      <c r="Q161" s="29" t="s">
        <v>265</v>
      </c>
      <c r="R161" s="27" t="s">
        <v>1177</v>
      </c>
      <c r="S161" s="27"/>
    </row>
    <row r="162" spans="1:19" ht="24" customHeight="1">
      <c r="A162" s="27" t="str">
        <f ca="1">IF(OR(D162&lt;&gt;"", F162&lt;&gt;"", L162&lt;&gt;"", O162&lt;&gt;""),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EVT-2026-0946</v>
      </c>
      <c r="B162" s="30">
        <v>46232</v>
      </c>
      <c r="C162" s="27" t="s">
        <v>201</v>
      </c>
      <c r="D162" s="27" t="s">
        <v>1366</v>
      </c>
      <c r="E162" s="27" t="s">
        <v>202</v>
      </c>
      <c r="F162" s="27" t="s">
        <v>1765</v>
      </c>
      <c r="G162" s="10">
        <v>40</v>
      </c>
      <c r="H162" s="36" t="s">
        <v>263</v>
      </c>
      <c r="I162" s="37" t="s">
        <v>350</v>
      </c>
      <c r="J162" s="37" t="s">
        <v>359</v>
      </c>
      <c r="K162" s="27" t="s">
        <v>610</v>
      </c>
      <c r="L162" s="27"/>
      <c r="M162" s="27" t="s">
        <v>1766</v>
      </c>
      <c r="N162" s="27"/>
      <c r="O162" s="27"/>
      <c r="P162" s="3" t="s">
        <v>312</v>
      </c>
      <c r="Q162" s="29" t="s">
        <v>265</v>
      </c>
      <c r="R162" s="27" t="s">
        <v>1773</v>
      </c>
      <c r="S162" s="27" t="s">
        <v>1774</v>
      </c>
    </row>
    <row r="163" spans="1:19" ht="24" customHeight="1">
      <c r="A163" s="27" t="str">
        <f ca="1">IF(OR(D163&lt;&gt;"", F163&lt;&gt;"", L163&lt;&gt;"", O163&lt;&gt;""),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EVT-2026-0947</v>
      </c>
      <c r="B163" s="30">
        <v>46232</v>
      </c>
      <c r="C163" s="27" t="s">
        <v>201</v>
      </c>
      <c r="D163" s="27" t="s">
        <v>1366</v>
      </c>
      <c r="E163" s="27" t="s">
        <v>1260</v>
      </c>
      <c r="F163" s="27" t="s">
        <v>895</v>
      </c>
      <c r="G163" s="10">
        <v>22</v>
      </c>
      <c r="H163" s="36" t="s">
        <v>263</v>
      </c>
      <c r="I163" s="37" t="s">
        <v>295</v>
      </c>
      <c r="J163" s="37" t="s">
        <v>290</v>
      </c>
      <c r="K163" s="27" t="s">
        <v>1445</v>
      </c>
      <c r="L163" s="27"/>
      <c r="M163" s="27" t="s">
        <v>1749</v>
      </c>
      <c r="N163" s="27"/>
      <c r="O163" s="27"/>
      <c r="P163" s="1" t="s">
        <v>264</v>
      </c>
      <c r="Q163" s="29" t="s">
        <v>265</v>
      </c>
      <c r="R163" s="27" t="s">
        <v>1775</v>
      </c>
      <c r="S163" s="27" t="s">
        <v>1748</v>
      </c>
    </row>
    <row r="164" spans="1:19" ht="24" customHeight="1">
      <c r="A164" s="27" t="str">
        <f ca="1">IF(OR(D164&lt;&gt;"", F164&lt;&gt;"", L164&lt;&gt;"", O164&lt;&gt;""),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EVT-2026-0948</v>
      </c>
      <c r="B164" s="30">
        <v>46232</v>
      </c>
      <c r="C164" s="27" t="s">
        <v>201</v>
      </c>
      <c r="D164" s="27" t="s">
        <v>1366</v>
      </c>
      <c r="E164" s="27" t="s">
        <v>1260</v>
      </c>
      <c r="F164" s="27" t="s">
        <v>895</v>
      </c>
      <c r="G164" s="10">
        <v>22</v>
      </c>
      <c r="H164" s="36" t="s">
        <v>263</v>
      </c>
      <c r="I164" s="37" t="s">
        <v>275</v>
      </c>
      <c r="J164" s="37" t="s">
        <v>289</v>
      </c>
      <c r="K164" s="27" t="s">
        <v>1445</v>
      </c>
      <c r="L164" s="27"/>
      <c r="M164" s="27" t="s">
        <v>1749</v>
      </c>
      <c r="N164" s="27"/>
      <c r="O164" s="27"/>
      <c r="P164" s="1" t="s">
        <v>264</v>
      </c>
      <c r="Q164" s="29" t="s">
        <v>265</v>
      </c>
      <c r="R164" s="27" t="s">
        <v>1775</v>
      </c>
      <c r="S164" s="27" t="s">
        <v>1748</v>
      </c>
    </row>
    <row r="165" spans="1:19" ht="24" customHeight="1">
      <c r="A165" s="27" t="str">
        <f ca="1">IF(OR(D165&lt;&gt;"", F165&lt;&gt;"", L165&lt;&gt;"", O165&lt;&gt;""),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EVT-2026-0949</v>
      </c>
      <c r="B165" s="30">
        <v>46232</v>
      </c>
      <c r="C165" s="27" t="s">
        <v>201</v>
      </c>
      <c r="D165" s="27" t="s">
        <v>1366</v>
      </c>
      <c r="E165" s="27" t="s">
        <v>1260</v>
      </c>
      <c r="F165" s="27" t="s">
        <v>895</v>
      </c>
      <c r="G165" s="10">
        <v>20</v>
      </c>
      <c r="H165" s="36" t="s">
        <v>263</v>
      </c>
      <c r="I165" s="37" t="s">
        <v>330</v>
      </c>
      <c r="J165" s="37" t="s">
        <v>331</v>
      </c>
      <c r="K165" s="27" t="s">
        <v>1445</v>
      </c>
      <c r="L165" s="27"/>
      <c r="M165" s="27" t="s">
        <v>1776</v>
      </c>
      <c r="N165" s="27"/>
      <c r="O165" s="27"/>
      <c r="P165" s="1" t="s">
        <v>264</v>
      </c>
      <c r="Q165" s="29" t="s">
        <v>265</v>
      </c>
      <c r="R165" s="27" t="s">
        <v>1775</v>
      </c>
      <c r="S165" s="27" t="s">
        <v>1748</v>
      </c>
    </row>
    <row r="166" spans="1:19" ht="24" customHeight="1">
      <c r="A166" s="27" t="str">
        <f ca="1">IF(OR(D166&lt;&gt;"", F166&lt;&gt;"", L166&lt;&gt;"", O166&lt;&gt;""),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EVT-2026-0950</v>
      </c>
      <c r="B166" s="30">
        <v>46232</v>
      </c>
      <c r="C166" s="27" t="s">
        <v>201</v>
      </c>
      <c r="D166" s="27" t="s">
        <v>1777</v>
      </c>
      <c r="E166" s="27" t="s">
        <v>202</v>
      </c>
      <c r="F166" s="27" t="s">
        <v>1778</v>
      </c>
      <c r="G166" s="10" t="s">
        <v>2327</v>
      </c>
      <c r="H166" s="36" t="s">
        <v>263</v>
      </c>
      <c r="I166" s="37" t="s">
        <v>330</v>
      </c>
      <c r="J166" s="37" t="s">
        <v>331</v>
      </c>
      <c r="K166" s="27"/>
      <c r="L166" s="27"/>
      <c r="M166" s="27" t="s">
        <v>1007</v>
      </c>
      <c r="N166" s="27"/>
      <c r="O166" s="27"/>
      <c r="P166" s="1" t="s">
        <v>264</v>
      </c>
      <c r="Q166" s="29" t="s">
        <v>265</v>
      </c>
      <c r="R166" s="27" t="s">
        <v>1775</v>
      </c>
      <c r="S166" s="27" t="s">
        <v>1748</v>
      </c>
    </row>
    <row r="167" spans="1:19" ht="24" customHeight="1">
      <c r="A167" s="27" t="str">
        <f ca="1">IF(OR(D167&lt;&gt;"", F167&lt;&gt;"", L167&lt;&gt;"", O167&lt;&gt;""),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EVT-2026-0951</v>
      </c>
      <c r="B167" s="30">
        <v>46233</v>
      </c>
      <c r="C167" s="27" t="s">
        <v>216</v>
      </c>
      <c r="D167" s="27" t="s">
        <v>1512</v>
      </c>
      <c r="E167" s="27" t="s">
        <v>228</v>
      </c>
      <c r="F167" s="27" t="s">
        <v>658</v>
      </c>
      <c r="G167" s="10">
        <v>60</v>
      </c>
      <c r="H167" s="36" t="s">
        <v>263</v>
      </c>
      <c r="I167" s="37" t="s">
        <v>295</v>
      </c>
      <c r="J167" s="37" t="s">
        <v>270</v>
      </c>
      <c r="K167" s="27" t="s">
        <v>1779</v>
      </c>
      <c r="L167" s="27"/>
      <c r="M167" s="27" t="s">
        <v>1163</v>
      </c>
      <c r="N167" s="27"/>
      <c r="O167" s="27"/>
      <c r="P167" s="1" t="s">
        <v>264</v>
      </c>
      <c r="Q167" s="29" t="s">
        <v>265</v>
      </c>
      <c r="R167" s="27"/>
      <c r="S167" s="27" t="s">
        <v>1780</v>
      </c>
    </row>
    <row r="168" spans="1:19" ht="24" customHeight="1">
      <c r="A168" s="27" t="str">
        <f ca="1">IF(OR(D168&lt;&gt;"", F168&lt;&gt;"", L168&lt;&gt;"", O168&lt;&gt;""),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EVT-2026-0952</v>
      </c>
      <c r="B168" s="30">
        <v>46233</v>
      </c>
      <c r="C168" s="27" t="s">
        <v>216</v>
      </c>
      <c r="D168" s="27" t="s">
        <v>1512</v>
      </c>
      <c r="E168" s="27" t="s">
        <v>228</v>
      </c>
      <c r="F168" s="27" t="s">
        <v>1781</v>
      </c>
      <c r="G168" s="10">
        <v>100</v>
      </c>
      <c r="H168" s="38" t="s">
        <v>294</v>
      </c>
      <c r="I168" s="37" t="s">
        <v>338</v>
      </c>
      <c r="J168" s="37" t="s">
        <v>274</v>
      </c>
      <c r="K168" s="27"/>
      <c r="L168" s="27"/>
      <c r="M168" s="27" t="s">
        <v>585</v>
      </c>
      <c r="N168" s="27"/>
      <c r="O168" s="27"/>
      <c r="P168" s="1" t="s">
        <v>264</v>
      </c>
      <c r="Q168" s="29" t="s">
        <v>265</v>
      </c>
      <c r="R168" s="27" t="s">
        <v>1782</v>
      </c>
      <c r="S168" s="27" t="s">
        <v>1177</v>
      </c>
    </row>
    <row r="169" spans="1:19" ht="24" customHeight="1">
      <c r="A169" s="27" t="str">
        <f ca="1">IF(OR(D169&lt;&gt;"", F169&lt;&gt;"", L169&lt;&gt;"", O169&lt;&gt;""),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EVT-2026-0953</v>
      </c>
      <c r="B169" s="30">
        <v>46233</v>
      </c>
      <c r="C169" s="27" t="s">
        <v>216</v>
      </c>
      <c r="D169" s="27" t="s">
        <v>1366</v>
      </c>
      <c r="E169" s="27" t="s">
        <v>208</v>
      </c>
      <c r="F169" s="27" t="s">
        <v>217</v>
      </c>
      <c r="G169" s="10">
        <v>50</v>
      </c>
      <c r="H169" s="36" t="s">
        <v>263</v>
      </c>
      <c r="I169" s="37" t="s">
        <v>309</v>
      </c>
      <c r="J169" s="37" t="s">
        <v>296</v>
      </c>
      <c r="K169" s="27"/>
      <c r="L169" s="27"/>
      <c r="M169" s="27" t="s">
        <v>1783</v>
      </c>
      <c r="N169" s="27"/>
      <c r="O169" s="27"/>
      <c r="P169" s="1" t="s">
        <v>264</v>
      </c>
      <c r="Q169" s="29" t="s">
        <v>265</v>
      </c>
      <c r="R169" s="27"/>
      <c r="S169" s="27" t="s">
        <v>298</v>
      </c>
    </row>
    <row r="170" spans="1:19" ht="24" customHeight="1">
      <c r="A170" s="27" t="str">
        <f ca="1">IF(OR(D170&lt;&gt;"", F170&lt;&gt;"", L170&lt;&gt;"", O170&lt;&gt;""),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EVT-2026-0954</v>
      </c>
      <c r="B170" s="30">
        <v>46233</v>
      </c>
      <c r="C170" s="27" t="s">
        <v>216</v>
      </c>
      <c r="D170" s="27" t="s">
        <v>1512</v>
      </c>
      <c r="E170" s="27" t="s">
        <v>228</v>
      </c>
      <c r="F170" s="27" t="s">
        <v>1574</v>
      </c>
      <c r="G170" s="10">
        <v>5</v>
      </c>
      <c r="H170" s="36" t="s">
        <v>263</v>
      </c>
      <c r="I170" s="37" t="s">
        <v>275</v>
      </c>
      <c r="J170" s="37" t="s">
        <v>309</v>
      </c>
      <c r="K170" s="27" t="s">
        <v>369</v>
      </c>
      <c r="L170" s="27" t="s">
        <v>369</v>
      </c>
      <c r="M170" s="27" t="s">
        <v>1784</v>
      </c>
      <c r="N170" s="27"/>
      <c r="O170" s="27"/>
      <c r="P170" s="1" t="s">
        <v>264</v>
      </c>
      <c r="Q170" s="29" t="s">
        <v>265</v>
      </c>
      <c r="R170" s="27"/>
      <c r="S170" s="27" t="s">
        <v>1692</v>
      </c>
    </row>
    <row r="171" spans="1:19" ht="24" customHeight="1">
      <c r="A171" s="27" t="str">
        <f ca="1">IF(OR(D171&lt;&gt;"", F171&lt;&gt;"", L171&lt;&gt;"", O171&lt;&gt;""),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EVT-2026-0955</v>
      </c>
      <c r="B171" s="30">
        <v>46233</v>
      </c>
      <c r="C171" s="27" t="s">
        <v>216</v>
      </c>
      <c r="D171" s="27" t="s">
        <v>736</v>
      </c>
      <c r="E171" s="27" t="s">
        <v>202</v>
      </c>
      <c r="F171" s="27" t="s">
        <v>1785</v>
      </c>
      <c r="G171" s="10">
        <v>50</v>
      </c>
      <c r="H171" s="36" t="s">
        <v>263</v>
      </c>
      <c r="I171" s="37" t="s">
        <v>309</v>
      </c>
      <c r="J171" s="37" t="s">
        <v>295</v>
      </c>
      <c r="K171" s="27" t="s">
        <v>1445</v>
      </c>
      <c r="L171" s="27" t="s">
        <v>1670</v>
      </c>
      <c r="M171" s="27" t="s">
        <v>378</v>
      </c>
      <c r="N171" s="27" t="s">
        <v>1786</v>
      </c>
      <c r="O171" s="30">
        <v>46220</v>
      </c>
      <c r="P171" s="1" t="s">
        <v>264</v>
      </c>
      <c r="Q171" s="29" t="s">
        <v>265</v>
      </c>
      <c r="R171" s="27" t="s">
        <v>298</v>
      </c>
      <c r="S171" s="27" t="s">
        <v>1497</v>
      </c>
    </row>
    <row r="172" spans="1:19" ht="24" customHeight="1">
      <c r="A172" s="27" t="str">
        <f ca="1">IF(OR(D172&lt;&gt;"", F172&lt;&gt;"", L172&lt;&gt;"", O172&lt;&gt;""),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EVT-2026-0956</v>
      </c>
      <c r="B172" s="30">
        <v>46233</v>
      </c>
      <c r="C172" s="27" t="s">
        <v>216</v>
      </c>
      <c r="D172" s="27" t="s">
        <v>1706</v>
      </c>
      <c r="E172" s="27" t="s">
        <v>202</v>
      </c>
      <c r="F172" s="27" t="s">
        <v>1687</v>
      </c>
      <c r="G172" s="10">
        <v>30</v>
      </c>
      <c r="H172" s="36" t="s">
        <v>263</v>
      </c>
      <c r="I172" s="37" t="s">
        <v>295</v>
      </c>
      <c r="J172" s="37" t="s">
        <v>296</v>
      </c>
      <c r="K172" s="27" t="s">
        <v>1445</v>
      </c>
      <c r="L172" s="27" t="s">
        <v>1670</v>
      </c>
      <c r="M172" s="27" t="s">
        <v>351</v>
      </c>
      <c r="N172" s="27" t="s">
        <v>1601</v>
      </c>
      <c r="O172" s="30">
        <v>46227</v>
      </c>
      <c r="P172" s="1" t="s">
        <v>264</v>
      </c>
      <c r="Q172" s="29" t="s">
        <v>265</v>
      </c>
      <c r="R172" s="27" t="s">
        <v>1673</v>
      </c>
      <c r="S172" s="27" t="s">
        <v>1497</v>
      </c>
    </row>
    <row r="173" spans="1:19" ht="24" customHeight="1">
      <c r="A173" s="27" t="str">
        <f ca="1">IF(OR(D173&lt;&gt;"", F173&lt;&gt;"", L173&lt;&gt;"", O173&lt;&gt;""),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EVT-2026-0957</v>
      </c>
      <c r="B173" s="30">
        <v>46233</v>
      </c>
      <c r="C173" s="27" t="s">
        <v>216</v>
      </c>
      <c r="D173" s="27" t="s">
        <v>1366</v>
      </c>
      <c r="E173" s="27" t="s">
        <v>1260</v>
      </c>
      <c r="F173" s="27" t="s">
        <v>895</v>
      </c>
      <c r="G173" s="10">
        <v>22</v>
      </c>
      <c r="H173" s="36" t="s">
        <v>263</v>
      </c>
      <c r="I173" s="37" t="s">
        <v>275</v>
      </c>
      <c r="J173" s="37" t="s">
        <v>289</v>
      </c>
      <c r="K173" s="27" t="s">
        <v>1445</v>
      </c>
      <c r="L173" s="27"/>
      <c r="M173" s="27" t="s">
        <v>1749</v>
      </c>
      <c r="N173" s="27"/>
      <c r="O173" s="27"/>
      <c r="P173" s="1" t="s">
        <v>264</v>
      </c>
      <c r="Q173" s="29" t="s">
        <v>265</v>
      </c>
      <c r="R173" s="27" t="s">
        <v>1775</v>
      </c>
      <c r="S173" s="27" t="s">
        <v>1748</v>
      </c>
    </row>
    <row r="174" spans="1:19" ht="24" customHeight="1">
      <c r="A174" s="27" t="str">
        <f ca="1">IF(OR(D174&lt;&gt;"", F174&lt;&gt;"", L174&lt;&gt;"", O174&lt;&gt;""),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EVT-2026-0958</v>
      </c>
      <c r="B174" s="30">
        <v>46234</v>
      </c>
      <c r="C174" s="27" t="s">
        <v>220</v>
      </c>
      <c r="D174" s="27" t="s">
        <v>1787</v>
      </c>
      <c r="E174" s="27" t="s">
        <v>208</v>
      </c>
      <c r="F174" s="27" t="s">
        <v>1788</v>
      </c>
      <c r="G174" s="10" t="s">
        <v>2328</v>
      </c>
      <c r="H174" s="36" t="s">
        <v>263</v>
      </c>
      <c r="I174" s="37" t="s">
        <v>275</v>
      </c>
      <c r="J174" s="37" t="s">
        <v>295</v>
      </c>
      <c r="K174" s="27" t="s">
        <v>1789</v>
      </c>
      <c r="L174" s="27" t="s">
        <v>382</v>
      </c>
      <c r="M174" s="27" t="s">
        <v>1790</v>
      </c>
      <c r="N174" s="27" t="s">
        <v>1791</v>
      </c>
      <c r="O174" s="30">
        <v>46227</v>
      </c>
      <c r="P174" s="3" t="s">
        <v>312</v>
      </c>
      <c r="Q174" s="29" t="s">
        <v>265</v>
      </c>
      <c r="R174" s="27"/>
      <c r="S174" s="27"/>
    </row>
    <row r="175" spans="1:19" ht="24" customHeight="1">
      <c r="A175" s="27" t="str">
        <f ca="1">IF(OR(D175&lt;&gt;"", F175&lt;&gt;"", L175&lt;&gt;"", O175&lt;&gt;""),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EVT-2026-0959</v>
      </c>
      <c r="B175" s="30">
        <v>46234</v>
      </c>
      <c r="C175" s="27" t="s">
        <v>220</v>
      </c>
      <c r="D175" s="27" t="s">
        <v>736</v>
      </c>
      <c r="E175" s="27" t="s">
        <v>202</v>
      </c>
      <c r="F175" s="27" t="s">
        <v>1792</v>
      </c>
      <c r="G175" s="10">
        <v>45</v>
      </c>
      <c r="H175" s="36" t="s">
        <v>263</v>
      </c>
      <c r="I175" s="37" t="s">
        <v>330</v>
      </c>
      <c r="J175" s="37" t="s">
        <v>354</v>
      </c>
      <c r="K175" s="27" t="s">
        <v>1445</v>
      </c>
      <c r="L175" s="27" t="s">
        <v>1793</v>
      </c>
      <c r="M175" s="27" t="s">
        <v>1794</v>
      </c>
      <c r="N175" s="27" t="s">
        <v>1795</v>
      </c>
      <c r="O175" s="30">
        <v>46226</v>
      </c>
      <c r="P175" s="3" t="s">
        <v>312</v>
      </c>
      <c r="Q175" s="29" t="s">
        <v>265</v>
      </c>
      <c r="R175" s="27" t="s">
        <v>1673</v>
      </c>
      <c r="S175" s="27" t="s">
        <v>1796</v>
      </c>
    </row>
    <row r="176" spans="1:19" ht="24" customHeight="1">
      <c r="A176" s="27" t="str">
        <f ca="1">IF(OR(D176&lt;&gt;"", F176&lt;&gt;"", L176&lt;&gt;"", O176&lt;&gt;""),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EVT-2026-0960</v>
      </c>
      <c r="B176" s="30">
        <v>46234</v>
      </c>
      <c r="C176" s="27" t="s">
        <v>220</v>
      </c>
      <c r="D176" s="27" t="s">
        <v>239</v>
      </c>
      <c r="E176" s="27" t="s">
        <v>202</v>
      </c>
      <c r="F176" s="27" t="s">
        <v>1507</v>
      </c>
      <c r="G176" s="10" t="s">
        <v>2202</v>
      </c>
      <c r="H176" s="38" t="s">
        <v>294</v>
      </c>
      <c r="I176" s="37" t="s">
        <v>274</v>
      </c>
      <c r="J176" s="37" t="s">
        <v>429</v>
      </c>
      <c r="K176" s="27"/>
      <c r="L176" s="27"/>
      <c r="M176" s="27" t="s">
        <v>719</v>
      </c>
      <c r="N176" s="27"/>
      <c r="O176" s="27"/>
      <c r="P176" s="3" t="s">
        <v>312</v>
      </c>
      <c r="Q176" s="29" t="s">
        <v>265</v>
      </c>
      <c r="R176" s="27" t="s">
        <v>1797</v>
      </c>
      <c r="S176" s="27" t="s">
        <v>1798</v>
      </c>
    </row>
    <row r="177" spans="1:19" ht="24" customHeight="1">
      <c r="A177" s="27" t="str">
        <f ca="1">IF(OR(D177&lt;&gt;"", F177&lt;&gt;"", L177&lt;&gt;"", O177&lt;&gt;""),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EVT-2026-0961</v>
      </c>
      <c r="B177" s="30">
        <v>46234</v>
      </c>
      <c r="C177" s="27" t="s">
        <v>220</v>
      </c>
      <c r="D177" s="27" t="s">
        <v>1392</v>
      </c>
      <c r="E177" s="27" t="s">
        <v>202</v>
      </c>
      <c r="F177" s="27" t="s">
        <v>344</v>
      </c>
      <c r="G177" s="10">
        <v>60</v>
      </c>
      <c r="H177" s="36" t="s">
        <v>263</v>
      </c>
      <c r="I177" s="37" t="s">
        <v>289</v>
      </c>
      <c r="J177" s="37" t="s">
        <v>296</v>
      </c>
      <c r="K177" s="27"/>
      <c r="L177" s="27"/>
      <c r="M177" s="27" t="s">
        <v>379</v>
      </c>
      <c r="N177" s="27"/>
      <c r="O177" s="27"/>
      <c r="P177" s="1" t="s">
        <v>264</v>
      </c>
      <c r="Q177" s="29" t="s">
        <v>265</v>
      </c>
      <c r="R177" s="27" t="s">
        <v>1799</v>
      </c>
      <c r="S177" s="27" t="s">
        <v>1800</v>
      </c>
    </row>
    <row r="178" spans="1:19" ht="24" customHeight="1">
      <c r="A178" s="27" t="str">
        <f ca="1">IF(OR(D178&lt;&gt;"", F178&lt;&gt;"", L178&lt;&gt;"", O178&lt;&gt;""),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EVT-2026-0962</v>
      </c>
      <c r="B178" s="30">
        <v>46234</v>
      </c>
      <c r="C178" s="27" t="s">
        <v>220</v>
      </c>
      <c r="D178" s="27" t="s">
        <v>1366</v>
      </c>
      <c r="E178" s="27" t="s">
        <v>1260</v>
      </c>
      <c r="F178" s="27" t="s">
        <v>1640</v>
      </c>
      <c r="G178" s="10">
        <v>16</v>
      </c>
      <c r="H178" s="36" t="s">
        <v>263</v>
      </c>
      <c r="I178" s="37" t="s">
        <v>269</v>
      </c>
      <c r="J178" s="37" t="s">
        <v>270</v>
      </c>
      <c r="K178" s="27" t="s">
        <v>1632</v>
      </c>
      <c r="L178" s="27"/>
      <c r="M178" s="27" t="s">
        <v>1641</v>
      </c>
      <c r="N178" s="27"/>
      <c r="O178" s="27"/>
      <c r="P178" s="3" t="s">
        <v>312</v>
      </c>
      <c r="Q178" s="29" t="s">
        <v>265</v>
      </c>
      <c r="R178" s="27" t="s">
        <v>1607</v>
      </c>
      <c r="S178" s="27" t="s">
        <v>1643</v>
      </c>
    </row>
    <row r="179" spans="1:19" ht="24" customHeight="1">
      <c r="A179" s="27" t="str">
        <f ca="1">IF(OR(D179&lt;&gt;"", F179&lt;&gt;"", L179&lt;&gt;"", O179&lt;&gt;""),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EVT-2026-0963</v>
      </c>
      <c r="B179" s="30">
        <v>46234</v>
      </c>
      <c r="C179" s="27" t="s">
        <v>220</v>
      </c>
      <c r="D179" s="27" t="s">
        <v>1512</v>
      </c>
      <c r="E179" s="27" t="s">
        <v>228</v>
      </c>
      <c r="F179" s="27" t="s">
        <v>1801</v>
      </c>
      <c r="G179" s="10">
        <v>50</v>
      </c>
      <c r="H179" s="36" t="s">
        <v>263</v>
      </c>
      <c r="I179" s="37" t="s">
        <v>295</v>
      </c>
      <c r="J179" s="37" t="s">
        <v>296</v>
      </c>
      <c r="K179" s="27" t="s">
        <v>382</v>
      </c>
      <c r="L179" s="27" t="s">
        <v>1802</v>
      </c>
      <c r="M179" s="27" t="s">
        <v>916</v>
      </c>
      <c r="N179" s="27"/>
      <c r="O179" s="27"/>
      <c r="P179" s="1" t="s">
        <v>264</v>
      </c>
      <c r="Q179" s="29" t="s">
        <v>265</v>
      </c>
      <c r="R179" s="27" t="s">
        <v>1803</v>
      </c>
      <c r="S179" s="27" t="s">
        <v>1177</v>
      </c>
    </row>
  </sheetData>
  <mergeCells count="3">
    <mergeCell ref="O1:S1"/>
    <mergeCell ref="A1:C1"/>
    <mergeCell ref="D1:N1"/>
  </mergeCells>
  <dataValidations count="4">
    <dataValidation type="list" allowBlank="1" sqref="O3:O500 P3:P179" xr:uid="{00000000-0002-0000-0F00-000000000000}">
      <formula1>"Confirmed (Done),Pending Calendar Booking,Canceled"</formula1>
    </dataValidation>
    <dataValidation type="list" allowBlank="1" sqref="P3:P229" xr:uid="{00000000-0002-0000-0F00-000001000000}">
      <formula1>"Form sent,NA"</formula1>
    </dataValidation>
    <dataValidation type="list" allowBlank="1" sqref="Q3:Q179" xr:uid="{00000000-0002-0000-0F00-000002000000}">
      <formula1>"Form sent,Not Required,NA"</formula1>
    </dataValidation>
    <dataValidation type="list" allowBlank="1" sqref="H3:H179" xr:uid="{00000000-0002-0000-0F00-000003000000}">
      <formula1>"Big Event,Small Event"</formula1>
    </dataValidation>
  </dataValidations>
  <hyperlinks>
    <hyperlink ref="A1" location="'Dashboard'!A1" display="🏠 ⮌ RETURN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57"/>
  <sheetViews>
    <sheetView workbookViewId="0">
      <pane ySplit="2" topLeftCell="A36" activePane="bottomLeft" state="frozen"/>
      <selection pane="bottomLeft" activeCell="E58" sqref="E58"/>
    </sheetView>
  </sheetViews>
  <sheetFormatPr defaultRowHeight="14.45"/>
  <cols>
    <col min="1" max="1" width="18" customWidth="1"/>
    <col min="2" max="2" width="15" customWidth="1"/>
    <col min="3" max="3" width="12" customWidth="1"/>
    <col min="4" max="4" width="34" customWidth="1"/>
    <col min="5" max="5" width="40" customWidth="1"/>
    <col min="6" max="6" width="16" customWidth="1"/>
    <col min="7" max="7" width="15" customWidth="1"/>
    <col min="8" max="8" width="19" customWidth="1"/>
    <col min="9" max="9" width="17" customWidth="1"/>
    <col min="10" max="11" width="48" customWidth="1"/>
    <col min="12" max="13" width="32" customWidth="1"/>
    <col min="14" max="14" width="18" customWidth="1"/>
    <col min="15" max="15" width="27" customWidth="1"/>
    <col min="16" max="16" width="18" customWidth="1"/>
    <col min="17" max="17" width="48" customWidth="1"/>
    <col min="18" max="18" width="19" customWidth="1"/>
  </cols>
  <sheetData>
    <row r="1" spans="1:18" ht="27.95" customHeight="1">
      <c r="A1" s="62" t="s">
        <v>2138</v>
      </c>
      <c r="B1" s="134"/>
      <c r="C1" s="135"/>
      <c r="D1" s="63" t="s">
        <v>2329</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3" s="30">
        <v>46235</v>
      </c>
      <c r="C3" s="27" t="s">
        <v>266</v>
      </c>
      <c r="D3" s="27"/>
      <c r="E3" s="27"/>
      <c r="F3" s="10"/>
      <c r="G3" s="36" t="s">
        <v>263</v>
      </c>
      <c r="H3" s="37"/>
      <c r="I3" s="37"/>
      <c r="J3" s="27"/>
      <c r="K3" s="27"/>
      <c r="L3" s="27"/>
      <c r="M3" s="27"/>
      <c r="N3" s="27"/>
      <c r="O3" s="1" t="s">
        <v>264</v>
      </c>
      <c r="P3" s="29" t="s">
        <v>265</v>
      </c>
      <c r="Q3" s="27"/>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4" s="30">
        <v>46236</v>
      </c>
      <c r="C4" s="27" t="s">
        <v>267</v>
      </c>
      <c r="D4" s="27"/>
      <c r="E4" s="27"/>
      <c r="F4" s="10"/>
      <c r="G4" s="36" t="s">
        <v>263</v>
      </c>
      <c r="H4" s="37"/>
      <c r="I4" s="37"/>
      <c r="J4" s="27"/>
      <c r="K4" s="27"/>
      <c r="L4" s="27"/>
      <c r="M4" s="27"/>
      <c r="N4" s="27"/>
      <c r="O4" s="1" t="s">
        <v>264</v>
      </c>
      <c r="P4" s="29" t="s">
        <v>265</v>
      </c>
      <c r="Q4" s="27"/>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EVT-2026-0964</v>
      </c>
      <c r="B5" s="30">
        <v>46237</v>
      </c>
      <c r="C5" s="27" t="s">
        <v>224</v>
      </c>
      <c r="D5" s="27" t="s">
        <v>1186</v>
      </c>
      <c r="E5" s="27" t="s">
        <v>1187</v>
      </c>
      <c r="F5" s="10">
        <v>40</v>
      </c>
      <c r="G5" s="36" t="s">
        <v>263</v>
      </c>
      <c r="H5" s="37" t="s">
        <v>269</v>
      </c>
      <c r="I5" s="37" t="s">
        <v>270</v>
      </c>
      <c r="J5" s="27" t="s">
        <v>610</v>
      </c>
      <c r="K5" s="27" t="s">
        <v>610</v>
      </c>
      <c r="L5" s="27" t="s">
        <v>1804</v>
      </c>
      <c r="M5" s="27"/>
      <c r="N5" s="30" t="s">
        <v>2330</v>
      </c>
      <c r="O5" s="1" t="s">
        <v>264</v>
      </c>
      <c r="P5" s="29" t="s">
        <v>265</v>
      </c>
      <c r="Q5" s="27" t="s">
        <v>1412</v>
      </c>
      <c r="R5" s="27" t="s">
        <v>1497</v>
      </c>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EVT-2026-0965</v>
      </c>
      <c r="B6" s="30">
        <v>46237</v>
      </c>
      <c r="C6" s="27" t="s">
        <v>224</v>
      </c>
      <c r="D6" s="27" t="s">
        <v>171</v>
      </c>
      <c r="E6" s="27" t="s">
        <v>1187</v>
      </c>
      <c r="F6" s="10" t="s">
        <v>2331</v>
      </c>
      <c r="G6" s="36" t="s">
        <v>263</v>
      </c>
      <c r="H6" s="37" t="s">
        <v>269</v>
      </c>
      <c r="I6" s="37" t="s">
        <v>270</v>
      </c>
      <c r="J6" s="27" t="s">
        <v>610</v>
      </c>
      <c r="K6" s="27" t="s">
        <v>610</v>
      </c>
      <c r="L6" s="27" t="s">
        <v>1804</v>
      </c>
      <c r="M6" s="27"/>
      <c r="N6" s="30" t="s">
        <v>2332</v>
      </c>
      <c r="O6" s="1" t="s">
        <v>264</v>
      </c>
      <c r="P6" s="29" t="s">
        <v>265</v>
      </c>
      <c r="Q6" s="27" t="s">
        <v>1454</v>
      </c>
      <c r="R6" s="27" t="s">
        <v>1497</v>
      </c>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EVT-2026-0966</v>
      </c>
      <c r="B7" s="30">
        <v>46238</v>
      </c>
      <c r="C7" s="27" t="s">
        <v>227</v>
      </c>
      <c r="D7" s="27" t="s">
        <v>171</v>
      </c>
      <c r="E7" s="27" t="s">
        <v>1203</v>
      </c>
      <c r="F7" s="10"/>
      <c r="G7" s="36" t="s">
        <v>263</v>
      </c>
      <c r="H7" s="37" t="s">
        <v>274</v>
      </c>
      <c r="I7" s="37" t="s">
        <v>330</v>
      </c>
      <c r="J7" s="27" t="s">
        <v>1203</v>
      </c>
      <c r="K7" s="27"/>
      <c r="L7" s="27"/>
      <c r="M7" s="27"/>
      <c r="N7" s="27"/>
      <c r="O7" s="1" t="s">
        <v>264</v>
      </c>
      <c r="P7" s="29" t="s">
        <v>265</v>
      </c>
      <c r="Q7" s="27"/>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EVT-2026-0967</v>
      </c>
      <c r="B8" s="30">
        <v>46238</v>
      </c>
      <c r="C8" s="27" t="s">
        <v>227</v>
      </c>
      <c r="D8" s="27" t="s">
        <v>1044</v>
      </c>
      <c r="E8" s="27" t="s">
        <v>1805</v>
      </c>
      <c r="F8" s="10">
        <v>150</v>
      </c>
      <c r="G8" s="38" t="s">
        <v>294</v>
      </c>
      <c r="H8" s="37" t="s">
        <v>295</v>
      </c>
      <c r="I8" s="37" t="s">
        <v>296</v>
      </c>
      <c r="J8" s="27" t="s">
        <v>369</v>
      </c>
      <c r="K8" s="27"/>
      <c r="L8" s="27" t="s">
        <v>1806</v>
      </c>
      <c r="M8" s="27"/>
      <c r="N8" s="30" t="s">
        <v>2333</v>
      </c>
      <c r="O8" s="1" t="s">
        <v>264</v>
      </c>
      <c r="P8" s="28" t="s">
        <v>1807</v>
      </c>
      <c r="Q8" s="27" t="s">
        <v>1411</v>
      </c>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EVT-2026-0968</v>
      </c>
      <c r="B9" s="30">
        <v>46238</v>
      </c>
      <c r="C9" s="27" t="s">
        <v>227</v>
      </c>
      <c r="D9" s="27" t="s">
        <v>1240</v>
      </c>
      <c r="E9" s="27" t="s">
        <v>1179</v>
      </c>
      <c r="F9" s="10">
        <v>30</v>
      </c>
      <c r="G9" s="36" t="s">
        <v>263</v>
      </c>
      <c r="H9" s="37" t="s">
        <v>275</v>
      </c>
      <c r="I9" s="37" t="s">
        <v>270</v>
      </c>
      <c r="J9" s="27" t="s">
        <v>1808</v>
      </c>
      <c r="K9" s="27" t="s">
        <v>1725</v>
      </c>
      <c r="L9" s="27" t="s">
        <v>1415</v>
      </c>
      <c r="M9" s="27"/>
      <c r="N9" s="30" t="s">
        <v>2332</v>
      </c>
      <c r="O9" s="1" t="s">
        <v>264</v>
      </c>
      <c r="P9" s="28" t="s">
        <v>1807</v>
      </c>
      <c r="Q9" s="27" t="s">
        <v>1411</v>
      </c>
      <c r="R9" s="27" t="s">
        <v>1497</v>
      </c>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EVT-2026-0969</v>
      </c>
      <c r="B10" s="30">
        <v>46239</v>
      </c>
      <c r="C10" s="27" t="s">
        <v>201</v>
      </c>
      <c r="D10" s="27" t="s">
        <v>171</v>
      </c>
      <c r="E10" s="27" t="s">
        <v>353</v>
      </c>
      <c r="F10" s="10">
        <v>40</v>
      </c>
      <c r="G10" s="36" t="s">
        <v>263</v>
      </c>
      <c r="H10" s="37" t="s">
        <v>359</v>
      </c>
      <c r="I10" s="37" t="s">
        <v>290</v>
      </c>
      <c r="J10" s="27" t="s">
        <v>382</v>
      </c>
      <c r="K10" s="27" t="s">
        <v>382</v>
      </c>
      <c r="L10" s="27" t="s">
        <v>1809</v>
      </c>
      <c r="M10" s="27"/>
      <c r="N10" s="30">
        <v>46219</v>
      </c>
      <c r="O10" s="1" t="s">
        <v>264</v>
      </c>
      <c r="P10" s="28" t="s">
        <v>1807</v>
      </c>
      <c r="Q10" s="27" t="s">
        <v>1810</v>
      </c>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EVT-2026-0970</v>
      </c>
      <c r="B11" s="30">
        <v>46239</v>
      </c>
      <c r="C11" s="27" t="s">
        <v>201</v>
      </c>
      <c r="D11" s="27" t="s">
        <v>1811</v>
      </c>
      <c r="E11" s="27" t="s">
        <v>712</v>
      </c>
      <c r="F11" s="10">
        <v>30</v>
      </c>
      <c r="G11" s="36" t="s">
        <v>263</v>
      </c>
      <c r="H11" s="37" t="s">
        <v>275</v>
      </c>
      <c r="I11" s="37" t="s">
        <v>270</v>
      </c>
      <c r="J11" s="27" t="s">
        <v>1445</v>
      </c>
      <c r="K11" s="27"/>
      <c r="L11" s="27" t="s">
        <v>1415</v>
      </c>
      <c r="M11" s="27"/>
      <c r="N11" s="30">
        <v>46235</v>
      </c>
      <c r="O11" s="1" t="s">
        <v>264</v>
      </c>
      <c r="P11" s="28" t="s">
        <v>1807</v>
      </c>
      <c r="Q11" s="27" t="s">
        <v>1411</v>
      </c>
      <c r="R11" s="27" t="s">
        <v>1497</v>
      </c>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EVT-2026-0971</v>
      </c>
      <c r="B12" s="30">
        <v>46239</v>
      </c>
      <c r="C12" s="27" t="s">
        <v>201</v>
      </c>
      <c r="D12" s="27" t="s">
        <v>1812</v>
      </c>
      <c r="E12" s="27" t="s">
        <v>1813</v>
      </c>
      <c r="F12" s="10">
        <v>3</v>
      </c>
      <c r="G12" s="36" t="s">
        <v>263</v>
      </c>
      <c r="H12" s="37" t="s">
        <v>506</v>
      </c>
      <c r="I12" s="37" t="s">
        <v>290</v>
      </c>
      <c r="J12" s="27" t="s">
        <v>610</v>
      </c>
      <c r="K12" s="27" t="s">
        <v>1814</v>
      </c>
      <c r="L12" s="27" t="s">
        <v>1815</v>
      </c>
      <c r="M12" s="27"/>
      <c r="N12" s="30">
        <v>46232</v>
      </c>
      <c r="O12" s="1" t="s">
        <v>264</v>
      </c>
      <c r="P12" s="28" t="s">
        <v>1807</v>
      </c>
      <c r="Q12" s="27" t="s">
        <v>1411</v>
      </c>
      <c r="R12" s="27" t="s">
        <v>1497</v>
      </c>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EVT-2026-0972</v>
      </c>
      <c r="B13" s="30">
        <v>46240</v>
      </c>
      <c r="C13" s="27" t="s">
        <v>216</v>
      </c>
      <c r="D13" s="27" t="s">
        <v>1811</v>
      </c>
      <c r="E13" s="27" t="s">
        <v>712</v>
      </c>
      <c r="F13" s="10">
        <v>30</v>
      </c>
      <c r="G13" s="36" t="s">
        <v>263</v>
      </c>
      <c r="H13" s="37" t="s">
        <v>275</v>
      </c>
      <c r="I13" s="37" t="s">
        <v>270</v>
      </c>
      <c r="J13" s="27" t="s">
        <v>1445</v>
      </c>
      <c r="K13" s="27"/>
      <c r="L13" s="27" t="s">
        <v>1415</v>
      </c>
      <c r="M13" s="27"/>
      <c r="N13" s="30">
        <v>46235</v>
      </c>
      <c r="O13" s="1" t="s">
        <v>264</v>
      </c>
      <c r="P13" s="29" t="s">
        <v>265</v>
      </c>
      <c r="Q13" s="27" t="s">
        <v>1411</v>
      </c>
      <c r="R13" s="27" t="s">
        <v>1497</v>
      </c>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EVT-2026-0973</v>
      </c>
      <c r="B14" s="30">
        <v>46240</v>
      </c>
      <c r="C14" s="27" t="s">
        <v>216</v>
      </c>
      <c r="D14" s="27" t="s">
        <v>1044</v>
      </c>
      <c r="E14" s="27" t="s">
        <v>1816</v>
      </c>
      <c r="F14" s="10">
        <v>200</v>
      </c>
      <c r="G14" s="38" t="s">
        <v>294</v>
      </c>
      <c r="H14" s="37" t="s">
        <v>295</v>
      </c>
      <c r="I14" s="37" t="s">
        <v>296</v>
      </c>
      <c r="J14" s="27" t="s">
        <v>1670</v>
      </c>
      <c r="K14" s="27"/>
      <c r="L14" s="27" t="s">
        <v>1806</v>
      </c>
      <c r="M14" s="27"/>
      <c r="N14" s="30" t="s">
        <v>2333</v>
      </c>
      <c r="O14" s="3" t="s">
        <v>312</v>
      </c>
      <c r="P14" s="29" t="s">
        <v>265</v>
      </c>
      <c r="Q14" s="27" t="s">
        <v>1411</v>
      </c>
      <c r="R14" s="27" t="s">
        <v>1497</v>
      </c>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EVT-2026-0974</v>
      </c>
      <c r="B15" s="30">
        <v>46241</v>
      </c>
      <c r="C15" s="27" t="s">
        <v>220</v>
      </c>
      <c r="D15" s="27" t="s">
        <v>1817</v>
      </c>
      <c r="E15" s="27" t="s">
        <v>1818</v>
      </c>
      <c r="F15" s="10" t="s">
        <v>2334</v>
      </c>
      <c r="G15" s="38" t="s">
        <v>294</v>
      </c>
      <c r="H15" s="37" t="s">
        <v>732</v>
      </c>
      <c r="I15" s="37" t="s">
        <v>270</v>
      </c>
      <c r="J15" s="27" t="s">
        <v>1819</v>
      </c>
      <c r="K15" s="27" t="s">
        <v>382</v>
      </c>
      <c r="L15" s="27" t="s">
        <v>1820</v>
      </c>
      <c r="M15" s="27"/>
      <c r="N15" s="27"/>
      <c r="O15" s="1" t="s">
        <v>264</v>
      </c>
      <c r="P15" s="29" t="s">
        <v>265</v>
      </c>
      <c r="Q15" s="27" t="s">
        <v>1411</v>
      </c>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EVT-2026-0975</v>
      </c>
      <c r="B16" s="30">
        <v>46241</v>
      </c>
      <c r="C16" s="27" t="s">
        <v>220</v>
      </c>
      <c r="D16" s="27" t="s">
        <v>1821</v>
      </c>
      <c r="E16" s="27" t="s">
        <v>1822</v>
      </c>
      <c r="F16" s="10">
        <v>15</v>
      </c>
      <c r="G16" s="36" t="s">
        <v>263</v>
      </c>
      <c r="H16" s="37" t="s">
        <v>269</v>
      </c>
      <c r="I16" s="37" t="s">
        <v>270</v>
      </c>
      <c r="J16" s="27" t="s">
        <v>1823</v>
      </c>
      <c r="K16" s="27" t="s">
        <v>1824</v>
      </c>
      <c r="L16" s="27" t="s">
        <v>1825</v>
      </c>
      <c r="M16" s="27"/>
      <c r="N16" s="30" t="s">
        <v>2335</v>
      </c>
      <c r="O16" s="3" t="s">
        <v>312</v>
      </c>
      <c r="P16" s="29" t="s">
        <v>265</v>
      </c>
      <c r="Q16" s="27" t="s">
        <v>1810</v>
      </c>
      <c r="R16" s="27" t="s">
        <v>1497</v>
      </c>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17" s="30">
        <v>46242</v>
      </c>
      <c r="C17" s="27" t="s">
        <v>266</v>
      </c>
      <c r="D17" s="27"/>
      <c r="E17" s="27"/>
      <c r="F17" s="10"/>
      <c r="G17" s="36" t="s">
        <v>263</v>
      </c>
      <c r="H17" s="37"/>
      <c r="I17" s="37"/>
      <c r="J17" s="27"/>
      <c r="K17" s="27"/>
      <c r="L17" s="27"/>
      <c r="M17" s="27"/>
      <c r="N17" s="27"/>
      <c r="O17" s="1" t="s">
        <v>264</v>
      </c>
      <c r="P17" s="29" t="s">
        <v>265</v>
      </c>
      <c r="Q17" s="27"/>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18" s="30">
        <v>46243</v>
      </c>
      <c r="C18" s="27" t="s">
        <v>267</v>
      </c>
      <c r="D18" s="27"/>
      <c r="E18" s="27"/>
      <c r="F18" s="10"/>
      <c r="G18" s="36" t="s">
        <v>263</v>
      </c>
      <c r="H18" s="37"/>
      <c r="I18" s="37"/>
      <c r="J18" s="27"/>
      <c r="K18" s="27"/>
      <c r="L18" s="27"/>
      <c r="M18" s="27"/>
      <c r="N18" s="27"/>
      <c r="O18" s="1" t="s">
        <v>264</v>
      </c>
      <c r="P18" s="29" t="s">
        <v>265</v>
      </c>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EVT-2026-0976</v>
      </c>
      <c r="B19" s="30">
        <v>46243</v>
      </c>
      <c r="C19" s="27" t="s">
        <v>267</v>
      </c>
      <c r="D19" s="27"/>
      <c r="E19" s="27" t="s">
        <v>1826</v>
      </c>
      <c r="F19" s="10"/>
      <c r="G19" s="36" t="s">
        <v>263</v>
      </c>
      <c r="H19" s="37"/>
      <c r="I19" s="37"/>
      <c r="J19" s="27"/>
      <c r="K19" s="27"/>
      <c r="L19" s="27"/>
      <c r="M19" s="27"/>
      <c r="N19" s="27"/>
      <c r="O19" s="1" t="s">
        <v>264</v>
      </c>
      <c r="P19" s="29" t="s">
        <v>265</v>
      </c>
      <c r="Q19" s="27"/>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EVT-2026-0977</v>
      </c>
      <c r="B20" s="30">
        <v>46244</v>
      </c>
      <c r="C20" s="27" t="s">
        <v>224</v>
      </c>
      <c r="D20" s="27" t="s">
        <v>239</v>
      </c>
      <c r="E20" s="27" t="s">
        <v>1827</v>
      </c>
      <c r="F20" s="10">
        <v>150</v>
      </c>
      <c r="G20" s="38" t="s">
        <v>294</v>
      </c>
      <c r="H20" s="37" t="s">
        <v>506</v>
      </c>
      <c r="I20" s="37" t="s">
        <v>429</v>
      </c>
      <c r="J20" s="27" t="s">
        <v>369</v>
      </c>
      <c r="K20" s="27" t="s">
        <v>369</v>
      </c>
      <c r="L20" s="27" t="s">
        <v>1828</v>
      </c>
      <c r="M20" s="27"/>
      <c r="N20" s="30">
        <v>46240</v>
      </c>
      <c r="O20" s="1" t="s">
        <v>264</v>
      </c>
      <c r="P20" s="29" t="s">
        <v>265</v>
      </c>
      <c r="Q20" s="27" t="s">
        <v>1673</v>
      </c>
      <c r="R20" s="27" t="s">
        <v>808</v>
      </c>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EVT-2026-0978</v>
      </c>
      <c r="B21" s="30">
        <v>46244</v>
      </c>
      <c r="C21" s="27" t="s">
        <v>224</v>
      </c>
      <c r="D21" s="27" t="s">
        <v>1240</v>
      </c>
      <c r="E21" s="27" t="s">
        <v>1827</v>
      </c>
      <c r="F21" s="10">
        <v>25</v>
      </c>
      <c r="G21" s="36" t="s">
        <v>263</v>
      </c>
      <c r="H21" s="37" t="s">
        <v>338</v>
      </c>
      <c r="I21" s="37" t="s">
        <v>331</v>
      </c>
      <c r="J21" s="27" t="s">
        <v>1445</v>
      </c>
      <c r="K21" s="27" t="s">
        <v>1829</v>
      </c>
      <c r="L21" s="27" t="s">
        <v>378</v>
      </c>
      <c r="M21" s="27"/>
      <c r="N21" s="30">
        <v>46240</v>
      </c>
      <c r="O21" s="3" t="s">
        <v>312</v>
      </c>
      <c r="P21" s="29" t="s">
        <v>265</v>
      </c>
      <c r="Q21" s="27" t="s">
        <v>1830</v>
      </c>
      <c r="R21" s="27" t="s">
        <v>1497</v>
      </c>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EVT-2026-0979</v>
      </c>
      <c r="B22" s="30">
        <v>46244</v>
      </c>
      <c r="C22" s="27" t="s">
        <v>224</v>
      </c>
      <c r="D22" s="27" t="s">
        <v>171</v>
      </c>
      <c r="E22" s="27" t="s">
        <v>1187</v>
      </c>
      <c r="F22" s="10">
        <v>15</v>
      </c>
      <c r="G22" s="36" t="s">
        <v>263</v>
      </c>
      <c r="H22" s="37" t="s">
        <v>269</v>
      </c>
      <c r="I22" s="37" t="s">
        <v>270</v>
      </c>
      <c r="J22" s="27" t="s">
        <v>1445</v>
      </c>
      <c r="K22" s="27" t="s">
        <v>1829</v>
      </c>
      <c r="L22" s="27" t="s">
        <v>1804</v>
      </c>
      <c r="M22" s="27"/>
      <c r="N22" s="30" t="s">
        <v>2336</v>
      </c>
      <c r="O22" s="3" t="s">
        <v>312</v>
      </c>
      <c r="P22" s="29" t="s">
        <v>265</v>
      </c>
      <c r="Q22" s="27" t="s">
        <v>1831</v>
      </c>
      <c r="R22" s="27" t="s">
        <v>1497</v>
      </c>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EVT-2026-0980</v>
      </c>
      <c r="B23" s="30">
        <v>46244</v>
      </c>
      <c r="C23" s="27" t="s">
        <v>224</v>
      </c>
      <c r="D23" s="27" t="s">
        <v>1186</v>
      </c>
      <c r="E23" s="27" t="s">
        <v>1187</v>
      </c>
      <c r="F23" s="10">
        <v>40</v>
      </c>
      <c r="G23" s="36" t="s">
        <v>263</v>
      </c>
      <c r="H23" s="37" t="s">
        <v>269</v>
      </c>
      <c r="I23" s="37" t="s">
        <v>270</v>
      </c>
      <c r="J23" s="27" t="s">
        <v>1445</v>
      </c>
      <c r="K23" s="27" t="s">
        <v>1829</v>
      </c>
      <c r="L23" s="27" t="s">
        <v>1804</v>
      </c>
      <c r="M23" s="27"/>
      <c r="N23" s="30" t="s">
        <v>2336</v>
      </c>
      <c r="O23" s="1" t="s">
        <v>264</v>
      </c>
      <c r="P23" s="29" t="s">
        <v>265</v>
      </c>
      <c r="Q23" s="27" t="s">
        <v>1831</v>
      </c>
      <c r="R23" s="27" t="s">
        <v>1497</v>
      </c>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EVT-2026-0981</v>
      </c>
      <c r="B24" s="30">
        <v>46245</v>
      </c>
      <c r="C24" s="27" t="s">
        <v>227</v>
      </c>
      <c r="D24" s="27" t="s">
        <v>171</v>
      </c>
      <c r="E24" s="27" t="s">
        <v>1832</v>
      </c>
      <c r="F24" s="10" t="s">
        <v>2337</v>
      </c>
      <c r="G24" s="36" t="s">
        <v>263</v>
      </c>
      <c r="H24" s="37" t="s">
        <v>309</v>
      </c>
      <c r="I24" s="37" t="s">
        <v>290</v>
      </c>
      <c r="J24" s="27" t="s">
        <v>1445</v>
      </c>
      <c r="K24" s="27" t="s">
        <v>1829</v>
      </c>
      <c r="L24" s="27" t="s">
        <v>204</v>
      </c>
      <c r="M24" s="27"/>
      <c r="N24" s="30" t="s">
        <v>2338</v>
      </c>
      <c r="O24" s="1" t="s">
        <v>264</v>
      </c>
      <c r="P24" s="28" t="s">
        <v>1807</v>
      </c>
      <c r="Q24" s="27" t="s">
        <v>1810</v>
      </c>
      <c r="R24" s="27" t="s">
        <v>1497</v>
      </c>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EVT-2026-0982</v>
      </c>
      <c r="B25" s="30">
        <v>46246</v>
      </c>
      <c r="C25" s="27" t="s">
        <v>201</v>
      </c>
      <c r="D25" s="27" t="s">
        <v>1186</v>
      </c>
      <c r="E25" s="27" t="s">
        <v>1833</v>
      </c>
      <c r="F25" s="10">
        <v>40</v>
      </c>
      <c r="G25" s="36" t="s">
        <v>263</v>
      </c>
      <c r="H25" s="37" t="s">
        <v>281</v>
      </c>
      <c r="I25" s="37" t="s">
        <v>274</v>
      </c>
      <c r="J25" s="27" t="s">
        <v>1445</v>
      </c>
      <c r="K25" s="27" t="s">
        <v>1829</v>
      </c>
      <c r="L25" s="27" t="s">
        <v>1834</v>
      </c>
      <c r="M25" s="27"/>
      <c r="N25" s="30" t="s">
        <v>2339</v>
      </c>
      <c r="O25" s="1" t="s">
        <v>264</v>
      </c>
      <c r="P25" s="28" t="s">
        <v>1807</v>
      </c>
      <c r="Q25" s="27" t="s">
        <v>1411</v>
      </c>
      <c r="R25" s="27" t="s">
        <v>1497</v>
      </c>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EVT-2026-0983</v>
      </c>
      <c r="B26" s="30">
        <v>46246</v>
      </c>
      <c r="C26" s="27" t="s">
        <v>201</v>
      </c>
      <c r="D26" s="27" t="s">
        <v>171</v>
      </c>
      <c r="E26" s="27" t="s">
        <v>1835</v>
      </c>
      <c r="F26" s="10">
        <v>70</v>
      </c>
      <c r="G26" s="36" t="s">
        <v>263</v>
      </c>
      <c r="H26" s="37" t="s">
        <v>274</v>
      </c>
      <c r="I26" s="37" t="s">
        <v>330</v>
      </c>
      <c r="J26" s="27" t="s">
        <v>1445</v>
      </c>
      <c r="K26" s="27" t="s">
        <v>1829</v>
      </c>
      <c r="L26" s="27" t="s">
        <v>1836</v>
      </c>
      <c r="M26" s="27"/>
      <c r="N26" s="30">
        <v>46232</v>
      </c>
      <c r="O26" s="1" t="s">
        <v>264</v>
      </c>
      <c r="P26" s="28" t="s">
        <v>1807</v>
      </c>
      <c r="Q26" s="27" t="s">
        <v>1810</v>
      </c>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EVT-2026-0984</v>
      </c>
      <c r="B27" s="30">
        <v>46246</v>
      </c>
      <c r="C27" s="27" t="s">
        <v>201</v>
      </c>
      <c r="D27" s="27" t="s">
        <v>1240</v>
      </c>
      <c r="E27" s="27" t="s">
        <v>1837</v>
      </c>
      <c r="F27" s="10">
        <v>30</v>
      </c>
      <c r="G27" s="36" t="s">
        <v>263</v>
      </c>
      <c r="H27" s="37" t="s">
        <v>275</v>
      </c>
      <c r="I27" s="37" t="s">
        <v>270</v>
      </c>
      <c r="J27" s="27" t="s">
        <v>1445</v>
      </c>
      <c r="K27" s="27" t="s">
        <v>1445</v>
      </c>
      <c r="L27" s="27" t="s">
        <v>1415</v>
      </c>
      <c r="M27" s="27"/>
      <c r="N27" s="30">
        <v>46235</v>
      </c>
      <c r="O27" s="1" t="s">
        <v>264</v>
      </c>
      <c r="P27" s="28" t="s">
        <v>1807</v>
      </c>
      <c r="Q27" s="27" t="s">
        <v>1411</v>
      </c>
      <c r="R27" s="27" t="s">
        <v>1497</v>
      </c>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EVT-2026-0985</v>
      </c>
      <c r="B28" s="30">
        <v>46247</v>
      </c>
      <c r="C28" s="27" t="s">
        <v>216</v>
      </c>
      <c r="D28" s="27" t="s">
        <v>171</v>
      </c>
      <c r="E28" s="27" t="s">
        <v>1838</v>
      </c>
      <c r="F28" s="10">
        <v>70</v>
      </c>
      <c r="G28" s="36" t="s">
        <v>263</v>
      </c>
      <c r="H28" s="37" t="s">
        <v>289</v>
      </c>
      <c r="I28" s="37" t="s">
        <v>296</v>
      </c>
      <c r="J28" s="27" t="s">
        <v>1445</v>
      </c>
      <c r="K28" s="27" t="s">
        <v>1445</v>
      </c>
      <c r="L28" s="27" t="s">
        <v>1839</v>
      </c>
      <c r="M28" s="27"/>
      <c r="N28" s="30">
        <v>46239</v>
      </c>
      <c r="O28" s="1" t="s">
        <v>264</v>
      </c>
      <c r="P28" s="28" t="s">
        <v>1807</v>
      </c>
      <c r="Q28" s="27" t="s">
        <v>1810</v>
      </c>
      <c r="R28" s="27" t="s">
        <v>1840</v>
      </c>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EVT-2026-0986</v>
      </c>
      <c r="B29" s="30">
        <v>46247</v>
      </c>
      <c r="C29" s="27" t="s">
        <v>216</v>
      </c>
      <c r="D29" s="27" t="s">
        <v>171</v>
      </c>
      <c r="E29" s="27" t="s">
        <v>1835</v>
      </c>
      <c r="F29" s="10"/>
      <c r="G29" s="36" t="s">
        <v>263</v>
      </c>
      <c r="H29" s="37" t="s">
        <v>732</v>
      </c>
      <c r="I29" s="37" t="s">
        <v>354</v>
      </c>
      <c r="J29" s="27"/>
      <c r="K29" s="27"/>
      <c r="L29" s="27" t="s">
        <v>378</v>
      </c>
      <c r="M29" s="27"/>
      <c r="N29" s="27"/>
      <c r="O29" s="3" t="s">
        <v>312</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30" s="30">
        <v>46248</v>
      </c>
      <c r="C30" s="27" t="s">
        <v>220</v>
      </c>
      <c r="D30" s="27"/>
      <c r="E30" s="27"/>
      <c r="F30" s="10"/>
      <c r="G30" s="36" t="s">
        <v>263</v>
      </c>
      <c r="H30" s="37"/>
      <c r="I30" s="37"/>
      <c r="J30" s="27"/>
      <c r="K30" s="27"/>
      <c r="L30" s="27"/>
      <c r="M30" s="27"/>
      <c r="N30" s="27"/>
      <c r="O30" s="1" t="s">
        <v>264</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31" s="30">
        <v>46249</v>
      </c>
      <c r="C31" s="27" t="s">
        <v>266</v>
      </c>
      <c r="D31" s="27"/>
      <c r="E31" s="27"/>
      <c r="F31" s="10"/>
      <c r="G31" s="36" t="s">
        <v>263</v>
      </c>
      <c r="H31" s="37"/>
      <c r="I31" s="37"/>
      <c r="J31" s="27"/>
      <c r="K31" s="27"/>
      <c r="L31" s="27"/>
      <c r="M31" s="27"/>
      <c r="N31" s="27"/>
      <c r="O31" s="1" t="s">
        <v>264</v>
      </c>
      <c r="P31" s="29" t="s">
        <v>265</v>
      </c>
      <c r="Q31" s="27"/>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32" s="30">
        <v>46250</v>
      </c>
      <c r="C32" s="27" t="s">
        <v>267</v>
      </c>
      <c r="D32" s="27"/>
      <c r="E32" s="27"/>
      <c r="F32" s="10"/>
      <c r="G32" s="36" t="s">
        <v>263</v>
      </c>
      <c r="H32" s="37"/>
      <c r="I32" s="37"/>
      <c r="J32" s="27"/>
      <c r="K32" s="27"/>
      <c r="L32" s="27"/>
      <c r="M32" s="27"/>
      <c r="N32" s="27"/>
      <c r="O32" s="1" t="s">
        <v>264</v>
      </c>
      <c r="P32" s="29" t="s">
        <v>265</v>
      </c>
      <c r="Q32" s="27"/>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EVT-2026-0987</v>
      </c>
      <c r="B33" s="30">
        <v>46251</v>
      </c>
      <c r="C33" s="27" t="s">
        <v>224</v>
      </c>
      <c r="D33" s="27" t="s">
        <v>1186</v>
      </c>
      <c r="E33" s="27" t="s">
        <v>1841</v>
      </c>
      <c r="F33" s="10"/>
      <c r="G33" s="36" t="s">
        <v>263</v>
      </c>
      <c r="H33" s="37" t="s">
        <v>269</v>
      </c>
      <c r="I33" s="37" t="s">
        <v>270</v>
      </c>
      <c r="J33" s="27" t="s">
        <v>1445</v>
      </c>
      <c r="K33" s="27"/>
      <c r="L33" s="27"/>
      <c r="M33" s="27"/>
      <c r="N33" s="27"/>
      <c r="O33" s="1" t="s">
        <v>264</v>
      </c>
      <c r="P33" s="29" t="s">
        <v>265</v>
      </c>
      <c r="Q33" s="27"/>
      <c r="R33" s="27"/>
    </row>
    <row r="34" spans="1:18" ht="60.75"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EVT-2026-0988</v>
      </c>
      <c r="B34" s="30">
        <v>46251</v>
      </c>
      <c r="C34" s="27" t="s">
        <v>224</v>
      </c>
      <c r="D34" s="27" t="s">
        <v>1811</v>
      </c>
      <c r="E34" s="27" t="s">
        <v>1842</v>
      </c>
      <c r="F34" s="10">
        <v>30</v>
      </c>
      <c r="G34" s="36" t="s">
        <v>263</v>
      </c>
      <c r="H34" s="37" t="s">
        <v>281</v>
      </c>
      <c r="I34" s="37" t="s">
        <v>290</v>
      </c>
      <c r="J34" s="27" t="s">
        <v>1843</v>
      </c>
      <c r="K34" s="27"/>
      <c r="L34" s="27" t="s">
        <v>1415</v>
      </c>
      <c r="M34" s="27"/>
      <c r="N34" s="30" t="s">
        <v>2332</v>
      </c>
      <c r="O34" s="1" t="s">
        <v>264</v>
      </c>
      <c r="P34" s="29" t="s">
        <v>265</v>
      </c>
      <c r="Q34" s="27" t="s">
        <v>1411</v>
      </c>
      <c r="R34" s="27" t="s">
        <v>1497</v>
      </c>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EVT-2026-0989</v>
      </c>
      <c r="B35" s="30">
        <v>46252</v>
      </c>
      <c r="C35" s="27" t="s">
        <v>227</v>
      </c>
      <c r="D35" s="27" t="s">
        <v>171</v>
      </c>
      <c r="E35" s="27" t="s">
        <v>1844</v>
      </c>
      <c r="F35" s="10">
        <v>60</v>
      </c>
      <c r="G35" s="36" t="s">
        <v>263</v>
      </c>
      <c r="H35" s="37" t="s">
        <v>309</v>
      </c>
      <c r="I35" s="37" t="s">
        <v>295</v>
      </c>
      <c r="J35" s="27" t="s">
        <v>382</v>
      </c>
      <c r="K35" s="27" t="s">
        <v>1829</v>
      </c>
      <c r="L35" s="27" t="s">
        <v>1845</v>
      </c>
      <c r="M35" s="27"/>
      <c r="N35" s="27"/>
      <c r="O35" s="1" t="s">
        <v>264</v>
      </c>
      <c r="P35" s="28" t="s">
        <v>1807</v>
      </c>
      <c r="Q35" s="27" t="s">
        <v>1673</v>
      </c>
      <c r="R35" s="27" t="s">
        <v>1846</v>
      </c>
    </row>
    <row r="36" spans="1:18" ht="24" customHeight="1">
      <c r="A36" s="27" t="s">
        <v>2340</v>
      </c>
      <c r="B36" s="30">
        <v>46252</v>
      </c>
      <c r="C36" s="27" t="s">
        <v>227</v>
      </c>
      <c r="D36" s="27" t="s">
        <v>2341</v>
      </c>
      <c r="E36" s="27" t="s">
        <v>2342</v>
      </c>
      <c r="F36" s="10">
        <v>30</v>
      </c>
      <c r="G36" s="36" t="s">
        <v>263</v>
      </c>
      <c r="H36" s="37" t="s">
        <v>315</v>
      </c>
      <c r="I36" s="37" t="s">
        <v>354</v>
      </c>
      <c r="J36" s="27" t="s">
        <v>1445</v>
      </c>
      <c r="K36" s="27" t="s">
        <v>1829</v>
      </c>
      <c r="L36" s="27" t="s">
        <v>1848</v>
      </c>
      <c r="M36" s="27" t="s">
        <v>204</v>
      </c>
      <c r="N36" s="30" t="s">
        <v>1849</v>
      </c>
      <c r="O36" s="1" t="s">
        <v>264</v>
      </c>
      <c r="P36" s="28" t="s">
        <v>1807</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EVT-2026-0991</v>
      </c>
      <c r="B37" s="30">
        <v>46252</v>
      </c>
      <c r="C37" s="27" t="s">
        <v>227</v>
      </c>
      <c r="D37" s="27" t="s">
        <v>1186</v>
      </c>
      <c r="E37" s="27" t="s">
        <v>1842</v>
      </c>
      <c r="F37" s="10">
        <v>30</v>
      </c>
      <c r="G37" s="36" t="s">
        <v>263</v>
      </c>
      <c r="H37" s="37" t="s">
        <v>281</v>
      </c>
      <c r="I37" s="37" t="s">
        <v>290</v>
      </c>
      <c r="J37" s="27" t="s">
        <v>1843</v>
      </c>
      <c r="K37" s="27"/>
      <c r="L37" s="27" t="s">
        <v>2343</v>
      </c>
      <c r="M37" s="27" t="s">
        <v>2344</v>
      </c>
      <c r="N37" s="30" t="s">
        <v>2332</v>
      </c>
      <c r="O37" s="1" t="s">
        <v>264</v>
      </c>
      <c r="P37" s="29" t="s">
        <v>265</v>
      </c>
      <c r="Q37" s="27" t="s">
        <v>1411</v>
      </c>
      <c r="R37" s="27" t="s">
        <v>1497</v>
      </c>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EVT-2026-0992</v>
      </c>
      <c r="B38" s="30">
        <v>46253</v>
      </c>
      <c r="C38" s="27" t="s">
        <v>201</v>
      </c>
      <c r="D38" s="27" t="s">
        <v>1851</v>
      </c>
      <c r="E38" s="27" t="s">
        <v>1852</v>
      </c>
      <c r="F38" s="10">
        <v>75</v>
      </c>
      <c r="G38" s="36" t="s">
        <v>263</v>
      </c>
      <c r="H38" s="37" t="s">
        <v>295</v>
      </c>
      <c r="I38" s="37" t="s">
        <v>296</v>
      </c>
      <c r="J38" s="27" t="s">
        <v>1445</v>
      </c>
      <c r="K38" s="27" t="s">
        <v>1829</v>
      </c>
      <c r="L38" s="27" t="s">
        <v>1853</v>
      </c>
      <c r="M38" s="27"/>
      <c r="N38" s="30" t="s">
        <v>2345</v>
      </c>
      <c r="O38" s="3" t="s">
        <v>312</v>
      </c>
      <c r="P38" s="29" t="s">
        <v>265</v>
      </c>
      <c r="Q38" s="27" t="s">
        <v>1810</v>
      </c>
      <c r="R38" s="27" t="s">
        <v>1497</v>
      </c>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EVT-2026-0993</v>
      </c>
      <c r="B39" s="30">
        <v>46253</v>
      </c>
      <c r="C39" s="27" t="s">
        <v>201</v>
      </c>
      <c r="D39" s="27" t="s">
        <v>2341</v>
      </c>
      <c r="E39" s="27" t="s">
        <v>1854</v>
      </c>
      <c r="F39" s="10">
        <v>20</v>
      </c>
      <c r="G39" s="36" t="s">
        <v>263</v>
      </c>
      <c r="H39" s="37" t="s">
        <v>506</v>
      </c>
      <c r="I39" s="37" t="s">
        <v>429</v>
      </c>
      <c r="J39" s="27" t="s">
        <v>1445</v>
      </c>
      <c r="K39" s="27" t="s">
        <v>1829</v>
      </c>
      <c r="L39" s="27" t="s">
        <v>1855</v>
      </c>
      <c r="M39" s="27" t="s">
        <v>2346</v>
      </c>
      <c r="N39" s="30">
        <v>46252</v>
      </c>
      <c r="O39" s="3" t="s">
        <v>312</v>
      </c>
      <c r="P39" s="29" t="s">
        <v>265</v>
      </c>
      <c r="Q39" s="27" t="s">
        <v>1810</v>
      </c>
      <c r="R39" s="27" t="s">
        <v>1497</v>
      </c>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EVT-2026-0994</v>
      </c>
      <c r="B40" s="30">
        <v>46253</v>
      </c>
      <c r="C40" s="27" t="s">
        <v>201</v>
      </c>
      <c r="D40" s="27" t="s">
        <v>2347</v>
      </c>
      <c r="E40" s="27" t="s">
        <v>1842</v>
      </c>
      <c r="F40" s="10">
        <v>30</v>
      </c>
      <c r="G40" s="36" t="s">
        <v>263</v>
      </c>
      <c r="H40" s="37" t="s">
        <v>269</v>
      </c>
      <c r="I40" s="37" t="s">
        <v>270</v>
      </c>
      <c r="J40" s="27" t="s">
        <v>1394</v>
      </c>
      <c r="K40" s="27" t="s">
        <v>1843</v>
      </c>
      <c r="L40" s="27" t="s">
        <v>2343</v>
      </c>
      <c r="M40" s="27" t="s">
        <v>2344</v>
      </c>
      <c r="N40" s="30">
        <v>46252</v>
      </c>
      <c r="O40" s="1" t="s">
        <v>264</v>
      </c>
      <c r="P40" s="29" t="s">
        <v>265</v>
      </c>
      <c r="Q40" s="27" t="s">
        <v>1411</v>
      </c>
      <c r="R40" s="27" t="s">
        <v>1497</v>
      </c>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EVT-2026-0995</v>
      </c>
      <c r="B41" s="30">
        <v>46254</v>
      </c>
      <c r="C41" s="27" t="s">
        <v>216</v>
      </c>
      <c r="D41" s="27" t="s">
        <v>1240</v>
      </c>
      <c r="E41" s="27" t="s">
        <v>1857</v>
      </c>
      <c r="F41" s="10">
        <v>30</v>
      </c>
      <c r="G41" s="36" t="s">
        <v>263</v>
      </c>
      <c r="H41" s="37" t="s">
        <v>275</v>
      </c>
      <c r="I41" s="37" t="s">
        <v>270</v>
      </c>
      <c r="J41" s="27" t="s">
        <v>1445</v>
      </c>
      <c r="K41" s="27" t="s">
        <v>1445</v>
      </c>
      <c r="L41" s="27" t="s">
        <v>2343</v>
      </c>
      <c r="M41" s="27" t="s">
        <v>2344</v>
      </c>
      <c r="N41" s="30" t="s">
        <v>2332</v>
      </c>
      <c r="O41" s="3" t="s">
        <v>312</v>
      </c>
      <c r="P41" s="29" t="s">
        <v>265</v>
      </c>
      <c r="Q41" s="27" t="s">
        <v>1411</v>
      </c>
      <c r="R41" s="27" t="s">
        <v>1497</v>
      </c>
    </row>
    <row r="42" spans="1:18" ht="24" customHeight="1">
      <c r="A42" s="27"/>
      <c r="B42" s="30"/>
      <c r="C42" s="27"/>
      <c r="D42" s="27"/>
      <c r="E42" s="27"/>
      <c r="F42" s="10"/>
      <c r="G42" s="27"/>
      <c r="H42" s="37"/>
      <c r="I42" s="37"/>
      <c r="J42" s="27"/>
      <c r="K42" s="27"/>
      <c r="L42" s="27"/>
      <c r="M42" s="27"/>
      <c r="N42" s="30"/>
      <c r="O42" s="27"/>
      <c r="P42" s="27"/>
      <c r="Q42" s="27"/>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EVT-2026-0996</v>
      </c>
      <c r="B43" s="30">
        <v>46255</v>
      </c>
      <c r="C43" s="27" t="s">
        <v>220</v>
      </c>
      <c r="D43" s="27" t="s">
        <v>1044</v>
      </c>
      <c r="E43" s="27" t="s">
        <v>337</v>
      </c>
      <c r="F43" s="10">
        <v>190</v>
      </c>
      <c r="G43" s="38" t="s">
        <v>294</v>
      </c>
      <c r="H43" s="37" t="s">
        <v>274</v>
      </c>
      <c r="I43" s="37" t="s">
        <v>330</v>
      </c>
      <c r="J43" s="27" t="s">
        <v>382</v>
      </c>
      <c r="K43" s="27" t="s">
        <v>1829</v>
      </c>
      <c r="L43" s="27" t="s">
        <v>811</v>
      </c>
      <c r="M43" s="27"/>
      <c r="N43" s="27"/>
      <c r="O43" s="3" t="s">
        <v>312</v>
      </c>
      <c r="P43" s="29" t="s">
        <v>265</v>
      </c>
      <c r="Q43" s="27" t="s">
        <v>1858</v>
      </c>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44" s="30">
        <v>46255</v>
      </c>
      <c r="C44" s="27"/>
      <c r="D44" s="27"/>
      <c r="E44" s="27"/>
      <c r="F44" s="10"/>
      <c r="G44" s="27"/>
      <c r="H44" s="37"/>
      <c r="I44" s="37"/>
      <c r="J44" s="27"/>
      <c r="K44" s="27"/>
      <c r="L44" s="27"/>
      <c r="M44" s="27"/>
      <c r="N44" s="27"/>
      <c r="O44" s="27"/>
      <c r="P44" s="27"/>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45" s="30">
        <v>46257</v>
      </c>
      <c r="C45" s="27" t="s">
        <v>267</v>
      </c>
      <c r="D45" s="27"/>
      <c r="E45" s="27"/>
      <c r="F45" s="10"/>
      <c r="G45" s="36"/>
      <c r="H45" s="37"/>
      <c r="I45" s="37"/>
      <c r="J45" s="27"/>
      <c r="K45" s="27"/>
      <c r="L45" s="27"/>
      <c r="M45" s="27"/>
      <c r="N45" s="27"/>
      <c r="O45" s="27"/>
      <c r="P45" s="27"/>
      <c r="Q45" s="27"/>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EVT-2026-0997</v>
      </c>
      <c r="B46" s="30">
        <v>46258</v>
      </c>
      <c r="C46" s="27" t="s">
        <v>224</v>
      </c>
      <c r="D46" s="27" t="s">
        <v>1240</v>
      </c>
      <c r="E46" s="27" t="s">
        <v>1860</v>
      </c>
      <c r="F46" s="10">
        <v>35</v>
      </c>
      <c r="G46" s="36" t="s">
        <v>263</v>
      </c>
      <c r="H46" s="37" t="s">
        <v>275</v>
      </c>
      <c r="I46" s="37" t="s">
        <v>295</v>
      </c>
      <c r="J46" s="27" t="s">
        <v>1445</v>
      </c>
      <c r="K46" s="27" t="s">
        <v>1445</v>
      </c>
      <c r="L46" s="27" t="s">
        <v>1861</v>
      </c>
      <c r="M46" s="27"/>
      <c r="N46" s="27"/>
      <c r="O46" s="3" t="s">
        <v>312</v>
      </c>
      <c r="P46" s="29" t="s">
        <v>265</v>
      </c>
      <c r="Q46" s="27" t="s">
        <v>1862</v>
      </c>
      <c r="R46" s="27" t="s">
        <v>1497</v>
      </c>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EVT-2026-0998</v>
      </c>
      <c r="B47" s="30">
        <v>46258</v>
      </c>
      <c r="C47" s="27" t="s">
        <v>224</v>
      </c>
      <c r="D47" s="27" t="s">
        <v>171</v>
      </c>
      <c r="E47" s="27" t="s">
        <v>2348</v>
      </c>
      <c r="F47" s="10">
        <v>50</v>
      </c>
      <c r="G47" s="36" t="s">
        <v>263</v>
      </c>
      <c r="H47" s="37" t="s">
        <v>269</v>
      </c>
      <c r="I47" s="37" t="s">
        <v>270</v>
      </c>
      <c r="J47" s="27" t="s">
        <v>1445</v>
      </c>
      <c r="K47" s="27" t="s">
        <v>1445</v>
      </c>
      <c r="L47" s="27" t="s">
        <v>351</v>
      </c>
      <c r="M47" s="39" t="s">
        <v>1688</v>
      </c>
      <c r="N47" s="27" t="s">
        <v>2349</v>
      </c>
      <c r="O47" s="1" t="s">
        <v>264</v>
      </c>
      <c r="P47" s="29" t="s">
        <v>265</v>
      </c>
      <c r="Q47" s="27" t="s">
        <v>1865</v>
      </c>
      <c r="R47" s="27" t="s">
        <v>2350</v>
      </c>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EVT-2026-0999</v>
      </c>
      <c r="B48" s="30">
        <v>46259</v>
      </c>
      <c r="C48" s="27" t="s">
        <v>227</v>
      </c>
      <c r="D48" s="27" t="s">
        <v>171</v>
      </c>
      <c r="E48" s="27" t="s">
        <v>1864</v>
      </c>
      <c r="F48" s="10">
        <v>50</v>
      </c>
      <c r="G48" s="36" t="s">
        <v>263</v>
      </c>
      <c r="H48" s="37" t="s">
        <v>269</v>
      </c>
      <c r="I48" s="37" t="s">
        <v>270</v>
      </c>
      <c r="J48" s="27" t="s">
        <v>1445</v>
      </c>
      <c r="K48" s="27" t="s">
        <v>1445</v>
      </c>
      <c r="L48" s="27" t="s">
        <v>351</v>
      </c>
      <c r="M48" s="39" t="s">
        <v>1688</v>
      </c>
      <c r="N48" s="27"/>
      <c r="O48" s="1" t="s">
        <v>264</v>
      </c>
      <c r="P48" s="29" t="s">
        <v>265</v>
      </c>
      <c r="Q48" s="27" t="s">
        <v>1865</v>
      </c>
      <c r="R48" s="27" t="s">
        <v>2350</v>
      </c>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EVT-2026-1000</v>
      </c>
      <c r="B49" s="30">
        <v>46260</v>
      </c>
      <c r="C49" s="27" t="s">
        <v>227</v>
      </c>
      <c r="D49" s="27" t="s">
        <v>1240</v>
      </c>
      <c r="E49" s="27" t="s">
        <v>1866</v>
      </c>
      <c r="F49" s="10">
        <v>30</v>
      </c>
      <c r="G49" s="36" t="s">
        <v>263</v>
      </c>
      <c r="H49" s="37" t="s">
        <v>275</v>
      </c>
      <c r="I49" s="37" t="s">
        <v>270</v>
      </c>
      <c r="J49" s="27" t="s">
        <v>1445</v>
      </c>
      <c r="K49" s="27" t="s">
        <v>1445</v>
      </c>
      <c r="L49" s="27" t="s">
        <v>2343</v>
      </c>
      <c r="M49" s="27" t="s">
        <v>2344</v>
      </c>
      <c r="N49" s="27"/>
      <c r="O49" s="1" t="s">
        <v>264</v>
      </c>
      <c r="P49" s="29" t="s">
        <v>265</v>
      </c>
      <c r="Q49" s="27" t="s">
        <v>1411</v>
      </c>
      <c r="R49" s="27" t="s">
        <v>1497</v>
      </c>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EVT-2026-1001</v>
      </c>
      <c r="B50" s="30">
        <v>46260</v>
      </c>
      <c r="C50" s="27" t="s">
        <v>201</v>
      </c>
      <c r="D50" s="27" t="s">
        <v>171</v>
      </c>
      <c r="E50" s="27" t="s">
        <v>1864</v>
      </c>
      <c r="F50" s="10">
        <v>50</v>
      </c>
      <c r="G50" s="36" t="s">
        <v>263</v>
      </c>
      <c r="H50" s="37" t="s">
        <v>269</v>
      </c>
      <c r="I50" s="37" t="s">
        <v>270</v>
      </c>
      <c r="J50" s="27"/>
      <c r="K50" s="27"/>
      <c r="L50" s="27" t="s">
        <v>351</v>
      </c>
      <c r="M50" s="39" t="s">
        <v>1688</v>
      </c>
      <c r="N50" s="27"/>
      <c r="O50" s="1" t="s">
        <v>264</v>
      </c>
      <c r="P50" s="29" t="s">
        <v>265</v>
      </c>
      <c r="Q50" s="27" t="s">
        <v>1865</v>
      </c>
      <c r="R50" s="27" t="s">
        <v>1497</v>
      </c>
    </row>
    <row r="51" spans="1:18" ht="24" customHeight="1">
      <c r="A51" s="27"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EVT-2026-1002</v>
      </c>
      <c r="B51" s="30">
        <v>46261</v>
      </c>
      <c r="C51" s="27" t="s">
        <v>216</v>
      </c>
      <c r="D51" s="27" t="s">
        <v>171</v>
      </c>
      <c r="E51" s="27" t="s">
        <v>1864</v>
      </c>
      <c r="F51" s="10">
        <v>50</v>
      </c>
      <c r="G51" s="36" t="s">
        <v>263</v>
      </c>
      <c r="H51" s="37" t="s">
        <v>269</v>
      </c>
      <c r="I51" s="37" t="s">
        <v>270</v>
      </c>
      <c r="J51" s="27"/>
      <c r="K51" s="27"/>
      <c r="L51" s="27" t="s">
        <v>351</v>
      </c>
      <c r="M51" s="39" t="s">
        <v>1688</v>
      </c>
      <c r="N51" s="27"/>
      <c r="O51" s="1" t="s">
        <v>264</v>
      </c>
      <c r="P51" s="29" t="s">
        <v>265</v>
      </c>
      <c r="Q51" s="27" t="s">
        <v>1865</v>
      </c>
      <c r="R51" s="27" t="s">
        <v>1497</v>
      </c>
    </row>
    <row r="52" spans="1:18" ht="24" customHeight="1">
      <c r="A52" s="27"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EVT-2026-1003</v>
      </c>
      <c r="B52" s="30">
        <v>46261</v>
      </c>
      <c r="C52" s="27" t="s">
        <v>216</v>
      </c>
      <c r="D52" s="27" t="s">
        <v>1240</v>
      </c>
      <c r="E52" s="27" t="s">
        <v>708</v>
      </c>
      <c r="F52" s="10">
        <v>30</v>
      </c>
      <c r="G52" s="36" t="s">
        <v>263</v>
      </c>
      <c r="H52" s="37" t="s">
        <v>275</v>
      </c>
      <c r="I52" s="37" t="s">
        <v>270</v>
      </c>
      <c r="J52" s="27" t="s">
        <v>1445</v>
      </c>
      <c r="K52" s="27" t="s">
        <v>1445</v>
      </c>
      <c r="L52" s="27" t="s">
        <v>2343</v>
      </c>
      <c r="M52" s="27" t="s">
        <v>1415</v>
      </c>
      <c r="N52" s="27"/>
      <c r="O52" s="1" t="s">
        <v>264</v>
      </c>
      <c r="P52" s="29" t="s">
        <v>265</v>
      </c>
      <c r="Q52" s="27" t="s">
        <v>2351</v>
      </c>
      <c r="R52" s="27" t="s">
        <v>1497</v>
      </c>
    </row>
    <row r="53" spans="1:18" ht="24" customHeight="1">
      <c r="A53" s="27"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EVT-2026-1004</v>
      </c>
      <c r="B53" s="30">
        <v>46262</v>
      </c>
      <c r="C53" s="27" t="s">
        <v>220</v>
      </c>
      <c r="D53" s="27" t="s">
        <v>171</v>
      </c>
      <c r="E53" s="27" t="s">
        <v>1864</v>
      </c>
      <c r="F53" s="10">
        <v>50</v>
      </c>
      <c r="G53" s="36" t="s">
        <v>263</v>
      </c>
      <c r="H53" s="37" t="s">
        <v>269</v>
      </c>
      <c r="I53" s="37" t="s">
        <v>270</v>
      </c>
      <c r="J53" s="27"/>
      <c r="K53" s="27"/>
      <c r="L53" s="27" t="s">
        <v>351</v>
      </c>
      <c r="M53" s="39" t="s">
        <v>1688</v>
      </c>
      <c r="N53" s="27"/>
      <c r="O53" s="1" t="s">
        <v>264</v>
      </c>
      <c r="P53" s="29" t="s">
        <v>265</v>
      </c>
      <c r="Q53" s="27" t="s">
        <v>2352</v>
      </c>
      <c r="R53" s="27" t="s">
        <v>1497</v>
      </c>
    </row>
    <row r="54" spans="1:18" ht="24" customHeight="1">
      <c r="A54" s="27"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4" s="30">
        <v>46263</v>
      </c>
      <c r="C54" s="27" t="s">
        <v>266</v>
      </c>
      <c r="D54" s="27"/>
      <c r="E54" s="27"/>
      <c r="F54" s="10"/>
      <c r="G54" s="36" t="s">
        <v>263</v>
      </c>
      <c r="H54" s="37"/>
      <c r="I54" s="37"/>
      <c r="J54" s="27"/>
      <c r="K54" s="27"/>
      <c r="L54" s="27"/>
      <c r="M54" s="27"/>
      <c r="N54" s="27"/>
      <c r="O54" s="2" t="s">
        <v>1859</v>
      </c>
      <c r="P54" s="29" t="s">
        <v>265</v>
      </c>
      <c r="Q54" s="27"/>
      <c r="R54" s="27"/>
    </row>
    <row r="55" spans="1:18" ht="24" customHeight="1">
      <c r="A55" s="27" t="str">
        <f ca="1">IF(OR(D55&lt;&gt;"", E55&lt;&gt;"", K55&lt;&gt;"", N55&lt;&gt;""),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5" s="30">
        <v>46264</v>
      </c>
      <c r="C55" s="27" t="s">
        <v>267</v>
      </c>
      <c r="D55" s="27"/>
      <c r="E55" s="27"/>
      <c r="F55" s="10"/>
      <c r="G55" s="36" t="s">
        <v>263</v>
      </c>
      <c r="H55" s="37"/>
      <c r="I55" s="37"/>
      <c r="J55" s="27"/>
      <c r="K55" s="27"/>
      <c r="L55" s="27"/>
      <c r="M55" s="27"/>
      <c r="N55" s="27"/>
      <c r="O55" s="2" t="s">
        <v>1859</v>
      </c>
      <c r="P55" s="29" t="s">
        <v>265</v>
      </c>
      <c r="Q55" s="27"/>
      <c r="R55" s="27"/>
    </row>
    <row r="56" spans="1:18" ht="24" customHeight="1">
      <c r="A56" s="27"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6" s="30">
        <v>46265</v>
      </c>
      <c r="C56" s="27" t="s">
        <v>224</v>
      </c>
      <c r="D56" s="27"/>
      <c r="E56" s="27"/>
      <c r="F56" s="10"/>
      <c r="G56" s="36" t="s">
        <v>263</v>
      </c>
      <c r="H56" s="37"/>
      <c r="I56" s="37"/>
      <c r="J56" s="27"/>
      <c r="K56" s="27"/>
      <c r="L56" s="27"/>
      <c r="M56" s="39"/>
      <c r="N56" s="27"/>
      <c r="O56" s="2"/>
      <c r="P56" s="29"/>
      <c r="Q56" s="27"/>
      <c r="R56" s="27"/>
    </row>
    <row r="57" spans="1:18" ht="24" customHeight="1">
      <c r="A57" s="27" t="str">
        <f ca="1">IF(OR(D57&lt;&gt;"", E57&lt;&gt;"", K57&lt;&gt;"", N57&lt;&gt;""),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EVT-2026-1005</v>
      </c>
      <c r="B57" s="30">
        <v>46265</v>
      </c>
      <c r="C57" s="27" t="s">
        <v>224</v>
      </c>
      <c r="D57" s="27" t="s">
        <v>171</v>
      </c>
      <c r="E57" s="27" t="s">
        <v>2348</v>
      </c>
      <c r="F57" s="10">
        <v>50</v>
      </c>
      <c r="G57" s="36" t="s">
        <v>263</v>
      </c>
      <c r="H57" s="37" t="s">
        <v>269</v>
      </c>
      <c r="I57" s="37" t="s">
        <v>270</v>
      </c>
      <c r="J57" s="27"/>
      <c r="K57" s="27"/>
      <c r="L57" s="27" t="s">
        <v>351</v>
      </c>
      <c r="M57" s="27"/>
      <c r="N57" s="27"/>
      <c r="O57" s="2" t="s">
        <v>1859</v>
      </c>
      <c r="P57" s="29" t="s">
        <v>265</v>
      </c>
      <c r="Q57" s="27" t="s">
        <v>1865</v>
      </c>
      <c r="R57" s="27" t="s">
        <v>2350</v>
      </c>
    </row>
  </sheetData>
  <mergeCells count="3">
    <mergeCell ref="A1:C1"/>
    <mergeCell ref="N1:R1"/>
    <mergeCell ref="D1:M1"/>
  </mergeCells>
  <dataValidations count="4">
    <dataValidation type="list" allowBlank="1" sqref="O3:O57 N3:N505" xr:uid="{00000000-0002-0000-1000-000000000000}">
      <formula1>"Confirmed (Done),Pending Calendar Booking,Canceled"</formula1>
    </dataValidation>
    <dataValidation type="list" allowBlank="1" sqref="O3:O107" xr:uid="{00000000-0002-0000-1000-000001000000}">
      <formula1>"Form sent,NA"</formula1>
    </dataValidation>
    <dataValidation type="list" allowBlank="1" sqref="P3:P57" xr:uid="{00000000-0002-0000-1000-000002000000}">
      <formula1>"Form sent,Not Required,NA"</formula1>
    </dataValidation>
    <dataValidation type="list" allowBlank="1" sqref="G3:G57" xr:uid="{00000000-0002-0000-1000-000003000000}">
      <formula1>"Big Event,Small Event"</formula1>
    </dataValidation>
  </dataValidations>
  <hyperlinks>
    <hyperlink ref="A1" location="'Dashboard'!A1" display="🏠 ⮌ RETURN TO DASHBOARD" xr:uid="{00000000-0004-0000-1000-000000000000}"/>
    <hyperlink ref="L36" r:id="rId1" xr:uid="{00000000-0004-0000-1000-000001000000}"/>
    <hyperlink ref="L37" r:id="rId2" xr:uid="{00000000-0004-0000-1000-000002000000}"/>
    <hyperlink ref="L39" r:id="rId3" xr:uid="{00000000-0004-0000-1000-000003000000}"/>
    <hyperlink ref="L40" r:id="rId4" xr:uid="{00000000-0004-0000-1000-000004000000}"/>
    <hyperlink ref="L41" r:id="rId5" xr:uid="{00000000-0004-0000-1000-000005000000}"/>
    <hyperlink ref="L47" r:id="rId6" xr:uid="{00000000-0004-0000-1000-000006000000}"/>
    <hyperlink ref="L48" r:id="rId7" xr:uid="{00000000-0004-0000-1000-000007000000}"/>
    <hyperlink ref="L49" r:id="rId8" xr:uid="{00000000-0004-0000-1000-000008000000}"/>
    <hyperlink ref="L50" r:id="rId9" xr:uid="{00000000-0004-0000-1000-000009000000}"/>
    <hyperlink ref="L51" r:id="rId10" xr:uid="{00000000-0004-0000-1000-00000A000000}"/>
    <hyperlink ref="L53" r:id="rId11" xr:uid="{00000000-0004-0000-1000-00000B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I328"/>
  <sheetViews>
    <sheetView workbookViewId="0">
      <pane ySplit="2" topLeftCell="A103" activePane="bottomLeft" state="frozen"/>
      <selection pane="bottomLeft" activeCell="D108" sqref="D108:S108"/>
    </sheetView>
  </sheetViews>
  <sheetFormatPr defaultRowHeight="15" customHeight="1"/>
  <cols>
    <col min="1" max="1" width="18" customWidth="1"/>
    <col min="2" max="2" width="15" bestFit="1" customWidth="1"/>
    <col min="3" max="3" width="12" customWidth="1"/>
    <col min="4" max="4" width="22" customWidth="1"/>
    <col min="5" max="6" width="48" customWidth="1"/>
    <col min="7" max="7" width="17" customWidth="1"/>
    <col min="8" max="8" width="15" customWidth="1"/>
    <col min="9" max="9" width="19" customWidth="1"/>
    <col min="10" max="10" width="17" customWidth="1"/>
    <col min="11" max="13" width="48" customWidth="1"/>
    <col min="14" max="14" width="33" customWidth="1"/>
    <col min="15" max="15" width="17" customWidth="1"/>
    <col min="16" max="16" width="27" customWidth="1"/>
    <col min="17" max="17" width="18" customWidth="1"/>
    <col min="18" max="18" width="48" customWidth="1"/>
    <col min="19" max="19" width="19" style="52" customWidth="1"/>
  </cols>
  <sheetData>
    <row r="1" spans="1:19" ht="27.95" customHeight="1">
      <c r="A1" s="62" t="s">
        <v>2138</v>
      </c>
      <c r="B1" s="134"/>
      <c r="C1" s="135"/>
      <c r="D1" s="63" t="s">
        <v>2353</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2354</v>
      </c>
      <c r="E2" s="35" t="s">
        <v>190</v>
      </c>
      <c r="F2" s="35" t="s">
        <v>2140</v>
      </c>
      <c r="G2" s="35" t="s">
        <v>2141</v>
      </c>
      <c r="H2" s="35" t="s">
        <v>251</v>
      </c>
      <c r="I2" s="35" t="s">
        <v>2142</v>
      </c>
      <c r="J2" s="35" t="s">
        <v>2143</v>
      </c>
      <c r="K2" s="35" t="s">
        <v>2144</v>
      </c>
      <c r="L2" s="35" t="s">
        <v>255</v>
      </c>
      <c r="M2" s="35" t="s">
        <v>193</v>
      </c>
      <c r="N2" s="35" t="s">
        <v>256</v>
      </c>
      <c r="O2" s="35" t="s">
        <v>259</v>
      </c>
      <c r="P2" s="35" t="s">
        <v>194</v>
      </c>
      <c r="Q2" s="35" t="s">
        <v>258</v>
      </c>
      <c r="R2" s="56"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
      </c>
      <c r="B3" s="30">
        <v>46235</v>
      </c>
      <c r="C3" s="27" t="s">
        <v>266</v>
      </c>
      <c r="D3" s="27"/>
      <c r="E3" s="27"/>
      <c r="F3" s="27"/>
      <c r="G3" s="10"/>
      <c r="H3" s="36"/>
      <c r="I3" s="37"/>
      <c r="J3" s="37"/>
      <c r="K3" s="27"/>
      <c r="L3" s="27"/>
      <c r="M3" s="27"/>
      <c r="N3" s="27"/>
      <c r="O3" s="27"/>
      <c r="P3" s="1" t="s">
        <v>264</v>
      </c>
      <c r="Q3" s="29" t="s">
        <v>265</v>
      </c>
      <c r="R3" s="48"/>
      <c r="S3" s="27"/>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
      </c>
      <c r="B4" s="30">
        <v>46236</v>
      </c>
      <c r="C4" s="27" t="s">
        <v>267</v>
      </c>
      <c r="D4" s="27"/>
      <c r="E4" s="27"/>
      <c r="F4" s="27"/>
      <c r="G4" s="10"/>
      <c r="H4" s="36"/>
      <c r="I4" s="37"/>
      <c r="J4" s="37"/>
      <c r="K4" s="27"/>
      <c r="L4" s="27"/>
      <c r="M4" s="27"/>
      <c r="N4" s="27"/>
      <c r="O4" s="27"/>
      <c r="P4" s="1" t="s">
        <v>264</v>
      </c>
      <c r="Q4" s="29" t="s">
        <v>265</v>
      </c>
      <c r="R4" s="48"/>
      <c r="S4" s="27"/>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EVT-2026-1006</v>
      </c>
      <c r="B5" s="30">
        <v>46237</v>
      </c>
      <c r="C5" s="27" t="s">
        <v>224</v>
      </c>
      <c r="D5" s="27" t="s">
        <v>228</v>
      </c>
      <c r="E5" s="27" t="s">
        <v>125</v>
      </c>
      <c r="F5" s="27" t="s">
        <v>870</v>
      </c>
      <c r="G5" s="10" t="s">
        <v>1445</v>
      </c>
      <c r="H5" s="36" t="s">
        <v>263</v>
      </c>
      <c r="I5" s="37" t="s">
        <v>274</v>
      </c>
      <c r="J5" s="37" t="s">
        <v>330</v>
      </c>
      <c r="K5" s="27" t="s">
        <v>1445</v>
      </c>
      <c r="L5" s="27" t="s">
        <v>1867</v>
      </c>
      <c r="M5" s="27" t="s">
        <v>1599</v>
      </c>
      <c r="N5" s="27"/>
      <c r="O5" s="30" t="s">
        <v>2332</v>
      </c>
      <c r="P5" s="1" t="s">
        <v>264</v>
      </c>
      <c r="Q5" s="29" t="s">
        <v>265</v>
      </c>
      <c r="R5" s="48" t="s">
        <v>1445</v>
      </c>
      <c r="S5" s="27" t="s">
        <v>1497</v>
      </c>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EVT-2026-1007</v>
      </c>
      <c r="B6" s="30">
        <v>46237</v>
      </c>
      <c r="C6" s="27" t="s">
        <v>224</v>
      </c>
      <c r="D6" s="27" t="s">
        <v>228</v>
      </c>
      <c r="E6" s="27" t="s">
        <v>125</v>
      </c>
      <c r="F6" s="27" t="s">
        <v>1868</v>
      </c>
      <c r="G6" s="10">
        <v>50</v>
      </c>
      <c r="H6" s="36" t="s">
        <v>263</v>
      </c>
      <c r="I6" s="37" t="s">
        <v>309</v>
      </c>
      <c r="J6" s="37" t="s">
        <v>270</v>
      </c>
      <c r="K6" s="27"/>
      <c r="L6" s="27"/>
      <c r="M6" s="27" t="s">
        <v>370</v>
      </c>
      <c r="N6" s="27"/>
      <c r="O6" s="30" t="s">
        <v>1551</v>
      </c>
      <c r="P6" s="1" t="s">
        <v>264</v>
      </c>
      <c r="Q6" s="29" t="s">
        <v>265</v>
      </c>
      <c r="R6" s="48" t="s">
        <v>298</v>
      </c>
      <c r="S6" s="27"/>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EVT-2026-1008</v>
      </c>
      <c r="B7" s="30">
        <v>46237</v>
      </c>
      <c r="C7" s="27" t="s">
        <v>224</v>
      </c>
      <c r="D7" s="27" t="s">
        <v>1260</v>
      </c>
      <c r="E7" s="27" t="s">
        <v>1366</v>
      </c>
      <c r="F7" s="27" t="s">
        <v>1869</v>
      </c>
      <c r="G7" s="10">
        <v>16</v>
      </c>
      <c r="H7" s="36" t="s">
        <v>263</v>
      </c>
      <c r="I7" s="37" t="s">
        <v>269</v>
      </c>
      <c r="J7" s="37" t="s">
        <v>270</v>
      </c>
      <c r="K7" s="27"/>
      <c r="L7" s="27"/>
      <c r="M7" s="27" t="s">
        <v>1641</v>
      </c>
      <c r="N7" s="27"/>
      <c r="O7" s="30">
        <v>46221</v>
      </c>
      <c r="P7" s="3" t="s">
        <v>312</v>
      </c>
      <c r="Q7" s="29" t="s">
        <v>265</v>
      </c>
      <c r="R7" s="48" t="s">
        <v>1870</v>
      </c>
      <c r="S7" s="27"/>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EVT-2026-1009</v>
      </c>
      <c r="B8" s="30">
        <v>46237</v>
      </c>
      <c r="C8" s="27" t="s">
        <v>224</v>
      </c>
      <c r="D8" s="27" t="s">
        <v>202</v>
      </c>
      <c r="E8" s="27" t="s">
        <v>1366</v>
      </c>
      <c r="F8" s="27" t="s">
        <v>1871</v>
      </c>
      <c r="G8" s="10">
        <v>30</v>
      </c>
      <c r="H8" s="36" t="s">
        <v>263</v>
      </c>
      <c r="I8" s="37" t="s">
        <v>1057</v>
      </c>
      <c r="J8" s="37" t="s">
        <v>553</v>
      </c>
      <c r="K8" s="27" t="s">
        <v>369</v>
      </c>
      <c r="L8" s="27" t="s">
        <v>369</v>
      </c>
      <c r="M8" s="27" t="s">
        <v>1036</v>
      </c>
      <c r="N8" s="27"/>
      <c r="O8" s="27"/>
      <c r="P8" s="1" t="s">
        <v>264</v>
      </c>
      <c r="Q8" s="28" t="s">
        <v>1807</v>
      </c>
      <c r="R8" s="48" t="s">
        <v>1872</v>
      </c>
      <c r="S8" s="27" t="s">
        <v>1873</v>
      </c>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EVT-2026-1010</v>
      </c>
      <c r="B9" s="30">
        <v>46237</v>
      </c>
      <c r="C9" s="27" t="s">
        <v>224</v>
      </c>
      <c r="D9" s="27" t="s">
        <v>202</v>
      </c>
      <c r="E9" s="27" t="s">
        <v>1366</v>
      </c>
      <c r="F9" s="27" t="s">
        <v>1874</v>
      </c>
      <c r="G9" s="10">
        <v>25</v>
      </c>
      <c r="H9" s="36" t="s">
        <v>263</v>
      </c>
      <c r="I9" s="37" t="s">
        <v>331</v>
      </c>
      <c r="J9" s="37" t="s">
        <v>350</v>
      </c>
      <c r="K9" s="27" t="s">
        <v>382</v>
      </c>
      <c r="L9" s="27"/>
      <c r="M9" s="27" t="s">
        <v>1348</v>
      </c>
      <c r="N9" s="27"/>
      <c r="O9" s="30">
        <v>46223</v>
      </c>
      <c r="P9" s="1" t="s">
        <v>264</v>
      </c>
      <c r="Q9" s="28" t="s">
        <v>1807</v>
      </c>
      <c r="R9" s="48" t="s">
        <v>1875</v>
      </c>
      <c r="S9" s="27" t="s">
        <v>1751</v>
      </c>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EVT-2026-1011</v>
      </c>
      <c r="B10" s="30">
        <v>46237</v>
      </c>
      <c r="C10" s="27" t="s">
        <v>224</v>
      </c>
      <c r="D10" s="27" t="s">
        <v>202</v>
      </c>
      <c r="E10" s="27" t="s">
        <v>736</v>
      </c>
      <c r="F10" s="27" t="s">
        <v>1876</v>
      </c>
      <c r="G10" s="10">
        <v>50</v>
      </c>
      <c r="H10" s="36" t="s">
        <v>263</v>
      </c>
      <c r="I10" s="37" t="s">
        <v>315</v>
      </c>
      <c r="J10" s="37" t="s">
        <v>330</v>
      </c>
      <c r="K10" s="27" t="s">
        <v>1877</v>
      </c>
      <c r="L10" s="27" t="s">
        <v>1670</v>
      </c>
      <c r="M10" s="27" t="s">
        <v>783</v>
      </c>
      <c r="N10" s="27"/>
      <c r="O10" s="30">
        <v>46226</v>
      </c>
      <c r="P10" s="1" t="s">
        <v>264</v>
      </c>
      <c r="Q10" s="28" t="s">
        <v>1807</v>
      </c>
      <c r="R10" s="48" t="s">
        <v>1748</v>
      </c>
      <c r="S10" s="27" t="s">
        <v>1497</v>
      </c>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EVT-2026-1012</v>
      </c>
      <c r="B11" s="30">
        <v>46237</v>
      </c>
      <c r="C11" s="27" t="s">
        <v>224</v>
      </c>
      <c r="D11" s="27" t="s">
        <v>202</v>
      </c>
      <c r="E11" s="27" t="s">
        <v>736</v>
      </c>
      <c r="F11" s="27" t="s">
        <v>1715</v>
      </c>
      <c r="G11" s="10">
        <v>23</v>
      </c>
      <c r="H11" s="36" t="s">
        <v>263</v>
      </c>
      <c r="I11" s="37" t="s">
        <v>331</v>
      </c>
      <c r="J11" s="37" t="s">
        <v>1342</v>
      </c>
      <c r="K11" s="27" t="s">
        <v>610</v>
      </c>
      <c r="L11" s="27" t="s">
        <v>369</v>
      </c>
      <c r="M11" s="27" t="s">
        <v>1198</v>
      </c>
      <c r="N11" s="27"/>
      <c r="O11" s="30">
        <v>46227</v>
      </c>
      <c r="P11" s="1" t="s">
        <v>264</v>
      </c>
      <c r="Q11" s="28" t="s">
        <v>1807</v>
      </c>
      <c r="R11" s="48" t="s">
        <v>1180</v>
      </c>
      <c r="S11" s="27" t="s">
        <v>1497</v>
      </c>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EVT-2026-1013</v>
      </c>
      <c r="B12" s="30">
        <v>46237</v>
      </c>
      <c r="C12" s="27" t="s">
        <v>224</v>
      </c>
      <c r="D12" s="27" t="s">
        <v>1879</v>
      </c>
      <c r="E12" s="27" t="s">
        <v>1878</v>
      </c>
      <c r="F12" s="27" t="s">
        <v>1880</v>
      </c>
      <c r="G12" s="10">
        <v>5</v>
      </c>
      <c r="H12" s="36" t="s">
        <v>263</v>
      </c>
      <c r="I12" s="37" t="s">
        <v>269</v>
      </c>
      <c r="J12" s="37" t="s">
        <v>270</v>
      </c>
      <c r="K12" s="27" t="s">
        <v>1394</v>
      </c>
      <c r="L12" s="27" t="s">
        <v>1881</v>
      </c>
      <c r="M12" s="27" t="s">
        <v>1882</v>
      </c>
      <c r="N12" s="27"/>
      <c r="O12" s="30">
        <v>46235</v>
      </c>
      <c r="P12" s="1" t="s">
        <v>264</v>
      </c>
      <c r="Q12" s="29" t="s">
        <v>265</v>
      </c>
      <c r="R12" s="48" t="s">
        <v>1883</v>
      </c>
      <c r="S12" s="27" t="s">
        <v>1497</v>
      </c>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EVT-2026-1014</v>
      </c>
      <c r="B13" s="30">
        <v>46237</v>
      </c>
      <c r="C13" s="27" t="s">
        <v>224</v>
      </c>
      <c r="D13" s="27" t="s">
        <v>202</v>
      </c>
      <c r="E13" s="27" t="s">
        <v>1884</v>
      </c>
      <c r="F13" s="27" t="s">
        <v>1885</v>
      </c>
      <c r="G13" s="10">
        <v>2</v>
      </c>
      <c r="H13" s="36" t="s">
        <v>263</v>
      </c>
      <c r="I13" s="37" t="s">
        <v>269</v>
      </c>
      <c r="J13" s="37" t="s">
        <v>270</v>
      </c>
      <c r="K13" s="27" t="s">
        <v>1394</v>
      </c>
      <c r="L13" s="27" t="s">
        <v>1886</v>
      </c>
      <c r="M13" s="27" t="s">
        <v>1887</v>
      </c>
      <c r="N13" s="27"/>
      <c r="O13" s="30">
        <v>46234</v>
      </c>
      <c r="P13" s="1" t="s">
        <v>264</v>
      </c>
      <c r="Q13" s="29" t="s">
        <v>265</v>
      </c>
      <c r="R13" s="48" t="s">
        <v>1886</v>
      </c>
      <c r="S13" s="27" t="s">
        <v>1497</v>
      </c>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EVT-2026-1015</v>
      </c>
      <c r="B14" s="30">
        <v>46238</v>
      </c>
      <c r="C14" s="27" t="s">
        <v>227</v>
      </c>
      <c r="D14" s="27" t="s">
        <v>202</v>
      </c>
      <c r="E14" s="27" t="s">
        <v>239</v>
      </c>
      <c r="F14" s="27" t="s">
        <v>1888</v>
      </c>
      <c r="G14" s="10">
        <v>200</v>
      </c>
      <c r="H14" s="38" t="s">
        <v>294</v>
      </c>
      <c r="I14" s="37" t="s">
        <v>295</v>
      </c>
      <c r="J14" s="37" t="s">
        <v>296</v>
      </c>
      <c r="K14" s="27"/>
      <c r="L14" s="27" t="s">
        <v>1889</v>
      </c>
      <c r="M14" s="27" t="s">
        <v>1890</v>
      </c>
      <c r="N14" s="27"/>
      <c r="O14" s="30" t="s">
        <v>2355</v>
      </c>
      <c r="P14" s="1" t="s">
        <v>264</v>
      </c>
      <c r="Q14" s="28" t="s">
        <v>1807</v>
      </c>
      <c r="R14" s="48" t="s">
        <v>1891</v>
      </c>
      <c r="S14" s="27" t="s">
        <v>1701</v>
      </c>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EVT-2026-1016</v>
      </c>
      <c r="B15" s="30">
        <v>46238</v>
      </c>
      <c r="C15" s="27" t="s">
        <v>227</v>
      </c>
      <c r="D15" s="27" t="s">
        <v>228</v>
      </c>
      <c r="E15" s="27" t="s">
        <v>125</v>
      </c>
      <c r="F15" s="27" t="s">
        <v>1892</v>
      </c>
      <c r="G15" s="10">
        <v>180</v>
      </c>
      <c r="H15" s="38" t="s">
        <v>294</v>
      </c>
      <c r="I15" s="37" t="s">
        <v>315</v>
      </c>
      <c r="J15" s="37" t="s">
        <v>506</v>
      </c>
      <c r="K15" s="27" t="s">
        <v>382</v>
      </c>
      <c r="L15" s="27"/>
      <c r="M15" s="27" t="s">
        <v>1599</v>
      </c>
      <c r="N15" s="27"/>
      <c r="O15" s="30">
        <v>46216</v>
      </c>
      <c r="P15" s="1" t="s">
        <v>264</v>
      </c>
      <c r="Q15" s="28" t="s">
        <v>1807</v>
      </c>
      <c r="R15" s="48" t="s">
        <v>1313</v>
      </c>
      <c r="S15" s="27"/>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EVT-2026-1017</v>
      </c>
      <c r="B16" s="30">
        <v>46238</v>
      </c>
      <c r="C16" s="27" t="s">
        <v>227</v>
      </c>
      <c r="D16" s="27" t="s">
        <v>208</v>
      </c>
      <c r="E16" s="27" t="s">
        <v>1878</v>
      </c>
      <c r="F16" s="27" t="s">
        <v>1880</v>
      </c>
      <c r="G16" s="10">
        <v>5</v>
      </c>
      <c r="H16" s="36" t="s">
        <v>263</v>
      </c>
      <c r="I16" s="37" t="s">
        <v>269</v>
      </c>
      <c r="J16" s="37" t="s">
        <v>270</v>
      </c>
      <c r="K16" s="27" t="s">
        <v>1394</v>
      </c>
      <c r="L16" s="27" t="s">
        <v>1881</v>
      </c>
      <c r="M16" s="27" t="s">
        <v>1882</v>
      </c>
      <c r="N16" s="27"/>
      <c r="O16" s="30">
        <v>46235</v>
      </c>
      <c r="P16" s="1" t="s">
        <v>264</v>
      </c>
      <c r="Q16" s="29" t="s">
        <v>265</v>
      </c>
      <c r="R16" s="48" t="s">
        <v>1883</v>
      </c>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EVT-2026-1018</v>
      </c>
      <c r="B17" s="30">
        <v>46238</v>
      </c>
      <c r="C17" s="27" t="s">
        <v>227</v>
      </c>
      <c r="D17" s="27" t="s">
        <v>228</v>
      </c>
      <c r="E17" s="27" t="s">
        <v>125</v>
      </c>
      <c r="F17" s="27" t="s">
        <v>1893</v>
      </c>
      <c r="G17" s="10">
        <v>150</v>
      </c>
      <c r="H17" s="38" t="s">
        <v>294</v>
      </c>
      <c r="I17" s="37" t="s">
        <v>506</v>
      </c>
      <c r="J17" s="37" t="s">
        <v>331</v>
      </c>
      <c r="K17" s="27" t="s">
        <v>1394</v>
      </c>
      <c r="L17" s="27" t="s">
        <v>1449</v>
      </c>
      <c r="M17" s="27" t="s">
        <v>355</v>
      </c>
      <c r="N17" s="27"/>
      <c r="O17" s="30">
        <v>46218</v>
      </c>
      <c r="P17" s="3" t="s">
        <v>312</v>
      </c>
      <c r="Q17" s="29" t="s">
        <v>265</v>
      </c>
      <c r="R17" s="48" t="s">
        <v>1313</v>
      </c>
      <c r="S17" s="27" t="s">
        <v>1497</v>
      </c>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EVT-2026-1019</v>
      </c>
      <c r="B18" s="30">
        <v>46238</v>
      </c>
      <c r="C18" s="27" t="s">
        <v>227</v>
      </c>
      <c r="D18" s="27" t="s">
        <v>228</v>
      </c>
      <c r="E18" s="27" t="s">
        <v>125</v>
      </c>
      <c r="F18" s="27" t="s">
        <v>1868</v>
      </c>
      <c r="G18" s="10">
        <v>50</v>
      </c>
      <c r="H18" s="36" t="s">
        <v>263</v>
      </c>
      <c r="I18" s="37" t="s">
        <v>309</v>
      </c>
      <c r="J18" s="37" t="s">
        <v>270</v>
      </c>
      <c r="K18" s="27"/>
      <c r="L18" s="27"/>
      <c r="M18" s="27" t="s">
        <v>370</v>
      </c>
      <c r="N18" s="27"/>
      <c r="O18" s="30" t="s">
        <v>1551</v>
      </c>
      <c r="P18" s="1" t="s">
        <v>264</v>
      </c>
      <c r="Q18" s="29" t="s">
        <v>265</v>
      </c>
      <c r="R18" s="48" t="s">
        <v>298</v>
      </c>
      <c r="S18" s="27"/>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EVT-2026-1020</v>
      </c>
      <c r="B19" s="30">
        <v>46238</v>
      </c>
      <c r="C19" s="27" t="s">
        <v>227</v>
      </c>
      <c r="D19" s="27" t="s">
        <v>208</v>
      </c>
      <c r="E19" s="27" t="s">
        <v>1366</v>
      </c>
      <c r="F19" s="27" t="s">
        <v>217</v>
      </c>
      <c r="G19" s="10">
        <v>50</v>
      </c>
      <c r="H19" s="36" t="s">
        <v>263</v>
      </c>
      <c r="I19" s="37" t="s">
        <v>309</v>
      </c>
      <c r="J19" s="37" t="s">
        <v>296</v>
      </c>
      <c r="K19" s="27"/>
      <c r="L19" s="27"/>
      <c r="M19" s="27" t="s">
        <v>1510</v>
      </c>
      <c r="N19" s="27"/>
      <c r="O19" s="27"/>
      <c r="P19" s="1" t="s">
        <v>264</v>
      </c>
      <c r="Q19" s="29" t="s">
        <v>265</v>
      </c>
      <c r="R19" s="48" t="s">
        <v>298</v>
      </c>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EVT-2026-1021</v>
      </c>
      <c r="B20" s="30">
        <v>46238</v>
      </c>
      <c r="C20" s="27" t="s">
        <v>227</v>
      </c>
      <c r="D20" s="27" t="s">
        <v>202</v>
      </c>
      <c r="E20" s="27" t="s">
        <v>1366</v>
      </c>
      <c r="F20" s="27" t="s">
        <v>1894</v>
      </c>
      <c r="G20" s="10">
        <v>30</v>
      </c>
      <c r="H20" s="36" t="s">
        <v>263</v>
      </c>
      <c r="I20" s="37" t="s">
        <v>330</v>
      </c>
      <c r="J20" s="37" t="s">
        <v>331</v>
      </c>
      <c r="K20" s="27" t="s">
        <v>369</v>
      </c>
      <c r="L20" s="27" t="s">
        <v>1670</v>
      </c>
      <c r="M20" s="27" t="s">
        <v>1036</v>
      </c>
      <c r="N20" s="27"/>
      <c r="O20" s="30">
        <v>46226</v>
      </c>
      <c r="P20" s="1" t="s">
        <v>264</v>
      </c>
      <c r="Q20" s="28" t="s">
        <v>1807</v>
      </c>
      <c r="R20" s="48" t="s">
        <v>298</v>
      </c>
      <c r="S20" s="27" t="s">
        <v>1497</v>
      </c>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EVT-2026-1022</v>
      </c>
      <c r="B21" s="30">
        <v>46238</v>
      </c>
      <c r="C21" s="27" t="s">
        <v>227</v>
      </c>
      <c r="D21" s="27" t="s">
        <v>202</v>
      </c>
      <c r="E21" s="27" t="s">
        <v>1366</v>
      </c>
      <c r="F21" s="27" t="s">
        <v>895</v>
      </c>
      <c r="G21" s="10">
        <v>60</v>
      </c>
      <c r="H21" s="36" t="s">
        <v>263</v>
      </c>
      <c r="I21" s="37" t="s">
        <v>1405</v>
      </c>
      <c r="J21" s="37" t="s">
        <v>296</v>
      </c>
      <c r="K21" s="27"/>
      <c r="L21" s="27"/>
      <c r="M21" s="27" t="s">
        <v>1895</v>
      </c>
      <c r="N21" s="27"/>
      <c r="O21" s="27"/>
      <c r="P21" s="1" t="s">
        <v>264</v>
      </c>
      <c r="Q21" s="28" t="s">
        <v>1807</v>
      </c>
      <c r="R21" s="48"/>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EVT-2026-1023</v>
      </c>
      <c r="B22" s="30">
        <v>46238</v>
      </c>
      <c r="C22" s="27" t="s">
        <v>227</v>
      </c>
      <c r="D22" s="27" t="s">
        <v>208</v>
      </c>
      <c r="E22" s="27" t="s">
        <v>1366</v>
      </c>
      <c r="F22" s="27" t="s">
        <v>1896</v>
      </c>
      <c r="G22" s="10">
        <v>15</v>
      </c>
      <c r="H22" s="36" t="s">
        <v>263</v>
      </c>
      <c r="I22" s="37" t="s">
        <v>331</v>
      </c>
      <c r="J22" s="37" t="s">
        <v>275</v>
      </c>
      <c r="K22" s="27" t="s">
        <v>610</v>
      </c>
      <c r="L22" s="27"/>
      <c r="M22" s="27" t="s">
        <v>1897</v>
      </c>
      <c r="N22" s="27"/>
      <c r="O22" s="27"/>
      <c r="P22" s="1" t="s">
        <v>264</v>
      </c>
      <c r="Q22" s="28" t="s">
        <v>1807</v>
      </c>
      <c r="R22" s="48" t="s">
        <v>1898</v>
      </c>
      <c r="S22" s="27" t="s">
        <v>1751</v>
      </c>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EVT-2026-1024</v>
      </c>
      <c r="B23" s="30">
        <v>46238</v>
      </c>
      <c r="C23" s="27" t="s">
        <v>227</v>
      </c>
      <c r="D23" s="27" t="s">
        <v>202</v>
      </c>
      <c r="E23" s="27" t="s">
        <v>736</v>
      </c>
      <c r="F23" s="27" t="s">
        <v>1899</v>
      </c>
      <c r="G23" s="10">
        <v>24</v>
      </c>
      <c r="H23" s="36" t="s">
        <v>263</v>
      </c>
      <c r="I23" s="37" t="s">
        <v>281</v>
      </c>
      <c r="J23" s="37" t="s">
        <v>270</v>
      </c>
      <c r="K23" s="27"/>
      <c r="L23" s="27"/>
      <c r="M23" s="27" t="s">
        <v>1900</v>
      </c>
      <c r="N23" s="27"/>
      <c r="O23" s="30" t="s">
        <v>2356</v>
      </c>
      <c r="P23" s="1" t="s">
        <v>264</v>
      </c>
      <c r="Q23" s="28" t="s">
        <v>1807</v>
      </c>
      <c r="R23" s="48" t="s">
        <v>298</v>
      </c>
      <c r="S23" s="27"/>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EVT-2026-1025</v>
      </c>
      <c r="B24" s="30">
        <v>46238</v>
      </c>
      <c r="C24" s="27" t="s">
        <v>227</v>
      </c>
      <c r="D24" s="27" t="s">
        <v>1260</v>
      </c>
      <c r="E24" s="27" t="s">
        <v>1366</v>
      </c>
      <c r="F24" s="27" t="s">
        <v>1901</v>
      </c>
      <c r="G24" s="10" t="s">
        <v>2357</v>
      </c>
      <c r="H24" s="36" t="s">
        <v>263</v>
      </c>
      <c r="I24" s="37" t="s">
        <v>506</v>
      </c>
      <c r="J24" s="37" t="s">
        <v>354</v>
      </c>
      <c r="K24" s="27" t="s">
        <v>369</v>
      </c>
      <c r="L24" s="27" t="s">
        <v>1902</v>
      </c>
      <c r="M24" s="27" t="s">
        <v>1903</v>
      </c>
      <c r="N24" s="27"/>
      <c r="O24" s="27" t="s">
        <v>1904</v>
      </c>
      <c r="P24" s="1" t="s">
        <v>264</v>
      </c>
      <c r="Q24" s="28" t="s">
        <v>1807</v>
      </c>
      <c r="R24" s="48" t="s">
        <v>298</v>
      </c>
      <c r="S24" s="27" t="s">
        <v>1497</v>
      </c>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EVT-2026-1026</v>
      </c>
      <c r="B25" s="30">
        <v>46238</v>
      </c>
      <c r="C25" s="27" t="s">
        <v>227</v>
      </c>
      <c r="D25" s="27" t="s">
        <v>202</v>
      </c>
      <c r="E25" s="27" t="s">
        <v>1884</v>
      </c>
      <c r="F25" s="27" t="s">
        <v>1885</v>
      </c>
      <c r="G25" s="10">
        <v>2</v>
      </c>
      <c r="H25" s="36" t="s">
        <v>263</v>
      </c>
      <c r="I25" s="37" t="s">
        <v>269</v>
      </c>
      <c r="J25" s="37" t="s">
        <v>270</v>
      </c>
      <c r="K25" s="27" t="s">
        <v>1394</v>
      </c>
      <c r="L25" s="27" t="s">
        <v>1886</v>
      </c>
      <c r="M25" s="27" t="s">
        <v>1887</v>
      </c>
      <c r="N25" s="27"/>
      <c r="O25" s="30" t="s">
        <v>2358</v>
      </c>
      <c r="P25" s="1" t="s">
        <v>264</v>
      </c>
      <c r="Q25" s="29" t="s">
        <v>265</v>
      </c>
      <c r="R25" s="48" t="s">
        <v>1886</v>
      </c>
      <c r="S25" s="27" t="s">
        <v>1497</v>
      </c>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EVT-2026-1027</v>
      </c>
      <c r="B26" s="30">
        <v>46239</v>
      </c>
      <c r="C26" s="27" t="s">
        <v>201</v>
      </c>
      <c r="D26" s="27" t="s">
        <v>228</v>
      </c>
      <c r="E26" s="27" t="s">
        <v>125</v>
      </c>
      <c r="F26" s="27" t="s">
        <v>1868</v>
      </c>
      <c r="G26" s="10">
        <v>50</v>
      </c>
      <c r="H26" s="36" t="s">
        <v>263</v>
      </c>
      <c r="I26" s="37" t="s">
        <v>309</v>
      </c>
      <c r="J26" s="37" t="s">
        <v>270</v>
      </c>
      <c r="K26" s="27"/>
      <c r="L26" s="27"/>
      <c r="M26" s="27" t="s">
        <v>370</v>
      </c>
      <c r="N26" s="27"/>
      <c r="O26" s="30" t="s">
        <v>1551</v>
      </c>
      <c r="P26" s="1" t="s">
        <v>264</v>
      </c>
      <c r="Q26" s="29" t="s">
        <v>265</v>
      </c>
      <c r="R26" s="48" t="s">
        <v>298</v>
      </c>
      <c r="S26" s="27"/>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EVT-2026-1028</v>
      </c>
      <c r="B27" s="30">
        <v>46239</v>
      </c>
      <c r="C27" s="27" t="s">
        <v>201</v>
      </c>
      <c r="D27" s="27" t="s">
        <v>202</v>
      </c>
      <c r="E27" s="27" t="s">
        <v>736</v>
      </c>
      <c r="F27" s="27" t="s">
        <v>1899</v>
      </c>
      <c r="G27" s="10">
        <v>24</v>
      </c>
      <c r="H27" s="36" t="s">
        <v>263</v>
      </c>
      <c r="I27" s="37" t="s">
        <v>281</v>
      </c>
      <c r="J27" s="37" t="s">
        <v>270</v>
      </c>
      <c r="K27" s="27"/>
      <c r="L27" s="27"/>
      <c r="M27" s="27" t="s">
        <v>1900</v>
      </c>
      <c r="N27" s="27"/>
      <c r="O27" s="30" t="s">
        <v>2356</v>
      </c>
      <c r="P27" s="1" t="s">
        <v>264</v>
      </c>
      <c r="Q27" s="28" t="s">
        <v>1807</v>
      </c>
      <c r="R27" s="48" t="s">
        <v>298</v>
      </c>
      <c r="S27" s="27"/>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EVT-2026-1029</v>
      </c>
      <c r="B28" s="30">
        <v>46239</v>
      </c>
      <c r="C28" s="27" t="s">
        <v>201</v>
      </c>
      <c r="D28" s="27" t="s">
        <v>202</v>
      </c>
      <c r="E28" s="27" t="s">
        <v>1366</v>
      </c>
      <c r="F28" s="27" t="s">
        <v>1905</v>
      </c>
      <c r="G28" s="10">
        <v>30</v>
      </c>
      <c r="H28" s="36" t="s">
        <v>263</v>
      </c>
      <c r="I28" s="37" t="s">
        <v>338</v>
      </c>
      <c r="J28" s="37" t="s">
        <v>316</v>
      </c>
      <c r="K28" s="27" t="s">
        <v>369</v>
      </c>
      <c r="L28" s="27" t="s">
        <v>1670</v>
      </c>
      <c r="M28" s="27" t="s">
        <v>1036</v>
      </c>
      <c r="N28" s="27"/>
      <c r="O28" s="30">
        <v>46225</v>
      </c>
      <c r="P28" s="3" t="s">
        <v>312</v>
      </c>
      <c r="Q28" s="28" t="s">
        <v>1807</v>
      </c>
      <c r="R28" s="48" t="s">
        <v>1872</v>
      </c>
      <c r="S28" s="27" t="s">
        <v>1873</v>
      </c>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EVT-2026-1030</v>
      </c>
      <c r="B29" s="30">
        <v>46239</v>
      </c>
      <c r="C29" s="27" t="s">
        <v>201</v>
      </c>
      <c r="D29" s="27" t="s">
        <v>208</v>
      </c>
      <c r="E29" s="27" t="s">
        <v>1366</v>
      </c>
      <c r="F29" s="27" t="s">
        <v>217</v>
      </c>
      <c r="G29" s="10">
        <v>50</v>
      </c>
      <c r="H29" s="36" t="s">
        <v>263</v>
      </c>
      <c r="I29" s="37" t="s">
        <v>309</v>
      </c>
      <c r="J29" s="37" t="s">
        <v>296</v>
      </c>
      <c r="K29" s="27"/>
      <c r="L29" s="27"/>
      <c r="M29" s="27" t="s">
        <v>1510</v>
      </c>
      <c r="N29" s="27"/>
      <c r="O29" s="27"/>
      <c r="P29" s="1" t="s">
        <v>264</v>
      </c>
      <c r="Q29" s="29" t="s">
        <v>265</v>
      </c>
      <c r="R29" s="48" t="s">
        <v>298</v>
      </c>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EVT-2026-1031</v>
      </c>
      <c r="B30" s="30">
        <v>46239</v>
      </c>
      <c r="C30" s="27" t="s">
        <v>201</v>
      </c>
      <c r="D30" s="27" t="s">
        <v>1260</v>
      </c>
      <c r="E30" s="27" t="s">
        <v>1366</v>
      </c>
      <c r="F30" s="27" t="s">
        <v>1869</v>
      </c>
      <c r="G30" s="10">
        <v>16</v>
      </c>
      <c r="H30" s="36" t="s">
        <v>263</v>
      </c>
      <c r="I30" s="37" t="s">
        <v>269</v>
      </c>
      <c r="J30" s="37" t="s">
        <v>270</v>
      </c>
      <c r="K30" s="27"/>
      <c r="L30" s="27"/>
      <c r="M30" s="27" t="s">
        <v>1641</v>
      </c>
      <c r="N30" s="27"/>
      <c r="O30" s="27" t="s">
        <v>1906</v>
      </c>
      <c r="P30" s="3" t="s">
        <v>312</v>
      </c>
      <c r="Q30" s="29" t="s">
        <v>265</v>
      </c>
      <c r="R30" s="48" t="s">
        <v>1870</v>
      </c>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EVT-2026-1032</v>
      </c>
      <c r="B31" s="30">
        <v>46239</v>
      </c>
      <c r="C31" s="27" t="s">
        <v>201</v>
      </c>
      <c r="D31" s="27" t="s">
        <v>202</v>
      </c>
      <c r="E31" s="27" t="s">
        <v>239</v>
      </c>
      <c r="F31" s="27" t="s">
        <v>1907</v>
      </c>
      <c r="G31" s="10">
        <v>150</v>
      </c>
      <c r="H31" s="38" t="s">
        <v>294</v>
      </c>
      <c r="I31" s="37" t="s">
        <v>274</v>
      </c>
      <c r="J31" s="37" t="s">
        <v>553</v>
      </c>
      <c r="K31" s="27" t="s">
        <v>1445</v>
      </c>
      <c r="L31" s="27" t="s">
        <v>1670</v>
      </c>
      <c r="M31" s="27" t="s">
        <v>916</v>
      </c>
      <c r="N31" s="27"/>
      <c r="O31" s="30">
        <v>46231</v>
      </c>
      <c r="P31" s="3" t="s">
        <v>312</v>
      </c>
      <c r="Q31" s="28" t="s">
        <v>1807</v>
      </c>
      <c r="R31" s="48" t="s">
        <v>1313</v>
      </c>
      <c r="S31" s="27" t="s">
        <v>1751</v>
      </c>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EVT-2026-1033</v>
      </c>
      <c r="B32" s="30">
        <v>46239</v>
      </c>
      <c r="C32" s="27" t="s">
        <v>201</v>
      </c>
      <c r="D32" s="27" t="s">
        <v>202</v>
      </c>
      <c r="E32" s="27" t="s">
        <v>1908</v>
      </c>
      <c r="F32" s="27" t="s">
        <v>1813</v>
      </c>
      <c r="G32" s="10">
        <v>4</v>
      </c>
      <c r="H32" s="36" t="s">
        <v>263</v>
      </c>
      <c r="I32" s="37" t="s">
        <v>506</v>
      </c>
      <c r="J32" s="37" t="s">
        <v>290</v>
      </c>
      <c r="K32" s="27" t="s">
        <v>1445</v>
      </c>
      <c r="L32" s="27" t="s">
        <v>1814</v>
      </c>
      <c r="M32" s="27" t="s">
        <v>1815</v>
      </c>
      <c r="N32" s="27"/>
      <c r="O32" s="30">
        <v>46232</v>
      </c>
      <c r="P32" s="1" t="s">
        <v>264</v>
      </c>
      <c r="Q32" s="28" t="s">
        <v>1807</v>
      </c>
      <c r="R32" s="48" t="s">
        <v>1909</v>
      </c>
      <c r="S32" s="27" t="s">
        <v>1497</v>
      </c>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EVT-2026-1034</v>
      </c>
      <c r="B33" s="30">
        <v>46239</v>
      </c>
      <c r="C33" s="27" t="s">
        <v>201</v>
      </c>
      <c r="D33" s="27" t="s">
        <v>202</v>
      </c>
      <c r="E33" s="27" t="s">
        <v>1884</v>
      </c>
      <c r="F33" s="27" t="s">
        <v>1885</v>
      </c>
      <c r="G33" s="10">
        <v>2</v>
      </c>
      <c r="H33" s="36" t="s">
        <v>263</v>
      </c>
      <c r="I33" s="37" t="s">
        <v>269</v>
      </c>
      <c r="J33" s="37" t="s">
        <v>270</v>
      </c>
      <c r="K33" s="27" t="s">
        <v>1490</v>
      </c>
      <c r="L33" s="27" t="s">
        <v>1886</v>
      </c>
      <c r="M33" s="27" t="s">
        <v>1887</v>
      </c>
      <c r="N33" s="27"/>
      <c r="O33" s="30">
        <v>46234</v>
      </c>
      <c r="P33" s="1" t="s">
        <v>264</v>
      </c>
      <c r="Q33" s="29" t="s">
        <v>265</v>
      </c>
      <c r="R33" s="48"/>
      <c r="S33" s="27"/>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EVT-2026-1035</v>
      </c>
      <c r="B34" s="30">
        <v>46239</v>
      </c>
      <c r="C34" s="27" t="s">
        <v>201</v>
      </c>
      <c r="D34" s="27" t="s">
        <v>1879</v>
      </c>
      <c r="E34" s="27" t="s">
        <v>1878</v>
      </c>
      <c r="F34" s="27" t="s">
        <v>1880</v>
      </c>
      <c r="G34" s="10">
        <v>5</v>
      </c>
      <c r="H34" s="36" t="s">
        <v>263</v>
      </c>
      <c r="I34" s="37" t="s">
        <v>269</v>
      </c>
      <c r="J34" s="37" t="s">
        <v>270</v>
      </c>
      <c r="K34" s="27" t="s">
        <v>1394</v>
      </c>
      <c r="L34" s="27" t="s">
        <v>1881</v>
      </c>
      <c r="M34" s="27" t="s">
        <v>1882</v>
      </c>
      <c r="N34" s="27"/>
      <c r="O34" s="30">
        <v>46235</v>
      </c>
      <c r="P34" s="1" t="s">
        <v>264</v>
      </c>
      <c r="Q34" s="28" t="s">
        <v>1807</v>
      </c>
      <c r="R34" s="48" t="s">
        <v>1883</v>
      </c>
      <c r="S34" s="27"/>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EVT-2026-1036</v>
      </c>
      <c r="B35" s="30">
        <v>46240</v>
      </c>
      <c r="C35" s="27" t="s">
        <v>216</v>
      </c>
      <c r="D35" s="27" t="s">
        <v>202</v>
      </c>
      <c r="E35" s="27" t="s">
        <v>239</v>
      </c>
      <c r="F35" s="27" t="s">
        <v>1910</v>
      </c>
      <c r="G35" s="10">
        <v>150</v>
      </c>
      <c r="H35" s="38" t="s">
        <v>294</v>
      </c>
      <c r="I35" s="37" t="s">
        <v>274</v>
      </c>
      <c r="J35" s="37" t="s">
        <v>553</v>
      </c>
      <c r="K35" s="27" t="s">
        <v>1445</v>
      </c>
      <c r="L35" s="27" t="s">
        <v>1670</v>
      </c>
      <c r="M35" s="27" t="s">
        <v>916</v>
      </c>
      <c r="N35" s="27"/>
      <c r="O35" s="27"/>
      <c r="P35" s="1" t="s">
        <v>264</v>
      </c>
      <c r="Q35" s="28" t="s">
        <v>1807</v>
      </c>
      <c r="R35" s="48" t="s">
        <v>1911</v>
      </c>
      <c r="S35" s="27" t="s">
        <v>1497</v>
      </c>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EVT-2026-1037</v>
      </c>
      <c r="B36" s="30">
        <v>46240</v>
      </c>
      <c r="C36" s="27" t="s">
        <v>216</v>
      </c>
      <c r="D36" s="27" t="s">
        <v>208</v>
      </c>
      <c r="E36" s="27" t="s">
        <v>1366</v>
      </c>
      <c r="F36" s="27" t="s">
        <v>1912</v>
      </c>
      <c r="G36" s="10">
        <v>35</v>
      </c>
      <c r="H36" s="36" t="s">
        <v>263</v>
      </c>
      <c r="I36" s="37" t="s">
        <v>354</v>
      </c>
      <c r="J36" s="37" t="s">
        <v>350</v>
      </c>
      <c r="K36" s="27" t="s">
        <v>1913</v>
      </c>
      <c r="L36" s="27" t="s">
        <v>1914</v>
      </c>
      <c r="M36" s="27" t="s">
        <v>1915</v>
      </c>
      <c r="N36" s="27"/>
      <c r="O36" s="27"/>
      <c r="P36" s="1" t="s">
        <v>264</v>
      </c>
      <c r="Q36" s="28" t="s">
        <v>1807</v>
      </c>
      <c r="R36" s="48" t="s">
        <v>1916</v>
      </c>
      <c r="S36" s="27" t="s">
        <v>1497</v>
      </c>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EVT-2026-1038</v>
      </c>
      <c r="B37" s="30">
        <v>46240</v>
      </c>
      <c r="C37" s="27" t="s">
        <v>216</v>
      </c>
      <c r="D37" s="27" t="s">
        <v>960</v>
      </c>
      <c r="E37" s="27" t="s">
        <v>1917</v>
      </c>
      <c r="F37" s="27" t="s">
        <v>1452</v>
      </c>
      <c r="G37" s="10">
        <v>25</v>
      </c>
      <c r="H37" s="36" t="s">
        <v>263</v>
      </c>
      <c r="I37" s="37" t="s">
        <v>289</v>
      </c>
      <c r="J37" s="37" t="s">
        <v>359</v>
      </c>
      <c r="K37" s="27" t="s">
        <v>369</v>
      </c>
      <c r="L37" s="27" t="s">
        <v>1918</v>
      </c>
      <c r="M37" s="27" t="s">
        <v>1919</v>
      </c>
      <c r="N37" s="27"/>
      <c r="O37" s="27"/>
      <c r="P37" s="1" t="s">
        <v>264</v>
      </c>
      <c r="Q37" s="28" t="s">
        <v>1807</v>
      </c>
      <c r="R37" s="48" t="s">
        <v>1920</v>
      </c>
      <c r="S37" s="27" t="s">
        <v>1846</v>
      </c>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EVT-2026-1039</v>
      </c>
      <c r="B38" s="30">
        <v>46240</v>
      </c>
      <c r="C38" s="27" t="s">
        <v>216</v>
      </c>
      <c r="D38" s="27" t="s">
        <v>202</v>
      </c>
      <c r="E38" s="27" t="s">
        <v>736</v>
      </c>
      <c r="F38" s="27" t="s">
        <v>1452</v>
      </c>
      <c r="G38" s="10">
        <v>25</v>
      </c>
      <c r="H38" s="36" t="s">
        <v>263</v>
      </c>
      <c r="I38" s="37" t="s">
        <v>309</v>
      </c>
      <c r="J38" s="37" t="s">
        <v>359</v>
      </c>
      <c r="K38" s="27" t="s">
        <v>369</v>
      </c>
      <c r="L38" s="27" t="s">
        <v>369</v>
      </c>
      <c r="M38" s="27" t="s">
        <v>379</v>
      </c>
      <c r="N38" s="27"/>
      <c r="O38" s="27"/>
      <c r="P38" s="1" t="s">
        <v>264</v>
      </c>
      <c r="Q38" s="28" t="s">
        <v>1807</v>
      </c>
      <c r="R38" s="48" t="s">
        <v>1921</v>
      </c>
      <c r="S38" s="27" t="s">
        <v>1497</v>
      </c>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EVT-2026-1040</v>
      </c>
      <c r="B39" s="30">
        <v>46240</v>
      </c>
      <c r="C39" s="27" t="s">
        <v>216</v>
      </c>
      <c r="D39" s="27" t="s">
        <v>228</v>
      </c>
      <c r="E39" s="27" t="s">
        <v>125</v>
      </c>
      <c r="F39" s="27" t="s">
        <v>1868</v>
      </c>
      <c r="G39" s="10">
        <v>50</v>
      </c>
      <c r="H39" s="36" t="s">
        <v>263</v>
      </c>
      <c r="I39" s="37" t="s">
        <v>309</v>
      </c>
      <c r="J39" s="37" t="s">
        <v>270</v>
      </c>
      <c r="K39" s="27"/>
      <c r="L39" s="27"/>
      <c r="M39" s="27" t="s">
        <v>370</v>
      </c>
      <c r="N39" s="27"/>
      <c r="O39" s="30" t="s">
        <v>1551</v>
      </c>
      <c r="P39" s="3" t="s">
        <v>312</v>
      </c>
      <c r="Q39" s="29" t="s">
        <v>265</v>
      </c>
      <c r="R39" s="48" t="s">
        <v>298</v>
      </c>
      <c r="S39" s="27"/>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EVT-2026-1041</v>
      </c>
      <c r="B40" s="30">
        <v>46240</v>
      </c>
      <c r="C40" s="27" t="s">
        <v>216</v>
      </c>
      <c r="D40" s="27" t="s">
        <v>208</v>
      </c>
      <c r="E40" s="27" t="s">
        <v>1366</v>
      </c>
      <c r="F40" s="27" t="s">
        <v>217</v>
      </c>
      <c r="G40" s="10">
        <v>50</v>
      </c>
      <c r="H40" s="36" t="s">
        <v>263</v>
      </c>
      <c r="I40" s="37" t="s">
        <v>309</v>
      </c>
      <c r="J40" s="37" t="s">
        <v>296</v>
      </c>
      <c r="K40" s="27"/>
      <c r="L40" s="27"/>
      <c r="M40" s="27" t="s">
        <v>370</v>
      </c>
      <c r="N40" s="27"/>
      <c r="O40" s="27"/>
      <c r="P40" s="3" t="s">
        <v>312</v>
      </c>
      <c r="Q40" s="29" t="s">
        <v>265</v>
      </c>
      <c r="R40" s="48" t="s">
        <v>298</v>
      </c>
      <c r="S40" s="27"/>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EVT-2026-1042</v>
      </c>
      <c r="B41" s="30">
        <v>46240</v>
      </c>
      <c r="C41" s="27" t="s">
        <v>216</v>
      </c>
      <c r="D41" s="27"/>
      <c r="E41" s="27" t="s">
        <v>1884</v>
      </c>
      <c r="F41" s="27" t="s">
        <v>1885</v>
      </c>
      <c r="G41" s="10">
        <v>2</v>
      </c>
      <c r="H41" s="36" t="s">
        <v>263</v>
      </c>
      <c r="I41" s="37" t="s">
        <v>269</v>
      </c>
      <c r="J41" s="37" t="s">
        <v>270</v>
      </c>
      <c r="K41" s="27" t="s">
        <v>1394</v>
      </c>
      <c r="L41" s="27"/>
      <c r="M41" s="27"/>
      <c r="N41" s="27"/>
      <c r="O41" s="27"/>
      <c r="P41" s="1" t="s">
        <v>264</v>
      </c>
      <c r="Q41" s="29" t="s">
        <v>265</v>
      </c>
      <c r="R41" s="48"/>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EVT-2026-1043</v>
      </c>
      <c r="B42" s="30">
        <v>46240</v>
      </c>
      <c r="C42" s="27" t="s">
        <v>216</v>
      </c>
      <c r="D42" s="27" t="s">
        <v>202</v>
      </c>
      <c r="E42" s="27" t="s">
        <v>1366</v>
      </c>
      <c r="F42" s="27" t="s">
        <v>1922</v>
      </c>
      <c r="G42" s="10">
        <v>70</v>
      </c>
      <c r="H42" s="36" t="s">
        <v>263</v>
      </c>
      <c r="I42" s="37" t="s">
        <v>309</v>
      </c>
      <c r="J42" s="37" t="s">
        <v>1923</v>
      </c>
      <c r="K42" s="27" t="s">
        <v>1445</v>
      </c>
      <c r="L42" s="27"/>
      <c r="M42" s="27" t="s">
        <v>1897</v>
      </c>
      <c r="N42" s="27"/>
      <c r="O42" s="27"/>
      <c r="P42" s="1" t="s">
        <v>264</v>
      </c>
      <c r="Q42" s="28" t="s">
        <v>1807</v>
      </c>
      <c r="R42" s="48" t="s">
        <v>298</v>
      </c>
      <c r="S42" s="27" t="s">
        <v>1751</v>
      </c>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EVT-2026-1044</v>
      </c>
      <c r="B43" s="30">
        <v>46240</v>
      </c>
      <c r="C43" s="27" t="s">
        <v>216</v>
      </c>
      <c r="D43" s="27" t="s">
        <v>1879</v>
      </c>
      <c r="E43" s="27" t="s">
        <v>1878</v>
      </c>
      <c r="F43" s="27" t="s">
        <v>1880</v>
      </c>
      <c r="G43" s="10">
        <v>5</v>
      </c>
      <c r="H43" s="36" t="s">
        <v>263</v>
      </c>
      <c r="I43" s="37" t="s">
        <v>269</v>
      </c>
      <c r="J43" s="37" t="s">
        <v>270</v>
      </c>
      <c r="K43" s="27" t="s">
        <v>382</v>
      </c>
      <c r="L43" s="27" t="s">
        <v>1881</v>
      </c>
      <c r="M43" s="27" t="s">
        <v>1881</v>
      </c>
      <c r="N43" s="27"/>
      <c r="O43" s="30" t="s">
        <v>2332</v>
      </c>
      <c r="P43" s="1" t="s">
        <v>264</v>
      </c>
      <c r="Q43" s="29" t="s">
        <v>265</v>
      </c>
      <c r="R43" s="48" t="s">
        <v>1883</v>
      </c>
      <c r="S43" s="27" t="s">
        <v>1497</v>
      </c>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EVT-2026-1045</v>
      </c>
      <c r="B44" s="30">
        <v>46240</v>
      </c>
      <c r="C44" s="27" t="s">
        <v>216</v>
      </c>
      <c r="D44" s="27" t="s">
        <v>420</v>
      </c>
      <c r="E44" s="27" t="s">
        <v>1924</v>
      </c>
      <c r="F44" s="27" t="s">
        <v>1452</v>
      </c>
      <c r="G44" s="10">
        <v>10</v>
      </c>
      <c r="H44" s="36" t="s">
        <v>263</v>
      </c>
      <c r="I44" s="37" t="s">
        <v>269</v>
      </c>
      <c r="J44" s="37" t="s">
        <v>270</v>
      </c>
      <c r="K44" s="27" t="s">
        <v>369</v>
      </c>
      <c r="L44" s="27" t="s">
        <v>1918</v>
      </c>
      <c r="M44" s="27" t="s">
        <v>1925</v>
      </c>
      <c r="N44" s="27"/>
      <c r="O44" s="27"/>
      <c r="P44" s="1" t="s">
        <v>264</v>
      </c>
      <c r="Q44" s="28" t="s">
        <v>1807</v>
      </c>
      <c r="R44" s="48" t="s">
        <v>1527</v>
      </c>
      <c r="S44" s="27" t="s">
        <v>1846</v>
      </c>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EVT-2026-1046</v>
      </c>
      <c r="B45" s="30">
        <v>46240</v>
      </c>
      <c r="C45" s="27" t="s">
        <v>216</v>
      </c>
      <c r="D45" s="27" t="s">
        <v>960</v>
      </c>
      <c r="E45" s="27" t="s">
        <v>1777</v>
      </c>
      <c r="F45" s="27" t="s">
        <v>1452</v>
      </c>
      <c r="G45" s="10">
        <v>10</v>
      </c>
      <c r="H45" s="36" t="s">
        <v>263</v>
      </c>
      <c r="I45" s="37" t="s">
        <v>429</v>
      </c>
      <c r="J45" s="37" t="s">
        <v>275</v>
      </c>
      <c r="K45" s="27" t="s">
        <v>1926</v>
      </c>
      <c r="L45" s="27" t="s">
        <v>1927</v>
      </c>
      <c r="M45" s="27" t="s">
        <v>367</v>
      </c>
      <c r="N45" s="27"/>
      <c r="O45" s="27"/>
      <c r="P45" s="1" t="s">
        <v>264</v>
      </c>
      <c r="Q45" s="28" t="s">
        <v>1807</v>
      </c>
      <c r="R45" s="48" t="s">
        <v>1527</v>
      </c>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
      </c>
      <c r="B46" s="27"/>
      <c r="C46" s="27"/>
      <c r="D46" s="27"/>
      <c r="E46" s="27"/>
      <c r="F46" s="27"/>
      <c r="G46" s="10"/>
      <c r="H46" s="36" t="s">
        <v>263</v>
      </c>
      <c r="I46" s="37"/>
      <c r="J46" s="37"/>
      <c r="K46" s="27"/>
      <c r="L46" s="27"/>
      <c r="M46" s="27"/>
      <c r="N46" s="27"/>
      <c r="O46" s="27"/>
      <c r="P46" s="40"/>
      <c r="Q46" s="29" t="s">
        <v>265</v>
      </c>
      <c r="R46" s="48"/>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EVT-2026-1047</v>
      </c>
      <c r="B47" s="30">
        <v>46241</v>
      </c>
      <c r="C47" s="27" t="s">
        <v>220</v>
      </c>
      <c r="D47" s="27" t="s">
        <v>1260</v>
      </c>
      <c r="E47" s="27" t="s">
        <v>1366</v>
      </c>
      <c r="F47" s="27" t="s">
        <v>1869</v>
      </c>
      <c r="G47" s="10">
        <v>16</v>
      </c>
      <c r="H47" s="36" t="s">
        <v>263</v>
      </c>
      <c r="I47" s="37" t="s">
        <v>269</v>
      </c>
      <c r="J47" s="37" t="s">
        <v>270</v>
      </c>
      <c r="K47" s="27"/>
      <c r="L47" s="27"/>
      <c r="M47" s="27" t="s">
        <v>1641</v>
      </c>
      <c r="N47" s="27"/>
      <c r="O47" s="27" t="s">
        <v>1906</v>
      </c>
      <c r="P47" s="3" t="s">
        <v>312</v>
      </c>
      <c r="Q47" s="28" t="s">
        <v>1807</v>
      </c>
      <c r="R47" s="48" t="s">
        <v>1870</v>
      </c>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EVT-2026-1048</v>
      </c>
      <c r="B48" s="30">
        <v>46241</v>
      </c>
      <c r="C48" s="27" t="s">
        <v>220</v>
      </c>
      <c r="D48" s="27" t="s">
        <v>202</v>
      </c>
      <c r="E48" s="27" t="s">
        <v>389</v>
      </c>
      <c r="F48" s="27" t="s">
        <v>1928</v>
      </c>
      <c r="G48" s="10">
        <v>20</v>
      </c>
      <c r="H48" s="36" t="s">
        <v>263</v>
      </c>
      <c r="I48" s="37" t="s">
        <v>269</v>
      </c>
      <c r="J48" s="37" t="s">
        <v>338</v>
      </c>
      <c r="K48" s="27" t="s">
        <v>1445</v>
      </c>
      <c r="L48" s="27" t="s">
        <v>1670</v>
      </c>
      <c r="M48" s="27" t="s">
        <v>1929</v>
      </c>
      <c r="N48" s="27"/>
      <c r="O48" s="27"/>
      <c r="P48" s="1" t="s">
        <v>264</v>
      </c>
      <c r="Q48" s="28" t="s">
        <v>1807</v>
      </c>
      <c r="R48" s="48" t="s">
        <v>1313</v>
      </c>
      <c r="S48" s="27" t="s">
        <v>1751</v>
      </c>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EVT-2026-1049</v>
      </c>
      <c r="B49" s="30">
        <v>46241</v>
      </c>
      <c r="C49" s="27" t="s">
        <v>220</v>
      </c>
      <c r="D49" s="27" t="s">
        <v>202</v>
      </c>
      <c r="E49" s="27" t="s">
        <v>1366</v>
      </c>
      <c r="F49" s="27" t="s">
        <v>1930</v>
      </c>
      <c r="G49" s="10">
        <v>80</v>
      </c>
      <c r="H49" s="36" t="s">
        <v>263</v>
      </c>
      <c r="I49" s="37" t="s">
        <v>275</v>
      </c>
      <c r="J49" s="37" t="s">
        <v>309</v>
      </c>
      <c r="K49" s="27" t="s">
        <v>1445</v>
      </c>
      <c r="L49" s="27"/>
      <c r="M49" s="27" t="s">
        <v>615</v>
      </c>
      <c r="N49" s="27"/>
      <c r="O49" s="30">
        <v>46233</v>
      </c>
      <c r="P49" s="3" t="s">
        <v>312</v>
      </c>
      <c r="Q49" s="29" t="s">
        <v>265</v>
      </c>
      <c r="R49" s="48" t="s">
        <v>1313</v>
      </c>
      <c r="S49" s="27" t="s">
        <v>1751</v>
      </c>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EVT-2026-1050</v>
      </c>
      <c r="B50" s="30">
        <v>46241</v>
      </c>
      <c r="C50" s="27" t="s">
        <v>220</v>
      </c>
      <c r="D50" s="27" t="s">
        <v>202</v>
      </c>
      <c r="E50" s="27" t="s">
        <v>1884</v>
      </c>
      <c r="F50" s="27" t="s">
        <v>1885</v>
      </c>
      <c r="G50" s="10">
        <v>3</v>
      </c>
      <c r="H50" s="36" t="s">
        <v>263</v>
      </c>
      <c r="I50" s="37" t="s">
        <v>269</v>
      </c>
      <c r="J50" s="37" t="s">
        <v>270</v>
      </c>
      <c r="K50" s="27" t="s">
        <v>1394</v>
      </c>
      <c r="L50" s="27" t="s">
        <v>1886</v>
      </c>
      <c r="M50" s="27" t="s">
        <v>1887</v>
      </c>
      <c r="N50" s="27"/>
      <c r="O50" s="30">
        <v>46234</v>
      </c>
      <c r="P50" s="1" t="s">
        <v>264</v>
      </c>
      <c r="Q50" s="28" t="s">
        <v>1807</v>
      </c>
      <c r="R50" s="48" t="s">
        <v>1883</v>
      </c>
      <c r="S50" s="27" t="s">
        <v>1497</v>
      </c>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EVT-2026-1051</v>
      </c>
      <c r="B51" s="30">
        <v>46244</v>
      </c>
      <c r="C51" s="27" t="s">
        <v>224</v>
      </c>
      <c r="D51" s="27" t="s">
        <v>202</v>
      </c>
      <c r="E51" s="27" t="s">
        <v>389</v>
      </c>
      <c r="F51" s="27" t="s">
        <v>1931</v>
      </c>
      <c r="G51" s="10">
        <v>30</v>
      </c>
      <c r="H51" s="36" t="s">
        <v>263</v>
      </c>
      <c r="I51" s="37" t="s">
        <v>289</v>
      </c>
      <c r="J51" s="37" t="s">
        <v>359</v>
      </c>
      <c r="K51" s="27" t="s">
        <v>1445</v>
      </c>
      <c r="L51" s="27" t="s">
        <v>1932</v>
      </c>
      <c r="M51" s="27" t="s">
        <v>1933</v>
      </c>
      <c r="N51" s="27"/>
      <c r="O51" s="30">
        <v>46241</v>
      </c>
      <c r="P51" s="1" t="s">
        <v>264</v>
      </c>
      <c r="Q51" s="28" t="s">
        <v>1807</v>
      </c>
      <c r="R51" s="48" t="s">
        <v>1883</v>
      </c>
      <c r="S51" s="27" t="s">
        <v>1497</v>
      </c>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EVT-2026-1052</v>
      </c>
      <c r="B52" s="30">
        <v>46244</v>
      </c>
      <c r="C52" s="27" t="s">
        <v>224</v>
      </c>
      <c r="D52" s="27" t="s">
        <v>228</v>
      </c>
      <c r="E52" s="27" t="s">
        <v>125</v>
      </c>
      <c r="F52" s="27" t="s">
        <v>1827</v>
      </c>
      <c r="G52" s="10">
        <v>100</v>
      </c>
      <c r="H52" s="38" t="s">
        <v>294</v>
      </c>
      <c r="I52" s="37" t="s">
        <v>506</v>
      </c>
      <c r="J52" s="37" t="s">
        <v>331</v>
      </c>
      <c r="K52" s="27" t="s">
        <v>1445</v>
      </c>
      <c r="L52" s="27" t="s">
        <v>1445</v>
      </c>
      <c r="M52" s="27" t="s">
        <v>1934</v>
      </c>
      <c r="N52" s="27"/>
      <c r="O52" s="30" t="s">
        <v>2359</v>
      </c>
      <c r="P52" s="3" t="s">
        <v>312</v>
      </c>
      <c r="Q52" s="29" t="s">
        <v>265</v>
      </c>
      <c r="R52" s="48" t="s">
        <v>1313</v>
      </c>
      <c r="S52" s="27" t="s">
        <v>1497</v>
      </c>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EVT-2026-1053</v>
      </c>
      <c r="B53" s="30">
        <v>46245</v>
      </c>
      <c r="C53" s="27" t="s">
        <v>227</v>
      </c>
      <c r="D53" s="27" t="s">
        <v>208</v>
      </c>
      <c r="E53" s="27" t="s">
        <v>1366</v>
      </c>
      <c r="F53" s="27" t="s">
        <v>217</v>
      </c>
      <c r="G53" s="10">
        <v>50</v>
      </c>
      <c r="H53" s="36" t="s">
        <v>263</v>
      </c>
      <c r="I53" s="37" t="s">
        <v>309</v>
      </c>
      <c r="J53" s="37" t="s">
        <v>296</v>
      </c>
      <c r="K53" s="27"/>
      <c r="L53" s="27"/>
      <c r="M53" s="27" t="s">
        <v>1510</v>
      </c>
      <c r="N53" s="27"/>
      <c r="O53" s="27"/>
      <c r="P53" s="1" t="s">
        <v>264</v>
      </c>
      <c r="Q53" s="29" t="s">
        <v>265</v>
      </c>
      <c r="R53" s="48" t="s">
        <v>298</v>
      </c>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EVT-2026-1054</v>
      </c>
      <c r="B54" s="30">
        <v>46245</v>
      </c>
      <c r="C54" s="27" t="s">
        <v>227</v>
      </c>
      <c r="D54" s="27" t="s">
        <v>228</v>
      </c>
      <c r="E54" s="27" t="s">
        <v>125</v>
      </c>
      <c r="F54" s="27" t="s">
        <v>1935</v>
      </c>
      <c r="G54" s="10" t="s">
        <v>2360</v>
      </c>
      <c r="H54" s="38" t="s">
        <v>294</v>
      </c>
      <c r="I54" s="37" t="s">
        <v>274</v>
      </c>
      <c r="J54" s="37" t="s">
        <v>354</v>
      </c>
      <c r="K54" s="27" t="s">
        <v>1936</v>
      </c>
      <c r="L54" s="27" t="s">
        <v>1937</v>
      </c>
      <c r="M54" s="27" t="s">
        <v>355</v>
      </c>
      <c r="N54" s="27"/>
      <c r="O54" s="30">
        <v>46234</v>
      </c>
      <c r="P54" s="3" t="s">
        <v>312</v>
      </c>
      <c r="Q54" s="29" t="s">
        <v>265</v>
      </c>
      <c r="R54" s="48" t="s">
        <v>1938</v>
      </c>
      <c r="S54" s="27" t="s">
        <v>1497</v>
      </c>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EVT-2026-1055</v>
      </c>
      <c r="B55" s="30">
        <v>46245</v>
      </c>
      <c r="C55" s="27" t="s">
        <v>227</v>
      </c>
      <c r="D55" s="27" t="s">
        <v>228</v>
      </c>
      <c r="E55" s="27" t="s">
        <v>125</v>
      </c>
      <c r="F55" s="27" t="s">
        <v>1939</v>
      </c>
      <c r="G55" s="10">
        <v>30</v>
      </c>
      <c r="H55" s="36" t="s">
        <v>263</v>
      </c>
      <c r="I55" s="37" t="s">
        <v>309</v>
      </c>
      <c r="J55" s="37" t="s">
        <v>270</v>
      </c>
      <c r="K55" s="27"/>
      <c r="L55" s="27"/>
      <c r="M55" s="27" t="s">
        <v>367</v>
      </c>
      <c r="N55" s="27"/>
      <c r="O55" s="30">
        <v>46226</v>
      </c>
      <c r="P55" s="3" t="s">
        <v>312</v>
      </c>
      <c r="Q55" s="28" t="s">
        <v>1807</v>
      </c>
      <c r="R55" s="48" t="s">
        <v>1180</v>
      </c>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EVT-2026-1056</v>
      </c>
      <c r="B56" s="30">
        <v>46245</v>
      </c>
      <c r="C56" s="27" t="s">
        <v>227</v>
      </c>
      <c r="D56" s="27" t="s">
        <v>202</v>
      </c>
      <c r="E56" s="27" t="s">
        <v>239</v>
      </c>
      <c r="F56" s="27" t="s">
        <v>1940</v>
      </c>
      <c r="G56" s="10">
        <v>70</v>
      </c>
      <c r="H56" s="36" t="s">
        <v>263</v>
      </c>
      <c r="I56" s="37" t="s">
        <v>448</v>
      </c>
      <c r="J56" s="37" t="s">
        <v>1941</v>
      </c>
      <c r="K56" s="27" t="s">
        <v>1445</v>
      </c>
      <c r="L56" s="27"/>
      <c r="M56" s="27" t="s">
        <v>1007</v>
      </c>
      <c r="N56" s="27"/>
      <c r="O56" s="27"/>
      <c r="P56" s="1" t="s">
        <v>264</v>
      </c>
      <c r="Q56" s="28" t="s">
        <v>1807</v>
      </c>
      <c r="R56" s="48" t="s">
        <v>1313</v>
      </c>
      <c r="S56" s="27"/>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EVT-2026-1057</v>
      </c>
      <c r="B57" s="30">
        <v>46245</v>
      </c>
      <c r="C57" s="27" t="s">
        <v>227</v>
      </c>
      <c r="D57" s="27" t="s">
        <v>208</v>
      </c>
      <c r="E57" s="27" t="s">
        <v>1942</v>
      </c>
      <c r="F57" s="27" t="s">
        <v>1246</v>
      </c>
      <c r="G57" s="10">
        <v>2</v>
      </c>
      <c r="H57" s="36" t="s">
        <v>263</v>
      </c>
      <c r="I57" s="37" t="s">
        <v>269</v>
      </c>
      <c r="J57" s="37" t="s">
        <v>270</v>
      </c>
      <c r="K57" s="27" t="s">
        <v>1943</v>
      </c>
      <c r="L57" s="27" t="s">
        <v>1944</v>
      </c>
      <c r="M57" s="27" t="s">
        <v>1945</v>
      </c>
      <c r="N57" s="27"/>
      <c r="O57" s="30" t="s">
        <v>2361</v>
      </c>
      <c r="P57" s="1" t="s">
        <v>264</v>
      </c>
      <c r="Q57" s="29" t="s">
        <v>265</v>
      </c>
      <c r="R57" s="48" t="s">
        <v>1883</v>
      </c>
      <c r="S57" s="27" t="s">
        <v>1497</v>
      </c>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EVT-2026-1058</v>
      </c>
      <c r="B58" s="30">
        <v>46246</v>
      </c>
      <c r="C58" s="27" t="s">
        <v>201</v>
      </c>
      <c r="D58" s="27" t="s">
        <v>228</v>
      </c>
      <c r="E58" s="27" t="s">
        <v>125</v>
      </c>
      <c r="F58" s="27" t="s">
        <v>1946</v>
      </c>
      <c r="G58" s="10" t="s">
        <v>2360</v>
      </c>
      <c r="H58" s="38" t="s">
        <v>294</v>
      </c>
      <c r="I58" s="37" t="s">
        <v>330</v>
      </c>
      <c r="J58" s="37" t="s">
        <v>354</v>
      </c>
      <c r="K58" s="27" t="s">
        <v>1936</v>
      </c>
      <c r="L58" s="27" t="s">
        <v>1947</v>
      </c>
      <c r="M58" s="27" t="s">
        <v>355</v>
      </c>
      <c r="N58" s="27"/>
      <c r="O58" s="30" t="s">
        <v>2362</v>
      </c>
      <c r="P58" s="1" t="s">
        <v>264</v>
      </c>
      <c r="Q58" s="28" t="s">
        <v>1807</v>
      </c>
      <c r="R58" s="48" t="s">
        <v>1938</v>
      </c>
      <c r="S58" s="27" t="s">
        <v>1497</v>
      </c>
    </row>
    <row r="59" spans="1:19" ht="24" customHeight="1">
      <c r="A59" s="27"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EVT-2026-1059</v>
      </c>
      <c r="B59" s="30">
        <v>46246</v>
      </c>
      <c r="C59" s="27" t="s">
        <v>201</v>
      </c>
      <c r="D59" s="27" t="s">
        <v>420</v>
      </c>
      <c r="E59" s="27" t="s">
        <v>389</v>
      </c>
      <c r="F59" s="27" t="s">
        <v>1948</v>
      </c>
      <c r="G59" s="10">
        <v>30</v>
      </c>
      <c r="H59" s="36" t="s">
        <v>263</v>
      </c>
      <c r="I59" s="37" t="s">
        <v>309</v>
      </c>
      <c r="J59" s="37" t="s">
        <v>296</v>
      </c>
      <c r="K59" s="27" t="s">
        <v>369</v>
      </c>
      <c r="L59" s="27" t="s">
        <v>369</v>
      </c>
      <c r="M59" s="27" t="s">
        <v>378</v>
      </c>
      <c r="N59" s="27"/>
      <c r="O59" s="30">
        <v>46226</v>
      </c>
      <c r="P59" s="1" t="s">
        <v>264</v>
      </c>
      <c r="Q59" s="29" t="s">
        <v>265</v>
      </c>
      <c r="R59" s="48" t="s">
        <v>298</v>
      </c>
      <c r="S59" s="27" t="s">
        <v>1497</v>
      </c>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EVT-2026-1060</v>
      </c>
      <c r="B60" s="30">
        <v>46246</v>
      </c>
      <c r="C60" s="27" t="s">
        <v>201</v>
      </c>
      <c r="D60" s="27" t="s">
        <v>208</v>
      </c>
      <c r="E60" s="27" t="s">
        <v>1366</v>
      </c>
      <c r="F60" s="27" t="s">
        <v>217</v>
      </c>
      <c r="G60" s="10">
        <v>50</v>
      </c>
      <c r="H60" s="36" t="s">
        <v>263</v>
      </c>
      <c r="I60" s="37" t="s">
        <v>309</v>
      </c>
      <c r="J60" s="37" t="s">
        <v>296</v>
      </c>
      <c r="K60" s="27"/>
      <c r="L60" s="27"/>
      <c r="M60" s="27" t="s">
        <v>1080</v>
      </c>
      <c r="N60" s="27" t="s">
        <v>1949</v>
      </c>
      <c r="O60" s="27"/>
      <c r="P60" s="1" t="s">
        <v>264</v>
      </c>
      <c r="Q60" s="29" t="s">
        <v>265</v>
      </c>
      <c r="R60" s="48" t="s">
        <v>298</v>
      </c>
      <c r="S60" s="27"/>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EVT-2026-1061</v>
      </c>
      <c r="B61" s="30">
        <v>46246</v>
      </c>
      <c r="C61" s="27" t="s">
        <v>201</v>
      </c>
      <c r="D61" s="27" t="s">
        <v>420</v>
      </c>
      <c r="E61" s="27" t="s">
        <v>239</v>
      </c>
      <c r="F61" s="27" t="s">
        <v>1950</v>
      </c>
      <c r="G61" s="10">
        <v>200</v>
      </c>
      <c r="H61" s="38" t="s">
        <v>294</v>
      </c>
      <c r="I61" s="37"/>
      <c r="J61" s="37"/>
      <c r="K61" s="27"/>
      <c r="L61" s="27"/>
      <c r="M61" s="27" t="s">
        <v>1951</v>
      </c>
      <c r="N61" s="27"/>
      <c r="O61" s="27"/>
      <c r="P61" s="1" t="s">
        <v>264</v>
      </c>
      <c r="Q61" s="29" t="s">
        <v>265</v>
      </c>
      <c r="R61" s="48"/>
      <c r="S61" s="27"/>
    </row>
    <row r="62" spans="1:19" ht="24" customHeight="1">
      <c r="A62" s="27"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EVT-2026-1062</v>
      </c>
      <c r="B62" s="30">
        <v>46246</v>
      </c>
      <c r="C62" s="27" t="s">
        <v>201</v>
      </c>
      <c r="D62" s="27" t="s">
        <v>228</v>
      </c>
      <c r="E62" s="27" t="s">
        <v>125</v>
      </c>
      <c r="F62" s="27" t="s">
        <v>1931</v>
      </c>
      <c r="G62" s="10">
        <v>25</v>
      </c>
      <c r="H62" s="36" t="s">
        <v>263</v>
      </c>
      <c r="I62" s="37" t="s">
        <v>289</v>
      </c>
      <c r="J62" s="37" t="s">
        <v>359</v>
      </c>
      <c r="K62" s="27" t="s">
        <v>1445</v>
      </c>
      <c r="L62" s="27" t="s">
        <v>1952</v>
      </c>
      <c r="M62" s="27" t="s">
        <v>1953</v>
      </c>
      <c r="N62" s="27"/>
      <c r="O62" s="30">
        <v>46241</v>
      </c>
      <c r="P62" s="3" t="s">
        <v>312</v>
      </c>
      <c r="Q62" s="28" t="s">
        <v>1807</v>
      </c>
      <c r="R62" s="48" t="s">
        <v>1313</v>
      </c>
      <c r="S62" s="27" t="s">
        <v>1497</v>
      </c>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EVT-2026-1063</v>
      </c>
      <c r="B63" s="30">
        <v>46246</v>
      </c>
      <c r="C63" s="27" t="s">
        <v>201</v>
      </c>
      <c r="D63" s="27" t="s">
        <v>208</v>
      </c>
      <c r="E63" s="27" t="s">
        <v>1954</v>
      </c>
      <c r="F63" s="27" t="s">
        <v>1246</v>
      </c>
      <c r="G63" s="10">
        <v>2</v>
      </c>
      <c r="H63" s="36" t="s">
        <v>263</v>
      </c>
      <c r="I63" s="37" t="s">
        <v>269</v>
      </c>
      <c r="J63" s="37" t="s">
        <v>270</v>
      </c>
      <c r="K63" s="27" t="s">
        <v>1955</v>
      </c>
      <c r="L63" s="27" t="s">
        <v>1944</v>
      </c>
      <c r="M63" s="27" t="s">
        <v>1945</v>
      </c>
      <c r="N63" s="27"/>
      <c r="O63" s="30">
        <v>46244</v>
      </c>
      <c r="P63" s="1" t="s">
        <v>264</v>
      </c>
      <c r="Q63" s="28" t="s">
        <v>1807</v>
      </c>
      <c r="R63" s="48" t="s">
        <v>1883</v>
      </c>
      <c r="S63" s="27" t="s">
        <v>1497</v>
      </c>
    </row>
    <row r="64" spans="1:19" ht="24" customHeight="1">
      <c r="A64" s="27"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EVT-2026-1064</v>
      </c>
      <c r="B64" s="30">
        <v>46247</v>
      </c>
      <c r="C64" s="27" t="s">
        <v>216</v>
      </c>
      <c r="D64" s="27" t="s">
        <v>208</v>
      </c>
      <c r="E64" s="27" t="s">
        <v>1956</v>
      </c>
      <c r="F64" s="27" t="s">
        <v>1957</v>
      </c>
      <c r="G64" s="10">
        <v>70</v>
      </c>
      <c r="H64" s="36" t="s">
        <v>263</v>
      </c>
      <c r="I64" s="37" t="s">
        <v>331</v>
      </c>
      <c r="J64" s="37" t="s">
        <v>350</v>
      </c>
      <c r="K64" s="27" t="s">
        <v>1445</v>
      </c>
      <c r="L64" s="27" t="s">
        <v>1958</v>
      </c>
      <c r="M64" s="27" t="s">
        <v>1945</v>
      </c>
      <c r="N64" s="27"/>
      <c r="O64" s="30">
        <v>46241</v>
      </c>
      <c r="P64" s="1" t="s">
        <v>264</v>
      </c>
      <c r="Q64" s="28" t="s">
        <v>1807</v>
      </c>
      <c r="R64" s="48" t="s">
        <v>298</v>
      </c>
      <c r="S64" s="27" t="s">
        <v>1497</v>
      </c>
    </row>
    <row r="65" spans="1:19" ht="24" customHeight="1">
      <c r="A65" s="27"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EVT-2026-1065</v>
      </c>
      <c r="B65" s="30">
        <v>46247</v>
      </c>
      <c r="C65" s="27" t="s">
        <v>216</v>
      </c>
      <c r="D65" s="27" t="s">
        <v>208</v>
      </c>
      <c r="E65" s="27" t="s">
        <v>1959</v>
      </c>
      <c r="F65" s="27" t="s">
        <v>1950</v>
      </c>
      <c r="G65" s="10">
        <v>100</v>
      </c>
      <c r="H65" s="38" t="s">
        <v>294</v>
      </c>
      <c r="I65" s="37" t="s">
        <v>275</v>
      </c>
      <c r="J65" s="37" t="s">
        <v>295</v>
      </c>
      <c r="K65" s="27" t="s">
        <v>369</v>
      </c>
      <c r="L65" s="27" t="s">
        <v>369</v>
      </c>
      <c r="M65" s="27" t="s">
        <v>1960</v>
      </c>
      <c r="N65" s="27"/>
      <c r="O65" s="27"/>
      <c r="P65" s="1" t="s">
        <v>264</v>
      </c>
      <c r="Q65" s="29" t="s">
        <v>265</v>
      </c>
      <c r="R65" s="48" t="s">
        <v>1961</v>
      </c>
      <c r="S65" s="27" t="s">
        <v>1846</v>
      </c>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EVT-2026-1066</v>
      </c>
      <c r="B66" s="30">
        <v>46247</v>
      </c>
      <c r="C66" s="27" t="s">
        <v>216</v>
      </c>
      <c r="D66" s="27" t="s">
        <v>208</v>
      </c>
      <c r="E66" s="27" t="s">
        <v>1956</v>
      </c>
      <c r="F66" s="27" t="s">
        <v>217</v>
      </c>
      <c r="G66" s="10">
        <v>50</v>
      </c>
      <c r="H66" s="36" t="s">
        <v>263</v>
      </c>
      <c r="I66" s="37" t="s">
        <v>309</v>
      </c>
      <c r="J66" s="37" t="s">
        <v>296</v>
      </c>
      <c r="K66" s="27"/>
      <c r="L66" s="27"/>
      <c r="M66" s="27" t="s">
        <v>1510</v>
      </c>
      <c r="N66" s="27"/>
      <c r="O66" s="27"/>
      <c r="P66" s="1" t="s">
        <v>264</v>
      </c>
      <c r="Q66" s="29" t="s">
        <v>265</v>
      </c>
      <c r="R66" s="48" t="s">
        <v>298</v>
      </c>
      <c r="S66" s="27" t="s">
        <v>1497</v>
      </c>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EVT-2026-1067</v>
      </c>
      <c r="B67" s="30">
        <v>46247</v>
      </c>
      <c r="C67" s="27" t="s">
        <v>216</v>
      </c>
      <c r="D67" s="27" t="s">
        <v>420</v>
      </c>
      <c r="E67" s="27" t="s">
        <v>239</v>
      </c>
      <c r="F67" s="27" t="s">
        <v>1950</v>
      </c>
      <c r="G67" s="10">
        <v>200</v>
      </c>
      <c r="H67" s="38" t="s">
        <v>294</v>
      </c>
      <c r="I67" s="37"/>
      <c r="J67" s="37"/>
      <c r="K67" s="27"/>
      <c r="L67" s="27"/>
      <c r="M67" s="27" t="s">
        <v>1951</v>
      </c>
      <c r="N67" s="27"/>
      <c r="O67" s="27"/>
      <c r="P67" s="1" t="s">
        <v>264</v>
      </c>
      <c r="Q67" s="28" t="s">
        <v>1807</v>
      </c>
      <c r="R67" s="48"/>
      <c r="S67" s="27" t="s">
        <v>1497</v>
      </c>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EVT-2026-1068</v>
      </c>
      <c r="B68" s="30">
        <v>46247</v>
      </c>
      <c r="C68" s="27" t="s">
        <v>216</v>
      </c>
      <c r="D68" s="27" t="s">
        <v>202</v>
      </c>
      <c r="E68" s="27" t="s">
        <v>736</v>
      </c>
      <c r="F68" s="27" t="s">
        <v>1962</v>
      </c>
      <c r="G68" s="10">
        <v>30</v>
      </c>
      <c r="H68" s="36" t="s">
        <v>263</v>
      </c>
      <c r="I68" s="37" t="s">
        <v>309</v>
      </c>
      <c r="J68" s="37" t="s">
        <v>295</v>
      </c>
      <c r="K68" s="27" t="s">
        <v>369</v>
      </c>
      <c r="L68" s="27" t="s">
        <v>382</v>
      </c>
      <c r="M68" s="27" t="s">
        <v>1963</v>
      </c>
      <c r="N68" s="27"/>
      <c r="O68" s="27"/>
      <c r="P68" s="1" t="s">
        <v>264</v>
      </c>
      <c r="Q68" s="28" t="s">
        <v>1807</v>
      </c>
      <c r="R68" s="48" t="s">
        <v>298</v>
      </c>
      <c r="S68" s="27" t="s">
        <v>1497</v>
      </c>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EVT-2026-1069</v>
      </c>
      <c r="B69" s="30">
        <v>46247</v>
      </c>
      <c r="C69" s="27" t="s">
        <v>216</v>
      </c>
      <c r="D69" s="27" t="s">
        <v>202</v>
      </c>
      <c r="E69" s="27" t="s">
        <v>736</v>
      </c>
      <c r="F69" s="27" t="s">
        <v>1964</v>
      </c>
      <c r="G69" s="10">
        <v>40</v>
      </c>
      <c r="H69" s="36" t="s">
        <v>263</v>
      </c>
      <c r="I69" s="37" t="s">
        <v>330</v>
      </c>
      <c r="J69" s="37" t="s">
        <v>331</v>
      </c>
      <c r="K69" s="27"/>
      <c r="L69" s="27" t="s">
        <v>1965</v>
      </c>
      <c r="M69" s="27" t="s">
        <v>1966</v>
      </c>
      <c r="N69" s="27"/>
      <c r="O69" s="30">
        <v>46241</v>
      </c>
      <c r="P69" s="1" t="s">
        <v>264</v>
      </c>
      <c r="Q69" s="29" t="s">
        <v>265</v>
      </c>
      <c r="R69" s="48" t="s">
        <v>1313</v>
      </c>
      <c r="S69" s="27" t="s">
        <v>1497</v>
      </c>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EVT-2026-1070</v>
      </c>
      <c r="B70" s="30">
        <v>46247</v>
      </c>
      <c r="C70" s="27" t="s">
        <v>216</v>
      </c>
      <c r="D70" s="27" t="s">
        <v>208</v>
      </c>
      <c r="E70" s="27" t="s">
        <v>1954</v>
      </c>
      <c r="F70" s="27" t="s">
        <v>1246</v>
      </c>
      <c r="G70" s="10">
        <v>2</v>
      </c>
      <c r="H70" s="36" t="s">
        <v>263</v>
      </c>
      <c r="I70" s="37" t="s">
        <v>269</v>
      </c>
      <c r="J70" s="37" t="s">
        <v>270</v>
      </c>
      <c r="K70" s="27"/>
      <c r="L70" s="27" t="s">
        <v>1967</v>
      </c>
      <c r="M70" s="27" t="s">
        <v>1945</v>
      </c>
      <c r="N70" s="27"/>
      <c r="O70" s="30">
        <v>46244</v>
      </c>
      <c r="P70" s="1" t="s">
        <v>264</v>
      </c>
      <c r="Q70" s="28" t="s">
        <v>1807</v>
      </c>
      <c r="R70" s="48" t="s">
        <v>1411</v>
      </c>
      <c r="S70" s="27" t="s">
        <v>1497</v>
      </c>
    </row>
    <row r="71" spans="1:19" ht="24" customHeight="1">
      <c r="A71" s="27"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EVT-2026-1071</v>
      </c>
      <c r="B71" s="30">
        <v>46248</v>
      </c>
      <c r="C71" s="27" t="s">
        <v>220</v>
      </c>
      <c r="D71" s="27" t="s">
        <v>202</v>
      </c>
      <c r="E71" s="27" t="s">
        <v>239</v>
      </c>
      <c r="F71" s="27" t="s">
        <v>1968</v>
      </c>
      <c r="G71" s="10">
        <v>100</v>
      </c>
      <c r="H71" s="38" t="s">
        <v>294</v>
      </c>
      <c r="I71" s="37" t="s">
        <v>295</v>
      </c>
      <c r="J71" s="37" t="s">
        <v>296</v>
      </c>
      <c r="K71" s="27" t="s">
        <v>1394</v>
      </c>
      <c r="L71" s="27" t="s">
        <v>1457</v>
      </c>
      <c r="M71" s="27" t="s">
        <v>1969</v>
      </c>
      <c r="N71" s="27"/>
      <c r="O71" s="30">
        <v>46244</v>
      </c>
      <c r="P71" s="1" t="s">
        <v>264</v>
      </c>
      <c r="Q71" s="28" t="s">
        <v>1807</v>
      </c>
      <c r="R71" s="48" t="s">
        <v>1938</v>
      </c>
      <c r="S71" s="27" t="s">
        <v>1497</v>
      </c>
    </row>
    <row r="72" spans="1:19" ht="24" customHeight="1">
      <c r="A72" s="27"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EVT-2026-1072</v>
      </c>
      <c r="B72" s="30">
        <v>46248</v>
      </c>
      <c r="C72" s="27" t="s">
        <v>220</v>
      </c>
      <c r="D72" s="27" t="s">
        <v>202</v>
      </c>
      <c r="E72" s="27" t="s">
        <v>1366</v>
      </c>
      <c r="F72" s="27" t="s">
        <v>1970</v>
      </c>
      <c r="G72" s="10">
        <v>50</v>
      </c>
      <c r="H72" s="36" t="s">
        <v>263</v>
      </c>
      <c r="I72" s="37" t="s">
        <v>331</v>
      </c>
      <c r="J72" s="37" t="s">
        <v>289</v>
      </c>
      <c r="K72" s="27" t="s">
        <v>1971</v>
      </c>
      <c r="L72" s="27" t="s">
        <v>1670</v>
      </c>
      <c r="M72" s="27" t="s">
        <v>1972</v>
      </c>
      <c r="N72" s="27"/>
      <c r="O72" s="27"/>
      <c r="P72" s="1" t="s">
        <v>264</v>
      </c>
      <c r="Q72" s="28" t="s">
        <v>1807</v>
      </c>
      <c r="R72" s="48" t="s">
        <v>1973</v>
      </c>
      <c r="S72" s="27" t="s">
        <v>1497</v>
      </c>
    </row>
    <row r="73" spans="1:19" ht="24" customHeight="1">
      <c r="A73" s="27"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EVT-2026-1073</v>
      </c>
      <c r="B73" s="30">
        <v>46248</v>
      </c>
      <c r="C73" s="27" t="s">
        <v>220</v>
      </c>
      <c r="D73" s="27" t="s">
        <v>228</v>
      </c>
      <c r="E73" s="27" t="s">
        <v>125</v>
      </c>
      <c r="F73" s="27" t="s">
        <v>1974</v>
      </c>
      <c r="G73" s="10">
        <v>32</v>
      </c>
      <c r="H73" s="36" t="s">
        <v>263</v>
      </c>
      <c r="I73" s="37" t="s">
        <v>295</v>
      </c>
      <c r="J73" s="37" t="s">
        <v>1168</v>
      </c>
      <c r="K73" s="27" t="s">
        <v>1975</v>
      </c>
      <c r="L73" s="27" t="s">
        <v>1976</v>
      </c>
      <c r="M73" s="27" t="s">
        <v>1977</v>
      </c>
      <c r="N73" s="27"/>
      <c r="O73" s="30">
        <v>46239</v>
      </c>
      <c r="P73" s="1" t="s">
        <v>264</v>
      </c>
      <c r="Q73" s="28" t="s">
        <v>1807</v>
      </c>
      <c r="R73" s="48" t="s">
        <v>1978</v>
      </c>
      <c r="S73" s="27" t="s">
        <v>1497</v>
      </c>
    </row>
    <row r="74" spans="1:19" ht="24" customHeight="1">
      <c r="A74" s="27"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EVT-2026-1074</v>
      </c>
      <c r="B74" s="30">
        <v>46248</v>
      </c>
      <c r="C74" s="27" t="s">
        <v>220</v>
      </c>
      <c r="D74" s="27" t="s">
        <v>202</v>
      </c>
      <c r="E74" s="27" t="s">
        <v>736</v>
      </c>
      <c r="F74" s="27" t="s">
        <v>1979</v>
      </c>
      <c r="G74" s="10">
        <v>40</v>
      </c>
      <c r="H74" s="36" t="s">
        <v>263</v>
      </c>
      <c r="I74" s="37" t="s">
        <v>350</v>
      </c>
      <c r="J74" s="37" t="s">
        <v>295</v>
      </c>
      <c r="K74" s="27" t="s">
        <v>1445</v>
      </c>
      <c r="L74" s="27" t="s">
        <v>1670</v>
      </c>
      <c r="M74" s="27" t="s">
        <v>1980</v>
      </c>
      <c r="N74" s="27"/>
      <c r="O74" s="30">
        <v>46239</v>
      </c>
      <c r="P74" s="1" t="s">
        <v>264</v>
      </c>
      <c r="Q74" s="28" t="s">
        <v>1807</v>
      </c>
      <c r="R74" s="48" t="s">
        <v>1673</v>
      </c>
      <c r="S74" s="27" t="s">
        <v>1497</v>
      </c>
    </row>
    <row r="75" spans="1:19" ht="24" customHeight="1">
      <c r="A75" s="27"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EVT-2026-1075</v>
      </c>
      <c r="B75" s="30">
        <v>46248</v>
      </c>
      <c r="C75" s="27" t="s">
        <v>220</v>
      </c>
      <c r="D75" s="27" t="s">
        <v>202</v>
      </c>
      <c r="E75" s="27" t="s">
        <v>736</v>
      </c>
      <c r="F75" s="27" t="s">
        <v>1950</v>
      </c>
      <c r="G75" s="10">
        <v>40</v>
      </c>
      <c r="H75" s="36" t="s">
        <v>263</v>
      </c>
      <c r="I75" s="37" t="s">
        <v>274</v>
      </c>
      <c r="J75" s="37" t="s">
        <v>330</v>
      </c>
      <c r="K75" s="27" t="s">
        <v>1394</v>
      </c>
      <c r="L75" s="27" t="s">
        <v>1457</v>
      </c>
      <c r="M75" s="27" t="s">
        <v>1981</v>
      </c>
      <c r="N75" s="27"/>
      <c r="O75" s="30">
        <v>46247</v>
      </c>
      <c r="P75" s="1" t="s">
        <v>264</v>
      </c>
      <c r="Q75" s="28" t="s">
        <v>1807</v>
      </c>
      <c r="R75" s="48" t="s">
        <v>1982</v>
      </c>
      <c r="S75" s="27" t="s">
        <v>1497</v>
      </c>
    </row>
    <row r="76" spans="1:19" ht="24" customHeight="1">
      <c r="A76" s="27"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EVT-2026-1076</v>
      </c>
      <c r="B76" s="30">
        <v>46250</v>
      </c>
      <c r="C76" s="27" t="s">
        <v>267</v>
      </c>
      <c r="D76" s="27" t="s">
        <v>228</v>
      </c>
      <c r="E76" s="27" t="s">
        <v>125</v>
      </c>
      <c r="F76" s="27" t="s">
        <v>1983</v>
      </c>
      <c r="G76" s="10" t="s">
        <v>2363</v>
      </c>
      <c r="H76" s="36" t="s">
        <v>263</v>
      </c>
      <c r="I76" s="37" t="s">
        <v>281</v>
      </c>
      <c r="J76" s="37" t="s">
        <v>295</v>
      </c>
      <c r="K76" s="27" t="s">
        <v>1984</v>
      </c>
      <c r="L76" s="27" t="s">
        <v>1985</v>
      </c>
      <c r="M76" s="27" t="s">
        <v>494</v>
      </c>
      <c r="N76" s="27" t="s">
        <v>221</v>
      </c>
      <c r="O76" s="30">
        <v>46247</v>
      </c>
      <c r="P76" s="1" t="s">
        <v>264</v>
      </c>
      <c r="Q76" s="28" t="s">
        <v>1807</v>
      </c>
      <c r="R76" s="48" t="s">
        <v>1982</v>
      </c>
      <c r="S76" s="27" t="s">
        <v>1497</v>
      </c>
    </row>
    <row r="77" spans="1:19" ht="24" customHeight="1">
      <c r="A77" s="27"/>
      <c r="B77" s="30"/>
      <c r="C77" s="27"/>
      <c r="D77" s="27"/>
      <c r="E77" s="27"/>
      <c r="F77" s="27"/>
      <c r="G77" s="10"/>
      <c r="H77" s="27"/>
      <c r="I77" s="37"/>
      <c r="J77" s="37"/>
      <c r="K77" s="27"/>
      <c r="L77" s="27"/>
      <c r="M77" s="27"/>
      <c r="N77" s="27"/>
      <c r="O77" s="30"/>
      <c r="P77" s="27"/>
      <c r="Q77" s="27"/>
      <c r="R77" s="48"/>
      <c r="S77" s="27"/>
    </row>
    <row r="78" spans="1:19" ht="24" customHeight="1">
      <c r="A78" s="27"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EVT-2026-1077</v>
      </c>
      <c r="B78" s="30">
        <v>46251</v>
      </c>
      <c r="C78" s="27" t="s">
        <v>224</v>
      </c>
      <c r="D78" s="27" t="s">
        <v>208</v>
      </c>
      <c r="E78" s="27" t="s">
        <v>1986</v>
      </c>
      <c r="F78" s="27" t="s">
        <v>1987</v>
      </c>
      <c r="G78" s="10">
        <v>8</v>
      </c>
      <c r="H78" s="36" t="s">
        <v>263</v>
      </c>
      <c r="I78" s="37" t="s">
        <v>354</v>
      </c>
      <c r="J78" s="37" t="s">
        <v>350</v>
      </c>
      <c r="K78" s="27" t="s">
        <v>1988</v>
      </c>
      <c r="L78" s="27" t="s">
        <v>1989</v>
      </c>
      <c r="M78" s="27" t="s">
        <v>1990</v>
      </c>
      <c r="N78" s="27" t="s">
        <v>213</v>
      </c>
      <c r="O78" s="27"/>
      <c r="P78" s="1" t="s">
        <v>264</v>
      </c>
      <c r="Q78" s="29" t="s">
        <v>265</v>
      </c>
      <c r="R78" s="48" t="s">
        <v>1883</v>
      </c>
      <c r="S78" s="27" t="s">
        <v>1497</v>
      </c>
    </row>
    <row r="79" spans="1:19" ht="24" customHeight="1">
      <c r="A79" s="27"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EVT-2026-1078</v>
      </c>
      <c r="B79" s="30">
        <v>46252</v>
      </c>
      <c r="C79" s="27" t="s">
        <v>227</v>
      </c>
      <c r="D79" s="27" t="s">
        <v>208</v>
      </c>
      <c r="E79" s="27" t="s">
        <v>348</v>
      </c>
      <c r="F79" s="27" t="s">
        <v>812</v>
      </c>
      <c r="G79" s="10" t="s">
        <v>2364</v>
      </c>
      <c r="H79" s="36" t="s">
        <v>263</v>
      </c>
      <c r="I79" s="37" t="s">
        <v>506</v>
      </c>
      <c r="J79" s="37" t="s">
        <v>1991</v>
      </c>
      <c r="K79" s="27" t="s">
        <v>382</v>
      </c>
      <c r="L79" s="27" t="s">
        <v>1670</v>
      </c>
      <c r="M79" s="27" t="s">
        <v>1992</v>
      </c>
      <c r="N79" s="27" t="s">
        <v>209</v>
      </c>
      <c r="O79" s="30" t="s">
        <v>2176</v>
      </c>
      <c r="P79" s="1" t="s">
        <v>264</v>
      </c>
      <c r="Q79" s="29" t="s">
        <v>265</v>
      </c>
      <c r="R79" s="48" t="s">
        <v>1993</v>
      </c>
      <c r="S79" s="27" t="s">
        <v>1497</v>
      </c>
    </row>
    <row r="80" spans="1:19" ht="24" customHeight="1">
      <c r="A80" s="27"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EVT-2026-1079</v>
      </c>
      <c r="B80" s="30">
        <v>46252</v>
      </c>
      <c r="C80" s="27" t="s">
        <v>227</v>
      </c>
      <c r="D80" s="27" t="s">
        <v>208</v>
      </c>
      <c r="E80" s="27" t="s">
        <v>1366</v>
      </c>
      <c r="F80" s="27" t="s">
        <v>217</v>
      </c>
      <c r="G80" s="10">
        <v>50</v>
      </c>
      <c r="H80" s="36" t="s">
        <v>263</v>
      </c>
      <c r="I80" s="37" t="s">
        <v>309</v>
      </c>
      <c r="J80" s="37" t="s">
        <v>296</v>
      </c>
      <c r="K80" s="27"/>
      <c r="L80" s="27"/>
      <c r="M80" s="27" t="s">
        <v>1080</v>
      </c>
      <c r="N80" s="27" t="s">
        <v>1949</v>
      </c>
      <c r="O80" s="27"/>
      <c r="P80" s="1" t="s">
        <v>264</v>
      </c>
      <c r="Q80" s="28" t="s">
        <v>1807</v>
      </c>
      <c r="R80" s="48" t="s">
        <v>298</v>
      </c>
      <c r="S80" s="27"/>
    </row>
    <row r="81" spans="1:19" ht="24" customHeight="1">
      <c r="A81" s="27"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EVT-2026-1080</v>
      </c>
      <c r="B81" s="30">
        <v>46252</v>
      </c>
      <c r="C81" s="27" t="s">
        <v>227</v>
      </c>
      <c r="D81" s="27" t="s">
        <v>228</v>
      </c>
      <c r="E81" s="27" t="s">
        <v>125</v>
      </c>
      <c r="F81" s="27" t="s">
        <v>1994</v>
      </c>
      <c r="G81" s="10">
        <v>30</v>
      </c>
      <c r="H81" s="36" t="s">
        <v>263</v>
      </c>
      <c r="I81" s="37" t="s">
        <v>309</v>
      </c>
      <c r="J81" s="37" t="s">
        <v>270</v>
      </c>
      <c r="K81" s="27"/>
      <c r="L81" s="27"/>
      <c r="M81" s="27" t="s">
        <v>1990</v>
      </c>
      <c r="N81" s="27" t="s">
        <v>213</v>
      </c>
      <c r="O81" s="30">
        <v>46240</v>
      </c>
      <c r="P81" s="3" t="s">
        <v>312</v>
      </c>
      <c r="Q81" s="29" t="s">
        <v>265</v>
      </c>
      <c r="R81" s="48" t="s">
        <v>1180</v>
      </c>
      <c r="S81" s="27"/>
    </row>
    <row r="82" spans="1:19" ht="24" customHeight="1">
      <c r="A82" s="27"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EVT-2026-1081</v>
      </c>
      <c r="B82" s="30">
        <v>46252</v>
      </c>
      <c r="C82" s="27" t="s">
        <v>227</v>
      </c>
      <c r="D82" s="27" t="s">
        <v>208</v>
      </c>
      <c r="E82" s="27" t="s">
        <v>1986</v>
      </c>
      <c r="F82" s="27" t="s">
        <v>1987</v>
      </c>
      <c r="G82" s="10">
        <v>8</v>
      </c>
      <c r="H82" s="36" t="s">
        <v>263</v>
      </c>
      <c r="I82" s="37" t="s">
        <v>354</v>
      </c>
      <c r="J82" s="37" t="s">
        <v>350</v>
      </c>
      <c r="K82" s="27" t="s">
        <v>382</v>
      </c>
      <c r="L82" s="27" t="s">
        <v>1989</v>
      </c>
      <c r="M82" s="27" t="s">
        <v>1990</v>
      </c>
      <c r="N82" s="27" t="s">
        <v>213</v>
      </c>
      <c r="O82" s="30">
        <v>46238</v>
      </c>
      <c r="P82" s="1" t="s">
        <v>264</v>
      </c>
      <c r="Q82" s="28" t="s">
        <v>1807</v>
      </c>
      <c r="R82" s="48" t="s">
        <v>1883</v>
      </c>
      <c r="S82" s="27" t="s">
        <v>1497</v>
      </c>
    </row>
    <row r="83" spans="1:19" ht="24" customHeight="1">
      <c r="A83" s="27"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EVT-2026-1082</v>
      </c>
      <c r="B83" s="30">
        <v>46253</v>
      </c>
      <c r="C83" s="27" t="s">
        <v>201</v>
      </c>
      <c r="D83" s="27" t="s">
        <v>208</v>
      </c>
      <c r="E83" s="27" t="s">
        <v>1366</v>
      </c>
      <c r="F83" s="27" t="s">
        <v>217</v>
      </c>
      <c r="G83" s="10">
        <v>50</v>
      </c>
      <c r="H83" s="36" t="s">
        <v>263</v>
      </c>
      <c r="I83" s="37" t="s">
        <v>309</v>
      </c>
      <c r="J83" s="37" t="s">
        <v>296</v>
      </c>
      <c r="K83" s="27"/>
      <c r="L83" s="27"/>
      <c r="M83" s="27" t="s">
        <v>1080</v>
      </c>
      <c r="N83" s="27" t="s">
        <v>1949</v>
      </c>
      <c r="O83" s="27"/>
      <c r="P83" s="1" t="s">
        <v>264</v>
      </c>
      <c r="Q83" s="29" t="s">
        <v>265</v>
      </c>
      <c r="R83" s="48" t="s">
        <v>298</v>
      </c>
      <c r="S83" s="27"/>
    </row>
    <row r="84" spans="1:19" ht="24" customHeight="1">
      <c r="A84" s="27"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EVT-2026-1083</v>
      </c>
      <c r="B84" s="30">
        <v>46253</v>
      </c>
      <c r="C84" s="27" t="s">
        <v>201</v>
      </c>
      <c r="D84" s="27" t="s">
        <v>228</v>
      </c>
      <c r="E84" s="27" t="s">
        <v>125</v>
      </c>
      <c r="F84" s="27" t="s">
        <v>1995</v>
      </c>
      <c r="G84" s="10">
        <v>150</v>
      </c>
      <c r="H84" s="38" t="s">
        <v>294</v>
      </c>
      <c r="I84" s="37" t="s">
        <v>1996</v>
      </c>
      <c r="J84" s="37" t="s">
        <v>274</v>
      </c>
      <c r="K84" s="27" t="s">
        <v>1445</v>
      </c>
      <c r="L84" s="27" t="s">
        <v>1457</v>
      </c>
      <c r="M84" s="27" t="s">
        <v>1997</v>
      </c>
      <c r="N84" s="27" t="s">
        <v>1998</v>
      </c>
      <c r="O84" s="30">
        <v>46242</v>
      </c>
      <c r="P84" s="1" t="s">
        <v>264</v>
      </c>
      <c r="Q84" s="28" t="s">
        <v>1807</v>
      </c>
      <c r="R84" s="48" t="s">
        <v>298</v>
      </c>
      <c r="S84" s="27" t="s">
        <v>1497</v>
      </c>
    </row>
    <row r="85" spans="1:19" ht="24" customHeight="1">
      <c r="A85" s="27"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EVT-2026-1084</v>
      </c>
      <c r="B85" s="30">
        <v>46253</v>
      </c>
      <c r="C85" s="27" t="s">
        <v>201</v>
      </c>
      <c r="D85" s="27" t="s">
        <v>228</v>
      </c>
      <c r="E85" s="27" t="s">
        <v>125</v>
      </c>
      <c r="F85" s="27" t="s">
        <v>1999</v>
      </c>
      <c r="G85" s="10">
        <v>80</v>
      </c>
      <c r="H85" s="36" t="s">
        <v>263</v>
      </c>
      <c r="I85" s="37" t="s">
        <v>330</v>
      </c>
      <c r="J85" s="37" t="s">
        <v>331</v>
      </c>
      <c r="K85" s="27" t="s">
        <v>1490</v>
      </c>
      <c r="L85" s="27"/>
      <c r="M85" s="27" t="s">
        <v>1990</v>
      </c>
      <c r="N85" s="27" t="s">
        <v>213</v>
      </c>
      <c r="O85" s="30">
        <v>46237</v>
      </c>
      <c r="P85" s="1" t="s">
        <v>264</v>
      </c>
      <c r="Q85" s="28" t="s">
        <v>1807</v>
      </c>
      <c r="R85" s="48" t="s">
        <v>1938</v>
      </c>
      <c r="S85" s="27" t="s">
        <v>1497</v>
      </c>
    </row>
    <row r="86" spans="1:19" ht="24" customHeight="1">
      <c r="A86" s="27"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EVT-2026-1085</v>
      </c>
      <c r="B86" s="30">
        <v>46253</v>
      </c>
      <c r="C86" s="27" t="s">
        <v>201</v>
      </c>
      <c r="D86" s="27" t="s">
        <v>208</v>
      </c>
      <c r="E86" s="27" t="s">
        <v>1986</v>
      </c>
      <c r="F86" s="27" t="s">
        <v>1987</v>
      </c>
      <c r="G86" s="10">
        <v>8</v>
      </c>
      <c r="H86" s="36" t="s">
        <v>263</v>
      </c>
      <c r="I86" s="37" t="s">
        <v>354</v>
      </c>
      <c r="J86" s="37" t="s">
        <v>350</v>
      </c>
      <c r="K86" s="27"/>
      <c r="L86" s="27" t="s">
        <v>1989</v>
      </c>
      <c r="M86" s="27" t="s">
        <v>1990</v>
      </c>
      <c r="N86" s="27" t="s">
        <v>213</v>
      </c>
      <c r="O86" s="30">
        <v>46237</v>
      </c>
      <c r="P86" s="1" t="s">
        <v>264</v>
      </c>
      <c r="Q86" s="28" t="s">
        <v>1807</v>
      </c>
      <c r="R86" s="48" t="s">
        <v>1883</v>
      </c>
      <c r="S86" s="27" t="s">
        <v>1497</v>
      </c>
    </row>
    <row r="87" spans="1:19" ht="24" customHeight="1">
      <c r="A87" s="27"/>
      <c r="B87" s="30"/>
      <c r="C87" s="27"/>
      <c r="D87" s="27"/>
      <c r="E87" s="27"/>
      <c r="F87" s="27"/>
      <c r="G87" s="10"/>
      <c r="H87" s="27"/>
      <c r="I87" s="37"/>
      <c r="J87" s="37"/>
      <c r="K87" s="27"/>
      <c r="L87" s="27"/>
      <c r="M87" s="27"/>
      <c r="N87" s="27"/>
      <c r="O87" s="30"/>
      <c r="P87" s="27"/>
      <c r="Q87" s="27"/>
      <c r="R87" s="48"/>
      <c r="S87" s="27"/>
    </row>
    <row r="88" spans="1:19" ht="24" customHeight="1">
      <c r="A88" s="27"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EVT-2026-1086</v>
      </c>
      <c r="B88" s="30">
        <v>46254</v>
      </c>
      <c r="C88" s="27" t="s">
        <v>216</v>
      </c>
      <c r="D88" s="27" t="s">
        <v>228</v>
      </c>
      <c r="E88" s="27" t="s">
        <v>125</v>
      </c>
      <c r="F88" s="27" t="s">
        <v>2000</v>
      </c>
      <c r="G88" s="10">
        <v>50</v>
      </c>
      <c r="H88" s="36" t="s">
        <v>263</v>
      </c>
      <c r="I88" s="37" t="s">
        <v>354</v>
      </c>
      <c r="J88" s="37" t="s">
        <v>289</v>
      </c>
      <c r="K88" s="27" t="s">
        <v>1445</v>
      </c>
      <c r="L88" s="27"/>
      <c r="M88" s="27" t="s">
        <v>1762</v>
      </c>
      <c r="N88" s="27" t="s">
        <v>2001</v>
      </c>
      <c r="O88" s="30">
        <v>46244</v>
      </c>
      <c r="P88" s="1" t="s">
        <v>264</v>
      </c>
      <c r="Q88" s="28" t="s">
        <v>1807</v>
      </c>
      <c r="R88" s="48" t="s">
        <v>1982</v>
      </c>
      <c r="S88" s="27" t="s">
        <v>1497</v>
      </c>
    </row>
    <row r="89" spans="1:19" ht="24" customHeight="1">
      <c r="A89" s="27" t="s">
        <v>2365</v>
      </c>
      <c r="B89" s="30">
        <v>46254</v>
      </c>
      <c r="C89" s="27" t="s">
        <v>216</v>
      </c>
      <c r="D89" s="27" t="s">
        <v>228</v>
      </c>
      <c r="E89" s="27" t="s">
        <v>2002</v>
      </c>
      <c r="F89" s="27" t="s">
        <v>2003</v>
      </c>
      <c r="G89" s="10">
        <v>150</v>
      </c>
      <c r="H89" s="38" t="s">
        <v>294</v>
      </c>
      <c r="I89" s="37" t="s">
        <v>429</v>
      </c>
      <c r="J89" s="37" t="s">
        <v>289</v>
      </c>
      <c r="K89" s="27" t="s">
        <v>382</v>
      </c>
      <c r="L89" s="27" t="s">
        <v>1445</v>
      </c>
      <c r="M89" s="27" t="s">
        <v>2004</v>
      </c>
      <c r="N89" s="39" t="s">
        <v>2005</v>
      </c>
      <c r="O89" s="30">
        <v>46251</v>
      </c>
      <c r="P89" s="1" t="s">
        <v>264</v>
      </c>
      <c r="Q89" s="28" t="s">
        <v>1807</v>
      </c>
      <c r="R89" s="48" t="s">
        <v>2006</v>
      </c>
      <c r="S89" s="27" t="s">
        <v>1497</v>
      </c>
    </row>
    <row r="90" spans="1:19" ht="24" customHeight="1">
      <c r="A90" s="27"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EVT-2026-1088</v>
      </c>
      <c r="B90" s="30">
        <v>46254</v>
      </c>
      <c r="C90" s="27" t="s">
        <v>216</v>
      </c>
      <c r="D90" s="27" t="s">
        <v>228</v>
      </c>
      <c r="E90" s="27" t="s">
        <v>125</v>
      </c>
      <c r="F90" s="27" t="s">
        <v>1132</v>
      </c>
      <c r="G90" s="10" t="s">
        <v>2366</v>
      </c>
      <c r="H90" s="36" t="s">
        <v>263</v>
      </c>
      <c r="I90" s="37" t="s">
        <v>359</v>
      </c>
      <c r="J90" s="37" t="s">
        <v>290</v>
      </c>
      <c r="K90" s="27"/>
      <c r="L90" s="27"/>
      <c r="M90" s="27" t="s">
        <v>1990</v>
      </c>
      <c r="N90" s="27" t="s">
        <v>213</v>
      </c>
      <c r="O90" s="30" t="s">
        <v>2099</v>
      </c>
      <c r="P90" s="3" t="s">
        <v>312</v>
      </c>
      <c r="Q90" s="29" t="s">
        <v>265</v>
      </c>
      <c r="R90" s="48" t="s">
        <v>298</v>
      </c>
      <c r="S90" s="27"/>
    </row>
    <row r="91" spans="1:19" ht="24" customHeight="1">
      <c r="A91" s="27"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EVT-2026-1089</v>
      </c>
      <c r="B91" s="30">
        <v>46254</v>
      </c>
      <c r="C91" s="27" t="s">
        <v>216</v>
      </c>
      <c r="D91" s="27" t="s">
        <v>208</v>
      </c>
      <c r="E91" s="27" t="s">
        <v>1366</v>
      </c>
      <c r="F91" s="27" t="s">
        <v>217</v>
      </c>
      <c r="G91" s="10">
        <v>50</v>
      </c>
      <c r="H91" s="36" t="s">
        <v>263</v>
      </c>
      <c r="I91" s="37" t="s">
        <v>309</v>
      </c>
      <c r="J91" s="37" t="s">
        <v>296</v>
      </c>
      <c r="K91" s="27"/>
      <c r="L91" s="27"/>
      <c r="M91" s="27" t="s">
        <v>1080</v>
      </c>
      <c r="N91" s="27" t="s">
        <v>1949</v>
      </c>
      <c r="O91" s="27"/>
      <c r="P91" s="3" t="s">
        <v>312</v>
      </c>
      <c r="Q91" s="29" t="s">
        <v>265</v>
      </c>
      <c r="R91" s="48" t="s">
        <v>298</v>
      </c>
      <c r="S91" s="27" t="s">
        <v>2350</v>
      </c>
    </row>
    <row r="92" spans="1:19" ht="24" customHeight="1">
      <c r="A92" s="27"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EVT-2026-1090</v>
      </c>
      <c r="B92" s="30">
        <v>46254</v>
      </c>
      <c r="C92" s="27" t="s">
        <v>216</v>
      </c>
      <c r="D92" s="27" t="s">
        <v>202</v>
      </c>
      <c r="E92" s="27" t="s">
        <v>736</v>
      </c>
      <c r="F92" s="27" t="s">
        <v>1785</v>
      </c>
      <c r="G92" s="10">
        <v>50</v>
      </c>
      <c r="H92" s="36" t="s">
        <v>263</v>
      </c>
      <c r="I92" s="37" t="s">
        <v>309</v>
      </c>
      <c r="J92" s="37" t="s">
        <v>295</v>
      </c>
      <c r="K92" s="27" t="s">
        <v>369</v>
      </c>
      <c r="L92" s="27" t="s">
        <v>2367</v>
      </c>
      <c r="M92" s="27" t="s">
        <v>378</v>
      </c>
      <c r="N92" s="27" t="s">
        <v>1786</v>
      </c>
      <c r="O92" s="30" t="s">
        <v>2368</v>
      </c>
      <c r="P92" s="1" t="s">
        <v>264</v>
      </c>
      <c r="Q92" s="28" t="s">
        <v>1807</v>
      </c>
      <c r="R92" s="48" t="s">
        <v>1313</v>
      </c>
      <c r="S92" s="27" t="s">
        <v>1846</v>
      </c>
    </row>
    <row r="93" spans="1:19" ht="24" customHeight="1">
      <c r="A93" s="27"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EVT-2026-1091</v>
      </c>
      <c r="B93" s="30">
        <v>46254</v>
      </c>
      <c r="C93" s="27" t="s">
        <v>216</v>
      </c>
      <c r="D93" s="27" t="s">
        <v>202</v>
      </c>
      <c r="E93" s="27" t="s">
        <v>1366</v>
      </c>
      <c r="F93" s="27" t="s">
        <v>2369</v>
      </c>
      <c r="G93" s="10">
        <v>40</v>
      </c>
      <c r="H93" s="36" t="s">
        <v>263</v>
      </c>
      <c r="I93" s="37" t="s">
        <v>330</v>
      </c>
      <c r="J93" s="37" t="s">
        <v>2009</v>
      </c>
      <c r="K93" s="27" t="s">
        <v>1445</v>
      </c>
      <c r="L93" s="27" t="s">
        <v>382</v>
      </c>
      <c r="M93" s="27" t="s">
        <v>2370</v>
      </c>
      <c r="N93" s="27" t="s">
        <v>2371</v>
      </c>
      <c r="O93" s="30">
        <v>46253</v>
      </c>
      <c r="P93" s="1" t="s">
        <v>264</v>
      </c>
      <c r="Q93" s="28" t="s">
        <v>1807</v>
      </c>
      <c r="R93" s="48" t="s">
        <v>1313</v>
      </c>
      <c r="S93" s="27" t="s">
        <v>2350</v>
      </c>
    </row>
    <row r="94" spans="1:19" ht="24" customHeight="1">
      <c r="A94" s="27"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EVT-2026-1092</v>
      </c>
      <c r="B94" s="30">
        <v>46254</v>
      </c>
      <c r="C94" s="27" t="s">
        <v>216</v>
      </c>
      <c r="D94" s="27" t="s">
        <v>208</v>
      </c>
      <c r="E94" s="27" t="s">
        <v>1986</v>
      </c>
      <c r="F94" s="27" t="s">
        <v>1987</v>
      </c>
      <c r="G94" s="10">
        <v>8</v>
      </c>
      <c r="H94" s="36" t="s">
        <v>263</v>
      </c>
      <c r="I94" s="37" t="s">
        <v>354</v>
      </c>
      <c r="J94" s="37" t="s">
        <v>350</v>
      </c>
      <c r="K94" s="27" t="s">
        <v>382</v>
      </c>
      <c r="L94" s="27" t="s">
        <v>1989</v>
      </c>
      <c r="M94" s="27" t="s">
        <v>1990</v>
      </c>
      <c r="N94" s="27" t="s">
        <v>213</v>
      </c>
      <c r="O94" s="30">
        <v>46253</v>
      </c>
      <c r="P94" s="1" t="s">
        <v>264</v>
      </c>
      <c r="Q94" s="28" t="s">
        <v>1807</v>
      </c>
      <c r="R94" s="48" t="s">
        <v>2372</v>
      </c>
      <c r="S94" s="27" t="s">
        <v>1497</v>
      </c>
    </row>
    <row r="95" spans="1:19" ht="24" customHeight="1">
      <c r="A95" s="27"/>
      <c r="B95" s="30"/>
      <c r="C95" s="27"/>
      <c r="D95" s="27"/>
      <c r="E95" s="27"/>
      <c r="F95" s="27"/>
      <c r="G95" s="10"/>
      <c r="H95" s="27"/>
      <c r="I95" s="37"/>
      <c r="J95" s="37"/>
      <c r="K95" s="37"/>
      <c r="L95" s="27"/>
      <c r="M95" s="27"/>
      <c r="N95" s="27"/>
      <c r="O95" s="30"/>
      <c r="P95" s="27"/>
      <c r="Q95" s="27"/>
      <c r="R95" s="48"/>
      <c r="S95" s="27"/>
    </row>
    <row r="96" spans="1:19" ht="24" customHeight="1">
      <c r="A96" s="27"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EVT-2026-1093</v>
      </c>
      <c r="B96" s="30">
        <v>46255</v>
      </c>
      <c r="C96" s="27" t="s">
        <v>220</v>
      </c>
      <c r="D96" s="27" t="s">
        <v>202</v>
      </c>
      <c r="E96" s="27" t="s">
        <v>736</v>
      </c>
      <c r="F96" s="27" t="s">
        <v>2012</v>
      </c>
      <c r="G96" s="10">
        <v>24</v>
      </c>
      <c r="H96" s="36" t="s">
        <v>263</v>
      </c>
      <c r="I96" s="37" t="s">
        <v>281</v>
      </c>
      <c r="J96" s="37" t="s">
        <v>270</v>
      </c>
      <c r="K96" s="27" t="s">
        <v>382</v>
      </c>
      <c r="L96" s="27" t="s">
        <v>1445</v>
      </c>
      <c r="M96" s="27" t="s">
        <v>1198</v>
      </c>
      <c r="N96" s="27" t="s">
        <v>2013</v>
      </c>
      <c r="O96" s="30" t="s">
        <v>2356</v>
      </c>
      <c r="P96" s="1" t="s">
        <v>264</v>
      </c>
      <c r="Q96" s="28" t="s">
        <v>1807</v>
      </c>
      <c r="R96" s="48" t="s">
        <v>1680</v>
      </c>
      <c r="S96" s="27" t="s">
        <v>1497</v>
      </c>
    </row>
    <row r="97" spans="1:19" ht="24" customHeight="1">
      <c r="A97" s="27"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EVT-2026-1094</v>
      </c>
      <c r="B97" s="30">
        <v>46255</v>
      </c>
      <c r="C97" s="27" t="s">
        <v>220</v>
      </c>
      <c r="D97" s="27" t="s">
        <v>228</v>
      </c>
      <c r="E97" s="27" t="s">
        <v>125</v>
      </c>
      <c r="F97" s="27" t="s">
        <v>2014</v>
      </c>
      <c r="G97" s="10">
        <v>80</v>
      </c>
      <c r="H97" s="36" t="s">
        <v>263</v>
      </c>
      <c r="I97" s="37" t="s">
        <v>315</v>
      </c>
      <c r="J97" s="37" t="s">
        <v>429</v>
      </c>
      <c r="K97" s="27" t="s">
        <v>369</v>
      </c>
      <c r="L97" s="27" t="s">
        <v>1670</v>
      </c>
      <c r="M97" s="27" t="s">
        <v>583</v>
      </c>
      <c r="N97" s="27" t="s">
        <v>1772</v>
      </c>
      <c r="O97" s="30" t="s">
        <v>2356</v>
      </c>
      <c r="P97" s="1" t="s">
        <v>264</v>
      </c>
      <c r="Q97" s="28" t="s">
        <v>1807</v>
      </c>
      <c r="R97" s="48" t="s">
        <v>1313</v>
      </c>
      <c r="S97" s="27" t="s">
        <v>1497</v>
      </c>
    </row>
    <row r="98" spans="1:19" ht="24" customHeight="1">
      <c r="A98" s="27"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EVT-2026-1095</v>
      </c>
      <c r="B98" s="30">
        <v>46255</v>
      </c>
      <c r="C98" s="27" t="s">
        <v>220</v>
      </c>
      <c r="D98" s="27" t="s">
        <v>228</v>
      </c>
      <c r="E98" s="27" t="s">
        <v>125</v>
      </c>
      <c r="F98" s="27" t="s">
        <v>2015</v>
      </c>
      <c r="G98" s="10">
        <v>80</v>
      </c>
      <c r="H98" s="36" t="s">
        <v>263</v>
      </c>
      <c r="I98" s="37" t="s">
        <v>309</v>
      </c>
      <c r="J98" s="37" t="s">
        <v>448</v>
      </c>
      <c r="K98" s="27" t="s">
        <v>2016</v>
      </c>
      <c r="L98" s="27" t="s">
        <v>1670</v>
      </c>
      <c r="M98" s="27" t="s">
        <v>1744</v>
      </c>
      <c r="N98" s="27" t="s">
        <v>2017</v>
      </c>
      <c r="O98" s="30" t="s">
        <v>2373</v>
      </c>
      <c r="P98" s="1" t="s">
        <v>264</v>
      </c>
      <c r="Q98" s="28" t="s">
        <v>1807</v>
      </c>
      <c r="R98" s="48" t="s">
        <v>1313</v>
      </c>
      <c r="S98" s="27" t="s">
        <v>1497</v>
      </c>
    </row>
    <row r="99" spans="1:19" ht="24" customHeight="1">
      <c r="A99" s="27"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EVT-2026-1096</v>
      </c>
      <c r="B99" s="30">
        <v>46255</v>
      </c>
      <c r="C99" s="27" t="s">
        <v>220</v>
      </c>
      <c r="D99" s="27" t="s">
        <v>208</v>
      </c>
      <c r="E99" s="27" t="s">
        <v>1986</v>
      </c>
      <c r="F99" s="27" t="s">
        <v>1987</v>
      </c>
      <c r="G99" s="10">
        <v>8</v>
      </c>
      <c r="H99" s="36" t="s">
        <v>263</v>
      </c>
      <c r="I99" s="37" t="s">
        <v>354</v>
      </c>
      <c r="J99" s="37" t="s">
        <v>350</v>
      </c>
      <c r="K99" s="27" t="s">
        <v>382</v>
      </c>
      <c r="L99" s="27" t="s">
        <v>1989</v>
      </c>
      <c r="M99" s="27" t="s">
        <v>1990</v>
      </c>
      <c r="N99" s="27" t="s">
        <v>213</v>
      </c>
      <c r="O99" s="30">
        <v>46253</v>
      </c>
      <c r="P99" s="1" t="s">
        <v>264</v>
      </c>
      <c r="Q99" s="28" t="s">
        <v>1807</v>
      </c>
      <c r="R99" s="48" t="s">
        <v>2372</v>
      </c>
      <c r="S99" s="27" t="s">
        <v>2350</v>
      </c>
    </row>
    <row r="100" spans="1:19" ht="24" customHeight="1">
      <c r="A100" s="27"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EVT-2026-1097</v>
      </c>
      <c r="B100" s="30">
        <v>46255</v>
      </c>
      <c r="C100" s="27" t="s">
        <v>220</v>
      </c>
      <c r="D100" s="27" t="s">
        <v>202</v>
      </c>
      <c r="E100" s="27" t="s">
        <v>2018</v>
      </c>
      <c r="F100" s="27" t="s">
        <v>2019</v>
      </c>
      <c r="G100" s="10">
        <v>15</v>
      </c>
      <c r="H100" s="36" t="s">
        <v>263</v>
      </c>
      <c r="I100" s="37" t="s">
        <v>309</v>
      </c>
      <c r="J100" s="37" t="s">
        <v>296</v>
      </c>
      <c r="K100" s="27" t="s">
        <v>1445</v>
      </c>
      <c r="L100" s="27" t="s">
        <v>2374</v>
      </c>
      <c r="M100" s="27" t="s">
        <v>2375</v>
      </c>
      <c r="N100" s="27" t="s">
        <v>2376</v>
      </c>
      <c r="O100" s="30">
        <v>46253</v>
      </c>
      <c r="P100" s="1" t="s">
        <v>264</v>
      </c>
      <c r="Q100" s="28" t="s">
        <v>1807</v>
      </c>
      <c r="R100" s="48" t="s">
        <v>2372</v>
      </c>
      <c r="S100" s="27" t="s">
        <v>2350</v>
      </c>
    </row>
    <row r="101" spans="1:19" ht="24" customHeight="1">
      <c r="A101" s="27"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EVT-2026-1098</v>
      </c>
      <c r="B101" s="30">
        <v>46255</v>
      </c>
      <c r="C101" s="27" t="s">
        <v>220</v>
      </c>
      <c r="D101" s="27" t="s">
        <v>202</v>
      </c>
      <c r="E101" s="27" t="s">
        <v>348</v>
      </c>
      <c r="F101" s="27" t="s">
        <v>2023</v>
      </c>
      <c r="G101" s="10">
        <v>40</v>
      </c>
      <c r="H101" s="36" t="s">
        <v>263</v>
      </c>
      <c r="I101" s="37" t="s">
        <v>354</v>
      </c>
      <c r="J101" s="37" t="s">
        <v>350</v>
      </c>
      <c r="K101" s="27" t="s">
        <v>382</v>
      </c>
      <c r="L101" s="27" t="s">
        <v>2377</v>
      </c>
      <c r="M101" s="27" t="s">
        <v>2378</v>
      </c>
      <c r="N101" s="27" t="s">
        <v>2379</v>
      </c>
      <c r="O101" s="30">
        <v>46254</v>
      </c>
      <c r="P101" s="1" t="s">
        <v>264</v>
      </c>
      <c r="Q101" s="28" t="s">
        <v>1807</v>
      </c>
      <c r="R101" s="48" t="s">
        <v>2372</v>
      </c>
      <c r="S101" s="27" t="s">
        <v>2350</v>
      </c>
    </row>
    <row r="102" spans="1:19" ht="24" customHeight="1">
      <c r="A102" s="27"/>
      <c r="B102" s="30"/>
      <c r="C102" s="27"/>
      <c r="D102" s="27"/>
      <c r="E102" s="27"/>
      <c r="F102" s="27"/>
      <c r="G102" s="10"/>
      <c r="H102" s="27"/>
      <c r="I102" s="37"/>
      <c r="J102" s="37"/>
      <c r="K102" s="27"/>
      <c r="L102" s="27"/>
      <c r="M102" s="27"/>
      <c r="N102" s="27"/>
      <c r="O102" s="30"/>
      <c r="P102" s="27"/>
      <c r="Q102" s="27"/>
      <c r="R102" s="48"/>
      <c r="S102" s="27"/>
    </row>
    <row r="103" spans="1:19" ht="24" customHeight="1">
      <c r="A103" s="27" t="s">
        <v>2380</v>
      </c>
      <c r="B103" s="30">
        <v>46256</v>
      </c>
      <c r="C103" s="27" t="s">
        <v>266</v>
      </c>
      <c r="D103" s="27" t="s">
        <v>228</v>
      </c>
      <c r="E103" s="27" t="s">
        <v>125</v>
      </c>
      <c r="F103" s="27" t="s">
        <v>2027</v>
      </c>
      <c r="G103" s="10">
        <v>80</v>
      </c>
      <c r="H103" s="36" t="s">
        <v>263</v>
      </c>
      <c r="I103" s="37" t="s">
        <v>281</v>
      </c>
      <c r="J103" s="37" t="s">
        <v>359</v>
      </c>
      <c r="K103" s="27" t="s">
        <v>2028</v>
      </c>
      <c r="L103" s="27" t="s">
        <v>1445</v>
      </c>
      <c r="M103" s="27" t="s">
        <v>760</v>
      </c>
      <c r="N103" s="27" t="s">
        <v>1622</v>
      </c>
      <c r="O103" s="30">
        <v>46252</v>
      </c>
      <c r="P103" s="3" t="s">
        <v>312</v>
      </c>
      <c r="Q103" s="29" t="s">
        <v>265</v>
      </c>
      <c r="R103" s="48" t="s">
        <v>1313</v>
      </c>
      <c r="S103" s="27" t="s">
        <v>1497</v>
      </c>
    </row>
    <row r="104" spans="1:19" ht="24" customHeight="1">
      <c r="A104" s="27"/>
      <c r="B104" s="30"/>
      <c r="C104" s="27"/>
      <c r="D104" s="27"/>
      <c r="E104" s="27"/>
      <c r="F104" s="27"/>
      <c r="G104" s="10"/>
      <c r="H104" s="27"/>
      <c r="I104" s="37"/>
      <c r="J104" s="37"/>
      <c r="K104" s="27"/>
      <c r="L104" s="27"/>
      <c r="M104" s="27"/>
      <c r="N104" s="27"/>
      <c r="O104" s="30"/>
      <c r="P104" s="27"/>
      <c r="Q104" s="27"/>
      <c r="R104" s="48"/>
      <c r="S104" s="27"/>
    </row>
    <row r="105" spans="1:19" ht="24" customHeight="1">
      <c r="A105" s="27"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EVT-2026-1100</v>
      </c>
      <c r="B105" s="30">
        <v>46258</v>
      </c>
      <c r="C105" s="27" t="s">
        <v>224</v>
      </c>
      <c r="D105" s="27" t="s">
        <v>1260</v>
      </c>
      <c r="E105" s="27" t="s">
        <v>2018</v>
      </c>
      <c r="F105" s="27" t="s">
        <v>203</v>
      </c>
      <c r="G105" s="10">
        <v>25</v>
      </c>
      <c r="H105" s="36" t="s">
        <v>344</v>
      </c>
      <c r="I105" s="37" t="s">
        <v>269</v>
      </c>
      <c r="J105" s="37" t="s">
        <v>270</v>
      </c>
      <c r="K105" s="27" t="s">
        <v>1445</v>
      </c>
      <c r="L105" s="27" t="s">
        <v>1445</v>
      </c>
      <c r="M105" s="27" t="s">
        <v>1707</v>
      </c>
      <c r="N105" s="27" t="s">
        <v>2029</v>
      </c>
      <c r="O105" s="30">
        <v>46218</v>
      </c>
      <c r="P105" s="1" t="s">
        <v>264</v>
      </c>
      <c r="Q105" s="29" t="s">
        <v>265</v>
      </c>
      <c r="R105" s="48" t="s">
        <v>2030</v>
      </c>
      <c r="S105" s="27" t="s">
        <v>1497</v>
      </c>
    </row>
    <row r="106" spans="1:19" ht="24" customHeight="1">
      <c r="A106" s="27"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EVT-2026-1101</v>
      </c>
      <c r="B106" s="30">
        <v>46258</v>
      </c>
      <c r="C106" s="27" t="s">
        <v>224</v>
      </c>
      <c r="D106" s="27" t="s">
        <v>228</v>
      </c>
      <c r="E106" s="27" t="s">
        <v>125</v>
      </c>
      <c r="F106" s="27" t="s">
        <v>2381</v>
      </c>
      <c r="G106" s="10">
        <v>80</v>
      </c>
      <c r="H106" s="36" t="s">
        <v>263</v>
      </c>
      <c r="I106" s="37" t="s">
        <v>269</v>
      </c>
      <c r="J106" s="37" t="s">
        <v>270</v>
      </c>
      <c r="K106" s="27" t="s">
        <v>1445</v>
      </c>
      <c r="L106" s="27" t="s">
        <v>1445</v>
      </c>
      <c r="M106" s="27" t="s">
        <v>2343</v>
      </c>
      <c r="N106" s="27" t="s">
        <v>2382</v>
      </c>
      <c r="O106" s="27" t="s">
        <v>2383</v>
      </c>
      <c r="P106" s="1" t="s">
        <v>264</v>
      </c>
      <c r="Q106" s="29" t="s">
        <v>265</v>
      </c>
      <c r="R106" s="48" t="s">
        <v>2384</v>
      </c>
      <c r="S106" s="27" t="s">
        <v>1497</v>
      </c>
    </row>
    <row r="107" spans="1:19" ht="24" customHeight="1">
      <c r="A107" s="27"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EVT-2026-1102</v>
      </c>
      <c r="B107" s="30">
        <v>46258</v>
      </c>
      <c r="C107" s="27" t="s">
        <v>224</v>
      </c>
      <c r="D107" s="27" t="s">
        <v>202</v>
      </c>
      <c r="E107" s="27" t="s">
        <v>736</v>
      </c>
      <c r="F107" s="27" t="s">
        <v>203</v>
      </c>
      <c r="G107" s="10">
        <v>50</v>
      </c>
      <c r="H107" s="36" t="s">
        <v>344</v>
      </c>
      <c r="I107" s="37">
        <v>0.33333333333333331</v>
      </c>
      <c r="J107" s="37" t="s">
        <v>270</v>
      </c>
      <c r="K107" s="27" t="s">
        <v>1445</v>
      </c>
      <c r="L107" s="27" t="s">
        <v>1445</v>
      </c>
      <c r="M107" s="27" t="s">
        <v>1707</v>
      </c>
      <c r="N107" s="27" t="s">
        <v>2029</v>
      </c>
      <c r="O107" s="30" t="s">
        <v>2385</v>
      </c>
      <c r="P107" s="1" t="s">
        <v>264</v>
      </c>
      <c r="Q107" s="29" t="s">
        <v>265</v>
      </c>
      <c r="R107" s="48" t="s">
        <v>2030</v>
      </c>
      <c r="S107" s="27" t="s">
        <v>1497</v>
      </c>
    </row>
    <row r="108" spans="1:19" ht="24" customHeight="1">
      <c r="A108" s="27"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EVT-2026-1103</v>
      </c>
      <c r="B108" s="30">
        <v>46258</v>
      </c>
      <c r="C108" s="27" t="s">
        <v>224</v>
      </c>
      <c r="D108" s="27" t="s">
        <v>228</v>
      </c>
      <c r="E108" s="27" t="s">
        <v>2386</v>
      </c>
      <c r="F108" s="27" t="s">
        <v>203</v>
      </c>
      <c r="G108" s="10">
        <v>18</v>
      </c>
      <c r="H108" s="36" t="s">
        <v>344</v>
      </c>
      <c r="I108" s="37" t="s">
        <v>269</v>
      </c>
      <c r="J108" s="37" t="s">
        <v>270</v>
      </c>
      <c r="K108" s="27" t="s">
        <v>1445</v>
      </c>
      <c r="L108" s="27" t="s">
        <v>1445</v>
      </c>
      <c r="M108" s="27" t="s">
        <v>1707</v>
      </c>
      <c r="N108" s="27" t="s">
        <v>2029</v>
      </c>
      <c r="O108" s="30" t="s">
        <v>2385</v>
      </c>
      <c r="P108" s="1" t="s">
        <v>264</v>
      </c>
      <c r="Q108" s="29" t="s">
        <v>265</v>
      </c>
      <c r="R108" s="48" t="s">
        <v>2030</v>
      </c>
      <c r="S108" s="27" t="s">
        <v>1497</v>
      </c>
    </row>
    <row r="109" spans="1:19" ht="24" customHeight="1">
      <c r="A109" s="27"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EVT-2026-1104</v>
      </c>
      <c r="B109" s="30">
        <v>46258</v>
      </c>
      <c r="C109" s="27" t="s">
        <v>224</v>
      </c>
      <c r="D109" s="27" t="s">
        <v>202</v>
      </c>
      <c r="E109" s="27" t="s">
        <v>1366</v>
      </c>
      <c r="F109" s="27" t="s">
        <v>2387</v>
      </c>
      <c r="G109" s="10">
        <v>30</v>
      </c>
      <c r="H109" s="36" t="s">
        <v>263</v>
      </c>
      <c r="I109" s="37" t="s">
        <v>274</v>
      </c>
      <c r="J109" s="37" t="s">
        <v>330</v>
      </c>
      <c r="K109" s="27" t="s">
        <v>1445</v>
      </c>
      <c r="L109" s="27" t="s">
        <v>2388</v>
      </c>
      <c r="M109" s="27" t="s">
        <v>2389</v>
      </c>
      <c r="N109" s="27" t="s">
        <v>2390</v>
      </c>
      <c r="O109" s="30">
        <v>46254</v>
      </c>
      <c r="P109" s="1" t="s">
        <v>264</v>
      </c>
      <c r="Q109" s="28" t="s">
        <v>1807</v>
      </c>
      <c r="R109" s="48" t="s">
        <v>2391</v>
      </c>
      <c r="S109" s="27" t="s">
        <v>2350</v>
      </c>
    </row>
    <row r="110" spans="1:19" ht="24" customHeight="1">
      <c r="A110" s="27"/>
      <c r="B110" s="30"/>
      <c r="C110" s="27"/>
      <c r="D110" s="27"/>
      <c r="E110" s="27"/>
      <c r="F110" s="27"/>
      <c r="G110" s="10"/>
      <c r="H110" s="36"/>
      <c r="I110" s="37"/>
      <c r="J110" s="37"/>
      <c r="K110" s="37"/>
      <c r="L110" s="27"/>
      <c r="M110" s="27"/>
      <c r="N110" s="27"/>
      <c r="O110" s="30"/>
      <c r="P110" s="40"/>
      <c r="Q110" s="29" t="s">
        <v>265</v>
      </c>
      <c r="R110" s="48"/>
      <c r="S110" s="27"/>
    </row>
    <row r="111" spans="1:19" ht="24" customHeight="1">
      <c r="A111" s="27"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EVT-2026-1105</v>
      </c>
      <c r="B111" s="30">
        <v>46259</v>
      </c>
      <c r="C111" s="27" t="s">
        <v>227</v>
      </c>
      <c r="D111" s="27" t="s">
        <v>1260</v>
      </c>
      <c r="E111" s="27" t="s">
        <v>2018</v>
      </c>
      <c r="F111" s="27" t="s">
        <v>203</v>
      </c>
      <c r="G111" s="10">
        <v>18</v>
      </c>
      <c r="H111" s="36" t="s">
        <v>344</v>
      </c>
      <c r="I111" s="37" t="s">
        <v>269</v>
      </c>
      <c r="J111" s="37" t="s">
        <v>270</v>
      </c>
      <c r="K111" s="27" t="s">
        <v>1445</v>
      </c>
      <c r="L111" s="27" t="s">
        <v>1445</v>
      </c>
      <c r="M111" s="27" t="s">
        <v>1707</v>
      </c>
      <c r="N111" s="27" t="s">
        <v>2029</v>
      </c>
      <c r="O111" s="30" t="s">
        <v>2385</v>
      </c>
      <c r="P111" s="1" t="s">
        <v>264</v>
      </c>
      <c r="Q111" s="29" t="s">
        <v>265</v>
      </c>
      <c r="R111" s="48" t="s">
        <v>2030</v>
      </c>
      <c r="S111" s="27" t="s">
        <v>1497</v>
      </c>
    </row>
    <row r="112" spans="1:19" ht="24" customHeight="1">
      <c r="A112" s="27"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EVT-2026-1106</v>
      </c>
      <c r="B112" s="30">
        <v>46259</v>
      </c>
      <c r="C112" s="27" t="s">
        <v>227</v>
      </c>
      <c r="D112" s="27" t="s">
        <v>202</v>
      </c>
      <c r="E112" s="27" t="s">
        <v>736</v>
      </c>
      <c r="F112" s="27" t="s">
        <v>203</v>
      </c>
      <c r="G112" s="10">
        <v>50</v>
      </c>
      <c r="H112" s="36" t="s">
        <v>344</v>
      </c>
      <c r="I112" s="37" t="s">
        <v>269</v>
      </c>
      <c r="J112" s="37" t="s">
        <v>270</v>
      </c>
      <c r="K112" s="27" t="s">
        <v>1445</v>
      </c>
      <c r="L112" s="27" t="s">
        <v>1445</v>
      </c>
      <c r="M112" s="27" t="s">
        <v>1707</v>
      </c>
      <c r="N112" s="27" t="s">
        <v>2029</v>
      </c>
      <c r="O112" s="30" t="s">
        <v>2385</v>
      </c>
      <c r="P112" s="1" t="s">
        <v>264</v>
      </c>
      <c r="Q112" s="29" t="s">
        <v>265</v>
      </c>
      <c r="R112" s="48" t="s">
        <v>2030</v>
      </c>
      <c r="S112" s="27" t="s">
        <v>1497</v>
      </c>
    </row>
    <row r="113" spans="1:19" ht="24" customHeight="1">
      <c r="A113" s="27"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EVT-2026-1107</v>
      </c>
      <c r="B113" s="30">
        <v>46259</v>
      </c>
      <c r="C113" s="27" t="s">
        <v>227</v>
      </c>
      <c r="D113" s="27" t="s">
        <v>208</v>
      </c>
      <c r="E113" s="27" t="s">
        <v>1366</v>
      </c>
      <c r="F113" s="27" t="s">
        <v>217</v>
      </c>
      <c r="G113" s="10">
        <v>50</v>
      </c>
      <c r="H113" s="36" t="s">
        <v>263</v>
      </c>
      <c r="I113" s="37" t="s">
        <v>309</v>
      </c>
      <c r="J113" s="37" t="s">
        <v>296</v>
      </c>
      <c r="K113" s="27" t="s">
        <v>1445</v>
      </c>
      <c r="L113" s="27" t="s">
        <v>1445</v>
      </c>
      <c r="M113" s="27" t="s">
        <v>1080</v>
      </c>
      <c r="N113" s="27" t="s">
        <v>1949</v>
      </c>
      <c r="O113" s="30" t="s">
        <v>2385</v>
      </c>
      <c r="P113" s="1" t="s">
        <v>264</v>
      </c>
      <c r="Q113" s="29" t="s">
        <v>265</v>
      </c>
      <c r="R113" s="48" t="s">
        <v>298</v>
      </c>
      <c r="S113" s="27" t="s">
        <v>1497</v>
      </c>
    </row>
    <row r="114" spans="1:19" ht="24" customHeight="1">
      <c r="A114" s="27"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EVT-2026-1108</v>
      </c>
      <c r="B114" s="30">
        <v>46259</v>
      </c>
      <c r="C114" s="27" t="s">
        <v>227</v>
      </c>
      <c r="D114" s="27" t="s">
        <v>228</v>
      </c>
      <c r="E114" s="27" t="s">
        <v>125</v>
      </c>
      <c r="F114" s="27" t="s">
        <v>2034</v>
      </c>
      <c r="G114" s="10">
        <v>60</v>
      </c>
      <c r="H114" s="36" t="s">
        <v>263</v>
      </c>
      <c r="I114" s="37" t="s">
        <v>269</v>
      </c>
      <c r="J114" s="37" t="s">
        <v>274</v>
      </c>
      <c r="K114" s="27" t="s">
        <v>1445</v>
      </c>
      <c r="L114" s="27" t="s">
        <v>1445</v>
      </c>
      <c r="M114" s="27" t="s">
        <v>1997</v>
      </c>
      <c r="N114" s="27" t="s">
        <v>1998</v>
      </c>
      <c r="O114" s="27"/>
      <c r="P114" s="1" t="s">
        <v>264</v>
      </c>
      <c r="Q114" s="28" t="s">
        <v>1807</v>
      </c>
      <c r="R114" s="48" t="s">
        <v>298</v>
      </c>
      <c r="S114" s="27" t="s">
        <v>1497</v>
      </c>
    </row>
    <row r="115" spans="1:19" ht="24" customHeight="1">
      <c r="A115" s="27"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EVT-2026-1109</v>
      </c>
      <c r="B115" s="30">
        <v>46259</v>
      </c>
      <c r="C115" s="27" t="s">
        <v>227</v>
      </c>
      <c r="D115" s="27" t="s">
        <v>228</v>
      </c>
      <c r="E115" s="27" t="s">
        <v>125</v>
      </c>
      <c r="F115" s="27" t="s">
        <v>2035</v>
      </c>
      <c r="G115" s="10">
        <v>90</v>
      </c>
      <c r="H115" s="36" t="s">
        <v>263</v>
      </c>
      <c r="I115" s="37" t="s">
        <v>295</v>
      </c>
      <c r="J115" s="37" t="s">
        <v>290</v>
      </c>
      <c r="K115" s="27" t="s">
        <v>382</v>
      </c>
      <c r="L115" s="27" t="s">
        <v>382</v>
      </c>
      <c r="M115" s="27" t="s">
        <v>1990</v>
      </c>
      <c r="N115" s="27" t="s">
        <v>213</v>
      </c>
      <c r="O115" s="27"/>
      <c r="P115" s="1" t="s">
        <v>264</v>
      </c>
      <c r="Q115" s="28" t="s">
        <v>1807</v>
      </c>
      <c r="R115" s="48" t="s">
        <v>2392</v>
      </c>
      <c r="S115" s="27" t="s">
        <v>1846</v>
      </c>
    </row>
    <row r="116" spans="1:19" ht="24" customHeight="1">
      <c r="A116" s="27" t="s">
        <v>2393</v>
      </c>
      <c r="B116" s="30">
        <v>46259</v>
      </c>
      <c r="C116" s="27" t="s">
        <v>227</v>
      </c>
      <c r="D116" s="27" t="s">
        <v>228</v>
      </c>
      <c r="E116" s="27" t="s">
        <v>125</v>
      </c>
      <c r="F116" s="27" t="s">
        <v>2037</v>
      </c>
      <c r="G116" s="10">
        <v>80</v>
      </c>
      <c r="H116" s="36" t="s">
        <v>263</v>
      </c>
      <c r="I116" s="37" t="s">
        <v>429</v>
      </c>
      <c r="J116" s="37" t="s">
        <v>354</v>
      </c>
      <c r="K116" s="27" t="s">
        <v>1445</v>
      </c>
      <c r="L116" s="27" t="s">
        <v>1457</v>
      </c>
      <c r="M116" s="27" t="s">
        <v>1562</v>
      </c>
      <c r="N116" s="27" t="s">
        <v>2038</v>
      </c>
      <c r="O116" s="27" t="s">
        <v>2394</v>
      </c>
      <c r="P116" s="1" t="s">
        <v>264</v>
      </c>
      <c r="Q116" s="28" t="s">
        <v>1807</v>
      </c>
      <c r="R116" s="48" t="s">
        <v>298</v>
      </c>
      <c r="S116" s="27" t="s">
        <v>1497</v>
      </c>
    </row>
    <row r="117" spans="1:19" ht="24" customHeight="1">
      <c r="A117" s="27" t="s">
        <v>2393</v>
      </c>
      <c r="B117" s="30">
        <v>46259</v>
      </c>
      <c r="C117" s="27" t="s">
        <v>227</v>
      </c>
      <c r="D117" s="27" t="s">
        <v>228</v>
      </c>
      <c r="E117" s="27" t="s">
        <v>2386</v>
      </c>
      <c r="F117" s="27" t="s">
        <v>203</v>
      </c>
      <c r="G117" s="10">
        <v>23</v>
      </c>
      <c r="H117" s="36" t="s">
        <v>344</v>
      </c>
      <c r="I117" s="37" t="s">
        <v>269</v>
      </c>
      <c r="J117" s="37" t="s">
        <v>270</v>
      </c>
      <c r="K117" s="27" t="s">
        <v>1445</v>
      </c>
      <c r="L117" s="27" t="s">
        <v>1445</v>
      </c>
      <c r="M117" s="27" t="s">
        <v>1707</v>
      </c>
      <c r="N117" s="27" t="s">
        <v>2029</v>
      </c>
      <c r="O117" s="30" t="s">
        <v>2385</v>
      </c>
      <c r="P117" s="1" t="s">
        <v>264</v>
      </c>
      <c r="Q117" s="29" t="s">
        <v>265</v>
      </c>
      <c r="R117" s="48" t="s">
        <v>2030</v>
      </c>
      <c r="S117" s="27" t="s">
        <v>1497</v>
      </c>
    </row>
    <row r="118" spans="1:19" ht="24" customHeight="1">
      <c r="A118" s="27"/>
      <c r="B118" s="30"/>
      <c r="C118" s="27"/>
      <c r="D118" s="27"/>
      <c r="E118" s="27"/>
      <c r="F118" s="27"/>
      <c r="G118" s="10"/>
      <c r="H118" s="36"/>
      <c r="I118" s="37"/>
      <c r="J118" s="37"/>
      <c r="K118" s="27"/>
      <c r="L118" s="27"/>
      <c r="M118" s="27"/>
      <c r="N118" s="27"/>
      <c r="O118" s="30"/>
      <c r="P118" s="45"/>
      <c r="Q118" s="42"/>
      <c r="R118" s="48"/>
      <c r="S118" s="27"/>
    </row>
    <row r="119" spans="1:19" ht="24" customHeight="1">
      <c r="A119" s="27"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EVT-2026-1112</v>
      </c>
      <c r="B119" s="30">
        <v>46260</v>
      </c>
      <c r="C119" s="27" t="s">
        <v>201</v>
      </c>
      <c r="D119" s="27" t="s">
        <v>202</v>
      </c>
      <c r="E119" s="27" t="s">
        <v>736</v>
      </c>
      <c r="F119" s="27" t="s">
        <v>203</v>
      </c>
      <c r="G119" s="10">
        <v>50</v>
      </c>
      <c r="H119" s="36" t="s">
        <v>344</v>
      </c>
      <c r="I119" s="37" t="s">
        <v>269</v>
      </c>
      <c r="J119" s="37" t="s">
        <v>270</v>
      </c>
      <c r="K119" s="27" t="s">
        <v>1445</v>
      </c>
      <c r="L119" s="27" t="s">
        <v>1445</v>
      </c>
      <c r="M119" s="27" t="s">
        <v>1707</v>
      </c>
      <c r="N119" s="27" t="s">
        <v>2029</v>
      </c>
      <c r="O119" s="30" t="s">
        <v>2385</v>
      </c>
      <c r="P119" s="1" t="s">
        <v>264</v>
      </c>
      <c r="Q119" s="29" t="s">
        <v>265</v>
      </c>
      <c r="R119" s="48" t="s">
        <v>2030</v>
      </c>
      <c r="S119" s="27" t="s">
        <v>1497</v>
      </c>
    </row>
    <row r="120" spans="1:19" ht="24" customHeight="1">
      <c r="A120" s="27"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EVT-2026-1113</v>
      </c>
      <c r="B120" s="30">
        <v>46260</v>
      </c>
      <c r="C120" s="27" t="s">
        <v>201</v>
      </c>
      <c r="D120" s="27" t="s">
        <v>1260</v>
      </c>
      <c r="E120" s="27" t="s">
        <v>2018</v>
      </c>
      <c r="F120" s="27" t="s">
        <v>203</v>
      </c>
      <c r="G120" s="10">
        <v>25</v>
      </c>
      <c r="H120" s="36" t="s">
        <v>344</v>
      </c>
      <c r="I120" s="37" t="s">
        <v>269</v>
      </c>
      <c r="J120" s="37" t="s">
        <v>270</v>
      </c>
      <c r="K120" s="27" t="s">
        <v>1445</v>
      </c>
      <c r="L120" s="27" t="s">
        <v>1445</v>
      </c>
      <c r="M120" s="27" t="s">
        <v>1707</v>
      </c>
      <c r="N120" s="27" t="s">
        <v>2029</v>
      </c>
      <c r="O120" s="30" t="s">
        <v>2385</v>
      </c>
      <c r="P120" s="1" t="s">
        <v>264</v>
      </c>
      <c r="Q120" s="29" t="s">
        <v>265</v>
      </c>
      <c r="R120" s="48" t="s">
        <v>2030</v>
      </c>
      <c r="S120" s="27" t="s">
        <v>1497</v>
      </c>
    </row>
    <row r="121" spans="1:19" ht="24" customHeight="1">
      <c r="A121" s="27"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EVT-2026-1114</v>
      </c>
      <c r="B121" s="30">
        <v>46260</v>
      </c>
      <c r="C121" s="27" t="s">
        <v>201</v>
      </c>
      <c r="D121" s="27" t="s">
        <v>208</v>
      </c>
      <c r="E121" s="27" t="s">
        <v>1366</v>
      </c>
      <c r="F121" s="27" t="s">
        <v>217</v>
      </c>
      <c r="G121" s="10">
        <v>50</v>
      </c>
      <c r="H121" s="36" t="s">
        <v>263</v>
      </c>
      <c r="I121" s="37" t="s">
        <v>309</v>
      </c>
      <c r="J121" s="37" t="s">
        <v>296</v>
      </c>
      <c r="K121" s="27" t="s">
        <v>1445</v>
      </c>
      <c r="L121" s="27" t="s">
        <v>1445</v>
      </c>
      <c r="M121" s="27" t="s">
        <v>1080</v>
      </c>
      <c r="N121" s="27" t="s">
        <v>1949</v>
      </c>
      <c r="O121" s="30" t="s">
        <v>2385</v>
      </c>
      <c r="P121" s="1" t="s">
        <v>264</v>
      </c>
      <c r="Q121" s="29" t="s">
        <v>265</v>
      </c>
      <c r="R121" s="48" t="s">
        <v>2384</v>
      </c>
      <c r="S121" s="27" t="s">
        <v>1497</v>
      </c>
    </row>
    <row r="122" spans="1:19" ht="24" customHeight="1">
      <c r="A122" s="27"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EVT-2026-1115</v>
      </c>
      <c r="B122" s="30">
        <v>46260</v>
      </c>
      <c r="C122" s="27" t="s">
        <v>201</v>
      </c>
      <c r="D122" s="27" t="s">
        <v>228</v>
      </c>
      <c r="E122" s="27" t="s">
        <v>125</v>
      </c>
      <c r="F122" s="27" t="s">
        <v>2395</v>
      </c>
      <c r="G122" s="10">
        <v>120</v>
      </c>
      <c r="H122" s="38" t="s">
        <v>294</v>
      </c>
      <c r="I122" s="37" t="s">
        <v>315</v>
      </c>
      <c r="J122" s="37" t="s">
        <v>354</v>
      </c>
      <c r="K122" s="27" t="s">
        <v>2396</v>
      </c>
      <c r="L122" s="27" t="s">
        <v>2388</v>
      </c>
      <c r="M122" s="27" t="s">
        <v>2397</v>
      </c>
      <c r="N122" s="27" t="s">
        <v>1786</v>
      </c>
      <c r="O122" s="30" t="s">
        <v>2383</v>
      </c>
      <c r="P122" s="1" t="s">
        <v>264</v>
      </c>
      <c r="Q122" s="28" t="s">
        <v>1807</v>
      </c>
      <c r="R122" s="48" t="s">
        <v>2398</v>
      </c>
      <c r="S122" s="27" t="s">
        <v>2350</v>
      </c>
    </row>
    <row r="123" spans="1:19" ht="24" customHeight="1">
      <c r="A123" s="27" t="s">
        <v>207</v>
      </c>
      <c r="B123" s="30">
        <v>46260</v>
      </c>
      <c r="C123" s="27" t="s">
        <v>201</v>
      </c>
      <c r="D123" s="27" t="s">
        <v>228</v>
      </c>
      <c r="E123" s="27" t="s">
        <v>125</v>
      </c>
      <c r="F123" s="27" t="s">
        <v>2399</v>
      </c>
      <c r="G123" s="10">
        <v>75</v>
      </c>
      <c r="H123" s="36" t="s">
        <v>263</v>
      </c>
      <c r="I123" s="37" t="s">
        <v>896</v>
      </c>
      <c r="J123" s="37" t="s">
        <v>981</v>
      </c>
      <c r="K123" s="27" t="s">
        <v>1445</v>
      </c>
      <c r="L123" s="27" t="s">
        <v>1394</v>
      </c>
      <c r="M123" s="27" t="s">
        <v>560</v>
      </c>
      <c r="N123" s="27" t="s">
        <v>2042</v>
      </c>
      <c r="O123" s="30">
        <v>46252</v>
      </c>
      <c r="P123" s="1" t="s">
        <v>264</v>
      </c>
      <c r="Q123" s="28" t="s">
        <v>1807</v>
      </c>
      <c r="R123" s="48" t="s">
        <v>298</v>
      </c>
      <c r="S123" s="27" t="s">
        <v>2350</v>
      </c>
    </row>
    <row r="124" spans="1:19" ht="24" customHeight="1">
      <c r="A124" s="27" t="s">
        <v>2400</v>
      </c>
      <c r="B124" s="30">
        <v>46260</v>
      </c>
      <c r="C124" s="27" t="s">
        <v>201</v>
      </c>
      <c r="D124" s="27" t="s">
        <v>202</v>
      </c>
      <c r="E124" s="27" t="s">
        <v>2401</v>
      </c>
      <c r="F124" s="27" t="s">
        <v>212</v>
      </c>
      <c r="G124" s="10">
        <v>80</v>
      </c>
      <c r="H124" s="36" t="s">
        <v>263</v>
      </c>
      <c r="I124" s="37" t="s">
        <v>331</v>
      </c>
      <c r="J124" s="37" t="s">
        <v>275</v>
      </c>
      <c r="K124" s="27" t="s">
        <v>1445</v>
      </c>
      <c r="L124" s="27" t="s">
        <v>1445</v>
      </c>
      <c r="M124" s="27" t="s">
        <v>615</v>
      </c>
      <c r="N124" s="27" t="s">
        <v>2044</v>
      </c>
      <c r="O124" s="30">
        <v>46255</v>
      </c>
      <c r="P124" s="1" t="s">
        <v>264</v>
      </c>
      <c r="Q124" s="28" t="s">
        <v>1807</v>
      </c>
      <c r="R124" s="48" t="s">
        <v>2402</v>
      </c>
      <c r="S124" s="27" t="s">
        <v>1846</v>
      </c>
    </row>
    <row r="125" spans="1:19" ht="24" customHeight="1">
      <c r="A125" s="27" t="s">
        <v>2400</v>
      </c>
      <c r="B125" s="30">
        <v>46260</v>
      </c>
      <c r="C125" s="27" t="s">
        <v>201</v>
      </c>
      <c r="D125" s="27" t="s">
        <v>202</v>
      </c>
      <c r="E125" s="27" t="s">
        <v>2401</v>
      </c>
      <c r="F125" s="27" t="s">
        <v>2403</v>
      </c>
      <c r="G125" s="10">
        <v>70</v>
      </c>
      <c r="H125" s="36" t="s">
        <v>263</v>
      </c>
      <c r="I125" s="37" t="s">
        <v>2404</v>
      </c>
      <c r="J125" s="37" t="s">
        <v>2405</v>
      </c>
      <c r="K125" s="27" t="s">
        <v>1445</v>
      </c>
      <c r="L125" s="27" t="s">
        <v>2388</v>
      </c>
      <c r="M125" s="27" t="s">
        <v>1629</v>
      </c>
      <c r="N125" s="27" t="s">
        <v>2406</v>
      </c>
      <c r="O125" s="30">
        <v>46258</v>
      </c>
      <c r="P125" s="44" t="s">
        <v>312</v>
      </c>
      <c r="Q125" s="29" t="s">
        <v>265</v>
      </c>
      <c r="R125" s="48" t="s">
        <v>298</v>
      </c>
      <c r="S125" s="27" t="s">
        <v>2350</v>
      </c>
    </row>
    <row r="126" spans="1:19" ht="24" customHeight="1">
      <c r="A126" s="27" t="s">
        <v>2400</v>
      </c>
      <c r="B126" s="30">
        <v>46260</v>
      </c>
      <c r="C126" s="27" t="s">
        <v>201</v>
      </c>
      <c r="D126" s="27" t="s">
        <v>228</v>
      </c>
      <c r="E126" s="27" t="s">
        <v>2386</v>
      </c>
      <c r="F126" s="27" t="s">
        <v>203</v>
      </c>
      <c r="G126" s="10">
        <v>18</v>
      </c>
      <c r="H126" s="36" t="s">
        <v>263</v>
      </c>
      <c r="I126" s="37" t="s">
        <v>269</v>
      </c>
      <c r="J126" s="37" t="s">
        <v>270</v>
      </c>
      <c r="K126" s="27" t="s">
        <v>1445</v>
      </c>
      <c r="L126" s="27" t="s">
        <v>1445</v>
      </c>
      <c r="M126" s="27" t="s">
        <v>1707</v>
      </c>
      <c r="N126" s="27" t="s">
        <v>2029</v>
      </c>
      <c r="O126" s="30" t="s">
        <v>2385</v>
      </c>
      <c r="P126" s="1" t="s">
        <v>264</v>
      </c>
      <c r="Q126" s="29" t="s">
        <v>265</v>
      </c>
      <c r="R126" s="48" t="s">
        <v>2030</v>
      </c>
      <c r="S126" s="27" t="s">
        <v>1497</v>
      </c>
    </row>
    <row r="127" spans="1:19" ht="24" customHeight="1">
      <c r="A127" s="27"/>
      <c r="B127" s="30"/>
      <c r="C127" s="27"/>
      <c r="D127" s="27"/>
      <c r="E127" s="27"/>
      <c r="F127" s="27"/>
      <c r="G127" s="10"/>
      <c r="H127" s="36"/>
      <c r="I127" s="36"/>
      <c r="J127" s="36"/>
      <c r="K127" s="36"/>
      <c r="L127" s="27"/>
      <c r="M127" s="27"/>
      <c r="N127" s="27"/>
      <c r="O127" s="30"/>
      <c r="P127" s="45"/>
      <c r="Q127" s="42"/>
      <c r="R127" s="48"/>
      <c r="S127" s="27"/>
    </row>
    <row r="128" spans="1:19" ht="24" customHeight="1">
      <c r="A128" s="27" t="str">
        <f ca="1">IF(OR(D128&lt;&gt;"", F128&lt;&gt;"", L128&lt;&gt;"", O128&lt;&gt;""),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EVT-2026-1120</v>
      </c>
      <c r="B128" s="30">
        <v>46261</v>
      </c>
      <c r="C128" s="27" t="s">
        <v>216</v>
      </c>
      <c r="D128" s="27" t="s">
        <v>202</v>
      </c>
      <c r="E128" s="27" t="s">
        <v>736</v>
      </c>
      <c r="F128" s="27" t="s">
        <v>203</v>
      </c>
      <c r="G128" s="10">
        <v>55</v>
      </c>
      <c r="H128" s="36" t="s">
        <v>263</v>
      </c>
      <c r="I128" s="37" t="s">
        <v>269</v>
      </c>
      <c r="J128" s="37" t="s">
        <v>270</v>
      </c>
      <c r="K128" s="27" t="s">
        <v>1445</v>
      </c>
      <c r="L128" s="27" t="s">
        <v>1445</v>
      </c>
      <c r="M128" s="27" t="s">
        <v>1707</v>
      </c>
      <c r="N128" s="27" t="s">
        <v>1688</v>
      </c>
      <c r="O128" s="30" t="s">
        <v>2385</v>
      </c>
      <c r="P128" s="1" t="s">
        <v>264</v>
      </c>
      <c r="Q128" s="29" t="s">
        <v>265</v>
      </c>
      <c r="R128" s="48" t="s">
        <v>2030</v>
      </c>
      <c r="S128" s="27" t="s">
        <v>1497</v>
      </c>
    </row>
    <row r="129" spans="1:61" ht="24" customHeight="1">
      <c r="A129" s="27"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EVT-2026-1121</v>
      </c>
      <c r="B129" s="30">
        <v>46261</v>
      </c>
      <c r="C129" s="27" t="s">
        <v>216</v>
      </c>
      <c r="D129" s="27" t="s">
        <v>1260</v>
      </c>
      <c r="E129" s="27" t="s">
        <v>2018</v>
      </c>
      <c r="F129" s="27" t="s">
        <v>203</v>
      </c>
      <c r="G129" s="10">
        <v>25</v>
      </c>
      <c r="H129" s="36" t="s">
        <v>263</v>
      </c>
      <c r="I129" s="37" t="s">
        <v>269</v>
      </c>
      <c r="J129" s="37" t="s">
        <v>270</v>
      </c>
      <c r="K129" s="27" t="s">
        <v>1445</v>
      </c>
      <c r="L129" s="27" t="s">
        <v>1445</v>
      </c>
      <c r="M129" s="27" t="s">
        <v>1707</v>
      </c>
      <c r="N129" s="27" t="s">
        <v>2029</v>
      </c>
      <c r="O129" s="30" t="s">
        <v>2385</v>
      </c>
      <c r="P129" s="1" t="s">
        <v>264</v>
      </c>
      <c r="Q129" s="29" t="s">
        <v>265</v>
      </c>
      <c r="R129" s="48" t="s">
        <v>2030</v>
      </c>
      <c r="S129" s="27" t="s">
        <v>1497</v>
      </c>
    </row>
    <row r="130" spans="1:61" ht="24" customHeight="1">
      <c r="A130" s="27"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EVT-2026-1122</v>
      </c>
      <c r="B130" s="30">
        <v>46261</v>
      </c>
      <c r="C130" s="27" t="s">
        <v>216</v>
      </c>
      <c r="D130" s="27" t="s">
        <v>228</v>
      </c>
      <c r="E130" s="27" t="s">
        <v>125</v>
      </c>
      <c r="F130" s="27" t="s">
        <v>658</v>
      </c>
      <c r="G130" s="10">
        <v>60</v>
      </c>
      <c r="H130" s="36" t="s">
        <v>263</v>
      </c>
      <c r="I130" s="37" t="s">
        <v>2046</v>
      </c>
      <c r="J130" s="37" t="s">
        <v>270</v>
      </c>
      <c r="K130" s="27" t="s">
        <v>382</v>
      </c>
      <c r="L130" s="27" t="s">
        <v>2407</v>
      </c>
      <c r="M130" s="27" t="s">
        <v>1606</v>
      </c>
      <c r="N130" s="27" t="s">
        <v>2048</v>
      </c>
      <c r="O130" s="27"/>
      <c r="P130" s="44" t="s">
        <v>312</v>
      </c>
      <c r="Q130" s="29" t="s">
        <v>265</v>
      </c>
      <c r="R130" s="48" t="s">
        <v>298</v>
      </c>
      <c r="S130" s="27" t="s">
        <v>1497</v>
      </c>
    </row>
    <row r="131" spans="1:61" ht="24" customHeight="1">
      <c r="A131" s="27"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EVT-2026-1123</v>
      </c>
      <c r="B131" s="30">
        <v>46261</v>
      </c>
      <c r="C131" s="27" t="s">
        <v>216</v>
      </c>
      <c r="D131" s="27" t="s">
        <v>208</v>
      </c>
      <c r="E131" s="27" t="s">
        <v>1366</v>
      </c>
      <c r="F131" s="27" t="s">
        <v>217</v>
      </c>
      <c r="G131" s="10">
        <v>50</v>
      </c>
      <c r="H131" s="36" t="s">
        <v>263</v>
      </c>
      <c r="I131" s="37" t="s">
        <v>309</v>
      </c>
      <c r="J131" s="37" t="s">
        <v>296</v>
      </c>
      <c r="K131" s="27" t="s">
        <v>1445</v>
      </c>
      <c r="L131" s="27" t="s">
        <v>1445</v>
      </c>
      <c r="M131" s="27" t="s">
        <v>1080</v>
      </c>
      <c r="N131" s="27" t="s">
        <v>1949</v>
      </c>
      <c r="O131" s="27"/>
      <c r="P131" s="1" t="s">
        <v>264</v>
      </c>
      <c r="Q131" s="29" t="s">
        <v>265</v>
      </c>
      <c r="R131" s="48" t="s">
        <v>298</v>
      </c>
      <c r="S131" s="27" t="s">
        <v>1497</v>
      </c>
    </row>
    <row r="132" spans="1:61" ht="24" customHeight="1">
      <c r="A132" s="27"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EVT-2026-1124</v>
      </c>
      <c r="B132" s="30">
        <v>46261</v>
      </c>
      <c r="C132" s="27" t="s">
        <v>216</v>
      </c>
      <c r="D132" s="27" t="s">
        <v>228</v>
      </c>
      <c r="E132" s="27" t="s">
        <v>2386</v>
      </c>
      <c r="F132" s="27" t="s">
        <v>203</v>
      </c>
      <c r="G132" s="10">
        <v>18</v>
      </c>
      <c r="H132" s="36" t="s">
        <v>263</v>
      </c>
      <c r="I132" s="37" t="s">
        <v>269</v>
      </c>
      <c r="J132" s="37" t="s">
        <v>270</v>
      </c>
      <c r="K132" s="27" t="s">
        <v>1445</v>
      </c>
      <c r="L132" s="27" t="s">
        <v>1445</v>
      </c>
      <c r="M132" s="27" t="s">
        <v>1707</v>
      </c>
      <c r="N132" s="27" t="s">
        <v>2029</v>
      </c>
      <c r="O132" s="30" t="s">
        <v>2385</v>
      </c>
      <c r="P132" s="1" t="s">
        <v>264</v>
      </c>
      <c r="Q132" s="29" t="s">
        <v>265</v>
      </c>
      <c r="R132" s="48" t="s">
        <v>2030</v>
      </c>
      <c r="S132" s="27" t="s">
        <v>1497</v>
      </c>
    </row>
    <row r="133" spans="1:61" ht="24" customHeight="1">
      <c r="A133" s="27"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EVT-2026-1125</v>
      </c>
      <c r="B133" s="30">
        <v>46261</v>
      </c>
      <c r="C133" s="27" t="s">
        <v>216</v>
      </c>
      <c r="D133" s="27" t="s">
        <v>228</v>
      </c>
      <c r="E133" s="47" t="s">
        <v>125</v>
      </c>
      <c r="F133" s="27" t="s">
        <v>2408</v>
      </c>
      <c r="G133" s="10">
        <v>90</v>
      </c>
      <c r="H133" s="36" t="s">
        <v>263</v>
      </c>
      <c r="I133" s="37">
        <v>0.375</v>
      </c>
      <c r="J133" s="37">
        <v>0.54166666666666663</v>
      </c>
      <c r="K133" s="47" t="s">
        <v>1445</v>
      </c>
      <c r="L133" s="27" t="s">
        <v>1445</v>
      </c>
      <c r="M133" s="27" t="s">
        <v>2409</v>
      </c>
      <c r="N133" s="27" t="s">
        <v>2410</v>
      </c>
      <c r="O133" s="30"/>
      <c r="P133" s="44" t="s">
        <v>312</v>
      </c>
      <c r="Q133" s="29" t="s">
        <v>265</v>
      </c>
      <c r="R133" s="48" t="s">
        <v>298</v>
      </c>
      <c r="S133" s="27" t="s">
        <v>1846</v>
      </c>
    </row>
    <row r="134" spans="1:61" ht="24" customHeight="1">
      <c r="A134" s="27"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EVT-2026-1126</v>
      </c>
      <c r="B134" s="30">
        <v>46262</v>
      </c>
      <c r="C134" s="27" t="s">
        <v>220</v>
      </c>
      <c r="D134" s="27" t="s">
        <v>228</v>
      </c>
      <c r="E134" s="27" t="s">
        <v>125</v>
      </c>
      <c r="F134" s="27" t="s">
        <v>337</v>
      </c>
      <c r="G134" s="10">
        <v>190</v>
      </c>
      <c r="H134" s="38" t="s">
        <v>294</v>
      </c>
      <c r="I134" s="37" t="s">
        <v>274</v>
      </c>
      <c r="J134" s="37" t="s">
        <v>330</v>
      </c>
      <c r="K134" s="27" t="s">
        <v>382</v>
      </c>
      <c r="L134" s="27" t="s">
        <v>2049</v>
      </c>
      <c r="M134" s="27" t="s">
        <v>811</v>
      </c>
      <c r="N134" s="27" t="s">
        <v>2050</v>
      </c>
      <c r="O134" s="27"/>
      <c r="P134" s="44" t="s">
        <v>312</v>
      </c>
      <c r="Q134" s="29" t="s">
        <v>265</v>
      </c>
      <c r="R134" s="48" t="s">
        <v>1858</v>
      </c>
      <c r="S134" s="27" t="s">
        <v>1497</v>
      </c>
    </row>
    <row r="135" spans="1:61" ht="24" customHeight="1">
      <c r="A135" s="27"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EVT-2026-1127</v>
      </c>
      <c r="B135" s="30">
        <v>46262</v>
      </c>
      <c r="C135" s="27" t="s">
        <v>220</v>
      </c>
      <c r="D135" s="27" t="s">
        <v>228</v>
      </c>
      <c r="E135" s="27" t="s">
        <v>125</v>
      </c>
      <c r="F135" s="27" t="s">
        <v>2051</v>
      </c>
      <c r="G135" s="10" t="s">
        <v>2411</v>
      </c>
      <c r="H135" s="36" t="s">
        <v>263</v>
      </c>
      <c r="I135" s="37" t="s">
        <v>354</v>
      </c>
      <c r="J135" s="37" t="s">
        <v>309</v>
      </c>
      <c r="K135" s="27" t="s">
        <v>1445</v>
      </c>
      <c r="L135" s="27" t="s">
        <v>2052</v>
      </c>
      <c r="M135" s="27" t="s">
        <v>2412</v>
      </c>
      <c r="N135" s="27" t="s">
        <v>1645</v>
      </c>
      <c r="O135" s="30" t="s">
        <v>2385</v>
      </c>
      <c r="P135" s="3" t="s">
        <v>312</v>
      </c>
      <c r="Q135" s="29" t="s">
        <v>265</v>
      </c>
      <c r="R135" s="48" t="s">
        <v>2052</v>
      </c>
      <c r="S135" s="27" t="s">
        <v>1497</v>
      </c>
    </row>
    <row r="136" spans="1:61" ht="24" customHeight="1">
      <c r="A136" s="27"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EVT-2026-1128</v>
      </c>
      <c r="B136" s="30">
        <v>46262</v>
      </c>
      <c r="C136" s="27" t="s">
        <v>220</v>
      </c>
      <c r="D136" s="27" t="s">
        <v>228</v>
      </c>
      <c r="E136" s="27" t="s">
        <v>125</v>
      </c>
      <c r="F136" s="27" t="s">
        <v>2053</v>
      </c>
      <c r="G136" s="10">
        <v>60</v>
      </c>
      <c r="H136" s="36" t="s">
        <v>263</v>
      </c>
      <c r="I136" s="37" t="s">
        <v>1405</v>
      </c>
      <c r="J136" s="37" t="s">
        <v>270</v>
      </c>
      <c r="K136" s="27" t="s">
        <v>382</v>
      </c>
      <c r="L136" s="27" t="s">
        <v>2047</v>
      </c>
      <c r="M136" s="27" t="s">
        <v>2413</v>
      </c>
      <c r="N136" s="27" t="s">
        <v>2048</v>
      </c>
      <c r="O136" s="30">
        <v>46252</v>
      </c>
      <c r="P136" s="44" t="s">
        <v>312</v>
      </c>
      <c r="Q136" s="29" t="s">
        <v>265</v>
      </c>
      <c r="R136" s="48" t="s">
        <v>298</v>
      </c>
      <c r="S136" s="27" t="s">
        <v>2350</v>
      </c>
      <c r="BI136" t="s">
        <v>1651</v>
      </c>
    </row>
    <row r="137" spans="1:61" ht="24" customHeight="1">
      <c r="A137" s="27"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EVT-2026-1129</v>
      </c>
      <c r="B137" s="30">
        <v>46262</v>
      </c>
      <c r="C137" s="27" t="s">
        <v>220</v>
      </c>
      <c r="D137" s="27" t="s">
        <v>228</v>
      </c>
      <c r="E137" s="27" t="s">
        <v>125</v>
      </c>
      <c r="F137" s="27" t="s">
        <v>353</v>
      </c>
      <c r="G137" s="10">
        <v>60</v>
      </c>
      <c r="H137" s="36" t="s">
        <v>263</v>
      </c>
      <c r="I137" s="37" t="s">
        <v>295</v>
      </c>
      <c r="J137" s="37" t="s">
        <v>296</v>
      </c>
      <c r="K137" s="27" t="s">
        <v>1445</v>
      </c>
      <c r="L137" s="27" t="s">
        <v>1445</v>
      </c>
      <c r="M137" s="27" t="s">
        <v>2054</v>
      </c>
      <c r="N137" s="27" t="s">
        <v>2055</v>
      </c>
      <c r="O137" s="27"/>
      <c r="P137" s="3" t="s">
        <v>312</v>
      </c>
      <c r="Q137" s="29" t="s">
        <v>265</v>
      </c>
      <c r="R137" s="48" t="s">
        <v>298</v>
      </c>
      <c r="S137" s="27"/>
      <c r="BI137" t="s">
        <v>344</v>
      </c>
    </row>
    <row r="138" spans="1:61" ht="24" customHeight="1">
      <c r="A138" s="27"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EVT-2026-1130</v>
      </c>
      <c r="B138" s="30">
        <v>46262</v>
      </c>
      <c r="C138" s="27" t="s">
        <v>220</v>
      </c>
      <c r="D138" s="27" t="s">
        <v>202</v>
      </c>
      <c r="E138" s="27" t="s">
        <v>736</v>
      </c>
      <c r="F138" s="27" t="s">
        <v>203</v>
      </c>
      <c r="G138" s="10">
        <v>50</v>
      </c>
      <c r="H138" s="36" t="s">
        <v>263</v>
      </c>
      <c r="I138" s="37" t="s">
        <v>269</v>
      </c>
      <c r="J138" s="37" t="s">
        <v>270</v>
      </c>
      <c r="K138" s="27" t="s">
        <v>1445</v>
      </c>
      <c r="L138" s="27" t="s">
        <v>1445</v>
      </c>
      <c r="M138" s="27" t="s">
        <v>1707</v>
      </c>
      <c r="N138" s="27" t="s">
        <v>2029</v>
      </c>
      <c r="O138" s="30" t="s">
        <v>2385</v>
      </c>
      <c r="P138" s="1" t="s">
        <v>264</v>
      </c>
      <c r="Q138" s="29" t="s">
        <v>265</v>
      </c>
      <c r="R138" s="48" t="s">
        <v>2030</v>
      </c>
      <c r="S138" s="27" t="s">
        <v>1497</v>
      </c>
    </row>
    <row r="139" spans="1:61" ht="24" customHeight="1">
      <c r="A139" s="27" t="str">
        <f ca="1">IF(OR(D139&lt;&gt;"", F139&lt;&gt;"", L139&lt;&gt;"", O139&lt;&gt;""),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EVT-2026-1131</v>
      </c>
      <c r="B139" s="30">
        <v>46262</v>
      </c>
      <c r="C139" s="27" t="s">
        <v>220</v>
      </c>
      <c r="D139" s="27" t="s">
        <v>1260</v>
      </c>
      <c r="E139" s="27" t="s">
        <v>2018</v>
      </c>
      <c r="F139" s="27" t="s">
        <v>203</v>
      </c>
      <c r="G139" s="10">
        <v>25</v>
      </c>
      <c r="H139" s="36" t="s">
        <v>263</v>
      </c>
      <c r="I139" s="37" t="s">
        <v>269</v>
      </c>
      <c r="J139" s="37" t="s">
        <v>270</v>
      </c>
      <c r="K139" s="27" t="s">
        <v>1445</v>
      </c>
      <c r="L139" s="27" t="s">
        <v>1445</v>
      </c>
      <c r="M139" s="27" t="s">
        <v>1707</v>
      </c>
      <c r="N139" s="27" t="s">
        <v>2029</v>
      </c>
      <c r="O139" s="30" t="s">
        <v>2385</v>
      </c>
      <c r="P139" s="1" t="s">
        <v>264</v>
      </c>
      <c r="Q139" s="29" t="s">
        <v>265</v>
      </c>
      <c r="R139" s="48" t="s">
        <v>2030</v>
      </c>
      <c r="S139" s="27" t="s">
        <v>1497</v>
      </c>
    </row>
    <row r="140" spans="1:61" ht="24" customHeight="1">
      <c r="A140" s="27" t="str">
        <f ca="1">IF(OR(D140&lt;&gt;"", F140&lt;&gt;"", L140&lt;&gt;"", O140&lt;&gt;""),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EVT-2026-1132</v>
      </c>
      <c r="B140" s="30">
        <v>46262</v>
      </c>
      <c r="C140" s="27" t="s">
        <v>220</v>
      </c>
      <c r="D140" s="27" t="s">
        <v>228</v>
      </c>
      <c r="E140" s="27" t="s">
        <v>2386</v>
      </c>
      <c r="F140" s="27" t="s">
        <v>203</v>
      </c>
      <c r="G140" s="10">
        <v>18</v>
      </c>
      <c r="H140" s="36" t="s">
        <v>263</v>
      </c>
      <c r="I140" s="37" t="s">
        <v>269</v>
      </c>
      <c r="J140" s="37" t="s">
        <v>270</v>
      </c>
      <c r="K140" s="27" t="s">
        <v>1445</v>
      </c>
      <c r="L140" s="27" t="s">
        <v>1445</v>
      </c>
      <c r="M140" s="27" t="s">
        <v>1707</v>
      </c>
      <c r="N140" s="27" t="s">
        <v>2029</v>
      </c>
      <c r="O140" s="30" t="s">
        <v>2385</v>
      </c>
      <c r="P140" s="1" t="s">
        <v>264</v>
      </c>
      <c r="Q140" s="29" t="s">
        <v>265</v>
      </c>
      <c r="R140" s="48" t="s">
        <v>2030</v>
      </c>
      <c r="S140" s="27" t="s">
        <v>1497</v>
      </c>
    </row>
    <row r="141" spans="1:61" ht="24" customHeight="1">
      <c r="A141" s="27" t="str">
        <f ca="1">IF(OR(D141&lt;&gt;"", F141&lt;&gt;"", L141&lt;&gt;"", O141&lt;&gt;""),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
      </c>
      <c r="B141" s="30"/>
      <c r="C141" s="27"/>
      <c r="D141" s="27"/>
      <c r="E141" s="27"/>
      <c r="F141" s="27"/>
      <c r="G141" s="10"/>
      <c r="H141" s="36"/>
      <c r="I141" s="37"/>
      <c r="J141" s="37"/>
      <c r="K141" s="27"/>
      <c r="L141" s="27"/>
      <c r="M141" s="27"/>
      <c r="N141" s="27"/>
      <c r="O141" s="27"/>
      <c r="P141" s="40"/>
      <c r="Q141" s="29"/>
      <c r="R141" s="48"/>
      <c r="S141" s="27"/>
    </row>
    <row r="142" spans="1:61" ht="24" customHeight="1">
      <c r="A142" s="27" t="str">
        <f ca="1">IF(OR(D142&lt;&gt;"", F142&lt;&gt;"", L142&lt;&gt;"", O142&lt;&gt;""),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EVT-2026-1133</v>
      </c>
      <c r="B142" s="30">
        <v>46265</v>
      </c>
      <c r="C142" s="27" t="s">
        <v>224</v>
      </c>
      <c r="D142" s="27" t="s">
        <v>1260</v>
      </c>
      <c r="E142" s="27" t="s">
        <v>2018</v>
      </c>
      <c r="F142" s="27" t="s">
        <v>203</v>
      </c>
      <c r="G142" s="10">
        <v>25</v>
      </c>
      <c r="H142" s="36" t="s">
        <v>263</v>
      </c>
      <c r="I142" s="37" t="s">
        <v>269</v>
      </c>
      <c r="J142" s="37" t="s">
        <v>270</v>
      </c>
      <c r="K142" s="27" t="s">
        <v>1445</v>
      </c>
      <c r="L142" s="27" t="s">
        <v>1445</v>
      </c>
      <c r="M142" s="27" t="s">
        <v>1707</v>
      </c>
      <c r="N142" s="27" t="s">
        <v>2029</v>
      </c>
      <c r="O142" s="30" t="s">
        <v>2385</v>
      </c>
      <c r="P142" s="1" t="s">
        <v>264</v>
      </c>
      <c r="Q142" s="29" t="s">
        <v>265</v>
      </c>
      <c r="R142" s="48" t="s">
        <v>2030</v>
      </c>
      <c r="S142" s="27" t="s">
        <v>1497</v>
      </c>
    </row>
    <row r="143" spans="1:61" ht="24" customHeight="1">
      <c r="A143" s="27" t="str">
        <f ca="1">IF(OR(D143&lt;&gt;"", F143&lt;&gt;"", L143&lt;&gt;"", O143&lt;&gt;""),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EVT-2026-1134</v>
      </c>
      <c r="B143" s="30">
        <v>46265</v>
      </c>
      <c r="C143" s="27" t="s">
        <v>224</v>
      </c>
      <c r="D143" s="27" t="s">
        <v>202</v>
      </c>
      <c r="E143" s="27" t="s">
        <v>736</v>
      </c>
      <c r="F143" s="27" t="s">
        <v>203</v>
      </c>
      <c r="G143" s="10">
        <v>55</v>
      </c>
      <c r="H143" s="36" t="s">
        <v>263</v>
      </c>
      <c r="I143" s="37" t="s">
        <v>269</v>
      </c>
      <c r="J143" s="37" t="s">
        <v>270</v>
      </c>
      <c r="K143" s="27" t="s">
        <v>1445</v>
      </c>
      <c r="L143" s="27" t="s">
        <v>1445</v>
      </c>
      <c r="M143" s="27" t="s">
        <v>1707</v>
      </c>
      <c r="N143" s="27" t="s">
        <v>2029</v>
      </c>
      <c r="O143" s="30" t="s">
        <v>2385</v>
      </c>
      <c r="P143" s="1" t="s">
        <v>264</v>
      </c>
      <c r="Q143" s="29" t="s">
        <v>265</v>
      </c>
      <c r="R143" s="48" t="s">
        <v>2030</v>
      </c>
      <c r="S143" s="27" t="s">
        <v>1497</v>
      </c>
    </row>
    <row r="144" spans="1:61" ht="24" customHeight="1">
      <c r="A144" s="27" t="str">
        <f ca="1">IF(OR(D144&lt;&gt;"", F144&lt;&gt;"", L144&lt;&gt;"", O144&lt;&gt;""),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EVT-2026-1135</v>
      </c>
      <c r="B144" s="30">
        <v>46265</v>
      </c>
      <c r="C144" s="27" t="s">
        <v>224</v>
      </c>
      <c r="D144" s="27" t="s">
        <v>208</v>
      </c>
      <c r="E144" s="27" t="s">
        <v>2414</v>
      </c>
      <c r="F144" s="27" t="s">
        <v>1651</v>
      </c>
      <c r="G144" s="10">
        <v>1</v>
      </c>
      <c r="H144" s="36" t="s">
        <v>263</v>
      </c>
      <c r="I144" s="37">
        <v>0.45833333333333331</v>
      </c>
      <c r="J144" s="37">
        <v>0.70833333333333337</v>
      </c>
      <c r="K144" s="27" t="s">
        <v>1445</v>
      </c>
      <c r="L144" s="27" t="s">
        <v>2415</v>
      </c>
      <c r="M144" s="27" t="s">
        <v>2416</v>
      </c>
      <c r="N144" s="27" t="s">
        <v>2417</v>
      </c>
      <c r="O144" s="27" t="s">
        <v>2418</v>
      </c>
      <c r="P144" s="1" t="s">
        <v>264</v>
      </c>
      <c r="Q144" s="29" t="s">
        <v>265</v>
      </c>
      <c r="R144" s="48" t="s">
        <v>2419</v>
      </c>
      <c r="S144" s="54" t="s">
        <v>2350</v>
      </c>
    </row>
    <row r="145" spans="1:19" ht="24" customHeight="1">
      <c r="A145" s="27" t="str">
        <f ca="1">IF(OR(D145&lt;&gt;"", F145&lt;&gt;"", L145&lt;&gt;"", O145&lt;&gt;""),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COUNTIF(OFFSET($A$1, 1, 0, ROW()-2, 1), "EVT*") + 1, "0000"), "")</f>
        <v>EVT-2026-1136</v>
      </c>
      <c r="B145" s="30">
        <v>46265</v>
      </c>
      <c r="C145" s="27" t="s">
        <v>224</v>
      </c>
      <c r="D145" s="27" t="s">
        <v>228</v>
      </c>
      <c r="E145" s="27" t="s">
        <v>2386</v>
      </c>
      <c r="F145" s="27" t="s">
        <v>203</v>
      </c>
      <c r="G145" s="10">
        <v>18</v>
      </c>
      <c r="H145" s="36" t="s">
        <v>263</v>
      </c>
      <c r="I145" s="37" t="s">
        <v>269</v>
      </c>
      <c r="J145" s="37" t="s">
        <v>270</v>
      </c>
      <c r="K145" s="27" t="s">
        <v>1445</v>
      </c>
      <c r="L145" s="27" t="s">
        <v>1445</v>
      </c>
      <c r="M145" s="27" t="s">
        <v>1707</v>
      </c>
      <c r="N145" s="27" t="s">
        <v>2029</v>
      </c>
      <c r="O145" s="30" t="s">
        <v>2385</v>
      </c>
      <c r="P145" s="1" t="s">
        <v>264</v>
      </c>
      <c r="Q145" s="29" t="s">
        <v>265</v>
      </c>
      <c r="R145" s="48" t="s">
        <v>2030</v>
      </c>
      <c r="S145" s="27" t="s">
        <v>1497</v>
      </c>
    </row>
    <row r="146" spans="1:19" ht="15" customHeight="1">
      <c r="S146"/>
    </row>
    <row r="147" spans="1:19" ht="15" customHeight="1">
      <c r="S147"/>
    </row>
    <row r="148" spans="1:19" ht="15" customHeight="1">
      <c r="S148"/>
    </row>
    <row r="149" spans="1:19" ht="15" customHeight="1">
      <c r="S149"/>
    </row>
    <row r="150" spans="1:19" ht="15" customHeight="1">
      <c r="S150"/>
    </row>
    <row r="151" spans="1:19" ht="15" customHeight="1">
      <c r="S151"/>
    </row>
    <row r="152" spans="1:19" ht="15" customHeight="1">
      <c r="S152"/>
    </row>
    <row r="153" spans="1:19" ht="15" customHeight="1">
      <c r="S153"/>
    </row>
    <row r="154" spans="1:19" ht="15" customHeight="1">
      <c r="S154"/>
    </row>
    <row r="155" spans="1:19" ht="15" customHeight="1">
      <c r="S155"/>
    </row>
    <row r="156" spans="1:19" ht="15" customHeight="1">
      <c r="S156"/>
    </row>
    <row r="157" spans="1:19" ht="15" customHeight="1">
      <c r="S157"/>
    </row>
    <row r="158" spans="1:19" ht="15" customHeight="1">
      <c r="S158"/>
    </row>
    <row r="159" spans="1:19" ht="15" customHeight="1">
      <c r="S159"/>
    </row>
    <row r="160" spans="1:19" ht="15" customHeight="1">
      <c r="S160"/>
    </row>
    <row r="161" spans="19:19" ht="15" customHeight="1">
      <c r="S161"/>
    </row>
    <row r="162" spans="19:19" ht="15" customHeight="1">
      <c r="S162"/>
    </row>
    <row r="163" spans="19:19" ht="15" customHeight="1">
      <c r="S163"/>
    </row>
    <row r="164" spans="19:19" ht="15" customHeight="1">
      <c r="S164"/>
    </row>
    <row r="165" spans="19:19" ht="15" customHeight="1">
      <c r="S165"/>
    </row>
    <row r="166" spans="19:19" ht="15" customHeight="1">
      <c r="S166"/>
    </row>
    <row r="167" spans="19:19" ht="15" customHeight="1">
      <c r="S167"/>
    </row>
    <row r="168" spans="19:19" ht="15" customHeight="1">
      <c r="S168"/>
    </row>
    <row r="169" spans="19:19" ht="15" customHeight="1">
      <c r="S169"/>
    </row>
    <row r="170" spans="19:19" ht="15" customHeight="1">
      <c r="S170"/>
    </row>
    <row r="171" spans="19:19" ht="15" customHeight="1">
      <c r="S171"/>
    </row>
    <row r="172" spans="19:19" ht="15" customHeight="1">
      <c r="S172"/>
    </row>
    <row r="173" spans="19:19" ht="15" customHeight="1">
      <c r="S173"/>
    </row>
    <row r="174" spans="19:19" ht="15" customHeight="1">
      <c r="S174"/>
    </row>
    <row r="175" spans="19:19" ht="15" customHeight="1">
      <c r="S175"/>
    </row>
    <row r="176" spans="19:19" ht="15" customHeight="1">
      <c r="S176"/>
    </row>
    <row r="177" spans="19:19" ht="15" customHeight="1">
      <c r="S177"/>
    </row>
    <row r="178" spans="19:19" ht="15" customHeight="1">
      <c r="S178"/>
    </row>
    <row r="179" spans="19:19" ht="15" customHeight="1">
      <c r="S179"/>
    </row>
    <row r="180" spans="19:19" ht="15" customHeight="1">
      <c r="S180"/>
    </row>
    <row r="181" spans="19:19" ht="15" customHeight="1">
      <c r="S181"/>
    </row>
    <row r="182" spans="19:19" ht="15" customHeight="1">
      <c r="S182"/>
    </row>
    <row r="183" spans="19:19" ht="15" customHeight="1">
      <c r="S183"/>
    </row>
    <row r="184" spans="19:19" ht="15" customHeight="1">
      <c r="S184"/>
    </row>
    <row r="185" spans="19:19" ht="15" customHeight="1">
      <c r="S185"/>
    </row>
    <row r="186" spans="19:19" ht="15" customHeight="1">
      <c r="S186"/>
    </row>
    <row r="187" spans="19:19" ht="15" customHeight="1">
      <c r="S187"/>
    </row>
    <row r="188" spans="19:19" ht="15" customHeight="1">
      <c r="S188"/>
    </row>
    <row r="189" spans="19:19" ht="15" customHeight="1">
      <c r="S189"/>
    </row>
    <row r="190" spans="19:19" ht="15" customHeight="1">
      <c r="S190"/>
    </row>
    <row r="191" spans="19:19" ht="15" customHeight="1">
      <c r="S191"/>
    </row>
    <row r="192" spans="19:19" ht="15" customHeight="1">
      <c r="S192"/>
    </row>
    <row r="193" spans="19:19" ht="15" customHeight="1">
      <c r="S193"/>
    </row>
    <row r="194" spans="19:19" ht="15" customHeight="1">
      <c r="S194"/>
    </row>
    <row r="195" spans="19:19" ht="15" customHeight="1">
      <c r="S195"/>
    </row>
    <row r="196" spans="19:19" ht="15" customHeight="1">
      <c r="S196"/>
    </row>
    <row r="197" spans="19:19" ht="15" customHeight="1">
      <c r="S197"/>
    </row>
    <row r="198" spans="19:19" ht="15" customHeight="1">
      <c r="S198"/>
    </row>
    <row r="199" spans="19:19" ht="15" customHeight="1">
      <c r="S199"/>
    </row>
    <row r="200" spans="19:19" ht="15" customHeight="1">
      <c r="S200"/>
    </row>
    <row r="201" spans="19:19" ht="15" customHeight="1">
      <c r="S201"/>
    </row>
    <row r="202" spans="19:19" ht="15" customHeight="1">
      <c r="S202"/>
    </row>
    <row r="203" spans="19:19" ht="15" customHeight="1">
      <c r="S203"/>
    </row>
    <row r="204" spans="19:19" ht="15" customHeight="1">
      <c r="S204"/>
    </row>
    <row r="205" spans="19:19" ht="15" customHeight="1">
      <c r="S205"/>
    </row>
    <row r="206" spans="19:19" ht="15" customHeight="1">
      <c r="S206"/>
    </row>
    <row r="207" spans="19:19" ht="15" customHeight="1">
      <c r="S207"/>
    </row>
    <row r="208" spans="19:19" ht="15" customHeight="1">
      <c r="S208"/>
    </row>
    <row r="209" spans="19:19" ht="15" customHeight="1">
      <c r="S209"/>
    </row>
    <row r="210" spans="19:19" ht="15" customHeight="1">
      <c r="S210"/>
    </row>
    <row r="211" spans="19:19" ht="15" customHeight="1">
      <c r="S211"/>
    </row>
    <row r="212" spans="19:19" ht="15" customHeight="1">
      <c r="S212"/>
    </row>
    <row r="213" spans="19:19" ht="15" customHeight="1">
      <c r="S213"/>
    </row>
    <row r="214" spans="19:19" ht="15" customHeight="1">
      <c r="S214"/>
    </row>
    <row r="215" spans="19:19" ht="15" customHeight="1">
      <c r="S215"/>
    </row>
    <row r="216" spans="19:19" ht="15" customHeight="1">
      <c r="S216"/>
    </row>
    <row r="217" spans="19:19" ht="15" customHeight="1">
      <c r="S217"/>
    </row>
    <row r="218" spans="19:19" ht="15" customHeight="1">
      <c r="S218"/>
    </row>
    <row r="219" spans="19:19" ht="15" customHeight="1">
      <c r="S219"/>
    </row>
    <row r="220" spans="19:19" ht="15" customHeight="1">
      <c r="S220"/>
    </row>
    <row r="221" spans="19:19" ht="15" customHeight="1">
      <c r="S221"/>
    </row>
    <row r="222" spans="19:19" ht="15" customHeight="1">
      <c r="S222"/>
    </row>
    <row r="223" spans="19:19" ht="15" customHeight="1">
      <c r="S223"/>
    </row>
    <row r="224" spans="19:19" ht="15" customHeight="1">
      <c r="S224"/>
    </row>
    <row r="225" spans="19:19" ht="15" customHeight="1">
      <c r="S225"/>
    </row>
    <row r="226" spans="19:19" ht="15" customHeight="1">
      <c r="S226"/>
    </row>
    <row r="227" spans="19:19" ht="15" customHeight="1">
      <c r="S227"/>
    </row>
    <row r="228" spans="19:19" ht="15" customHeight="1">
      <c r="S228"/>
    </row>
    <row r="229" spans="19:19" ht="15" customHeight="1">
      <c r="S229"/>
    </row>
    <row r="230" spans="19:19" ht="15" customHeight="1">
      <c r="S230"/>
    </row>
    <row r="231" spans="19:19" ht="15" customHeight="1">
      <c r="S231"/>
    </row>
    <row r="232" spans="19:19" ht="15" customHeight="1">
      <c r="S232"/>
    </row>
    <row r="233" spans="19:19" ht="15" customHeight="1">
      <c r="S233"/>
    </row>
    <row r="234" spans="19:19" ht="15" customHeight="1">
      <c r="S234"/>
    </row>
    <row r="235" spans="19:19" ht="15" customHeight="1">
      <c r="S235"/>
    </row>
    <row r="236" spans="19:19" ht="15" customHeight="1">
      <c r="S236"/>
    </row>
    <row r="237" spans="19:19" ht="15" customHeight="1">
      <c r="S237"/>
    </row>
    <row r="238" spans="19:19" ht="15" customHeight="1">
      <c r="S238"/>
    </row>
    <row r="239" spans="19:19" ht="15" customHeight="1">
      <c r="S239"/>
    </row>
    <row r="240" spans="19:19" ht="15" customHeight="1">
      <c r="S240"/>
    </row>
    <row r="241" spans="19:19" ht="15" customHeight="1">
      <c r="S241"/>
    </row>
    <row r="242" spans="19:19" ht="15" customHeight="1">
      <c r="S242"/>
    </row>
    <row r="243" spans="19:19" ht="15" customHeight="1">
      <c r="S243"/>
    </row>
    <row r="244" spans="19:19" ht="15" customHeight="1">
      <c r="S244"/>
    </row>
    <row r="245" spans="19:19" ht="15" customHeight="1">
      <c r="S245"/>
    </row>
    <row r="246" spans="19:19" ht="15" customHeight="1">
      <c r="S246"/>
    </row>
    <row r="247" spans="19:19" ht="15" customHeight="1">
      <c r="S247"/>
    </row>
    <row r="248" spans="19:19" ht="15" customHeight="1">
      <c r="S248"/>
    </row>
    <row r="249" spans="19:19" ht="15" customHeight="1">
      <c r="S249"/>
    </row>
    <row r="250" spans="19:19" ht="15" customHeight="1">
      <c r="S250"/>
    </row>
    <row r="251" spans="19:19" ht="15" customHeight="1">
      <c r="S251"/>
    </row>
    <row r="252" spans="19:19" ht="15" customHeight="1">
      <c r="S252"/>
    </row>
    <row r="253" spans="19:19" ht="15" customHeight="1">
      <c r="S253"/>
    </row>
    <row r="254" spans="19:19" ht="15" customHeight="1">
      <c r="S254"/>
    </row>
    <row r="255" spans="19:19" ht="15" customHeight="1">
      <c r="S255"/>
    </row>
    <row r="256" spans="19:19" ht="15" customHeight="1">
      <c r="S256"/>
    </row>
    <row r="257" spans="19:19" ht="15" customHeight="1">
      <c r="S257"/>
    </row>
    <row r="258" spans="19:19" ht="15" customHeight="1">
      <c r="S258"/>
    </row>
    <row r="259" spans="19:19" ht="15" customHeight="1">
      <c r="S259"/>
    </row>
    <row r="260" spans="19:19" ht="15" customHeight="1">
      <c r="S260"/>
    </row>
    <row r="261" spans="19:19" ht="15" customHeight="1">
      <c r="S261"/>
    </row>
    <row r="262" spans="19:19" ht="15" customHeight="1">
      <c r="S262"/>
    </row>
    <row r="263" spans="19:19" ht="15" customHeight="1">
      <c r="S263"/>
    </row>
    <row r="264" spans="19:19" ht="15" customHeight="1">
      <c r="S264"/>
    </row>
    <row r="265" spans="19:19" ht="15" customHeight="1">
      <c r="S265"/>
    </row>
    <row r="266" spans="19:19" ht="15" customHeight="1">
      <c r="S266"/>
    </row>
    <row r="267" spans="19:19" ht="15" customHeight="1">
      <c r="S267"/>
    </row>
    <row r="268" spans="19:19" ht="15" customHeight="1">
      <c r="S268"/>
    </row>
    <row r="269" spans="19:19" ht="15" customHeight="1">
      <c r="S269"/>
    </row>
    <row r="270" spans="19:19" ht="15" customHeight="1">
      <c r="S270" s="57"/>
    </row>
    <row r="271" spans="19:19" ht="15" customHeight="1">
      <c r="S271" s="59"/>
    </row>
    <row r="272" spans="19:19" ht="15" customHeight="1">
      <c r="S272"/>
    </row>
    <row r="273" spans="19:19" ht="15" customHeight="1">
      <c r="S273"/>
    </row>
    <row r="274" spans="19:19" ht="15" customHeight="1">
      <c r="S274"/>
    </row>
    <row r="275" spans="19:19" ht="15" customHeight="1">
      <c r="S275"/>
    </row>
    <row r="276" spans="19:19" ht="15" customHeight="1">
      <c r="S276"/>
    </row>
    <row r="277" spans="19:19" ht="15" customHeight="1">
      <c r="S277"/>
    </row>
    <row r="278" spans="19:19" ht="15" customHeight="1">
      <c r="S278"/>
    </row>
    <row r="279" spans="19:19" ht="15" customHeight="1">
      <c r="S279"/>
    </row>
    <row r="280" spans="19:19" ht="15" customHeight="1">
      <c r="S280"/>
    </row>
    <row r="281" spans="19:19" ht="15" customHeight="1">
      <c r="S281"/>
    </row>
    <row r="282" spans="19:19" ht="15" customHeight="1">
      <c r="S282"/>
    </row>
    <row r="283" spans="19:19" ht="15" customHeight="1">
      <c r="S283"/>
    </row>
    <row r="284" spans="19:19" ht="15" customHeight="1">
      <c r="S284"/>
    </row>
    <row r="285" spans="19:19" ht="15" customHeight="1">
      <c r="S285"/>
    </row>
    <row r="286" spans="19:19" ht="15" customHeight="1">
      <c r="S286"/>
    </row>
    <row r="287" spans="19:19" ht="15" customHeight="1">
      <c r="S287"/>
    </row>
    <row r="288" spans="19:19" ht="15" customHeight="1">
      <c r="S288"/>
    </row>
    <row r="289" spans="19:19" ht="15" customHeight="1">
      <c r="S289"/>
    </row>
    <row r="290" spans="19:19" ht="15" customHeight="1">
      <c r="S290"/>
    </row>
    <row r="291" spans="19:19" ht="15" customHeight="1">
      <c r="S291"/>
    </row>
    <row r="292" spans="19:19" ht="15" customHeight="1">
      <c r="S292"/>
    </row>
    <row r="293" spans="19:19" ht="15" customHeight="1">
      <c r="S293"/>
    </row>
    <row r="294" spans="19:19" ht="15" customHeight="1">
      <c r="S294"/>
    </row>
    <row r="295" spans="19:19" ht="15" customHeight="1">
      <c r="S295"/>
    </row>
    <row r="296" spans="19:19" ht="15" customHeight="1">
      <c r="S296"/>
    </row>
    <row r="297" spans="19:19" ht="15" customHeight="1">
      <c r="S297"/>
    </row>
    <row r="298" spans="19:19" ht="15" customHeight="1">
      <c r="S298"/>
    </row>
    <row r="299" spans="19:19" ht="15" customHeight="1">
      <c r="S299"/>
    </row>
    <row r="300" spans="19:19" ht="15" customHeight="1">
      <c r="S300"/>
    </row>
    <row r="301" spans="19:19" ht="15" customHeight="1">
      <c r="S301"/>
    </row>
    <row r="302" spans="19:19" ht="15" customHeight="1">
      <c r="S302"/>
    </row>
    <row r="303" spans="19:19" ht="15" customHeight="1">
      <c r="S303"/>
    </row>
    <row r="304" spans="19:19" ht="15" customHeight="1">
      <c r="S304"/>
    </row>
    <row r="305" spans="19:19" ht="15" customHeight="1">
      <c r="S305"/>
    </row>
    <row r="306" spans="19:19" ht="15" customHeight="1">
      <c r="S306"/>
    </row>
    <row r="307" spans="19:19" ht="15" customHeight="1">
      <c r="S307"/>
    </row>
    <row r="308" spans="19:19" ht="15" customHeight="1">
      <c r="S308"/>
    </row>
    <row r="309" spans="19:19" ht="15" customHeight="1">
      <c r="S309"/>
    </row>
    <row r="310" spans="19:19" ht="15" customHeight="1">
      <c r="S310"/>
    </row>
    <row r="311" spans="19:19" ht="15" customHeight="1">
      <c r="S311"/>
    </row>
    <row r="312" spans="19:19" ht="15" customHeight="1">
      <c r="S312"/>
    </row>
    <row r="313" spans="19:19" ht="15" customHeight="1">
      <c r="S313"/>
    </row>
    <row r="314" spans="19:19" ht="15" customHeight="1">
      <c r="S314"/>
    </row>
    <row r="315" spans="19:19" ht="15" customHeight="1">
      <c r="S315"/>
    </row>
    <row r="316" spans="19:19" ht="15" customHeight="1">
      <c r="S316"/>
    </row>
    <row r="317" spans="19:19" ht="15" customHeight="1">
      <c r="S317"/>
    </row>
    <row r="318" spans="19:19" ht="15" customHeight="1">
      <c r="S318"/>
    </row>
    <row r="319" spans="19:19" ht="15" customHeight="1">
      <c r="S319"/>
    </row>
    <row r="320" spans="19:19" ht="15" customHeight="1">
      <c r="S320"/>
    </row>
    <row r="321" spans="19:19" ht="15" customHeight="1">
      <c r="S321"/>
    </row>
    <row r="322" spans="19:19" ht="15" customHeight="1">
      <c r="S322"/>
    </row>
    <row r="323" spans="19:19" ht="15" customHeight="1">
      <c r="S323"/>
    </row>
    <row r="324" spans="19:19" ht="15" customHeight="1">
      <c r="S324"/>
    </row>
    <row r="325" spans="19:19" ht="15" customHeight="1">
      <c r="S325"/>
    </row>
    <row r="326" spans="19:19" ht="15" customHeight="1">
      <c r="S326"/>
    </row>
    <row r="327" spans="19:19" ht="15" customHeight="1">
      <c r="S327"/>
    </row>
    <row r="328" spans="19:19" ht="15" customHeight="1">
      <c r="S328" s="57"/>
    </row>
  </sheetData>
  <autoFilter ref="P1:P328" xr:uid="{00000000-0001-0000-1100-000000000000}"/>
  <mergeCells count="3">
    <mergeCell ref="O1:S1"/>
    <mergeCell ref="A1:C1"/>
    <mergeCell ref="D1:N1"/>
  </mergeCells>
  <dataValidations count="5">
    <dataValidation type="list" allowBlank="1" showInputMessage="1" showErrorMessage="1" sqref="T3" xr:uid="{4F673FE3-0EA4-4FCB-B50F-68B398A2522D}">
      <formula1>$BI$136:$BI$137</formula1>
    </dataValidation>
    <dataValidation type="list" allowBlank="1" sqref="O3:O525 P3:P145" xr:uid="{00000000-0002-0000-1100-000000000000}">
      <formula1>"Confirmed (Done),Pending Calendar Booking,Canceled"</formula1>
    </dataValidation>
    <dataValidation type="list" allowBlank="1" sqref="P3:P195" xr:uid="{00000000-0002-0000-1100-000001000000}">
      <formula1>"Form sent,NA"</formula1>
    </dataValidation>
    <dataValidation type="list" allowBlank="1" sqref="Q3:Q145" xr:uid="{00000000-0002-0000-1100-000002000000}">
      <formula1>"Form sent,Not Required,NA"</formula1>
    </dataValidation>
    <dataValidation type="list" allowBlank="1" sqref="H2:H1048576 I127:K127" xr:uid="{653B7C0E-4F86-4021-8DC1-FB93029C87C3}">
      <formula1>"Big Event,Small Event,Training,AU Visit"</formula1>
    </dataValidation>
  </dataValidations>
  <hyperlinks>
    <hyperlink ref="A1" location="'Dashboard'!A1" display="🏠 ⮌ RETURN TO DASHBOARD" xr:uid="{00000000-0004-0000-1100-000000000000}"/>
    <hyperlink ref="M89" r:id="rId1" xr:uid="{00000000-0004-0000-1100-000001000000}"/>
    <hyperlink ref="M92" r:id="rId2" xr:uid="{00000000-0004-0000-1100-000002000000}"/>
    <hyperlink ref="M93" r:id="rId3" xr:uid="{00000000-0004-0000-1100-000003000000}"/>
    <hyperlink ref="M100" r:id="rId4" xr:uid="{00000000-0004-0000-1100-000004000000}"/>
    <hyperlink ref="M101" r:id="rId5" xr:uid="{00000000-0004-0000-1100-000005000000}"/>
    <hyperlink ref="M103" r:id="rId6" xr:uid="{00000000-0004-0000-1100-000006000000}"/>
    <hyperlink ref="M106" r:id="rId7" xr:uid="{00000000-0004-0000-1100-000007000000}"/>
    <hyperlink ref="M109" r:id="rId8" xr:uid="{00000000-0004-0000-1100-000008000000}"/>
    <hyperlink ref="M116" r:id="rId9" xr:uid="{00000000-0004-0000-1100-000009000000}"/>
    <hyperlink ref="M122" r:id="rId10" xr:uid="{00000000-0004-0000-1100-00000A000000}"/>
    <hyperlink ref="M123" r:id="rId11" xr:uid="{00000000-0004-0000-1100-00000B000000}"/>
    <hyperlink ref="M124" r:id="rId12" xr:uid="{00000000-0004-0000-1100-00000C000000}"/>
    <hyperlink ref="M136" r:id="rId13" xr:uid="{00000000-0004-0000-1100-00000D000000}"/>
    <hyperlink ref="N125" r:id="rId14" xr:uid="{BD0696A2-0C40-46A5-B661-4F7298DAFC1C}"/>
    <hyperlink ref="N133" r:id="rId15" xr:uid="{55073D54-4F59-412B-B7A4-378D3E658EEB}"/>
    <hyperlink ref="N144" r:id="rId16" xr:uid="{3E4E434E-8F26-49CF-B44F-1F7280FDE126}"/>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46"/>
  <sheetViews>
    <sheetView workbookViewId="0">
      <pane ySplit="2" topLeftCell="M50" activePane="bottomLeft" state="frozen"/>
      <selection pane="bottomLeft" activeCell="Q55" sqref="Q55"/>
    </sheetView>
  </sheetViews>
  <sheetFormatPr defaultRowHeight="14.45"/>
  <cols>
    <col min="1" max="1" width="18" customWidth="1"/>
    <col min="2" max="2" width="15" customWidth="1"/>
    <col min="3" max="3" width="12" customWidth="1"/>
    <col min="4" max="4" width="37.85546875" customWidth="1"/>
    <col min="5" max="5" width="30" customWidth="1"/>
    <col min="6" max="6" width="12" customWidth="1"/>
    <col min="7" max="7" width="15" customWidth="1"/>
    <col min="8" max="8" width="19" customWidth="1"/>
    <col min="9" max="9" width="17" customWidth="1"/>
    <col min="10" max="10" width="29" customWidth="1"/>
    <col min="11" max="11" width="48" customWidth="1"/>
    <col min="12" max="12" width="20" customWidth="1"/>
    <col min="13" max="13" width="30" customWidth="1"/>
    <col min="14" max="14" width="19" customWidth="1"/>
    <col min="15" max="15" width="27" customWidth="1"/>
    <col min="16" max="16" width="18" customWidth="1"/>
    <col min="17" max="17" width="35" customWidth="1"/>
    <col min="18" max="18" width="19" customWidth="1"/>
  </cols>
  <sheetData>
    <row r="1" spans="1:18" ht="27.95" customHeight="1">
      <c r="A1" s="62" t="s">
        <v>2138</v>
      </c>
      <c r="B1" s="134"/>
      <c r="C1" s="135"/>
      <c r="D1" s="112" t="s">
        <v>2420</v>
      </c>
      <c r="E1" s="113"/>
      <c r="F1" s="113"/>
      <c r="G1" s="113"/>
      <c r="H1" s="113"/>
      <c r="I1" s="113"/>
      <c r="J1" s="113"/>
      <c r="K1" s="113"/>
      <c r="L1" s="113"/>
      <c r="M1" s="114"/>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EVT-2026-1137</v>
      </c>
      <c r="B3" s="30">
        <v>46266</v>
      </c>
      <c r="C3" s="27" t="s">
        <v>227</v>
      </c>
      <c r="D3" s="27" t="s">
        <v>171</v>
      </c>
      <c r="E3" s="27" t="s">
        <v>1863</v>
      </c>
      <c r="F3" s="10">
        <v>50</v>
      </c>
      <c r="G3" s="36" t="s">
        <v>263</v>
      </c>
      <c r="H3" s="37" t="s">
        <v>269</v>
      </c>
      <c r="I3" s="37" t="s">
        <v>270</v>
      </c>
      <c r="J3" s="54" t="s">
        <v>1445</v>
      </c>
      <c r="K3" s="54" t="s">
        <v>1445</v>
      </c>
      <c r="L3" s="27" t="s">
        <v>351</v>
      </c>
      <c r="M3" s="43" t="s">
        <v>2421</v>
      </c>
      <c r="N3" s="27" t="s">
        <v>2422</v>
      </c>
      <c r="O3" s="1" t="s">
        <v>264</v>
      </c>
      <c r="P3" s="29" t="s">
        <v>265</v>
      </c>
      <c r="Q3" s="27" t="s">
        <v>2058</v>
      </c>
      <c r="R3" s="27" t="s">
        <v>2350</v>
      </c>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EVT-2026-1138</v>
      </c>
      <c r="B4" s="30">
        <v>46266</v>
      </c>
      <c r="C4" s="27" t="s">
        <v>227</v>
      </c>
      <c r="D4" s="27" t="s">
        <v>2347</v>
      </c>
      <c r="E4" s="27" t="s">
        <v>2423</v>
      </c>
      <c r="F4" s="10">
        <v>45</v>
      </c>
      <c r="G4" s="36" t="s">
        <v>263</v>
      </c>
      <c r="H4" s="37">
        <v>0.33333333333333331</v>
      </c>
      <c r="I4" s="53">
        <v>0.70833333333333337</v>
      </c>
      <c r="J4" s="27" t="s">
        <v>1445</v>
      </c>
      <c r="K4" s="49" t="s">
        <v>1445</v>
      </c>
      <c r="L4" s="49" t="s">
        <v>2343</v>
      </c>
      <c r="M4" s="43" t="s">
        <v>2382</v>
      </c>
      <c r="N4" s="27" t="s">
        <v>2424</v>
      </c>
      <c r="O4" s="60" t="s">
        <v>264</v>
      </c>
      <c r="P4" s="29" t="s">
        <v>265</v>
      </c>
      <c r="Q4" s="27" t="s">
        <v>2425</v>
      </c>
      <c r="R4" s="27" t="s">
        <v>2350</v>
      </c>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EVT-2026-1139</v>
      </c>
      <c r="B5" s="30">
        <v>46267</v>
      </c>
      <c r="C5" s="27" t="s">
        <v>201</v>
      </c>
      <c r="D5" s="27" t="s">
        <v>171</v>
      </c>
      <c r="E5" s="27" t="s">
        <v>1863</v>
      </c>
      <c r="F5" s="10">
        <v>50</v>
      </c>
      <c r="G5" s="36" t="s">
        <v>263</v>
      </c>
      <c r="H5" s="37" t="s">
        <v>269</v>
      </c>
      <c r="I5" s="37" t="s">
        <v>270</v>
      </c>
      <c r="J5" s="55" t="s">
        <v>1445</v>
      </c>
      <c r="K5" s="49" t="s">
        <v>1445</v>
      </c>
      <c r="L5" s="49" t="s">
        <v>351</v>
      </c>
      <c r="M5" s="43" t="s">
        <v>2421</v>
      </c>
      <c r="N5" s="27"/>
      <c r="O5" s="1" t="s">
        <v>264</v>
      </c>
      <c r="P5" s="29" t="s">
        <v>265</v>
      </c>
      <c r="Q5" s="27" t="s">
        <v>2058</v>
      </c>
      <c r="R5" s="27"/>
    </row>
    <row r="6" spans="1:18" ht="70.5"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EVT-2026-1140</v>
      </c>
      <c r="B6" s="30">
        <v>46267</v>
      </c>
      <c r="C6" s="27" t="s">
        <v>201</v>
      </c>
      <c r="D6" s="27" t="s">
        <v>1186</v>
      </c>
      <c r="E6" s="27" t="s">
        <v>2426</v>
      </c>
      <c r="F6" s="10">
        <v>30</v>
      </c>
      <c r="G6" s="36" t="s">
        <v>263</v>
      </c>
      <c r="H6" s="37" t="s">
        <v>269</v>
      </c>
      <c r="I6" s="37" t="s">
        <v>270</v>
      </c>
      <c r="J6" s="27" t="s">
        <v>2427</v>
      </c>
      <c r="K6" s="27" t="s">
        <v>2428</v>
      </c>
      <c r="L6" s="43" t="s">
        <v>2343</v>
      </c>
      <c r="M6" s="27" t="s">
        <v>2429</v>
      </c>
      <c r="N6" s="27" t="s">
        <v>2430</v>
      </c>
      <c r="O6" s="1" t="s">
        <v>264</v>
      </c>
      <c r="P6" s="29" t="s">
        <v>265</v>
      </c>
      <c r="Q6" s="27" t="s">
        <v>2431</v>
      </c>
      <c r="R6" s="27" t="s">
        <v>2350</v>
      </c>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EVT-2026-1141</v>
      </c>
      <c r="B7" s="30">
        <v>46268</v>
      </c>
      <c r="C7" s="27" t="s">
        <v>216</v>
      </c>
      <c r="D7" s="27" t="s">
        <v>171</v>
      </c>
      <c r="E7" s="27" t="s">
        <v>1863</v>
      </c>
      <c r="F7" s="10"/>
      <c r="G7" s="36" t="s">
        <v>263</v>
      </c>
      <c r="H7" s="37" t="s">
        <v>269</v>
      </c>
      <c r="I7" s="37" t="s">
        <v>270</v>
      </c>
      <c r="J7" s="27"/>
      <c r="K7" s="27"/>
      <c r="L7" s="27" t="s">
        <v>351</v>
      </c>
      <c r="M7" s="27"/>
      <c r="N7" s="27"/>
      <c r="O7" s="1" t="s">
        <v>264</v>
      </c>
      <c r="P7" s="29" t="s">
        <v>265</v>
      </c>
      <c r="Q7" s="27" t="s">
        <v>2058</v>
      </c>
      <c r="R7" s="27" t="s">
        <v>2350</v>
      </c>
    </row>
    <row r="8" spans="1:18" ht="5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EVT-2026-1142</v>
      </c>
      <c r="B8" s="30">
        <v>46268</v>
      </c>
      <c r="C8" s="27" t="s">
        <v>216</v>
      </c>
      <c r="D8" s="27" t="s">
        <v>1186</v>
      </c>
      <c r="E8" s="27" t="s">
        <v>2426</v>
      </c>
      <c r="F8" s="10">
        <v>30</v>
      </c>
      <c r="G8" s="36" t="s">
        <v>263</v>
      </c>
      <c r="H8" s="37" t="s">
        <v>269</v>
      </c>
      <c r="I8" s="37" t="s">
        <v>270</v>
      </c>
      <c r="J8" s="27" t="s">
        <v>2427</v>
      </c>
      <c r="K8" s="27" t="s">
        <v>2432</v>
      </c>
      <c r="L8" s="27" t="s">
        <v>2343</v>
      </c>
      <c r="M8" s="27" t="s">
        <v>2433</v>
      </c>
      <c r="N8" s="27" t="s">
        <v>2430</v>
      </c>
      <c r="O8" s="1" t="s">
        <v>264</v>
      </c>
      <c r="P8" s="29" t="s">
        <v>265</v>
      </c>
      <c r="Q8" s="27" t="s">
        <v>2431</v>
      </c>
      <c r="R8" s="27" t="s">
        <v>2350</v>
      </c>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EVT-2026-1143</v>
      </c>
      <c r="B9" s="30">
        <v>46269</v>
      </c>
      <c r="C9" s="27" t="s">
        <v>220</v>
      </c>
      <c r="D9" s="27" t="s">
        <v>171</v>
      </c>
      <c r="E9" s="27" t="s">
        <v>1863</v>
      </c>
      <c r="F9" s="10"/>
      <c r="G9" s="36" t="s">
        <v>263</v>
      </c>
      <c r="H9" s="37" t="s">
        <v>269</v>
      </c>
      <c r="I9" s="37" t="s">
        <v>270</v>
      </c>
      <c r="J9" s="27"/>
      <c r="K9" s="27"/>
      <c r="L9" s="27" t="s">
        <v>351</v>
      </c>
      <c r="M9" s="27"/>
      <c r="N9" s="27"/>
      <c r="O9" s="1" t="s">
        <v>264</v>
      </c>
      <c r="P9" s="29" t="s">
        <v>265</v>
      </c>
      <c r="Q9" s="27" t="s">
        <v>2058</v>
      </c>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10" s="30"/>
      <c r="C10" s="27"/>
      <c r="D10" s="27"/>
      <c r="E10" s="27"/>
      <c r="F10" s="10"/>
      <c r="G10" s="36" t="s">
        <v>263</v>
      </c>
      <c r="H10" s="37"/>
      <c r="I10" s="37"/>
      <c r="J10" s="27"/>
      <c r="K10" s="27"/>
      <c r="L10" s="27"/>
      <c r="M10" s="27"/>
      <c r="N10" s="27"/>
      <c r="O10" s="2" t="s">
        <v>1859</v>
      </c>
      <c r="P10" s="29" t="s">
        <v>265</v>
      </c>
      <c r="Q10" s="27"/>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EVT-2026-1144</v>
      </c>
      <c r="B11" s="30">
        <v>46272</v>
      </c>
      <c r="C11" s="27" t="s">
        <v>224</v>
      </c>
      <c r="D11" s="27" t="s">
        <v>2064</v>
      </c>
      <c r="E11" s="27" t="s">
        <v>2065</v>
      </c>
      <c r="F11" s="10">
        <v>1</v>
      </c>
      <c r="G11" s="36" t="s">
        <v>263</v>
      </c>
      <c r="H11" s="37" t="s">
        <v>269</v>
      </c>
      <c r="I11" s="37" t="s">
        <v>270</v>
      </c>
      <c r="J11" s="27" t="s">
        <v>382</v>
      </c>
      <c r="K11" s="27" t="s">
        <v>2066</v>
      </c>
      <c r="L11" s="27" t="s">
        <v>378</v>
      </c>
      <c r="M11" s="27" t="s">
        <v>1786</v>
      </c>
      <c r="N11" s="27" t="s">
        <v>1411</v>
      </c>
      <c r="O11" s="2" t="s">
        <v>1859</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EVT-2026-1145</v>
      </c>
      <c r="B12" s="30">
        <v>46272</v>
      </c>
      <c r="C12" s="27" t="s">
        <v>224</v>
      </c>
      <c r="D12" s="27" t="s">
        <v>171</v>
      </c>
      <c r="E12" s="27" t="s">
        <v>2067</v>
      </c>
      <c r="F12" s="10"/>
      <c r="G12" s="38" t="s">
        <v>294</v>
      </c>
      <c r="H12" s="37" t="s">
        <v>269</v>
      </c>
      <c r="I12" s="37" t="s">
        <v>270</v>
      </c>
      <c r="J12" s="27"/>
      <c r="K12" s="27"/>
      <c r="L12" s="27"/>
      <c r="M12" s="27"/>
      <c r="N12" s="27"/>
      <c r="O12" s="2" t="s">
        <v>1859</v>
      </c>
      <c r="P12" s="29" t="s">
        <v>265</v>
      </c>
      <c r="Q12" s="27"/>
      <c r="R12" s="27"/>
    </row>
    <row r="13" spans="1:18" ht="24" customHeight="1">
      <c r="A13" s="27"/>
      <c r="B13" s="30">
        <v>46272</v>
      </c>
      <c r="C13" s="27" t="s">
        <v>224</v>
      </c>
      <c r="D13" s="27" t="s">
        <v>1240</v>
      </c>
      <c r="E13" s="27" t="s">
        <v>2434</v>
      </c>
      <c r="F13" s="10">
        <v>35</v>
      </c>
      <c r="G13" s="38" t="s">
        <v>294</v>
      </c>
      <c r="H13" s="37" t="s">
        <v>275</v>
      </c>
      <c r="I13" s="37" t="s">
        <v>295</v>
      </c>
      <c r="J13" s="27" t="s">
        <v>1445</v>
      </c>
      <c r="K13" s="27"/>
      <c r="L13" s="27" t="s">
        <v>2435</v>
      </c>
      <c r="M13" s="27" t="s">
        <v>1453</v>
      </c>
      <c r="N13" s="27" t="s">
        <v>2422</v>
      </c>
      <c r="O13" s="1" t="s">
        <v>264</v>
      </c>
      <c r="P13" s="29" t="s">
        <v>265</v>
      </c>
      <c r="Q13" s="27" t="s">
        <v>2391</v>
      </c>
      <c r="R13" s="27" t="s">
        <v>2350</v>
      </c>
    </row>
    <row r="14" spans="1:18" ht="24" customHeight="1">
      <c r="A14" s="27"/>
      <c r="B14" s="30"/>
      <c r="C14" s="27"/>
      <c r="D14" s="27"/>
      <c r="E14" s="27"/>
      <c r="F14" s="10"/>
      <c r="G14" s="36" t="s">
        <v>263</v>
      </c>
      <c r="H14" s="37"/>
      <c r="I14" s="37"/>
      <c r="J14" s="27"/>
      <c r="K14" s="27"/>
      <c r="L14" s="27"/>
      <c r="M14" s="27"/>
      <c r="N14" s="27"/>
      <c r="O14" s="27"/>
      <c r="P14" s="27"/>
      <c r="Q14" s="27"/>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EVT-2026-1146</v>
      </c>
      <c r="B15" s="30">
        <v>46273</v>
      </c>
      <c r="C15" s="27" t="s">
        <v>227</v>
      </c>
      <c r="D15" s="27" t="s">
        <v>2064</v>
      </c>
      <c r="E15" s="27" t="s">
        <v>2065</v>
      </c>
      <c r="F15" s="10">
        <v>1</v>
      </c>
      <c r="G15" s="38" t="s">
        <v>294</v>
      </c>
      <c r="H15" s="37" t="s">
        <v>269</v>
      </c>
      <c r="I15" s="37" t="s">
        <v>270</v>
      </c>
      <c r="J15" s="27" t="s">
        <v>382</v>
      </c>
      <c r="K15" s="27" t="s">
        <v>2066</v>
      </c>
      <c r="L15" s="27" t="s">
        <v>378</v>
      </c>
      <c r="M15" s="27" t="s">
        <v>1786</v>
      </c>
      <c r="N15" s="27" t="s">
        <v>1411</v>
      </c>
      <c r="O15" s="2" t="s">
        <v>1859</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EVT-2026-1147</v>
      </c>
      <c r="B16" s="30">
        <v>46273</v>
      </c>
      <c r="C16" s="27" t="s">
        <v>227</v>
      </c>
      <c r="D16" s="27" t="s">
        <v>171</v>
      </c>
      <c r="E16" s="27" t="s">
        <v>1863</v>
      </c>
      <c r="F16" s="10"/>
      <c r="G16" s="36" t="s">
        <v>263</v>
      </c>
      <c r="H16" s="37" t="s">
        <v>269</v>
      </c>
      <c r="I16" s="37" t="s">
        <v>270</v>
      </c>
      <c r="J16" s="27"/>
      <c r="K16" s="27"/>
      <c r="L16" s="27"/>
      <c r="M16" s="27"/>
      <c r="N16" s="27"/>
      <c r="O16" s="2" t="s">
        <v>1859</v>
      </c>
      <c r="P16" s="29" t="s">
        <v>265</v>
      </c>
      <c r="Q16" s="27" t="s">
        <v>2070</v>
      </c>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EVT-2026-1148</v>
      </c>
      <c r="B17" s="30">
        <v>46273</v>
      </c>
      <c r="C17" s="27" t="s">
        <v>227</v>
      </c>
      <c r="D17" s="27" t="s">
        <v>2436</v>
      </c>
      <c r="E17" s="27" t="s">
        <v>2437</v>
      </c>
      <c r="F17" s="10">
        <v>30</v>
      </c>
      <c r="G17" s="36" t="s">
        <v>263</v>
      </c>
      <c r="H17" s="37" t="s">
        <v>354</v>
      </c>
      <c r="I17" s="37" t="s">
        <v>270</v>
      </c>
      <c r="J17" s="27" t="s">
        <v>1445</v>
      </c>
      <c r="K17" s="27" t="s">
        <v>1445</v>
      </c>
      <c r="L17" s="27" t="s">
        <v>2343</v>
      </c>
      <c r="M17" s="27" t="s">
        <v>2433</v>
      </c>
      <c r="N17" s="27" t="s">
        <v>2422</v>
      </c>
      <c r="O17" s="1" t="s">
        <v>264</v>
      </c>
      <c r="P17" s="29" t="s">
        <v>265</v>
      </c>
      <c r="Q17" s="27" t="s">
        <v>2431</v>
      </c>
      <c r="R17" s="27" t="s">
        <v>2350</v>
      </c>
    </row>
    <row r="18" spans="1:18" ht="24" customHeight="1">
      <c r="A18" s="27"/>
      <c r="B18" s="30"/>
      <c r="C18" s="27"/>
      <c r="D18" s="27"/>
      <c r="E18" s="27"/>
      <c r="F18" s="10"/>
      <c r="G18" s="36" t="s">
        <v>263</v>
      </c>
      <c r="H18" s="37"/>
      <c r="I18" s="37"/>
      <c r="J18" s="27"/>
      <c r="K18" s="27"/>
      <c r="L18" s="27"/>
      <c r="M18" s="27"/>
      <c r="N18" s="27"/>
      <c r="O18" s="27"/>
      <c r="P18" s="27"/>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EVT-2026-1149</v>
      </c>
      <c r="B19" s="30">
        <v>46274</v>
      </c>
      <c r="C19" s="27" t="s">
        <v>201</v>
      </c>
      <c r="D19" s="27" t="s">
        <v>171</v>
      </c>
      <c r="E19" s="27" t="s">
        <v>1863</v>
      </c>
      <c r="F19" s="10"/>
      <c r="G19" s="36" t="s">
        <v>263</v>
      </c>
      <c r="H19" s="37" t="s">
        <v>269</v>
      </c>
      <c r="I19" s="37" t="s">
        <v>270</v>
      </c>
      <c r="J19" s="27"/>
      <c r="K19" s="27"/>
      <c r="L19" s="27"/>
      <c r="M19" s="27"/>
      <c r="N19" s="27"/>
      <c r="O19" s="2" t="s">
        <v>1859</v>
      </c>
      <c r="P19" s="29" t="s">
        <v>265</v>
      </c>
      <c r="Q19" s="27" t="s">
        <v>2070</v>
      </c>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EVT-2026-1150</v>
      </c>
      <c r="B20" s="30">
        <v>46274</v>
      </c>
      <c r="C20" s="27" t="s">
        <v>201</v>
      </c>
      <c r="D20" s="27" t="s">
        <v>2064</v>
      </c>
      <c r="E20" s="27" t="s">
        <v>2065</v>
      </c>
      <c r="F20" s="10">
        <v>1</v>
      </c>
      <c r="G20" s="36" t="s">
        <v>263</v>
      </c>
      <c r="H20" s="37" t="s">
        <v>269</v>
      </c>
      <c r="I20" s="37" t="s">
        <v>270</v>
      </c>
      <c r="J20" s="27" t="s">
        <v>382</v>
      </c>
      <c r="K20" s="27" t="s">
        <v>2066</v>
      </c>
      <c r="L20" s="27" t="s">
        <v>378</v>
      </c>
      <c r="M20" s="27" t="s">
        <v>1786</v>
      </c>
      <c r="N20" s="27" t="s">
        <v>1411</v>
      </c>
      <c r="O20" s="2" t="s">
        <v>1859</v>
      </c>
      <c r="P20" s="29" t="s">
        <v>265</v>
      </c>
      <c r="Q20" s="27"/>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EVT-2026-1151</v>
      </c>
      <c r="B21" s="30">
        <v>46274</v>
      </c>
      <c r="C21" s="27" t="s">
        <v>201</v>
      </c>
      <c r="D21" s="27" t="s">
        <v>2436</v>
      </c>
      <c r="E21" s="27" t="s">
        <v>2437</v>
      </c>
      <c r="F21" s="10">
        <v>30</v>
      </c>
      <c r="G21" s="36" t="s">
        <v>263</v>
      </c>
      <c r="H21" s="37" t="s">
        <v>354</v>
      </c>
      <c r="I21" s="37" t="s">
        <v>270</v>
      </c>
      <c r="J21" s="27" t="s">
        <v>1445</v>
      </c>
      <c r="K21" s="27" t="s">
        <v>1445</v>
      </c>
      <c r="L21" s="27" t="s">
        <v>2343</v>
      </c>
      <c r="M21" s="27" t="s">
        <v>2433</v>
      </c>
      <c r="N21" s="27" t="s">
        <v>2422</v>
      </c>
      <c r="O21" s="1" t="s">
        <v>264</v>
      </c>
      <c r="P21" s="29" t="s">
        <v>265</v>
      </c>
      <c r="Q21" s="27" t="s">
        <v>2431</v>
      </c>
      <c r="R21" s="27" t="s">
        <v>2350</v>
      </c>
    </row>
    <row r="22" spans="1:18" ht="24" customHeight="1">
      <c r="A22" s="27"/>
      <c r="B22" s="30"/>
      <c r="C22" s="27"/>
      <c r="D22" s="27"/>
      <c r="E22" s="27"/>
      <c r="F22" s="10"/>
      <c r="G22" s="36" t="s">
        <v>263</v>
      </c>
      <c r="H22" s="37"/>
      <c r="I22" s="37"/>
      <c r="J22" s="27"/>
      <c r="K22" s="27"/>
      <c r="L22" s="27"/>
      <c r="M22" s="27"/>
      <c r="N22" s="27"/>
      <c r="O22" s="27"/>
      <c r="P22" s="27"/>
      <c r="Q22" s="27"/>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EVT-2026-1152</v>
      </c>
      <c r="B23" s="30">
        <v>46275</v>
      </c>
      <c r="C23" s="27" t="s">
        <v>216</v>
      </c>
      <c r="D23" s="27" t="s">
        <v>171</v>
      </c>
      <c r="E23" s="27" t="s">
        <v>1863</v>
      </c>
      <c r="F23" s="10"/>
      <c r="G23" s="36" t="s">
        <v>263</v>
      </c>
      <c r="H23" s="37" t="s">
        <v>269</v>
      </c>
      <c r="I23" s="37" t="s">
        <v>270</v>
      </c>
      <c r="J23" s="27"/>
      <c r="K23" s="27"/>
      <c r="L23" s="27"/>
      <c r="M23" s="27"/>
      <c r="N23" s="27"/>
      <c r="O23" s="2" t="s">
        <v>1859</v>
      </c>
      <c r="P23" s="29" t="s">
        <v>265</v>
      </c>
      <c r="Q23" s="27" t="s">
        <v>2070</v>
      </c>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EVT-2026-1153</v>
      </c>
      <c r="B24" s="30">
        <v>46275</v>
      </c>
      <c r="C24" s="27" t="s">
        <v>216</v>
      </c>
      <c r="D24" s="27" t="s">
        <v>2064</v>
      </c>
      <c r="E24" s="27" t="s">
        <v>2065</v>
      </c>
      <c r="F24" s="10">
        <v>1</v>
      </c>
      <c r="G24" s="36" t="s">
        <v>263</v>
      </c>
      <c r="H24" s="37" t="s">
        <v>269</v>
      </c>
      <c r="I24" s="37" t="s">
        <v>270</v>
      </c>
      <c r="J24" s="27" t="s">
        <v>382</v>
      </c>
      <c r="K24" s="27" t="s">
        <v>2066</v>
      </c>
      <c r="L24" s="27" t="s">
        <v>378</v>
      </c>
      <c r="M24" s="27" t="s">
        <v>1786</v>
      </c>
      <c r="N24" s="27" t="s">
        <v>1411</v>
      </c>
      <c r="O24" s="2" t="s">
        <v>1859</v>
      </c>
      <c r="P24" s="29" t="s">
        <v>265</v>
      </c>
      <c r="Q24" s="27"/>
      <c r="R24" s="27"/>
    </row>
    <row r="25" spans="1:18" ht="24" customHeight="1">
      <c r="A25" s="27"/>
      <c r="B25" s="30">
        <v>46275</v>
      </c>
      <c r="C25" s="27" t="s">
        <v>216</v>
      </c>
      <c r="D25" s="27" t="s">
        <v>2438</v>
      </c>
      <c r="E25" s="27" t="s">
        <v>2439</v>
      </c>
      <c r="F25" s="10">
        <v>30</v>
      </c>
      <c r="G25" s="36" t="s">
        <v>263</v>
      </c>
      <c r="H25" s="37" t="s">
        <v>275</v>
      </c>
      <c r="I25" s="37" t="s">
        <v>270</v>
      </c>
      <c r="J25" s="27" t="s">
        <v>1445</v>
      </c>
      <c r="K25" s="27" t="s">
        <v>1445</v>
      </c>
      <c r="L25" s="27" t="s">
        <v>2343</v>
      </c>
      <c r="M25" s="27" t="s">
        <v>2433</v>
      </c>
      <c r="N25" s="27" t="s">
        <v>2422</v>
      </c>
      <c r="O25" s="1" t="s">
        <v>264</v>
      </c>
      <c r="P25" s="29" t="s">
        <v>265</v>
      </c>
      <c r="Q25" s="27" t="s">
        <v>2431</v>
      </c>
      <c r="R25" s="27" t="s">
        <v>2350</v>
      </c>
    </row>
    <row r="26" spans="1:18" ht="24" customHeight="1">
      <c r="A26" s="27"/>
      <c r="B26" s="30"/>
      <c r="C26" s="27"/>
      <c r="D26" s="27"/>
      <c r="E26" s="27"/>
      <c r="F26" s="10"/>
      <c r="G26" s="36" t="s">
        <v>263</v>
      </c>
      <c r="H26" s="37"/>
      <c r="I26" s="37"/>
      <c r="J26" s="27"/>
      <c r="K26" s="27"/>
      <c r="L26" s="27"/>
      <c r="M26" s="27"/>
      <c r="N26" s="27"/>
      <c r="O26" s="27"/>
      <c r="P26" s="27"/>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EVT-2026-1154</v>
      </c>
      <c r="B27" s="30">
        <v>46276</v>
      </c>
      <c r="C27" s="27" t="s">
        <v>220</v>
      </c>
      <c r="D27" s="27" t="s">
        <v>171</v>
      </c>
      <c r="E27" s="27" t="s">
        <v>1863</v>
      </c>
      <c r="F27" s="10"/>
      <c r="G27" s="36" t="s">
        <v>263</v>
      </c>
      <c r="H27" s="37" t="s">
        <v>269</v>
      </c>
      <c r="I27" s="37" t="s">
        <v>270</v>
      </c>
      <c r="J27" s="27"/>
      <c r="K27" s="27"/>
      <c r="L27" s="27"/>
      <c r="M27" s="27"/>
      <c r="N27" s="27"/>
      <c r="O27" s="40"/>
      <c r="P27" s="29"/>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28" s="30"/>
      <c r="C28" s="27"/>
      <c r="D28" s="27"/>
      <c r="E28" s="27"/>
      <c r="F28" s="10"/>
      <c r="G28" s="36" t="s">
        <v>263</v>
      </c>
      <c r="H28" s="37"/>
      <c r="I28" s="37"/>
      <c r="J28" s="27"/>
      <c r="K28" s="27"/>
      <c r="L28" s="27"/>
      <c r="M28" s="27"/>
      <c r="N28" s="27"/>
      <c r="O28" s="2" t="s">
        <v>1859</v>
      </c>
      <c r="P28" s="29" t="s">
        <v>265</v>
      </c>
      <c r="Q28" s="27"/>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EVT-2026-1155</v>
      </c>
      <c r="B29" s="30">
        <v>46279</v>
      </c>
      <c r="C29" s="27" t="s">
        <v>224</v>
      </c>
      <c r="D29" s="27" t="s">
        <v>171</v>
      </c>
      <c r="E29" s="27" t="s">
        <v>1863</v>
      </c>
      <c r="F29" s="10">
        <v>50</v>
      </c>
      <c r="G29" s="38" t="s">
        <v>294</v>
      </c>
      <c r="H29" s="37" t="s">
        <v>269</v>
      </c>
      <c r="I29" s="37" t="s">
        <v>270</v>
      </c>
      <c r="J29" s="27" t="s">
        <v>1445</v>
      </c>
      <c r="K29" s="27" t="s">
        <v>1445</v>
      </c>
      <c r="L29" s="27" t="s">
        <v>351</v>
      </c>
      <c r="M29" s="43" t="s">
        <v>2421</v>
      </c>
      <c r="N29" s="27" t="s">
        <v>2422</v>
      </c>
      <c r="O29" s="41" t="s">
        <v>264</v>
      </c>
      <c r="P29" s="29" t="s">
        <v>265</v>
      </c>
      <c r="Q29" s="27" t="s">
        <v>2070</v>
      </c>
      <c r="R29" s="27" t="s">
        <v>2350</v>
      </c>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EVT-2026-1156</v>
      </c>
      <c r="B30" s="30">
        <v>46280</v>
      </c>
      <c r="C30" s="27" t="s">
        <v>227</v>
      </c>
      <c r="D30" s="27" t="s">
        <v>2436</v>
      </c>
      <c r="E30" s="27" t="s">
        <v>2440</v>
      </c>
      <c r="F30" s="10">
        <v>30</v>
      </c>
      <c r="G30" s="36" t="s">
        <v>263</v>
      </c>
      <c r="H30" s="37">
        <v>0.33333333333333331</v>
      </c>
      <c r="I30" s="37">
        <v>0.70833333333333337</v>
      </c>
      <c r="J30" s="27" t="s">
        <v>382</v>
      </c>
      <c r="K30" s="27" t="s">
        <v>1445</v>
      </c>
      <c r="L30" s="27" t="s">
        <v>2441</v>
      </c>
      <c r="M30" s="43" t="s">
        <v>2442</v>
      </c>
      <c r="N30" s="27"/>
      <c r="O30" s="41" t="s">
        <v>264</v>
      </c>
      <c r="P30" s="29" t="s">
        <v>265</v>
      </c>
      <c r="Q30" s="27" t="s">
        <v>2443</v>
      </c>
      <c r="R30" s="27" t="s">
        <v>2350</v>
      </c>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EVT-2026-1157</v>
      </c>
      <c r="B31" s="30">
        <v>46280</v>
      </c>
      <c r="C31" s="27" t="s">
        <v>227</v>
      </c>
      <c r="D31" s="27" t="s">
        <v>171</v>
      </c>
      <c r="E31" s="27" t="s">
        <v>1863</v>
      </c>
      <c r="F31" s="10">
        <v>50</v>
      </c>
      <c r="G31" s="36" t="s">
        <v>263</v>
      </c>
      <c r="H31" s="37" t="s">
        <v>269</v>
      </c>
      <c r="I31" s="37" t="s">
        <v>270</v>
      </c>
      <c r="J31" s="27" t="s">
        <v>1445</v>
      </c>
      <c r="K31" s="27" t="s">
        <v>1445</v>
      </c>
      <c r="L31" s="27" t="s">
        <v>351</v>
      </c>
      <c r="M31" s="43" t="s">
        <v>2421</v>
      </c>
      <c r="N31" s="27" t="s">
        <v>2422</v>
      </c>
      <c r="O31" s="41" t="s">
        <v>264</v>
      </c>
      <c r="P31" s="29" t="s">
        <v>265</v>
      </c>
      <c r="Q31" s="27" t="s">
        <v>2070</v>
      </c>
      <c r="R31" s="27" t="s">
        <v>2350</v>
      </c>
    </row>
    <row r="32" spans="1:18" ht="24" customHeight="1">
      <c r="A32" s="27"/>
      <c r="B32" s="30"/>
      <c r="C32" s="27"/>
      <c r="D32" s="27"/>
      <c r="E32" s="27"/>
      <c r="F32" s="10"/>
      <c r="G32" s="36" t="s">
        <v>263</v>
      </c>
      <c r="H32" s="37"/>
      <c r="I32" s="37"/>
      <c r="J32" s="27"/>
      <c r="K32" s="27"/>
      <c r="L32" s="27"/>
      <c r="M32" s="43"/>
      <c r="N32" s="27"/>
      <c r="O32" s="41"/>
      <c r="P32" s="29"/>
      <c r="Q32" s="27"/>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EVT-2026-1158</v>
      </c>
      <c r="B33" s="30">
        <v>46281</v>
      </c>
      <c r="C33" s="27" t="s">
        <v>201</v>
      </c>
      <c r="D33" s="27" t="s">
        <v>2444</v>
      </c>
      <c r="E33" s="27" t="s">
        <v>2445</v>
      </c>
      <c r="F33" s="10">
        <v>30</v>
      </c>
      <c r="G33" s="38" t="s">
        <v>294</v>
      </c>
      <c r="H33" s="37" t="s">
        <v>275</v>
      </c>
      <c r="I33" s="37" t="s">
        <v>270</v>
      </c>
      <c r="J33" s="27" t="s">
        <v>1445</v>
      </c>
      <c r="K33" s="27" t="s">
        <v>1445</v>
      </c>
      <c r="L33" s="27" t="s">
        <v>2343</v>
      </c>
      <c r="M33" s="27" t="s">
        <v>2433</v>
      </c>
      <c r="N33" s="27" t="s">
        <v>2422</v>
      </c>
      <c r="O33" s="1" t="s">
        <v>264</v>
      </c>
      <c r="P33" s="29" t="s">
        <v>265</v>
      </c>
      <c r="Q33" s="27" t="s">
        <v>2431</v>
      </c>
      <c r="R33" s="27" t="s">
        <v>2350</v>
      </c>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EVT-2026-1159</v>
      </c>
      <c r="B34" s="30">
        <v>46281</v>
      </c>
      <c r="C34" s="27" t="s">
        <v>201</v>
      </c>
      <c r="D34" s="27" t="s">
        <v>171</v>
      </c>
      <c r="E34" s="27" t="s">
        <v>1863</v>
      </c>
      <c r="F34" s="10">
        <v>50</v>
      </c>
      <c r="G34" s="36" t="s">
        <v>263</v>
      </c>
      <c r="H34" s="37" t="s">
        <v>269</v>
      </c>
      <c r="I34" s="37" t="s">
        <v>270</v>
      </c>
      <c r="J34" s="27" t="s">
        <v>1445</v>
      </c>
      <c r="K34" s="27" t="s">
        <v>1445</v>
      </c>
      <c r="L34" s="27"/>
      <c r="M34" s="27"/>
      <c r="N34" s="27"/>
      <c r="O34" s="2" t="s">
        <v>1859</v>
      </c>
      <c r="P34" s="29" t="s">
        <v>265</v>
      </c>
      <c r="Q34" s="27" t="s">
        <v>2070</v>
      </c>
      <c r="R34" s="27" t="s">
        <v>2350</v>
      </c>
    </row>
    <row r="35" spans="1:18" ht="24" customHeight="1">
      <c r="A35" s="27"/>
      <c r="B35" s="30"/>
      <c r="C35" s="27"/>
      <c r="D35" s="27"/>
      <c r="E35" s="27"/>
      <c r="F35" s="10"/>
      <c r="G35" s="36" t="s">
        <v>263</v>
      </c>
      <c r="H35" s="37"/>
      <c r="I35" s="37"/>
      <c r="J35" s="27"/>
      <c r="K35" s="27"/>
      <c r="L35" s="27"/>
      <c r="M35" s="27"/>
      <c r="N35" s="27"/>
      <c r="O35" s="2"/>
      <c r="P35" s="29"/>
      <c r="Q35" s="27"/>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EVT-2026-1160</v>
      </c>
      <c r="B36" s="30">
        <v>46282</v>
      </c>
      <c r="C36" s="27" t="s">
        <v>216</v>
      </c>
      <c r="D36" s="27" t="s">
        <v>171</v>
      </c>
      <c r="E36" s="27" t="s">
        <v>1863</v>
      </c>
      <c r="F36" s="10">
        <v>50</v>
      </c>
      <c r="G36" s="36" t="s">
        <v>263</v>
      </c>
      <c r="H36" s="37" t="s">
        <v>269</v>
      </c>
      <c r="I36" s="37" t="s">
        <v>270</v>
      </c>
      <c r="J36" s="27" t="s">
        <v>1445</v>
      </c>
      <c r="K36" s="27" t="s">
        <v>1445</v>
      </c>
      <c r="L36" s="27"/>
      <c r="M36" s="27"/>
      <c r="N36" s="27"/>
      <c r="O36" s="2" t="s">
        <v>1859</v>
      </c>
      <c r="P36" s="29" t="s">
        <v>265</v>
      </c>
      <c r="Q36" s="27" t="s">
        <v>2070</v>
      </c>
      <c r="R36" s="27" t="s">
        <v>2350</v>
      </c>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EVT-2026-1161</v>
      </c>
      <c r="B37" s="30">
        <v>46283</v>
      </c>
      <c r="C37" s="27" t="s">
        <v>216</v>
      </c>
      <c r="D37" s="27" t="s">
        <v>2446</v>
      </c>
      <c r="E37" s="27" t="s">
        <v>2277</v>
      </c>
      <c r="F37" s="10"/>
      <c r="G37" s="36" t="s">
        <v>263</v>
      </c>
      <c r="H37" s="37">
        <v>0.41666666666666669</v>
      </c>
      <c r="I37" s="37">
        <v>0.5</v>
      </c>
      <c r="J37" s="27" t="s">
        <v>1445</v>
      </c>
      <c r="K37" s="27" t="s">
        <v>1445</v>
      </c>
      <c r="L37" s="27" t="s">
        <v>2447</v>
      </c>
      <c r="M37" s="27" t="s">
        <v>2447</v>
      </c>
      <c r="N37" s="27" t="s">
        <v>2424</v>
      </c>
      <c r="O37" s="2" t="s">
        <v>1859</v>
      </c>
      <c r="P37" s="29" t="s">
        <v>265</v>
      </c>
      <c r="Q37" s="27"/>
      <c r="R37" s="27" t="s">
        <v>808</v>
      </c>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EVT-2026-1162</v>
      </c>
      <c r="B38" s="30">
        <v>46283</v>
      </c>
      <c r="C38" s="27" t="s">
        <v>220</v>
      </c>
      <c r="D38" s="27" t="s">
        <v>171</v>
      </c>
      <c r="E38" s="27" t="s">
        <v>1863</v>
      </c>
      <c r="F38" s="10">
        <v>50</v>
      </c>
      <c r="G38" s="36" t="s">
        <v>263</v>
      </c>
      <c r="H38" s="37" t="s">
        <v>269</v>
      </c>
      <c r="I38" s="37" t="s">
        <v>270</v>
      </c>
      <c r="J38" s="27" t="s">
        <v>1445</v>
      </c>
      <c r="K38" s="27" t="s">
        <v>1445</v>
      </c>
      <c r="L38" s="27"/>
      <c r="M38" s="27"/>
      <c r="N38" s="27"/>
      <c r="O38" s="2" t="s">
        <v>1859</v>
      </c>
      <c r="P38" s="29" t="s">
        <v>265</v>
      </c>
      <c r="Q38" s="27" t="s">
        <v>2070</v>
      </c>
      <c r="R38" s="27" t="s">
        <v>2350</v>
      </c>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39" s="30"/>
      <c r="C39" s="27"/>
      <c r="D39" s="27"/>
      <c r="E39" s="27"/>
      <c r="F39" s="10"/>
      <c r="G39" s="36" t="s">
        <v>263</v>
      </c>
      <c r="H39" s="37"/>
      <c r="I39" s="37"/>
      <c r="J39" s="27"/>
      <c r="K39" s="27"/>
      <c r="L39" s="27"/>
      <c r="M39" s="27"/>
      <c r="N39" s="27"/>
      <c r="O39" s="40"/>
      <c r="P39" s="42"/>
      <c r="Q39" s="27"/>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EVT-2026-1163</v>
      </c>
      <c r="B40" s="30">
        <v>46286</v>
      </c>
      <c r="C40" s="27" t="s">
        <v>224</v>
      </c>
      <c r="D40" s="27" t="s">
        <v>171</v>
      </c>
      <c r="E40" s="27" t="s">
        <v>2067</v>
      </c>
      <c r="F40" s="10"/>
      <c r="G40" s="36" t="s">
        <v>263</v>
      </c>
      <c r="H40" s="37" t="s">
        <v>269</v>
      </c>
      <c r="I40" s="37" t="s">
        <v>270</v>
      </c>
      <c r="J40" s="27"/>
      <c r="K40" s="27"/>
      <c r="L40" s="27"/>
      <c r="M40" s="27"/>
      <c r="N40" s="27"/>
      <c r="O40" s="40"/>
      <c r="P40" s="42"/>
      <c r="Q40" s="27" t="s">
        <v>2073</v>
      </c>
      <c r="R40" s="27"/>
    </row>
    <row r="41" spans="1:18" ht="24" customHeight="1">
      <c r="A41" s="27"/>
      <c r="B41" s="30"/>
      <c r="C41" s="27"/>
      <c r="D41" s="27"/>
      <c r="E41" s="27"/>
      <c r="F41" s="10"/>
      <c r="G41" s="36" t="s">
        <v>263</v>
      </c>
      <c r="H41" s="37"/>
      <c r="I41" s="37"/>
      <c r="J41" s="27"/>
      <c r="K41" s="27"/>
      <c r="L41" s="27"/>
      <c r="M41" s="27"/>
      <c r="N41" s="27"/>
      <c r="O41" s="27"/>
      <c r="P41" s="27"/>
      <c r="Q41" s="27"/>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EVT-2026-1164</v>
      </c>
      <c r="B42" s="30">
        <v>46287</v>
      </c>
      <c r="C42" s="27" t="s">
        <v>227</v>
      </c>
      <c r="D42" s="27" t="s">
        <v>1186</v>
      </c>
      <c r="E42" s="27" t="s">
        <v>2077</v>
      </c>
      <c r="F42" s="10">
        <v>30</v>
      </c>
      <c r="G42" s="36" t="s">
        <v>263</v>
      </c>
      <c r="H42" s="37" t="s">
        <v>275</v>
      </c>
      <c r="I42" s="37" t="s">
        <v>270</v>
      </c>
      <c r="J42" s="27" t="s">
        <v>1445</v>
      </c>
      <c r="K42" s="27" t="s">
        <v>1445</v>
      </c>
      <c r="L42" s="27" t="s">
        <v>2343</v>
      </c>
      <c r="M42" s="27" t="s">
        <v>2433</v>
      </c>
      <c r="N42" s="27" t="s">
        <v>2422</v>
      </c>
      <c r="O42" s="1" t="s">
        <v>264</v>
      </c>
      <c r="P42" s="29" t="s">
        <v>265</v>
      </c>
      <c r="Q42" s="27" t="s">
        <v>2431</v>
      </c>
      <c r="R42" s="27" t="s">
        <v>2350</v>
      </c>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EVT-2026-1165</v>
      </c>
      <c r="B43" s="30">
        <v>46287</v>
      </c>
      <c r="C43" s="27" t="s">
        <v>227</v>
      </c>
      <c r="D43" s="27" t="s">
        <v>171</v>
      </c>
      <c r="E43" s="27" t="s">
        <v>1863</v>
      </c>
      <c r="F43" s="10"/>
      <c r="G43" s="36" t="s">
        <v>263</v>
      </c>
      <c r="H43" s="37" t="s">
        <v>269</v>
      </c>
      <c r="I43" s="37" t="s">
        <v>270</v>
      </c>
      <c r="J43" s="27"/>
      <c r="K43" s="27"/>
      <c r="L43" s="27"/>
      <c r="M43" s="27"/>
      <c r="N43" s="27"/>
      <c r="O43" s="2" t="s">
        <v>1859</v>
      </c>
      <c r="P43" s="29" t="s">
        <v>265</v>
      </c>
      <c r="Q43" s="27" t="s">
        <v>2073</v>
      </c>
      <c r="R43" s="27"/>
    </row>
    <row r="44" spans="1:18" ht="24" customHeight="1">
      <c r="A44" s="27"/>
      <c r="B44" s="30"/>
      <c r="C44" s="27"/>
      <c r="D44" s="27"/>
      <c r="E44" s="27"/>
      <c r="F44" s="10"/>
      <c r="G44" s="36" t="s">
        <v>263</v>
      </c>
      <c r="H44" s="37"/>
      <c r="I44" s="37"/>
      <c r="J44" s="27"/>
      <c r="K44" s="27"/>
      <c r="L44" s="27"/>
      <c r="M44" s="27"/>
      <c r="N44" s="27"/>
      <c r="O44" s="27"/>
      <c r="P44" s="27"/>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EVT-2026-1166</v>
      </c>
      <c r="B45" s="30">
        <v>46288</v>
      </c>
      <c r="C45" s="27" t="s">
        <v>201</v>
      </c>
      <c r="D45" s="27" t="s">
        <v>171</v>
      </c>
      <c r="E45" s="27" t="s">
        <v>1863</v>
      </c>
      <c r="F45" s="10">
        <v>50</v>
      </c>
      <c r="G45" s="36" t="s">
        <v>263</v>
      </c>
      <c r="H45" s="37" t="s">
        <v>269</v>
      </c>
      <c r="I45" s="37" t="s">
        <v>270</v>
      </c>
      <c r="J45" s="27" t="s">
        <v>1445</v>
      </c>
      <c r="K45" s="27" t="s">
        <v>1445</v>
      </c>
      <c r="L45" s="27" t="s">
        <v>351</v>
      </c>
      <c r="M45" s="27" t="s">
        <v>2421</v>
      </c>
      <c r="N45" s="27" t="s">
        <v>2422</v>
      </c>
      <c r="O45" s="1" t="s">
        <v>264</v>
      </c>
      <c r="P45" s="29" t="s">
        <v>265</v>
      </c>
      <c r="Q45" s="27" t="s">
        <v>2070</v>
      </c>
      <c r="R45" s="27" t="s">
        <v>2350</v>
      </c>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EVT-2026-1167</v>
      </c>
      <c r="B46" s="30">
        <v>46288</v>
      </c>
      <c r="C46" s="27" t="s">
        <v>201</v>
      </c>
      <c r="D46" s="27" t="s">
        <v>2448</v>
      </c>
      <c r="E46" s="27" t="s">
        <v>2449</v>
      </c>
      <c r="F46" s="10" t="s">
        <v>1445</v>
      </c>
      <c r="G46" s="36" t="s">
        <v>263</v>
      </c>
      <c r="H46" s="37">
        <v>0.33333333333333331</v>
      </c>
      <c r="I46" s="37">
        <v>0.70833333333333337</v>
      </c>
      <c r="J46" s="27" t="s">
        <v>1445</v>
      </c>
      <c r="K46" s="27" t="s">
        <v>1445</v>
      </c>
      <c r="L46" s="27" t="s">
        <v>2450</v>
      </c>
      <c r="M46" s="27" t="s">
        <v>2451</v>
      </c>
      <c r="N46" s="27" t="s">
        <v>2422</v>
      </c>
      <c r="O46" s="1" t="s">
        <v>264</v>
      </c>
      <c r="P46" s="29" t="s">
        <v>265</v>
      </c>
      <c r="Q46" s="27" t="s">
        <v>2452</v>
      </c>
      <c r="R46" s="27" t="s">
        <v>2350</v>
      </c>
    </row>
    <row r="47" spans="1:18" ht="63.75"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EVT-2026-1168</v>
      </c>
      <c r="B47" s="30">
        <v>46288</v>
      </c>
      <c r="C47" s="27" t="s">
        <v>201</v>
      </c>
      <c r="D47" s="27" t="s">
        <v>2453</v>
      </c>
      <c r="E47" s="27" t="s">
        <v>2449</v>
      </c>
      <c r="F47" s="10" t="s">
        <v>1445</v>
      </c>
      <c r="G47" s="36" t="s">
        <v>263</v>
      </c>
      <c r="H47" s="37">
        <v>0.33333333333333331</v>
      </c>
      <c r="I47" s="37">
        <v>0.70833333333333337</v>
      </c>
      <c r="J47" s="27" t="s">
        <v>1445</v>
      </c>
      <c r="K47" s="27" t="s">
        <v>1445</v>
      </c>
      <c r="L47" s="27" t="s">
        <v>2450</v>
      </c>
      <c r="M47" s="27" t="s">
        <v>2451</v>
      </c>
      <c r="N47" s="27" t="s">
        <v>2422</v>
      </c>
      <c r="O47" s="1" t="s">
        <v>264</v>
      </c>
      <c r="P47" s="29" t="s">
        <v>265</v>
      </c>
      <c r="Q47" s="27" t="s">
        <v>2452</v>
      </c>
      <c r="R47" s="27" t="s">
        <v>2350</v>
      </c>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EVT-2026-1169</v>
      </c>
      <c r="B48" s="30">
        <v>46288</v>
      </c>
      <c r="C48" s="27" t="s">
        <v>201</v>
      </c>
      <c r="D48" s="27" t="s">
        <v>2438</v>
      </c>
      <c r="E48" s="27" t="s">
        <v>2454</v>
      </c>
      <c r="F48" s="10" t="s">
        <v>1445</v>
      </c>
      <c r="G48" s="36" t="s">
        <v>263</v>
      </c>
      <c r="H48" s="37">
        <v>0.45833333333333331</v>
      </c>
      <c r="I48" s="37">
        <v>0.625</v>
      </c>
      <c r="J48" s="27" t="s">
        <v>1445</v>
      </c>
      <c r="K48" s="27" t="s">
        <v>1445</v>
      </c>
      <c r="L48" s="27" t="s">
        <v>2450</v>
      </c>
      <c r="M48" s="27" t="s">
        <v>2451</v>
      </c>
      <c r="N48" s="27" t="s">
        <v>2422</v>
      </c>
      <c r="O48" s="1" t="s">
        <v>264</v>
      </c>
      <c r="P48" s="29" t="s">
        <v>265</v>
      </c>
      <c r="Q48" s="27" t="s">
        <v>2452</v>
      </c>
      <c r="R48" s="27" t="s">
        <v>2350</v>
      </c>
    </row>
    <row r="49" spans="1:18" ht="24" customHeight="1">
      <c r="A49" s="27"/>
      <c r="B49" s="30"/>
      <c r="C49" s="27"/>
      <c r="D49" s="27"/>
      <c r="E49" s="27"/>
      <c r="F49" s="10"/>
      <c r="G49" s="36" t="s">
        <v>263</v>
      </c>
      <c r="H49" s="37"/>
      <c r="I49" s="37"/>
      <c r="J49" s="27"/>
      <c r="K49" s="27"/>
      <c r="L49" s="27"/>
      <c r="M49" s="27"/>
      <c r="N49" s="27"/>
      <c r="O49" s="1"/>
      <c r="P49" s="29"/>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EVT-2026-1170</v>
      </c>
      <c r="B50" s="30">
        <v>46289</v>
      </c>
      <c r="C50" s="27" t="s">
        <v>216</v>
      </c>
      <c r="D50" s="27" t="s">
        <v>171</v>
      </c>
      <c r="E50" s="27" t="s">
        <v>1863</v>
      </c>
      <c r="F50" s="10">
        <v>50</v>
      </c>
      <c r="G50" s="38" t="s">
        <v>294</v>
      </c>
      <c r="H50" s="37" t="s">
        <v>269</v>
      </c>
      <c r="I50" s="37" t="s">
        <v>270</v>
      </c>
      <c r="J50" s="27" t="s">
        <v>1445</v>
      </c>
      <c r="K50" s="27" t="s">
        <v>1445</v>
      </c>
      <c r="L50" s="27" t="s">
        <v>351</v>
      </c>
      <c r="M50" s="43" t="s">
        <v>2421</v>
      </c>
      <c r="N50" s="27" t="s">
        <v>2455</v>
      </c>
      <c r="O50" s="1" t="s">
        <v>264</v>
      </c>
      <c r="P50" s="29" t="s">
        <v>265</v>
      </c>
      <c r="Q50" s="27" t="s">
        <v>2070</v>
      </c>
      <c r="R50" s="27" t="s">
        <v>2350</v>
      </c>
    </row>
    <row r="51" spans="1:18" ht="24" customHeight="1">
      <c r="A51" s="27"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EVT-2026-1171</v>
      </c>
      <c r="B51" s="30">
        <v>46289</v>
      </c>
      <c r="C51" s="27" t="s">
        <v>216</v>
      </c>
      <c r="D51" s="27" t="s">
        <v>1186</v>
      </c>
      <c r="E51" s="27" t="s">
        <v>2456</v>
      </c>
      <c r="F51" s="10">
        <v>30</v>
      </c>
      <c r="G51" s="36" t="s">
        <v>263</v>
      </c>
      <c r="H51" s="37" t="s">
        <v>275</v>
      </c>
      <c r="I51" s="37" t="s">
        <v>270</v>
      </c>
      <c r="J51" s="27" t="s">
        <v>1445</v>
      </c>
      <c r="K51" s="27" t="s">
        <v>1445</v>
      </c>
      <c r="L51" s="27" t="s">
        <v>2343</v>
      </c>
      <c r="M51" s="27" t="s">
        <v>2433</v>
      </c>
      <c r="N51" s="27" t="s">
        <v>2422</v>
      </c>
      <c r="O51" s="1" t="s">
        <v>264</v>
      </c>
      <c r="P51" s="29" t="s">
        <v>265</v>
      </c>
      <c r="Q51" s="27" t="s">
        <v>2431</v>
      </c>
      <c r="R51" s="27" t="s">
        <v>2350</v>
      </c>
    </row>
    <row r="52" spans="1:18" ht="24" customHeight="1">
      <c r="A52" s="27"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52" s="30"/>
      <c r="C52" s="27"/>
      <c r="D52" s="27"/>
      <c r="E52" s="27"/>
      <c r="F52" s="10"/>
      <c r="G52" s="38" t="s">
        <v>294</v>
      </c>
      <c r="H52" s="37"/>
      <c r="I52" s="37"/>
      <c r="J52" s="27"/>
      <c r="K52" s="27"/>
      <c r="L52" s="27"/>
      <c r="M52" s="27"/>
      <c r="N52" s="27"/>
      <c r="O52" s="27"/>
      <c r="P52" s="27"/>
      <c r="Q52" s="27"/>
      <c r="R52" s="27"/>
    </row>
    <row r="53" spans="1:18" ht="24" customHeight="1">
      <c r="A53" s="27"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EVT-2026-1172</v>
      </c>
      <c r="B53" s="30">
        <v>46290</v>
      </c>
      <c r="C53" s="27" t="s">
        <v>220</v>
      </c>
      <c r="D53" s="27" t="s">
        <v>171</v>
      </c>
      <c r="E53" s="27" t="s">
        <v>1863</v>
      </c>
      <c r="F53" s="10">
        <v>50</v>
      </c>
      <c r="G53" s="36" t="s">
        <v>263</v>
      </c>
      <c r="H53" s="37" t="s">
        <v>269</v>
      </c>
      <c r="I53" s="37" t="s">
        <v>270</v>
      </c>
      <c r="J53" s="27" t="s">
        <v>1445</v>
      </c>
      <c r="K53" s="27" t="s">
        <v>1445</v>
      </c>
      <c r="L53" s="27" t="s">
        <v>351</v>
      </c>
      <c r="M53" s="27" t="s">
        <v>2421</v>
      </c>
      <c r="N53" s="27" t="s">
        <v>2422</v>
      </c>
      <c r="O53" s="2" t="s">
        <v>1859</v>
      </c>
      <c r="P53" s="29" t="s">
        <v>265</v>
      </c>
      <c r="Q53" s="27" t="s">
        <v>2070</v>
      </c>
      <c r="R53" s="27" t="s">
        <v>2350</v>
      </c>
    </row>
    <row r="54" spans="1:18" ht="39" customHeight="1">
      <c r="A54" s="27"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EVT-2026-1173</v>
      </c>
      <c r="B54" s="30">
        <v>46290</v>
      </c>
      <c r="C54" s="27" t="s">
        <v>220</v>
      </c>
      <c r="D54" s="27" t="s">
        <v>2446</v>
      </c>
      <c r="E54" s="27" t="s">
        <v>2457</v>
      </c>
      <c r="F54" s="10">
        <v>150</v>
      </c>
      <c r="G54" s="36" t="s">
        <v>294</v>
      </c>
      <c r="H54" s="37" t="s">
        <v>2458</v>
      </c>
      <c r="I54" s="37">
        <v>0.66666666666666663</v>
      </c>
      <c r="J54" s="27" t="s">
        <v>1445</v>
      </c>
      <c r="K54" s="27" t="s">
        <v>1445</v>
      </c>
      <c r="L54" s="27" t="s">
        <v>2457</v>
      </c>
      <c r="M54" s="27" t="s">
        <v>1839</v>
      </c>
      <c r="N54" s="27" t="s">
        <v>2459</v>
      </c>
      <c r="O54" s="2" t="s">
        <v>1859</v>
      </c>
      <c r="P54" s="29" t="s">
        <v>265</v>
      </c>
      <c r="Q54" s="27" t="s">
        <v>2460</v>
      </c>
      <c r="R54" s="27" t="s">
        <v>2350</v>
      </c>
    </row>
    <row r="55" spans="1:18" ht="24" customHeight="1">
      <c r="A55" s="27"/>
      <c r="B55" s="30"/>
      <c r="C55" s="27"/>
      <c r="D55" s="27"/>
      <c r="E55" s="27"/>
      <c r="F55" s="10"/>
      <c r="G55" s="36" t="s">
        <v>263</v>
      </c>
      <c r="H55" s="37"/>
      <c r="I55" s="37"/>
      <c r="J55" s="27"/>
      <c r="K55" s="27"/>
      <c r="L55" s="27"/>
      <c r="M55" s="27"/>
      <c r="N55" s="27"/>
      <c r="O55" s="2"/>
      <c r="P55" s="29"/>
      <c r="Q55" s="27"/>
      <c r="R55" s="27"/>
    </row>
    <row r="56" spans="1:18" ht="24" customHeight="1">
      <c r="A56" s="27"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EVT-2026-1174</v>
      </c>
      <c r="B56" s="30">
        <v>46293</v>
      </c>
      <c r="C56" s="27" t="s">
        <v>224</v>
      </c>
      <c r="D56" s="27" t="s">
        <v>171</v>
      </c>
      <c r="E56" s="27" t="s">
        <v>1863</v>
      </c>
      <c r="F56" s="10">
        <v>50</v>
      </c>
      <c r="G56" s="38" t="s">
        <v>294</v>
      </c>
      <c r="H56" s="37" t="s">
        <v>269</v>
      </c>
      <c r="I56" s="37" t="s">
        <v>270</v>
      </c>
      <c r="J56" s="27" t="s">
        <v>1445</v>
      </c>
      <c r="K56" s="27" t="s">
        <v>1445</v>
      </c>
      <c r="L56" s="27" t="s">
        <v>351</v>
      </c>
      <c r="M56" s="27" t="s">
        <v>2421</v>
      </c>
      <c r="N56" s="27" t="s">
        <v>2422</v>
      </c>
      <c r="O56" s="2" t="s">
        <v>1859</v>
      </c>
      <c r="P56" s="29" t="s">
        <v>265</v>
      </c>
      <c r="Q56" s="27" t="s">
        <v>2070</v>
      </c>
      <c r="R56" s="27" t="s">
        <v>2350</v>
      </c>
    </row>
    <row r="57" spans="1:18" ht="24" customHeight="1">
      <c r="A57" s="27" t="str">
        <f ca="1">IF(OR(D57&lt;&gt;"", E57&lt;&gt;"", K57&lt;&gt;"", N57&lt;&gt;""),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EVT-2026-1175</v>
      </c>
      <c r="B57" s="30">
        <v>46294</v>
      </c>
      <c r="C57" s="27" t="s">
        <v>227</v>
      </c>
      <c r="D57" s="27" t="s">
        <v>171</v>
      </c>
      <c r="E57" s="27" t="s">
        <v>1863</v>
      </c>
      <c r="F57" s="10">
        <v>50</v>
      </c>
      <c r="G57" s="36" t="s">
        <v>263</v>
      </c>
      <c r="H57" s="37" t="s">
        <v>269</v>
      </c>
      <c r="I57" s="37" t="s">
        <v>270</v>
      </c>
      <c r="J57" s="27" t="s">
        <v>1445</v>
      </c>
      <c r="K57" s="27" t="s">
        <v>1445</v>
      </c>
      <c r="L57" s="27" t="s">
        <v>351</v>
      </c>
      <c r="M57" s="27" t="s">
        <v>2421</v>
      </c>
      <c r="N57" s="27" t="s">
        <v>2455</v>
      </c>
      <c r="O57" s="2" t="s">
        <v>1859</v>
      </c>
      <c r="P57" s="29" t="s">
        <v>265</v>
      </c>
      <c r="Q57" s="27" t="s">
        <v>2070</v>
      </c>
      <c r="R57" s="27" t="s">
        <v>2350</v>
      </c>
    </row>
    <row r="58" spans="1:18" ht="24" customHeight="1">
      <c r="A58" s="27" t="str">
        <f ca="1">IF(OR(D58&lt;&gt;"", E58&lt;&gt;"", K58&lt;&gt;"", N58&lt;&gt;""),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EVT-2026-1176</v>
      </c>
      <c r="B58" s="30">
        <v>46295</v>
      </c>
      <c r="C58" s="27" t="s">
        <v>201</v>
      </c>
      <c r="D58" s="27" t="s">
        <v>171</v>
      </c>
      <c r="E58" s="27" t="s">
        <v>670</v>
      </c>
      <c r="F58" s="10">
        <v>70</v>
      </c>
      <c r="G58" s="36" t="s">
        <v>263</v>
      </c>
      <c r="H58" s="37" t="s">
        <v>338</v>
      </c>
      <c r="I58" s="37" t="s">
        <v>330</v>
      </c>
      <c r="J58" s="27" t="s">
        <v>610</v>
      </c>
      <c r="K58" s="27" t="s">
        <v>369</v>
      </c>
      <c r="L58" s="27" t="s">
        <v>671</v>
      </c>
      <c r="M58" s="27"/>
      <c r="N58" s="30" t="s">
        <v>2112</v>
      </c>
      <c r="O58" s="2" t="s">
        <v>1859</v>
      </c>
      <c r="P58" s="29" t="s">
        <v>265</v>
      </c>
      <c r="Q58" s="27" t="s">
        <v>298</v>
      </c>
      <c r="R58" s="27"/>
    </row>
    <row r="59" spans="1:18" ht="24" customHeight="1">
      <c r="A59" s="27" t="str">
        <f ca="1">IF(OR(D59&lt;&gt;"", E59&lt;&gt;"", K59&lt;&gt;"", N59&lt;&gt;""),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59" s="27"/>
      <c r="C59" s="27"/>
      <c r="D59" s="27"/>
      <c r="E59" s="27"/>
      <c r="F59" s="10"/>
      <c r="G59" s="38" t="s">
        <v>294</v>
      </c>
      <c r="H59" s="37"/>
      <c r="I59" s="37"/>
      <c r="J59" s="27"/>
      <c r="K59" s="27"/>
      <c r="L59" s="27"/>
      <c r="M59" s="27"/>
      <c r="N59" s="27"/>
      <c r="O59" s="40"/>
      <c r="P59" s="42"/>
      <c r="Q59" s="27"/>
      <c r="R59" s="27"/>
    </row>
    <row r="60" spans="1:18" ht="24" customHeight="1">
      <c r="A60" s="27" t="str">
        <f ca="1">IF(OR(D60&lt;&gt;"", E60&lt;&gt;"", K60&lt;&gt;"", N60&lt;&gt;""),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0" s="27"/>
      <c r="C60" s="27"/>
      <c r="D60" s="27"/>
      <c r="E60" s="27"/>
      <c r="F60" s="10"/>
      <c r="G60" s="36" t="s">
        <v>263</v>
      </c>
      <c r="H60" s="37"/>
      <c r="I60" s="37"/>
      <c r="J60" s="27"/>
      <c r="K60" s="27"/>
      <c r="L60" s="27"/>
      <c r="M60" s="27"/>
      <c r="N60" s="27"/>
      <c r="O60" s="40"/>
      <c r="P60" s="42"/>
      <c r="Q60" s="27"/>
      <c r="R60" s="27"/>
    </row>
    <row r="61" spans="1:18" ht="24" customHeight="1">
      <c r="A61" s="27" t="str">
        <f ca="1">IF(OR(D61&lt;&gt;"", E61&lt;&gt;"", K61&lt;&gt;"", N61&lt;&gt;""),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1" s="27"/>
      <c r="C61" s="27"/>
      <c r="D61" s="27"/>
      <c r="E61" s="27"/>
      <c r="F61" s="10"/>
      <c r="G61" s="36" t="s">
        <v>263</v>
      </c>
      <c r="H61" s="37"/>
      <c r="I61" s="37"/>
      <c r="J61" s="27"/>
      <c r="K61" s="27"/>
      <c r="L61" s="27"/>
      <c r="M61" s="27"/>
      <c r="N61" s="27"/>
      <c r="O61" s="40"/>
      <c r="P61" s="42"/>
      <c r="Q61" s="27"/>
      <c r="R61" s="27"/>
    </row>
    <row r="62" spans="1:18" ht="24" customHeight="1">
      <c r="A62" s="27" t="str">
        <f ca="1">IF(OR(D62&lt;&gt;"", E62&lt;&gt;"", K62&lt;&gt;"", N62&lt;&gt;""),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2" s="27"/>
      <c r="C62" s="27"/>
      <c r="D62" s="27"/>
      <c r="E62" s="27"/>
      <c r="F62" s="10"/>
      <c r="G62" s="36" t="s">
        <v>263</v>
      </c>
      <c r="H62" s="37"/>
      <c r="I62" s="37"/>
      <c r="J62" s="27"/>
      <c r="K62" s="27"/>
      <c r="L62" s="27"/>
      <c r="M62" s="27"/>
      <c r="N62" s="27"/>
      <c r="O62" s="40"/>
      <c r="P62" s="42"/>
      <c r="Q62" s="27"/>
      <c r="R62" s="27"/>
    </row>
    <row r="63" spans="1:18" ht="24" customHeight="1">
      <c r="A63" s="27" t="str">
        <f ca="1">IF(OR(D63&lt;&gt;"", E63&lt;&gt;"", K63&lt;&gt;"", N63&lt;&gt;""),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3" s="27"/>
      <c r="C63" s="27"/>
      <c r="D63" s="27"/>
      <c r="E63" s="27"/>
      <c r="F63" s="10"/>
      <c r="G63" s="38" t="s">
        <v>294</v>
      </c>
      <c r="H63" s="37"/>
      <c r="I63" s="37"/>
      <c r="J63" s="27"/>
      <c r="K63" s="27"/>
      <c r="L63" s="27"/>
      <c r="M63" s="27"/>
      <c r="N63" s="27"/>
      <c r="O63" s="40"/>
      <c r="P63" s="42"/>
      <c r="Q63" s="27"/>
      <c r="R63" s="27"/>
    </row>
    <row r="64" spans="1:18" ht="24" customHeight="1">
      <c r="A64" s="27" t="str">
        <f ca="1">IF(OR(D64&lt;&gt;"", E64&lt;&gt;"", K64&lt;&gt;"", N64&lt;&gt;""),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4" s="27"/>
      <c r="C64" s="27"/>
      <c r="D64" s="27"/>
      <c r="E64" s="27"/>
      <c r="F64" s="10"/>
      <c r="G64" s="36" t="s">
        <v>263</v>
      </c>
      <c r="H64" s="37"/>
      <c r="I64" s="37"/>
      <c r="J64" s="27"/>
      <c r="K64" s="27"/>
      <c r="L64" s="27"/>
      <c r="M64" s="27"/>
      <c r="N64" s="27"/>
      <c r="O64" s="40"/>
      <c r="P64" s="42"/>
      <c r="Q64" s="27"/>
      <c r="R64" s="27"/>
    </row>
    <row r="65" spans="1:18" ht="24" customHeight="1">
      <c r="A65" s="27" t="str">
        <f ca="1">IF(OR(D65&lt;&gt;"", E65&lt;&gt;"", K65&lt;&gt;"", N65&lt;&gt;""),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5" s="27"/>
      <c r="C65" s="27"/>
      <c r="D65" s="27"/>
      <c r="E65" s="27"/>
      <c r="F65" s="10"/>
      <c r="G65" s="38" t="s">
        <v>294</v>
      </c>
      <c r="H65" s="37"/>
      <c r="I65" s="37"/>
      <c r="J65" s="27"/>
      <c r="K65" s="27"/>
      <c r="L65" s="27"/>
      <c r="M65" s="27"/>
      <c r="N65" s="27"/>
      <c r="O65" s="40"/>
      <c r="P65" s="42"/>
      <c r="Q65" s="27"/>
      <c r="R65" s="27"/>
    </row>
    <row r="66" spans="1:18" ht="24" customHeight="1">
      <c r="A66" s="27" t="str">
        <f ca="1">IF(OR(D66&lt;&gt;"", E66&lt;&gt;"", K66&lt;&gt;"", N66&lt;&gt;""),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6" s="27"/>
      <c r="C66" s="27"/>
      <c r="D66" s="27"/>
      <c r="E66" s="27"/>
      <c r="F66" s="10"/>
      <c r="G66" s="36" t="s">
        <v>263</v>
      </c>
      <c r="H66" s="37"/>
      <c r="I66" s="37"/>
      <c r="J66" s="27"/>
      <c r="K66" s="27"/>
      <c r="L66" s="27"/>
      <c r="M66" s="27"/>
      <c r="N66" s="27"/>
      <c r="O66" s="40"/>
      <c r="P66" s="42"/>
      <c r="Q66" s="27"/>
      <c r="R66" s="27"/>
    </row>
    <row r="67" spans="1:18" ht="24" customHeight="1">
      <c r="A67" s="27" t="str">
        <f ca="1">IF(OR(D67&lt;&gt;"", E67&lt;&gt;"", K67&lt;&gt;"", N67&lt;&gt;""),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7" s="27"/>
      <c r="C67" s="27"/>
      <c r="D67" s="27"/>
      <c r="E67" s="27"/>
      <c r="F67" s="10"/>
      <c r="G67" s="36" t="s">
        <v>263</v>
      </c>
      <c r="H67" s="37"/>
      <c r="I67" s="37"/>
      <c r="J67" s="27"/>
      <c r="K67" s="27"/>
      <c r="L67" s="27"/>
      <c r="M67" s="27"/>
      <c r="N67" s="27"/>
      <c r="O67" s="40"/>
      <c r="P67" s="42"/>
      <c r="Q67" s="27"/>
      <c r="R67" s="27"/>
    </row>
    <row r="68" spans="1:18" ht="24" customHeight="1">
      <c r="A68" s="27" t="str">
        <f ca="1">IF(OR(D68&lt;&gt;"", E68&lt;&gt;"", K68&lt;&gt;"", N68&lt;&gt;""),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8" s="27"/>
      <c r="C68" s="27"/>
      <c r="D68" s="27"/>
      <c r="E68" s="27"/>
      <c r="F68" s="10"/>
      <c r="G68" s="36" t="s">
        <v>263</v>
      </c>
      <c r="H68" s="37"/>
      <c r="I68" s="37"/>
      <c r="J68" s="27"/>
      <c r="K68" s="27"/>
      <c r="L68" s="27"/>
      <c r="M68" s="27"/>
      <c r="N68" s="27"/>
      <c r="O68" s="40"/>
      <c r="P68" s="42"/>
      <c r="Q68" s="27"/>
      <c r="R68" s="27"/>
    </row>
    <row r="69" spans="1:18" ht="24" customHeight="1">
      <c r="A69" s="27" t="str">
        <f ca="1">IF(OR(D69&lt;&gt;"", E69&lt;&gt;"", K69&lt;&gt;"", N69&lt;&gt;""),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69" s="27"/>
      <c r="C69" s="27"/>
      <c r="D69" s="27"/>
      <c r="E69" s="27"/>
      <c r="F69" s="10"/>
      <c r="G69" s="38" t="s">
        <v>294</v>
      </c>
      <c r="H69" s="37"/>
      <c r="I69" s="37"/>
      <c r="J69" s="27"/>
      <c r="K69" s="27"/>
      <c r="L69" s="27"/>
      <c r="M69" s="27"/>
      <c r="N69" s="27"/>
      <c r="O69" s="40"/>
      <c r="P69" s="42"/>
      <c r="Q69" s="27"/>
      <c r="R69" s="27"/>
    </row>
    <row r="70" spans="1:18" ht="24" customHeight="1">
      <c r="A70" s="27" t="str">
        <f ca="1">IF(OR(D70&lt;&gt;"", E70&lt;&gt;"", K70&lt;&gt;"", N70&lt;&gt;""),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70" s="27"/>
      <c r="C70" s="27"/>
      <c r="D70" s="27"/>
      <c r="E70" s="27"/>
      <c r="F70" s="10"/>
      <c r="G70" s="36" t="s">
        <v>263</v>
      </c>
      <c r="H70" s="37"/>
      <c r="I70" s="37"/>
      <c r="J70" s="27"/>
      <c r="K70" s="27"/>
      <c r="L70" s="27"/>
      <c r="M70" s="27"/>
      <c r="N70" s="27"/>
      <c r="O70" s="40"/>
      <c r="P70" s="42"/>
      <c r="Q70" s="27"/>
      <c r="R70" s="27"/>
    </row>
    <row r="71" spans="1:18" ht="24" customHeight="1">
      <c r="A71" s="27" t="str">
        <f ca="1">IF(OR(D71&lt;&gt;"", E71&lt;&gt;"", K71&lt;&gt;"", N71&lt;&gt;""),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71" s="27"/>
      <c r="C71" s="27"/>
      <c r="D71" s="27"/>
      <c r="E71" s="27"/>
      <c r="F71" s="10"/>
      <c r="G71" s="36" t="s">
        <v>263</v>
      </c>
      <c r="H71" s="37"/>
      <c r="I71" s="37"/>
      <c r="J71" s="27"/>
      <c r="K71" s="27"/>
      <c r="L71" s="27"/>
      <c r="M71" s="27"/>
      <c r="N71" s="27"/>
      <c r="O71" s="40"/>
      <c r="P71" s="42"/>
      <c r="Q71" s="27"/>
      <c r="R71" s="27"/>
    </row>
    <row r="72" spans="1:18" ht="24" customHeight="1">
      <c r="A72" s="27" t="str">
        <f ca="1">IF(OR(D72&lt;&gt;"", E72&lt;&gt;"", K72&lt;&gt;"", N72&lt;&gt;""),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COUNTIF(OFFSET($A$1, 1, 0, ROW()-2, 1), "EVT*") + 1, "0000"), "")</f>
        <v/>
      </c>
      <c r="B72" s="27"/>
      <c r="C72" s="27"/>
      <c r="D72" s="27"/>
      <c r="E72" s="27"/>
      <c r="F72" s="10"/>
      <c r="G72" s="36" t="s">
        <v>263</v>
      </c>
      <c r="H72" s="37"/>
      <c r="I72" s="37"/>
      <c r="J72" s="27"/>
      <c r="K72" s="27"/>
      <c r="L72" s="27"/>
      <c r="M72" s="27"/>
      <c r="N72" s="27"/>
      <c r="O72" s="40"/>
      <c r="P72" s="42"/>
      <c r="Q72" s="27"/>
      <c r="R72" s="27"/>
    </row>
    <row r="73" spans="1:18" ht="14.45" customHeight="1">
      <c r="G73" s="36" t="s">
        <v>263</v>
      </c>
    </row>
    <row r="74" spans="1:18" ht="14.45" customHeight="1">
      <c r="G74" s="36" t="s">
        <v>263</v>
      </c>
    </row>
    <row r="75" spans="1:18" ht="14.45" customHeight="1">
      <c r="G75" s="27"/>
    </row>
    <row r="76" spans="1:18" ht="14.45" customHeight="1">
      <c r="G76" s="36" t="s">
        <v>263</v>
      </c>
    </row>
    <row r="77" spans="1:18" ht="14.45" customHeight="1">
      <c r="G77" s="36" t="s">
        <v>263</v>
      </c>
    </row>
    <row r="78" spans="1:18" ht="14.45" customHeight="1">
      <c r="G78" s="36" t="s">
        <v>263</v>
      </c>
    </row>
    <row r="79" spans="1:18" ht="14.45" customHeight="1">
      <c r="G79" s="36" t="s">
        <v>263</v>
      </c>
    </row>
    <row r="80" spans="1:18" ht="14.45" customHeight="1">
      <c r="G80" s="36" t="s">
        <v>263</v>
      </c>
    </row>
    <row r="81" spans="7:7" ht="14.45" customHeight="1">
      <c r="G81" s="36" t="s">
        <v>263</v>
      </c>
    </row>
    <row r="82" spans="7:7" ht="14.45" customHeight="1">
      <c r="G82" s="38" t="s">
        <v>294</v>
      </c>
    </row>
    <row r="83" spans="7:7" ht="14.45" customHeight="1">
      <c r="G83" s="36" t="s">
        <v>263</v>
      </c>
    </row>
    <row r="84" spans="7:7" ht="14.45" customHeight="1">
      <c r="G84" s="36" t="s">
        <v>263</v>
      </c>
    </row>
    <row r="85" spans="7:7" ht="14.45" customHeight="1">
      <c r="G85" s="27"/>
    </row>
    <row r="86" spans="7:7" ht="14.45" customHeight="1">
      <c r="G86" s="36" t="s">
        <v>263</v>
      </c>
    </row>
    <row r="87" spans="7:7" ht="14.45" customHeight="1">
      <c r="G87" s="38" t="s">
        <v>294</v>
      </c>
    </row>
    <row r="88" spans="7:7" ht="14.45" customHeight="1">
      <c r="G88" s="36" t="s">
        <v>263</v>
      </c>
    </row>
    <row r="89" spans="7:7" ht="14.45" customHeight="1">
      <c r="G89" s="36" t="s">
        <v>263</v>
      </c>
    </row>
    <row r="90" spans="7:7" ht="14.45" customHeight="1">
      <c r="G90" s="36" t="s">
        <v>263</v>
      </c>
    </row>
    <row r="91" spans="7:7" ht="14.45" customHeight="1">
      <c r="G91" s="36" t="s">
        <v>263</v>
      </c>
    </row>
    <row r="92" spans="7:7" ht="14.45" customHeight="1">
      <c r="G92" s="36" t="s">
        <v>263</v>
      </c>
    </row>
    <row r="93" spans="7:7" ht="14.45" customHeight="1">
      <c r="G93" s="27"/>
    </row>
    <row r="94" spans="7:7" ht="14.45" customHeight="1">
      <c r="G94" s="36" t="s">
        <v>263</v>
      </c>
    </row>
    <row r="95" spans="7:7" ht="14.45" customHeight="1">
      <c r="G95" s="36" t="s">
        <v>263</v>
      </c>
    </row>
    <row r="96" spans="7:7" ht="14.45" customHeight="1">
      <c r="G96" s="36" t="s">
        <v>263</v>
      </c>
    </row>
    <row r="97" spans="7:7" ht="14.45" customHeight="1">
      <c r="G97" s="36" t="s">
        <v>263</v>
      </c>
    </row>
    <row r="98" spans="7:7" ht="14.45" customHeight="1">
      <c r="G98" s="36" t="s">
        <v>263</v>
      </c>
    </row>
    <row r="99" spans="7:7" ht="14.45" customHeight="1">
      <c r="G99" s="36" t="s">
        <v>263</v>
      </c>
    </row>
    <row r="100" spans="7:7" ht="14.45" customHeight="1">
      <c r="G100" s="27"/>
    </row>
    <row r="101" spans="7:7" ht="14.45" customHeight="1">
      <c r="G101" s="36" t="s">
        <v>263</v>
      </c>
    </row>
    <row r="102" spans="7:7" ht="14.45" customHeight="1">
      <c r="G102" s="27"/>
    </row>
    <row r="103" spans="7:7" ht="14.45" customHeight="1">
      <c r="G103" s="36" t="s">
        <v>344</v>
      </c>
    </row>
    <row r="104" spans="7:7" ht="14.45" customHeight="1">
      <c r="G104" s="36" t="s">
        <v>263</v>
      </c>
    </row>
    <row r="105" spans="7:7" ht="14.45" customHeight="1">
      <c r="G105" s="36" t="s">
        <v>344</v>
      </c>
    </row>
    <row r="106" spans="7:7" ht="14.45" customHeight="1">
      <c r="G106" s="36" t="s">
        <v>344</v>
      </c>
    </row>
    <row r="107" spans="7:7" ht="14.45" customHeight="1">
      <c r="G107" s="36" t="s">
        <v>263</v>
      </c>
    </row>
    <row r="108" spans="7:7" ht="14.45" customHeight="1">
      <c r="G108" s="36"/>
    </row>
    <row r="109" spans="7:7" ht="14.45" customHeight="1">
      <c r="G109" s="36" t="s">
        <v>344</v>
      </c>
    </row>
    <row r="110" spans="7:7" ht="14.45" customHeight="1">
      <c r="G110" s="36" t="s">
        <v>344</v>
      </c>
    </row>
    <row r="111" spans="7:7" ht="14.45" customHeight="1">
      <c r="G111" s="36" t="s">
        <v>263</v>
      </c>
    </row>
    <row r="112" spans="7:7" ht="14.45" customHeight="1">
      <c r="G112" s="36" t="s">
        <v>263</v>
      </c>
    </row>
    <row r="113" spans="7:7" ht="14.45" customHeight="1">
      <c r="G113" s="36" t="s">
        <v>263</v>
      </c>
    </row>
    <row r="114" spans="7:7" ht="14.45" customHeight="1">
      <c r="G114" s="36" t="s">
        <v>263</v>
      </c>
    </row>
    <row r="115" spans="7:7" ht="14.45" customHeight="1">
      <c r="G115" s="36" t="s">
        <v>344</v>
      </c>
    </row>
    <row r="116" spans="7:7" ht="14.45" customHeight="1">
      <c r="G116" s="36"/>
    </row>
    <row r="117" spans="7:7" ht="14.45" customHeight="1">
      <c r="G117" s="36" t="s">
        <v>344</v>
      </c>
    </row>
    <row r="118" spans="7:7" ht="14.45" customHeight="1">
      <c r="G118" s="36" t="s">
        <v>344</v>
      </c>
    </row>
    <row r="119" spans="7:7" ht="14.45" customHeight="1">
      <c r="G119" s="36" t="s">
        <v>263</v>
      </c>
    </row>
    <row r="120" spans="7:7" ht="14.45" customHeight="1">
      <c r="G120" s="38" t="s">
        <v>294</v>
      </c>
    </row>
    <row r="121" spans="7:7" ht="14.45" customHeight="1">
      <c r="G121" s="36" t="s">
        <v>263</v>
      </c>
    </row>
    <row r="122" spans="7:7" ht="14.45" customHeight="1">
      <c r="G122" s="36" t="s">
        <v>263</v>
      </c>
    </row>
    <row r="123" spans="7:7" ht="14.45" customHeight="1">
      <c r="G123" s="36" t="s">
        <v>263</v>
      </c>
    </row>
    <row r="124" spans="7:7" ht="14.45" customHeight="1">
      <c r="G124" s="36" t="s">
        <v>263</v>
      </c>
    </row>
    <row r="125" spans="7:7" ht="14.45" customHeight="1">
      <c r="G125" s="36"/>
    </row>
    <row r="126" spans="7:7" ht="14.45" customHeight="1">
      <c r="G126" s="36" t="s">
        <v>263</v>
      </c>
    </row>
    <row r="127" spans="7:7" ht="14.45" customHeight="1">
      <c r="G127" s="36" t="s">
        <v>263</v>
      </c>
    </row>
    <row r="128" spans="7:7" ht="14.45" customHeight="1">
      <c r="G128" s="36" t="s">
        <v>263</v>
      </c>
    </row>
    <row r="129" spans="7:7" ht="14.45" customHeight="1">
      <c r="G129" s="36" t="s">
        <v>263</v>
      </c>
    </row>
    <row r="130" spans="7:7" ht="14.45" customHeight="1">
      <c r="G130" s="36" t="s">
        <v>263</v>
      </c>
    </row>
    <row r="131" spans="7:7" ht="14.45" customHeight="1">
      <c r="G131" s="36" t="s">
        <v>263</v>
      </c>
    </row>
    <row r="132" spans="7:7" ht="14.45" customHeight="1">
      <c r="G132" s="38" t="s">
        <v>294</v>
      </c>
    </row>
    <row r="133" spans="7:7" ht="14.45" customHeight="1">
      <c r="G133" s="36" t="s">
        <v>263</v>
      </c>
    </row>
    <row r="134" spans="7:7" ht="14.45" customHeight="1">
      <c r="G134" s="36" t="s">
        <v>263</v>
      </c>
    </row>
    <row r="135" spans="7:7" ht="14.45" customHeight="1">
      <c r="G135" s="36" t="s">
        <v>263</v>
      </c>
    </row>
    <row r="136" spans="7:7" ht="14.45" customHeight="1">
      <c r="G136" s="36" t="s">
        <v>263</v>
      </c>
    </row>
    <row r="137" spans="7:7" ht="14.45" customHeight="1">
      <c r="G137" s="36" t="s">
        <v>263</v>
      </c>
    </row>
    <row r="138" spans="7:7" ht="14.45" customHeight="1">
      <c r="G138" s="36" t="s">
        <v>263</v>
      </c>
    </row>
    <row r="139" spans="7:7" ht="14.45" customHeight="1">
      <c r="G139" s="36"/>
    </row>
    <row r="140" spans="7:7" ht="14.45" customHeight="1">
      <c r="G140" s="36" t="s">
        <v>263</v>
      </c>
    </row>
    <row r="141" spans="7:7" ht="14.45" customHeight="1">
      <c r="G141" s="36" t="s">
        <v>263</v>
      </c>
    </row>
    <row r="142" spans="7:7" ht="14.45" customHeight="1">
      <c r="G142" s="36" t="s">
        <v>263</v>
      </c>
    </row>
    <row r="143" spans="7:7" ht="14.45" customHeight="1">
      <c r="G143" s="36" t="s">
        <v>263</v>
      </c>
    </row>
    <row r="144" spans="7:7" ht="15"/>
    <row r="145" ht="15"/>
    <row r="146" ht="15"/>
  </sheetData>
  <mergeCells count="3">
    <mergeCell ref="A1:C1"/>
    <mergeCell ref="N1:R1"/>
    <mergeCell ref="D1:M1"/>
  </mergeCells>
  <dataValidations count="4">
    <dataValidation type="list" allowBlank="1" sqref="N3:N522 O3:O72" xr:uid="{00000000-0002-0000-1200-000000000000}">
      <formula1>"Confirmed (Done),Pending Calendar Booking,Canceled"</formula1>
    </dataValidation>
    <dataValidation type="list" allowBlank="1" sqref="O3:O122" xr:uid="{00000000-0002-0000-1200-000001000000}">
      <formula1>"Form sent,NA"</formula1>
    </dataValidation>
    <dataValidation type="list" allowBlank="1" sqref="P3:P72" xr:uid="{00000000-0002-0000-1200-000002000000}">
      <formula1>"Form sent,Not Required,NA"</formula1>
    </dataValidation>
    <dataValidation type="list" allowBlank="1" sqref="G2:G143" xr:uid="{29A5AEF1-2518-4335-AFA1-91A8A912A113}">
      <formula1>"Big Event,Small Event,Training,AU Visit"</formula1>
    </dataValidation>
  </dataValidations>
  <hyperlinks>
    <hyperlink ref="A1" location="'Dashboard'!A1" display="🏠 ⮌ RETURN TO DASHBOARD" xr:uid="{00000000-0004-0000-1200-000000000000}"/>
    <hyperlink ref="L13" r:id="rId1" xr:uid="{00000000-0004-0000-1200-000001000000}"/>
    <hyperlink ref="M53" r:id="rId2" xr:uid="{CBDD4676-DDBB-4DCD-ADBA-BBC72D818DD1}"/>
    <hyperlink ref="M56" r:id="rId3" xr:uid="{AD9E1DB4-3D62-47D1-90C3-56741336AE43}"/>
    <hyperlink ref="M57" r:id="rId4" xr:uid="{46C4EB9C-567F-463A-992B-3FFE1DD837A1}"/>
    <hyperlink ref="M45" r:id="rId5" xr:uid="{2AC0E2E0-A07C-4070-A12A-F5CFF2A9B567}"/>
    <hyperlink ref="M50" r:id="rId6" xr:uid="{A33EF4C9-8314-4AEC-867E-A0D62A5A630A}"/>
    <hyperlink ref="M29" r:id="rId7" xr:uid="{DE7AD43C-1CCA-4943-8E51-0B18C1060BE6}"/>
    <hyperlink ref="M31" r:id="rId8" xr:uid="{A2FD58C8-053B-428C-B456-7253B65E8B7F}"/>
    <hyperlink ref="M3" r:id="rId9" xr:uid="{21CA37CA-B9E8-4D6C-9CAB-8DE771DDD1D8}"/>
    <hyperlink ref="M5" r:id="rId10" xr:uid="{A47ED183-C04E-4E2A-AC51-6A61F217163B}"/>
    <hyperlink ref="M30" r:id="rId11" xr:uid="{50C42D82-03B2-4F4C-9F38-A8DF47D52518}"/>
    <hyperlink ref="M46" r:id="rId12" xr:uid="{BA5222EB-C54C-44BD-A2CD-B98B32FFAB6D}"/>
    <hyperlink ref="M47" r:id="rId13" xr:uid="{339E0192-7956-4551-A072-F88F803C495D}"/>
    <hyperlink ref="M48" r:id="rId14" xr:uid="{EE377525-1E15-4ACF-BD7A-B1DA6C22DAC7}"/>
    <hyperlink ref="M4" r:id="rId15" xr:uid="{990A43A4-56BD-4D17-B6B3-5F4AE3F2D3A8}"/>
    <hyperlink ref="M54" r:id="rId16" xr:uid="{46A1058B-4391-4221-BD22-F650F00A10C6}"/>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165"/>
  <sheetViews>
    <sheetView tabSelected="1" topLeftCell="O1" workbookViewId="0">
      <pane ySplit="2" topLeftCell="B137" activePane="bottomLeft" state="frozen"/>
      <selection pane="bottomLeft" activeCell="J142" sqref="J142"/>
    </sheetView>
  </sheetViews>
  <sheetFormatPr defaultRowHeight="14.45"/>
  <cols>
    <col min="1" max="1" width="18" customWidth="1"/>
    <col min="2" max="2" width="15" customWidth="1"/>
    <col min="3" max="3" width="12" customWidth="1"/>
    <col min="4" max="4" width="25" customWidth="1"/>
    <col min="5" max="5" width="12" customWidth="1"/>
    <col min="6" max="6" width="42.42578125" bestFit="1" customWidth="1"/>
    <col min="7" max="7" width="20.42578125" customWidth="1"/>
    <col min="8" max="8" width="15" customWidth="1"/>
    <col min="9" max="9" width="19" customWidth="1"/>
    <col min="10" max="10" width="17" customWidth="1"/>
    <col min="11" max="11" width="36.5703125" customWidth="1"/>
    <col min="12" max="12" width="22" customWidth="1"/>
    <col min="13" max="13" width="23" customWidth="1"/>
    <col min="14" max="14" width="53" customWidth="1"/>
    <col min="15" max="15" width="16" customWidth="1"/>
    <col min="16" max="16" width="27" customWidth="1"/>
    <col min="17" max="17" width="18" customWidth="1"/>
    <col min="18" max="18" width="48" customWidth="1"/>
    <col min="19" max="19" width="40" customWidth="1"/>
  </cols>
  <sheetData>
    <row r="1" spans="1:20" ht="27.95" customHeight="1">
      <c r="A1" s="62" t="s">
        <v>2138</v>
      </c>
      <c r="B1" s="134"/>
      <c r="C1" s="135"/>
      <c r="D1" s="112" t="s">
        <v>2461</v>
      </c>
      <c r="E1" s="113"/>
      <c r="F1" s="113"/>
      <c r="G1" s="113"/>
      <c r="H1" s="113"/>
      <c r="I1" s="113"/>
      <c r="J1" s="113"/>
      <c r="K1" s="113"/>
      <c r="L1" s="113"/>
      <c r="M1" s="113"/>
      <c r="N1" s="114"/>
      <c r="O1" s="61" t="s">
        <v>244</v>
      </c>
      <c r="P1" s="134"/>
      <c r="Q1" s="134"/>
      <c r="R1" s="134"/>
      <c r="S1" s="135"/>
    </row>
    <row r="2" spans="1:20" ht="27.95" customHeight="1">
      <c r="A2" s="35" t="s">
        <v>187</v>
      </c>
      <c r="B2" s="35" t="s">
        <v>246</v>
      </c>
      <c r="C2" s="35" t="s">
        <v>189</v>
      </c>
      <c r="D2" s="35" t="s">
        <v>190</v>
      </c>
      <c r="E2" s="35" t="s">
        <v>247</v>
      </c>
      <c r="F2" s="35" t="s">
        <v>2140</v>
      </c>
      <c r="G2" s="35" t="s">
        <v>2141</v>
      </c>
      <c r="H2" s="35" t="s">
        <v>251</v>
      </c>
      <c r="I2" s="35" t="s">
        <v>2142</v>
      </c>
      <c r="J2" s="35" t="s">
        <v>2143</v>
      </c>
      <c r="K2" s="35" t="s">
        <v>1449</v>
      </c>
      <c r="L2" s="35" t="s">
        <v>255</v>
      </c>
      <c r="M2" s="35" t="s">
        <v>193</v>
      </c>
      <c r="N2" s="35" t="s">
        <v>256</v>
      </c>
      <c r="O2" s="35" t="s">
        <v>259</v>
      </c>
      <c r="P2" s="35" t="s">
        <v>194</v>
      </c>
      <c r="Q2" s="35" t="s">
        <v>258</v>
      </c>
      <c r="R2" s="35" t="s">
        <v>260</v>
      </c>
      <c r="S2" s="35" t="s">
        <v>261</v>
      </c>
    </row>
    <row r="3" spans="1:20"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EVT-2026-1177</v>
      </c>
      <c r="B3" s="30">
        <v>46266</v>
      </c>
      <c r="C3" s="27" t="s">
        <v>227</v>
      </c>
      <c r="D3" s="27" t="s">
        <v>125</v>
      </c>
      <c r="E3" s="27" t="s">
        <v>228</v>
      </c>
      <c r="F3" s="27" t="s">
        <v>1868</v>
      </c>
      <c r="G3" s="10">
        <v>50</v>
      </c>
      <c r="H3" s="36" t="s">
        <v>263</v>
      </c>
      <c r="I3" s="37" t="s">
        <v>309</v>
      </c>
      <c r="J3" s="37" t="s">
        <v>270</v>
      </c>
      <c r="K3" s="27" t="s">
        <v>1445</v>
      </c>
      <c r="L3" s="27" t="s">
        <v>1445</v>
      </c>
      <c r="M3" s="27" t="s">
        <v>1080</v>
      </c>
      <c r="N3" s="27" t="s">
        <v>2462</v>
      </c>
      <c r="O3" s="47">
        <v>46249</v>
      </c>
      <c r="P3" s="41" t="s">
        <v>264</v>
      </c>
      <c r="Q3" s="29" t="s">
        <v>265</v>
      </c>
      <c r="R3" s="27" t="s">
        <v>298</v>
      </c>
      <c r="S3" s="27" t="s">
        <v>2350</v>
      </c>
    </row>
    <row r="4" spans="1:20"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EVT-2026-1178</v>
      </c>
      <c r="B4" s="30">
        <v>46266</v>
      </c>
      <c r="C4" s="27" t="s">
        <v>227</v>
      </c>
      <c r="D4" s="27" t="s">
        <v>125</v>
      </c>
      <c r="E4" s="27" t="s">
        <v>228</v>
      </c>
      <c r="F4" s="27" t="s">
        <v>2463</v>
      </c>
      <c r="G4" s="10">
        <v>40</v>
      </c>
      <c r="H4" s="36" t="s">
        <v>263</v>
      </c>
      <c r="I4" s="37">
        <v>0.375</v>
      </c>
      <c r="J4" s="37">
        <v>0.39583333333333331</v>
      </c>
      <c r="K4" s="27" t="s">
        <v>1445</v>
      </c>
      <c r="L4" s="27" t="s">
        <v>2464</v>
      </c>
      <c r="M4" s="27" t="s">
        <v>2465</v>
      </c>
      <c r="N4" s="27" t="s">
        <v>2466</v>
      </c>
      <c r="O4" s="47"/>
      <c r="P4" s="41" t="s">
        <v>264</v>
      </c>
      <c r="Q4" s="29"/>
      <c r="R4" s="27" t="s">
        <v>298</v>
      </c>
      <c r="S4" s="27" t="s">
        <v>1846</v>
      </c>
    </row>
    <row r="5" spans="1:20"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EVT-2026-1179</v>
      </c>
      <c r="B5" s="30">
        <v>46266</v>
      </c>
      <c r="C5" s="27" t="s">
        <v>227</v>
      </c>
      <c r="D5" s="27" t="s">
        <v>736</v>
      </c>
      <c r="E5" s="27" t="s">
        <v>202</v>
      </c>
      <c r="F5" s="27" t="s">
        <v>203</v>
      </c>
      <c r="G5" s="10">
        <v>55</v>
      </c>
      <c r="H5" s="36" t="s">
        <v>263</v>
      </c>
      <c r="I5" s="37" t="s">
        <v>269</v>
      </c>
      <c r="J5" s="37" t="s">
        <v>270</v>
      </c>
      <c r="K5" s="27" t="s">
        <v>1445</v>
      </c>
      <c r="L5" s="27" t="s">
        <v>1445</v>
      </c>
      <c r="M5" s="27" t="s">
        <v>351</v>
      </c>
      <c r="N5" s="27" t="s">
        <v>1688</v>
      </c>
      <c r="O5" s="27"/>
      <c r="P5" s="41" t="s">
        <v>264</v>
      </c>
      <c r="Q5" s="29" t="s">
        <v>265</v>
      </c>
      <c r="R5" s="27" t="s">
        <v>2030</v>
      </c>
      <c r="S5" s="27" t="s">
        <v>2350</v>
      </c>
    </row>
    <row r="6" spans="1:20"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EVT-2026-1180</v>
      </c>
      <c r="B6" s="30">
        <v>46266</v>
      </c>
      <c r="C6" s="27" t="s">
        <v>227</v>
      </c>
      <c r="D6" s="27" t="s">
        <v>2018</v>
      </c>
      <c r="E6" s="27" t="s">
        <v>1260</v>
      </c>
      <c r="F6" s="27" t="s">
        <v>203</v>
      </c>
      <c r="G6" s="10">
        <v>25</v>
      </c>
      <c r="H6" s="36" t="s">
        <v>263</v>
      </c>
      <c r="I6" s="37" t="s">
        <v>269</v>
      </c>
      <c r="J6" s="37" t="s">
        <v>270</v>
      </c>
      <c r="K6" s="27" t="s">
        <v>1445</v>
      </c>
      <c r="L6" s="27" t="s">
        <v>1445</v>
      </c>
      <c r="M6" s="27" t="s">
        <v>351</v>
      </c>
      <c r="N6" s="27" t="s">
        <v>1688</v>
      </c>
      <c r="O6" s="30">
        <v>46218</v>
      </c>
      <c r="P6" s="41" t="s">
        <v>264</v>
      </c>
      <c r="Q6" s="29" t="s">
        <v>265</v>
      </c>
      <c r="R6" s="27" t="s">
        <v>2030</v>
      </c>
      <c r="S6" s="27" t="s">
        <v>1497</v>
      </c>
    </row>
    <row r="7" spans="1:20"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EVT-2026-1181</v>
      </c>
      <c r="B7" s="30">
        <v>46266</v>
      </c>
      <c r="C7" s="27" t="s">
        <v>227</v>
      </c>
      <c r="D7" s="27" t="s">
        <v>2386</v>
      </c>
      <c r="E7" s="27" t="s">
        <v>228</v>
      </c>
      <c r="F7" s="27" t="s">
        <v>203</v>
      </c>
      <c r="G7" s="10">
        <v>18</v>
      </c>
      <c r="H7" s="36" t="s">
        <v>263</v>
      </c>
      <c r="I7" s="37" t="s">
        <v>269</v>
      </c>
      <c r="J7" s="37" t="s">
        <v>270</v>
      </c>
      <c r="K7" s="27" t="s">
        <v>1445</v>
      </c>
      <c r="L7" s="27" t="s">
        <v>1445</v>
      </c>
      <c r="M7" s="27" t="s">
        <v>1445</v>
      </c>
      <c r="N7" s="27" t="s">
        <v>2029</v>
      </c>
      <c r="O7" s="30" t="s">
        <v>2385</v>
      </c>
      <c r="P7" s="41" t="s">
        <v>264</v>
      </c>
      <c r="Q7" s="29" t="s">
        <v>265</v>
      </c>
      <c r="R7" s="48" t="s">
        <v>2030</v>
      </c>
      <c r="S7" s="27" t="s">
        <v>1497</v>
      </c>
      <c r="T7" s="27"/>
    </row>
    <row r="8" spans="1:20"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EVT-2026-1182</v>
      </c>
      <c r="B8" s="30">
        <v>46266</v>
      </c>
      <c r="C8" s="27" t="s">
        <v>227</v>
      </c>
      <c r="D8" s="27" t="s">
        <v>1366</v>
      </c>
      <c r="E8" s="27" t="s">
        <v>208</v>
      </c>
      <c r="F8" s="27" t="s">
        <v>217</v>
      </c>
      <c r="G8" s="10">
        <v>50</v>
      </c>
      <c r="H8" s="36" t="s">
        <v>263</v>
      </c>
      <c r="I8" s="37" t="s">
        <v>309</v>
      </c>
      <c r="J8" s="37" t="s">
        <v>296</v>
      </c>
      <c r="K8" s="27" t="s">
        <v>1445</v>
      </c>
      <c r="L8" s="27" t="s">
        <v>1445</v>
      </c>
      <c r="M8" s="27" t="s">
        <v>1080</v>
      </c>
      <c r="N8" s="27" t="s">
        <v>2462</v>
      </c>
      <c r="O8" s="27"/>
      <c r="P8" s="41" t="s">
        <v>264</v>
      </c>
      <c r="Q8" s="29" t="s">
        <v>265</v>
      </c>
      <c r="R8" s="27" t="s">
        <v>2030</v>
      </c>
      <c r="S8" s="27" t="s">
        <v>1497</v>
      </c>
    </row>
    <row r="9" spans="1:20"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EVT-2026-1183</v>
      </c>
      <c r="B9" s="30">
        <v>46266</v>
      </c>
      <c r="C9" s="27" t="s">
        <v>227</v>
      </c>
      <c r="D9" s="27" t="s">
        <v>1366</v>
      </c>
      <c r="E9" s="27" t="s">
        <v>202</v>
      </c>
      <c r="F9" s="27" t="s">
        <v>2467</v>
      </c>
      <c r="G9" s="10">
        <v>50</v>
      </c>
      <c r="H9" s="36" t="s">
        <v>263</v>
      </c>
      <c r="I9" s="37">
        <v>0.58333333333333337</v>
      </c>
      <c r="J9" s="37">
        <v>0.69444444444444442</v>
      </c>
      <c r="K9" s="27" t="s">
        <v>1445</v>
      </c>
      <c r="L9" s="27" t="s">
        <v>1670</v>
      </c>
      <c r="M9" s="27" t="s">
        <v>916</v>
      </c>
      <c r="N9" s="27" t="s">
        <v>2468</v>
      </c>
      <c r="O9" s="27" t="s">
        <v>2469</v>
      </c>
      <c r="P9" s="3" t="s">
        <v>312</v>
      </c>
      <c r="Q9" s="29" t="s">
        <v>265</v>
      </c>
      <c r="R9" s="27" t="s">
        <v>2470</v>
      </c>
      <c r="S9" s="27" t="s">
        <v>1846</v>
      </c>
    </row>
    <row r="10" spans="1:20"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EVT-2026-1184</v>
      </c>
      <c r="B10" s="30">
        <v>46266</v>
      </c>
      <c r="C10" s="27" t="s">
        <v>227</v>
      </c>
      <c r="D10" s="27" t="s">
        <v>239</v>
      </c>
      <c r="E10" s="27" t="s">
        <v>202</v>
      </c>
      <c r="F10" s="27" t="s">
        <v>2471</v>
      </c>
      <c r="G10" s="10">
        <v>100</v>
      </c>
      <c r="H10" s="36" t="s">
        <v>263</v>
      </c>
      <c r="I10" s="37">
        <v>0.58333333333333337</v>
      </c>
      <c r="J10" s="37">
        <v>0.6875</v>
      </c>
      <c r="K10" s="27" t="s">
        <v>1445</v>
      </c>
      <c r="L10" s="27" t="s">
        <v>1670</v>
      </c>
      <c r="M10" s="27" t="s">
        <v>2472</v>
      </c>
      <c r="N10" s="27" t="s">
        <v>2473</v>
      </c>
      <c r="O10" s="27" t="s">
        <v>2469</v>
      </c>
      <c r="P10" s="41" t="s">
        <v>264</v>
      </c>
      <c r="Q10" s="29" t="s">
        <v>265</v>
      </c>
      <c r="R10" s="27" t="s">
        <v>2391</v>
      </c>
      <c r="S10" s="27" t="s">
        <v>1846</v>
      </c>
    </row>
    <row r="11" spans="1:20" ht="33"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EVT-2026-1185</v>
      </c>
      <c r="B11" s="30">
        <v>46266</v>
      </c>
      <c r="C11" s="27" t="s">
        <v>227</v>
      </c>
      <c r="D11" s="27" t="s">
        <v>2474</v>
      </c>
      <c r="E11" s="27" t="s">
        <v>208</v>
      </c>
      <c r="F11" s="27" t="s">
        <v>1651</v>
      </c>
      <c r="G11" s="36">
        <v>1</v>
      </c>
      <c r="H11" s="36" t="s">
        <v>263</v>
      </c>
      <c r="I11" s="37">
        <v>0.375</v>
      </c>
      <c r="J11" s="37">
        <v>0.70833333333333337</v>
      </c>
      <c r="K11" s="27" t="s">
        <v>2475</v>
      </c>
      <c r="L11" s="49" t="s">
        <v>1445</v>
      </c>
      <c r="M11" s="49" t="s">
        <v>2416</v>
      </c>
      <c r="N11" s="43" t="s">
        <v>2417</v>
      </c>
      <c r="O11" s="45"/>
      <c r="P11" s="41" t="s">
        <v>264</v>
      </c>
      <c r="Q11" s="29" t="s">
        <v>265</v>
      </c>
      <c r="R11" s="27" t="s">
        <v>2476</v>
      </c>
      <c r="S11" s="27" t="s">
        <v>2350</v>
      </c>
    </row>
    <row r="12" spans="1:20" ht="24" customHeight="1">
      <c r="A12" s="27"/>
      <c r="B12" s="30"/>
      <c r="C12" s="27"/>
      <c r="D12" s="27"/>
      <c r="E12" s="27"/>
      <c r="F12" s="27"/>
      <c r="G12" s="27"/>
      <c r="H12" s="27"/>
      <c r="I12" s="27"/>
      <c r="J12" s="10"/>
      <c r="K12" s="10"/>
      <c r="L12" s="27"/>
      <c r="M12" s="27"/>
      <c r="N12" s="27"/>
      <c r="O12" s="27"/>
      <c r="P12" s="40"/>
      <c r="Q12" s="29"/>
      <c r="R12" s="27"/>
      <c r="S12" s="27"/>
    </row>
    <row r="13" spans="1:20"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EVT-2026-1186</v>
      </c>
      <c r="B13" s="30">
        <v>46267</v>
      </c>
      <c r="C13" s="27" t="s">
        <v>201</v>
      </c>
      <c r="D13" s="27" t="s">
        <v>2018</v>
      </c>
      <c r="E13" s="27" t="s">
        <v>1260</v>
      </c>
      <c r="F13" s="27" t="s">
        <v>203</v>
      </c>
      <c r="G13" s="10">
        <v>25</v>
      </c>
      <c r="H13" s="36" t="s">
        <v>263</v>
      </c>
      <c r="I13" s="37" t="s">
        <v>269</v>
      </c>
      <c r="J13" s="37" t="s">
        <v>270</v>
      </c>
      <c r="K13" s="27" t="s">
        <v>1445</v>
      </c>
      <c r="L13" s="27" t="s">
        <v>1445</v>
      </c>
      <c r="M13" s="27" t="s">
        <v>351</v>
      </c>
      <c r="N13" s="27" t="s">
        <v>1688</v>
      </c>
      <c r="O13" s="30">
        <v>46218</v>
      </c>
      <c r="P13" s="41" t="s">
        <v>264</v>
      </c>
      <c r="Q13" s="29" t="s">
        <v>265</v>
      </c>
      <c r="R13" s="27" t="s">
        <v>2030</v>
      </c>
      <c r="S13" s="27" t="s">
        <v>1497</v>
      </c>
    </row>
    <row r="14" spans="1:20"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EVT-2026-1187</v>
      </c>
      <c r="B14" s="30">
        <v>46267</v>
      </c>
      <c r="C14" s="27" t="s">
        <v>201</v>
      </c>
      <c r="D14" s="27" t="s">
        <v>736</v>
      </c>
      <c r="E14" s="27" t="s">
        <v>202</v>
      </c>
      <c r="F14" s="27" t="s">
        <v>203</v>
      </c>
      <c r="G14" s="10">
        <v>55</v>
      </c>
      <c r="H14" s="36" t="s">
        <v>263</v>
      </c>
      <c r="I14" s="37" t="s">
        <v>269</v>
      </c>
      <c r="J14" s="37" t="s">
        <v>270</v>
      </c>
      <c r="K14" s="27" t="s">
        <v>1445</v>
      </c>
      <c r="L14" s="27" t="s">
        <v>1445</v>
      </c>
      <c r="M14" s="27" t="s">
        <v>351</v>
      </c>
      <c r="N14" s="27" t="s">
        <v>1688</v>
      </c>
      <c r="O14" s="27"/>
      <c r="P14" s="41" t="s">
        <v>264</v>
      </c>
      <c r="Q14" s="29" t="s">
        <v>265</v>
      </c>
      <c r="R14" s="27" t="s">
        <v>2030</v>
      </c>
      <c r="S14" s="27" t="s">
        <v>1497</v>
      </c>
    </row>
    <row r="15" spans="1:20"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EVT-2026-1188</v>
      </c>
      <c r="B15" s="30">
        <v>46267</v>
      </c>
      <c r="C15" s="27" t="s">
        <v>201</v>
      </c>
      <c r="D15" s="27" t="s">
        <v>2386</v>
      </c>
      <c r="E15" s="27" t="s">
        <v>228</v>
      </c>
      <c r="F15" s="27" t="s">
        <v>203</v>
      </c>
      <c r="G15" s="10">
        <v>18</v>
      </c>
      <c r="H15" s="36" t="s">
        <v>263</v>
      </c>
      <c r="I15" s="37" t="s">
        <v>269</v>
      </c>
      <c r="J15" s="37" t="s">
        <v>270</v>
      </c>
      <c r="K15" s="27" t="s">
        <v>1445</v>
      </c>
      <c r="L15" s="27" t="s">
        <v>1445</v>
      </c>
      <c r="M15" s="27" t="s">
        <v>1445</v>
      </c>
      <c r="N15" s="27" t="s">
        <v>2029</v>
      </c>
      <c r="O15" s="30" t="s">
        <v>2385</v>
      </c>
      <c r="P15" s="41" t="s">
        <v>264</v>
      </c>
      <c r="Q15" s="29" t="s">
        <v>265</v>
      </c>
      <c r="R15" s="48" t="s">
        <v>2030</v>
      </c>
      <c r="S15" s="27" t="s">
        <v>1497</v>
      </c>
    </row>
    <row r="16" spans="1:20"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EVT-2026-1189</v>
      </c>
      <c r="B16" s="30">
        <v>46267</v>
      </c>
      <c r="C16" s="27" t="s">
        <v>201</v>
      </c>
      <c r="D16" s="27" t="s">
        <v>125</v>
      </c>
      <c r="E16" s="27" t="s">
        <v>228</v>
      </c>
      <c r="F16" s="27" t="s">
        <v>2477</v>
      </c>
      <c r="G16" s="10">
        <v>30</v>
      </c>
      <c r="H16" s="36" t="s">
        <v>263</v>
      </c>
      <c r="I16" s="37">
        <v>0.41666666666666669</v>
      </c>
      <c r="J16" s="37">
        <v>0.54166666666666663</v>
      </c>
      <c r="K16" s="27" t="s">
        <v>382</v>
      </c>
      <c r="L16" s="27" t="s">
        <v>2080</v>
      </c>
      <c r="M16" s="27" t="s">
        <v>2478</v>
      </c>
      <c r="N16" s="27" t="s">
        <v>2479</v>
      </c>
      <c r="O16" s="27" t="s">
        <v>2480</v>
      </c>
      <c r="P16" s="41" t="s">
        <v>264</v>
      </c>
      <c r="Q16" s="29" t="s">
        <v>1445</v>
      </c>
      <c r="R16" s="27" t="s">
        <v>2481</v>
      </c>
      <c r="S16" s="27" t="s">
        <v>1497</v>
      </c>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EVT-2026-1190</v>
      </c>
      <c r="B17" s="30">
        <v>46267</v>
      </c>
      <c r="C17" s="27" t="s">
        <v>201</v>
      </c>
      <c r="D17" s="27" t="s">
        <v>125</v>
      </c>
      <c r="E17" s="27" t="s">
        <v>228</v>
      </c>
      <c r="F17" s="27" t="s">
        <v>1868</v>
      </c>
      <c r="G17" s="10">
        <v>50</v>
      </c>
      <c r="H17" s="36" t="s">
        <v>263</v>
      </c>
      <c r="I17" s="37" t="s">
        <v>309</v>
      </c>
      <c r="J17" s="37" t="s">
        <v>270</v>
      </c>
      <c r="K17" s="27" t="s">
        <v>1445</v>
      </c>
      <c r="L17" s="27" t="s">
        <v>1445</v>
      </c>
      <c r="M17" s="27" t="s">
        <v>1080</v>
      </c>
      <c r="N17" s="27" t="s">
        <v>2462</v>
      </c>
      <c r="O17" s="27"/>
      <c r="P17" s="41" t="s">
        <v>264</v>
      </c>
      <c r="Q17" s="29" t="s">
        <v>265</v>
      </c>
      <c r="R17" s="27" t="s">
        <v>2481</v>
      </c>
      <c r="S17" s="27" t="s">
        <v>1497</v>
      </c>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EVT-2026-1191</v>
      </c>
      <c r="B18" s="30">
        <v>46267</v>
      </c>
      <c r="C18" s="27" t="s">
        <v>201</v>
      </c>
      <c r="D18" s="27" t="s">
        <v>1366</v>
      </c>
      <c r="E18" s="27" t="s">
        <v>208</v>
      </c>
      <c r="F18" s="27" t="s">
        <v>217</v>
      </c>
      <c r="G18" s="10">
        <v>50</v>
      </c>
      <c r="H18" s="36" t="s">
        <v>263</v>
      </c>
      <c r="I18" s="37" t="s">
        <v>309</v>
      </c>
      <c r="J18" s="37" t="s">
        <v>296</v>
      </c>
      <c r="K18" s="27" t="s">
        <v>1445</v>
      </c>
      <c r="L18" s="27" t="s">
        <v>1445</v>
      </c>
      <c r="M18" s="27" t="s">
        <v>1080</v>
      </c>
      <c r="N18" s="27" t="s">
        <v>2462</v>
      </c>
      <c r="O18" s="27"/>
      <c r="P18" s="41" t="s">
        <v>264</v>
      </c>
      <c r="Q18" s="29" t="s">
        <v>265</v>
      </c>
      <c r="R18" s="27" t="s">
        <v>2030</v>
      </c>
      <c r="S18" s="27" t="s">
        <v>1497</v>
      </c>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EVT-2026-1192</v>
      </c>
      <c r="B19" s="30">
        <v>46267</v>
      </c>
      <c r="C19" s="27" t="s">
        <v>201</v>
      </c>
      <c r="D19" s="27" t="s">
        <v>2474</v>
      </c>
      <c r="E19" s="27" t="s">
        <v>208</v>
      </c>
      <c r="F19" s="27" t="s">
        <v>1651</v>
      </c>
      <c r="G19" s="36">
        <v>1</v>
      </c>
      <c r="H19" s="36" t="s">
        <v>263</v>
      </c>
      <c r="I19" s="37">
        <v>0.375</v>
      </c>
      <c r="J19" s="37">
        <v>0.70833333333333337</v>
      </c>
      <c r="K19" s="27" t="s">
        <v>2475</v>
      </c>
      <c r="L19" s="49" t="s">
        <v>1445</v>
      </c>
      <c r="M19" s="49" t="s">
        <v>2416</v>
      </c>
      <c r="N19" s="43" t="s">
        <v>2417</v>
      </c>
      <c r="O19" s="45"/>
      <c r="P19" s="41" t="s">
        <v>264</v>
      </c>
      <c r="Q19" s="29" t="s">
        <v>265</v>
      </c>
      <c r="R19" s="27" t="s">
        <v>2476</v>
      </c>
      <c r="S19" s="27" t="s">
        <v>1497</v>
      </c>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EVT-2026-1193</v>
      </c>
      <c r="B20" s="30">
        <v>46267</v>
      </c>
      <c r="C20" s="27" t="s">
        <v>201</v>
      </c>
      <c r="D20" s="27" t="s">
        <v>1366</v>
      </c>
      <c r="E20" s="27" t="s">
        <v>208</v>
      </c>
      <c r="F20" s="27" t="s">
        <v>1167</v>
      </c>
      <c r="G20" s="27">
        <v>20</v>
      </c>
      <c r="H20" s="36" t="s">
        <v>263</v>
      </c>
      <c r="I20" s="37">
        <v>0.41666666666666669</v>
      </c>
      <c r="J20" s="37">
        <v>0.5</v>
      </c>
      <c r="K20" s="27" t="s">
        <v>1445</v>
      </c>
      <c r="L20" s="27" t="s">
        <v>1670</v>
      </c>
      <c r="M20" s="49" t="s">
        <v>2482</v>
      </c>
      <c r="N20" s="43" t="s">
        <v>2483</v>
      </c>
      <c r="O20" s="27"/>
      <c r="P20" s="27"/>
      <c r="Q20" s="29" t="s">
        <v>265</v>
      </c>
      <c r="R20" s="27" t="s">
        <v>2481</v>
      </c>
      <c r="S20" s="27" t="s">
        <v>1846</v>
      </c>
    </row>
    <row r="21" spans="1:19" ht="24" customHeight="1">
      <c r="A21" s="27"/>
      <c r="B21" s="30"/>
      <c r="C21" s="27"/>
      <c r="D21" s="27"/>
      <c r="E21" s="27"/>
      <c r="F21" s="27"/>
      <c r="G21" s="27"/>
      <c r="H21" s="27"/>
      <c r="I21" s="37"/>
      <c r="J21" s="37"/>
      <c r="K21" s="27"/>
      <c r="L21" s="27"/>
      <c r="M21" s="27"/>
      <c r="N21" s="27"/>
      <c r="O21" s="27"/>
      <c r="P21" s="27"/>
      <c r="Q21" s="27"/>
      <c r="R21" s="27"/>
      <c r="S21" s="27"/>
    </row>
    <row r="22" spans="1:19" ht="24" customHeight="1">
      <c r="A22" s="27"/>
      <c r="B22" s="30"/>
      <c r="C22" s="27"/>
      <c r="D22" s="27"/>
      <c r="E22" s="27"/>
      <c r="F22" s="27"/>
      <c r="G22" s="27"/>
      <c r="H22" s="27"/>
      <c r="I22" s="37"/>
      <c r="J22" s="37"/>
      <c r="K22" s="27"/>
      <c r="L22" s="27"/>
      <c r="M22" s="27"/>
      <c r="N22" s="27"/>
      <c r="O22" s="27"/>
      <c r="P22" s="27"/>
      <c r="Q22" s="27"/>
      <c r="R22" s="27"/>
      <c r="S22" s="27"/>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EVT-2026-1194</v>
      </c>
      <c r="B23" s="30">
        <v>46268</v>
      </c>
      <c r="C23" s="27" t="s">
        <v>216</v>
      </c>
      <c r="D23" s="27" t="s">
        <v>125</v>
      </c>
      <c r="E23" s="27" t="s">
        <v>202</v>
      </c>
      <c r="F23" s="27" t="s">
        <v>2043</v>
      </c>
      <c r="G23" s="10">
        <v>50</v>
      </c>
      <c r="H23" s="36" t="s">
        <v>263</v>
      </c>
      <c r="I23" s="37">
        <v>0.61111111111111116</v>
      </c>
      <c r="J23" s="37" t="s">
        <v>270</v>
      </c>
      <c r="K23" s="27" t="s">
        <v>1445</v>
      </c>
      <c r="L23" s="27" t="s">
        <v>1445</v>
      </c>
      <c r="M23" s="27" t="s">
        <v>1080</v>
      </c>
      <c r="N23" s="27" t="s">
        <v>2462</v>
      </c>
      <c r="O23" s="27"/>
      <c r="P23" s="41" t="s">
        <v>264</v>
      </c>
      <c r="Q23" s="29" t="s">
        <v>265</v>
      </c>
      <c r="R23" s="27" t="s">
        <v>298</v>
      </c>
      <c r="S23" s="27" t="s">
        <v>2350</v>
      </c>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EVT-2026-1195</v>
      </c>
      <c r="B24" s="30">
        <v>46268</v>
      </c>
      <c r="C24" s="27" t="s">
        <v>216</v>
      </c>
      <c r="D24" s="27" t="s">
        <v>1366</v>
      </c>
      <c r="E24" s="27" t="s">
        <v>202</v>
      </c>
      <c r="F24" s="27" t="s">
        <v>2484</v>
      </c>
      <c r="G24" s="10">
        <v>21</v>
      </c>
      <c r="H24" s="36" t="s">
        <v>263</v>
      </c>
      <c r="I24" s="37">
        <v>0.33333333333333331</v>
      </c>
      <c r="J24" s="37">
        <v>0.66666666666666663</v>
      </c>
      <c r="K24" s="27" t="s">
        <v>382</v>
      </c>
      <c r="L24" s="27" t="s">
        <v>1445</v>
      </c>
      <c r="M24" s="27" t="s">
        <v>2485</v>
      </c>
      <c r="N24" s="27"/>
      <c r="O24" s="27"/>
      <c r="P24" s="41"/>
      <c r="Q24" s="29"/>
      <c r="R24" s="27"/>
      <c r="S24" s="27"/>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EVT-2026-1196</v>
      </c>
      <c r="B25" s="30">
        <v>46268</v>
      </c>
      <c r="C25" s="27" t="s">
        <v>216</v>
      </c>
      <c r="D25" s="27" t="s">
        <v>1366</v>
      </c>
      <c r="E25" s="27" t="s">
        <v>202</v>
      </c>
      <c r="F25" s="27" t="s">
        <v>2486</v>
      </c>
      <c r="G25" s="10">
        <v>40</v>
      </c>
      <c r="H25" s="36" t="s">
        <v>263</v>
      </c>
      <c r="I25" s="37" t="s">
        <v>350</v>
      </c>
      <c r="J25" s="37" t="s">
        <v>289</v>
      </c>
      <c r="K25" s="27" t="s">
        <v>1445</v>
      </c>
      <c r="L25" s="27" t="s">
        <v>2080</v>
      </c>
      <c r="M25" s="27" t="s">
        <v>2487</v>
      </c>
      <c r="N25" s="39" t="s">
        <v>2082</v>
      </c>
      <c r="O25" s="27" t="s">
        <v>2383</v>
      </c>
      <c r="P25" s="41" t="s">
        <v>264</v>
      </c>
      <c r="Q25" s="29" t="s">
        <v>265</v>
      </c>
      <c r="R25" s="27" t="s">
        <v>2391</v>
      </c>
      <c r="S25" s="27" t="s">
        <v>2350</v>
      </c>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EVT-2026-1197</v>
      </c>
      <c r="B26" s="30">
        <v>46268</v>
      </c>
      <c r="C26" s="27" t="s">
        <v>216</v>
      </c>
      <c r="D26" s="27" t="s">
        <v>125</v>
      </c>
      <c r="E26" s="27" t="s">
        <v>228</v>
      </c>
      <c r="F26" s="27" t="s">
        <v>2083</v>
      </c>
      <c r="G26" s="10">
        <v>45</v>
      </c>
      <c r="H26" s="36" t="s">
        <v>263</v>
      </c>
      <c r="I26" s="37" t="s">
        <v>281</v>
      </c>
      <c r="J26" s="37" t="s">
        <v>506</v>
      </c>
      <c r="K26" s="27" t="s">
        <v>1445</v>
      </c>
      <c r="L26" s="27" t="s">
        <v>1670</v>
      </c>
      <c r="M26" s="27" t="s">
        <v>1695</v>
      </c>
      <c r="N26" s="27" t="s">
        <v>2084</v>
      </c>
      <c r="O26" s="30" t="s">
        <v>2488</v>
      </c>
      <c r="P26" s="41" t="s">
        <v>264</v>
      </c>
      <c r="Q26" s="29" t="s">
        <v>265</v>
      </c>
      <c r="R26" s="27" t="s">
        <v>2085</v>
      </c>
      <c r="S26" s="27" t="s">
        <v>1497</v>
      </c>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EVT-2026-1198</v>
      </c>
      <c r="B27" s="30">
        <v>46268</v>
      </c>
      <c r="C27" s="27" t="s">
        <v>216</v>
      </c>
      <c r="D27" s="27" t="s">
        <v>125</v>
      </c>
      <c r="E27" s="27" t="s">
        <v>228</v>
      </c>
      <c r="F27" s="27" t="s">
        <v>2489</v>
      </c>
      <c r="G27" s="10">
        <v>60</v>
      </c>
      <c r="H27" s="36" t="s">
        <v>263</v>
      </c>
      <c r="I27" s="37" t="s">
        <v>295</v>
      </c>
      <c r="J27" s="37" t="s">
        <v>290</v>
      </c>
      <c r="K27" s="27" t="s">
        <v>2490</v>
      </c>
      <c r="L27" s="27" t="s">
        <v>2464</v>
      </c>
      <c r="M27" s="27" t="s">
        <v>1606</v>
      </c>
      <c r="N27" s="27" t="s">
        <v>2087</v>
      </c>
      <c r="O27" s="30">
        <v>46253</v>
      </c>
      <c r="P27" s="41" t="s">
        <v>264</v>
      </c>
      <c r="Q27" s="29" t="s">
        <v>265</v>
      </c>
      <c r="R27" s="27" t="s">
        <v>2491</v>
      </c>
      <c r="S27" s="27" t="s">
        <v>2350</v>
      </c>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EVT-2026-1199</v>
      </c>
      <c r="B28" s="30">
        <v>46268</v>
      </c>
      <c r="C28" s="27" t="s">
        <v>216</v>
      </c>
      <c r="D28" s="27" t="s">
        <v>736</v>
      </c>
      <c r="E28" s="27" t="s">
        <v>202</v>
      </c>
      <c r="F28" s="27" t="s">
        <v>203</v>
      </c>
      <c r="G28" s="10">
        <v>55</v>
      </c>
      <c r="H28" s="36" t="s">
        <v>263</v>
      </c>
      <c r="I28" s="37" t="s">
        <v>269</v>
      </c>
      <c r="J28" s="37" t="s">
        <v>270</v>
      </c>
      <c r="K28" s="27" t="s">
        <v>1445</v>
      </c>
      <c r="L28" s="27" t="s">
        <v>1445</v>
      </c>
      <c r="M28" s="27" t="s">
        <v>351</v>
      </c>
      <c r="N28" s="27" t="s">
        <v>1688</v>
      </c>
      <c r="O28" s="27"/>
      <c r="P28" s="41" t="s">
        <v>264</v>
      </c>
      <c r="Q28" s="29" t="s">
        <v>265</v>
      </c>
      <c r="R28" s="27" t="s">
        <v>2030</v>
      </c>
      <c r="S28" s="27" t="s">
        <v>2350</v>
      </c>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EVT-2026-1200</v>
      </c>
      <c r="B29" s="30">
        <v>46268</v>
      </c>
      <c r="C29" s="27" t="s">
        <v>216</v>
      </c>
      <c r="D29" s="27" t="s">
        <v>2018</v>
      </c>
      <c r="E29" s="27" t="s">
        <v>1260</v>
      </c>
      <c r="F29" s="27" t="s">
        <v>203</v>
      </c>
      <c r="G29" s="10">
        <v>25</v>
      </c>
      <c r="H29" s="36" t="s">
        <v>263</v>
      </c>
      <c r="I29" s="37" t="s">
        <v>269</v>
      </c>
      <c r="J29" s="37" t="s">
        <v>270</v>
      </c>
      <c r="K29" s="27" t="s">
        <v>1445</v>
      </c>
      <c r="L29" s="27" t="s">
        <v>1445</v>
      </c>
      <c r="M29" s="27" t="s">
        <v>351</v>
      </c>
      <c r="N29" s="27" t="s">
        <v>1688</v>
      </c>
      <c r="O29" s="30">
        <v>46218</v>
      </c>
      <c r="P29" s="41" t="s">
        <v>264</v>
      </c>
      <c r="Q29" s="29" t="s">
        <v>265</v>
      </c>
      <c r="R29" s="27" t="s">
        <v>2030</v>
      </c>
      <c r="S29" s="27" t="s">
        <v>1497</v>
      </c>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EVT-2026-1201</v>
      </c>
      <c r="B30" s="30">
        <v>46268</v>
      </c>
      <c r="C30" s="27" t="s">
        <v>216</v>
      </c>
      <c r="D30" s="27" t="s">
        <v>2386</v>
      </c>
      <c r="E30" s="27" t="s">
        <v>228</v>
      </c>
      <c r="F30" s="27" t="s">
        <v>203</v>
      </c>
      <c r="G30" s="10">
        <v>18</v>
      </c>
      <c r="H30" s="36" t="s">
        <v>263</v>
      </c>
      <c r="I30" s="37" t="s">
        <v>269</v>
      </c>
      <c r="J30" s="37" t="s">
        <v>270</v>
      </c>
      <c r="K30" s="27" t="s">
        <v>1445</v>
      </c>
      <c r="L30" s="27" t="s">
        <v>1445</v>
      </c>
      <c r="M30" s="27" t="s">
        <v>1445</v>
      </c>
      <c r="N30" s="27" t="s">
        <v>2029</v>
      </c>
      <c r="O30" s="30" t="s">
        <v>2385</v>
      </c>
      <c r="P30" s="41" t="s">
        <v>264</v>
      </c>
      <c r="Q30" s="29" t="s">
        <v>265</v>
      </c>
      <c r="R30" s="48" t="s">
        <v>2030</v>
      </c>
      <c r="S30" s="27" t="s">
        <v>1497</v>
      </c>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EVT-2026-1202</v>
      </c>
      <c r="B31" s="30">
        <v>46268</v>
      </c>
      <c r="C31" s="27" t="s">
        <v>216</v>
      </c>
      <c r="D31" s="27" t="s">
        <v>1366</v>
      </c>
      <c r="E31" s="27" t="s">
        <v>208</v>
      </c>
      <c r="F31" s="27" t="s">
        <v>217</v>
      </c>
      <c r="G31" s="10">
        <v>50</v>
      </c>
      <c r="H31" s="36" t="s">
        <v>263</v>
      </c>
      <c r="I31" s="37" t="s">
        <v>2492</v>
      </c>
      <c r="J31" s="37" t="s">
        <v>296</v>
      </c>
      <c r="K31" s="27" t="s">
        <v>1445</v>
      </c>
      <c r="L31" s="27" t="s">
        <v>1445</v>
      </c>
      <c r="M31" s="27" t="s">
        <v>1080</v>
      </c>
      <c r="N31" s="27" t="s">
        <v>2462</v>
      </c>
      <c r="O31" s="27"/>
      <c r="P31" s="41" t="s">
        <v>264</v>
      </c>
      <c r="Q31" s="29" t="s">
        <v>265</v>
      </c>
      <c r="R31" s="27" t="s">
        <v>2030</v>
      </c>
      <c r="S31" s="27" t="s">
        <v>1497</v>
      </c>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EVT-2026-1203</v>
      </c>
      <c r="B32" s="30">
        <v>46268</v>
      </c>
      <c r="C32" s="27" t="s">
        <v>216</v>
      </c>
      <c r="D32" s="27" t="s">
        <v>239</v>
      </c>
      <c r="E32" s="27" t="s">
        <v>202</v>
      </c>
      <c r="F32" s="27" t="s">
        <v>2089</v>
      </c>
      <c r="G32" s="10">
        <v>350</v>
      </c>
      <c r="H32" s="38" t="s">
        <v>294</v>
      </c>
      <c r="I32" s="37" t="s">
        <v>295</v>
      </c>
      <c r="J32" s="37" t="s">
        <v>296</v>
      </c>
      <c r="K32" s="27" t="s">
        <v>1445</v>
      </c>
      <c r="L32" s="27" t="s">
        <v>1445</v>
      </c>
      <c r="M32" s="27" t="s">
        <v>2090</v>
      </c>
      <c r="N32" s="27"/>
      <c r="O32" s="30">
        <v>46190</v>
      </c>
      <c r="P32" s="3" t="s">
        <v>312</v>
      </c>
      <c r="Q32" s="29" t="s">
        <v>265</v>
      </c>
      <c r="R32" s="27"/>
      <c r="S32" s="27" t="s">
        <v>1497</v>
      </c>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EVT-2026-1204</v>
      </c>
      <c r="B33" s="30">
        <v>46268</v>
      </c>
      <c r="C33" s="27" t="s">
        <v>216</v>
      </c>
      <c r="D33" s="27" t="s">
        <v>2474</v>
      </c>
      <c r="E33" s="27" t="s">
        <v>208</v>
      </c>
      <c r="F33" s="27" t="s">
        <v>1651</v>
      </c>
      <c r="G33" s="36">
        <v>1</v>
      </c>
      <c r="H33" s="36" t="s">
        <v>263</v>
      </c>
      <c r="I33" s="37">
        <v>0.375</v>
      </c>
      <c r="J33" s="37">
        <v>0.70833333333333337</v>
      </c>
      <c r="K33" s="27" t="s">
        <v>2475</v>
      </c>
      <c r="L33" s="49" t="s">
        <v>1445</v>
      </c>
      <c r="M33" s="49" t="s">
        <v>2416</v>
      </c>
      <c r="N33" s="43" t="s">
        <v>2417</v>
      </c>
      <c r="O33" s="45"/>
      <c r="P33" s="41" t="s">
        <v>264</v>
      </c>
      <c r="Q33" s="29" t="s">
        <v>265</v>
      </c>
      <c r="R33" s="27" t="s">
        <v>2476</v>
      </c>
      <c r="S33" s="27" t="s">
        <v>2350</v>
      </c>
    </row>
    <row r="34" spans="1:19" ht="24" customHeight="1">
      <c r="A34" s="27"/>
      <c r="B34" s="30"/>
      <c r="C34" s="27"/>
      <c r="D34" s="27"/>
      <c r="E34" s="27"/>
      <c r="F34" s="27"/>
      <c r="G34" s="10"/>
      <c r="H34" s="27"/>
      <c r="I34" s="37"/>
      <c r="J34" s="37"/>
      <c r="K34" s="27"/>
      <c r="L34" s="27"/>
      <c r="M34" s="27"/>
      <c r="N34" s="27"/>
      <c r="O34" s="30"/>
      <c r="P34" s="27"/>
      <c r="Q34" s="27"/>
      <c r="R34" s="27"/>
      <c r="S34" s="27"/>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EVT-2026-1205</v>
      </c>
      <c r="B35" s="30">
        <v>46269</v>
      </c>
      <c r="C35" s="27" t="s">
        <v>220</v>
      </c>
      <c r="D35" s="27" t="s">
        <v>2018</v>
      </c>
      <c r="E35" s="27" t="s">
        <v>1260</v>
      </c>
      <c r="F35" s="27" t="s">
        <v>203</v>
      </c>
      <c r="G35" s="10">
        <v>25</v>
      </c>
      <c r="H35" s="36" t="s">
        <v>263</v>
      </c>
      <c r="I35" s="37" t="s">
        <v>269</v>
      </c>
      <c r="J35" s="37" t="s">
        <v>270</v>
      </c>
      <c r="K35" s="27" t="s">
        <v>1445</v>
      </c>
      <c r="L35" s="27" t="s">
        <v>1445</v>
      </c>
      <c r="M35" s="27" t="s">
        <v>351</v>
      </c>
      <c r="N35" s="27" t="s">
        <v>1688</v>
      </c>
      <c r="O35" s="30">
        <v>46218</v>
      </c>
      <c r="P35" s="41" t="s">
        <v>264</v>
      </c>
      <c r="Q35" s="29" t="s">
        <v>265</v>
      </c>
      <c r="R35" s="27" t="s">
        <v>2030</v>
      </c>
      <c r="S35" s="27" t="s">
        <v>1497</v>
      </c>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EVT-2026-1206</v>
      </c>
      <c r="B36" s="30">
        <v>46269</v>
      </c>
      <c r="C36" s="27" t="s">
        <v>220</v>
      </c>
      <c r="D36" s="27" t="s">
        <v>736</v>
      </c>
      <c r="E36" s="27" t="s">
        <v>202</v>
      </c>
      <c r="F36" s="27" t="s">
        <v>203</v>
      </c>
      <c r="G36" s="10">
        <v>55</v>
      </c>
      <c r="H36" s="36" t="s">
        <v>263</v>
      </c>
      <c r="I36" s="37" t="s">
        <v>269</v>
      </c>
      <c r="J36" s="37" t="s">
        <v>270</v>
      </c>
      <c r="K36" s="27" t="s">
        <v>1445</v>
      </c>
      <c r="L36" s="27" t="s">
        <v>1445</v>
      </c>
      <c r="M36" s="27" t="s">
        <v>351</v>
      </c>
      <c r="N36" s="27" t="s">
        <v>1688</v>
      </c>
      <c r="O36" s="27"/>
      <c r="P36" s="41" t="s">
        <v>264</v>
      </c>
      <c r="Q36" s="29" t="s">
        <v>265</v>
      </c>
      <c r="R36" s="27" t="s">
        <v>2030</v>
      </c>
      <c r="S36" s="27" t="s">
        <v>1497</v>
      </c>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EVT-2026-1207</v>
      </c>
      <c r="B37" s="30">
        <v>46269</v>
      </c>
      <c r="C37" s="27" t="s">
        <v>220</v>
      </c>
      <c r="D37" s="27" t="s">
        <v>2386</v>
      </c>
      <c r="E37" s="27" t="s">
        <v>228</v>
      </c>
      <c r="F37" s="27" t="s">
        <v>203</v>
      </c>
      <c r="G37" s="10">
        <v>18</v>
      </c>
      <c r="H37" s="36" t="s">
        <v>263</v>
      </c>
      <c r="I37" s="37" t="s">
        <v>269</v>
      </c>
      <c r="J37" s="37" t="s">
        <v>270</v>
      </c>
      <c r="K37" s="27" t="s">
        <v>1445</v>
      </c>
      <c r="L37" s="27" t="s">
        <v>1445</v>
      </c>
      <c r="M37" s="27" t="s">
        <v>1445</v>
      </c>
      <c r="N37" s="27" t="s">
        <v>2029</v>
      </c>
      <c r="O37" s="30" t="s">
        <v>2385</v>
      </c>
      <c r="P37" s="41" t="s">
        <v>264</v>
      </c>
      <c r="Q37" s="29" t="s">
        <v>265</v>
      </c>
      <c r="R37" s="48" t="s">
        <v>2030</v>
      </c>
      <c r="S37" s="27" t="s">
        <v>1497</v>
      </c>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EVT-2026-1208</v>
      </c>
      <c r="B38" s="30">
        <v>46269</v>
      </c>
      <c r="C38" s="27" t="s">
        <v>220</v>
      </c>
      <c r="D38" s="27" t="s">
        <v>2018</v>
      </c>
      <c r="E38" s="27" t="s">
        <v>208</v>
      </c>
      <c r="F38" s="27" t="s">
        <v>1167</v>
      </c>
      <c r="G38" s="10">
        <v>20</v>
      </c>
      <c r="H38" s="36" t="s">
        <v>263</v>
      </c>
      <c r="I38" s="37">
        <v>0.54166666666666663</v>
      </c>
      <c r="J38" s="37">
        <v>0.625</v>
      </c>
      <c r="K38" s="27" t="s">
        <v>1445</v>
      </c>
      <c r="L38" s="27" t="s">
        <v>1670</v>
      </c>
      <c r="M38" s="27" t="s">
        <v>2482</v>
      </c>
      <c r="N38" s="27" t="s">
        <v>2483</v>
      </c>
      <c r="O38" s="30"/>
      <c r="P38" s="41" t="s">
        <v>264</v>
      </c>
      <c r="Q38" s="29" t="s">
        <v>265</v>
      </c>
      <c r="R38" s="27" t="s">
        <v>298</v>
      </c>
      <c r="S38" s="27" t="s">
        <v>1846</v>
      </c>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EVT-2026-1209</v>
      </c>
      <c r="B39" s="30">
        <v>46269</v>
      </c>
      <c r="C39" s="27" t="s">
        <v>220</v>
      </c>
      <c r="D39" s="27" t="s">
        <v>125</v>
      </c>
      <c r="E39" s="27" t="s">
        <v>228</v>
      </c>
      <c r="F39" s="27" t="s">
        <v>1868</v>
      </c>
      <c r="G39" s="10">
        <v>50</v>
      </c>
      <c r="H39" s="36" t="s">
        <v>263</v>
      </c>
      <c r="I39" s="37" t="s">
        <v>309</v>
      </c>
      <c r="J39" s="37" t="s">
        <v>270</v>
      </c>
      <c r="K39" s="27" t="s">
        <v>1445</v>
      </c>
      <c r="L39" s="27" t="s">
        <v>1445</v>
      </c>
      <c r="M39" s="27" t="s">
        <v>1080</v>
      </c>
      <c r="N39" s="27" t="s">
        <v>2462</v>
      </c>
      <c r="O39" s="27"/>
      <c r="P39" s="41" t="s">
        <v>264</v>
      </c>
      <c r="Q39" s="29" t="s">
        <v>265</v>
      </c>
      <c r="R39" s="27" t="s">
        <v>298</v>
      </c>
      <c r="S39" s="27" t="s">
        <v>1497</v>
      </c>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EVT-2026-1210</v>
      </c>
      <c r="B40" s="30">
        <v>46269</v>
      </c>
      <c r="C40" s="27" t="s">
        <v>220</v>
      </c>
      <c r="D40" s="27" t="s">
        <v>2474</v>
      </c>
      <c r="E40" s="27" t="s">
        <v>208</v>
      </c>
      <c r="F40" s="27" t="s">
        <v>2493</v>
      </c>
      <c r="G40" s="36">
        <v>1</v>
      </c>
      <c r="H40" s="36" t="s">
        <v>263</v>
      </c>
      <c r="I40" s="37">
        <v>0.375</v>
      </c>
      <c r="J40" s="37">
        <v>0.70833333333333337</v>
      </c>
      <c r="K40" s="27" t="s">
        <v>2475</v>
      </c>
      <c r="L40" s="49" t="s">
        <v>1445</v>
      </c>
      <c r="M40" s="49" t="s">
        <v>2416</v>
      </c>
      <c r="N40" s="43" t="s">
        <v>2417</v>
      </c>
      <c r="O40" s="45"/>
      <c r="P40" s="41" t="s">
        <v>264</v>
      </c>
      <c r="Q40" s="29" t="s">
        <v>265</v>
      </c>
      <c r="R40" s="27" t="s">
        <v>2476</v>
      </c>
      <c r="S40" s="27" t="s">
        <v>2350</v>
      </c>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41" s="30">
        <v>46270</v>
      </c>
      <c r="C41" s="27" t="s">
        <v>266</v>
      </c>
      <c r="D41" s="27"/>
      <c r="E41" s="27"/>
      <c r="F41" s="27"/>
      <c r="G41" s="10"/>
      <c r="H41" s="36" t="s">
        <v>263</v>
      </c>
      <c r="I41" s="37"/>
      <c r="J41" s="37"/>
      <c r="K41" s="37"/>
      <c r="L41" s="27"/>
      <c r="M41" s="27"/>
      <c r="N41" s="27"/>
      <c r="O41" s="27"/>
      <c r="P41" s="40"/>
      <c r="Q41" s="29" t="s">
        <v>265</v>
      </c>
      <c r="R41" s="27"/>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42" s="30">
        <v>46271</v>
      </c>
      <c r="C42" s="27" t="s">
        <v>267</v>
      </c>
      <c r="D42" s="27"/>
      <c r="E42" s="27"/>
      <c r="F42" s="27"/>
      <c r="G42" s="10"/>
      <c r="H42" s="36" t="s">
        <v>263</v>
      </c>
      <c r="I42" s="37"/>
      <c r="J42" s="37"/>
      <c r="K42" s="27"/>
      <c r="L42" s="27"/>
      <c r="M42" s="27"/>
      <c r="N42" s="27"/>
      <c r="O42" s="27"/>
      <c r="P42" s="40"/>
      <c r="Q42" s="29" t="s">
        <v>265</v>
      </c>
      <c r="R42" s="27"/>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EVT-2026-1211</v>
      </c>
      <c r="B43" s="30">
        <v>46272</v>
      </c>
      <c r="C43" s="27" t="s">
        <v>224</v>
      </c>
      <c r="D43" s="27" t="s">
        <v>125</v>
      </c>
      <c r="E43" s="27" t="s">
        <v>228</v>
      </c>
      <c r="F43" s="27" t="s">
        <v>203</v>
      </c>
      <c r="G43" s="10"/>
      <c r="H43" s="36" t="s">
        <v>263</v>
      </c>
      <c r="I43" s="37" t="s">
        <v>269</v>
      </c>
      <c r="J43" s="37" t="s">
        <v>270</v>
      </c>
      <c r="K43" s="27" t="s">
        <v>1445</v>
      </c>
      <c r="L43" s="27" t="s">
        <v>1445</v>
      </c>
      <c r="M43" s="27" t="s">
        <v>351</v>
      </c>
      <c r="N43" s="27" t="s">
        <v>2091</v>
      </c>
      <c r="O43" s="27"/>
      <c r="P43" s="41" t="s">
        <v>264</v>
      </c>
      <c r="Q43" s="29" t="s">
        <v>265</v>
      </c>
      <c r="R43" s="27" t="s">
        <v>2030</v>
      </c>
      <c r="S43" s="27" t="s">
        <v>1497</v>
      </c>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EVT-2026-1212</v>
      </c>
      <c r="B44" s="30">
        <v>46272</v>
      </c>
      <c r="C44" s="27" t="s">
        <v>224</v>
      </c>
      <c r="D44" s="27" t="s">
        <v>736</v>
      </c>
      <c r="E44" s="27" t="s">
        <v>202</v>
      </c>
      <c r="F44" s="27" t="s">
        <v>203</v>
      </c>
      <c r="G44" s="10">
        <v>55</v>
      </c>
      <c r="H44" s="36" t="s">
        <v>263</v>
      </c>
      <c r="I44" s="37" t="s">
        <v>269</v>
      </c>
      <c r="J44" s="37" t="s">
        <v>270</v>
      </c>
      <c r="K44" s="27" t="s">
        <v>1445</v>
      </c>
      <c r="L44" s="27" t="s">
        <v>1445</v>
      </c>
      <c r="M44" s="27" t="s">
        <v>351</v>
      </c>
      <c r="N44" s="27" t="s">
        <v>1688</v>
      </c>
      <c r="O44" s="27"/>
      <c r="P44" s="41" t="s">
        <v>264</v>
      </c>
      <c r="Q44" s="29" t="s">
        <v>265</v>
      </c>
      <c r="R44" s="27" t="s">
        <v>2030</v>
      </c>
      <c r="S44" s="27" t="s">
        <v>1497</v>
      </c>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EVT-2026-1213</v>
      </c>
      <c r="B45" s="30">
        <v>46272</v>
      </c>
      <c r="C45" s="27" t="s">
        <v>224</v>
      </c>
      <c r="D45" s="27" t="s">
        <v>2018</v>
      </c>
      <c r="E45" s="27" t="s">
        <v>1260</v>
      </c>
      <c r="F45" s="27" t="s">
        <v>203</v>
      </c>
      <c r="G45" s="10">
        <v>25</v>
      </c>
      <c r="H45" s="36" t="s">
        <v>263</v>
      </c>
      <c r="I45" s="37" t="s">
        <v>269</v>
      </c>
      <c r="J45" s="37" t="s">
        <v>270</v>
      </c>
      <c r="K45" s="27" t="s">
        <v>1445</v>
      </c>
      <c r="L45" s="27" t="s">
        <v>1445</v>
      </c>
      <c r="M45" s="27" t="s">
        <v>351</v>
      </c>
      <c r="N45" s="27" t="s">
        <v>1688</v>
      </c>
      <c r="O45" s="30">
        <v>46218</v>
      </c>
      <c r="P45" s="41" t="s">
        <v>264</v>
      </c>
      <c r="Q45" s="29" t="s">
        <v>265</v>
      </c>
      <c r="R45" s="27" t="s">
        <v>2030</v>
      </c>
      <c r="S45" s="27" t="s">
        <v>1497</v>
      </c>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EVT-2026-1214</v>
      </c>
      <c r="B46" s="30">
        <v>46272</v>
      </c>
      <c r="C46" s="27" t="s">
        <v>224</v>
      </c>
      <c r="D46" s="27" t="s">
        <v>2386</v>
      </c>
      <c r="E46" s="27" t="s">
        <v>228</v>
      </c>
      <c r="F46" s="27" t="s">
        <v>203</v>
      </c>
      <c r="G46" s="10">
        <v>18</v>
      </c>
      <c r="H46" s="36" t="s">
        <v>263</v>
      </c>
      <c r="I46" s="37" t="s">
        <v>269</v>
      </c>
      <c r="J46" s="37" t="s">
        <v>270</v>
      </c>
      <c r="K46" s="27" t="s">
        <v>1445</v>
      </c>
      <c r="L46" s="27" t="s">
        <v>1445</v>
      </c>
      <c r="M46" s="27" t="s">
        <v>1445</v>
      </c>
      <c r="N46" s="27" t="s">
        <v>2029</v>
      </c>
      <c r="O46" s="30" t="s">
        <v>2385</v>
      </c>
      <c r="P46" s="41" t="s">
        <v>264</v>
      </c>
      <c r="Q46" s="29" t="s">
        <v>265</v>
      </c>
      <c r="R46" s="48" t="s">
        <v>2030</v>
      </c>
      <c r="S46" s="27" t="s">
        <v>1497</v>
      </c>
    </row>
    <row r="47" spans="1:19" ht="24" customHeight="1">
      <c r="A47" s="27" t="s">
        <v>2494</v>
      </c>
      <c r="B47" s="30">
        <v>46273</v>
      </c>
      <c r="C47" s="27" t="s">
        <v>227</v>
      </c>
      <c r="D47" s="27" t="s">
        <v>125</v>
      </c>
      <c r="E47" s="27" t="s">
        <v>228</v>
      </c>
      <c r="F47" s="27" t="s">
        <v>2495</v>
      </c>
      <c r="G47" s="10">
        <v>160</v>
      </c>
      <c r="H47" s="38" t="s">
        <v>294</v>
      </c>
      <c r="I47" s="37" t="s">
        <v>295</v>
      </c>
      <c r="J47" s="37" t="s">
        <v>296</v>
      </c>
      <c r="K47" s="27" t="s">
        <v>1445</v>
      </c>
      <c r="L47" s="27" t="s">
        <v>2388</v>
      </c>
      <c r="M47" s="27" t="s">
        <v>367</v>
      </c>
      <c r="N47" s="39" t="s">
        <v>2093</v>
      </c>
      <c r="O47" s="30">
        <v>46255</v>
      </c>
      <c r="P47" s="41" t="s">
        <v>264</v>
      </c>
      <c r="Q47" s="29" t="s">
        <v>265</v>
      </c>
      <c r="R47" s="27" t="s">
        <v>2491</v>
      </c>
      <c r="S47" s="27" t="s">
        <v>2350</v>
      </c>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EVT-2026-1216</v>
      </c>
      <c r="B48" s="30">
        <v>46273</v>
      </c>
      <c r="C48" s="27" t="s">
        <v>227</v>
      </c>
      <c r="D48" s="27" t="s">
        <v>736</v>
      </c>
      <c r="E48" s="27" t="s">
        <v>202</v>
      </c>
      <c r="F48" s="27" t="s">
        <v>203</v>
      </c>
      <c r="G48" s="10">
        <v>55</v>
      </c>
      <c r="H48" s="36" t="s">
        <v>263</v>
      </c>
      <c r="I48" s="37" t="s">
        <v>269</v>
      </c>
      <c r="J48" s="37" t="s">
        <v>270</v>
      </c>
      <c r="K48" s="27" t="s">
        <v>1445</v>
      </c>
      <c r="L48" s="27" t="s">
        <v>1445</v>
      </c>
      <c r="M48" s="27" t="s">
        <v>351</v>
      </c>
      <c r="N48" s="27" t="s">
        <v>1688</v>
      </c>
      <c r="O48" s="27"/>
      <c r="P48" s="41" t="s">
        <v>264</v>
      </c>
      <c r="Q48" s="29" t="s">
        <v>265</v>
      </c>
      <c r="R48" s="27" t="s">
        <v>2030</v>
      </c>
      <c r="S48" s="27" t="s">
        <v>1497</v>
      </c>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EVT-2026-1217</v>
      </c>
      <c r="B49" s="30">
        <v>46273</v>
      </c>
      <c r="C49" s="27" t="s">
        <v>227</v>
      </c>
      <c r="D49" s="27" t="s">
        <v>2018</v>
      </c>
      <c r="E49" s="27" t="s">
        <v>1260</v>
      </c>
      <c r="F49" s="27" t="s">
        <v>203</v>
      </c>
      <c r="G49" s="10">
        <v>25</v>
      </c>
      <c r="H49" s="36" t="s">
        <v>263</v>
      </c>
      <c r="I49" s="37" t="s">
        <v>269</v>
      </c>
      <c r="J49" s="37" t="s">
        <v>270</v>
      </c>
      <c r="K49" s="27" t="s">
        <v>1445</v>
      </c>
      <c r="L49" s="27" t="s">
        <v>1445</v>
      </c>
      <c r="M49" s="27" t="s">
        <v>351</v>
      </c>
      <c r="N49" s="27" t="s">
        <v>1688</v>
      </c>
      <c r="O49" s="30">
        <v>46218</v>
      </c>
      <c r="P49" s="41" t="s">
        <v>264</v>
      </c>
      <c r="Q49" s="29" t="s">
        <v>265</v>
      </c>
      <c r="R49" s="27" t="s">
        <v>2030</v>
      </c>
      <c r="S49" s="27" t="s">
        <v>1497</v>
      </c>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EVT-2026-1218</v>
      </c>
      <c r="B50" s="30">
        <v>46273</v>
      </c>
      <c r="C50" s="27" t="s">
        <v>227</v>
      </c>
      <c r="D50" s="27" t="s">
        <v>1366</v>
      </c>
      <c r="E50" s="27" t="s">
        <v>208</v>
      </c>
      <c r="F50" s="27" t="s">
        <v>217</v>
      </c>
      <c r="G50" s="10">
        <v>50</v>
      </c>
      <c r="H50" s="36" t="s">
        <v>263</v>
      </c>
      <c r="I50" s="37" t="s">
        <v>309</v>
      </c>
      <c r="J50" s="37" t="s">
        <v>296</v>
      </c>
      <c r="K50" s="27" t="s">
        <v>1445</v>
      </c>
      <c r="L50" s="27" t="s">
        <v>1445</v>
      </c>
      <c r="M50" s="27" t="s">
        <v>1080</v>
      </c>
      <c r="N50" s="27" t="s">
        <v>2462</v>
      </c>
      <c r="O50" s="27"/>
      <c r="P50" s="41" t="s">
        <v>264</v>
      </c>
      <c r="Q50" s="29" t="s">
        <v>265</v>
      </c>
      <c r="R50" s="27" t="s">
        <v>298</v>
      </c>
      <c r="S50" s="27" t="s">
        <v>1497</v>
      </c>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EVT-2026-1219</v>
      </c>
      <c r="B51" s="30">
        <v>46273</v>
      </c>
      <c r="C51" s="27" t="s">
        <v>227</v>
      </c>
      <c r="D51" s="27" t="s">
        <v>1366</v>
      </c>
      <c r="E51" s="27" t="s">
        <v>208</v>
      </c>
      <c r="F51" s="27" t="s">
        <v>2496</v>
      </c>
      <c r="G51" s="10">
        <v>60</v>
      </c>
      <c r="H51" s="36" t="s">
        <v>263</v>
      </c>
      <c r="I51" s="37">
        <v>0.41666666666666669</v>
      </c>
      <c r="J51" s="37">
        <v>0.5</v>
      </c>
      <c r="K51" s="27" t="s">
        <v>382</v>
      </c>
      <c r="L51" s="27" t="s">
        <v>1670</v>
      </c>
      <c r="M51" s="27" t="s">
        <v>367</v>
      </c>
      <c r="N51" s="39" t="s">
        <v>2093</v>
      </c>
      <c r="O51" s="27" t="s">
        <v>2469</v>
      </c>
      <c r="P51" s="41" t="s">
        <v>264</v>
      </c>
      <c r="Q51" s="29" t="s">
        <v>265</v>
      </c>
      <c r="R51" s="27" t="s">
        <v>298</v>
      </c>
      <c r="S51" s="27" t="s">
        <v>1846</v>
      </c>
    </row>
    <row r="52" spans="1:19" ht="24" customHeight="1">
      <c r="A52" s="27"/>
      <c r="B52" s="30"/>
      <c r="C52" s="27"/>
      <c r="D52" s="27"/>
      <c r="E52" s="27"/>
      <c r="F52" s="27"/>
      <c r="G52" s="10"/>
      <c r="H52" s="36"/>
      <c r="I52" s="37"/>
      <c r="J52" s="37"/>
      <c r="K52" s="27"/>
      <c r="L52" s="27"/>
      <c r="M52" s="27"/>
      <c r="N52" s="39"/>
      <c r="O52" s="27"/>
      <c r="P52" s="41"/>
      <c r="Q52" s="29"/>
      <c r="R52" s="27"/>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EVT-2026-1220</v>
      </c>
      <c r="B53" s="30">
        <v>46274</v>
      </c>
      <c r="C53" s="27" t="s">
        <v>201</v>
      </c>
      <c r="D53" s="27" t="s">
        <v>2018</v>
      </c>
      <c r="E53" s="27" t="s">
        <v>1260</v>
      </c>
      <c r="F53" s="27" t="s">
        <v>203</v>
      </c>
      <c r="G53" s="10">
        <v>25</v>
      </c>
      <c r="H53" s="36" t="s">
        <v>263</v>
      </c>
      <c r="I53" s="37" t="s">
        <v>269</v>
      </c>
      <c r="J53" s="37" t="s">
        <v>270</v>
      </c>
      <c r="K53" s="27" t="s">
        <v>1445</v>
      </c>
      <c r="L53" s="27" t="s">
        <v>1445</v>
      </c>
      <c r="M53" s="27" t="s">
        <v>351</v>
      </c>
      <c r="N53" s="27" t="s">
        <v>1688</v>
      </c>
      <c r="O53" s="30">
        <v>46218</v>
      </c>
      <c r="P53" s="41" t="s">
        <v>264</v>
      </c>
      <c r="Q53" s="29" t="s">
        <v>265</v>
      </c>
      <c r="R53" s="27" t="s">
        <v>2030</v>
      </c>
      <c r="S53" s="27" t="s">
        <v>1497</v>
      </c>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EVT-2026-1221</v>
      </c>
      <c r="B54" s="30">
        <v>46274</v>
      </c>
      <c r="C54" s="27" t="s">
        <v>201</v>
      </c>
      <c r="D54" s="27" t="s">
        <v>736</v>
      </c>
      <c r="E54" s="27" t="s">
        <v>202</v>
      </c>
      <c r="F54" s="27" t="s">
        <v>203</v>
      </c>
      <c r="G54" s="10">
        <v>55</v>
      </c>
      <c r="H54" s="36" t="s">
        <v>263</v>
      </c>
      <c r="I54" s="37" t="s">
        <v>269</v>
      </c>
      <c r="J54" s="37" t="s">
        <v>270</v>
      </c>
      <c r="K54" s="27" t="s">
        <v>1445</v>
      </c>
      <c r="L54" s="27" t="s">
        <v>1445</v>
      </c>
      <c r="M54" s="27" t="s">
        <v>351</v>
      </c>
      <c r="N54" s="27" t="s">
        <v>1688</v>
      </c>
      <c r="O54" s="27"/>
      <c r="P54" s="41" t="s">
        <v>264</v>
      </c>
      <c r="Q54" s="29" t="s">
        <v>265</v>
      </c>
      <c r="R54" s="27" t="s">
        <v>2030</v>
      </c>
      <c r="S54" s="27" t="s">
        <v>1497</v>
      </c>
    </row>
    <row r="55" spans="1:19" ht="24" customHeight="1">
      <c r="A55" s="27"/>
      <c r="B55" s="30"/>
      <c r="C55" s="27"/>
      <c r="D55" s="27" t="s">
        <v>2386</v>
      </c>
      <c r="E55" s="27" t="s">
        <v>228</v>
      </c>
      <c r="F55" s="27" t="s">
        <v>203</v>
      </c>
      <c r="G55" s="10">
        <v>18</v>
      </c>
      <c r="H55" s="36" t="s">
        <v>263</v>
      </c>
      <c r="I55" s="37" t="s">
        <v>269</v>
      </c>
      <c r="J55" s="37" t="s">
        <v>270</v>
      </c>
      <c r="K55" s="27" t="s">
        <v>1445</v>
      </c>
      <c r="L55" s="27" t="s">
        <v>1445</v>
      </c>
      <c r="M55" s="27" t="s">
        <v>1445</v>
      </c>
      <c r="N55" s="27" t="s">
        <v>2029</v>
      </c>
      <c r="O55" s="30" t="s">
        <v>2385</v>
      </c>
      <c r="P55" s="41" t="s">
        <v>264</v>
      </c>
      <c r="Q55" s="29" t="s">
        <v>265</v>
      </c>
      <c r="R55" s="48" t="s">
        <v>2030</v>
      </c>
      <c r="S55" s="27" t="s">
        <v>1497</v>
      </c>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EVT-2026-1222</v>
      </c>
      <c r="B56" s="30">
        <v>46274</v>
      </c>
      <c r="C56" s="27" t="s">
        <v>201</v>
      </c>
      <c r="D56" s="27" t="s">
        <v>1366</v>
      </c>
      <c r="E56" s="27" t="s">
        <v>208</v>
      </c>
      <c r="F56" s="27" t="s">
        <v>217</v>
      </c>
      <c r="G56" s="10">
        <v>50</v>
      </c>
      <c r="H56" s="36" t="s">
        <v>263</v>
      </c>
      <c r="I56" s="37" t="s">
        <v>309</v>
      </c>
      <c r="J56" s="37" t="s">
        <v>296</v>
      </c>
      <c r="K56" s="27" t="s">
        <v>1445</v>
      </c>
      <c r="L56" s="27" t="s">
        <v>1445</v>
      </c>
      <c r="M56" s="27" t="s">
        <v>1080</v>
      </c>
      <c r="N56" s="27" t="s">
        <v>2462</v>
      </c>
      <c r="O56" s="27"/>
      <c r="P56" s="41" t="s">
        <v>264</v>
      </c>
      <c r="Q56" s="29" t="s">
        <v>265</v>
      </c>
      <c r="R56" s="27" t="s">
        <v>2030</v>
      </c>
      <c r="S56" s="27" t="s">
        <v>1497</v>
      </c>
    </row>
    <row r="57" spans="1:19" ht="24" customHeight="1">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EVT-2026-1223</v>
      </c>
      <c r="B57" s="30">
        <v>46274</v>
      </c>
      <c r="C57" s="27" t="s">
        <v>201</v>
      </c>
      <c r="D57" s="27" t="s">
        <v>1366</v>
      </c>
      <c r="E57" s="27" t="s">
        <v>202</v>
      </c>
      <c r="F57" s="27" t="s">
        <v>2486</v>
      </c>
      <c r="G57" s="10">
        <v>30</v>
      </c>
      <c r="H57" s="36" t="s">
        <v>263</v>
      </c>
      <c r="I57" s="37" t="s">
        <v>350</v>
      </c>
      <c r="J57" s="37" t="s">
        <v>289</v>
      </c>
      <c r="K57" s="27" t="s">
        <v>1445</v>
      </c>
      <c r="L57" s="27" t="s">
        <v>2080</v>
      </c>
      <c r="M57" s="27" t="s">
        <v>2487</v>
      </c>
      <c r="N57" s="27" t="s">
        <v>2082</v>
      </c>
      <c r="O57" s="27" t="s">
        <v>2383</v>
      </c>
      <c r="P57" s="41" t="s">
        <v>264</v>
      </c>
      <c r="Q57" s="29" t="s">
        <v>265</v>
      </c>
      <c r="R57" s="27" t="s">
        <v>2391</v>
      </c>
      <c r="S57" s="27" t="s">
        <v>2350</v>
      </c>
    </row>
    <row r="58" spans="1:19" ht="24" customHeight="1">
      <c r="A58" s="27"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EVT-2026-1224</v>
      </c>
      <c r="B58" s="30">
        <v>46274</v>
      </c>
      <c r="C58" s="27" t="s">
        <v>201</v>
      </c>
      <c r="D58" s="27" t="s">
        <v>125</v>
      </c>
      <c r="E58" s="27" t="s">
        <v>228</v>
      </c>
      <c r="F58" s="27" t="s">
        <v>2497</v>
      </c>
      <c r="G58" s="10">
        <v>20</v>
      </c>
      <c r="H58" s="36" t="s">
        <v>263</v>
      </c>
      <c r="I58" s="37">
        <v>0.54166666666666663</v>
      </c>
      <c r="J58" s="37">
        <v>0.60416666666666663</v>
      </c>
      <c r="K58" s="27" t="s">
        <v>1445</v>
      </c>
      <c r="L58" s="27" t="s">
        <v>2464</v>
      </c>
      <c r="M58" s="27" t="s">
        <v>2498</v>
      </c>
      <c r="N58" s="27" t="s">
        <v>2499</v>
      </c>
      <c r="O58" s="27" t="s">
        <v>2500</v>
      </c>
      <c r="P58" s="27" t="s">
        <v>1859</v>
      </c>
      <c r="Q58" s="29" t="s">
        <v>265</v>
      </c>
      <c r="R58" s="27" t="s">
        <v>2501</v>
      </c>
      <c r="S58" s="27" t="s">
        <v>2350</v>
      </c>
    </row>
    <row r="59" spans="1:19" ht="24" customHeight="1">
      <c r="A59" s="27"/>
      <c r="B59" s="30"/>
      <c r="C59" s="27"/>
      <c r="D59" s="27"/>
      <c r="E59" s="27"/>
      <c r="F59" s="27"/>
      <c r="G59" s="10"/>
      <c r="H59" s="27"/>
      <c r="I59" s="37"/>
      <c r="J59" s="37"/>
      <c r="K59" s="27"/>
      <c r="L59" s="27"/>
      <c r="M59" s="27"/>
      <c r="N59" s="39"/>
      <c r="O59" s="27"/>
      <c r="P59" s="27"/>
      <c r="Q59" s="27"/>
      <c r="R59" s="27"/>
      <c r="S59" s="27"/>
    </row>
    <row r="60" spans="1:19" ht="24" customHeight="1">
      <c r="A60" s="27"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EVT-2026-1225</v>
      </c>
      <c r="B60" s="30">
        <v>46275</v>
      </c>
      <c r="C60" s="27" t="s">
        <v>216</v>
      </c>
      <c r="D60" s="27" t="s">
        <v>736</v>
      </c>
      <c r="E60" s="27" t="s">
        <v>202</v>
      </c>
      <c r="F60" s="27" t="s">
        <v>203</v>
      </c>
      <c r="G60" s="10">
        <v>55</v>
      </c>
      <c r="H60" s="36" t="s">
        <v>263</v>
      </c>
      <c r="I60" s="37" t="s">
        <v>269</v>
      </c>
      <c r="J60" s="37" t="s">
        <v>270</v>
      </c>
      <c r="K60" s="27" t="s">
        <v>1445</v>
      </c>
      <c r="L60" s="27" t="s">
        <v>1445</v>
      </c>
      <c r="M60" s="27" t="s">
        <v>351</v>
      </c>
      <c r="N60" s="27" t="s">
        <v>1688</v>
      </c>
      <c r="O60" s="30">
        <v>46218</v>
      </c>
      <c r="P60" s="41" t="s">
        <v>264</v>
      </c>
      <c r="Q60" s="29" t="s">
        <v>265</v>
      </c>
      <c r="R60" s="27" t="s">
        <v>2030</v>
      </c>
      <c r="S60" s="27" t="s">
        <v>1497</v>
      </c>
    </row>
    <row r="61" spans="1:19" ht="24" customHeight="1">
      <c r="A61" s="27"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EVT-2026-1226</v>
      </c>
      <c r="B61" s="30">
        <v>46275</v>
      </c>
      <c r="C61" s="27" t="s">
        <v>216</v>
      </c>
      <c r="D61" s="27" t="s">
        <v>2018</v>
      </c>
      <c r="E61" s="27" t="s">
        <v>1260</v>
      </c>
      <c r="F61" s="27" t="s">
        <v>203</v>
      </c>
      <c r="G61" s="10">
        <v>25</v>
      </c>
      <c r="H61" s="36" t="s">
        <v>263</v>
      </c>
      <c r="I61" s="37" t="s">
        <v>269</v>
      </c>
      <c r="J61" s="37" t="s">
        <v>270</v>
      </c>
      <c r="K61" s="27" t="s">
        <v>1445</v>
      </c>
      <c r="L61" s="27" t="s">
        <v>1445</v>
      </c>
      <c r="M61" s="27" t="s">
        <v>351</v>
      </c>
      <c r="N61" s="27" t="s">
        <v>1688</v>
      </c>
      <c r="O61" s="30">
        <v>46218</v>
      </c>
      <c r="P61" s="41" t="s">
        <v>264</v>
      </c>
      <c r="Q61" s="29" t="s">
        <v>265</v>
      </c>
      <c r="R61" s="27" t="s">
        <v>2030</v>
      </c>
      <c r="S61" s="27" t="s">
        <v>1497</v>
      </c>
    </row>
    <row r="62" spans="1:19" ht="24" customHeight="1">
      <c r="A62" s="27"/>
      <c r="B62" s="30"/>
      <c r="C62" s="27"/>
      <c r="D62" s="27" t="s">
        <v>2386</v>
      </c>
      <c r="E62" s="27" t="s">
        <v>228</v>
      </c>
      <c r="F62" s="27" t="s">
        <v>203</v>
      </c>
      <c r="G62" s="10">
        <v>18</v>
      </c>
      <c r="H62" s="36" t="s">
        <v>263</v>
      </c>
      <c r="I62" s="37" t="s">
        <v>269</v>
      </c>
      <c r="J62" s="37" t="s">
        <v>270</v>
      </c>
      <c r="K62" s="27" t="s">
        <v>1445</v>
      </c>
      <c r="L62" s="27" t="s">
        <v>1445</v>
      </c>
      <c r="M62" s="27" t="s">
        <v>1445</v>
      </c>
      <c r="N62" s="27" t="s">
        <v>2029</v>
      </c>
      <c r="O62" s="30" t="s">
        <v>2385</v>
      </c>
      <c r="P62" s="41" t="s">
        <v>264</v>
      </c>
      <c r="Q62" s="29" t="s">
        <v>265</v>
      </c>
      <c r="R62" s="48" t="s">
        <v>2030</v>
      </c>
      <c r="S62" s="27" t="s">
        <v>1497</v>
      </c>
    </row>
    <row r="63" spans="1:19" ht="24" customHeight="1">
      <c r="A63" s="27"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EVT-2026-1227</v>
      </c>
      <c r="B63" s="30">
        <v>46275</v>
      </c>
      <c r="C63" s="27" t="s">
        <v>216</v>
      </c>
      <c r="D63" s="27" t="s">
        <v>1366</v>
      </c>
      <c r="E63" s="27" t="s">
        <v>208</v>
      </c>
      <c r="F63" s="27" t="s">
        <v>217</v>
      </c>
      <c r="G63" s="10">
        <v>50</v>
      </c>
      <c r="H63" s="36" t="s">
        <v>263</v>
      </c>
      <c r="I63" s="37" t="s">
        <v>309</v>
      </c>
      <c r="J63" s="37" t="s">
        <v>296</v>
      </c>
      <c r="K63" s="27" t="s">
        <v>1445</v>
      </c>
      <c r="L63" s="27" t="s">
        <v>1445</v>
      </c>
      <c r="M63" s="27" t="s">
        <v>1080</v>
      </c>
      <c r="N63" s="27" t="s">
        <v>2462</v>
      </c>
      <c r="O63" s="27"/>
      <c r="P63" s="2" t="s">
        <v>1859</v>
      </c>
      <c r="Q63" s="29" t="s">
        <v>265</v>
      </c>
      <c r="R63" s="27" t="s">
        <v>2030</v>
      </c>
      <c r="S63" s="27" t="s">
        <v>1497</v>
      </c>
    </row>
    <row r="64" spans="1:19" ht="24" customHeight="1">
      <c r="A64" s="27"/>
      <c r="B64" s="30"/>
      <c r="C64" s="27"/>
      <c r="D64" s="27"/>
      <c r="E64" s="27"/>
      <c r="F64" s="27"/>
      <c r="G64" s="10"/>
      <c r="H64" s="36"/>
      <c r="I64" s="37"/>
      <c r="J64" s="37"/>
      <c r="K64" s="27"/>
      <c r="L64" s="27"/>
      <c r="M64" s="27"/>
      <c r="N64" s="27"/>
      <c r="O64" s="27"/>
      <c r="P64" s="2"/>
      <c r="Q64" s="29"/>
      <c r="R64" s="27"/>
      <c r="S64" s="27"/>
    </row>
    <row r="65" spans="1:19" ht="24" customHeight="1">
      <c r="A65" s="27"/>
      <c r="B65" s="30"/>
      <c r="C65" s="27"/>
      <c r="D65" s="27"/>
      <c r="E65" s="27"/>
      <c r="F65" s="27"/>
      <c r="G65" s="10"/>
      <c r="H65" s="36"/>
      <c r="I65" s="37"/>
      <c r="J65" s="37"/>
      <c r="K65" s="27"/>
      <c r="L65" s="27"/>
      <c r="M65" s="27"/>
      <c r="N65" s="27"/>
      <c r="O65" s="27"/>
      <c r="P65" s="2"/>
      <c r="Q65" s="29"/>
      <c r="R65" s="27"/>
      <c r="S65" s="27"/>
    </row>
    <row r="66" spans="1:19" ht="24" customHeight="1">
      <c r="A66" s="27"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EVT-2026-1228</v>
      </c>
      <c r="B66" s="30">
        <v>46276</v>
      </c>
      <c r="C66" s="27" t="s">
        <v>220</v>
      </c>
      <c r="D66" s="27" t="s">
        <v>1366</v>
      </c>
      <c r="E66" s="27" t="s">
        <v>1260</v>
      </c>
      <c r="F66" s="27" t="s">
        <v>203</v>
      </c>
      <c r="G66" s="10">
        <v>25</v>
      </c>
      <c r="H66" s="36" t="s">
        <v>263</v>
      </c>
      <c r="I66" s="37" t="s">
        <v>269</v>
      </c>
      <c r="J66" s="37" t="s">
        <v>270</v>
      </c>
      <c r="K66" s="27" t="s">
        <v>1445</v>
      </c>
      <c r="L66" s="27" t="s">
        <v>1445</v>
      </c>
      <c r="M66" s="27" t="s">
        <v>351</v>
      </c>
      <c r="N66" s="27" t="s">
        <v>1688</v>
      </c>
      <c r="O66" s="30">
        <v>46218</v>
      </c>
      <c r="P66" s="41" t="s">
        <v>264</v>
      </c>
      <c r="Q66" s="29" t="s">
        <v>265</v>
      </c>
      <c r="R66" s="27" t="s">
        <v>2030</v>
      </c>
      <c r="S66" s="27" t="s">
        <v>1497</v>
      </c>
    </row>
    <row r="67" spans="1:19" ht="24" customHeight="1">
      <c r="A67" s="27"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EVT-2026-1229</v>
      </c>
      <c r="B67" s="30">
        <v>46276</v>
      </c>
      <c r="C67" s="27" t="s">
        <v>220</v>
      </c>
      <c r="D67" s="27" t="s">
        <v>125</v>
      </c>
      <c r="E67" s="27" t="s">
        <v>228</v>
      </c>
      <c r="F67" s="27" t="s">
        <v>2094</v>
      </c>
      <c r="G67" s="10">
        <v>100</v>
      </c>
      <c r="H67" s="38" t="s">
        <v>294</v>
      </c>
      <c r="I67" s="37" t="s">
        <v>309</v>
      </c>
      <c r="J67" s="37" t="s">
        <v>296</v>
      </c>
      <c r="K67" s="27" t="s">
        <v>2095</v>
      </c>
      <c r="L67" s="27" t="s">
        <v>2096</v>
      </c>
      <c r="M67" s="27" t="s">
        <v>335</v>
      </c>
      <c r="N67" s="27" t="s">
        <v>1759</v>
      </c>
      <c r="O67" s="27" t="s">
        <v>2502</v>
      </c>
      <c r="P67" s="2" t="s">
        <v>1859</v>
      </c>
      <c r="Q67" s="29" t="s">
        <v>265</v>
      </c>
      <c r="R67" s="27" t="s">
        <v>298</v>
      </c>
      <c r="S67" s="27" t="s">
        <v>1846</v>
      </c>
    </row>
    <row r="68" spans="1:19" ht="24" customHeight="1">
      <c r="A68" s="27"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EVT-2026-1230</v>
      </c>
      <c r="B68" s="30">
        <v>46276</v>
      </c>
      <c r="C68" s="27" t="s">
        <v>220</v>
      </c>
      <c r="D68" s="27" t="s">
        <v>736</v>
      </c>
      <c r="E68" s="27" t="s">
        <v>202</v>
      </c>
      <c r="F68" s="27" t="s">
        <v>203</v>
      </c>
      <c r="G68" s="10">
        <v>55</v>
      </c>
      <c r="H68" s="36" t="s">
        <v>263</v>
      </c>
      <c r="I68" s="37" t="s">
        <v>269</v>
      </c>
      <c r="J68" s="37" t="s">
        <v>270</v>
      </c>
      <c r="K68" s="27" t="s">
        <v>1445</v>
      </c>
      <c r="L68" s="27" t="s">
        <v>1445</v>
      </c>
      <c r="M68" s="27" t="s">
        <v>351</v>
      </c>
      <c r="N68" s="27" t="s">
        <v>1688</v>
      </c>
      <c r="O68" s="30">
        <v>46218</v>
      </c>
      <c r="P68" s="41" t="s">
        <v>264</v>
      </c>
      <c r="Q68" s="29" t="s">
        <v>265</v>
      </c>
      <c r="R68" s="27" t="s">
        <v>2030</v>
      </c>
      <c r="S68" s="27" t="s">
        <v>1497</v>
      </c>
    </row>
    <row r="69" spans="1:19" ht="24" customHeight="1">
      <c r="A69" s="27"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EVT-2026-1231</v>
      </c>
      <c r="B69" s="30">
        <v>46276</v>
      </c>
      <c r="C69" s="27" t="s">
        <v>220</v>
      </c>
      <c r="D69" s="27" t="s">
        <v>2386</v>
      </c>
      <c r="E69" s="27" t="s">
        <v>228</v>
      </c>
      <c r="F69" s="27" t="s">
        <v>203</v>
      </c>
      <c r="G69" s="10">
        <v>18</v>
      </c>
      <c r="H69" s="36" t="s">
        <v>263</v>
      </c>
      <c r="I69" s="37" t="s">
        <v>269</v>
      </c>
      <c r="J69" s="37" t="s">
        <v>270</v>
      </c>
      <c r="K69" s="27" t="s">
        <v>1445</v>
      </c>
      <c r="L69" s="27" t="s">
        <v>1445</v>
      </c>
      <c r="M69" s="27" t="s">
        <v>1445</v>
      </c>
      <c r="N69" s="27" t="s">
        <v>2029</v>
      </c>
      <c r="O69" s="30" t="s">
        <v>2385</v>
      </c>
      <c r="P69" s="41" t="s">
        <v>264</v>
      </c>
      <c r="Q69" s="29" t="s">
        <v>265</v>
      </c>
      <c r="R69" s="48" t="s">
        <v>2030</v>
      </c>
      <c r="S69" s="27" t="s">
        <v>1497</v>
      </c>
    </row>
    <row r="70" spans="1:19" ht="24" customHeight="1">
      <c r="A70" s="27"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70" s="30">
        <v>46278</v>
      </c>
      <c r="C70" s="27" t="s">
        <v>267</v>
      </c>
      <c r="D70" s="27"/>
      <c r="E70" s="27"/>
      <c r="F70" s="27"/>
      <c r="G70" s="10"/>
      <c r="H70" s="36" t="s">
        <v>263</v>
      </c>
      <c r="I70" s="37"/>
      <c r="J70" s="37"/>
      <c r="K70" s="27"/>
      <c r="L70" s="27"/>
      <c r="M70" s="27"/>
      <c r="N70" s="27"/>
      <c r="O70" s="27"/>
      <c r="P70" s="2" t="s">
        <v>1859</v>
      </c>
      <c r="Q70" s="29" t="s">
        <v>265</v>
      </c>
      <c r="R70" s="27"/>
      <c r="S70" s="27"/>
    </row>
    <row r="71" spans="1:19" ht="24" customHeight="1">
      <c r="A71" s="27"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EVT-2026-1232</v>
      </c>
      <c r="B71" s="30">
        <v>46279</v>
      </c>
      <c r="C71" s="27" t="s">
        <v>224</v>
      </c>
      <c r="D71" s="27" t="s">
        <v>736</v>
      </c>
      <c r="E71" s="27" t="s">
        <v>202</v>
      </c>
      <c r="F71" s="27" t="s">
        <v>203</v>
      </c>
      <c r="G71" s="10">
        <v>55</v>
      </c>
      <c r="H71" s="36" t="s">
        <v>263</v>
      </c>
      <c r="I71" s="37" t="s">
        <v>269</v>
      </c>
      <c r="J71" s="37" t="s">
        <v>270</v>
      </c>
      <c r="K71" s="27" t="s">
        <v>1445</v>
      </c>
      <c r="L71" s="27" t="s">
        <v>1445</v>
      </c>
      <c r="M71" s="27" t="s">
        <v>351</v>
      </c>
      <c r="N71" s="27" t="s">
        <v>1688</v>
      </c>
      <c r="O71" s="30">
        <v>46218</v>
      </c>
      <c r="P71" s="41" t="s">
        <v>264</v>
      </c>
      <c r="Q71" s="29" t="s">
        <v>265</v>
      </c>
      <c r="R71" s="27" t="s">
        <v>2030</v>
      </c>
      <c r="S71" s="27" t="s">
        <v>1497</v>
      </c>
    </row>
    <row r="72" spans="1:19" ht="24" customHeight="1">
      <c r="A72" s="27"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EVT-2026-1233</v>
      </c>
      <c r="B72" s="30">
        <v>46279</v>
      </c>
      <c r="C72" s="27" t="s">
        <v>224</v>
      </c>
      <c r="D72" s="27" t="s">
        <v>1512</v>
      </c>
      <c r="E72" s="27" t="s">
        <v>228</v>
      </c>
      <c r="F72" s="27" t="s">
        <v>203</v>
      </c>
      <c r="G72" s="10">
        <v>50</v>
      </c>
      <c r="H72" s="36" t="s">
        <v>263</v>
      </c>
      <c r="I72" s="37" t="s">
        <v>269</v>
      </c>
      <c r="J72" s="37" t="s">
        <v>270</v>
      </c>
      <c r="K72" s="27" t="s">
        <v>1445</v>
      </c>
      <c r="L72" s="27" t="s">
        <v>1445</v>
      </c>
      <c r="M72" s="27" t="s">
        <v>351</v>
      </c>
      <c r="N72" s="27" t="s">
        <v>1688</v>
      </c>
      <c r="O72" s="27"/>
      <c r="P72" s="41" t="s">
        <v>264</v>
      </c>
      <c r="Q72" s="29" t="s">
        <v>265</v>
      </c>
      <c r="R72" s="27" t="s">
        <v>2030</v>
      </c>
      <c r="S72" s="27" t="s">
        <v>1497</v>
      </c>
    </row>
    <row r="73" spans="1:19" ht="24" customHeight="1">
      <c r="A73" s="27"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EVT-2026-1234</v>
      </c>
      <c r="B73" s="30">
        <v>46279</v>
      </c>
      <c r="C73" s="27" t="s">
        <v>224</v>
      </c>
      <c r="D73" s="27" t="s">
        <v>1366</v>
      </c>
      <c r="E73" s="27" t="s">
        <v>1260</v>
      </c>
      <c r="F73" s="27" t="s">
        <v>203</v>
      </c>
      <c r="G73" s="10">
        <v>25</v>
      </c>
      <c r="H73" s="36" t="s">
        <v>263</v>
      </c>
      <c r="I73" s="37" t="s">
        <v>269</v>
      </c>
      <c r="J73" s="37" t="s">
        <v>270</v>
      </c>
      <c r="K73" s="27" t="s">
        <v>1445</v>
      </c>
      <c r="L73" s="27" t="s">
        <v>1445</v>
      </c>
      <c r="M73" s="27" t="s">
        <v>351</v>
      </c>
      <c r="N73" s="27" t="s">
        <v>1688</v>
      </c>
      <c r="O73" s="30">
        <v>46218</v>
      </c>
      <c r="P73" s="41" t="s">
        <v>264</v>
      </c>
      <c r="Q73" s="29" t="s">
        <v>265</v>
      </c>
      <c r="R73" s="27" t="s">
        <v>2030</v>
      </c>
      <c r="S73" s="27" t="s">
        <v>1497</v>
      </c>
    </row>
    <row r="74" spans="1:19" ht="24" customHeight="1">
      <c r="A74" s="27"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EVT-2026-1235</v>
      </c>
      <c r="B74" s="30">
        <v>46279</v>
      </c>
      <c r="C74" s="27" t="s">
        <v>224</v>
      </c>
      <c r="D74" s="27" t="s">
        <v>2386</v>
      </c>
      <c r="E74" s="27" t="s">
        <v>228</v>
      </c>
      <c r="F74" s="27" t="s">
        <v>203</v>
      </c>
      <c r="G74" s="10">
        <v>18</v>
      </c>
      <c r="H74" s="36" t="s">
        <v>263</v>
      </c>
      <c r="I74" s="37" t="s">
        <v>269</v>
      </c>
      <c r="J74" s="37" t="s">
        <v>270</v>
      </c>
      <c r="K74" s="27" t="s">
        <v>1445</v>
      </c>
      <c r="L74" s="27" t="s">
        <v>1445</v>
      </c>
      <c r="M74" s="27" t="s">
        <v>1445</v>
      </c>
      <c r="N74" s="27" t="s">
        <v>2029</v>
      </c>
      <c r="O74" s="30" t="s">
        <v>2385</v>
      </c>
      <c r="P74" s="41" t="s">
        <v>264</v>
      </c>
      <c r="Q74" s="29" t="s">
        <v>265</v>
      </c>
      <c r="R74" s="48" t="s">
        <v>2030</v>
      </c>
      <c r="S74" s="27" t="s">
        <v>1497</v>
      </c>
    </row>
    <row r="75" spans="1:19" ht="24" customHeight="1">
      <c r="A75" s="27"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EVT-2026-1236</v>
      </c>
      <c r="B75" s="30">
        <v>46279</v>
      </c>
      <c r="C75" s="27" t="s">
        <v>224</v>
      </c>
      <c r="D75" s="27" t="s">
        <v>1366</v>
      </c>
      <c r="E75" s="27" t="s">
        <v>202</v>
      </c>
      <c r="F75" s="27" t="s">
        <v>2503</v>
      </c>
      <c r="G75" s="10">
        <v>40</v>
      </c>
      <c r="H75" s="36" t="s">
        <v>263</v>
      </c>
      <c r="I75" s="37">
        <v>0.4375</v>
      </c>
      <c r="J75" s="37">
        <v>0.47916666666666669</v>
      </c>
      <c r="K75" s="27" t="s">
        <v>1445</v>
      </c>
      <c r="L75" s="27" t="s">
        <v>1670</v>
      </c>
      <c r="M75" s="27" t="s">
        <v>2504</v>
      </c>
      <c r="N75" s="27" t="s">
        <v>2505</v>
      </c>
      <c r="O75" s="30">
        <v>46261</v>
      </c>
      <c r="P75" s="2" t="s">
        <v>1859</v>
      </c>
      <c r="Q75" s="29" t="s">
        <v>265</v>
      </c>
      <c r="R75" s="27" t="s">
        <v>298</v>
      </c>
      <c r="S75" s="27" t="s">
        <v>1497</v>
      </c>
    </row>
    <row r="76" spans="1:19" ht="24" customHeight="1">
      <c r="A76" s="27"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76" s="30"/>
      <c r="C76" s="27"/>
      <c r="D76" s="27"/>
      <c r="E76" s="27"/>
      <c r="F76" s="27"/>
      <c r="G76" s="10"/>
      <c r="H76" s="36"/>
      <c r="I76" s="37"/>
      <c r="J76" s="37"/>
      <c r="K76" s="27"/>
      <c r="L76" s="27"/>
      <c r="M76" s="27"/>
      <c r="N76" s="27"/>
      <c r="O76" s="30"/>
      <c r="P76" s="40"/>
      <c r="Q76" s="29"/>
      <c r="R76" s="27"/>
      <c r="S76" s="27"/>
    </row>
    <row r="77" spans="1:19" ht="24" customHeight="1">
      <c r="A77" s="27"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EVT-2026-1237</v>
      </c>
      <c r="B77" s="30">
        <v>46280</v>
      </c>
      <c r="C77" s="27" t="s">
        <v>227</v>
      </c>
      <c r="D77" s="27" t="s">
        <v>736</v>
      </c>
      <c r="E77" s="27" t="s">
        <v>202</v>
      </c>
      <c r="F77" s="27" t="s">
        <v>203</v>
      </c>
      <c r="G77" s="10">
        <v>55</v>
      </c>
      <c r="H77" s="36" t="s">
        <v>263</v>
      </c>
      <c r="I77" s="37" t="s">
        <v>269</v>
      </c>
      <c r="J77" s="37" t="s">
        <v>270</v>
      </c>
      <c r="K77" s="27" t="s">
        <v>1445</v>
      </c>
      <c r="L77" s="27" t="s">
        <v>1445</v>
      </c>
      <c r="M77" s="27" t="s">
        <v>351</v>
      </c>
      <c r="N77" s="27" t="s">
        <v>1688</v>
      </c>
      <c r="O77" s="30">
        <v>46218</v>
      </c>
      <c r="P77" s="41" t="s">
        <v>264</v>
      </c>
      <c r="Q77" s="29" t="s">
        <v>265</v>
      </c>
      <c r="R77" s="27" t="s">
        <v>2030</v>
      </c>
      <c r="S77" s="27" t="s">
        <v>1497</v>
      </c>
    </row>
    <row r="78" spans="1:19" ht="24" customHeight="1">
      <c r="A78" s="27"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EVT-2026-1238</v>
      </c>
      <c r="B78" s="30">
        <v>46280</v>
      </c>
      <c r="C78" s="27" t="s">
        <v>227</v>
      </c>
      <c r="D78" s="27" t="s">
        <v>1366</v>
      </c>
      <c r="E78" s="27" t="s">
        <v>1260</v>
      </c>
      <c r="F78" s="27" t="s">
        <v>203</v>
      </c>
      <c r="G78" s="10">
        <v>25</v>
      </c>
      <c r="H78" s="36" t="s">
        <v>263</v>
      </c>
      <c r="I78" s="37" t="s">
        <v>269</v>
      </c>
      <c r="J78" s="37" t="s">
        <v>270</v>
      </c>
      <c r="K78" s="27" t="s">
        <v>1445</v>
      </c>
      <c r="L78" s="27" t="s">
        <v>1445</v>
      </c>
      <c r="M78" s="27" t="s">
        <v>351</v>
      </c>
      <c r="N78" s="27" t="s">
        <v>1688</v>
      </c>
      <c r="O78" s="30">
        <v>46218</v>
      </c>
      <c r="P78" s="41" t="s">
        <v>264</v>
      </c>
      <c r="Q78" s="29" t="s">
        <v>265</v>
      </c>
      <c r="R78" s="27" t="s">
        <v>2030</v>
      </c>
      <c r="S78" s="27" t="s">
        <v>1497</v>
      </c>
    </row>
    <row r="79" spans="1:19" ht="27.75" customHeight="1">
      <c r="A79" s="27"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EVT-2026-1239</v>
      </c>
      <c r="B79" s="30">
        <v>46280</v>
      </c>
      <c r="C79" s="27" t="s">
        <v>227</v>
      </c>
      <c r="D79" s="27" t="s">
        <v>2386</v>
      </c>
      <c r="E79" s="27" t="s">
        <v>228</v>
      </c>
      <c r="F79" s="27" t="s">
        <v>203</v>
      </c>
      <c r="G79" s="10">
        <v>18</v>
      </c>
      <c r="H79" s="36" t="s">
        <v>263</v>
      </c>
      <c r="I79" s="37" t="s">
        <v>269</v>
      </c>
      <c r="J79" s="37" t="s">
        <v>270</v>
      </c>
      <c r="K79" s="27" t="s">
        <v>1445</v>
      </c>
      <c r="L79" s="27" t="s">
        <v>1445</v>
      </c>
      <c r="M79" s="27" t="s">
        <v>1445</v>
      </c>
      <c r="N79" s="27" t="s">
        <v>2029</v>
      </c>
      <c r="O79" s="30" t="s">
        <v>2385</v>
      </c>
      <c r="P79" s="41" t="s">
        <v>264</v>
      </c>
      <c r="Q79" s="29" t="s">
        <v>265</v>
      </c>
      <c r="R79" s="48" t="s">
        <v>2030</v>
      </c>
      <c r="S79" s="27" t="s">
        <v>1497</v>
      </c>
    </row>
    <row r="80" spans="1:19" ht="24" customHeight="1">
      <c r="A80" s="27"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EVT-2026-1240</v>
      </c>
      <c r="B80" s="30">
        <v>46280</v>
      </c>
      <c r="C80" s="27" t="s">
        <v>227</v>
      </c>
      <c r="D80" s="27" t="s">
        <v>1366</v>
      </c>
      <c r="E80" s="27" t="s">
        <v>208</v>
      </c>
      <c r="F80" s="27" t="s">
        <v>217</v>
      </c>
      <c r="G80" s="10">
        <v>50</v>
      </c>
      <c r="H80" s="36" t="s">
        <v>263</v>
      </c>
      <c r="I80" s="37" t="s">
        <v>309</v>
      </c>
      <c r="J80" s="37" t="s">
        <v>296</v>
      </c>
      <c r="K80" s="27" t="s">
        <v>1445</v>
      </c>
      <c r="L80" s="27" t="s">
        <v>1445</v>
      </c>
      <c r="M80" s="27" t="s">
        <v>1080</v>
      </c>
      <c r="N80" s="27" t="s">
        <v>2462</v>
      </c>
      <c r="O80" s="27"/>
      <c r="P80" s="2" t="s">
        <v>1859</v>
      </c>
      <c r="Q80" s="29" t="s">
        <v>265</v>
      </c>
      <c r="R80" s="27" t="s">
        <v>298</v>
      </c>
      <c r="S80" s="27" t="s">
        <v>2350</v>
      </c>
    </row>
    <row r="81" spans="1:19" ht="24" customHeight="1">
      <c r="A81" s="27"/>
      <c r="B81" s="30"/>
      <c r="C81" s="27"/>
      <c r="D81" s="27"/>
      <c r="E81" s="27"/>
      <c r="F81" s="27"/>
      <c r="G81" s="10"/>
      <c r="H81" s="36"/>
      <c r="I81" s="37"/>
      <c r="J81" s="37"/>
      <c r="K81" s="27"/>
      <c r="L81" s="27"/>
      <c r="M81" s="27"/>
      <c r="N81" s="27"/>
      <c r="O81" s="27"/>
      <c r="P81" s="2"/>
      <c r="Q81" s="29"/>
      <c r="R81" s="27"/>
      <c r="S81" s="27"/>
    </row>
    <row r="82" spans="1:19" ht="23.25" customHeight="1">
      <c r="A82" s="27"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EVT-2026-1241</v>
      </c>
      <c r="B82" s="30">
        <v>46281</v>
      </c>
      <c r="C82" s="27" t="s">
        <v>201</v>
      </c>
      <c r="D82" s="27" t="s">
        <v>2446</v>
      </c>
      <c r="E82" s="27" t="s">
        <v>202</v>
      </c>
      <c r="F82" s="27" t="s">
        <v>2098</v>
      </c>
      <c r="G82" s="10" t="s">
        <v>2506</v>
      </c>
      <c r="H82" s="36" t="s">
        <v>263</v>
      </c>
      <c r="I82" s="37">
        <v>0.43055555555555558</v>
      </c>
      <c r="J82" s="37" t="s">
        <v>429</v>
      </c>
      <c r="K82" s="27" t="s">
        <v>1445</v>
      </c>
      <c r="L82" s="27" t="s">
        <v>1445</v>
      </c>
      <c r="M82" s="27" t="s">
        <v>2507</v>
      </c>
      <c r="N82" s="27" t="s">
        <v>2508</v>
      </c>
      <c r="O82" s="27" t="s">
        <v>2509</v>
      </c>
      <c r="P82" s="41" t="s">
        <v>264</v>
      </c>
      <c r="Q82" s="29" t="s">
        <v>265</v>
      </c>
      <c r="R82" s="27" t="s">
        <v>2510</v>
      </c>
      <c r="S82" s="27" t="s">
        <v>2350</v>
      </c>
    </row>
    <row r="83" spans="1:19" ht="24" customHeight="1">
      <c r="A83" s="27"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EVT-2026-1242</v>
      </c>
      <c r="B83" s="30">
        <v>46281</v>
      </c>
      <c r="C83" s="27" t="s">
        <v>201</v>
      </c>
      <c r="D83" s="27" t="s">
        <v>1366</v>
      </c>
      <c r="E83" s="27" t="s">
        <v>1260</v>
      </c>
      <c r="F83" s="27" t="s">
        <v>203</v>
      </c>
      <c r="G83" s="10">
        <v>25</v>
      </c>
      <c r="H83" s="36" t="s">
        <v>263</v>
      </c>
      <c r="I83" s="37" t="s">
        <v>269</v>
      </c>
      <c r="J83" s="37" t="s">
        <v>270</v>
      </c>
      <c r="K83" s="27" t="s">
        <v>1445</v>
      </c>
      <c r="L83" s="27" t="s">
        <v>1445</v>
      </c>
      <c r="M83" s="27" t="s">
        <v>351</v>
      </c>
      <c r="N83" s="27" t="s">
        <v>1688</v>
      </c>
      <c r="O83" s="30">
        <v>46218</v>
      </c>
      <c r="P83" s="41" t="s">
        <v>264</v>
      </c>
      <c r="Q83" s="29" t="s">
        <v>265</v>
      </c>
      <c r="S83" s="27" t="s">
        <v>1497</v>
      </c>
    </row>
    <row r="84" spans="1:19" ht="24" customHeight="1">
      <c r="A84" s="27"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EVT-2026-1243</v>
      </c>
      <c r="B84" s="30">
        <v>46281</v>
      </c>
      <c r="C84" s="27" t="s">
        <v>201</v>
      </c>
      <c r="D84" s="27" t="s">
        <v>2386</v>
      </c>
      <c r="E84" s="27" t="s">
        <v>228</v>
      </c>
      <c r="F84" s="27" t="s">
        <v>203</v>
      </c>
      <c r="G84" s="10">
        <v>18</v>
      </c>
      <c r="H84" s="36" t="s">
        <v>263</v>
      </c>
      <c r="I84" s="37" t="s">
        <v>269</v>
      </c>
      <c r="J84" s="37" t="s">
        <v>270</v>
      </c>
      <c r="K84" s="27" t="s">
        <v>1445</v>
      </c>
      <c r="L84" s="27" t="s">
        <v>1445</v>
      </c>
      <c r="M84" s="27" t="s">
        <v>1445</v>
      </c>
      <c r="N84" s="27" t="s">
        <v>2029</v>
      </c>
      <c r="O84" s="30" t="s">
        <v>2385</v>
      </c>
      <c r="P84" s="41" t="s">
        <v>264</v>
      </c>
      <c r="Q84" s="29" t="s">
        <v>265</v>
      </c>
      <c r="R84" s="48" t="s">
        <v>2030</v>
      </c>
      <c r="S84" s="27" t="s">
        <v>1497</v>
      </c>
    </row>
    <row r="85" spans="1:19" ht="24" customHeight="1">
      <c r="A85" s="27"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EVT-2026-1244</v>
      </c>
      <c r="B85" s="30">
        <v>46281</v>
      </c>
      <c r="C85" s="27" t="s">
        <v>201</v>
      </c>
      <c r="D85" s="27" t="s">
        <v>736</v>
      </c>
      <c r="E85" s="27" t="s">
        <v>202</v>
      </c>
      <c r="F85" s="27" t="s">
        <v>203</v>
      </c>
      <c r="G85" s="10">
        <v>55</v>
      </c>
      <c r="H85" s="36" t="s">
        <v>263</v>
      </c>
      <c r="I85" s="37" t="s">
        <v>269</v>
      </c>
      <c r="J85" s="37" t="s">
        <v>270</v>
      </c>
      <c r="K85" s="27" t="s">
        <v>1445</v>
      </c>
      <c r="L85" s="27" t="s">
        <v>1445</v>
      </c>
      <c r="M85" s="27" t="s">
        <v>351</v>
      </c>
      <c r="N85" s="27" t="s">
        <v>1688</v>
      </c>
      <c r="O85" s="30">
        <v>46218</v>
      </c>
      <c r="P85" s="41" t="s">
        <v>264</v>
      </c>
      <c r="Q85" s="29" t="s">
        <v>265</v>
      </c>
      <c r="R85" s="27" t="s">
        <v>2030</v>
      </c>
      <c r="S85" s="27" t="s">
        <v>1497</v>
      </c>
    </row>
    <row r="86" spans="1:19" ht="24" customHeight="1">
      <c r="A86" s="27"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EVT-2026-1245</v>
      </c>
      <c r="B86" s="30">
        <v>46281</v>
      </c>
      <c r="C86" s="27" t="s">
        <v>201</v>
      </c>
      <c r="D86" s="27" t="s">
        <v>1366</v>
      </c>
      <c r="E86" s="27" t="s">
        <v>208</v>
      </c>
      <c r="F86" s="27" t="s">
        <v>2511</v>
      </c>
      <c r="G86" s="10">
        <v>50</v>
      </c>
      <c r="H86" s="36" t="s">
        <v>263</v>
      </c>
      <c r="I86" s="37">
        <v>0.41666666666666669</v>
      </c>
      <c r="J86" s="37">
        <v>0.47916666666666669</v>
      </c>
      <c r="K86" s="27" t="s">
        <v>1445</v>
      </c>
      <c r="L86" s="27" t="s">
        <v>1670</v>
      </c>
      <c r="M86" s="49" t="s">
        <v>2416</v>
      </c>
      <c r="N86" s="43" t="s">
        <v>2417</v>
      </c>
      <c r="O86" s="30">
        <v>46266</v>
      </c>
      <c r="P86" s="41" t="s">
        <v>264</v>
      </c>
      <c r="Q86" s="29" t="s">
        <v>265</v>
      </c>
      <c r="R86" s="27" t="s">
        <v>2512</v>
      </c>
      <c r="S86" s="27" t="s">
        <v>1846</v>
      </c>
    </row>
    <row r="87" spans="1:19" ht="24" customHeight="1">
      <c r="A87" s="27"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EVT-2026-1246</v>
      </c>
      <c r="B87" s="30">
        <v>46281</v>
      </c>
      <c r="C87" s="27" t="s">
        <v>201</v>
      </c>
      <c r="D87" s="27" t="s">
        <v>1366</v>
      </c>
      <c r="E87" s="27" t="s">
        <v>208</v>
      </c>
      <c r="F87" s="27" t="s">
        <v>217</v>
      </c>
      <c r="G87" s="10">
        <v>50</v>
      </c>
      <c r="H87" s="36" t="s">
        <v>263</v>
      </c>
      <c r="I87" s="37" t="s">
        <v>309</v>
      </c>
      <c r="J87" s="37" t="s">
        <v>296</v>
      </c>
      <c r="K87" s="27" t="s">
        <v>1445</v>
      </c>
      <c r="L87" s="27" t="s">
        <v>1445</v>
      </c>
      <c r="M87" s="27" t="s">
        <v>1080</v>
      </c>
      <c r="N87" s="27" t="s">
        <v>2462</v>
      </c>
      <c r="O87" s="27"/>
      <c r="P87" s="2" t="s">
        <v>1859</v>
      </c>
      <c r="Q87" s="29" t="s">
        <v>265</v>
      </c>
      <c r="R87" s="27" t="s">
        <v>2030</v>
      </c>
      <c r="S87" s="27" t="s">
        <v>1497</v>
      </c>
    </row>
    <row r="88" spans="1:19" ht="45" customHeight="1">
      <c r="A88" s="27"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EVT-2026-1247</v>
      </c>
      <c r="B88" s="30">
        <v>46281</v>
      </c>
      <c r="C88" s="27" t="s">
        <v>201</v>
      </c>
      <c r="D88" s="27" t="s">
        <v>125</v>
      </c>
      <c r="E88" s="27" t="s">
        <v>228</v>
      </c>
      <c r="F88" s="27" t="s">
        <v>2513</v>
      </c>
      <c r="G88" s="10">
        <v>80</v>
      </c>
      <c r="H88" s="36" t="s">
        <v>263</v>
      </c>
      <c r="I88" s="37">
        <v>0.45833333333333331</v>
      </c>
      <c r="J88" s="37">
        <v>0.5</v>
      </c>
      <c r="K88" s="27" t="s">
        <v>1445</v>
      </c>
      <c r="L88" s="27" t="s">
        <v>2464</v>
      </c>
      <c r="M88" s="27" t="s">
        <v>2514</v>
      </c>
      <c r="N88" s="27" t="s">
        <v>2515</v>
      </c>
      <c r="O88" s="27" t="s">
        <v>2516</v>
      </c>
      <c r="P88" s="2" t="s">
        <v>1859</v>
      </c>
      <c r="Q88" s="29" t="s">
        <v>265</v>
      </c>
      <c r="R88" s="27" t="s">
        <v>2517</v>
      </c>
      <c r="S88" s="27" t="s">
        <v>2350</v>
      </c>
    </row>
    <row r="89" spans="1:19" ht="24" customHeight="1">
      <c r="A89" s="27"/>
      <c r="B89" s="30"/>
      <c r="C89" s="27"/>
      <c r="D89" s="27"/>
      <c r="E89" s="27"/>
      <c r="F89" s="27"/>
      <c r="G89" s="10"/>
      <c r="H89" s="36"/>
      <c r="I89" s="37"/>
      <c r="J89" s="37"/>
      <c r="K89" s="27"/>
      <c r="L89" s="27"/>
      <c r="M89" s="27"/>
      <c r="N89" s="27"/>
      <c r="O89" s="27"/>
      <c r="P89" s="2"/>
      <c r="Q89" s="29"/>
      <c r="R89" s="27"/>
      <c r="S89" s="27"/>
    </row>
    <row r="90" spans="1:19" ht="24" customHeight="1">
      <c r="A90" s="27"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EVT-2026-1248</v>
      </c>
      <c r="B90" s="30">
        <v>46282</v>
      </c>
      <c r="C90" s="27" t="s">
        <v>216</v>
      </c>
      <c r="D90" s="27" t="s">
        <v>1366</v>
      </c>
      <c r="E90" s="27" t="s">
        <v>1260</v>
      </c>
      <c r="F90" s="27" t="s">
        <v>203</v>
      </c>
      <c r="G90" s="10">
        <v>18</v>
      </c>
      <c r="H90" s="36" t="s">
        <v>263</v>
      </c>
      <c r="I90" s="37" t="s">
        <v>269</v>
      </c>
      <c r="J90" s="37" t="s">
        <v>270</v>
      </c>
      <c r="K90" s="27" t="s">
        <v>1445</v>
      </c>
      <c r="L90" s="27" t="s">
        <v>1445</v>
      </c>
      <c r="M90" s="27" t="s">
        <v>351</v>
      </c>
      <c r="N90" s="27" t="s">
        <v>1688</v>
      </c>
      <c r="O90" s="30">
        <v>46218</v>
      </c>
      <c r="P90" s="41" t="s">
        <v>264</v>
      </c>
      <c r="Q90" s="29" t="s">
        <v>265</v>
      </c>
      <c r="R90" s="27" t="s">
        <v>2030</v>
      </c>
      <c r="S90" s="27" t="s">
        <v>1497</v>
      </c>
    </row>
    <row r="91" spans="1:19" ht="24" customHeight="1">
      <c r="A91" s="27"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EVT-2026-1249</v>
      </c>
      <c r="B91" s="30">
        <v>46282</v>
      </c>
      <c r="C91" s="27" t="s">
        <v>216</v>
      </c>
      <c r="D91" s="27" t="s">
        <v>736</v>
      </c>
      <c r="E91" s="27" t="s">
        <v>202</v>
      </c>
      <c r="F91" s="27" t="s">
        <v>203</v>
      </c>
      <c r="G91" s="10">
        <v>55</v>
      </c>
      <c r="H91" s="36" t="s">
        <v>263</v>
      </c>
      <c r="I91" s="37" t="s">
        <v>269</v>
      </c>
      <c r="J91" s="37" t="s">
        <v>270</v>
      </c>
      <c r="K91" s="27" t="s">
        <v>1445</v>
      </c>
      <c r="L91" s="27" t="s">
        <v>1445</v>
      </c>
      <c r="M91" s="27" t="s">
        <v>351</v>
      </c>
      <c r="N91" s="27" t="s">
        <v>1688</v>
      </c>
      <c r="O91" s="30">
        <v>46218</v>
      </c>
      <c r="P91" s="41" t="s">
        <v>264</v>
      </c>
      <c r="Q91" s="29" t="s">
        <v>265</v>
      </c>
      <c r="R91" s="27" t="s">
        <v>2030</v>
      </c>
      <c r="S91" s="27" t="s">
        <v>1497</v>
      </c>
    </row>
    <row r="92" spans="1:19" ht="24" customHeight="1">
      <c r="A92" s="27"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EVT-2026-1250</v>
      </c>
      <c r="B92" s="30">
        <v>46282</v>
      </c>
      <c r="C92" s="27" t="s">
        <v>216</v>
      </c>
      <c r="D92" s="27" t="s">
        <v>2386</v>
      </c>
      <c r="E92" s="27" t="s">
        <v>228</v>
      </c>
      <c r="F92" s="27" t="s">
        <v>203</v>
      </c>
      <c r="G92" s="10">
        <v>18</v>
      </c>
      <c r="H92" s="36" t="s">
        <v>263</v>
      </c>
      <c r="I92" s="37" t="s">
        <v>269</v>
      </c>
      <c r="J92" s="37" t="s">
        <v>270</v>
      </c>
      <c r="K92" s="27" t="s">
        <v>1445</v>
      </c>
      <c r="L92" s="27" t="s">
        <v>1445</v>
      </c>
      <c r="M92" s="27" t="s">
        <v>1445</v>
      </c>
      <c r="N92" s="27" t="s">
        <v>2029</v>
      </c>
      <c r="O92" s="30" t="s">
        <v>2385</v>
      </c>
      <c r="P92" s="41" t="s">
        <v>264</v>
      </c>
      <c r="Q92" s="29" t="s">
        <v>265</v>
      </c>
      <c r="R92" s="48" t="s">
        <v>2030</v>
      </c>
      <c r="S92" s="27" t="s">
        <v>1497</v>
      </c>
    </row>
    <row r="93" spans="1:19" ht="24" customHeight="1">
      <c r="A93" s="27"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EVT-2026-1251</v>
      </c>
      <c r="B93" s="30">
        <v>46282</v>
      </c>
      <c r="C93" s="27" t="s">
        <v>216</v>
      </c>
      <c r="D93" s="27" t="s">
        <v>125</v>
      </c>
      <c r="E93" s="27" t="s">
        <v>228</v>
      </c>
      <c r="F93" s="27" t="s">
        <v>1132</v>
      </c>
      <c r="G93" s="10"/>
      <c r="H93" s="36" t="s">
        <v>263</v>
      </c>
      <c r="I93" s="37" t="s">
        <v>359</v>
      </c>
      <c r="J93" s="37" t="s">
        <v>290</v>
      </c>
      <c r="K93" s="27" t="s">
        <v>382</v>
      </c>
      <c r="L93" s="27" t="s">
        <v>1670</v>
      </c>
      <c r="M93" s="49" t="s">
        <v>2416</v>
      </c>
      <c r="N93" s="43" t="s">
        <v>2417</v>
      </c>
      <c r="O93" s="27"/>
      <c r="P93" s="2" t="s">
        <v>1859</v>
      </c>
      <c r="Q93" s="29" t="s">
        <v>265</v>
      </c>
      <c r="R93" s="27" t="s">
        <v>298</v>
      </c>
      <c r="S93" s="27" t="s">
        <v>1497</v>
      </c>
    </row>
    <row r="94" spans="1:19" ht="24" customHeight="1">
      <c r="A94" s="27"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EVT-2026-1252</v>
      </c>
      <c r="B94" s="30">
        <v>46282</v>
      </c>
      <c r="C94" s="27" t="s">
        <v>216</v>
      </c>
      <c r="D94" s="27" t="s">
        <v>1366</v>
      </c>
      <c r="E94" s="27" t="s">
        <v>208</v>
      </c>
      <c r="F94" s="27" t="s">
        <v>217</v>
      </c>
      <c r="G94" s="10">
        <v>50</v>
      </c>
      <c r="H94" s="36" t="s">
        <v>263</v>
      </c>
      <c r="I94" s="37" t="s">
        <v>309</v>
      </c>
      <c r="J94" s="37" t="s">
        <v>296</v>
      </c>
      <c r="K94" s="27" t="s">
        <v>1445</v>
      </c>
      <c r="L94" s="27" t="s">
        <v>1445</v>
      </c>
      <c r="M94" s="27" t="s">
        <v>1080</v>
      </c>
      <c r="N94" s="27" t="s">
        <v>2462</v>
      </c>
      <c r="O94" s="27"/>
      <c r="P94" s="2" t="s">
        <v>1859</v>
      </c>
      <c r="Q94" s="29" t="s">
        <v>265</v>
      </c>
      <c r="R94" s="27" t="s">
        <v>2030</v>
      </c>
      <c r="S94" s="27" t="s">
        <v>1497</v>
      </c>
    </row>
    <row r="95" spans="1:19" ht="24" customHeight="1">
      <c r="A95" s="27"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EVT-2026-1253</v>
      </c>
      <c r="B95" s="30">
        <v>46282</v>
      </c>
      <c r="C95" s="27" t="s">
        <v>216</v>
      </c>
      <c r="D95" s="27" t="s">
        <v>125</v>
      </c>
      <c r="E95" s="27" t="s">
        <v>228</v>
      </c>
      <c r="F95" s="27" t="s">
        <v>2518</v>
      </c>
      <c r="G95" s="10">
        <v>40</v>
      </c>
      <c r="H95" s="36" t="s">
        <v>263</v>
      </c>
      <c r="I95" s="37">
        <v>0.41666666666666669</v>
      </c>
      <c r="J95" s="37">
        <v>0.47916666666666669</v>
      </c>
      <c r="K95" s="27" t="s">
        <v>2519</v>
      </c>
      <c r="L95" s="27" t="s">
        <v>1670</v>
      </c>
      <c r="M95" s="27" t="s">
        <v>2520</v>
      </c>
      <c r="N95" s="27" t="s">
        <v>2521</v>
      </c>
      <c r="O95" s="27"/>
      <c r="P95" s="41" t="s">
        <v>264</v>
      </c>
      <c r="Q95" s="29" t="s">
        <v>265</v>
      </c>
      <c r="R95" s="27" t="s">
        <v>2522</v>
      </c>
      <c r="S95" s="27" t="s">
        <v>1846</v>
      </c>
    </row>
    <row r="96" spans="1:19" ht="24" customHeight="1">
      <c r="A96" s="27" t="s">
        <v>2523</v>
      </c>
      <c r="B96" s="30">
        <v>46282</v>
      </c>
      <c r="C96" s="27" t="s">
        <v>216</v>
      </c>
      <c r="D96" s="27" t="s">
        <v>125</v>
      </c>
      <c r="E96" s="27" t="s">
        <v>228</v>
      </c>
      <c r="F96" s="27" t="s">
        <v>2100</v>
      </c>
      <c r="G96" s="10">
        <v>40</v>
      </c>
      <c r="H96" s="36" t="s">
        <v>263</v>
      </c>
      <c r="I96" s="37" t="s">
        <v>350</v>
      </c>
      <c r="J96" s="37" t="s">
        <v>295</v>
      </c>
      <c r="K96" s="27" t="s">
        <v>1445</v>
      </c>
      <c r="L96" s="27" t="s">
        <v>1445</v>
      </c>
      <c r="M96" s="27" t="s">
        <v>2101</v>
      </c>
      <c r="N96" s="27" t="s">
        <v>2102</v>
      </c>
      <c r="O96" s="27" t="s">
        <v>2524</v>
      </c>
      <c r="P96" s="41" t="s">
        <v>264</v>
      </c>
      <c r="Q96" s="29" t="s">
        <v>265</v>
      </c>
      <c r="R96" s="27" t="s">
        <v>1673</v>
      </c>
      <c r="S96" s="27" t="s">
        <v>1846</v>
      </c>
    </row>
    <row r="97" spans="1:19" ht="24" customHeight="1">
      <c r="A97" s="27" t="s">
        <v>2523</v>
      </c>
      <c r="B97" s="30">
        <v>46282</v>
      </c>
      <c r="C97" s="27" t="s">
        <v>216</v>
      </c>
      <c r="D97" s="27" t="s">
        <v>1366</v>
      </c>
      <c r="E97" s="27" t="s">
        <v>202</v>
      </c>
      <c r="F97" s="27" t="s">
        <v>2525</v>
      </c>
      <c r="G97" s="10">
        <v>30</v>
      </c>
      <c r="H97" s="27" t="s">
        <v>263</v>
      </c>
      <c r="I97" s="37">
        <v>0.625</v>
      </c>
      <c r="J97" s="37">
        <v>0.64583333333333337</v>
      </c>
      <c r="K97" s="27" t="s">
        <v>1445</v>
      </c>
      <c r="L97" s="27" t="s">
        <v>1445</v>
      </c>
      <c r="M97" s="27" t="s">
        <v>2507</v>
      </c>
      <c r="N97" s="27" t="s">
        <v>2508</v>
      </c>
      <c r="O97" s="27" t="s">
        <v>2526</v>
      </c>
      <c r="P97" s="58" t="s">
        <v>264</v>
      </c>
      <c r="Q97" s="29" t="s">
        <v>265</v>
      </c>
      <c r="R97" s="27" t="s">
        <v>2517</v>
      </c>
      <c r="S97" s="27" t="s">
        <v>1497</v>
      </c>
    </row>
    <row r="98" spans="1:19" ht="24" customHeight="1">
      <c r="A98" s="27"/>
      <c r="B98" s="30"/>
      <c r="C98" s="27"/>
      <c r="D98" s="27"/>
      <c r="E98" s="27"/>
      <c r="F98" s="27"/>
      <c r="G98" s="27"/>
      <c r="H98" s="27"/>
      <c r="I98" s="37"/>
      <c r="J98" s="37"/>
      <c r="K98" s="27"/>
      <c r="L98" s="27"/>
      <c r="M98" s="27"/>
      <c r="N98" s="27"/>
      <c r="O98" s="27"/>
      <c r="P98" s="27"/>
      <c r="Q98" s="27"/>
      <c r="R98" s="27"/>
      <c r="S98" s="27"/>
    </row>
    <row r="99" spans="1:19" ht="24" customHeight="1">
      <c r="A99" s="27" t="s">
        <v>2523</v>
      </c>
      <c r="B99" s="30">
        <v>46283</v>
      </c>
      <c r="C99" s="27" t="s">
        <v>220</v>
      </c>
      <c r="D99" s="27" t="s">
        <v>2446</v>
      </c>
      <c r="E99" s="27" t="s">
        <v>202</v>
      </c>
      <c r="F99" s="27" t="s">
        <v>2278</v>
      </c>
      <c r="G99" s="10" t="s">
        <v>2277</v>
      </c>
      <c r="H99" s="27"/>
      <c r="I99" s="37">
        <v>0.41666666666666669</v>
      </c>
      <c r="J99" s="37">
        <v>0.5</v>
      </c>
      <c r="K99" s="27" t="s">
        <v>1445</v>
      </c>
      <c r="L99" s="27" t="s">
        <v>1445</v>
      </c>
      <c r="M99" s="27" t="s">
        <v>2527</v>
      </c>
      <c r="N99" s="27" t="s">
        <v>2527</v>
      </c>
      <c r="O99" s="27" t="s">
        <v>2424</v>
      </c>
      <c r="P99" s="27" t="s">
        <v>1859</v>
      </c>
      <c r="Q99" s="27"/>
      <c r="R99" s="27"/>
      <c r="S99" s="27" t="s">
        <v>2450</v>
      </c>
    </row>
    <row r="100" spans="1:19" ht="24" customHeight="1">
      <c r="A100" s="27"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EVT-2026-1257</v>
      </c>
      <c r="B100" s="30">
        <v>46283</v>
      </c>
      <c r="C100" s="27" t="s">
        <v>220</v>
      </c>
      <c r="D100" s="27" t="s">
        <v>1366</v>
      </c>
      <c r="E100" s="27" t="s">
        <v>1260</v>
      </c>
      <c r="F100" s="27" t="s">
        <v>203</v>
      </c>
      <c r="G100" s="10">
        <v>25</v>
      </c>
      <c r="H100" s="36" t="s">
        <v>263</v>
      </c>
      <c r="I100" s="37" t="s">
        <v>269</v>
      </c>
      <c r="J100" s="37" t="s">
        <v>270</v>
      </c>
      <c r="K100" s="27" t="s">
        <v>1445</v>
      </c>
      <c r="L100" s="27" t="s">
        <v>1445</v>
      </c>
      <c r="M100" s="27" t="s">
        <v>351</v>
      </c>
      <c r="N100" s="27" t="s">
        <v>1688</v>
      </c>
      <c r="O100" s="30">
        <v>46218</v>
      </c>
      <c r="P100" s="41" t="s">
        <v>264</v>
      </c>
      <c r="Q100" s="29" t="s">
        <v>265</v>
      </c>
      <c r="R100" s="27" t="s">
        <v>2030</v>
      </c>
      <c r="S100" s="27" t="s">
        <v>1497</v>
      </c>
    </row>
    <row r="101" spans="1:19" ht="24" customHeight="1">
      <c r="A101" s="27"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EVT-2026-1258</v>
      </c>
      <c r="B101" s="30">
        <v>46283</v>
      </c>
      <c r="C101" s="27" t="s">
        <v>220</v>
      </c>
      <c r="D101" s="27" t="s">
        <v>736</v>
      </c>
      <c r="E101" s="27" t="s">
        <v>202</v>
      </c>
      <c r="F101" s="27" t="s">
        <v>203</v>
      </c>
      <c r="G101" s="10">
        <v>55</v>
      </c>
      <c r="H101" s="36" t="s">
        <v>263</v>
      </c>
      <c r="I101" s="37" t="s">
        <v>269</v>
      </c>
      <c r="J101" s="37" t="s">
        <v>270</v>
      </c>
      <c r="K101" s="27" t="s">
        <v>1445</v>
      </c>
      <c r="L101" s="27" t="s">
        <v>1445</v>
      </c>
      <c r="M101" s="27" t="s">
        <v>351</v>
      </c>
      <c r="N101" s="27" t="s">
        <v>1688</v>
      </c>
      <c r="O101" s="30">
        <v>46218</v>
      </c>
      <c r="P101" s="41" t="s">
        <v>264</v>
      </c>
      <c r="Q101" s="29" t="s">
        <v>265</v>
      </c>
      <c r="R101" s="27" t="s">
        <v>2030</v>
      </c>
      <c r="S101" s="27" t="s">
        <v>1497</v>
      </c>
    </row>
    <row r="102" spans="1:19" ht="24" customHeight="1">
      <c r="A102" s="27"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EVT-2026-1259</v>
      </c>
      <c r="B102" s="30">
        <v>46283</v>
      </c>
      <c r="C102" s="27" t="s">
        <v>220</v>
      </c>
      <c r="D102" s="27" t="s">
        <v>2386</v>
      </c>
      <c r="E102" s="27" t="s">
        <v>228</v>
      </c>
      <c r="F102" s="27" t="s">
        <v>203</v>
      </c>
      <c r="G102" s="10">
        <v>18</v>
      </c>
      <c r="H102" s="36" t="s">
        <v>263</v>
      </c>
      <c r="I102" s="37" t="s">
        <v>269</v>
      </c>
      <c r="J102" s="37" t="s">
        <v>270</v>
      </c>
      <c r="K102" s="27" t="s">
        <v>1445</v>
      </c>
      <c r="L102" s="27" t="s">
        <v>1445</v>
      </c>
      <c r="M102" s="27" t="s">
        <v>1445</v>
      </c>
      <c r="N102" s="27" t="s">
        <v>2029</v>
      </c>
      <c r="O102" s="30" t="s">
        <v>2385</v>
      </c>
      <c r="P102" s="41" t="s">
        <v>264</v>
      </c>
      <c r="Q102" s="29" t="s">
        <v>265</v>
      </c>
      <c r="R102" s="48" t="s">
        <v>2030</v>
      </c>
      <c r="S102" s="27" t="s">
        <v>1497</v>
      </c>
    </row>
    <row r="103" spans="1:19" ht="24" customHeight="1">
      <c r="A103" s="27"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103" s="30">
        <v>46285</v>
      </c>
      <c r="C103" s="27" t="s">
        <v>267</v>
      </c>
      <c r="D103" s="27"/>
      <c r="E103" s="27"/>
      <c r="F103" s="27"/>
      <c r="G103" s="10"/>
      <c r="H103" s="36" t="s">
        <v>263</v>
      </c>
      <c r="I103" s="37"/>
      <c r="J103" s="37"/>
      <c r="K103" s="27"/>
      <c r="L103" s="27"/>
      <c r="M103" s="27"/>
      <c r="N103" s="27"/>
      <c r="O103" s="27"/>
      <c r="P103" s="2" t="s">
        <v>1859</v>
      </c>
      <c r="Q103" s="29" t="s">
        <v>265</v>
      </c>
      <c r="R103" s="27"/>
      <c r="S103" s="27"/>
    </row>
    <row r="104" spans="1:19" ht="24" customHeight="1">
      <c r="A104" s="27"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EVT-2026-1260</v>
      </c>
      <c r="B104" s="30">
        <v>46286</v>
      </c>
      <c r="C104" s="27" t="s">
        <v>224</v>
      </c>
      <c r="D104" s="27" t="s">
        <v>125</v>
      </c>
      <c r="E104" s="27" t="s">
        <v>228</v>
      </c>
      <c r="F104" s="27" t="s">
        <v>203</v>
      </c>
      <c r="G104" s="10">
        <v>50</v>
      </c>
      <c r="H104" s="36" t="s">
        <v>263</v>
      </c>
      <c r="I104" s="37" t="s">
        <v>269</v>
      </c>
      <c r="J104" s="37" t="s">
        <v>270</v>
      </c>
      <c r="K104" s="27" t="s">
        <v>1445</v>
      </c>
      <c r="L104" s="27" t="s">
        <v>1445</v>
      </c>
      <c r="M104" s="27" t="s">
        <v>351</v>
      </c>
      <c r="N104" s="27" t="s">
        <v>1688</v>
      </c>
      <c r="O104" s="27"/>
      <c r="P104" s="41" t="s">
        <v>264</v>
      </c>
      <c r="Q104" s="29" t="s">
        <v>265</v>
      </c>
      <c r="R104" s="27"/>
      <c r="S104" s="27"/>
    </row>
    <row r="105" spans="1:19" ht="24" customHeight="1">
      <c r="A105" s="27"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EVT-2026-1261</v>
      </c>
      <c r="B105" s="30">
        <v>46286</v>
      </c>
      <c r="C105" s="27" t="s">
        <v>224</v>
      </c>
      <c r="D105" s="27" t="s">
        <v>736</v>
      </c>
      <c r="E105" s="27" t="s">
        <v>202</v>
      </c>
      <c r="F105" s="27" t="s">
        <v>203</v>
      </c>
      <c r="G105" s="10">
        <v>55</v>
      </c>
      <c r="H105" s="36" t="s">
        <v>263</v>
      </c>
      <c r="I105" s="37" t="s">
        <v>269</v>
      </c>
      <c r="J105" s="37" t="s">
        <v>270</v>
      </c>
      <c r="K105" s="27" t="s">
        <v>1445</v>
      </c>
      <c r="L105" s="27" t="s">
        <v>1445</v>
      </c>
      <c r="M105" s="27" t="s">
        <v>351</v>
      </c>
      <c r="N105" s="27" t="s">
        <v>1688</v>
      </c>
      <c r="O105" s="30">
        <v>46218</v>
      </c>
      <c r="P105" s="41" t="s">
        <v>264</v>
      </c>
      <c r="Q105" s="29" t="s">
        <v>265</v>
      </c>
      <c r="R105" s="27" t="s">
        <v>2030</v>
      </c>
      <c r="S105" s="27" t="s">
        <v>1497</v>
      </c>
    </row>
    <row r="106" spans="1:19" ht="24" customHeight="1">
      <c r="A106" s="27"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EVT-2026-1262</v>
      </c>
      <c r="B106" s="30">
        <v>46286</v>
      </c>
      <c r="C106" s="27" t="s">
        <v>224</v>
      </c>
      <c r="D106" s="27" t="s">
        <v>1366</v>
      </c>
      <c r="E106" s="27" t="s">
        <v>1260</v>
      </c>
      <c r="F106" s="27" t="s">
        <v>203</v>
      </c>
      <c r="G106" s="10">
        <v>25</v>
      </c>
      <c r="H106" s="36" t="s">
        <v>263</v>
      </c>
      <c r="I106" s="37" t="s">
        <v>269</v>
      </c>
      <c r="J106" s="37" t="s">
        <v>270</v>
      </c>
      <c r="K106" s="27" t="s">
        <v>1445</v>
      </c>
      <c r="L106" s="27" t="s">
        <v>1445</v>
      </c>
      <c r="M106" s="27" t="s">
        <v>351</v>
      </c>
      <c r="N106" s="27" t="s">
        <v>1688</v>
      </c>
      <c r="O106" s="30">
        <v>46218</v>
      </c>
      <c r="P106" s="41" t="s">
        <v>264</v>
      </c>
      <c r="Q106" s="29" t="s">
        <v>265</v>
      </c>
      <c r="R106" s="27" t="s">
        <v>2030</v>
      </c>
      <c r="S106" s="27" t="s">
        <v>1497</v>
      </c>
    </row>
    <row r="107" spans="1:19" ht="24" customHeight="1">
      <c r="A107" s="27"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EVT-2026-1263</v>
      </c>
      <c r="B107" s="30">
        <v>46286</v>
      </c>
      <c r="C107" s="27" t="s">
        <v>224</v>
      </c>
      <c r="D107" s="27" t="s">
        <v>2386</v>
      </c>
      <c r="E107" s="27" t="s">
        <v>228</v>
      </c>
      <c r="F107" s="27" t="s">
        <v>203</v>
      </c>
      <c r="G107" s="10">
        <v>18</v>
      </c>
      <c r="H107" s="36" t="s">
        <v>263</v>
      </c>
      <c r="I107" s="37" t="s">
        <v>269</v>
      </c>
      <c r="J107" s="37" t="s">
        <v>270</v>
      </c>
      <c r="K107" s="27" t="s">
        <v>1445</v>
      </c>
      <c r="L107" s="27" t="s">
        <v>1445</v>
      </c>
      <c r="M107" s="27" t="s">
        <v>1445</v>
      </c>
      <c r="N107" s="27" t="s">
        <v>2029</v>
      </c>
      <c r="O107" s="30" t="s">
        <v>2385</v>
      </c>
      <c r="P107" s="41" t="s">
        <v>264</v>
      </c>
      <c r="Q107" s="29" t="s">
        <v>265</v>
      </c>
      <c r="R107" s="48" t="s">
        <v>2030</v>
      </c>
      <c r="S107" s="27" t="s">
        <v>1497</v>
      </c>
    </row>
    <row r="108" spans="1:19" ht="24" customHeight="1">
      <c r="A108" s="27"/>
      <c r="B108" s="30"/>
      <c r="C108" s="27"/>
      <c r="D108" s="27"/>
      <c r="E108" s="27"/>
      <c r="F108" s="27"/>
      <c r="G108" s="10"/>
      <c r="H108" s="36"/>
      <c r="I108" s="37"/>
      <c r="J108" s="37"/>
      <c r="K108" s="27"/>
      <c r="L108" s="27"/>
      <c r="M108" s="27"/>
      <c r="N108" s="27"/>
      <c r="O108" s="30"/>
      <c r="P108" s="41"/>
      <c r="Q108" s="29"/>
      <c r="R108" s="48"/>
      <c r="S108" s="27"/>
    </row>
    <row r="109" spans="1:19" ht="24" customHeight="1">
      <c r="A109" s="27"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EVT-2026-1264</v>
      </c>
      <c r="B109" s="30">
        <v>46287</v>
      </c>
      <c r="C109" s="27" t="s">
        <v>227</v>
      </c>
      <c r="D109" s="27" t="s">
        <v>2446</v>
      </c>
      <c r="E109" s="27" t="s">
        <v>202</v>
      </c>
      <c r="F109" s="27" t="s">
        <v>2528</v>
      </c>
      <c r="G109" s="10">
        <v>100</v>
      </c>
      <c r="H109" s="36" t="s">
        <v>294</v>
      </c>
      <c r="I109" s="37">
        <v>0.4375</v>
      </c>
      <c r="J109" s="37">
        <v>0.47916666666666669</v>
      </c>
      <c r="K109" s="27" t="s">
        <v>1445</v>
      </c>
      <c r="L109" s="27" t="s">
        <v>1445</v>
      </c>
      <c r="M109" s="10" t="s">
        <v>2441</v>
      </c>
      <c r="N109" s="27" t="s">
        <v>2529</v>
      </c>
      <c r="O109" s="30" t="s">
        <v>2530</v>
      </c>
      <c r="P109" s="50" t="s">
        <v>264</v>
      </c>
      <c r="Q109" s="29" t="s">
        <v>265</v>
      </c>
      <c r="R109" s="27" t="s">
        <v>2531</v>
      </c>
      <c r="S109" s="27" t="s">
        <v>2350</v>
      </c>
    </row>
    <row r="110" spans="1:19" ht="24" customHeight="1">
      <c r="A110" s="27" t="s">
        <v>2532</v>
      </c>
      <c r="B110" s="30">
        <v>46287</v>
      </c>
      <c r="C110" s="27" t="s">
        <v>227</v>
      </c>
      <c r="D110" s="27" t="s">
        <v>2446</v>
      </c>
      <c r="E110" s="27" t="s">
        <v>202</v>
      </c>
      <c r="F110" s="27" t="s">
        <v>2528</v>
      </c>
      <c r="G110" s="10">
        <v>100</v>
      </c>
      <c r="H110" s="36" t="s">
        <v>294</v>
      </c>
      <c r="I110" s="37">
        <v>0.625</v>
      </c>
      <c r="J110" s="37">
        <v>0.66666666666666663</v>
      </c>
      <c r="K110" s="27" t="s">
        <v>1445</v>
      </c>
      <c r="L110" s="27" t="s">
        <v>1445</v>
      </c>
      <c r="M110" s="10" t="s">
        <v>2441</v>
      </c>
      <c r="N110" s="27" t="s">
        <v>2529</v>
      </c>
      <c r="O110" s="30" t="s">
        <v>2530</v>
      </c>
      <c r="P110" s="51" t="s">
        <v>1859</v>
      </c>
      <c r="Q110" s="29" t="s">
        <v>265</v>
      </c>
      <c r="R110" s="27" t="s">
        <v>2104</v>
      </c>
      <c r="S110" s="27" t="s">
        <v>2350</v>
      </c>
    </row>
    <row r="111" spans="1:19" ht="24" customHeight="1">
      <c r="A111" s="27" t="s">
        <v>2532</v>
      </c>
      <c r="B111" s="30">
        <v>46287</v>
      </c>
      <c r="C111" s="27" t="s">
        <v>227</v>
      </c>
      <c r="D111" s="27" t="s">
        <v>125</v>
      </c>
      <c r="E111" s="27" t="s">
        <v>228</v>
      </c>
      <c r="F111" s="27" t="s">
        <v>2533</v>
      </c>
      <c r="G111" s="10">
        <v>20</v>
      </c>
      <c r="H111" s="36" t="s">
        <v>263</v>
      </c>
      <c r="I111" s="37">
        <v>0.5625</v>
      </c>
      <c r="J111" s="37">
        <v>0.625</v>
      </c>
      <c r="K111" s="27" t="s">
        <v>1445</v>
      </c>
      <c r="L111" s="27" t="s">
        <v>1445</v>
      </c>
      <c r="M111" s="10" t="s">
        <v>2498</v>
      </c>
      <c r="N111" s="27" t="s">
        <v>2534</v>
      </c>
      <c r="O111" s="30" t="s">
        <v>2535</v>
      </c>
      <c r="P111" s="41" t="s">
        <v>264</v>
      </c>
      <c r="Q111" s="29" t="s">
        <v>265</v>
      </c>
      <c r="R111" s="27" t="s">
        <v>2536</v>
      </c>
      <c r="S111" s="27" t="s">
        <v>2350</v>
      </c>
    </row>
    <row r="112" spans="1:19" ht="24" customHeight="1">
      <c r="A112" s="27"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EVT-2026-1267</v>
      </c>
      <c r="B112" s="30">
        <v>46287</v>
      </c>
      <c r="C112" s="27" t="s">
        <v>227</v>
      </c>
      <c r="D112" s="27" t="s">
        <v>1366</v>
      </c>
      <c r="E112" s="27" t="s">
        <v>1260</v>
      </c>
      <c r="F112" s="27" t="s">
        <v>203</v>
      </c>
      <c r="G112" s="10">
        <v>25</v>
      </c>
      <c r="H112" s="36" t="s">
        <v>263</v>
      </c>
      <c r="I112" s="37" t="s">
        <v>269</v>
      </c>
      <c r="J112" s="37" t="s">
        <v>270</v>
      </c>
      <c r="K112" s="27" t="s">
        <v>1445</v>
      </c>
      <c r="L112" s="27" t="s">
        <v>1445</v>
      </c>
      <c r="M112" s="27" t="s">
        <v>351</v>
      </c>
      <c r="N112" s="27" t="s">
        <v>1688</v>
      </c>
      <c r="O112" s="30">
        <v>46218</v>
      </c>
      <c r="P112" s="41" t="s">
        <v>264</v>
      </c>
      <c r="Q112" s="29" t="s">
        <v>265</v>
      </c>
      <c r="R112" s="27" t="s">
        <v>2030</v>
      </c>
      <c r="S112" s="27" t="s">
        <v>1497</v>
      </c>
    </row>
    <row r="113" spans="1:19" ht="24" customHeight="1">
      <c r="A113" s="27"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EVT-2026-1268</v>
      </c>
      <c r="B113" s="30">
        <v>46287</v>
      </c>
      <c r="C113" s="27" t="s">
        <v>227</v>
      </c>
      <c r="D113" s="27" t="s">
        <v>736</v>
      </c>
      <c r="E113" s="27" t="s">
        <v>202</v>
      </c>
      <c r="F113" s="27" t="s">
        <v>203</v>
      </c>
      <c r="G113" s="10">
        <v>55</v>
      </c>
      <c r="H113" s="36" t="s">
        <v>263</v>
      </c>
      <c r="I113" s="37" t="s">
        <v>269</v>
      </c>
      <c r="J113" s="37" t="s">
        <v>270</v>
      </c>
      <c r="K113" s="27" t="s">
        <v>1445</v>
      </c>
      <c r="L113" s="27" t="s">
        <v>1445</v>
      </c>
      <c r="M113" s="27" t="s">
        <v>351</v>
      </c>
      <c r="N113" s="27" t="s">
        <v>1688</v>
      </c>
      <c r="O113" s="30">
        <v>46218</v>
      </c>
      <c r="P113" s="41" t="s">
        <v>264</v>
      </c>
      <c r="Q113" s="29" t="s">
        <v>265</v>
      </c>
      <c r="R113" s="27" t="s">
        <v>2030</v>
      </c>
      <c r="S113" s="27" t="s">
        <v>1497</v>
      </c>
    </row>
    <row r="114" spans="1:19" ht="24" customHeight="1">
      <c r="A114" s="27"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EVT-2026-1269</v>
      </c>
      <c r="B114" s="30">
        <v>46287</v>
      </c>
      <c r="C114" s="27" t="s">
        <v>227</v>
      </c>
      <c r="D114" s="27" t="s">
        <v>2386</v>
      </c>
      <c r="E114" s="27" t="s">
        <v>228</v>
      </c>
      <c r="F114" s="27" t="s">
        <v>203</v>
      </c>
      <c r="G114" s="10">
        <v>18</v>
      </c>
      <c r="H114" s="36" t="s">
        <v>263</v>
      </c>
      <c r="I114" s="37" t="s">
        <v>269</v>
      </c>
      <c r="J114" s="37" t="s">
        <v>270</v>
      </c>
      <c r="K114" s="27" t="s">
        <v>1445</v>
      </c>
      <c r="L114" s="27" t="s">
        <v>1445</v>
      </c>
      <c r="M114" s="27" t="s">
        <v>1445</v>
      </c>
      <c r="N114" s="27" t="s">
        <v>2029</v>
      </c>
      <c r="O114" s="30" t="s">
        <v>2385</v>
      </c>
      <c r="P114" s="41" t="s">
        <v>264</v>
      </c>
      <c r="Q114" s="29" t="s">
        <v>265</v>
      </c>
      <c r="R114" s="48" t="s">
        <v>2030</v>
      </c>
      <c r="S114" s="27" t="s">
        <v>1497</v>
      </c>
    </row>
    <row r="115" spans="1:19" ht="24" customHeight="1">
      <c r="A115" s="27"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EVT-2026-1270</v>
      </c>
      <c r="B115" s="30">
        <v>46287</v>
      </c>
      <c r="C115" s="27" t="s">
        <v>227</v>
      </c>
      <c r="D115" s="27" t="s">
        <v>1366</v>
      </c>
      <c r="E115" s="27" t="s">
        <v>208</v>
      </c>
      <c r="F115" s="27" t="s">
        <v>2537</v>
      </c>
      <c r="G115" s="10">
        <v>50</v>
      </c>
      <c r="H115" s="36" t="s">
        <v>263</v>
      </c>
      <c r="I115" s="37" t="s">
        <v>269</v>
      </c>
      <c r="J115" s="37" t="s">
        <v>270</v>
      </c>
      <c r="K115" s="27" t="s">
        <v>1445</v>
      </c>
      <c r="L115" s="27" t="s">
        <v>1445</v>
      </c>
      <c r="M115" s="27" t="s">
        <v>2538</v>
      </c>
      <c r="N115" s="27" t="s">
        <v>2539</v>
      </c>
      <c r="O115" s="30"/>
      <c r="P115" s="2" t="s">
        <v>1859</v>
      </c>
      <c r="Q115" s="29" t="s">
        <v>265</v>
      </c>
      <c r="R115" s="27" t="s">
        <v>2540</v>
      </c>
      <c r="S115" s="27"/>
    </row>
    <row r="116" spans="1:19" ht="24" customHeight="1">
      <c r="A116" s="27"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EVT-2026-1271</v>
      </c>
      <c r="B116" s="30">
        <v>46287</v>
      </c>
      <c r="C116" s="27" t="s">
        <v>227</v>
      </c>
      <c r="D116" s="27" t="s">
        <v>1366</v>
      </c>
      <c r="E116" s="27" t="s">
        <v>202</v>
      </c>
      <c r="F116" s="27" t="s">
        <v>217</v>
      </c>
      <c r="G116" s="10">
        <v>50</v>
      </c>
      <c r="H116" s="36" t="s">
        <v>263</v>
      </c>
      <c r="I116" s="37" t="s">
        <v>309</v>
      </c>
      <c r="J116" s="37" t="s">
        <v>296</v>
      </c>
      <c r="K116" s="27" t="s">
        <v>1445</v>
      </c>
      <c r="L116" s="27" t="s">
        <v>1445</v>
      </c>
      <c r="M116" s="27" t="s">
        <v>1080</v>
      </c>
      <c r="N116" s="27" t="s">
        <v>2462</v>
      </c>
      <c r="O116" s="30">
        <v>46218</v>
      </c>
      <c r="P116" s="2" t="s">
        <v>1859</v>
      </c>
      <c r="Q116" s="29" t="s">
        <v>265</v>
      </c>
      <c r="R116" s="27" t="s">
        <v>2384</v>
      </c>
      <c r="S116" s="27" t="s">
        <v>1497</v>
      </c>
    </row>
    <row r="117" spans="1:19" ht="24" customHeight="1">
      <c r="A117" s="27"/>
      <c r="B117" s="30"/>
      <c r="C117" s="27"/>
      <c r="D117" s="27"/>
      <c r="E117" s="27"/>
      <c r="F117" s="27"/>
      <c r="G117" s="10"/>
      <c r="H117" s="36"/>
      <c r="I117" s="37"/>
      <c r="J117" s="37"/>
      <c r="K117" s="27"/>
      <c r="L117" s="27"/>
      <c r="M117" s="27"/>
      <c r="N117" s="27"/>
      <c r="O117" s="27"/>
      <c r="P117" s="2"/>
      <c r="Q117" s="29"/>
      <c r="R117" s="27"/>
      <c r="S117" s="27"/>
    </row>
    <row r="118" spans="1:19" ht="24" customHeight="1">
      <c r="A118" s="27"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EVT-2026-1272</v>
      </c>
      <c r="B118" s="30">
        <v>46288</v>
      </c>
      <c r="C118" s="27" t="s">
        <v>201</v>
      </c>
      <c r="D118" s="27" t="s">
        <v>1366</v>
      </c>
      <c r="E118" s="27" t="s">
        <v>1260</v>
      </c>
      <c r="F118" s="27" t="s">
        <v>203</v>
      </c>
      <c r="G118" s="10">
        <v>25</v>
      </c>
      <c r="H118" s="36" t="s">
        <v>263</v>
      </c>
      <c r="I118" s="37" t="s">
        <v>269</v>
      </c>
      <c r="J118" s="37" t="s">
        <v>270</v>
      </c>
      <c r="K118" s="27" t="s">
        <v>1445</v>
      </c>
      <c r="L118" s="27" t="s">
        <v>1445</v>
      </c>
      <c r="M118" s="27" t="s">
        <v>351</v>
      </c>
      <c r="N118" s="27" t="s">
        <v>1688</v>
      </c>
      <c r="O118" s="30">
        <v>46218</v>
      </c>
      <c r="P118" s="41" t="s">
        <v>264</v>
      </c>
      <c r="Q118" s="29" t="s">
        <v>265</v>
      </c>
      <c r="R118" s="27" t="s">
        <v>2030</v>
      </c>
      <c r="S118" s="27" t="s">
        <v>1497</v>
      </c>
    </row>
    <row r="119" spans="1:19" ht="24" customHeight="1">
      <c r="A119" s="27"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EVT-2026-1273</v>
      </c>
      <c r="B119" s="30">
        <v>46288</v>
      </c>
      <c r="C119" s="27" t="s">
        <v>201</v>
      </c>
      <c r="D119" s="27" t="s">
        <v>736</v>
      </c>
      <c r="E119" s="27" t="s">
        <v>202</v>
      </c>
      <c r="F119" s="27" t="s">
        <v>203</v>
      </c>
      <c r="G119" s="10">
        <v>55</v>
      </c>
      <c r="H119" s="36" t="s">
        <v>263</v>
      </c>
      <c r="I119" s="37" t="s">
        <v>269</v>
      </c>
      <c r="J119" s="37" t="s">
        <v>270</v>
      </c>
      <c r="K119" s="27" t="s">
        <v>1445</v>
      </c>
      <c r="L119" s="27" t="s">
        <v>1445</v>
      </c>
      <c r="M119" s="27" t="s">
        <v>351</v>
      </c>
      <c r="N119" s="27" t="s">
        <v>1688</v>
      </c>
      <c r="O119" s="30">
        <v>46218</v>
      </c>
      <c r="P119" s="41" t="s">
        <v>264</v>
      </c>
      <c r="Q119" s="29" t="s">
        <v>265</v>
      </c>
      <c r="R119" s="27" t="s">
        <v>2030</v>
      </c>
      <c r="S119" s="27" t="s">
        <v>1497</v>
      </c>
    </row>
    <row r="120" spans="1:19" ht="24" customHeight="1">
      <c r="A120" s="27"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EVT-2026-1274</v>
      </c>
      <c r="B120" s="30">
        <v>46288</v>
      </c>
      <c r="C120" s="27" t="s">
        <v>201</v>
      </c>
      <c r="D120" s="27" t="s">
        <v>2386</v>
      </c>
      <c r="E120" s="27" t="s">
        <v>228</v>
      </c>
      <c r="F120" s="27" t="s">
        <v>203</v>
      </c>
      <c r="G120" s="10">
        <v>18</v>
      </c>
      <c r="H120" s="36" t="s">
        <v>263</v>
      </c>
      <c r="I120" s="37" t="s">
        <v>269</v>
      </c>
      <c r="J120" s="37" t="s">
        <v>270</v>
      </c>
      <c r="K120" s="27" t="s">
        <v>1445</v>
      </c>
      <c r="L120" s="27" t="s">
        <v>1445</v>
      </c>
      <c r="M120" s="27" t="s">
        <v>1445</v>
      </c>
      <c r="N120" s="27" t="s">
        <v>2029</v>
      </c>
      <c r="O120" s="30" t="s">
        <v>2385</v>
      </c>
      <c r="P120" s="41" t="s">
        <v>264</v>
      </c>
      <c r="Q120" s="29" t="s">
        <v>265</v>
      </c>
      <c r="R120" s="48" t="s">
        <v>2030</v>
      </c>
      <c r="S120" s="27" t="s">
        <v>1497</v>
      </c>
    </row>
    <row r="121" spans="1:19" ht="24" customHeight="1">
      <c r="A121" s="27"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EVT-2026-1275</v>
      </c>
      <c r="B121" s="30">
        <v>46288</v>
      </c>
      <c r="C121" s="27" t="s">
        <v>201</v>
      </c>
      <c r="D121" s="27" t="s">
        <v>1366</v>
      </c>
      <c r="E121" s="27" t="s">
        <v>202</v>
      </c>
      <c r="F121" s="27" t="s">
        <v>217</v>
      </c>
      <c r="G121" s="10">
        <v>50</v>
      </c>
      <c r="H121" s="36" t="s">
        <v>263</v>
      </c>
      <c r="I121" s="37" t="s">
        <v>309</v>
      </c>
      <c r="J121" s="37" t="s">
        <v>296</v>
      </c>
      <c r="K121" s="27" t="s">
        <v>1445</v>
      </c>
      <c r="L121" s="27" t="s">
        <v>1445</v>
      </c>
      <c r="M121" s="27" t="s">
        <v>1080</v>
      </c>
      <c r="N121" s="27" t="s">
        <v>2462</v>
      </c>
      <c r="O121" s="27"/>
      <c r="P121" s="2" t="s">
        <v>1859</v>
      </c>
      <c r="Q121" s="29" t="s">
        <v>265</v>
      </c>
      <c r="R121" s="27" t="s">
        <v>2030</v>
      </c>
      <c r="S121" s="27" t="s">
        <v>298</v>
      </c>
    </row>
    <row r="122" spans="1:19" ht="24" customHeight="1">
      <c r="A122" s="27"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EVT-2026-1276</v>
      </c>
      <c r="B122" s="30">
        <v>46288</v>
      </c>
      <c r="C122" s="27" t="s">
        <v>201</v>
      </c>
      <c r="D122" s="27" t="s">
        <v>1366</v>
      </c>
      <c r="E122" s="27" t="s">
        <v>208</v>
      </c>
      <c r="F122" s="27" t="s">
        <v>2537</v>
      </c>
      <c r="G122" s="10">
        <v>50</v>
      </c>
      <c r="H122" s="36" t="s">
        <v>263</v>
      </c>
      <c r="I122" s="37" t="s">
        <v>269</v>
      </c>
      <c r="J122" s="37" t="s">
        <v>270</v>
      </c>
      <c r="K122" s="27" t="s">
        <v>1445</v>
      </c>
      <c r="L122" s="27" t="s">
        <v>1445</v>
      </c>
      <c r="M122" s="27" t="s">
        <v>2538</v>
      </c>
      <c r="N122" s="27" t="s">
        <v>2539</v>
      </c>
      <c r="O122" s="30"/>
      <c r="P122" s="2" t="s">
        <v>1859</v>
      </c>
      <c r="Q122" s="29" t="s">
        <v>265</v>
      </c>
      <c r="R122" s="27" t="s">
        <v>2540</v>
      </c>
      <c r="S122" s="27"/>
    </row>
    <row r="123" spans="1:19" ht="24" customHeight="1">
      <c r="A123" s="27"/>
      <c r="B123" s="30"/>
      <c r="C123" s="27"/>
      <c r="D123" s="27"/>
      <c r="E123" s="27"/>
      <c r="F123" s="27"/>
      <c r="G123" s="10"/>
      <c r="H123" s="36"/>
      <c r="I123" s="37"/>
      <c r="J123" s="37"/>
      <c r="K123" s="27"/>
      <c r="L123" s="27"/>
      <c r="M123" s="27"/>
      <c r="N123" s="27"/>
      <c r="O123" s="30"/>
      <c r="P123" s="2"/>
      <c r="Q123" s="29" t="s">
        <v>265</v>
      </c>
      <c r="R123" s="27"/>
      <c r="S123" s="27"/>
    </row>
    <row r="124" spans="1:19" ht="24" customHeight="1">
      <c r="A124" s="27"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EVT-2026-1277</v>
      </c>
      <c r="B124" s="30">
        <v>46258</v>
      </c>
      <c r="C124" s="27" t="s">
        <v>216</v>
      </c>
      <c r="D124" s="27" t="s">
        <v>2446</v>
      </c>
      <c r="E124" s="27" t="s">
        <v>202</v>
      </c>
      <c r="F124" s="27" t="s">
        <v>2541</v>
      </c>
      <c r="G124" s="10">
        <v>150</v>
      </c>
      <c r="H124" s="36" t="s">
        <v>294</v>
      </c>
      <c r="I124" s="37">
        <v>0.625</v>
      </c>
      <c r="J124" s="37" t="s">
        <v>270</v>
      </c>
      <c r="K124" s="10" t="s">
        <v>1445</v>
      </c>
      <c r="L124" s="27" t="s">
        <v>1670</v>
      </c>
      <c r="M124" s="10" t="s">
        <v>2441</v>
      </c>
      <c r="N124" s="27" t="s">
        <v>2529</v>
      </c>
      <c r="O124" s="27" t="s">
        <v>2542</v>
      </c>
      <c r="P124" s="2" t="s">
        <v>1859</v>
      </c>
      <c r="Q124" s="29" t="s">
        <v>265</v>
      </c>
      <c r="R124" s="27" t="s">
        <v>2104</v>
      </c>
      <c r="S124" s="27" t="s">
        <v>2350</v>
      </c>
    </row>
    <row r="125" spans="1:19" ht="24" customHeight="1">
      <c r="A125" s="27" t="str">
        <f ca="1">IF(OR(D125&lt;&gt;"", F125&lt;&gt;"", L125&lt;&gt;"", O125&lt;&gt;""),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EVT-2026-1278</v>
      </c>
      <c r="B125" s="30">
        <v>46289</v>
      </c>
      <c r="C125" s="27" t="s">
        <v>216</v>
      </c>
      <c r="D125" s="27" t="s">
        <v>736</v>
      </c>
      <c r="E125" s="27" t="s">
        <v>202</v>
      </c>
      <c r="F125" s="27" t="s">
        <v>203</v>
      </c>
      <c r="G125" s="10">
        <v>55</v>
      </c>
      <c r="H125" s="36" t="s">
        <v>263</v>
      </c>
      <c r="I125" s="37" t="s">
        <v>269</v>
      </c>
      <c r="J125" s="37" t="s">
        <v>270</v>
      </c>
      <c r="K125" s="27" t="s">
        <v>1445</v>
      </c>
      <c r="L125" s="27" t="s">
        <v>1445</v>
      </c>
      <c r="M125" s="27" t="s">
        <v>351</v>
      </c>
      <c r="N125" s="27" t="s">
        <v>1688</v>
      </c>
      <c r="O125" s="30">
        <v>46218</v>
      </c>
      <c r="P125" s="41" t="s">
        <v>264</v>
      </c>
      <c r="Q125" s="29" t="s">
        <v>265</v>
      </c>
      <c r="R125" s="27" t="s">
        <v>2030</v>
      </c>
      <c r="S125" s="27" t="s">
        <v>1497</v>
      </c>
    </row>
    <row r="126" spans="1:19" ht="24" customHeight="1">
      <c r="A126" s="27"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EVT-2026-1279</v>
      </c>
      <c r="B126" s="30">
        <v>46289</v>
      </c>
      <c r="C126" s="27" t="s">
        <v>216</v>
      </c>
      <c r="D126" s="27" t="s">
        <v>1366</v>
      </c>
      <c r="E126" s="27" t="s">
        <v>1260</v>
      </c>
      <c r="F126" s="27" t="s">
        <v>203</v>
      </c>
      <c r="G126" s="10">
        <v>25</v>
      </c>
      <c r="H126" s="36" t="s">
        <v>263</v>
      </c>
      <c r="I126" s="37" t="s">
        <v>269</v>
      </c>
      <c r="J126" s="37" t="s">
        <v>270</v>
      </c>
      <c r="K126" s="27" t="s">
        <v>1445</v>
      </c>
      <c r="L126" s="27" t="s">
        <v>1445</v>
      </c>
      <c r="M126" s="27" t="s">
        <v>351</v>
      </c>
      <c r="N126" s="27" t="s">
        <v>1688</v>
      </c>
      <c r="O126" s="30">
        <v>46218</v>
      </c>
      <c r="P126" s="41" t="s">
        <v>264</v>
      </c>
      <c r="Q126" s="29" t="s">
        <v>265</v>
      </c>
      <c r="R126" s="27" t="s">
        <v>2030</v>
      </c>
      <c r="S126" s="27" t="s">
        <v>1497</v>
      </c>
    </row>
    <row r="127" spans="1:19" ht="24" customHeight="1">
      <c r="A127" s="27"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EVT-2026-1280</v>
      </c>
      <c r="B127" s="30">
        <v>46289</v>
      </c>
      <c r="C127" s="27" t="s">
        <v>216</v>
      </c>
      <c r="D127" s="27" t="s">
        <v>2386</v>
      </c>
      <c r="E127" s="27" t="s">
        <v>228</v>
      </c>
      <c r="F127" s="27" t="s">
        <v>203</v>
      </c>
      <c r="G127" s="10">
        <v>18</v>
      </c>
      <c r="H127" s="36" t="s">
        <v>263</v>
      </c>
      <c r="I127" s="37" t="s">
        <v>269</v>
      </c>
      <c r="J127" s="37" t="s">
        <v>270</v>
      </c>
      <c r="K127" s="27" t="s">
        <v>1445</v>
      </c>
      <c r="L127" s="27" t="s">
        <v>1445</v>
      </c>
      <c r="M127" s="27" t="s">
        <v>1445</v>
      </c>
      <c r="N127" s="27" t="s">
        <v>2029</v>
      </c>
      <c r="O127" s="30" t="s">
        <v>2385</v>
      </c>
      <c r="P127" s="41" t="s">
        <v>264</v>
      </c>
      <c r="Q127" s="29" t="s">
        <v>265</v>
      </c>
      <c r="R127" s="48" t="s">
        <v>2030</v>
      </c>
      <c r="S127" s="27" t="s">
        <v>1497</v>
      </c>
    </row>
    <row r="128" spans="1:19" ht="24" customHeight="1">
      <c r="A128" s="27" t="str">
        <f ca="1">IF(OR(D128&lt;&gt;"", F128&lt;&gt;"", L128&lt;&gt;"", O128&lt;&gt;""),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EVT-2026-1281</v>
      </c>
      <c r="B128" s="30">
        <v>46289</v>
      </c>
      <c r="C128" s="27" t="s">
        <v>216</v>
      </c>
      <c r="D128" s="27" t="s">
        <v>125</v>
      </c>
      <c r="E128" s="27" t="s">
        <v>228</v>
      </c>
      <c r="F128" s="27" t="s">
        <v>2103</v>
      </c>
      <c r="G128" s="10">
        <v>25</v>
      </c>
      <c r="H128" s="36" t="s">
        <v>263</v>
      </c>
      <c r="I128" s="37" t="s">
        <v>315</v>
      </c>
      <c r="J128" s="37" t="s">
        <v>354</v>
      </c>
      <c r="K128" s="27" t="s">
        <v>1445</v>
      </c>
      <c r="L128" s="27" t="s">
        <v>1670</v>
      </c>
      <c r="M128" s="27" t="s">
        <v>367</v>
      </c>
      <c r="N128" s="27" t="s">
        <v>2093</v>
      </c>
      <c r="O128" s="30">
        <v>46238</v>
      </c>
      <c r="P128" s="2" t="s">
        <v>1859</v>
      </c>
      <c r="Q128" s="29" t="s">
        <v>265</v>
      </c>
      <c r="R128" s="27" t="s">
        <v>2104</v>
      </c>
      <c r="S128" s="27" t="s">
        <v>1497</v>
      </c>
    </row>
    <row r="129" spans="1:19" ht="24" customHeight="1">
      <c r="A129" s="27"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EVT-2026-1282</v>
      </c>
      <c r="B129" s="30">
        <v>46289</v>
      </c>
      <c r="C129" s="27" t="s">
        <v>216</v>
      </c>
      <c r="D129" s="27" t="s">
        <v>125</v>
      </c>
      <c r="E129" s="27" t="s">
        <v>228</v>
      </c>
      <c r="F129" s="27" t="s">
        <v>658</v>
      </c>
      <c r="G129" s="10">
        <v>60</v>
      </c>
      <c r="H129" s="36" t="s">
        <v>263</v>
      </c>
      <c r="I129" s="37" t="s">
        <v>295</v>
      </c>
      <c r="J129" s="37" t="s">
        <v>270</v>
      </c>
      <c r="K129" s="27"/>
      <c r="L129" s="27"/>
      <c r="M129" s="27" t="s">
        <v>1163</v>
      </c>
      <c r="N129" s="27"/>
      <c r="O129" s="27"/>
      <c r="P129" s="2" t="s">
        <v>1859</v>
      </c>
      <c r="Q129" s="29" t="s">
        <v>265</v>
      </c>
      <c r="R129" s="27" t="s">
        <v>321</v>
      </c>
      <c r="S129" s="27" t="s">
        <v>1497</v>
      </c>
    </row>
    <row r="130" spans="1:19" ht="24" customHeight="1">
      <c r="A130" s="27"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EVT-2026-1283</v>
      </c>
      <c r="B130" s="30">
        <v>46289</v>
      </c>
      <c r="C130" s="27" t="s">
        <v>216</v>
      </c>
      <c r="D130" s="27" t="s">
        <v>1366</v>
      </c>
      <c r="E130" s="27" t="s">
        <v>202</v>
      </c>
      <c r="F130" s="27" t="s">
        <v>217</v>
      </c>
      <c r="G130" s="10">
        <v>50</v>
      </c>
      <c r="H130" s="36" t="s">
        <v>263</v>
      </c>
      <c r="I130" s="37" t="s">
        <v>309</v>
      </c>
      <c r="J130" s="37" t="s">
        <v>296</v>
      </c>
      <c r="K130" s="27" t="s">
        <v>1445</v>
      </c>
      <c r="L130" s="27" t="s">
        <v>1445</v>
      </c>
      <c r="M130" s="27" t="s">
        <v>1080</v>
      </c>
      <c r="N130" s="27" t="s">
        <v>2462</v>
      </c>
      <c r="O130" s="27"/>
      <c r="P130" s="2" t="s">
        <v>1859</v>
      </c>
      <c r="Q130" s="29" t="s">
        <v>265</v>
      </c>
      <c r="R130" s="27" t="s">
        <v>298</v>
      </c>
      <c r="S130" s="27" t="s">
        <v>1497</v>
      </c>
    </row>
    <row r="131" spans="1:19" ht="24" customHeight="1">
      <c r="A131" s="27"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EVT-2026-1284</v>
      </c>
      <c r="B131" s="30">
        <v>46289</v>
      </c>
      <c r="C131" s="27" t="s">
        <v>216</v>
      </c>
      <c r="D131" s="27" t="s">
        <v>2543</v>
      </c>
      <c r="E131" s="27" t="s">
        <v>208</v>
      </c>
      <c r="F131" s="27" t="s">
        <v>2537</v>
      </c>
      <c r="G131" s="10">
        <v>1</v>
      </c>
      <c r="H131" s="36" t="s">
        <v>263</v>
      </c>
      <c r="I131" s="37">
        <v>0.33333333333333331</v>
      </c>
      <c r="J131" s="37">
        <v>0.70833333333333337</v>
      </c>
      <c r="K131" s="27" t="s">
        <v>1445</v>
      </c>
      <c r="L131" s="27" t="s">
        <v>1445</v>
      </c>
      <c r="M131" s="27" t="s">
        <v>2538</v>
      </c>
      <c r="N131" s="27" t="s">
        <v>2539</v>
      </c>
      <c r="O131" s="27"/>
      <c r="P131" s="2" t="s">
        <v>1859</v>
      </c>
      <c r="Q131" s="29" t="s">
        <v>265</v>
      </c>
      <c r="R131" s="27" t="s">
        <v>2544</v>
      </c>
      <c r="S131" s="27" t="s">
        <v>1497</v>
      </c>
    </row>
    <row r="132" spans="1:19" ht="24" customHeight="1">
      <c r="A132" s="27"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EVT-2026-1285</v>
      </c>
      <c r="B132" s="30">
        <v>46289</v>
      </c>
      <c r="C132" s="27" t="s">
        <v>216</v>
      </c>
      <c r="D132" s="27" t="s">
        <v>1366</v>
      </c>
      <c r="E132" s="27" t="s">
        <v>208</v>
      </c>
      <c r="F132" s="27" t="s">
        <v>2545</v>
      </c>
      <c r="G132" s="10" t="s">
        <v>2277</v>
      </c>
      <c r="H132" s="36" t="s">
        <v>263</v>
      </c>
      <c r="I132" s="37" t="s">
        <v>269</v>
      </c>
      <c r="J132" s="37" t="s">
        <v>270</v>
      </c>
      <c r="K132" s="27" t="s">
        <v>1445</v>
      </c>
      <c r="L132" s="27" t="s">
        <v>1445</v>
      </c>
      <c r="M132" s="27" t="s">
        <v>2538</v>
      </c>
      <c r="N132" s="27" t="s">
        <v>2539</v>
      </c>
      <c r="O132" s="30"/>
      <c r="P132" s="2" t="s">
        <v>1859</v>
      </c>
      <c r="Q132" s="29" t="s">
        <v>265</v>
      </c>
      <c r="R132" s="27" t="s">
        <v>2540</v>
      </c>
      <c r="S132" s="27"/>
    </row>
    <row r="133" spans="1:19" ht="24" customHeight="1">
      <c r="A133" s="27"/>
      <c r="B133" s="30"/>
      <c r="C133" s="27"/>
      <c r="D133" s="27"/>
      <c r="E133" s="27"/>
      <c r="F133" s="27"/>
      <c r="G133" s="10"/>
      <c r="H133" s="36"/>
      <c r="I133" s="37"/>
      <c r="J133" s="37"/>
      <c r="K133" s="27"/>
      <c r="L133" s="27"/>
      <c r="M133" s="27"/>
      <c r="N133" s="27"/>
      <c r="O133" s="30"/>
      <c r="P133" s="40"/>
      <c r="Q133" s="29"/>
      <c r="R133" s="27"/>
      <c r="S133" s="27"/>
    </row>
    <row r="134" spans="1:19" ht="24" customHeight="1">
      <c r="A134" s="27"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EVT-2026-1286</v>
      </c>
      <c r="B134" s="30">
        <v>46290</v>
      </c>
      <c r="C134" s="27" t="s">
        <v>220</v>
      </c>
      <c r="D134" s="27" t="s">
        <v>2097</v>
      </c>
      <c r="E134" s="27" t="s">
        <v>1260</v>
      </c>
      <c r="F134" s="27" t="s">
        <v>203</v>
      </c>
      <c r="G134" s="10">
        <v>25</v>
      </c>
      <c r="H134" s="36" t="s">
        <v>263</v>
      </c>
      <c r="I134" s="37" t="s">
        <v>269</v>
      </c>
      <c r="J134" s="37" t="s">
        <v>270</v>
      </c>
      <c r="K134" s="27" t="s">
        <v>1445</v>
      </c>
      <c r="L134" s="27" t="s">
        <v>1445</v>
      </c>
      <c r="M134" s="27" t="s">
        <v>351</v>
      </c>
      <c r="N134" s="27" t="s">
        <v>1688</v>
      </c>
      <c r="O134" s="30">
        <v>46218</v>
      </c>
      <c r="P134" s="41" t="s">
        <v>264</v>
      </c>
      <c r="Q134" s="29" t="s">
        <v>265</v>
      </c>
      <c r="R134" s="27" t="s">
        <v>2030</v>
      </c>
      <c r="S134" s="27" t="s">
        <v>1497</v>
      </c>
    </row>
    <row r="135" spans="1:19" ht="24" customHeight="1">
      <c r="A135" s="27"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EVT-2026-1287</v>
      </c>
      <c r="B135" s="30">
        <v>46290</v>
      </c>
      <c r="C135" s="27" t="s">
        <v>220</v>
      </c>
      <c r="D135" s="27" t="s">
        <v>1366</v>
      </c>
      <c r="E135" s="27" t="s">
        <v>202</v>
      </c>
      <c r="F135" s="27" t="s">
        <v>344</v>
      </c>
      <c r="G135" s="10">
        <v>60</v>
      </c>
      <c r="H135" s="36" t="s">
        <v>263</v>
      </c>
      <c r="I135" s="37" t="s">
        <v>289</v>
      </c>
      <c r="J135" s="37" t="s">
        <v>296</v>
      </c>
      <c r="K135" s="27" t="s">
        <v>1445</v>
      </c>
      <c r="L135" s="27" t="s">
        <v>1445</v>
      </c>
      <c r="M135" s="27" t="s">
        <v>379</v>
      </c>
      <c r="N135" s="27" t="s">
        <v>1645</v>
      </c>
      <c r="O135" s="27"/>
      <c r="P135" s="41" t="s">
        <v>264</v>
      </c>
      <c r="Q135" s="29" t="s">
        <v>265</v>
      </c>
      <c r="R135" s="27" t="s">
        <v>2546</v>
      </c>
      <c r="S135" s="27" t="s">
        <v>2350</v>
      </c>
    </row>
    <row r="136" spans="1:19" ht="24" customHeight="1">
      <c r="A136" s="27"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EVT-2026-1288</v>
      </c>
      <c r="B136" s="30">
        <v>46290</v>
      </c>
      <c r="C136" s="27" t="s">
        <v>220</v>
      </c>
      <c r="D136" s="27" t="s">
        <v>736</v>
      </c>
      <c r="E136" s="27" t="s">
        <v>202</v>
      </c>
      <c r="F136" s="27" t="s">
        <v>203</v>
      </c>
      <c r="G136" s="10">
        <v>55</v>
      </c>
      <c r="H136" s="36" t="s">
        <v>263</v>
      </c>
      <c r="I136" s="37" t="s">
        <v>269</v>
      </c>
      <c r="J136" s="37" t="s">
        <v>270</v>
      </c>
      <c r="K136" s="27" t="s">
        <v>1445</v>
      </c>
      <c r="L136" s="27" t="s">
        <v>1445</v>
      </c>
      <c r="M136" s="27" t="s">
        <v>351</v>
      </c>
      <c r="N136" s="27" t="s">
        <v>1688</v>
      </c>
      <c r="O136" s="30">
        <v>46218</v>
      </c>
      <c r="P136" s="41" t="s">
        <v>264</v>
      </c>
      <c r="Q136" s="29" t="s">
        <v>265</v>
      </c>
      <c r="R136" s="27" t="s">
        <v>2030</v>
      </c>
      <c r="S136" s="27" t="s">
        <v>1497</v>
      </c>
    </row>
    <row r="137" spans="1:19" ht="24" customHeight="1">
      <c r="A137" s="27"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EVT-2026-1289</v>
      </c>
      <c r="B137" s="30">
        <v>46290</v>
      </c>
      <c r="C137" s="27" t="s">
        <v>220</v>
      </c>
      <c r="D137" s="27" t="s">
        <v>2386</v>
      </c>
      <c r="E137" s="27" t="s">
        <v>228</v>
      </c>
      <c r="F137" s="27" t="s">
        <v>203</v>
      </c>
      <c r="G137" s="10">
        <v>18</v>
      </c>
      <c r="H137" s="36" t="s">
        <v>263</v>
      </c>
      <c r="I137" s="37" t="s">
        <v>269</v>
      </c>
      <c r="J137" s="37" t="s">
        <v>270</v>
      </c>
      <c r="K137" s="27" t="s">
        <v>1445</v>
      </c>
      <c r="L137" s="27" t="s">
        <v>1445</v>
      </c>
      <c r="M137" s="27" t="s">
        <v>1445</v>
      </c>
      <c r="N137" s="27" t="s">
        <v>2029</v>
      </c>
      <c r="O137" s="30" t="s">
        <v>2385</v>
      </c>
      <c r="P137" s="41" t="s">
        <v>264</v>
      </c>
      <c r="Q137" s="29" t="s">
        <v>265</v>
      </c>
      <c r="R137" s="48" t="s">
        <v>2030</v>
      </c>
      <c r="S137" s="27" t="s">
        <v>1497</v>
      </c>
    </row>
    <row r="138" spans="1:19" ht="24" customHeight="1">
      <c r="A138" s="27"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EVT-2026-1290</v>
      </c>
      <c r="B138" s="30">
        <v>46290</v>
      </c>
      <c r="C138" s="27" t="s">
        <v>220</v>
      </c>
      <c r="D138" s="27" t="s">
        <v>125</v>
      </c>
      <c r="E138" s="27" t="s">
        <v>228</v>
      </c>
      <c r="F138" s="27" t="s">
        <v>2051</v>
      </c>
      <c r="G138" s="10" t="s">
        <v>2411</v>
      </c>
      <c r="H138" s="36" t="s">
        <v>263</v>
      </c>
      <c r="I138" s="37" t="s">
        <v>350</v>
      </c>
      <c r="J138" s="37" t="s">
        <v>295</v>
      </c>
      <c r="K138" s="27" t="s">
        <v>1445</v>
      </c>
      <c r="L138" s="27" t="s">
        <v>1670</v>
      </c>
      <c r="M138" s="27" t="s">
        <v>379</v>
      </c>
      <c r="N138" s="27" t="s">
        <v>1645</v>
      </c>
      <c r="O138" s="30">
        <v>46234</v>
      </c>
      <c r="P138" s="2" t="s">
        <v>1859</v>
      </c>
      <c r="Q138" s="29" t="s">
        <v>265</v>
      </c>
      <c r="R138" s="27" t="s">
        <v>2106</v>
      </c>
      <c r="S138" s="27" t="s">
        <v>1497</v>
      </c>
    </row>
    <row r="139" spans="1:19" ht="24" customHeight="1">
      <c r="A139" s="27" t="str">
        <f ca="1">IF(OR(D139&lt;&gt;"", F139&lt;&gt;"", L139&lt;&gt;"", O139&lt;&gt;""),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EVT-2026-1291</v>
      </c>
      <c r="B139" s="30">
        <v>46290</v>
      </c>
      <c r="C139" s="27" t="s">
        <v>220</v>
      </c>
      <c r="D139" s="27" t="s">
        <v>125</v>
      </c>
      <c r="E139" s="27" t="s">
        <v>228</v>
      </c>
      <c r="F139" s="27" t="s">
        <v>353</v>
      </c>
      <c r="G139" s="10"/>
      <c r="H139" s="36" t="s">
        <v>263</v>
      </c>
      <c r="I139" s="37" t="s">
        <v>295</v>
      </c>
      <c r="J139" s="37" t="s">
        <v>296</v>
      </c>
      <c r="K139" s="27"/>
      <c r="L139" s="27"/>
      <c r="M139" s="27" t="s">
        <v>425</v>
      </c>
      <c r="N139" s="27"/>
      <c r="O139" s="27"/>
      <c r="P139" s="2" t="s">
        <v>1859</v>
      </c>
      <c r="Q139" s="29" t="s">
        <v>265</v>
      </c>
      <c r="R139" s="27" t="s">
        <v>2391</v>
      </c>
    </row>
    <row r="140" spans="1:19" ht="24" customHeight="1">
      <c r="A140" s="27" t="str">
        <f ca="1">IF(OR(D140&lt;&gt;"", F140&lt;&gt;"", L140&lt;&gt;"", O140&lt;&gt;""),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EVT-2026-1292</v>
      </c>
      <c r="B140" s="30">
        <v>46290</v>
      </c>
      <c r="C140" s="27" t="s">
        <v>220</v>
      </c>
      <c r="D140" s="27" t="s">
        <v>125</v>
      </c>
      <c r="E140" s="27" t="s">
        <v>228</v>
      </c>
      <c r="F140" s="27" t="s">
        <v>2094</v>
      </c>
      <c r="G140" s="10">
        <v>100</v>
      </c>
      <c r="H140" s="38" t="s">
        <v>294</v>
      </c>
      <c r="I140" s="37" t="s">
        <v>274</v>
      </c>
      <c r="J140" s="37" t="s">
        <v>553</v>
      </c>
      <c r="K140" s="27" t="s">
        <v>2095</v>
      </c>
      <c r="L140" s="27" t="s">
        <v>2547</v>
      </c>
      <c r="M140" s="27" t="s">
        <v>335</v>
      </c>
      <c r="N140" s="27" t="s">
        <v>1759</v>
      </c>
      <c r="O140" s="27" t="s">
        <v>2524</v>
      </c>
      <c r="P140" s="2" t="s">
        <v>1859</v>
      </c>
      <c r="Q140" s="29" t="s">
        <v>265</v>
      </c>
      <c r="R140" s="27" t="s">
        <v>2391</v>
      </c>
      <c r="S140" s="27" t="s">
        <v>1846</v>
      </c>
    </row>
    <row r="141" spans="1:19" ht="24" customHeight="1">
      <c r="A141" s="27" t="str">
        <f ca="1">IF(OR(D141&lt;&gt;"", F141&lt;&gt;"", L141&lt;&gt;"", O141&lt;&gt;""),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EVT-2026-1293</v>
      </c>
      <c r="B141" s="30">
        <v>46290</v>
      </c>
      <c r="C141" s="27" t="s">
        <v>220</v>
      </c>
      <c r="D141" s="27" t="s">
        <v>1366</v>
      </c>
      <c r="E141" s="27" t="s">
        <v>208</v>
      </c>
      <c r="F141" s="27" t="s">
        <v>2548</v>
      </c>
      <c r="G141" s="10"/>
      <c r="H141" s="36"/>
      <c r="I141" s="37">
        <v>0.45833333333333331</v>
      </c>
      <c r="J141" s="37">
        <v>0.48958333333333331</v>
      </c>
      <c r="K141" s="27"/>
      <c r="L141" s="27"/>
      <c r="M141" s="27" t="s">
        <v>1606</v>
      </c>
      <c r="N141" s="27"/>
      <c r="O141" s="27"/>
      <c r="P141" s="2" t="s">
        <v>1859</v>
      </c>
      <c r="Q141" s="29" t="s">
        <v>265</v>
      </c>
      <c r="R141" s="27"/>
      <c r="S141" s="27"/>
    </row>
    <row r="142" spans="1:19" ht="24" customHeight="1">
      <c r="A142" s="27" t="str">
        <f ca="1">IF(OR(D142&lt;&gt;"", F142&lt;&gt;"", L142&lt;&gt;"", O142&lt;&gt;""),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
      </c>
      <c r="B142" s="30">
        <v>46292</v>
      </c>
      <c r="C142" s="27" t="s">
        <v>267</v>
      </c>
      <c r="D142" s="27"/>
      <c r="E142" s="27"/>
      <c r="F142" s="27"/>
      <c r="G142" s="10"/>
      <c r="H142" s="36" t="s">
        <v>263</v>
      </c>
      <c r="I142" s="37"/>
      <c r="J142" s="37"/>
      <c r="K142" s="27"/>
      <c r="L142" s="27"/>
      <c r="M142" s="27"/>
      <c r="N142" s="27"/>
      <c r="O142" s="27"/>
      <c r="P142" s="2" t="s">
        <v>1859</v>
      </c>
      <c r="Q142" s="29" t="s">
        <v>265</v>
      </c>
      <c r="R142" s="27"/>
      <c r="S142" s="27"/>
    </row>
    <row r="143" spans="1:19" ht="24" customHeight="1">
      <c r="A143" s="27" t="str">
        <f ca="1">IF(OR(D143&lt;&gt;"", F143&lt;&gt;"", L143&lt;&gt;"", O143&lt;&gt;""),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EVT-2026-1294</v>
      </c>
      <c r="B143" s="30">
        <v>46293</v>
      </c>
      <c r="C143" s="27" t="s">
        <v>224</v>
      </c>
      <c r="D143" s="27" t="s">
        <v>736</v>
      </c>
      <c r="E143" s="27" t="s">
        <v>202</v>
      </c>
      <c r="F143" s="27" t="s">
        <v>203</v>
      </c>
      <c r="G143" s="10">
        <v>55</v>
      </c>
      <c r="H143" s="36" t="s">
        <v>263</v>
      </c>
      <c r="I143" s="37" t="s">
        <v>269</v>
      </c>
      <c r="J143" s="37" t="s">
        <v>270</v>
      </c>
      <c r="K143" s="27" t="s">
        <v>1445</v>
      </c>
      <c r="L143" s="27" t="s">
        <v>1445</v>
      </c>
      <c r="M143" s="27" t="s">
        <v>351</v>
      </c>
      <c r="N143" s="27" t="s">
        <v>1688</v>
      </c>
      <c r="O143" s="30">
        <v>46218</v>
      </c>
      <c r="P143" s="41" t="s">
        <v>264</v>
      </c>
      <c r="Q143" s="29" t="s">
        <v>265</v>
      </c>
      <c r="R143" s="27" t="s">
        <v>2030</v>
      </c>
      <c r="S143" s="27" t="s">
        <v>1497</v>
      </c>
    </row>
    <row r="144" spans="1:19" ht="24" customHeight="1">
      <c r="A144" s="27" t="str">
        <f ca="1">IF(OR(D144&lt;&gt;"", F144&lt;&gt;"", L144&lt;&gt;"", O144&lt;&gt;""),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EVT-2026-1295</v>
      </c>
      <c r="B144" s="30">
        <v>46293</v>
      </c>
      <c r="C144" s="27" t="s">
        <v>224</v>
      </c>
      <c r="D144" s="27" t="s">
        <v>125</v>
      </c>
      <c r="E144" s="27" t="s">
        <v>228</v>
      </c>
      <c r="F144" s="27" t="s">
        <v>203</v>
      </c>
      <c r="G144" s="10">
        <v>50</v>
      </c>
      <c r="H144" s="36" t="s">
        <v>263</v>
      </c>
      <c r="I144" s="37" t="s">
        <v>269</v>
      </c>
      <c r="J144" s="37" t="s">
        <v>270</v>
      </c>
      <c r="K144" s="27" t="s">
        <v>1445</v>
      </c>
      <c r="L144" s="27" t="s">
        <v>1445</v>
      </c>
      <c r="M144" s="27" t="s">
        <v>351</v>
      </c>
      <c r="N144" s="27" t="s">
        <v>1688</v>
      </c>
      <c r="O144" s="30">
        <v>46218</v>
      </c>
      <c r="P144" s="41" t="s">
        <v>264</v>
      </c>
      <c r="Q144" s="29" t="s">
        <v>265</v>
      </c>
      <c r="R144" s="27" t="s">
        <v>2030</v>
      </c>
      <c r="S144" s="27" t="s">
        <v>1497</v>
      </c>
    </row>
    <row r="145" spans="1:19" ht="24" customHeight="1">
      <c r="A145" s="27" t="str">
        <f ca="1">IF(OR(D145&lt;&gt;"", F145&lt;&gt;"", L145&lt;&gt;"", O145&lt;&gt;""),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EVT-2026-1296</v>
      </c>
      <c r="B145" s="30">
        <v>46293</v>
      </c>
      <c r="C145" s="27" t="s">
        <v>224</v>
      </c>
      <c r="D145" s="27" t="s">
        <v>2097</v>
      </c>
      <c r="E145" s="27" t="s">
        <v>1260</v>
      </c>
      <c r="F145" s="27" t="s">
        <v>203</v>
      </c>
      <c r="G145" s="10">
        <v>25</v>
      </c>
      <c r="H145" s="36" t="s">
        <v>263</v>
      </c>
      <c r="I145" s="37" t="s">
        <v>269</v>
      </c>
      <c r="J145" s="37" t="s">
        <v>270</v>
      </c>
      <c r="K145" s="27" t="s">
        <v>1445</v>
      </c>
      <c r="L145" s="27" t="s">
        <v>1445</v>
      </c>
      <c r="M145" s="27" t="s">
        <v>351</v>
      </c>
      <c r="N145" s="27" t="s">
        <v>1688</v>
      </c>
      <c r="O145" s="30">
        <v>46218</v>
      </c>
      <c r="P145" s="41" t="s">
        <v>264</v>
      </c>
      <c r="Q145" s="29" t="s">
        <v>265</v>
      </c>
      <c r="R145" s="27" t="s">
        <v>2030</v>
      </c>
      <c r="S145" s="27" t="s">
        <v>1497</v>
      </c>
    </row>
    <row r="146" spans="1:19" ht="24" customHeight="1">
      <c r="A146" s="27" t="str">
        <f ca="1">IF(OR(D146&lt;&gt;"", F146&lt;&gt;"", L146&lt;&gt;"", O146&lt;&gt;""),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EVT-2026-1297</v>
      </c>
      <c r="B146" s="30">
        <v>46293</v>
      </c>
      <c r="C146" s="27" t="s">
        <v>224</v>
      </c>
      <c r="D146" s="27" t="s">
        <v>2386</v>
      </c>
      <c r="E146" s="27" t="s">
        <v>228</v>
      </c>
      <c r="F146" s="27" t="s">
        <v>203</v>
      </c>
      <c r="G146" s="10">
        <v>18</v>
      </c>
      <c r="H146" s="36" t="s">
        <v>263</v>
      </c>
      <c r="I146" s="37" t="s">
        <v>269</v>
      </c>
      <c r="J146" s="37" t="s">
        <v>270</v>
      </c>
      <c r="K146" s="27" t="s">
        <v>1445</v>
      </c>
      <c r="L146" s="27" t="s">
        <v>1445</v>
      </c>
      <c r="M146" s="27" t="s">
        <v>1445</v>
      </c>
      <c r="N146" s="27" t="s">
        <v>2029</v>
      </c>
      <c r="O146" s="30" t="s">
        <v>2385</v>
      </c>
      <c r="P146" s="41" t="s">
        <v>264</v>
      </c>
      <c r="Q146" s="29" t="s">
        <v>265</v>
      </c>
      <c r="R146" s="48" t="s">
        <v>2030</v>
      </c>
      <c r="S146" s="27" t="s">
        <v>1497</v>
      </c>
    </row>
    <row r="147" spans="1:19" ht="24" customHeight="1">
      <c r="A147" s="27" t="str">
        <f ca="1">IF(OR(D147&lt;&gt;"", F147&lt;&gt;"", L147&lt;&gt;"", O147&lt;&gt;""),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EVT-2026-1298</v>
      </c>
      <c r="B147" s="30">
        <v>46293</v>
      </c>
      <c r="C147" s="27" t="s">
        <v>224</v>
      </c>
      <c r="D147" s="27" t="s">
        <v>2446</v>
      </c>
      <c r="E147" s="27" t="s">
        <v>202</v>
      </c>
      <c r="F147" s="27" t="s">
        <v>2549</v>
      </c>
      <c r="G147" s="10" t="s">
        <v>2320</v>
      </c>
      <c r="H147" s="38" t="s">
        <v>294</v>
      </c>
      <c r="I147" s="37" t="s">
        <v>506</v>
      </c>
      <c r="J147" s="37" t="s">
        <v>429</v>
      </c>
      <c r="K147" s="27" t="s">
        <v>1445</v>
      </c>
      <c r="L147" s="27" t="s">
        <v>2388</v>
      </c>
      <c r="M147" s="27" t="s">
        <v>2412</v>
      </c>
      <c r="N147" s="27" t="s">
        <v>2550</v>
      </c>
      <c r="O147" s="30">
        <v>46252</v>
      </c>
      <c r="P147" s="46" t="s">
        <v>264</v>
      </c>
      <c r="Q147" s="29" t="s">
        <v>265</v>
      </c>
      <c r="R147" s="27" t="s">
        <v>2391</v>
      </c>
      <c r="S147" s="27" t="s">
        <v>2350</v>
      </c>
    </row>
    <row r="148" spans="1:19" ht="24" customHeight="1">
      <c r="A148" s="27"/>
      <c r="B148" s="30"/>
      <c r="C148" s="27"/>
      <c r="D148" s="27"/>
      <c r="E148" s="27"/>
      <c r="F148" s="27"/>
      <c r="G148" s="10"/>
      <c r="H148" s="38"/>
      <c r="I148" s="37"/>
      <c r="J148" s="37"/>
      <c r="K148" s="27"/>
      <c r="L148" s="27"/>
      <c r="M148" s="27"/>
      <c r="N148" s="27"/>
      <c r="O148" s="30"/>
      <c r="P148" s="46"/>
      <c r="Q148" s="29"/>
      <c r="R148" s="27"/>
      <c r="S148" s="27"/>
    </row>
    <row r="149" spans="1:19" ht="24" customHeight="1">
      <c r="A149" s="27" t="str">
        <f ca="1">IF(OR(D149&lt;&gt;"", F149&lt;&gt;"", L149&lt;&gt;"", O149&lt;&gt;""),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EVT-2026-1299</v>
      </c>
      <c r="B149" s="30">
        <v>46294</v>
      </c>
      <c r="C149" s="27" t="s">
        <v>227</v>
      </c>
      <c r="D149" s="27" t="s">
        <v>2097</v>
      </c>
      <c r="E149" s="27" t="s">
        <v>1260</v>
      </c>
      <c r="F149" s="27" t="s">
        <v>203</v>
      </c>
      <c r="G149" s="10">
        <v>25</v>
      </c>
      <c r="H149" s="36" t="s">
        <v>263</v>
      </c>
      <c r="I149" s="37" t="s">
        <v>269</v>
      </c>
      <c r="J149" s="37" t="s">
        <v>270</v>
      </c>
      <c r="K149" s="27" t="s">
        <v>1445</v>
      </c>
      <c r="L149" s="27" t="s">
        <v>1445</v>
      </c>
      <c r="M149" s="27" t="s">
        <v>351</v>
      </c>
      <c r="N149" s="27" t="s">
        <v>1688</v>
      </c>
      <c r="O149" s="30">
        <v>46218</v>
      </c>
      <c r="P149" s="41" t="s">
        <v>264</v>
      </c>
      <c r="Q149" s="29" t="s">
        <v>265</v>
      </c>
      <c r="R149" s="27" t="s">
        <v>2030</v>
      </c>
      <c r="S149" s="27" t="s">
        <v>1497</v>
      </c>
    </row>
    <row r="150" spans="1:19" ht="24" customHeight="1">
      <c r="A150" s="27" t="str">
        <f ca="1">IF(OR(D150&lt;&gt;"", F150&lt;&gt;"", L150&lt;&gt;"", O150&lt;&gt;""),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EVT-2026-1300</v>
      </c>
      <c r="B150" s="30">
        <v>46294</v>
      </c>
      <c r="C150" s="27" t="s">
        <v>227</v>
      </c>
      <c r="D150" s="27" t="s">
        <v>736</v>
      </c>
      <c r="E150" s="27" t="s">
        <v>202</v>
      </c>
      <c r="F150" s="27" t="s">
        <v>203</v>
      </c>
      <c r="G150" s="10">
        <v>55</v>
      </c>
      <c r="H150" s="36" t="s">
        <v>263</v>
      </c>
      <c r="I150" s="37" t="s">
        <v>269</v>
      </c>
      <c r="J150" s="37" t="s">
        <v>270</v>
      </c>
      <c r="K150" s="27" t="s">
        <v>1445</v>
      </c>
      <c r="L150" s="27" t="s">
        <v>1445</v>
      </c>
      <c r="M150" s="27" t="s">
        <v>351</v>
      </c>
      <c r="N150" s="27" t="s">
        <v>1688</v>
      </c>
      <c r="O150" s="30">
        <v>46218</v>
      </c>
      <c r="P150" s="41" t="s">
        <v>264</v>
      </c>
      <c r="Q150" s="29" t="s">
        <v>265</v>
      </c>
      <c r="R150" s="27" t="s">
        <v>2030</v>
      </c>
      <c r="S150" s="27" t="s">
        <v>1497</v>
      </c>
    </row>
    <row r="151" spans="1:19" ht="24" customHeight="1">
      <c r="A151" s="27" t="str">
        <f ca="1">IF(OR(D151&lt;&gt;"", F151&lt;&gt;"", L151&lt;&gt;"", O151&lt;&gt;""),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EVT-2026-1301</v>
      </c>
      <c r="B151" s="30">
        <v>46294</v>
      </c>
      <c r="C151" s="27" t="s">
        <v>227</v>
      </c>
      <c r="D151" s="27" t="s">
        <v>2386</v>
      </c>
      <c r="E151" s="27" t="s">
        <v>228</v>
      </c>
      <c r="F151" s="27" t="s">
        <v>203</v>
      </c>
      <c r="G151" s="10">
        <v>18</v>
      </c>
      <c r="H151" s="36" t="s">
        <v>263</v>
      </c>
      <c r="I151" s="37" t="s">
        <v>269</v>
      </c>
      <c r="J151" s="37" t="s">
        <v>270</v>
      </c>
      <c r="K151" s="27" t="s">
        <v>1445</v>
      </c>
      <c r="L151" s="27" t="s">
        <v>1445</v>
      </c>
      <c r="M151" s="27" t="s">
        <v>1445</v>
      </c>
      <c r="N151" s="27" t="s">
        <v>2029</v>
      </c>
      <c r="O151" s="30" t="s">
        <v>2385</v>
      </c>
      <c r="P151" s="41" t="s">
        <v>264</v>
      </c>
      <c r="Q151" s="29" t="s">
        <v>265</v>
      </c>
      <c r="R151" s="48" t="s">
        <v>2030</v>
      </c>
      <c r="S151" s="27" t="s">
        <v>1497</v>
      </c>
    </row>
    <row r="152" spans="1:19" ht="24" customHeight="1">
      <c r="A152" s="27" t="str">
        <f ca="1">IF(OR(D152&lt;&gt;"", F152&lt;&gt;"", L152&lt;&gt;"", O152&lt;&gt;""),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EVT-2026-1302</v>
      </c>
      <c r="B152" s="30">
        <v>46294</v>
      </c>
      <c r="C152" s="27" t="s">
        <v>227</v>
      </c>
      <c r="D152" s="27" t="s">
        <v>125</v>
      </c>
      <c r="E152" s="27" t="s">
        <v>228</v>
      </c>
      <c r="F152" s="27" t="s">
        <v>2108</v>
      </c>
      <c r="G152" s="10">
        <v>150</v>
      </c>
      <c r="H152" s="38" t="s">
        <v>294</v>
      </c>
      <c r="I152" s="37" t="s">
        <v>315</v>
      </c>
      <c r="J152" s="37" t="s">
        <v>330</v>
      </c>
      <c r="K152" s="27"/>
      <c r="L152" s="27"/>
      <c r="M152" s="27" t="s">
        <v>378</v>
      </c>
      <c r="N152" s="27"/>
      <c r="O152" s="27"/>
      <c r="P152" s="2" t="s">
        <v>1859</v>
      </c>
      <c r="Q152" s="29" t="s">
        <v>265</v>
      </c>
      <c r="R152" s="27" t="s">
        <v>2109</v>
      </c>
      <c r="S152" s="27" t="s">
        <v>298</v>
      </c>
    </row>
    <row r="153" spans="1:19" ht="24" customHeight="1">
      <c r="A153" s="27" t="str">
        <f ca="1">IF(OR(D153&lt;&gt;"", F153&lt;&gt;"", L153&lt;&gt;"", O153&lt;&gt;""),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EVT-2026-1303</v>
      </c>
      <c r="B153" s="30">
        <v>46294</v>
      </c>
      <c r="C153" s="27" t="s">
        <v>227</v>
      </c>
      <c r="D153" s="27" t="s">
        <v>1366</v>
      </c>
      <c r="E153" s="27" t="s">
        <v>208</v>
      </c>
      <c r="F153" s="27" t="s">
        <v>217</v>
      </c>
      <c r="G153" s="10">
        <v>50</v>
      </c>
      <c r="H153" s="36" t="s">
        <v>263</v>
      </c>
      <c r="I153" s="37" t="s">
        <v>309</v>
      </c>
      <c r="J153" s="37" t="s">
        <v>296</v>
      </c>
      <c r="K153" s="27" t="s">
        <v>1445</v>
      </c>
      <c r="L153" s="27" t="s">
        <v>1445</v>
      </c>
      <c r="M153" s="27" t="s">
        <v>1080</v>
      </c>
      <c r="N153" s="27" t="s">
        <v>2462</v>
      </c>
      <c r="O153" s="27"/>
      <c r="P153" s="2" t="s">
        <v>1859</v>
      </c>
      <c r="Q153" s="29" t="s">
        <v>265</v>
      </c>
      <c r="R153" s="27"/>
      <c r="S153" s="27" t="s">
        <v>298</v>
      </c>
    </row>
    <row r="154" spans="1:19" ht="24" customHeight="1">
      <c r="A154" s="27" t="str">
        <f ca="1">IF(OR(D154&lt;&gt;"", F154&lt;&gt;"", L154&lt;&gt;"", O154&lt;&gt;""),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EVT-2026-1304</v>
      </c>
      <c r="B154" s="30">
        <v>46294</v>
      </c>
      <c r="C154" s="27" t="s">
        <v>227</v>
      </c>
      <c r="D154" s="27" t="s">
        <v>125</v>
      </c>
      <c r="E154" s="27" t="s">
        <v>228</v>
      </c>
      <c r="F154" s="27" t="s">
        <v>2548</v>
      </c>
      <c r="G154" s="10"/>
      <c r="H154" s="36"/>
      <c r="I154" s="37">
        <v>0.52083333333333337</v>
      </c>
      <c r="J154" s="37">
        <v>0.5625</v>
      </c>
      <c r="K154" s="27"/>
      <c r="L154" s="27"/>
      <c r="M154" s="27" t="s">
        <v>1606</v>
      </c>
      <c r="N154" s="27"/>
      <c r="O154" s="27"/>
      <c r="P154" s="2"/>
      <c r="Q154" s="29"/>
      <c r="R154" s="27"/>
      <c r="S154" s="27"/>
    </row>
    <row r="155" spans="1:19" ht="24" customHeight="1">
      <c r="A155" s="27" t="str">
        <f ca="1">IF(OR(D155&lt;&gt;"", F155&lt;&gt;"", L155&lt;&gt;"", O155&lt;&gt;""),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EVT-2026-1305</v>
      </c>
      <c r="B155" s="30">
        <v>46295</v>
      </c>
      <c r="C155" s="27" t="s">
        <v>201</v>
      </c>
      <c r="D155" s="27" t="s">
        <v>736</v>
      </c>
      <c r="E155" s="27" t="s">
        <v>202</v>
      </c>
      <c r="F155" s="27" t="s">
        <v>203</v>
      </c>
      <c r="G155" s="10">
        <v>55</v>
      </c>
      <c r="H155" s="36" t="s">
        <v>263</v>
      </c>
      <c r="I155" s="37" t="s">
        <v>269</v>
      </c>
      <c r="J155" s="37" t="s">
        <v>270</v>
      </c>
      <c r="K155" s="27" t="s">
        <v>1445</v>
      </c>
      <c r="L155" s="27" t="s">
        <v>1445</v>
      </c>
      <c r="M155" s="27" t="s">
        <v>351</v>
      </c>
      <c r="N155" s="27" t="s">
        <v>1688</v>
      </c>
      <c r="O155" s="30">
        <v>46218</v>
      </c>
      <c r="P155" s="41" t="s">
        <v>264</v>
      </c>
      <c r="Q155" s="29" t="s">
        <v>265</v>
      </c>
      <c r="R155" s="27" t="s">
        <v>2030</v>
      </c>
      <c r="S155" s="27" t="s">
        <v>1497</v>
      </c>
    </row>
    <row r="156" spans="1:19" ht="24" customHeight="1">
      <c r="A156" s="27" t="str">
        <f ca="1">IF(OR(D156&lt;&gt;"", F156&lt;&gt;"", L156&lt;&gt;"", O156&lt;&gt;""),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EVT-2026-1306</v>
      </c>
      <c r="B156" s="30">
        <v>46295</v>
      </c>
      <c r="C156" s="27" t="s">
        <v>201</v>
      </c>
      <c r="D156" s="27" t="s">
        <v>2097</v>
      </c>
      <c r="E156" s="27" t="s">
        <v>1260</v>
      </c>
      <c r="F156" s="27" t="s">
        <v>203</v>
      </c>
      <c r="G156" s="10">
        <v>25</v>
      </c>
      <c r="H156" s="36" t="s">
        <v>263</v>
      </c>
      <c r="I156" s="37" t="s">
        <v>269</v>
      </c>
      <c r="J156" s="37" t="s">
        <v>270</v>
      </c>
      <c r="K156" s="27" t="s">
        <v>1445</v>
      </c>
      <c r="L156" s="27" t="s">
        <v>1445</v>
      </c>
      <c r="M156" s="27" t="s">
        <v>351</v>
      </c>
      <c r="N156" s="27" t="s">
        <v>1688</v>
      </c>
      <c r="O156" s="30">
        <v>46218</v>
      </c>
      <c r="P156" s="41" t="s">
        <v>264</v>
      </c>
      <c r="Q156" s="29" t="s">
        <v>265</v>
      </c>
      <c r="R156" s="27" t="s">
        <v>2030</v>
      </c>
      <c r="S156" s="27" t="s">
        <v>1497</v>
      </c>
    </row>
    <row r="157" spans="1:19" ht="24" customHeight="1">
      <c r="A157" s="27" t="str">
        <f ca="1">IF(OR(D157&lt;&gt;"", F157&lt;&gt;"", L157&lt;&gt;"", O157&lt;&gt;""),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EVT-2026-1307</v>
      </c>
      <c r="B157" s="30">
        <v>46295</v>
      </c>
      <c r="C157" s="27" t="s">
        <v>201</v>
      </c>
      <c r="D157" s="27" t="s">
        <v>2386</v>
      </c>
      <c r="E157" s="27" t="s">
        <v>228</v>
      </c>
      <c r="F157" s="27" t="s">
        <v>203</v>
      </c>
      <c r="G157" s="10">
        <v>18</v>
      </c>
      <c r="H157" s="36" t="s">
        <v>263</v>
      </c>
      <c r="I157" s="37" t="s">
        <v>269</v>
      </c>
      <c r="J157" s="37" t="s">
        <v>270</v>
      </c>
      <c r="K157" s="27" t="s">
        <v>1445</v>
      </c>
      <c r="L157" s="27" t="s">
        <v>1445</v>
      </c>
      <c r="M157" s="27" t="s">
        <v>1445</v>
      </c>
      <c r="N157" s="27" t="s">
        <v>2029</v>
      </c>
      <c r="O157" s="30" t="s">
        <v>2385</v>
      </c>
      <c r="P157" s="41" t="s">
        <v>264</v>
      </c>
      <c r="Q157" s="29" t="s">
        <v>265</v>
      </c>
      <c r="R157" s="48" t="s">
        <v>2030</v>
      </c>
      <c r="S157" s="27" t="s">
        <v>1497</v>
      </c>
    </row>
    <row r="158" spans="1:19" ht="24" customHeight="1">
      <c r="A158" s="27" t="str">
        <f ca="1">IF(OR(D158&lt;&gt;"", F158&lt;&gt;"", L158&lt;&gt;"", O158&lt;&gt;""),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EVT-2026-1308</v>
      </c>
      <c r="B158" s="30">
        <v>46295</v>
      </c>
      <c r="C158" s="27" t="s">
        <v>201</v>
      </c>
      <c r="D158" s="27" t="s">
        <v>125</v>
      </c>
      <c r="E158" s="27" t="s">
        <v>228</v>
      </c>
      <c r="F158" s="27" t="s">
        <v>2110</v>
      </c>
      <c r="G158" s="10">
        <v>100</v>
      </c>
      <c r="H158" s="38" t="s">
        <v>294</v>
      </c>
      <c r="I158" s="37" t="s">
        <v>338</v>
      </c>
      <c r="J158" s="37" t="s">
        <v>330</v>
      </c>
      <c r="K158" s="27"/>
      <c r="L158" s="27"/>
      <c r="M158" s="27" t="s">
        <v>2111</v>
      </c>
      <c r="N158" s="27"/>
      <c r="O158" s="27"/>
      <c r="P158" s="2" t="s">
        <v>1859</v>
      </c>
      <c r="Q158" s="29" t="s">
        <v>265</v>
      </c>
      <c r="R158" s="27" t="s">
        <v>2112</v>
      </c>
      <c r="S158" s="27" t="s">
        <v>298</v>
      </c>
    </row>
    <row r="159" spans="1:19" ht="24" customHeight="1">
      <c r="A159" s="27" t="str">
        <f ca="1">IF(OR(D159&lt;&gt;"", F159&lt;&gt;"", L159&lt;&gt;"", O159&lt;&gt;""),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EVT-2026-1309</v>
      </c>
      <c r="B159" s="30">
        <v>46295</v>
      </c>
      <c r="C159" s="27" t="s">
        <v>201</v>
      </c>
      <c r="D159" s="27" t="s">
        <v>125</v>
      </c>
      <c r="E159" s="27" t="s">
        <v>228</v>
      </c>
      <c r="F159" s="27" t="s">
        <v>2113</v>
      </c>
      <c r="G159" s="10">
        <v>110</v>
      </c>
      <c r="H159" s="38" t="s">
        <v>294</v>
      </c>
      <c r="I159" s="37" t="s">
        <v>289</v>
      </c>
      <c r="J159" s="37" t="s">
        <v>296</v>
      </c>
      <c r="K159" s="27" t="s">
        <v>382</v>
      </c>
      <c r="L159" s="27" t="s">
        <v>382</v>
      </c>
      <c r="M159" s="27" t="s">
        <v>583</v>
      </c>
      <c r="N159" s="27" t="s">
        <v>1772</v>
      </c>
      <c r="O159" s="30" t="s">
        <v>2551</v>
      </c>
      <c r="P159" s="2" t="s">
        <v>1859</v>
      </c>
      <c r="Q159" s="29" t="s">
        <v>265</v>
      </c>
      <c r="R159" s="27" t="s">
        <v>2114</v>
      </c>
      <c r="S159" s="27" t="s">
        <v>1846</v>
      </c>
    </row>
    <row r="160" spans="1:19" ht="24" customHeight="1">
      <c r="A160" s="27" t="str">
        <f ca="1">IF(OR(D160&lt;&gt;"", F160&lt;&gt;"", L160&lt;&gt;"", O160&lt;&gt;""),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COUNTIF(OFFSET($A$1, 1, 0, ROW()-2, 1), "EVT*") + 1, "0000"), "")</f>
        <v>EVT-2026-1310</v>
      </c>
      <c r="B160" s="30">
        <v>46295</v>
      </c>
      <c r="C160" s="27" t="s">
        <v>201</v>
      </c>
      <c r="D160" s="27" t="s">
        <v>1366</v>
      </c>
      <c r="E160" s="27" t="s">
        <v>208</v>
      </c>
      <c r="F160" s="27" t="s">
        <v>217</v>
      </c>
      <c r="G160" s="10">
        <v>50</v>
      </c>
      <c r="H160" s="36" t="s">
        <v>263</v>
      </c>
      <c r="I160" s="37" t="s">
        <v>309</v>
      </c>
      <c r="J160" s="37" t="s">
        <v>296</v>
      </c>
      <c r="K160" s="27" t="s">
        <v>1445</v>
      </c>
      <c r="L160" s="27" t="s">
        <v>1445</v>
      </c>
      <c r="M160" s="27" t="s">
        <v>1080</v>
      </c>
      <c r="N160" s="27" t="s">
        <v>2462</v>
      </c>
      <c r="O160" s="27"/>
      <c r="P160" s="2" t="s">
        <v>1859</v>
      </c>
      <c r="Q160" s="29" t="s">
        <v>265</v>
      </c>
      <c r="R160" s="27"/>
      <c r="S160" s="27" t="s">
        <v>298</v>
      </c>
    </row>
    <row r="161" ht="15" customHeight="1"/>
    <row r="162" ht="15"/>
    <row r="163" ht="15"/>
    <row r="164" ht="15"/>
    <row r="165" ht="15"/>
  </sheetData>
  <mergeCells count="3">
    <mergeCell ref="O1:S1"/>
    <mergeCell ref="A1:C1"/>
    <mergeCell ref="D1:N1"/>
  </mergeCells>
  <dataValidations count="5">
    <dataValidation type="list" allowBlank="1" sqref="G11:H11 H41:H97 H3:H10 G33:H33 H13:H18 G19:H19 H34:H39 G40:H40 H20:H32 H99:H160" xr:uid="{00000000-0002-0000-1300-000003000000}">
      <formula1>"Big Event,Small Event"</formula1>
    </dataValidation>
    <dataValidation type="list" allowBlank="1" sqref="O11 O19 O33 O40 P3:P210" xr:uid="{00000000-0002-0000-1300-000001000000}">
      <formula1>"Form sent,NA"</formula1>
    </dataValidation>
    <dataValidation type="list" allowBlank="1" sqref="H2" xr:uid="{8BD2FD0B-A516-4CD0-A86D-ABE395E9896F}">
      <formula1>"Big Event,Small Event,Training,AU Visit"</formula1>
    </dataValidation>
    <dataValidation type="list" allowBlank="1" sqref="O3:P6 P7:P160 O7:O571" xr:uid="{00000000-0002-0000-1300-000000000000}">
      <formula1>"Confirmed (Done),Pending Calendar Booking,Canceled"</formula1>
    </dataValidation>
    <dataValidation type="list" allowBlank="1" sqref="Q3:Q160" xr:uid="{00000000-0002-0000-1300-000002000000}">
      <formula1>"Form sent,Not Required,NA"</formula1>
    </dataValidation>
  </dataValidations>
  <hyperlinks>
    <hyperlink ref="A1" location="'Dashboard'!A1" display="🏠 ⮌ RETURN TO DASHBOARD" xr:uid="{00000000-0004-0000-1300-000000000000}"/>
    <hyperlink ref="M25" r:id="rId1" xr:uid="{00000000-0004-0000-1300-000001000000}"/>
    <hyperlink ref="M27" r:id="rId2" xr:uid="{00000000-0004-0000-1300-000002000000}"/>
    <hyperlink ref="M47" r:id="rId3" xr:uid="{00000000-0004-0000-1300-000003000000}"/>
    <hyperlink ref="M57" r:id="rId4" xr:uid="{00000000-0004-0000-1300-000004000000}"/>
    <hyperlink ref="M67" r:id="rId5" xr:uid="{00000000-0004-0000-1300-000005000000}"/>
    <hyperlink ref="M96" r:id="rId6" xr:uid="{00000000-0004-0000-1300-000006000000}"/>
    <hyperlink ref="M135" r:id="rId7" xr:uid="{00000000-0004-0000-1300-000007000000}"/>
    <hyperlink ref="M140" r:id="rId8" xr:uid="{00000000-0004-0000-1300-000008000000}"/>
    <hyperlink ref="M147" r:id="rId9" xr:uid="{00000000-0004-0000-1300-000009000000}"/>
    <hyperlink ref="N116" r:id="rId10" xr:uid="{2E3B05A9-B595-4EBA-B6C1-7D9138875E1B}"/>
    <hyperlink ref="N115" r:id="rId11" xr:uid="{001D1063-1DD3-4A31-B509-052DCD7FDB34}"/>
    <hyperlink ref="N16" r:id="rId12" xr:uid="{39068098-7252-44FE-9651-17B4C5646DE7}"/>
    <hyperlink ref="N122" r:id="rId13" xr:uid="{E3C7EAC3-53FF-45E7-9827-8378ADC3E7C1}"/>
    <hyperlink ref="N132" r:id="rId14" xr:uid="{B31C5D74-583E-47D6-B32D-434C1E1C5A7C}"/>
    <hyperlink ref="N121" r:id="rId15" xr:uid="{E8372ACB-3CAE-45E0-82C3-5B00B4477B08}"/>
    <hyperlink ref="N130" r:id="rId16" xr:uid="{D5C79E8C-D246-45B4-9285-EFC0921048BD}"/>
    <hyperlink ref="N153" r:id="rId17" xr:uid="{601C0DA9-532B-4FBC-BF95-EFEC0D1C3D6D}"/>
    <hyperlink ref="N160" r:id="rId18" xr:uid="{7E82F84C-7656-4E3C-AA8F-1507264F90EF}"/>
    <hyperlink ref="N94" r:id="rId19" xr:uid="{B4456C9E-F0C4-4851-8339-5288047322B6}"/>
    <hyperlink ref="N87" r:id="rId20" xr:uid="{E4410D44-48AF-4D6C-A8B7-1794A0669495}"/>
    <hyperlink ref="N80" r:id="rId21" xr:uid="{450DD2C0-9F32-4B76-BACB-4ADC2F832A96}"/>
    <hyperlink ref="N63" r:id="rId22" xr:uid="{4BCE0FF2-2F16-4105-B20D-D7A3DB01C006}"/>
    <hyperlink ref="N56" r:id="rId23" xr:uid="{7C93EB9F-D989-4279-8C70-EC0DE57B27FD}"/>
    <hyperlink ref="N50" r:id="rId24" xr:uid="{C7EB8DAE-4271-4767-87ED-DAEDD5DB83E0}"/>
    <hyperlink ref="N39" r:id="rId25" xr:uid="{1FDE600E-CCB9-4A68-B4CC-EA3C1C7B1938}"/>
    <hyperlink ref="N17" r:id="rId26" xr:uid="{2739C38E-190C-458B-8CF1-E50C2B7830D3}"/>
    <hyperlink ref="N18" r:id="rId27" xr:uid="{C192AF97-7556-44DD-93FD-F661FC1FE4A4}"/>
    <hyperlink ref="N8" r:id="rId28" xr:uid="{3D2CCA2A-E2AB-4D54-98A0-F1653A723BCA}"/>
    <hyperlink ref="N3" r:id="rId29" xr:uid="{69D51715-AC80-46D0-B2A3-E98F2AE586B3}"/>
    <hyperlink ref="N31" r:id="rId30" xr:uid="{BE58BF6F-52B6-448F-82A6-3664C04522A7}"/>
    <hyperlink ref="N23" r:id="rId31" xr:uid="{32663B07-428B-433E-B3D3-DEF9E6C8F4FA}"/>
    <hyperlink ref="N82" r:id="rId32" xr:uid="{0CFD259D-2408-49D0-B9B9-DF01849F45D8}"/>
    <hyperlink ref="N9" r:id="rId33" xr:uid="{90CE5912-F7B9-429F-8BEC-64E18175C1F3}"/>
    <hyperlink ref="N10" r:id="rId34" xr:uid="{1874F81A-0BC5-4885-A323-E8907FB096B6}"/>
    <hyperlink ref="M51" r:id="rId35" display="mailto:Rupika.Nagpal@nab.com.au" xr:uid="{CA80C3BA-5206-4951-9882-6A7DF7B0C389}"/>
    <hyperlink ref="N109" r:id="rId36" xr:uid="{06AE476F-3421-4D86-9E84-AB6C8BE68B11}"/>
    <hyperlink ref="N124" r:id="rId37" xr:uid="{9D2329E9-063F-4DC6-85B7-7FB1CEA10251}"/>
    <hyperlink ref="N75" r:id="rId38" xr:uid="{7BED9209-BEEF-4B41-BFCF-EB7E30F79C43}"/>
    <hyperlink ref="N110" r:id="rId39" xr:uid="{4A422C17-62B5-4736-91F7-53B078096AB5}"/>
    <hyperlink ref="N111" r:id="rId40" xr:uid="{FBFAE1EE-2138-447C-BD5C-FC5ECB67F134}"/>
    <hyperlink ref="N11" r:id="rId41" xr:uid="{0A8022E1-525E-4829-A5B9-E1911A11F85A}"/>
    <hyperlink ref="N19" r:id="rId42" xr:uid="{FCC2F30B-B379-48BA-913A-294E93FD7A85}"/>
    <hyperlink ref="N33" r:id="rId43" xr:uid="{D091EDB6-459B-4A5F-8B5D-46BE769C9E55}"/>
    <hyperlink ref="N40" r:id="rId44" xr:uid="{88A3595C-A25F-418D-AE42-45778CF1831A}"/>
    <hyperlink ref="N131" r:id="rId45" xr:uid="{34F9202C-B9ED-4095-A9D6-9F45D6E2CFBB}"/>
    <hyperlink ref="N97" r:id="rId46" xr:uid="{23C37627-5151-40DE-A322-62957A71037A}"/>
    <hyperlink ref="N58" r:id="rId47" xr:uid="{28202515-64A4-45AE-AF47-F9E44E169A61}"/>
    <hyperlink ref="N88" r:id="rId48" xr:uid="{B75E4DDD-E3AF-4D40-95AE-38A7D2F29D28}"/>
    <hyperlink ref="N4" r:id="rId49" xr:uid="{0FC77BFA-6BB5-4D3B-BC4A-92B8AECA8A4D}"/>
    <hyperlink ref="N86" r:id="rId50" xr:uid="{EDB25361-22B0-49C2-B29B-2E46E05CC854}"/>
    <hyperlink ref="N93" r:id="rId51" xr:uid="{87F26DCA-C380-4B51-9D4C-4DB358EE9847}"/>
    <hyperlink ref="N95" r:id="rId52" xr:uid="{711684D6-C1FF-4393-8B2C-2971FBAC205D}"/>
    <hyperlink ref="N20" r:id="rId53" xr:uid="{AA2AB1CE-73BB-4995-9A45-5EEC8BAFB403}"/>
    <hyperlink ref="N38" r:id="rId54" xr:uid="{77AEE58D-4667-41B6-B15F-7B07D4407C4D}"/>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50"/>
  <sheetViews>
    <sheetView workbookViewId="0">
      <pane ySplit="2" topLeftCell="A5" activePane="bottomLeft" state="frozen"/>
      <selection pane="bottomLeft" activeCell="H11" sqref="H11"/>
    </sheetView>
  </sheetViews>
  <sheetFormatPr defaultRowHeight="14.45"/>
  <cols>
    <col min="1" max="1" width="18" customWidth="1"/>
    <col min="2" max="2" width="15" customWidth="1"/>
    <col min="3" max="3" width="12" customWidth="1"/>
    <col min="4" max="4" width="22" customWidth="1"/>
    <col min="5" max="5" width="38" customWidth="1"/>
    <col min="6" max="6" width="12" customWidth="1"/>
    <col min="7" max="7" width="15" customWidth="1"/>
    <col min="8" max="8" width="19" customWidth="1"/>
    <col min="9" max="9" width="17" customWidth="1"/>
    <col min="10" max="10" width="18" customWidth="1"/>
    <col min="11" max="11" width="22" customWidth="1"/>
    <col min="12" max="13" width="29" customWidth="1"/>
    <col min="14" max="14" width="15" customWidth="1"/>
    <col min="15" max="15" width="27" customWidth="1"/>
    <col min="16" max="16" width="18" customWidth="1"/>
    <col min="17" max="17" width="32" customWidth="1"/>
    <col min="18" max="18" width="25" customWidth="1"/>
  </cols>
  <sheetData>
    <row r="1" spans="1:18" ht="27.95" customHeight="1">
      <c r="A1" s="62" t="s">
        <v>2138</v>
      </c>
      <c r="B1" s="134"/>
      <c r="C1" s="135"/>
      <c r="D1" s="63" t="s">
        <v>2552</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EVT-2026-1311</v>
      </c>
      <c r="B3" s="30">
        <v>46296</v>
      </c>
      <c r="C3" s="27" t="s">
        <v>216</v>
      </c>
      <c r="D3" s="27" t="s">
        <v>937</v>
      </c>
      <c r="E3" s="27" t="s">
        <v>1863</v>
      </c>
      <c r="F3" s="10"/>
      <c r="G3" s="36" t="s">
        <v>263</v>
      </c>
      <c r="H3" s="37" t="s">
        <v>269</v>
      </c>
      <c r="I3" s="37" t="s">
        <v>270</v>
      </c>
      <c r="J3" s="27"/>
      <c r="K3" s="27"/>
      <c r="L3" s="27"/>
      <c r="M3" s="27"/>
      <c r="N3" s="27"/>
      <c r="O3" s="2" t="s">
        <v>1859</v>
      </c>
      <c r="P3" s="29" t="s">
        <v>265</v>
      </c>
      <c r="Q3" s="27"/>
      <c r="R3" s="27" t="s">
        <v>2115</v>
      </c>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 s="30">
        <v>46297</v>
      </c>
      <c r="C4" s="27" t="s">
        <v>220</v>
      </c>
      <c r="D4" s="27"/>
      <c r="E4" s="27"/>
      <c r="F4" s="10"/>
      <c r="G4" s="36" t="s">
        <v>263</v>
      </c>
      <c r="H4" s="37"/>
      <c r="I4" s="37"/>
      <c r="J4" s="27"/>
      <c r="K4" s="27"/>
      <c r="L4" s="27"/>
      <c r="M4" s="27"/>
      <c r="N4" s="27"/>
      <c r="O4" s="2" t="s">
        <v>1859</v>
      </c>
      <c r="P4" s="29" t="s">
        <v>265</v>
      </c>
      <c r="Q4" s="27"/>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5" s="30">
        <v>46298</v>
      </c>
      <c r="C5" s="27" t="s">
        <v>266</v>
      </c>
      <c r="D5" s="27"/>
      <c r="E5" s="27"/>
      <c r="F5" s="10"/>
      <c r="G5" s="36" t="s">
        <v>263</v>
      </c>
      <c r="H5" s="37"/>
      <c r="I5" s="37"/>
      <c r="J5" s="27"/>
      <c r="K5" s="27"/>
      <c r="L5" s="27"/>
      <c r="M5" s="27"/>
      <c r="N5" s="27"/>
      <c r="O5" s="2" t="s">
        <v>1859</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6" s="30">
        <v>46299</v>
      </c>
      <c r="C6" s="27" t="s">
        <v>267</v>
      </c>
      <c r="D6" s="27"/>
      <c r="E6" s="27"/>
      <c r="F6" s="10"/>
      <c r="G6" s="36" t="s">
        <v>263</v>
      </c>
      <c r="H6" s="37"/>
      <c r="I6" s="37"/>
      <c r="J6" s="27"/>
      <c r="K6" s="27"/>
      <c r="L6" s="27"/>
      <c r="M6" s="27"/>
      <c r="N6" s="27"/>
      <c r="O6" s="2" t="s">
        <v>1859</v>
      </c>
      <c r="P6" s="29" t="s">
        <v>265</v>
      </c>
      <c r="Q6" s="27"/>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7" s="30">
        <v>46300</v>
      </c>
      <c r="C7" s="27" t="s">
        <v>224</v>
      </c>
      <c r="D7" s="27"/>
      <c r="E7" s="27"/>
      <c r="F7" s="10"/>
      <c r="G7" s="36" t="s">
        <v>263</v>
      </c>
      <c r="H7" s="37"/>
      <c r="I7" s="37"/>
      <c r="J7" s="27"/>
      <c r="K7" s="27"/>
      <c r="L7" s="27"/>
      <c r="M7" s="27"/>
      <c r="N7" s="27"/>
      <c r="O7" s="2" t="s">
        <v>1859</v>
      </c>
      <c r="P7" s="29" t="s">
        <v>265</v>
      </c>
      <c r="Q7" s="27"/>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8" s="30">
        <v>46301</v>
      </c>
      <c r="C8" s="27" t="s">
        <v>227</v>
      </c>
      <c r="D8" s="27"/>
      <c r="E8" s="27"/>
      <c r="F8" s="10"/>
      <c r="G8" s="36" t="s">
        <v>263</v>
      </c>
      <c r="H8" s="37"/>
      <c r="I8" s="37"/>
      <c r="J8" s="27"/>
      <c r="K8" s="27"/>
      <c r="L8" s="27"/>
      <c r="M8" s="27"/>
      <c r="N8" s="27"/>
      <c r="O8" s="2" t="s">
        <v>1859</v>
      </c>
      <c r="P8" s="29" t="s">
        <v>265</v>
      </c>
      <c r="Q8" s="27"/>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EVT-2026-1312</v>
      </c>
      <c r="B9" s="30">
        <v>46302</v>
      </c>
      <c r="C9" s="27" t="s">
        <v>201</v>
      </c>
      <c r="D9" s="27" t="s">
        <v>171</v>
      </c>
      <c r="E9" s="27" t="s">
        <v>2553</v>
      </c>
      <c r="F9" s="10" t="s">
        <v>2554</v>
      </c>
      <c r="G9" s="36" t="s">
        <v>263</v>
      </c>
      <c r="H9" s="37">
        <v>0.5625</v>
      </c>
      <c r="I9" s="37">
        <v>0.66666666666666663</v>
      </c>
      <c r="J9" s="27" t="s">
        <v>1445</v>
      </c>
      <c r="K9" s="27" t="s">
        <v>1445</v>
      </c>
      <c r="L9" s="27" t="s">
        <v>583</v>
      </c>
      <c r="M9" s="27" t="s">
        <v>1772</v>
      </c>
      <c r="N9" s="27"/>
      <c r="O9" s="2" t="s">
        <v>1859</v>
      </c>
      <c r="P9" s="29" t="s">
        <v>265</v>
      </c>
      <c r="Q9" s="27" t="s">
        <v>2555</v>
      </c>
      <c r="R9" s="27" t="s">
        <v>2556</v>
      </c>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EVT-2026-1313</v>
      </c>
      <c r="B10" s="30">
        <v>46303</v>
      </c>
      <c r="C10" s="27" t="s">
        <v>216</v>
      </c>
      <c r="D10" s="27" t="s">
        <v>171</v>
      </c>
      <c r="E10" s="27" t="s">
        <v>2117</v>
      </c>
      <c r="F10" s="10">
        <v>60</v>
      </c>
      <c r="G10" s="36" t="s">
        <v>263</v>
      </c>
      <c r="H10" s="37" t="s">
        <v>315</v>
      </c>
      <c r="I10" s="37" t="s">
        <v>1397</v>
      </c>
      <c r="J10" s="27" t="s">
        <v>1445</v>
      </c>
      <c r="K10" s="27" t="s">
        <v>1829</v>
      </c>
      <c r="L10" s="27" t="s">
        <v>2118</v>
      </c>
      <c r="M10" s="27" t="s">
        <v>2118</v>
      </c>
      <c r="N10" s="30" t="s">
        <v>2557</v>
      </c>
      <c r="O10" s="2" t="s">
        <v>1859</v>
      </c>
      <c r="P10" s="29" t="s">
        <v>265</v>
      </c>
      <c r="Q10" s="27" t="s">
        <v>1313</v>
      </c>
      <c r="R10" s="27" t="s">
        <v>1497</v>
      </c>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1" s="30">
        <v>46304</v>
      </c>
      <c r="C11" s="27" t="s">
        <v>220</v>
      </c>
      <c r="D11" s="27"/>
      <c r="E11" s="27"/>
      <c r="F11" s="10"/>
      <c r="G11" s="36" t="s">
        <v>263</v>
      </c>
      <c r="H11" s="37"/>
      <c r="I11" s="37"/>
      <c r="J11" s="27"/>
      <c r="K11" s="27"/>
      <c r="L11" s="27"/>
      <c r="M11" s="27"/>
      <c r="N11" s="27"/>
      <c r="O11" s="2" t="s">
        <v>1859</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2" s="30">
        <v>46305</v>
      </c>
      <c r="C12" s="27" t="s">
        <v>266</v>
      </c>
      <c r="D12" s="27"/>
      <c r="E12" s="27"/>
      <c r="F12" s="10"/>
      <c r="G12" s="36" t="s">
        <v>263</v>
      </c>
      <c r="H12" s="37"/>
      <c r="I12" s="37"/>
      <c r="J12" s="27"/>
      <c r="K12" s="27"/>
      <c r="L12" s="27"/>
      <c r="M12" s="27"/>
      <c r="N12" s="27"/>
      <c r="O12" s="2" t="s">
        <v>1859</v>
      </c>
      <c r="P12" s="29" t="s">
        <v>265</v>
      </c>
      <c r="Q12" s="27"/>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3" s="30">
        <v>46306</v>
      </c>
      <c r="C13" s="27" t="s">
        <v>267</v>
      </c>
      <c r="D13" s="27"/>
      <c r="E13" s="27"/>
      <c r="F13" s="10"/>
      <c r="G13" s="36" t="s">
        <v>263</v>
      </c>
      <c r="H13" s="37"/>
      <c r="I13" s="37"/>
      <c r="J13" s="27"/>
      <c r="K13" s="27"/>
      <c r="L13" s="27"/>
      <c r="M13" s="27"/>
      <c r="N13" s="27"/>
      <c r="O13" s="2" t="s">
        <v>1859</v>
      </c>
      <c r="P13" s="29" t="s">
        <v>265</v>
      </c>
      <c r="Q13" s="27"/>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4" s="30">
        <v>46307</v>
      </c>
      <c r="C14" s="27" t="s">
        <v>224</v>
      </c>
      <c r="D14" s="27"/>
      <c r="E14" s="27"/>
      <c r="F14" s="10"/>
      <c r="G14" s="36" t="s">
        <v>263</v>
      </c>
      <c r="H14" s="37"/>
      <c r="I14" s="37"/>
      <c r="J14" s="27"/>
      <c r="K14" s="27"/>
      <c r="L14" s="27"/>
      <c r="M14" s="27"/>
      <c r="N14" s="27"/>
      <c r="O14" s="2" t="s">
        <v>1859</v>
      </c>
      <c r="P14" s="29" t="s">
        <v>265</v>
      </c>
      <c r="Q14" s="27"/>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EVT-2026-1314</v>
      </c>
      <c r="B15" s="30">
        <v>46308</v>
      </c>
      <c r="C15" s="27" t="s">
        <v>227</v>
      </c>
      <c r="D15" s="27" t="s">
        <v>937</v>
      </c>
      <c r="E15" s="27" t="s">
        <v>2119</v>
      </c>
      <c r="F15" s="10">
        <v>25</v>
      </c>
      <c r="G15" s="36" t="s">
        <v>263</v>
      </c>
      <c r="H15" s="37" t="s">
        <v>315</v>
      </c>
      <c r="I15" s="37" t="s">
        <v>354</v>
      </c>
      <c r="J15" s="27"/>
      <c r="K15" s="27"/>
      <c r="L15" s="27" t="s">
        <v>1203</v>
      </c>
      <c r="M15" s="27"/>
      <c r="N15" s="27"/>
      <c r="O15" s="2" t="s">
        <v>1859</v>
      </c>
      <c r="P15" s="29" t="s">
        <v>265</v>
      </c>
      <c r="Q15" s="27"/>
      <c r="R15" s="27" t="s">
        <v>2120</v>
      </c>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6" s="30">
        <v>46309</v>
      </c>
      <c r="C16" s="27" t="s">
        <v>201</v>
      </c>
      <c r="D16" s="27"/>
      <c r="E16" s="27"/>
      <c r="F16" s="10"/>
      <c r="G16" s="36" t="s">
        <v>263</v>
      </c>
      <c r="H16" s="37"/>
      <c r="I16" s="37"/>
      <c r="J16" s="27"/>
      <c r="K16" s="27"/>
      <c r="L16" s="27"/>
      <c r="M16" s="27"/>
      <c r="N16" s="27"/>
      <c r="O16" s="2" t="s">
        <v>1859</v>
      </c>
      <c r="P16" s="29" t="s">
        <v>265</v>
      </c>
      <c r="Q16" s="27"/>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7" s="30">
        <v>46310</v>
      </c>
      <c r="C17" s="27" t="s">
        <v>216</v>
      </c>
      <c r="D17" s="27"/>
      <c r="E17" s="27"/>
      <c r="F17" s="10"/>
      <c r="G17" s="36" t="s">
        <v>263</v>
      </c>
      <c r="H17" s="37"/>
      <c r="I17" s="37"/>
      <c r="J17" s="27"/>
      <c r="K17" s="27"/>
      <c r="L17" s="27"/>
      <c r="M17" s="27"/>
      <c r="N17" s="27"/>
      <c r="O17" s="2" t="s">
        <v>1859</v>
      </c>
      <c r="P17" s="29" t="s">
        <v>265</v>
      </c>
      <c r="Q17" s="27"/>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8" s="30">
        <v>46311</v>
      </c>
      <c r="C18" s="27" t="s">
        <v>220</v>
      </c>
      <c r="D18" s="27"/>
      <c r="E18" s="27"/>
      <c r="F18" s="10"/>
      <c r="G18" s="36" t="s">
        <v>263</v>
      </c>
      <c r="H18" s="37"/>
      <c r="I18" s="37"/>
      <c r="J18" s="27"/>
      <c r="K18" s="27"/>
      <c r="L18" s="27"/>
      <c r="M18" s="27"/>
      <c r="N18" s="27"/>
      <c r="O18" s="2" t="s">
        <v>1859</v>
      </c>
      <c r="P18" s="29" t="s">
        <v>265</v>
      </c>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19" s="30">
        <v>46312</v>
      </c>
      <c r="C19" s="27" t="s">
        <v>266</v>
      </c>
      <c r="D19" s="27"/>
      <c r="E19" s="27"/>
      <c r="F19" s="10"/>
      <c r="G19" s="36" t="s">
        <v>263</v>
      </c>
      <c r="H19" s="37"/>
      <c r="I19" s="37"/>
      <c r="J19" s="27"/>
      <c r="K19" s="27"/>
      <c r="L19" s="27"/>
      <c r="M19" s="27"/>
      <c r="N19" s="27"/>
      <c r="O19" s="2" t="s">
        <v>1859</v>
      </c>
      <c r="P19" s="29" t="s">
        <v>265</v>
      </c>
      <c r="Q19" s="27"/>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0" s="30">
        <v>46313</v>
      </c>
      <c r="C20" s="27" t="s">
        <v>267</v>
      </c>
      <c r="D20" s="27"/>
      <c r="E20" s="27"/>
      <c r="F20" s="10"/>
      <c r="G20" s="36" t="s">
        <v>263</v>
      </c>
      <c r="H20" s="37"/>
      <c r="I20" s="37"/>
      <c r="J20" s="27"/>
      <c r="K20" s="27"/>
      <c r="L20" s="27"/>
      <c r="M20" s="27"/>
      <c r="N20" s="27"/>
      <c r="O20" s="2" t="s">
        <v>1859</v>
      </c>
      <c r="P20" s="29" t="s">
        <v>265</v>
      </c>
      <c r="Q20" s="27"/>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1" s="30">
        <v>46314</v>
      </c>
      <c r="C21" s="27" t="s">
        <v>224</v>
      </c>
      <c r="D21" s="27"/>
      <c r="E21" s="27"/>
      <c r="F21" s="10"/>
      <c r="G21" s="36" t="s">
        <v>263</v>
      </c>
      <c r="H21" s="37"/>
      <c r="I21" s="37"/>
      <c r="J21" s="27"/>
      <c r="K21" s="27"/>
      <c r="L21" s="27"/>
      <c r="M21" s="27"/>
      <c r="N21" s="27"/>
      <c r="O21" s="2" t="s">
        <v>1859</v>
      </c>
      <c r="P21" s="29" t="s">
        <v>265</v>
      </c>
      <c r="Q21" s="27"/>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2" s="30">
        <v>46315</v>
      </c>
      <c r="C22" s="27" t="s">
        <v>227</v>
      </c>
      <c r="D22" s="27"/>
      <c r="E22" s="27"/>
      <c r="F22" s="10"/>
      <c r="G22" s="36" t="s">
        <v>263</v>
      </c>
      <c r="H22" s="37"/>
      <c r="I22" s="37"/>
      <c r="J22" s="27"/>
      <c r="K22" s="27"/>
      <c r="L22" s="27"/>
      <c r="M22" s="27"/>
      <c r="N22" s="27"/>
      <c r="O22" s="2" t="s">
        <v>1859</v>
      </c>
      <c r="P22" s="29" t="s">
        <v>265</v>
      </c>
      <c r="Q22" s="27"/>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3" s="30">
        <v>46316</v>
      </c>
      <c r="C23" s="27" t="s">
        <v>201</v>
      </c>
      <c r="D23" s="27"/>
      <c r="E23" s="27"/>
      <c r="F23" s="10"/>
      <c r="G23" s="36" t="s">
        <v>263</v>
      </c>
      <c r="H23" s="37"/>
      <c r="I23" s="37"/>
      <c r="J23" s="27"/>
      <c r="K23" s="27"/>
      <c r="L23" s="27"/>
      <c r="M23" s="27"/>
      <c r="N23" s="27"/>
      <c r="O23" s="2" t="s">
        <v>1859</v>
      </c>
      <c r="P23" s="29" t="s">
        <v>265</v>
      </c>
      <c r="Q23" s="27"/>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4" s="30">
        <v>46317</v>
      </c>
      <c r="C24" s="27" t="s">
        <v>216</v>
      </c>
      <c r="D24" s="27"/>
      <c r="E24" s="27"/>
      <c r="F24" s="10"/>
      <c r="G24" s="36" t="s">
        <v>263</v>
      </c>
      <c r="H24" s="37"/>
      <c r="I24" s="37"/>
      <c r="J24" s="27"/>
      <c r="K24" s="27"/>
      <c r="L24" s="27"/>
      <c r="M24" s="27"/>
      <c r="N24" s="27"/>
      <c r="O24" s="2" t="s">
        <v>1859</v>
      </c>
      <c r="P24" s="29" t="s">
        <v>265</v>
      </c>
      <c r="Q24" s="27"/>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5" s="30">
        <v>46318</v>
      </c>
      <c r="C25" s="27" t="s">
        <v>220</v>
      </c>
      <c r="D25" s="27"/>
      <c r="E25" s="27"/>
      <c r="F25" s="10"/>
      <c r="G25" s="36" t="s">
        <v>263</v>
      </c>
      <c r="H25" s="37"/>
      <c r="I25" s="37"/>
      <c r="J25" s="27"/>
      <c r="K25" s="27"/>
      <c r="L25" s="27"/>
      <c r="M25" s="27"/>
      <c r="N25" s="27"/>
      <c r="O25" s="2" t="s">
        <v>1859</v>
      </c>
      <c r="P25" s="29" t="s">
        <v>265</v>
      </c>
      <c r="Q25" s="27"/>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6" s="30">
        <v>46319</v>
      </c>
      <c r="C26" s="27" t="s">
        <v>266</v>
      </c>
      <c r="D26" s="27"/>
      <c r="E26" s="27"/>
      <c r="F26" s="10"/>
      <c r="G26" s="36" t="s">
        <v>263</v>
      </c>
      <c r="H26" s="37"/>
      <c r="I26" s="37"/>
      <c r="J26" s="27"/>
      <c r="K26" s="27"/>
      <c r="L26" s="27"/>
      <c r="M26" s="27"/>
      <c r="N26" s="27"/>
      <c r="O26" s="2" t="s">
        <v>1859</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7" s="30">
        <v>46320</v>
      </c>
      <c r="C27" s="27" t="s">
        <v>267</v>
      </c>
      <c r="D27" s="27"/>
      <c r="E27" s="27"/>
      <c r="F27" s="10"/>
      <c r="G27" s="36" t="s">
        <v>263</v>
      </c>
      <c r="H27" s="37"/>
      <c r="I27" s="37"/>
      <c r="J27" s="27"/>
      <c r="K27" s="27"/>
      <c r="L27" s="27"/>
      <c r="M27" s="27"/>
      <c r="N27" s="27"/>
      <c r="O27" s="2" t="s">
        <v>1859</v>
      </c>
      <c r="P27" s="29" t="s">
        <v>265</v>
      </c>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8" s="30">
        <v>46321</v>
      </c>
      <c r="C28" s="27" t="s">
        <v>224</v>
      </c>
      <c r="D28" s="27"/>
      <c r="E28" s="27"/>
      <c r="F28" s="10"/>
      <c r="G28" s="36" t="s">
        <v>263</v>
      </c>
      <c r="H28" s="37"/>
      <c r="I28" s="37"/>
      <c r="J28" s="27"/>
      <c r="K28" s="27"/>
      <c r="L28" s="27"/>
      <c r="M28" s="27"/>
      <c r="N28" s="27"/>
      <c r="O28" s="2" t="s">
        <v>1859</v>
      </c>
      <c r="P28" s="29" t="s">
        <v>265</v>
      </c>
      <c r="Q28" s="27"/>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29" s="30">
        <v>46322</v>
      </c>
      <c r="C29" s="27" t="s">
        <v>227</v>
      </c>
      <c r="D29" s="27"/>
      <c r="E29" s="27"/>
      <c r="F29" s="10"/>
      <c r="G29" s="36" t="s">
        <v>263</v>
      </c>
      <c r="H29" s="37"/>
      <c r="I29" s="37"/>
      <c r="J29" s="27"/>
      <c r="K29" s="27"/>
      <c r="L29" s="27"/>
      <c r="M29" s="27"/>
      <c r="N29" s="27"/>
      <c r="O29" s="2" t="s">
        <v>1859</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0" s="30">
        <v>46323</v>
      </c>
      <c r="C30" s="27" t="s">
        <v>201</v>
      </c>
      <c r="D30" s="27"/>
      <c r="E30" s="27"/>
      <c r="F30" s="10"/>
      <c r="G30" s="36" t="s">
        <v>263</v>
      </c>
      <c r="H30" s="37"/>
      <c r="I30" s="37"/>
      <c r="J30" s="27"/>
      <c r="K30" s="27"/>
      <c r="L30" s="27"/>
      <c r="M30" s="27"/>
      <c r="N30" s="27"/>
      <c r="O30" s="2" t="s">
        <v>1859</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1" s="30">
        <v>46324</v>
      </c>
      <c r="C31" s="27" t="s">
        <v>216</v>
      </c>
      <c r="D31" s="27"/>
      <c r="E31" s="27"/>
      <c r="F31" s="10"/>
      <c r="G31" s="36" t="s">
        <v>263</v>
      </c>
      <c r="H31" s="37"/>
      <c r="I31" s="37"/>
      <c r="J31" s="27"/>
      <c r="K31" s="27"/>
      <c r="L31" s="27"/>
      <c r="M31" s="27"/>
      <c r="N31" s="27"/>
      <c r="O31" s="2" t="s">
        <v>1859</v>
      </c>
      <c r="P31" s="29" t="s">
        <v>265</v>
      </c>
      <c r="Q31" s="27"/>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2" s="30">
        <v>46325</v>
      </c>
      <c r="C32" s="27" t="s">
        <v>220</v>
      </c>
      <c r="D32" s="27"/>
      <c r="E32" s="27"/>
      <c r="F32" s="10"/>
      <c r="G32" s="36" t="s">
        <v>263</v>
      </c>
      <c r="H32" s="37"/>
      <c r="I32" s="37"/>
      <c r="J32" s="27"/>
      <c r="K32" s="27"/>
      <c r="L32" s="27"/>
      <c r="M32" s="27"/>
      <c r="N32" s="27"/>
      <c r="O32" s="2" t="s">
        <v>1859</v>
      </c>
      <c r="P32" s="29" t="s">
        <v>265</v>
      </c>
      <c r="Q32" s="27"/>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3" s="30">
        <v>46326</v>
      </c>
      <c r="C33" s="27" t="s">
        <v>266</v>
      </c>
      <c r="D33" s="27"/>
      <c r="E33" s="27"/>
      <c r="F33" s="10"/>
      <c r="G33" s="36" t="s">
        <v>263</v>
      </c>
      <c r="H33" s="37"/>
      <c r="I33" s="37"/>
      <c r="J33" s="27"/>
      <c r="K33" s="27"/>
      <c r="L33" s="27"/>
      <c r="M33" s="27"/>
      <c r="N33" s="27"/>
      <c r="O33" s="2" t="s">
        <v>1859</v>
      </c>
      <c r="P33" s="29" t="s">
        <v>265</v>
      </c>
      <c r="Q33" s="27"/>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4" s="27"/>
      <c r="C34" s="27"/>
      <c r="D34" s="27"/>
      <c r="E34" s="27"/>
      <c r="F34" s="10"/>
      <c r="G34" s="36" t="s">
        <v>263</v>
      </c>
      <c r="H34" s="37"/>
      <c r="I34" s="37"/>
      <c r="J34" s="27"/>
      <c r="K34" s="27"/>
      <c r="L34" s="27"/>
      <c r="M34" s="27"/>
      <c r="N34" s="27"/>
      <c r="O34" s="2" t="s">
        <v>1859</v>
      </c>
      <c r="P34" s="29" t="s">
        <v>265</v>
      </c>
      <c r="Q34" s="27"/>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5" s="27"/>
      <c r="C35" s="27"/>
      <c r="D35" s="27"/>
      <c r="E35" s="27"/>
      <c r="F35" s="10"/>
      <c r="G35" s="36" t="s">
        <v>263</v>
      </c>
      <c r="H35" s="37"/>
      <c r="I35" s="37"/>
      <c r="J35" s="27"/>
      <c r="K35" s="27"/>
      <c r="L35" s="27"/>
      <c r="M35" s="27"/>
      <c r="N35" s="27"/>
      <c r="O35" s="2" t="s">
        <v>1859</v>
      </c>
      <c r="P35" s="29" t="s">
        <v>265</v>
      </c>
      <c r="Q35" s="27"/>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6" s="27"/>
      <c r="C36" s="27"/>
      <c r="D36" s="27"/>
      <c r="E36" s="27"/>
      <c r="F36" s="10"/>
      <c r="G36" s="36" t="s">
        <v>263</v>
      </c>
      <c r="H36" s="37"/>
      <c r="I36" s="37"/>
      <c r="J36" s="27"/>
      <c r="K36" s="27"/>
      <c r="L36" s="27"/>
      <c r="M36" s="27"/>
      <c r="N36" s="27"/>
      <c r="O36" s="2" t="s">
        <v>1859</v>
      </c>
      <c r="P36" s="29" t="s">
        <v>265</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7" s="27"/>
      <c r="C37" s="27"/>
      <c r="D37" s="27"/>
      <c r="E37" s="27"/>
      <c r="F37" s="10"/>
      <c r="G37" s="36" t="s">
        <v>263</v>
      </c>
      <c r="H37" s="37"/>
      <c r="I37" s="37"/>
      <c r="J37" s="27"/>
      <c r="K37" s="27"/>
      <c r="L37" s="27"/>
      <c r="M37" s="27"/>
      <c r="N37" s="27"/>
      <c r="O37" s="2" t="s">
        <v>1859</v>
      </c>
      <c r="P37" s="29" t="s">
        <v>265</v>
      </c>
      <c r="Q37" s="27"/>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8" s="27"/>
      <c r="C38" s="27"/>
      <c r="D38" s="27"/>
      <c r="E38" s="27"/>
      <c r="F38" s="10"/>
      <c r="G38" s="36" t="s">
        <v>263</v>
      </c>
      <c r="H38" s="37"/>
      <c r="I38" s="37"/>
      <c r="J38" s="27"/>
      <c r="K38" s="27"/>
      <c r="L38" s="27"/>
      <c r="M38" s="27"/>
      <c r="N38" s="27"/>
      <c r="O38" s="2" t="s">
        <v>1859</v>
      </c>
      <c r="P38" s="29" t="s">
        <v>265</v>
      </c>
      <c r="Q38" s="27"/>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39" s="27"/>
      <c r="C39" s="27"/>
      <c r="D39" s="27"/>
      <c r="E39" s="27"/>
      <c r="F39" s="10"/>
      <c r="G39" s="36" t="s">
        <v>263</v>
      </c>
      <c r="H39" s="37"/>
      <c r="I39" s="37"/>
      <c r="J39" s="27"/>
      <c r="K39" s="27"/>
      <c r="L39" s="27"/>
      <c r="M39" s="27"/>
      <c r="N39" s="27"/>
      <c r="O39" s="2" t="s">
        <v>1859</v>
      </c>
      <c r="P39" s="29" t="s">
        <v>265</v>
      </c>
      <c r="Q39" s="27"/>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0" s="27"/>
      <c r="C40" s="27"/>
      <c r="D40" s="27"/>
      <c r="E40" s="27"/>
      <c r="F40" s="10"/>
      <c r="G40" s="36" t="s">
        <v>263</v>
      </c>
      <c r="H40" s="37"/>
      <c r="I40" s="37"/>
      <c r="J40" s="27"/>
      <c r="K40" s="27"/>
      <c r="L40" s="27"/>
      <c r="M40" s="27"/>
      <c r="N40" s="27"/>
      <c r="O40" s="2" t="s">
        <v>1859</v>
      </c>
      <c r="P40" s="29" t="s">
        <v>265</v>
      </c>
      <c r="Q40" s="27"/>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1" s="27"/>
      <c r="C41" s="27"/>
      <c r="D41" s="27"/>
      <c r="E41" s="27"/>
      <c r="F41" s="10"/>
      <c r="G41" s="36" t="s">
        <v>263</v>
      </c>
      <c r="H41" s="37"/>
      <c r="I41" s="37"/>
      <c r="J41" s="27"/>
      <c r="K41" s="27"/>
      <c r="L41" s="27"/>
      <c r="M41" s="27"/>
      <c r="N41" s="27"/>
      <c r="O41" s="2" t="s">
        <v>1859</v>
      </c>
      <c r="P41" s="29" t="s">
        <v>265</v>
      </c>
      <c r="Q41" s="27"/>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2" s="27"/>
      <c r="C42" s="27"/>
      <c r="D42" s="27"/>
      <c r="E42" s="27"/>
      <c r="F42" s="10"/>
      <c r="G42" s="36" t="s">
        <v>263</v>
      </c>
      <c r="H42" s="37"/>
      <c r="I42" s="37"/>
      <c r="J42" s="27"/>
      <c r="K42" s="27"/>
      <c r="L42" s="27"/>
      <c r="M42" s="27"/>
      <c r="N42" s="27"/>
      <c r="O42" s="2" t="s">
        <v>1859</v>
      </c>
      <c r="P42" s="29" t="s">
        <v>265</v>
      </c>
      <c r="Q42" s="27"/>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3" s="27"/>
      <c r="C43" s="27"/>
      <c r="D43" s="27"/>
      <c r="E43" s="27"/>
      <c r="F43" s="10"/>
      <c r="G43" s="36" t="s">
        <v>263</v>
      </c>
      <c r="H43" s="37"/>
      <c r="I43" s="37"/>
      <c r="J43" s="27"/>
      <c r="K43" s="27"/>
      <c r="L43" s="27"/>
      <c r="M43" s="27"/>
      <c r="N43" s="27"/>
      <c r="O43" s="2" t="s">
        <v>1859</v>
      </c>
      <c r="P43" s="29" t="s">
        <v>265</v>
      </c>
      <c r="Q43" s="27"/>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4" s="27"/>
      <c r="C44" s="27"/>
      <c r="D44" s="27"/>
      <c r="E44" s="27"/>
      <c r="F44" s="10"/>
      <c r="G44" s="36" t="s">
        <v>263</v>
      </c>
      <c r="H44" s="37"/>
      <c r="I44" s="37"/>
      <c r="J44" s="27"/>
      <c r="K44" s="27"/>
      <c r="L44" s="27"/>
      <c r="M44" s="27"/>
      <c r="N44" s="27"/>
      <c r="O44" s="2" t="s">
        <v>1859</v>
      </c>
      <c r="P44" s="29" t="s">
        <v>265</v>
      </c>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5" s="27"/>
      <c r="C45" s="27"/>
      <c r="D45" s="27"/>
      <c r="E45" s="27"/>
      <c r="F45" s="10"/>
      <c r="G45" s="36" t="s">
        <v>263</v>
      </c>
      <c r="H45" s="37"/>
      <c r="I45" s="37"/>
      <c r="J45" s="27"/>
      <c r="K45" s="27"/>
      <c r="L45" s="27"/>
      <c r="M45" s="27"/>
      <c r="N45" s="27"/>
      <c r="O45" s="2" t="s">
        <v>1859</v>
      </c>
      <c r="P45" s="29" t="s">
        <v>265</v>
      </c>
      <c r="Q45" s="27"/>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6" s="27"/>
      <c r="C46" s="27"/>
      <c r="D46" s="27"/>
      <c r="E46" s="27"/>
      <c r="F46" s="10"/>
      <c r="G46" s="36" t="s">
        <v>263</v>
      </c>
      <c r="H46" s="37"/>
      <c r="I46" s="37"/>
      <c r="J46" s="27"/>
      <c r="K46" s="27"/>
      <c r="L46" s="27"/>
      <c r="M46" s="27"/>
      <c r="N46" s="27"/>
      <c r="O46" s="2" t="s">
        <v>1859</v>
      </c>
      <c r="P46" s="29" t="s">
        <v>265</v>
      </c>
      <c r="Q46" s="27"/>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7" s="27"/>
      <c r="C47" s="27"/>
      <c r="D47" s="27"/>
      <c r="E47" s="27"/>
      <c r="F47" s="10"/>
      <c r="G47" s="36" t="s">
        <v>263</v>
      </c>
      <c r="H47" s="37"/>
      <c r="I47" s="37"/>
      <c r="J47" s="27"/>
      <c r="K47" s="27"/>
      <c r="L47" s="27"/>
      <c r="M47" s="27"/>
      <c r="N47" s="27"/>
      <c r="O47" s="2" t="s">
        <v>1859</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8" s="27"/>
      <c r="C48" s="27"/>
      <c r="D48" s="27"/>
      <c r="E48" s="27"/>
      <c r="F48" s="10"/>
      <c r="G48" s="36" t="s">
        <v>263</v>
      </c>
      <c r="H48" s="37"/>
      <c r="I48" s="37"/>
      <c r="J48" s="27"/>
      <c r="K48" s="27"/>
      <c r="L48" s="27"/>
      <c r="M48" s="27"/>
      <c r="N48" s="27"/>
      <c r="O48" s="2" t="s">
        <v>1859</v>
      </c>
      <c r="P48" s="29" t="s">
        <v>265</v>
      </c>
      <c r="Q48" s="27"/>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49" s="27"/>
      <c r="C49" s="27"/>
      <c r="D49" s="27"/>
      <c r="E49" s="27"/>
      <c r="F49" s="10"/>
      <c r="G49" s="36" t="s">
        <v>263</v>
      </c>
      <c r="H49" s="37"/>
      <c r="I49" s="37"/>
      <c r="J49" s="27"/>
      <c r="K49" s="27"/>
      <c r="L49" s="27"/>
      <c r="M49" s="27"/>
      <c r="N49" s="27"/>
      <c r="O49" s="2" t="s">
        <v>1859</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COUNTIF(OFFSET($A$1, 1, 0, ROW()-2, 1), "EVT*") + 1, "0000"), "")</f>
        <v/>
      </c>
      <c r="B50" s="27"/>
      <c r="C50" s="27"/>
      <c r="D50" s="27"/>
      <c r="E50" s="27"/>
      <c r="F50" s="10"/>
      <c r="G50" s="36" t="s">
        <v>263</v>
      </c>
      <c r="H50" s="37"/>
      <c r="I50" s="37"/>
      <c r="J50" s="27"/>
      <c r="K50" s="27"/>
      <c r="L50" s="27"/>
      <c r="M50" s="27"/>
      <c r="N50" s="27"/>
      <c r="O50" s="2" t="s">
        <v>1859</v>
      </c>
      <c r="P50" s="29" t="s">
        <v>265</v>
      </c>
      <c r="Q50" s="27"/>
      <c r="R50" s="27"/>
    </row>
  </sheetData>
  <mergeCells count="3">
    <mergeCell ref="A1:C1"/>
    <mergeCell ref="N1:R1"/>
    <mergeCell ref="D1:M1"/>
  </mergeCells>
  <dataValidations count="4">
    <dataValidation type="list" allowBlank="1" sqref="O10:O50 N3:O9 N10:N500" xr:uid="{00000000-0002-0000-1400-000000000000}">
      <formula1>"Confirmed (Done),Pending Calendar Booking,Canceled"</formula1>
    </dataValidation>
    <dataValidation type="list" allowBlank="1" sqref="O3:O100" xr:uid="{00000000-0002-0000-1400-000001000000}">
      <formula1>"Form sent,NA"</formula1>
    </dataValidation>
    <dataValidation type="list" allowBlank="1" sqref="P3:P50" xr:uid="{00000000-0002-0000-1400-000002000000}">
      <formula1>"Form sent,Not Required,NA"</formula1>
    </dataValidation>
    <dataValidation type="list" allowBlank="1" sqref="G3:G50" xr:uid="{00000000-0002-0000-1400-000003000000}">
      <formula1>"Big Event,Small Event"</formula1>
    </dataValidation>
  </dataValidations>
  <hyperlinks>
    <hyperlink ref="A1" location="'Dashboard'!A1" display="🏠 ⮌ RETURN TO DASHBOARD" xr:uid="{00000000-0004-0000-1400-000000000000}"/>
    <hyperlink ref="M9" r:id="rId1" xr:uid="{CDE9C9C9-B9CA-4CF2-B294-B97C95A585C7}"/>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FB57"/>
  <sheetViews>
    <sheetView workbookViewId="0">
      <pane ySplit="2" topLeftCell="N11" activePane="bottomLeft" state="frozen"/>
      <selection pane="bottomLeft" activeCell="E14" sqref="E14:S14"/>
    </sheetView>
  </sheetViews>
  <sheetFormatPr defaultRowHeight="14.45"/>
  <cols>
    <col min="1" max="1" width="18" customWidth="1"/>
    <col min="2" max="2" width="15" customWidth="1"/>
    <col min="3" max="3" width="12" customWidth="1"/>
    <col min="4" max="4" width="22" customWidth="1"/>
    <col min="5" max="5" width="12" customWidth="1"/>
    <col min="6" max="6" width="75.28515625" customWidth="1"/>
    <col min="7" max="7" width="12" customWidth="1"/>
    <col min="8" max="8" width="15" customWidth="1"/>
    <col min="9" max="9" width="19" customWidth="1"/>
    <col min="10" max="10" width="17" customWidth="1"/>
    <col min="11" max="11" width="48" customWidth="1"/>
    <col min="12" max="12" width="22" customWidth="1"/>
    <col min="13" max="13" width="25" customWidth="1"/>
    <col min="14" max="14" width="42.28515625" customWidth="1"/>
    <col min="15" max="15" width="16" customWidth="1"/>
    <col min="16" max="16" width="27" customWidth="1"/>
    <col min="17" max="17" width="18" customWidth="1"/>
    <col min="18" max="18" width="43" customWidth="1"/>
    <col min="19" max="19" width="40" customWidth="1"/>
  </cols>
  <sheetData>
    <row r="1" spans="1:1022 1028:2046 2052:3070 3076:4094 4100:5118 5124:6142 6148:7166 7172:8190 8196:9214 9220:10238 10244:11262 11268:12286 12292:13310 13316:14334 14340:15358 15364:16382" ht="27.95" customHeight="1">
      <c r="A1" s="62" t="s">
        <v>2138</v>
      </c>
      <c r="B1" s="134"/>
      <c r="C1" s="135"/>
      <c r="D1" s="63" t="s">
        <v>2558</v>
      </c>
      <c r="E1" s="134"/>
      <c r="F1" s="134"/>
      <c r="G1" s="134"/>
      <c r="H1" s="134"/>
      <c r="I1" s="134"/>
      <c r="J1" s="134"/>
      <c r="K1" s="134"/>
      <c r="L1" s="134"/>
      <c r="M1" s="134"/>
      <c r="N1" s="135"/>
      <c r="O1" s="61" t="s">
        <v>244</v>
      </c>
      <c r="P1" s="134"/>
      <c r="Q1" s="134"/>
      <c r="R1" s="134"/>
      <c r="S1" s="135"/>
    </row>
    <row r="2" spans="1:1022 1028:2046 2052:3070 3076:4094 4100:5118 5124:6142 6148:7166 7172:8190 8196:9214 9220:10238 10244:11262 11268:12286 12292:13310 13316:14334 14340:15358 15364:16382"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022 1028:2046 2052:3070 3076:4094 4100:5118 5124:6142 6148:7166 7172:8190 8196:9214 9220:10238 10244:11262 11268:12286 12292:13310 13316:14334 14340:15358 15364:16382"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EVT-2026-1315</v>
      </c>
      <c r="B3" s="30">
        <v>46296</v>
      </c>
      <c r="C3" s="27" t="s">
        <v>216</v>
      </c>
      <c r="D3" s="27" t="s">
        <v>736</v>
      </c>
      <c r="E3" s="27" t="s">
        <v>202</v>
      </c>
      <c r="F3" s="27" t="s">
        <v>203</v>
      </c>
      <c r="G3" s="10">
        <v>55</v>
      </c>
      <c r="H3" s="36" t="s">
        <v>263</v>
      </c>
      <c r="I3" s="37" t="s">
        <v>269</v>
      </c>
      <c r="J3" s="37" t="s">
        <v>270</v>
      </c>
      <c r="K3" s="27"/>
      <c r="L3" s="27"/>
      <c r="M3" s="27" t="s">
        <v>351</v>
      </c>
      <c r="N3" s="27" t="s">
        <v>1688</v>
      </c>
      <c r="O3" s="30">
        <v>46218</v>
      </c>
      <c r="P3" s="2" t="s">
        <v>1859</v>
      </c>
      <c r="Q3" s="29" t="s">
        <v>265</v>
      </c>
      <c r="R3" s="27" t="s">
        <v>2384</v>
      </c>
      <c r="S3" s="27" t="s">
        <v>1497</v>
      </c>
    </row>
    <row r="4" spans="1:1022 1028:2046 2052:3070 3076:4094 4100:5118 5124:6142 6148:7166 7172:8190 8196:9214 9220:10238 10244:11262 11268:12286 12292:13310 13316:14334 14340:15358 15364:16382"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EVT-2026-1316</v>
      </c>
      <c r="B4" s="30">
        <v>46296</v>
      </c>
      <c r="C4" s="27" t="s">
        <v>216</v>
      </c>
      <c r="D4" s="27" t="s">
        <v>1366</v>
      </c>
      <c r="E4" s="27" t="s">
        <v>1260</v>
      </c>
      <c r="F4" s="27" t="s">
        <v>203</v>
      </c>
      <c r="G4" s="10"/>
      <c r="H4" s="36" t="s">
        <v>263</v>
      </c>
      <c r="I4" s="37" t="s">
        <v>269</v>
      </c>
      <c r="J4" s="37" t="s">
        <v>270</v>
      </c>
      <c r="K4" s="27"/>
      <c r="L4" s="27"/>
      <c r="M4" s="27"/>
      <c r="N4" s="27"/>
      <c r="O4" s="27"/>
      <c r="P4" s="2" t="s">
        <v>1859</v>
      </c>
      <c r="Q4" s="29" t="s">
        <v>265</v>
      </c>
      <c r="R4" s="27" t="s">
        <v>2384</v>
      </c>
      <c r="S4" s="27" t="s">
        <v>2030</v>
      </c>
    </row>
    <row r="5" spans="1:1022 1028:2046 2052:3070 3076:4094 4100:5118 5124:6142 6148:7166 7172:8190 8196:9214 9220:10238 10244:11262 11268:12286 12292:13310 13316:14334 14340:15358 15364:16382"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EVT-2026-1317</v>
      </c>
      <c r="B5" s="30">
        <v>46296</v>
      </c>
      <c r="C5" s="27" t="s">
        <v>216</v>
      </c>
      <c r="D5" s="27" t="s">
        <v>1366</v>
      </c>
      <c r="E5" s="27" t="s">
        <v>208</v>
      </c>
      <c r="F5" s="27" t="s">
        <v>217</v>
      </c>
      <c r="G5" s="10">
        <v>50</v>
      </c>
      <c r="H5" s="36" t="s">
        <v>263</v>
      </c>
      <c r="I5" s="37" t="s">
        <v>309</v>
      </c>
      <c r="J5" s="37" t="s">
        <v>296</v>
      </c>
      <c r="K5" s="27"/>
      <c r="L5" s="27"/>
      <c r="M5" s="27" t="s">
        <v>2559</v>
      </c>
      <c r="N5" s="27" t="s">
        <v>2560</v>
      </c>
      <c r="O5" s="27"/>
      <c r="P5" s="2" t="s">
        <v>1859</v>
      </c>
      <c r="Q5" s="29" t="s">
        <v>265</v>
      </c>
      <c r="R5" s="27" t="s">
        <v>2384</v>
      </c>
      <c r="S5" s="27" t="s">
        <v>1846</v>
      </c>
    </row>
    <row r="6" spans="1:1022 1028:2046 2052:3070 3076:4094 4100:5118 5124:6142 6148:7166 7172:8190 8196:9214 9220:10238 10244:11262 11268:12286 12292:13310 13316:14334 14340:15358 15364:16382"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6" s="30">
        <v>46297</v>
      </c>
      <c r="C6" s="27" t="s">
        <v>220</v>
      </c>
      <c r="D6" s="27"/>
      <c r="E6" s="27"/>
      <c r="F6" s="27"/>
      <c r="G6" s="10"/>
      <c r="H6" s="36" t="s">
        <v>263</v>
      </c>
      <c r="I6" s="37"/>
      <c r="J6" s="37"/>
      <c r="K6" s="27"/>
      <c r="L6" s="27"/>
      <c r="M6" s="27"/>
      <c r="N6" s="27"/>
      <c r="O6" s="27"/>
      <c r="P6" s="2" t="s">
        <v>1859</v>
      </c>
      <c r="Q6" s="29" t="s">
        <v>265</v>
      </c>
      <c r="R6" s="27"/>
      <c r="S6" s="27"/>
    </row>
    <row r="7" spans="1:1022 1028:2046 2052:3070 3076:4094 4100:5118 5124:6142 6148:7166 7172:8190 8196:9214 9220:10238 10244:11262 11268:12286 12292:13310 13316:14334 14340:15358 15364:16382"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7" s="30">
        <v>46298</v>
      </c>
      <c r="C7" s="27" t="s">
        <v>266</v>
      </c>
      <c r="D7" s="27"/>
      <c r="E7" s="27"/>
      <c r="F7" s="27"/>
      <c r="G7" s="10"/>
      <c r="H7" s="36" t="s">
        <v>263</v>
      </c>
      <c r="I7" s="37"/>
      <c r="J7" s="37"/>
      <c r="K7" s="27"/>
      <c r="L7" s="27"/>
      <c r="M7" s="27"/>
      <c r="N7" s="27"/>
      <c r="O7" s="27"/>
      <c r="P7" s="2" t="s">
        <v>1859</v>
      </c>
      <c r="Q7" s="29" t="s">
        <v>265</v>
      </c>
      <c r="R7" s="27"/>
      <c r="S7" s="27"/>
    </row>
    <row r="8" spans="1:1022 1028:2046 2052:3070 3076:4094 4100:5118 5124:6142 6148:7166 7172:8190 8196:9214 9220:10238 10244:11262 11268:12286 12292:13310 13316:14334 14340:15358 15364:16382"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8" s="30">
        <v>46299</v>
      </c>
      <c r="C8" s="27" t="s">
        <v>267</v>
      </c>
      <c r="D8" s="27"/>
      <c r="E8" s="27"/>
      <c r="F8" s="27"/>
      <c r="G8" s="10"/>
      <c r="H8" s="36" t="s">
        <v>263</v>
      </c>
      <c r="I8" s="37"/>
      <c r="J8" s="37"/>
      <c r="K8" s="27"/>
      <c r="L8" s="27"/>
      <c r="M8" s="27"/>
      <c r="N8" s="27"/>
      <c r="O8" s="27"/>
      <c r="P8" s="2" t="s">
        <v>1859</v>
      </c>
      <c r="Q8" s="29" t="s">
        <v>265</v>
      </c>
      <c r="R8" s="27"/>
      <c r="S8" s="27"/>
    </row>
    <row r="9" spans="1:1022 1028:2046 2052:3070 3076:4094 4100:5118 5124:6142 6148:7166 7172:8190 8196:9214 9220:10238 10244:11262 11268:12286 12292:13310 13316:14334 14340:15358 15364:16382"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EVT-2026-1318</v>
      </c>
      <c r="B9" s="30">
        <v>46300</v>
      </c>
      <c r="C9" s="27" t="s">
        <v>224</v>
      </c>
      <c r="D9" s="27" t="s">
        <v>125</v>
      </c>
      <c r="E9" s="27" t="s">
        <v>228</v>
      </c>
      <c r="F9" s="27" t="s">
        <v>874</v>
      </c>
      <c r="G9" s="10">
        <v>50</v>
      </c>
      <c r="H9" s="36" t="s">
        <v>263</v>
      </c>
      <c r="I9" s="37">
        <v>0.58333333333333337</v>
      </c>
      <c r="J9" s="37">
        <v>0.70833333333333337</v>
      </c>
      <c r="K9" s="27" t="s">
        <v>1445</v>
      </c>
      <c r="L9" s="27" t="s">
        <v>1445</v>
      </c>
      <c r="M9" s="27" t="s">
        <v>2559</v>
      </c>
      <c r="N9" s="27" t="s">
        <v>2560</v>
      </c>
      <c r="O9" s="27"/>
      <c r="P9" s="2" t="s">
        <v>1859</v>
      </c>
      <c r="Q9" s="29" t="s">
        <v>265</v>
      </c>
      <c r="R9" s="27" t="s">
        <v>1673</v>
      </c>
      <c r="S9" s="27" t="s">
        <v>1846</v>
      </c>
    </row>
    <row r="10" spans="1:1022 1028:2046 2052:3070 3076:4094 4100:5118 5124:6142 6148:7166 7172:8190 8196:9214 9220:10238 10244:11262 11268:12286 12292:13310 13316:14334 14340:15358 15364:16382" s="27" customFormat="1"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EVT-2026-1319</v>
      </c>
      <c r="B10" s="30">
        <v>46301</v>
      </c>
      <c r="C10" s="27" t="s">
        <v>227</v>
      </c>
      <c r="D10" s="27" t="s">
        <v>1366</v>
      </c>
      <c r="E10" s="27" t="s">
        <v>208</v>
      </c>
      <c r="F10" s="27" t="s">
        <v>217</v>
      </c>
      <c r="G10" s="10">
        <v>50</v>
      </c>
      <c r="H10" s="36" t="s">
        <v>263</v>
      </c>
      <c r="I10" s="37" t="s">
        <v>309</v>
      </c>
      <c r="J10" s="37" t="s">
        <v>296</v>
      </c>
      <c r="M10" s="27" t="s">
        <v>2559</v>
      </c>
      <c r="N10" s="27" t="s">
        <v>2560</v>
      </c>
      <c r="P10" s="2" t="s">
        <v>1859</v>
      </c>
      <c r="Q10" s="29" t="s">
        <v>265</v>
      </c>
      <c r="R10" s="27" t="s">
        <v>2384</v>
      </c>
      <c r="S10" s="27" t="s">
        <v>1846</v>
      </c>
      <c r="T10" s="10"/>
      <c r="U10" s="36"/>
      <c r="V10" s="37"/>
      <c r="W10" s="37"/>
      <c r="AC10" s="2"/>
      <c r="AD10" s="29"/>
      <c r="AJ10" s="10"/>
      <c r="AK10" s="36"/>
      <c r="AL10" s="37"/>
      <c r="AM10" s="37"/>
      <c r="AS10" s="2"/>
      <c r="AT10" s="29"/>
      <c r="AZ10" s="10"/>
      <c r="BA10" s="36"/>
      <c r="BB10" s="37"/>
      <c r="BC10" s="37"/>
      <c r="BI10" s="2"/>
      <c r="BJ10" s="29"/>
      <c r="BP10" s="10"/>
      <c r="BQ10" s="36"/>
      <c r="BR10" s="37"/>
      <c r="BS10" s="37"/>
      <c r="BY10" s="2"/>
      <c r="BZ10" s="29"/>
      <c r="CF10" s="10"/>
      <c r="CG10" s="36"/>
      <c r="CH10" s="37"/>
      <c r="CI10" s="37"/>
      <c r="CO10" s="2"/>
      <c r="CP10" s="29"/>
      <c r="CV10" s="10"/>
      <c r="CW10" s="36"/>
      <c r="CX10" s="37"/>
      <c r="CY10" s="37"/>
      <c r="DE10" s="2"/>
      <c r="DF10" s="29"/>
      <c r="DL10" s="10"/>
      <c r="DM10" s="36"/>
      <c r="DN10" s="37"/>
      <c r="DO10" s="37"/>
      <c r="DU10" s="2"/>
      <c r="DV10" s="29"/>
      <c r="EB10" s="10"/>
      <c r="EC10" s="36"/>
      <c r="ED10" s="37"/>
      <c r="EE10" s="37"/>
      <c r="EK10" s="2"/>
      <c r="EL10" s="29"/>
      <c r="ER10" s="10"/>
      <c r="ES10" s="36"/>
      <c r="ET10" s="37"/>
      <c r="EU10" s="37"/>
      <c r="FA10" s="2"/>
      <c r="FB10" s="29"/>
      <c r="FH10" s="10"/>
      <c r="FI10" s="36"/>
      <c r="FJ10" s="37"/>
      <c r="FK10" s="37"/>
      <c r="FQ10" s="2"/>
      <c r="FR10" s="29"/>
      <c r="FX10" s="10"/>
      <c r="FY10" s="36"/>
      <c r="FZ10" s="37"/>
      <c r="GA10" s="37"/>
      <c r="GG10" s="2"/>
      <c r="GH10" s="29"/>
      <c r="GN10" s="10"/>
      <c r="GO10" s="36"/>
      <c r="GP10" s="37"/>
      <c r="GQ10" s="37"/>
      <c r="GW10" s="2"/>
      <c r="GX10" s="29"/>
      <c r="HD10" s="10"/>
      <c r="HE10" s="36"/>
      <c r="HF10" s="37"/>
      <c r="HG10" s="37"/>
      <c r="HM10" s="2"/>
      <c r="HN10" s="29"/>
      <c r="HT10" s="10"/>
      <c r="HU10" s="36"/>
      <c r="HV10" s="37"/>
      <c r="HW10" s="37"/>
      <c r="IC10" s="2"/>
      <c r="ID10" s="29"/>
      <c r="IJ10" s="10"/>
      <c r="IK10" s="36"/>
      <c r="IL10" s="37"/>
      <c r="IM10" s="37"/>
      <c r="IS10" s="2"/>
      <c r="IT10" s="29"/>
      <c r="IZ10" s="10"/>
      <c r="JA10" s="36"/>
      <c r="JB10" s="37"/>
      <c r="JC10" s="37"/>
      <c r="JI10" s="2"/>
      <c r="JJ10" s="29"/>
      <c r="JP10" s="10"/>
      <c r="JQ10" s="36"/>
      <c r="JR10" s="37"/>
      <c r="JS10" s="37"/>
      <c r="JY10" s="2"/>
      <c r="JZ10" s="29"/>
      <c r="KF10" s="10"/>
      <c r="KG10" s="36"/>
      <c r="KH10" s="37"/>
      <c r="KI10" s="37"/>
      <c r="KO10" s="2"/>
      <c r="KP10" s="29"/>
      <c r="KV10" s="10"/>
      <c r="KW10" s="36"/>
      <c r="KX10" s="37"/>
      <c r="KY10" s="37"/>
      <c r="LE10" s="2"/>
      <c r="LF10" s="29"/>
      <c r="LL10" s="10"/>
      <c r="LM10" s="36"/>
      <c r="LN10" s="37"/>
      <c r="LO10" s="37"/>
      <c r="LU10" s="2"/>
      <c r="LV10" s="29"/>
      <c r="MB10" s="10"/>
      <c r="MC10" s="36"/>
      <c r="MD10" s="37"/>
      <c r="ME10" s="37"/>
      <c r="MK10" s="2"/>
      <c r="ML10" s="29"/>
      <c r="MR10" s="10"/>
      <c r="MS10" s="36"/>
      <c r="MT10" s="37"/>
      <c r="MU10" s="37"/>
      <c r="NA10" s="2"/>
      <c r="NB10" s="29"/>
      <c r="NH10" s="10"/>
      <c r="NI10" s="36"/>
      <c r="NJ10" s="37"/>
      <c r="NK10" s="37"/>
      <c r="NQ10" s="2"/>
      <c r="NR10" s="29"/>
      <c r="NX10" s="10"/>
      <c r="NY10" s="36"/>
      <c r="NZ10" s="37"/>
      <c r="OA10" s="37"/>
      <c r="OG10" s="2"/>
      <c r="OH10" s="29"/>
      <c r="ON10" s="10"/>
      <c r="OO10" s="36"/>
      <c r="OP10" s="37"/>
      <c r="OQ10" s="37"/>
      <c r="OW10" s="2"/>
      <c r="OX10" s="29"/>
      <c r="PD10" s="10"/>
      <c r="PE10" s="36"/>
      <c r="PF10" s="37"/>
      <c r="PG10" s="37"/>
      <c r="PM10" s="2"/>
      <c r="PN10" s="29"/>
      <c r="PT10" s="10"/>
      <c r="PU10" s="36"/>
      <c r="PV10" s="37"/>
      <c r="PW10" s="37"/>
      <c r="QC10" s="2"/>
      <c r="QD10" s="29"/>
      <c r="QJ10" s="10"/>
      <c r="QK10" s="36"/>
      <c r="QL10" s="37"/>
      <c r="QM10" s="37"/>
      <c r="QS10" s="2"/>
      <c r="QT10" s="29"/>
      <c r="QZ10" s="10"/>
      <c r="RA10" s="36"/>
      <c r="RB10" s="37"/>
      <c r="RC10" s="37"/>
      <c r="RI10" s="2"/>
      <c r="RJ10" s="29"/>
      <c r="RP10" s="10"/>
      <c r="RQ10" s="36"/>
      <c r="RR10" s="37"/>
      <c r="RS10" s="37"/>
      <c r="RY10" s="2"/>
      <c r="RZ10" s="29"/>
      <c r="SF10" s="10"/>
      <c r="SG10" s="36"/>
      <c r="SH10" s="37"/>
      <c r="SI10" s="37"/>
      <c r="SO10" s="2"/>
      <c r="SP10" s="29"/>
      <c r="SV10" s="10"/>
      <c r="SW10" s="36"/>
      <c r="SX10" s="37"/>
      <c r="SY10" s="37"/>
      <c r="TE10" s="2"/>
      <c r="TF10" s="29"/>
      <c r="TL10" s="10"/>
      <c r="TM10" s="36"/>
      <c r="TN10" s="37"/>
      <c r="TO10" s="37"/>
      <c r="TU10" s="2"/>
      <c r="TV10" s="29"/>
      <c r="UB10" s="10"/>
      <c r="UC10" s="36"/>
      <c r="UD10" s="37"/>
      <c r="UE10" s="37"/>
      <c r="UK10" s="2"/>
      <c r="UL10" s="29"/>
      <c r="UR10" s="10"/>
      <c r="US10" s="36"/>
      <c r="UT10" s="37"/>
      <c r="UU10" s="37"/>
      <c r="VA10" s="2"/>
      <c r="VB10" s="29"/>
      <c r="VH10" s="10"/>
      <c r="VI10" s="36"/>
      <c r="VJ10" s="37"/>
      <c r="VK10" s="37"/>
      <c r="VQ10" s="2"/>
      <c r="VR10" s="29"/>
      <c r="VX10" s="10"/>
      <c r="VY10" s="36"/>
      <c r="VZ10" s="37"/>
      <c r="WA10" s="37"/>
      <c r="WG10" s="2"/>
      <c r="WH10" s="29"/>
      <c r="WN10" s="10"/>
      <c r="WO10" s="36"/>
      <c r="WP10" s="37"/>
      <c r="WQ10" s="37"/>
      <c r="WW10" s="2"/>
      <c r="WX10" s="29"/>
      <c r="XD10" s="10"/>
      <c r="XE10" s="36"/>
      <c r="XF10" s="37"/>
      <c r="XG10" s="37"/>
      <c r="XM10" s="2"/>
      <c r="XN10" s="29"/>
      <c r="XT10" s="10"/>
      <c r="XU10" s="36"/>
      <c r="XV10" s="37"/>
      <c r="XW10" s="37"/>
      <c r="YC10" s="2"/>
      <c r="YD10" s="29"/>
      <c r="YJ10" s="10"/>
      <c r="YK10" s="36"/>
      <c r="YL10" s="37"/>
      <c r="YM10" s="37"/>
      <c r="YS10" s="2"/>
      <c r="YT10" s="29"/>
      <c r="YZ10" s="10"/>
      <c r="ZA10" s="36"/>
      <c r="ZB10" s="37"/>
      <c r="ZC10" s="37"/>
      <c r="ZI10" s="2"/>
      <c r="ZJ10" s="29"/>
      <c r="ZP10" s="10"/>
      <c r="ZQ10" s="36"/>
      <c r="ZR10" s="37"/>
      <c r="ZS10" s="37"/>
      <c r="ZY10" s="2"/>
      <c r="ZZ10" s="29"/>
      <c r="AAF10" s="10"/>
      <c r="AAG10" s="36"/>
      <c r="AAH10" s="37"/>
      <c r="AAI10" s="37"/>
      <c r="AAO10" s="2"/>
      <c r="AAP10" s="29"/>
      <c r="AAV10" s="10"/>
      <c r="AAW10" s="36"/>
      <c r="AAX10" s="37"/>
      <c r="AAY10" s="37"/>
      <c r="ABE10" s="2"/>
      <c r="ABF10" s="29"/>
      <c r="ABL10" s="10"/>
      <c r="ABM10" s="36"/>
      <c r="ABN10" s="37"/>
      <c r="ABO10" s="37"/>
      <c r="ABU10" s="2"/>
      <c r="ABV10" s="29"/>
      <c r="ACB10" s="10"/>
      <c r="ACC10" s="36"/>
      <c r="ACD10" s="37"/>
      <c r="ACE10" s="37"/>
      <c r="ACK10" s="2"/>
      <c r="ACL10" s="29"/>
      <c r="ACR10" s="10"/>
      <c r="ACS10" s="36"/>
      <c r="ACT10" s="37"/>
      <c r="ACU10" s="37"/>
      <c r="ADA10" s="2"/>
      <c r="ADB10" s="29"/>
      <c r="ADH10" s="10"/>
      <c r="ADI10" s="36"/>
      <c r="ADJ10" s="37"/>
      <c r="ADK10" s="37"/>
      <c r="ADQ10" s="2"/>
      <c r="ADR10" s="29"/>
      <c r="ADX10" s="10"/>
      <c r="ADY10" s="36"/>
      <c r="ADZ10" s="37"/>
      <c r="AEA10" s="37"/>
      <c r="AEG10" s="2"/>
      <c r="AEH10" s="29"/>
      <c r="AEN10" s="10"/>
      <c r="AEO10" s="36"/>
      <c r="AEP10" s="37"/>
      <c r="AEQ10" s="37"/>
      <c r="AEW10" s="2"/>
      <c r="AEX10" s="29"/>
      <c r="AFD10" s="10"/>
      <c r="AFE10" s="36"/>
      <c r="AFF10" s="37"/>
      <c r="AFG10" s="37"/>
      <c r="AFM10" s="2"/>
      <c r="AFN10" s="29"/>
      <c r="AFT10" s="10"/>
      <c r="AFU10" s="36"/>
      <c r="AFV10" s="37"/>
      <c r="AFW10" s="37"/>
      <c r="AGC10" s="2"/>
      <c r="AGD10" s="29"/>
      <c r="AGJ10" s="10"/>
      <c r="AGK10" s="36"/>
      <c r="AGL10" s="37"/>
      <c r="AGM10" s="37"/>
      <c r="AGS10" s="2"/>
      <c r="AGT10" s="29"/>
      <c r="AGZ10" s="10"/>
      <c r="AHA10" s="36"/>
      <c r="AHB10" s="37"/>
      <c r="AHC10" s="37"/>
      <c r="AHI10" s="2"/>
      <c r="AHJ10" s="29"/>
      <c r="AHP10" s="10"/>
      <c r="AHQ10" s="36"/>
      <c r="AHR10" s="37"/>
      <c r="AHS10" s="37"/>
      <c r="AHY10" s="2"/>
      <c r="AHZ10" s="29"/>
      <c r="AIF10" s="10"/>
      <c r="AIG10" s="36"/>
      <c r="AIH10" s="37"/>
      <c r="AII10" s="37"/>
      <c r="AIO10" s="2"/>
      <c r="AIP10" s="29"/>
      <c r="AIV10" s="10"/>
      <c r="AIW10" s="36"/>
      <c r="AIX10" s="37"/>
      <c r="AIY10" s="37"/>
      <c r="AJE10" s="2"/>
      <c r="AJF10" s="29"/>
      <c r="AJL10" s="10"/>
      <c r="AJM10" s="36"/>
      <c r="AJN10" s="37"/>
      <c r="AJO10" s="37"/>
      <c r="AJU10" s="2"/>
      <c r="AJV10" s="29"/>
      <c r="AKB10" s="10"/>
      <c r="AKC10" s="36"/>
      <c r="AKD10" s="37"/>
      <c r="AKE10" s="37"/>
      <c r="AKK10" s="2"/>
      <c r="AKL10" s="29"/>
      <c r="AKR10" s="10"/>
      <c r="AKS10" s="36"/>
      <c r="AKT10" s="37"/>
      <c r="AKU10" s="37"/>
      <c r="ALA10" s="2"/>
      <c r="ALB10" s="29"/>
      <c r="ALH10" s="10"/>
      <c r="ALI10" s="36"/>
      <c r="ALJ10" s="37"/>
      <c r="ALK10" s="37"/>
      <c r="ALQ10" s="2"/>
      <c r="ALR10" s="29"/>
      <c r="ALX10" s="10"/>
      <c r="ALY10" s="36"/>
      <c r="ALZ10" s="37"/>
      <c r="AMA10" s="37"/>
      <c r="AMG10" s="2"/>
      <c r="AMH10" s="29"/>
      <c r="AMN10" s="10"/>
      <c r="AMO10" s="36"/>
      <c r="AMP10" s="37"/>
      <c r="AMQ10" s="37"/>
      <c r="AMW10" s="2"/>
      <c r="AMX10" s="29"/>
      <c r="AND10" s="10"/>
      <c r="ANE10" s="36"/>
      <c r="ANF10" s="37"/>
      <c r="ANG10" s="37"/>
      <c r="ANM10" s="2"/>
      <c r="ANN10" s="29"/>
      <c r="ANT10" s="10"/>
      <c r="ANU10" s="36"/>
      <c r="ANV10" s="37"/>
      <c r="ANW10" s="37"/>
      <c r="AOC10" s="2"/>
      <c r="AOD10" s="29"/>
      <c r="AOJ10" s="10"/>
      <c r="AOK10" s="36"/>
      <c r="AOL10" s="37"/>
      <c r="AOM10" s="37"/>
      <c r="AOS10" s="2"/>
      <c r="AOT10" s="29"/>
      <c r="AOZ10" s="10"/>
      <c r="APA10" s="36"/>
      <c r="APB10" s="37"/>
      <c r="APC10" s="37"/>
      <c r="API10" s="2"/>
      <c r="APJ10" s="29"/>
      <c r="APP10" s="10"/>
      <c r="APQ10" s="36"/>
      <c r="APR10" s="37"/>
      <c r="APS10" s="37"/>
      <c r="APY10" s="2"/>
      <c r="APZ10" s="29"/>
      <c r="AQF10" s="10"/>
      <c r="AQG10" s="36"/>
      <c r="AQH10" s="37"/>
      <c r="AQI10" s="37"/>
      <c r="AQO10" s="2"/>
      <c r="AQP10" s="29"/>
      <c r="AQV10" s="10"/>
      <c r="AQW10" s="36"/>
      <c r="AQX10" s="37"/>
      <c r="AQY10" s="37"/>
      <c r="ARE10" s="2"/>
      <c r="ARF10" s="29"/>
      <c r="ARL10" s="10"/>
      <c r="ARM10" s="36"/>
      <c r="ARN10" s="37"/>
      <c r="ARO10" s="37"/>
      <c r="ARU10" s="2"/>
      <c r="ARV10" s="29"/>
      <c r="ASB10" s="10"/>
      <c r="ASC10" s="36"/>
      <c r="ASD10" s="37"/>
      <c r="ASE10" s="37"/>
      <c r="ASK10" s="2"/>
      <c r="ASL10" s="29"/>
      <c r="ASR10" s="10"/>
      <c r="ASS10" s="36"/>
      <c r="AST10" s="37"/>
      <c r="ASU10" s="37"/>
      <c r="ATA10" s="2"/>
      <c r="ATB10" s="29"/>
      <c r="ATH10" s="10"/>
      <c r="ATI10" s="36"/>
      <c r="ATJ10" s="37"/>
      <c r="ATK10" s="37"/>
      <c r="ATQ10" s="2"/>
      <c r="ATR10" s="29"/>
      <c r="ATX10" s="10"/>
      <c r="ATY10" s="36"/>
      <c r="ATZ10" s="37"/>
      <c r="AUA10" s="37"/>
      <c r="AUG10" s="2"/>
      <c r="AUH10" s="29"/>
      <c r="AUN10" s="10"/>
      <c r="AUO10" s="36"/>
      <c r="AUP10" s="37"/>
      <c r="AUQ10" s="37"/>
      <c r="AUW10" s="2"/>
      <c r="AUX10" s="29"/>
      <c r="AVD10" s="10"/>
      <c r="AVE10" s="36"/>
      <c r="AVF10" s="37"/>
      <c r="AVG10" s="37"/>
      <c r="AVM10" s="2"/>
      <c r="AVN10" s="29"/>
      <c r="AVT10" s="10"/>
      <c r="AVU10" s="36"/>
      <c r="AVV10" s="37"/>
      <c r="AVW10" s="37"/>
      <c r="AWC10" s="2"/>
      <c r="AWD10" s="29"/>
      <c r="AWJ10" s="10"/>
      <c r="AWK10" s="36"/>
      <c r="AWL10" s="37"/>
      <c r="AWM10" s="37"/>
      <c r="AWS10" s="2"/>
      <c r="AWT10" s="29"/>
      <c r="AWZ10" s="10"/>
      <c r="AXA10" s="36"/>
      <c r="AXB10" s="37"/>
      <c r="AXC10" s="37"/>
      <c r="AXI10" s="2"/>
      <c r="AXJ10" s="29"/>
      <c r="AXP10" s="10"/>
      <c r="AXQ10" s="36"/>
      <c r="AXR10" s="37"/>
      <c r="AXS10" s="37"/>
      <c r="AXY10" s="2"/>
      <c r="AXZ10" s="29"/>
      <c r="AYF10" s="10"/>
      <c r="AYG10" s="36"/>
      <c r="AYH10" s="37"/>
      <c r="AYI10" s="37"/>
      <c r="AYO10" s="2"/>
      <c r="AYP10" s="29"/>
      <c r="AYV10" s="10"/>
      <c r="AYW10" s="36"/>
      <c r="AYX10" s="37"/>
      <c r="AYY10" s="37"/>
      <c r="AZE10" s="2"/>
      <c r="AZF10" s="29"/>
      <c r="AZL10" s="10"/>
      <c r="AZM10" s="36"/>
      <c r="AZN10" s="37"/>
      <c r="AZO10" s="37"/>
      <c r="AZU10" s="2"/>
      <c r="AZV10" s="29"/>
      <c r="BAB10" s="10"/>
      <c r="BAC10" s="36"/>
      <c r="BAD10" s="37"/>
      <c r="BAE10" s="37"/>
      <c r="BAK10" s="2"/>
      <c r="BAL10" s="29"/>
      <c r="BAR10" s="10"/>
      <c r="BAS10" s="36"/>
      <c r="BAT10" s="37"/>
      <c r="BAU10" s="37"/>
      <c r="BBA10" s="2"/>
      <c r="BBB10" s="29"/>
      <c r="BBH10" s="10"/>
      <c r="BBI10" s="36"/>
      <c r="BBJ10" s="37"/>
      <c r="BBK10" s="37"/>
      <c r="BBQ10" s="2"/>
      <c r="BBR10" s="29"/>
      <c r="BBX10" s="10"/>
      <c r="BBY10" s="36"/>
      <c r="BBZ10" s="37"/>
      <c r="BCA10" s="37"/>
      <c r="BCG10" s="2"/>
      <c r="BCH10" s="29"/>
      <c r="BCN10" s="10"/>
      <c r="BCO10" s="36"/>
      <c r="BCP10" s="37"/>
      <c r="BCQ10" s="37"/>
      <c r="BCW10" s="2"/>
      <c r="BCX10" s="29"/>
      <c r="BDD10" s="10"/>
      <c r="BDE10" s="36"/>
      <c r="BDF10" s="37"/>
      <c r="BDG10" s="37"/>
      <c r="BDM10" s="2"/>
      <c r="BDN10" s="29"/>
      <c r="BDT10" s="10"/>
      <c r="BDU10" s="36"/>
      <c r="BDV10" s="37"/>
      <c r="BDW10" s="37"/>
      <c r="BEC10" s="2"/>
      <c r="BED10" s="29"/>
      <c r="BEJ10" s="10"/>
      <c r="BEK10" s="36"/>
      <c r="BEL10" s="37"/>
      <c r="BEM10" s="37"/>
      <c r="BES10" s="2"/>
      <c r="BET10" s="29"/>
      <c r="BEZ10" s="10"/>
      <c r="BFA10" s="36"/>
      <c r="BFB10" s="37"/>
      <c r="BFC10" s="37"/>
      <c r="BFI10" s="2"/>
      <c r="BFJ10" s="29"/>
      <c r="BFP10" s="10"/>
      <c r="BFQ10" s="36"/>
      <c r="BFR10" s="37"/>
      <c r="BFS10" s="37"/>
      <c r="BFY10" s="2"/>
      <c r="BFZ10" s="29"/>
      <c r="BGF10" s="10"/>
      <c r="BGG10" s="36"/>
      <c r="BGH10" s="37"/>
      <c r="BGI10" s="37"/>
      <c r="BGO10" s="2"/>
      <c r="BGP10" s="29"/>
      <c r="BGV10" s="10"/>
      <c r="BGW10" s="36"/>
      <c r="BGX10" s="37"/>
      <c r="BGY10" s="37"/>
      <c r="BHE10" s="2"/>
      <c r="BHF10" s="29"/>
      <c r="BHL10" s="10"/>
      <c r="BHM10" s="36"/>
      <c r="BHN10" s="37"/>
      <c r="BHO10" s="37"/>
      <c r="BHU10" s="2"/>
      <c r="BHV10" s="29"/>
      <c r="BIB10" s="10"/>
      <c r="BIC10" s="36"/>
      <c r="BID10" s="37"/>
      <c r="BIE10" s="37"/>
      <c r="BIK10" s="2"/>
      <c r="BIL10" s="29"/>
      <c r="BIR10" s="10"/>
      <c r="BIS10" s="36"/>
      <c r="BIT10" s="37"/>
      <c r="BIU10" s="37"/>
      <c r="BJA10" s="2"/>
      <c r="BJB10" s="29"/>
      <c r="BJH10" s="10"/>
      <c r="BJI10" s="36"/>
      <c r="BJJ10" s="37"/>
      <c r="BJK10" s="37"/>
      <c r="BJQ10" s="2"/>
      <c r="BJR10" s="29"/>
      <c r="BJX10" s="10"/>
      <c r="BJY10" s="36"/>
      <c r="BJZ10" s="37"/>
      <c r="BKA10" s="37"/>
      <c r="BKG10" s="2"/>
      <c r="BKH10" s="29"/>
      <c r="BKN10" s="10"/>
      <c r="BKO10" s="36"/>
      <c r="BKP10" s="37"/>
      <c r="BKQ10" s="37"/>
      <c r="BKW10" s="2"/>
      <c r="BKX10" s="29"/>
      <c r="BLD10" s="10"/>
      <c r="BLE10" s="36"/>
      <c r="BLF10" s="37"/>
      <c r="BLG10" s="37"/>
      <c r="BLM10" s="2"/>
      <c r="BLN10" s="29"/>
      <c r="BLT10" s="10"/>
      <c r="BLU10" s="36"/>
      <c r="BLV10" s="37"/>
      <c r="BLW10" s="37"/>
      <c r="BMC10" s="2"/>
      <c r="BMD10" s="29"/>
      <c r="BMJ10" s="10"/>
      <c r="BMK10" s="36"/>
      <c r="BML10" s="37"/>
      <c r="BMM10" s="37"/>
      <c r="BMS10" s="2"/>
      <c r="BMT10" s="29"/>
      <c r="BMZ10" s="10"/>
      <c r="BNA10" s="36"/>
      <c r="BNB10" s="37"/>
      <c r="BNC10" s="37"/>
      <c r="BNI10" s="2"/>
      <c r="BNJ10" s="29"/>
      <c r="BNP10" s="10"/>
      <c r="BNQ10" s="36"/>
      <c r="BNR10" s="37"/>
      <c r="BNS10" s="37"/>
      <c r="BNY10" s="2"/>
      <c r="BNZ10" s="29"/>
      <c r="BOF10" s="10"/>
      <c r="BOG10" s="36"/>
      <c r="BOH10" s="37"/>
      <c r="BOI10" s="37"/>
      <c r="BOO10" s="2"/>
      <c r="BOP10" s="29"/>
      <c r="BOV10" s="10"/>
      <c r="BOW10" s="36"/>
      <c r="BOX10" s="37"/>
      <c r="BOY10" s="37"/>
      <c r="BPE10" s="2"/>
      <c r="BPF10" s="29"/>
      <c r="BPL10" s="10"/>
      <c r="BPM10" s="36"/>
      <c r="BPN10" s="37"/>
      <c r="BPO10" s="37"/>
      <c r="BPU10" s="2"/>
      <c r="BPV10" s="29"/>
      <c r="BQB10" s="10"/>
      <c r="BQC10" s="36"/>
      <c r="BQD10" s="37"/>
      <c r="BQE10" s="37"/>
      <c r="BQK10" s="2"/>
      <c r="BQL10" s="29"/>
      <c r="BQR10" s="10"/>
      <c r="BQS10" s="36"/>
      <c r="BQT10" s="37"/>
      <c r="BQU10" s="37"/>
      <c r="BRA10" s="2"/>
      <c r="BRB10" s="29"/>
      <c r="BRH10" s="10"/>
      <c r="BRI10" s="36"/>
      <c r="BRJ10" s="37"/>
      <c r="BRK10" s="37"/>
      <c r="BRQ10" s="2"/>
      <c r="BRR10" s="29"/>
      <c r="BRX10" s="10"/>
      <c r="BRY10" s="36"/>
      <c r="BRZ10" s="37"/>
      <c r="BSA10" s="37"/>
      <c r="BSG10" s="2"/>
      <c r="BSH10" s="29"/>
      <c r="BSN10" s="10"/>
      <c r="BSO10" s="36"/>
      <c r="BSP10" s="37"/>
      <c r="BSQ10" s="37"/>
      <c r="BSW10" s="2"/>
      <c r="BSX10" s="29"/>
      <c r="BTD10" s="10"/>
      <c r="BTE10" s="36"/>
      <c r="BTF10" s="37"/>
      <c r="BTG10" s="37"/>
      <c r="BTM10" s="2"/>
      <c r="BTN10" s="29"/>
      <c r="BTT10" s="10"/>
      <c r="BTU10" s="36"/>
      <c r="BTV10" s="37"/>
      <c r="BTW10" s="37"/>
      <c r="BUC10" s="2"/>
      <c r="BUD10" s="29"/>
      <c r="BUJ10" s="10"/>
      <c r="BUK10" s="36"/>
      <c r="BUL10" s="37"/>
      <c r="BUM10" s="37"/>
      <c r="BUS10" s="2"/>
      <c r="BUT10" s="29"/>
      <c r="BUZ10" s="10"/>
      <c r="BVA10" s="36"/>
      <c r="BVB10" s="37"/>
      <c r="BVC10" s="37"/>
      <c r="BVI10" s="2"/>
      <c r="BVJ10" s="29"/>
      <c r="BVP10" s="10"/>
      <c r="BVQ10" s="36"/>
      <c r="BVR10" s="37"/>
      <c r="BVS10" s="37"/>
      <c r="BVY10" s="2"/>
      <c r="BVZ10" s="29"/>
      <c r="BWF10" s="10"/>
      <c r="BWG10" s="36"/>
      <c r="BWH10" s="37"/>
      <c r="BWI10" s="37"/>
      <c r="BWO10" s="2"/>
      <c r="BWP10" s="29"/>
      <c r="BWV10" s="10"/>
      <c r="BWW10" s="36"/>
      <c r="BWX10" s="37"/>
      <c r="BWY10" s="37"/>
      <c r="BXE10" s="2"/>
      <c r="BXF10" s="29"/>
      <c r="BXL10" s="10"/>
      <c r="BXM10" s="36"/>
      <c r="BXN10" s="37"/>
      <c r="BXO10" s="37"/>
      <c r="BXU10" s="2"/>
      <c r="BXV10" s="29"/>
      <c r="BYB10" s="10"/>
      <c r="BYC10" s="36"/>
      <c r="BYD10" s="37"/>
      <c r="BYE10" s="37"/>
      <c r="BYK10" s="2"/>
      <c r="BYL10" s="29"/>
      <c r="BYR10" s="10"/>
      <c r="BYS10" s="36"/>
      <c r="BYT10" s="37"/>
      <c r="BYU10" s="37"/>
      <c r="BZA10" s="2"/>
      <c r="BZB10" s="29"/>
      <c r="BZH10" s="10"/>
      <c r="BZI10" s="36"/>
      <c r="BZJ10" s="37"/>
      <c r="BZK10" s="37"/>
      <c r="BZQ10" s="2"/>
      <c r="BZR10" s="29"/>
      <c r="BZX10" s="10"/>
      <c r="BZY10" s="36"/>
      <c r="BZZ10" s="37"/>
      <c r="CAA10" s="37"/>
      <c r="CAG10" s="2"/>
      <c r="CAH10" s="29"/>
      <c r="CAN10" s="10"/>
      <c r="CAO10" s="36"/>
      <c r="CAP10" s="37"/>
      <c r="CAQ10" s="37"/>
      <c r="CAW10" s="2"/>
      <c r="CAX10" s="29"/>
      <c r="CBD10" s="10"/>
      <c r="CBE10" s="36"/>
      <c r="CBF10" s="37"/>
      <c r="CBG10" s="37"/>
      <c r="CBM10" s="2"/>
      <c r="CBN10" s="29"/>
      <c r="CBT10" s="10"/>
      <c r="CBU10" s="36"/>
      <c r="CBV10" s="37"/>
      <c r="CBW10" s="37"/>
      <c r="CCC10" s="2"/>
      <c r="CCD10" s="29"/>
      <c r="CCJ10" s="10"/>
      <c r="CCK10" s="36"/>
      <c r="CCL10" s="37"/>
      <c r="CCM10" s="37"/>
      <c r="CCS10" s="2"/>
      <c r="CCT10" s="29"/>
      <c r="CCZ10" s="10"/>
      <c r="CDA10" s="36"/>
      <c r="CDB10" s="37"/>
      <c r="CDC10" s="37"/>
      <c r="CDI10" s="2"/>
      <c r="CDJ10" s="29"/>
      <c r="CDP10" s="10"/>
      <c r="CDQ10" s="36"/>
      <c r="CDR10" s="37"/>
      <c r="CDS10" s="37"/>
      <c r="CDY10" s="2"/>
      <c r="CDZ10" s="29"/>
      <c r="CEF10" s="10"/>
      <c r="CEG10" s="36"/>
      <c r="CEH10" s="37"/>
      <c r="CEI10" s="37"/>
      <c r="CEO10" s="2"/>
      <c r="CEP10" s="29"/>
      <c r="CEV10" s="10"/>
      <c r="CEW10" s="36"/>
      <c r="CEX10" s="37"/>
      <c r="CEY10" s="37"/>
      <c r="CFE10" s="2"/>
      <c r="CFF10" s="29"/>
      <c r="CFL10" s="10"/>
      <c r="CFM10" s="36"/>
      <c r="CFN10" s="37"/>
      <c r="CFO10" s="37"/>
      <c r="CFU10" s="2"/>
      <c r="CFV10" s="29"/>
      <c r="CGB10" s="10"/>
      <c r="CGC10" s="36"/>
      <c r="CGD10" s="37"/>
      <c r="CGE10" s="37"/>
      <c r="CGK10" s="2"/>
      <c r="CGL10" s="29"/>
      <c r="CGR10" s="10"/>
      <c r="CGS10" s="36"/>
      <c r="CGT10" s="37"/>
      <c r="CGU10" s="37"/>
      <c r="CHA10" s="2"/>
      <c r="CHB10" s="29"/>
      <c r="CHH10" s="10"/>
      <c r="CHI10" s="36"/>
      <c r="CHJ10" s="37"/>
      <c r="CHK10" s="37"/>
      <c r="CHQ10" s="2"/>
      <c r="CHR10" s="29"/>
      <c r="CHX10" s="10"/>
      <c r="CHY10" s="36"/>
      <c r="CHZ10" s="37"/>
      <c r="CIA10" s="37"/>
      <c r="CIG10" s="2"/>
      <c r="CIH10" s="29"/>
      <c r="CIN10" s="10"/>
      <c r="CIO10" s="36"/>
      <c r="CIP10" s="37"/>
      <c r="CIQ10" s="37"/>
      <c r="CIW10" s="2"/>
      <c r="CIX10" s="29"/>
      <c r="CJD10" s="10"/>
      <c r="CJE10" s="36"/>
      <c r="CJF10" s="37"/>
      <c r="CJG10" s="37"/>
      <c r="CJM10" s="2"/>
      <c r="CJN10" s="29"/>
      <c r="CJT10" s="10"/>
      <c r="CJU10" s="36"/>
      <c r="CJV10" s="37"/>
      <c r="CJW10" s="37"/>
      <c r="CKC10" s="2"/>
      <c r="CKD10" s="29"/>
      <c r="CKJ10" s="10"/>
      <c r="CKK10" s="36"/>
      <c r="CKL10" s="37"/>
      <c r="CKM10" s="37"/>
      <c r="CKS10" s="2"/>
      <c r="CKT10" s="29"/>
      <c r="CKZ10" s="10"/>
      <c r="CLA10" s="36"/>
      <c r="CLB10" s="37"/>
      <c r="CLC10" s="37"/>
      <c r="CLI10" s="2"/>
      <c r="CLJ10" s="29"/>
      <c r="CLP10" s="10"/>
      <c r="CLQ10" s="36"/>
      <c r="CLR10" s="37"/>
      <c r="CLS10" s="37"/>
      <c r="CLY10" s="2"/>
      <c r="CLZ10" s="29"/>
      <c r="CMF10" s="10"/>
      <c r="CMG10" s="36"/>
      <c r="CMH10" s="37"/>
      <c r="CMI10" s="37"/>
      <c r="CMO10" s="2"/>
      <c r="CMP10" s="29"/>
      <c r="CMV10" s="10"/>
      <c r="CMW10" s="36"/>
      <c r="CMX10" s="37"/>
      <c r="CMY10" s="37"/>
      <c r="CNE10" s="2"/>
      <c r="CNF10" s="29"/>
      <c r="CNL10" s="10"/>
      <c r="CNM10" s="36"/>
      <c r="CNN10" s="37"/>
      <c r="CNO10" s="37"/>
      <c r="CNU10" s="2"/>
      <c r="CNV10" s="29"/>
      <c r="COB10" s="10"/>
      <c r="COC10" s="36"/>
      <c r="COD10" s="37"/>
      <c r="COE10" s="37"/>
      <c r="COK10" s="2"/>
      <c r="COL10" s="29"/>
      <c r="COR10" s="10"/>
      <c r="COS10" s="36"/>
      <c r="COT10" s="37"/>
      <c r="COU10" s="37"/>
      <c r="CPA10" s="2"/>
      <c r="CPB10" s="29"/>
      <c r="CPH10" s="10"/>
      <c r="CPI10" s="36"/>
      <c r="CPJ10" s="37"/>
      <c r="CPK10" s="37"/>
      <c r="CPQ10" s="2"/>
      <c r="CPR10" s="29"/>
      <c r="CPX10" s="10"/>
      <c r="CPY10" s="36"/>
      <c r="CPZ10" s="37"/>
      <c r="CQA10" s="37"/>
      <c r="CQG10" s="2"/>
      <c r="CQH10" s="29"/>
      <c r="CQN10" s="10"/>
      <c r="CQO10" s="36"/>
      <c r="CQP10" s="37"/>
      <c r="CQQ10" s="37"/>
      <c r="CQW10" s="2"/>
      <c r="CQX10" s="29"/>
      <c r="CRD10" s="10"/>
      <c r="CRE10" s="36"/>
      <c r="CRF10" s="37"/>
      <c r="CRG10" s="37"/>
      <c r="CRM10" s="2"/>
      <c r="CRN10" s="29"/>
      <c r="CRT10" s="10"/>
      <c r="CRU10" s="36"/>
      <c r="CRV10" s="37"/>
      <c r="CRW10" s="37"/>
      <c r="CSC10" s="2"/>
      <c r="CSD10" s="29"/>
      <c r="CSJ10" s="10"/>
      <c r="CSK10" s="36"/>
      <c r="CSL10" s="37"/>
      <c r="CSM10" s="37"/>
      <c r="CSS10" s="2"/>
      <c r="CST10" s="29"/>
      <c r="CSZ10" s="10"/>
      <c r="CTA10" s="36"/>
      <c r="CTB10" s="37"/>
      <c r="CTC10" s="37"/>
      <c r="CTI10" s="2"/>
      <c r="CTJ10" s="29"/>
      <c r="CTP10" s="10"/>
      <c r="CTQ10" s="36"/>
      <c r="CTR10" s="37"/>
      <c r="CTS10" s="37"/>
      <c r="CTY10" s="2"/>
      <c r="CTZ10" s="29"/>
      <c r="CUF10" s="10"/>
      <c r="CUG10" s="36"/>
      <c r="CUH10" s="37"/>
      <c r="CUI10" s="37"/>
      <c r="CUO10" s="2"/>
      <c r="CUP10" s="29"/>
      <c r="CUV10" s="10"/>
      <c r="CUW10" s="36"/>
      <c r="CUX10" s="37"/>
      <c r="CUY10" s="37"/>
      <c r="CVE10" s="2"/>
      <c r="CVF10" s="29"/>
      <c r="CVL10" s="10"/>
      <c r="CVM10" s="36"/>
      <c r="CVN10" s="37"/>
      <c r="CVO10" s="37"/>
      <c r="CVU10" s="2"/>
      <c r="CVV10" s="29"/>
      <c r="CWB10" s="10"/>
      <c r="CWC10" s="36"/>
      <c r="CWD10" s="37"/>
      <c r="CWE10" s="37"/>
      <c r="CWK10" s="2"/>
      <c r="CWL10" s="29"/>
      <c r="CWR10" s="10"/>
      <c r="CWS10" s="36"/>
      <c r="CWT10" s="37"/>
      <c r="CWU10" s="37"/>
      <c r="CXA10" s="2"/>
      <c r="CXB10" s="29"/>
      <c r="CXH10" s="10"/>
      <c r="CXI10" s="36"/>
      <c r="CXJ10" s="37"/>
      <c r="CXK10" s="37"/>
      <c r="CXQ10" s="2"/>
      <c r="CXR10" s="29"/>
      <c r="CXX10" s="10"/>
      <c r="CXY10" s="36"/>
      <c r="CXZ10" s="37"/>
      <c r="CYA10" s="37"/>
      <c r="CYG10" s="2"/>
      <c r="CYH10" s="29"/>
      <c r="CYN10" s="10"/>
      <c r="CYO10" s="36"/>
      <c r="CYP10" s="37"/>
      <c r="CYQ10" s="37"/>
      <c r="CYW10" s="2"/>
      <c r="CYX10" s="29"/>
      <c r="CZD10" s="10"/>
      <c r="CZE10" s="36"/>
      <c r="CZF10" s="37"/>
      <c r="CZG10" s="37"/>
      <c r="CZM10" s="2"/>
      <c r="CZN10" s="29"/>
      <c r="CZT10" s="10"/>
      <c r="CZU10" s="36"/>
      <c r="CZV10" s="37"/>
      <c r="CZW10" s="37"/>
      <c r="DAC10" s="2"/>
      <c r="DAD10" s="29"/>
      <c r="DAJ10" s="10"/>
      <c r="DAK10" s="36"/>
      <c r="DAL10" s="37"/>
      <c r="DAM10" s="37"/>
      <c r="DAS10" s="2"/>
      <c r="DAT10" s="29"/>
      <c r="DAZ10" s="10"/>
      <c r="DBA10" s="36"/>
      <c r="DBB10" s="37"/>
      <c r="DBC10" s="37"/>
      <c r="DBI10" s="2"/>
      <c r="DBJ10" s="29"/>
      <c r="DBP10" s="10"/>
      <c r="DBQ10" s="36"/>
      <c r="DBR10" s="37"/>
      <c r="DBS10" s="37"/>
      <c r="DBY10" s="2"/>
      <c r="DBZ10" s="29"/>
      <c r="DCF10" s="10"/>
      <c r="DCG10" s="36"/>
      <c r="DCH10" s="37"/>
      <c r="DCI10" s="37"/>
      <c r="DCO10" s="2"/>
      <c r="DCP10" s="29"/>
      <c r="DCV10" s="10"/>
      <c r="DCW10" s="36"/>
      <c r="DCX10" s="37"/>
      <c r="DCY10" s="37"/>
      <c r="DDE10" s="2"/>
      <c r="DDF10" s="29"/>
      <c r="DDL10" s="10"/>
      <c r="DDM10" s="36"/>
      <c r="DDN10" s="37"/>
      <c r="DDO10" s="37"/>
      <c r="DDU10" s="2"/>
      <c r="DDV10" s="29"/>
      <c r="DEB10" s="10"/>
      <c r="DEC10" s="36"/>
      <c r="DED10" s="37"/>
      <c r="DEE10" s="37"/>
      <c r="DEK10" s="2"/>
      <c r="DEL10" s="29"/>
      <c r="DER10" s="10"/>
      <c r="DES10" s="36"/>
      <c r="DET10" s="37"/>
      <c r="DEU10" s="37"/>
      <c r="DFA10" s="2"/>
      <c r="DFB10" s="29"/>
      <c r="DFH10" s="10"/>
      <c r="DFI10" s="36"/>
      <c r="DFJ10" s="37"/>
      <c r="DFK10" s="37"/>
      <c r="DFQ10" s="2"/>
      <c r="DFR10" s="29"/>
      <c r="DFX10" s="10"/>
      <c r="DFY10" s="36"/>
      <c r="DFZ10" s="37"/>
      <c r="DGA10" s="37"/>
      <c r="DGG10" s="2"/>
      <c r="DGH10" s="29"/>
      <c r="DGN10" s="10"/>
      <c r="DGO10" s="36"/>
      <c r="DGP10" s="37"/>
      <c r="DGQ10" s="37"/>
      <c r="DGW10" s="2"/>
      <c r="DGX10" s="29"/>
      <c r="DHD10" s="10"/>
      <c r="DHE10" s="36"/>
      <c r="DHF10" s="37"/>
      <c r="DHG10" s="37"/>
      <c r="DHM10" s="2"/>
      <c r="DHN10" s="29"/>
      <c r="DHT10" s="10"/>
      <c r="DHU10" s="36"/>
      <c r="DHV10" s="37"/>
      <c r="DHW10" s="37"/>
      <c r="DIC10" s="2"/>
      <c r="DID10" s="29"/>
      <c r="DIJ10" s="10"/>
      <c r="DIK10" s="36"/>
      <c r="DIL10" s="37"/>
      <c r="DIM10" s="37"/>
      <c r="DIS10" s="2"/>
      <c r="DIT10" s="29"/>
      <c r="DIZ10" s="10"/>
      <c r="DJA10" s="36"/>
      <c r="DJB10" s="37"/>
      <c r="DJC10" s="37"/>
      <c r="DJI10" s="2"/>
      <c r="DJJ10" s="29"/>
      <c r="DJP10" s="10"/>
      <c r="DJQ10" s="36"/>
      <c r="DJR10" s="37"/>
      <c r="DJS10" s="37"/>
      <c r="DJY10" s="2"/>
      <c r="DJZ10" s="29"/>
      <c r="DKF10" s="10"/>
      <c r="DKG10" s="36"/>
      <c r="DKH10" s="37"/>
      <c r="DKI10" s="37"/>
      <c r="DKO10" s="2"/>
      <c r="DKP10" s="29"/>
      <c r="DKV10" s="10"/>
      <c r="DKW10" s="36"/>
      <c r="DKX10" s="37"/>
      <c r="DKY10" s="37"/>
      <c r="DLE10" s="2"/>
      <c r="DLF10" s="29"/>
      <c r="DLL10" s="10"/>
      <c r="DLM10" s="36"/>
      <c r="DLN10" s="37"/>
      <c r="DLO10" s="37"/>
      <c r="DLU10" s="2"/>
      <c r="DLV10" s="29"/>
      <c r="DMB10" s="10"/>
      <c r="DMC10" s="36"/>
      <c r="DMD10" s="37"/>
      <c r="DME10" s="37"/>
      <c r="DMK10" s="2"/>
      <c r="DML10" s="29"/>
      <c r="DMR10" s="10"/>
      <c r="DMS10" s="36"/>
      <c r="DMT10" s="37"/>
      <c r="DMU10" s="37"/>
      <c r="DNA10" s="2"/>
      <c r="DNB10" s="29"/>
      <c r="DNH10" s="10"/>
      <c r="DNI10" s="36"/>
      <c r="DNJ10" s="37"/>
      <c r="DNK10" s="37"/>
      <c r="DNQ10" s="2"/>
      <c r="DNR10" s="29"/>
      <c r="DNX10" s="10"/>
      <c r="DNY10" s="36"/>
      <c r="DNZ10" s="37"/>
      <c r="DOA10" s="37"/>
      <c r="DOG10" s="2"/>
      <c r="DOH10" s="29"/>
      <c r="DON10" s="10"/>
      <c r="DOO10" s="36"/>
      <c r="DOP10" s="37"/>
      <c r="DOQ10" s="37"/>
      <c r="DOW10" s="2"/>
      <c r="DOX10" s="29"/>
      <c r="DPD10" s="10"/>
      <c r="DPE10" s="36"/>
      <c r="DPF10" s="37"/>
      <c r="DPG10" s="37"/>
      <c r="DPM10" s="2"/>
      <c r="DPN10" s="29"/>
      <c r="DPT10" s="10"/>
      <c r="DPU10" s="36"/>
      <c r="DPV10" s="37"/>
      <c r="DPW10" s="37"/>
      <c r="DQC10" s="2"/>
      <c r="DQD10" s="29"/>
      <c r="DQJ10" s="10"/>
      <c r="DQK10" s="36"/>
      <c r="DQL10" s="37"/>
      <c r="DQM10" s="37"/>
      <c r="DQS10" s="2"/>
      <c r="DQT10" s="29"/>
      <c r="DQZ10" s="10"/>
      <c r="DRA10" s="36"/>
      <c r="DRB10" s="37"/>
      <c r="DRC10" s="37"/>
      <c r="DRI10" s="2"/>
      <c r="DRJ10" s="29"/>
      <c r="DRP10" s="10"/>
      <c r="DRQ10" s="36"/>
      <c r="DRR10" s="37"/>
      <c r="DRS10" s="37"/>
      <c r="DRY10" s="2"/>
      <c r="DRZ10" s="29"/>
      <c r="DSF10" s="10"/>
      <c r="DSG10" s="36"/>
      <c r="DSH10" s="37"/>
      <c r="DSI10" s="37"/>
      <c r="DSO10" s="2"/>
      <c r="DSP10" s="29"/>
      <c r="DSV10" s="10"/>
      <c r="DSW10" s="36"/>
      <c r="DSX10" s="37"/>
      <c r="DSY10" s="37"/>
      <c r="DTE10" s="2"/>
      <c r="DTF10" s="29"/>
      <c r="DTL10" s="10"/>
      <c r="DTM10" s="36"/>
      <c r="DTN10" s="37"/>
      <c r="DTO10" s="37"/>
      <c r="DTU10" s="2"/>
      <c r="DTV10" s="29"/>
      <c r="DUB10" s="10"/>
      <c r="DUC10" s="36"/>
      <c r="DUD10" s="37"/>
      <c r="DUE10" s="37"/>
      <c r="DUK10" s="2"/>
      <c r="DUL10" s="29"/>
      <c r="DUR10" s="10"/>
      <c r="DUS10" s="36"/>
      <c r="DUT10" s="37"/>
      <c r="DUU10" s="37"/>
      <c r="DVA10" s="2"/>
      <c r="DVB10" s="29"/>
      <c r="DVH10" s="10"/>
      <c r="DVI10" s="36"/>
      <c r="DVJ10" s="37"/>
      <c r="DVK10" s="37"/>
      <c r="DVQ10" s="2"/>
      <c r="DVR10" s="29"/>
      <c r="DVX10" s="10"/>
      <c r="DVY10" s="36"/>
      <c r="DVZ10" s="37"/>
      <c r="DWA10" s="37"/>
      <c r="DWG10" s="2"/>
      <c r="DWH10" s="29"/>
      <c r="DWN10" s="10"/>
      <c r="DWO10" s="36"/>
      <c r="DWP10" s="37"/>
      <c r="DWQ10" s="37"/>
      <c r="DWW10" s="2"/>
      <c r="DWX10" s="29"/>
      <c r="DXD10" s="10"/>
      <c r="DXE10" s="36"/>
      <c r="DXF10" s="37"/>
      <c r="DXG10" s="37"/>
      <c r="DXM10" s="2"/>
      <c r="DXN10" s="29"/>
      <c r="DXT10" s="10"/>
      <c r="DXU10" s="36"/>
      <c r="DXV10" s="37"/>
      <c r="DXW10" s="37"/>
      <c r="DYC10" s="2"/>
      <c r="DYD10" s="29"/>
      <c r="DYJ10" s="10"/>
      <c r="DYK10" s="36"/>
      <c r="DYL10" s="37"/>
      <c r="DYM10" s="37"/>
      <c r="DYS10" s="2"/>
      <c r="DYT10" s="29"/>
      <c r="DYZ10" s="10"/>
      <c r="DZA10" s="36"/>
      <c r="DZB10" s="37"/>
      <c r="DZC10" s="37"/>
      <c r="DZI10" s="2"/>
      <c r="DZJ10" s="29"/>
      <c r="DZP10" s="10"/>
      <c r="DZQ10" s="36"/>
      <c r="DZR10" s="37"/>
      <c r="DZS10" s="37"/>
      <c r="DZY10" s="2"/>
      <c r="DZZ10" s="29"/>
      <c r="EAF10" s="10"/>
      <c r="EAG10" s="36"/>
      <c r="EAH10" s="37"/>
      <c r="EAI10" s="37"/>
      <c r="EAO10" s="2"/>
      <c r="EAP10" s="29"/>
      <c r="EAV10" s="10"/>
      <c r="EAW10" s="36"/>
      <c r="EAX10" s="37"/>
      <c r="EAY10" s="37"/>
      <c r="EBE10" s="2"/>
      <c r="EBF10" s="29"/>
      <c r="EBL10" s="10"/>
      <c r="EBM10" s="36"/>
      <c r="EBN10" s="37"/>
      <c r="EBO10" s="37"/>
      <c r="EBU10" s="2"/>
      <c r="EBV10" s="29"/>
      <c r="ECB10" s="10"/>
      <c r="ECC10" s="36"/>
      <c r="ECD10" s="37"/>
      <c r="ECE10" s="37"/>
      <c r="ECK10" s="2"/>
      <c r="ECL10" s="29"/>
      <c r="ECR10" s="10"/>
      <c r="ECS10" s="36"/>
      <c r="ECT10" s="37"/>
      <c r="ECU10" s="37"/>
      <c r="EDA10" s="2"/>
      <c r="EDB10" s="29"/>
      <c r="EDH10" s="10"/>
      <c r="EDI10" s="36"/>
      <c r="EDJ10" s="37"/>
      <c r="EDK10" s="37"/>
      <c r="EDQ10" s="2"/>
      <c r="EDR10" s="29"/>
      <c r="EDX10" s="10"/>
      <c r="EDY10" s="36"/>
      <c r="EDZ10" s="37"/>
      <c r="EEA10" s="37"/>
      <c r="EEG10" s="2"/>
      <c r="EEH10" s="29"/>
      <c r="EEN10" s="10"/>
      <c r="EEO10" s="36"/>
      <c r="EEP10" s="37"/>
      <c r="EEQ10" s="37"/>
      <c r="EEW10" s="2"/>
      <c r="EEX10" s="29"/>
      <c r="EFD10" s="10"/>
      <c r="EFE10" s="36"/>
      <c r="EFF10" s="37"/>
      <c r="EFG10" s="37"/>
      <c r="EFM10" s="2"/>
      <c r="EFN10" s="29"/>
      <c r="EFT10" s="10"/>
      <c r="EFU10" s="36"/>
      <c r="EFV10" s="37"/>
      <c r="EFW10" s="37"/>
      <c r="EGC10" s="2"/>
      <c r="EGD10" s="29"/>
      <c r="EGJ10" s="10"/>
      <c r="EGK10" s="36"/>
      <c r="EGL10" s="37"/>
      <c r="EGM10" s="37"/>
      <c r="EGS10" s="2"/>
      <c r="EGT10" s="29"/>
      <c r="EGZ10" s="10"/>
      <c r="EHA10" s="36"/>
      <c r="EHB10" s="37"/>
      <c r="EHC10" s="37"/>
      <c r="EHI10" s="2"/>
      <c r="EHJ10" s="29"/>
      <c r="EHP10" s="10"/>
      <c r="EHQ10" s="36"/>
      <c r="EHR10" s="37"/>
      <c r="EHS10" s="37"/>
      <c r="EHY10" s="2"/>
      <c r="EHZ10" s="29"/>
      <c r="EIF10" s="10"/>
      <c r="EIG10" s="36"/>
      <c r="EIH10" s="37"/>
      <c r="EII10" s="37"/>
      <c r="EIO10" s="2"/>
      <c r="EIP10" s="29"/>
      <c r="EIV10" s="10"/>
      <c r="EIW10" s="36"/>
      <c r="EIX10" s="37"/>
      <c r="EIY10" s="37"/>
      <c r="EJE10" s="2"/>
      <c r="EJF10" s="29"/>
      <c r="EJL10" s="10"/>
      <c r="EJM10" s="36"/>
      <c r="EJN10" s="37"/>
      <c r="EJO10" s="37"/>
      <c r="EJU10" s="2"/>
      <c r="EJV10" s="29"/>
      <c r="EKB10" s="10"/>
      <c r="EKC10" s="36"/>
      <c r="EKD10" s="37"/>
      <c r="EKE10" s="37"/>
      <c r="EKK10" s="2"/>
      <c r="EKL10" s="29"/>
      <c r="EKR10" s="10"/>
      <c r="EKS10" s="36"/>
      <c r="EKT10" s="37"/>
      <c r="EKU10" s="37"/>
      <c r="ELA10" s="2"/>
      <c r="ELB10" s="29"/>
      <c r="ELH10" s="10"/>
      <c r="ELI10" s="36"/>
      <c r="ELJ10" s="37"/>
      <c r="ELK10" s="37"/>
      <c r="ELQ10" s="2"/>
      <c r="ELR10" s="29"/>
      <c r="ELX10" s="10"/>
      <c r="ELY10" s="36"/>
      <c r="ELZ10" s="37"/>
      <c r="EMA10" s="37"/>
      <c r="EMG10" s="2"/>
      <c r="EMH10" s="29"/>
      <c r="EMN10" s="10"/>
      <c r="EMO10" s="36"/>
      <c r="EMP10" s="37"/>
      <c r="EMQ10" s="37"/>
      <c r="EMW10" s="2"/>
      <c r="EMX10" s="29"/>
      <c r="END10" s="10"/>
      <c r="ENE10" s="36"/>
      <c r="ENF10" s="37"/>
      <c r="ENG10" s="37"/>
      <c r="ENM10" s="2"/>
      <c r="ENN10" s="29"/>
      <c r="ENT10" s="10"/>
      <c r="ENU10" s="36"/>
      <c r="ENV10" s="37"/>
      <c r="ENW10" s="37"/>
      <c r="EOC10" s="2"/>
      <c r="EOD10" s="29"/>
      <c r="EOJ10" s="10"/>
      <c r="EOK10" s="36"/>
      <c r="EOL10" s="37"/>
      <c r="EOM10" s="37"/>
      <c r="EOS10" s="2"/>
      <c r="EOT10" s="29"/>
      <c r="EOZ10" s="10"/>
      <c r="EPA10" s="36"/>
      <c r="EPB10" s="37"/>
      <c r="EPC10" s="37"/>
      <c r="EPI10" s="2"/>
      <c r="EPJ10" s="29"/>
      <c r="EPP10" s="10"/>
      <c r="EPQ10" s="36"/>
      <c r="EPR10" s="37"/>
      <c r="EPS10" s="37"/>
      <c r="EPY10" s="2"/>
      <c r="EPZ10" s="29"/>
      <c r="EQF10" s="10"/>
      <c r="EQG10" s="36"/>
      <c r="EQH10" s="37"/>
      <c r="EQI10" s="37"/>
      <c r="EQO10" s="2"/>
      <c r="EQP10" s="29"/>
      <c r="EQV10" s="10"/>
      <c r="EQW10" s="36"/>
      <c r="EQX10" s="37"/>
      <c r="EQY10" s="37"/>
      <c r="ERE10" s="2"/>
      <c r="ERF10" s="29"/>
      <c r="ERL10" s="10"/>
      <c r="ERM10" s="36"/>
      <c r="ERN10" s="37"/>
      <c r="ERO10" s="37"/>
      <c r="ERU10" s="2"/>
      <c r="ERV10" s="29"/>
      <c r="ESB10" s="10"/>
      <c r="ESC10" s="36"/>
      <c r="ESD10" s="37"/>
      <c r="ESE10" s="37"/>
      <c r="ESK10" s="2"/>
      <c r="ESL10" s="29"/>
      <c r="ESR10" s="10"/>
      <c r="ESS10" s="36"/>
      <c r="EST10" s="37"/>
      <c r="ESU10" s="37"/>
      <c r="ETA10" s="2"/>
      <c r="ETB10" s="29"/>
      <c r="ETH10" s="10"/>
      <c r="ETI10" s="36"/>
      <c r="ETJ10" s="37"/>
      <c r="ETK10" s="37"/>
      <c r="ETQ10" s="2"/>
      <c r="ETR10" s="29"/>
      <c r="ETX10" s="10"/>
      <c r="ETY10" s="36"/>
      <c r="ETZ10" s="37"/>
      <c r="EUA10" s="37"/>
      <c r="EUG10" s="2"/>
      <c r="EUH10" s="29"/>
      <c r="EUN10" s="10"/>
      <c r="EUO10" s="36"/>
      <c r="EUP10" s="37"/>
      <c r="EUQ10" s="37"/>
      <c r="EUW10" s="2"/>
      <c r="EUX10" s="29"/>
      <c r="EVD10" s="10"/>
      <c r="EVE10" s="36"/>
      <c r="EVF10" s="37"/>
      <c r="EVG10" s="37"/>
      <c r="EVM10" s="2"/>
      <c r="EVN10" s="29"/>
      <c r="EVT10" s="10"/>
      <c r="EVU10" s="36"/>
      <c r="EVV10" s="37"/>
      <c r="EVW10" s="37"/>
      <c r="EWC10" s="2"/>
      <c r="EWD10" s="29"/>
      <c r="EWJ10" s="10"/>
      <c r="EWK10" s="36"/>
      <c r="EWL10" s="37"/>
      <c r="EWM10" s="37"/>
      <c r="EWS10" s="2"/>
      <c r="EWT10" s="29"/>
      <c r="EWZ10" s="10"/>
      <c r="EXA10" s="36"/>
      <c r="EXB10" s="37"/>
      <c r="EXC10" s="37"/>
      <c r="EXI10" s="2"/>
      <c r="EXJ10" s="29"/>
      <c r="EXP10" s="10"/>
      <c r="EXQ10" s="36"/>
      <c r="EXR10" s="37"/>
      <c r="EXS10" s="37"/>
      <c r="EXY10" s="2"/>
      <c r="EXZ10" s="29"/>
      <c r="EYF10" s="10"/>
      <c r="EYG10" s="36"/>
      <c r="EYH10" s="37"/>
      <c r="EYI10" s="37"/>
      <c r="EYO10" s="2"/>
      <c r="EYP10" s="29"/>
      <c r="EYV10" s="10"/>
      <c r="EYW10" s="36"/>
      <c r="EYX10" s="37"/>
      <c r="EYY10" s="37"/>
      <c r="EZE10" s="2"/>
      <c r="EZF10" s="29"/>
      <c r="EZL10" s="10"/>
      <c r="EZM10" s="36"/>
      <c r="EZN10" s="37"/>
      <c r="EZO10" s="37"/>
      <c r="EZU10" s="2"/>
      <c r="EZV10" s="29"/>
      <c r="FAB10" s="10"/>
      <c r="FAC10" s="36"/>
      <c r="FAD10" s="37"/>
      <c r="FAE10" s="37"/>
      <c r="FAK10" s="2"/>
      <c r="FAL10" s="29"/>
      <c r="FAR10" s="10"/>
      <c r="FAS10" s="36"/>
      <c r="FAT10" s="37"/>
      <c r="FAU10" s="37"/>
      <c r="FBA10" s="2"/>
      <c r="FBB10" s="29"/>
      <c r="FBH10" s="10"/>
      <c r="FBI10" s="36"/>
      <c r="FBJ10" s="37"/>
      <c r="FBK10" s="37"/>
      <c r="FBQ10" s="2"/>
      <c r="FBR10" s="29"/>
      <c r="FBX10" s="10"/>
      <c r="FBY10" s="36"/>
      <c r="FBZ10" s="37"/>
      <c r="FCA10" s="37"/>
      <c r="FCG10" s="2"/>
      <c r="FCH10" s="29"/>
      <c r="FCN10" s="10"/>
      <c r="FCO10" s="36"/>
      <c r="FCP10" s="37"/>
      <c r="FCQ10" s="37"/>
      <c r="FCW10" s="2"/>
      <c r="FCX10" s="29"/>
      <c r="FDD10" s="10"/>
      <c r="FDE10" s="36"/>
      <c r="FDF10" s="37"/>
      <c r="FDG10" s="37"/>
      <c r="FDM10" s="2"/>
      <c r="FDN10" s="29"/>
      <c r="FDT10" s="10"/>
      <c r="FDU10" s="36"/>
      <c r="FDV10" s="37"/>
      <c r="FDW10" s="37"/>
      <c r="FEC10" s="2"/>
      <c r="FED10" s="29"/>
      <c r="FEJ10" s="10"/>
      <c r="FEK10" s="36"/>
      <c r="FEL10" s="37"/>
      <c r="FEM10" s="37"/>
      <c r="FES10" s="2"/>
      <c r="FET10" s="29"/>
      <c r="FEZ10" s="10"/>
      <c r="FFA10" s="36"/>
      <c r="FFB10" s="37"/>
      <c r="FFC10" s="37"/>
      <c r="FFI10" s="2"/>
      <c r="FFJ10" s="29"/>
      <c r="FFP10" s="10"/>
      <c r="FFQ10" s="36"/>
      <c r="FFR10" s="37"/>
      <c r="FFS10" s="37"/>
      <c r="FFY10" s="2"/>
      <c r="FFZ10" s="29"/>
      <c r="FGF10" s="10"/>
      <c r="FGG10" s="36"/>
      <c r="FGH10" s="37"/>
      <c r="FGI10" s="37"/>
      <c r="FGO10" s="2"/>
      <c r="FGP10" s="29"/>
      <c r="FGV10" s="10"/>
      <c r="FGW10" s="36"/>
      <c r="FGX10" s="37"/>
      <c r="FGY10" s="37"/>
      <c r="FHE10" s="2"/>
      <c r="FHF10" s="29"/>
      <c r="FHL10" s="10"/>
      <c r="FHM10" s="36"/>
      <c r="FHN10" s="37"/>
      <c r="FHO10" s="37"/>
      <c r="FHU10" s="2"/>
      <c r="FHV10" s="29"/>
      <c r="FIB10" s="10"/>
      <c r="FIC10" s="36"/>
      <c r="FID10" s="37"/>
      <c r="FIE10" s="37"/>
      <c r="FIK10" s="2"/>
      <c r="FIL10" s="29"/>
      <c r="FIR10" s="10"/>
      <c r="FIS10" s="36"/>
      <c r="FIT10" s="37"/>
      <c r="FIU10" s="37"/>
      <c r="FJA10" s="2"/>
      <c r="FJB10" s="29"/>
      <c r="FJH10" s="10"/>
      <c r="FJI10" s="36"/>
      <c r="FJJ10" s="37"/>
      <c r="FJK10" s="37"/>
      <c r="FJQ10" s="2"/>
      <c r="FJR10" s="29"/>
      <c r="FJX10" s="10"/>
      <c r="FJY10" s="36"/>
      <c r="FJZ10" s="37"/>
      <c r="FKA10" s="37"/>
      <c r="FKG10" s="2"/>
      <c r="FKH10" s="29"/>
      <c r="FKN10" s="10"/>
      <c r="FKO10" s="36"/>
      <c r="FKP10" s="37"/>
      <c r="FKQ10" s="37"/>
      <c r="FKW10" s="2"/>
      <c r="FKX10" s="29"/>
      <c r="FLD10" s="10"/>
      <c r="FLE10" s="36"/>
      <c r="FLF10" s="37"/>
      <c r="FLG10" s="37"/>
      <c r="FLM10" s="2"/>
      <c r="FLN10" s="29"/>
      <c r="FLT10" s="10"/>
      <c r="FLU10" s="36"/>
      <c r="FLV10" s="37"/>
      <c r="FLW10" s="37"/>
      <c r="FMC10" s="2"/>
      <c r="FMD10" s="29"/>
      <c r="FMJ10" s="10"/>
      <c r="FMK10" s="36"/>
      <c r="FML10" s="37"/>
      <c r="FMM10" s="37"/>
      <c r="FMS10" s="2"/>
      <c r="FMT10" s="29"/>
      <c r="FMZ10" s="10"/>
      <c r="FNA10" s="36"/>
      <c r="FNB10" s="37"/>
      <c r="FNC10" s="37"/>
      <c r="FNI10" s="2"/>
      <c r="FNJ10" s="29"/>
      <c r="FNP10" s="10"/>
      <c r="FNQ10" s="36"/>
      <c r="FNR10" s="37"/>
      <c r="FNS10" s="37"/>
      <c r="FNY10" s="2"/>
      <c r="FNZ10" s="29"/>
      <c r="FOF10" s="10"/>
      <c r="FOG10" s="36"/>
      <c r="FOH10" s="37"/>
      <c r="FOI10" s="37"/>
      <c r="FOO10" s="2"/>
      <c r="FOP10" s="29"/>
      <c r="FOV10" s="10"/>
      <c r="FOW10" s="36"/>
      <c r="FOX10" s="37"/>
      <c r="FOY10" s="37"/>
      <c r="FPE10" s="2"/>
      <c r="FPF10" s="29"/>
      <c r="FPL10" s="10"/>
      <c r="FPM10" s="36"/>
      <c r="FPN10" s="37"/>
      <c r="FPO10" s="37"/>
      <c r="FPU10" s="2"/>
      <c r="FPV10" s="29"/>
      <c r="FQB10" s="10"/>
      <c r="FQC10" s="36"/>
      <c r="FQD10" s="37"/>
      <c r="FQE10" s="37"/>
      <c r="FQK10" s="2"/>
      <c r="FQL10" s="29"/>
      <c r="FQR10" s="10"/>
      <c r="FQS10" s="36"/>
      <c r="FQT10" s="37"/>
      <c r="FQU10" s="37"/>
      <c r="FRA10" s="2"/>
      <c r="FRB10" s="29"/>
      <c r="FRH10" s="10"/>
      <c r="FRI10" s="36"/>
      <c r="FRJ10" s="37"/>
      <c r="FRK10" s="37"/>
      <c r="FRQ10" s="2"/>
      <c r="FRR10" s="29"/>
      <c r="FRX10" s="10"/>
      <c r="FRY10" s="36"/>
      <c r="FRZ10" s="37"/>
      <c r="FSA10" s="37"/>
      <c r="FSG10" s="2"/>
      <c r="FSH10" s="29"/>
      <c r="FSN10" s="10"/>
      <c r="FSO10" s="36"/>
      <c r="FSP10" s="37"/>
      <c r="FSQ10" s="37"/>
      <c r="FSW10" s="2"/>
      <c r="FSX10" s="29"/>
      <c r="FTD10" s="10"/>
      <c r="FTE10" s="36"/>
      <c r="FTF10" s="37"/>
      <c r="FTG10" s="37"/>
      <c r="FTM10" s="2"/>
      <c r="FTN10" s="29"/>
      <c r="FTT10" s="10"/>
      <c r="FTU10" s="36"/>
      <c r="FTV10" s="37"/>
      <c r="FTW10" s="37"/>
      <c r="FUC10" s="2"/>
      <c r="FUD10" s="29"/>
      <c r="FUJ10" s="10"/>
      <c r="FUK10" s="36"/>
      <c r="FUL10" s="37"/>
      <c r="FUM10" s="37"/>
      <c r="FUS10" s="2"/>
      <c r="FUT10" s="29"/>
      <c r="FUZ10" s="10"/>
      <c r="FVA10" s="36"/>
      <c r="FVB10" s="37"/>
      <c r="FVC10" s="37"/>
      <c r="FVI10" s="2"/>
      <c r="FVJ10" s="29"/>
      <c r="FVP10" s="10"/>
      <c r="FVQ10" s="36"/>
      <c r="FVR10" s="37"/>
      <c r="FVS10" s="37"/>
      <c r="FVY10" s="2"/>
      <c r="FVZ10" s="29"/>
      <c r="FWF10" s="10"/>
      <c r="FWG10" s="36"/>
      <c r="FWH10" s="37"/>
      <c r="FWI10" s="37"/>
      <c r="FWO10" s="2"/>
      <c r="FWP10" s="29"/>
      <c r="FWV10" s="10"/>
      <c r="FWW10" s="36"/>
      <c r="FWX10" s="37"/>
      <c r="FWY10" s="37"/>
      <c r="FXE10" s="2"/>
      <c r="FXF10" s="29"/>
      <c r="FXL10" s="10"/>
      <c r="FXM10" s="36"/>
      <c r="FXN10" s="37"/>
      <c r="FXO10" s="37"/>
      <c r="FXU10" s="2"/>
      <c r="FXV10" s="29"/>
      <c r="FYB10" s="10"/>
      <c r="FYC10" s="36"/>
      <c r="FYD10" s="37"/>
      <c r="FYE10" s="37"/>
      <c r="FYK10" s="2"/>
      <c r="FYL10" s="29"/>
      <c r="FYR10" s="10"/>
      <c r="FYS10" s="36"/>
      <c r="FYT10" s="37"/>
      <c r="FYU10" s="37"/>
      <c r="FZA10" s="2"/>
      <c r="FZB10" s="29"/>
      <c r="FZH10" s="10"/>
      <c r="FZI10" s="36"/>
      <c r="FZJ10" s="37"/>
      <c r="FZK10" s="37"/>
      <c r="FZQ10" s="2"/>
      <c r="FZR10" s="29"/>
      <c r="FZX10" s="10"/>
      <c r="FZY10" s="36"/>
      <c r="FZZ10" s="37"/>
      <c r="GAA10" s="37"/>
      <c r="GAG10" s="2"/>
      <c r="GAH10" s="29"/>
      <c r="GAN10" s="10"/>
      <c r="GAO10" s="36"/>
      <c r="GAP10" s="37"/>
      <c r="GAQ10" s="37"/>
      <c r="GAW10" s="2"/>
      <c r="GAX10" s="29"/>
      <c r="GBD10" s="10"/>
      <c r="GBE10" s="36"/>
      <c r="GBF10" s="37"/>
      <c r="GBG10" s="37"/>
      <c r="GBM10" s="2"/>
      <c r="GBN10" s="29"/>
      <c r="GBT10" s="10"/>
      <c r="GBU10" s="36"/>
      <c r="GBV10" s="37"/>
      <c r="GBW10" s="37"/>
      <c r="GCC10" s="2"/>
      <c r="GCD10" s="29"/>
      <c r="GCJ10" s="10"/>
      <c r="GCK10" s="36"/>
      <c r="GCL10" s="37"/>
      <c r="GCM10" s="37"/>
      <c r="GCS10" s="2"/>
      <c r="GCT10" s="29"/>
      <c r="GCZ10" s="10"/>
      <c r="GDA10" s="36"/>
      <c r="GDB10" s="37"/>
      <c r="GDC10" s="37"/>
      <c r="GDI10" s="2"/>
      <c r="GDJ10" s="29"/>
      <c r="GDP10" s="10"/>
      <c r="GDQ10" s="36"/>
      <c r="GDR10" s="37"/>
      <c r="GDS10" s="37"/>
      <c r="GDY10" s="2"/>
      <c r="GDZ10" s="29"/>
      <c r="GEF10" s="10"/>
      <c r="GEG10" s="36"/>
      <c r="GEH10" s="37"/>
      <c r="GEI10" s="37"/>
      <c r="GEO10" s="2"/>
      <c r="GEP10" s="29"/>
      <c r="GEV10" s="10"/>
      <c r="GEW10" s="36"/>
      <c r="GEX10" s="37"/>
      <c r="GEY10" s="37"/>
      <c r="GFE10" s="2"/>
      <c r="GFF10" s="29"/>
      <c r="GFL10" s="10"/>
      <c r="GFM10" s="36"/>
      <c r="GFN10" s="37"/>
      <c r="GFO10" s="37"/>
      <c r="GFU10" s="2"/>
      <c r="GFV10" s="29"/>
      <c r="GGB10" s="10"/>
      <c r="GGC10" s="36"/>
      <c r="GGD10" s="37"/>
      <c r="GGE10" s="37"/>
      <c r="GGK10" s="2"/>
      <c r="GGL10" s="29"/>
      <c r="GGR10" s="10"/>
      <c r="GGS10" s="36"/>
      <c r="GGT10" s="37"/>
      <c r="GGU10" s="37"/>
      <c r="GHA10" s="2"/>
      <c r="GHB10" s="29"/>
      <c r="GHH10" s="10"/>
      <c r="GHI10" s="36"/>
      <c r="GHJ10" s="37"/>
      <c r="GHK10" s="37"/>
      <c r="GHQ10" s="2"/>
      <c r="GHR10" s="29"/>
      <c r="GHX10" s="10"/>
      <c r="GHY10" s="36"/>
      <c r="GHZ10" s="37"/>
      <c r="GIA10" s="37"/>
      <c r="GIG10" s="2"/>
      <c r="GIH10" s="29"/>
      <c r="GIN10" s="10"/>
      <c r="GIO10" s="36"/>
      <c r="GIP10" s="37"/>
      <c r="GIQ10" s="37"/>
      <c r="GIW10" s="2"/>
      <c r="GIX10" s="29"/>
      <c r="GJD10" s="10"/>
      <c r="GJE10" s="36"/>
      <c r="GJF10" s="37"/>
      <c r="GJG10" s="37"/>
      <c r="GJM10" s="2"/>
      <c r="GJN10" s="29"/>
      <c r="GJT10" s="10"/>
      <c r="GJU10" s="36"/>
      <c r="GJV10" s="37"/>
      <c r="GJW10" s="37"/>
      <c r="GKC10" s="2"/>
      <c r="GKD10" s="29"/>
      <c r="GKJ10" s="10"/>
      <c r="GKK10" s="36"/>
      <c r="GKL10" s="37"/>
      <c r="GKM10" s="37"/>
      <c r="GKS10" s="2"/>
      <c r="GKT10" s="29"/>
      <c r="GKZ10" s="10"/>
      <c r="GLA10" s="36"/>
      <c r="GLB10" s="37"/>
      <c r="GLC10" s="37"/>
      <c r="GLI10" s="2"/>
      <c r="GLJ10" s="29"/>
      <c r="GLP10" s="10"/>
      <c r="GLQ10" s="36"/>
      <c r="GLR10" s="37"/>
      <c r="GLS10" s="37"/>
      <c r="GLY10" s="2"/>
      <c r="GLZ10" s="29"/>
      <c r="GMF10" s="10"/>
      <c r="GMG10" s="36"/>
      <c r="GMH10" s="37"/>
      <c r="GMI10" s="37"/>
      <c r="GMO10" s="2"/>
      <c r="GMP10" s="29"/>
      <c r="GMV10" s="10"/>
      <c r="GMW10" s="36"/>
      <c r="GMX10" s="37"/>
      <c r="GMY10" s="37"/>
      <c r="GNE10" s="2"/>
      <c r="GNF10" s="29"/>
      <c r="GNL10" s="10"/>
      <c r="GNM10" s="36"/>
      <c r="GNN10" s="37"/>
      <c r="GNO10" s="37"/>
      <c r="GNU10" s="2"/>
      <c r="GNV10" s="29"/>
      <c r="GOB10" s="10"/>
      <c r="GOC10" s="36"/>
      <c r="GOD10" s="37"/>
      <c r="GOE10" s="37"/>
      <c r="GOK10" s="2"/>
      <c r="GOL10" s="29"/>
      <c r="GOR10" s="10"/>
      <c r="GOS10" s="36"/>
      <c r="GOT10" s="37"/>
      <c r="GOU10" s="37"/>
      <c r="GPA10" s="2"/>
      <c r="GPB10" s="29"/>
      <c r="GPH10" s="10"/>
      <c r="GPI10" s="36"/>
      <c r="GPJ10" s="37"/>
      <c r="GPK10" s="37"/>
      <c r="GPQ10" s="2"/>
      <c r="GPR10" s="29"/>
      <c r="GPX10" s="10"/>
      <c r="GPY10" s="36"/>
      <c r="GPZ10" s="37"/>
      <c r="GQA10" s="37"/>
      <c r="GQG10" s="2"/>
      <c r="GQH10" s="29"/>
      <c r="GQN10" s="10"/>
      <c r="GQO10" s="36"/>
      <c r="GQP10" s="37"/>
      <c r="GQQ10" s="37"/>
      <c r="GQW10" s="2"/>
      <c r="GQX10" s="29"/>
      <c r="GRD10" s="10"/>
      <c r="GRE10" s="36"/>
      <c r="GRF10" s="37"/>
      <c r="GRG10" s="37"/>
      <c r="GRM10" s="2"/>
      <c r="GRN10" s="29"/>
      <c r="GRT10" s="10"/>
      <c r="GRU10" s="36"/>
      <c r="GRV10" s="37"/>
      <c r="GRW10" s="37"/>
      <c r="GSC10" s="2"/>
      <c r="GSD10" s="29"/>
      <c r="GSJ10" s="10"/>
      <c r="GSK10" s="36"/>
      <c r="GSL10" s="37"/>
      <c r="GSM10" s="37"/>
      <c r="GSS10" s="2"/>
      <c r="GST10" s="29"/>
      <c r="GSZ10" s="10"/>
      <c r="GTA10" s="36"/>
      <c r="GTB10" s="37"/>
      <c r="GTC10" s="37"/>
      <c r="GTI10" s="2"/>
      <c r="GTJ10" s="29"/>
      <c r="GTP10" s="10"/>
      <c r="GTQ10" s="36"/>
      <c r="GTR10" s="37"/>
      <c r="GTS10" s="37"/>
      <c r="GTY10" s="2"/>
      <c r="GTZ10" s="29"/>
      <c r="GUF10" s="10"/>
      <c r="GUG10" s="36"/>
      <c r="GUH10" s="37"/>
      <c r="GUI10" s="37"/>
      <c r="GUO10" s="2"/>
      <c r="GUP10" s="29"/>
      <c r="GUV10" s="10"/>
      <c r="GUW10" s="36"/>
      <c r="GUX10" s="37"/>
      <c r="GUY10" s="37"/>
      <c r="GVE10" s="2"/>
      <c r="GVF10" s="29"/>
      <c r="GVL10" s="10"/>
      <c r="GVM10" s="36"/>
      <c r="GVN10" s="37"/>
      <c r="GVO10" s="37"/>
      <c r="GVU10" s="2"/>
      <c r="GVV10" s="29"/>
      <c r="GWB10" s="10"/>
      <c r="GWC10" s="36"/>
      <c r="GWD10" s="37"/>
      <c r="GWE10" s="37"/>
      <c r="GWK10" s="2"/>
      <c r="GWL10" s="29"/>
      <c r="GWR10" s="10"/>
      <c r="GWS10" s="36"/>
      <c r="GWT10" s="37"/>
      <c r="GWU10" s="37"/>
      <c r="GXA10" s="2"/>
      <c r="GXB10" s="29"/>
      <c r="GXH10" s="10"/>
      <c r="GXI10" s="36"/>
      <c r="GXJ10" s="37"/>
      <c r="GXK10" s="37"/>
      <c r="GXQ10" s="2"/>
      <c r="GXR10" s="29"/>
      <c r="GXX10" s="10"/>
      <c r="GXY10" s="36"/>
      <c r="GXZ10" s="37"/>
      <c r="GYA10" s="37"/>
      <c r="GYG10" s="2"/>
      <c r="GYH10" s="29"/>
      <c r="GYN10" s="10"/>
      <c r="GYO10" s="36"/>
      <c r="GYP10" s="37"/>
      <c r="GYQ10" s="37"/>
      <c r="GYW10" s="2"/>
      <c r="GYX10" s="29"/>
      <c r="GZD10" s="10"/>
      <c r="GZE10" s="36"/>
      <c r="GZF10" s="37"/>
      <c r="GZG10" s="37"/>
      <c r="GZM10" s="2"/>
      <c r="GZN10" s="29"/>
      <c r="GZT10" s="10"/>
      <c r="GZU10" s="36"/>
      <c r="GZV10" s="37"/>
      <c r="GZW10" s="37"/>
      <c r="HAC10" s="2"/>
      <c r="HAD10" s="29"/>
      <c r="HAJ10" s="10"/>
      <c r="HAK10" s="36"/>
      <c r="HAL10" s="37"/>
      <c r="HAM10" s="37"/>
      <c r="HAS10" s="2"/>
      <c r="HAT10" s="29"/>
      <c r="HAZ10" s="10"/>
      <c r="HBA10" s="36"/>
      <c r="HBB10" s="37"/>
      <c r="HBC10" s="37"/>
      <c r="HBI10" s="2"/>
      <c r="HBJ10" s="29"/>
      <c r="HBP10" s="10"/>
      <c r="HBQ10" s="36"/>
      <c r="HBR10" s="37"/>
      <c r="HBS10" s="37"/>
      <c r="HBY10" s="2"/>
      <c r="HBZ10" s="29"/>
      <c r="HCF10" s="10"/>
      <c r="HCG10" s="36"/>
      <c r="HCH10" s="37"/>
      <c r="HCI10" s="37"/>
      <c r="HCO10" s="2"/>
      <c r="HCP10" s="29"/>
      <c r="HCV10" s="10"/>
      <c r="HCW10" s="36"/>
      <c r="HCX10" s="37"/>
      <c r="HCY10" s="37"/>
      <c r="HDE10" s="2"/>
      <c r="HDF10" s="29"/>
      <c r="HDL10" s="10"/>
      <c r="HDM10" s="36"/>
      <c r="HDN10" s="37"/>
      <c r="HDO10" s="37"/>
      <c r="HDU10" s="2"/>
      <c r="HDV10" s="29"/>
      <c r="HEB10" s="10"/>
      <c r="HEC10" s="36"/>
      <c r="HED10" s="37"/>
      <c r="HEE10" s="37"/>
      <c r="HEK10" s="2"/>
      <c r="HEL10" s="29"/>
      <c r="HER10" s="10"/>
      <c r="HES10" s="36"/>
      <c r="HET10" s="37"/>
      <c r="HEU10" s="37"/>
      <c r="HFA10" s="2"/>
      <c r="HFB10" s="29"/>
      <c r="HFH10" s="10"/>
      <c r="HFI10" s="36"/>
      <c r="HFJ10" s="37"/>
      <c r="HFK10" s="37"/>
      <c r="HFQ10" s="2"/>
      <c r="HFR10" s="29"/>
      <c r="HFX10" s="10"/>
      <c r="HFY10" s="36"/>
      <c r="HFZ10" s="37"/>
      <c r="HGA10" s="37"/>
      <c r="HGG10" s="2"/>
      <c r="HGH10" s="29"/>
      <c r="HGN10" s="10"/>
      <c r="HGO10" s="36"/>
      <c r="HGP10" s="37"/>
      <c r="HGQ10" s="37"/>
      <c r="HGW10" s="2"/>
      <c r="HGX10" s="29"/>
      <c r="HHD10" s="10"/>
      <c r="HHE10" s="36"/>
      <c r="HHF10" s="37"/>
      <c r="HHG10" s="37"/>
      <c r="HHM10" s="2"/>
      <c r="HHN10" s="29"/>
      <c r="HHT10" s="10"/>
      <c r="HHU10" s="36"/>
      <c r="HHV10" s="37"/>
      <c r="HHW10" s="37"/>
      <c r="HIC10" s="2"/>
      <c r="HID10" s="29"/>
      <c r="HIJ10" s="10"/>
      <c r="HIK10" s="36"/>
      <c r="HIL10" s="37"/>
      <c r="HIM10" s="37"/>
      <c r="HIS10" s="2"/>
      <c r="HIT10" s="29"/>
      <c r="HIZ10" s="10"/>
      <c r="HJA10" s="36"/>
      <c r="HJB10" s="37"/>
      <c r="HJC10" s="37"/>
      <c r="HJI10" s="2"/>
      <c r="HJJ10" s="29"/>
      <c r="HJP10" s="10"/>
      <c r="HJQ10" s="36"/>
      <c r="HJR10" s="37"/>
      <c r="HJS10" s="37"/>
      <c r="HJY10" s="2"/>
      <c r="HJZ10" s="29"/>
      <c r="HKF10" s="10"/>
      <c r="HKG10" s="36"/>
      <c r="HKH10" s="37"/>
      <c r="HKI10" s="37"/>
      <c r="HKO10" s="2"/>
      <c r="HKP10" s="29"/>
      <c r="HKV10" s="10"/>
      <c r="HKW10" s="36"/>
      <c r="HKX10" s="37"/>
      <c r="HKY10" s="37"/>
      <c r="HLE10" s="2"/>
      <c r="HLF10" s="29"/>
      <c r="HLL10" s="10"/>
      <c r="HLM10" s="36"/>
      <c r="HLN10" s="37"/>
      <c r="HLO10" s="37"/>
      <c r="HLU10" s="2"/>
      <c r="HLV10" s="29"/>
      <c r="HMB10" s="10"/>
      <c r="HMC10" s="36"/>
      <c r="HMD10" s="37"/>
      <c r="HME10" s="37"/>
      <c r="HMK10" s="2"/>
      <c r="HML10" s="29"/>
      <c r="HMR10" s="10"/>
      <c r="HMS10" s="36"/>
      <c r="HMT10" s="37"/>
      <c r="HMU10" s="37"/>
      <c r="HNA10" s="2"/>
      <c r="HNB10" s="29"/>
      <c r="HNH10" s="10"/>
      <c r="HNI10" s="36"/>
      <c r="HNJ10" s="37"/>
      <c r="HNK10" s="37"/>
      <c r="HNQ10" s="2"/>
      <c r="HNR10" s="29"/>
      <c r="HNX10" s="10"/>
      <c r="HNY10" s="36"/>
      <c r="HNZ10" s="37"/>
      <c r="HOA10" s="37"/>
      <c r="HOG10" s="2"/>
      <c r="HOH10" s="29"/>
      <c r="HON10" s="10"/>
      <c r="HOO10" s="36"/>
      <c r="HOP10" s="37"/>
      <c r="HOQ10" s="37"/>
      <c r="HOW10" s="2"/>
      <c r="HOX10" s="29"/>
      <c r="HPD10" s="10"/>
      <c r="HPE10" s="36"/>
      <c r="HPF10" s="37"/>
      <c r="HPG10" s="37"/>
      <c r="HPM10" s="2"/>
      <c r="HPN10" s="29"/>
      <c r="HPT10" s="10"/>
      <c r="HPU10" s="36"/>
      <c r="HPV10" s="37"/>
      <c r="HPW10" s="37"/>
      <c r="HQC10" s="2"/>
      <c r="HQD10" s="29"/>
      <c r="HQJ10" s="10"/>
      <c r="HQK10" s="36"/>
      <c r="HQL10" s="37"/>
      <c r="HQM10" s="37"/>
      <c r="HQS10" s="2"/>
      <c r="HQT10" s="29"/>
      <c r="HQZ10" s="10"/>
      <c r="HRA10" s="36"/>
      <c r="HRB10" s="37"/>
      <c r="HRC10" s="37"/>
      <c r="HRI10" s="2"/>
      <c r="HRJ10" s="29"/>
      <c r="HRP10" s="10"/>
      <c r="HRQ10" s="36"/>
      <c r="HRR10" s="37"/>
      <c r="HRS10" s="37"/>
      <c r="HRY10" s="2"/>
      <c r="HRZ10" s="29"/>
      <c r="HSF10" s="10"/>
      <c r="HSG10" s="36"/>
      <c r="HSH10" s="37"/>
      <c r="HSI10" s="37"/>
      <c r="HSO10" s="2"/>
      <c r="HSP10" s="29"/>
      <c r="HSV10" s="10"/>
      <c r="HSW10" s="36"/>
      <c r="HSX10" s="37"/>
      <c r="HSY10" s="37"/>
      <c r="HTE10" s="2"/>
      <c r="HTF10" s="29"/>
      <c r="HTL10" s="10"/>
      <c r="HTM10" s="36"/>
      <c r="HTN10" s="37"/>
      <c r="HTO10" s="37"/>
      <c r="HTU10" s="2"/>
      <c r="HTV10" s="29"/>
      <c r="HUB10" s="10"/>
      <c r="HUC10" s="36"/>
      <c r="HUD10" s="37"/>
      <c r="HUE10" s="37"/>
      <c r="HUK10" s="2"/>
      <c r="HUL10" s="29"/>
      <c r="HUR10" s="10"/>
      <c r="HUS10" s="36"/>
      <c r="HUT10" s="37"/>
      <c r="HUU10" s="37"/>
      <c r="HVA10" s="2"/>
      <c r="HVB10" s="29"/>
      <c r="HVH10" s="10"/>
      <c r="HVI10" s="36"/>
      <c r="HVJ10" s="37"/>
      <c r="HVK10" s="37"/>
      <c r="HVQ10" s="2"/>
      <c r="HVR10" s="29"/>
      <c r="HVX10" s="10"/>
      <c r="HVY10" s="36"/>
      <c r="HVZ10" s="37"/>
      <c r="HWA10" s="37"/>
      <c r="HWG10" s="2"/>
      <c r="HWH10" s="29"/>
      <c r="HWN10" s="10"/>
      <c r="HWO10" s="36"/>
      <c r="HWP10" s="37"/>
      <c r="HWQ10" s="37"/>
      <c r="HWW10" s="2"/>
      <c r="HWX10" s="29"/>
      <c r="HXD10" s="10"/>
      <c r="HXE10" s="36"/>
      <c r="HXF10" s="37"/>
      <c r="HXG10" s="37"/>
      <c r="HXM10" s="2"/>
      <c r="HXN10" s="29"/>
      <c r="HXT10" s="10"/>
      <c r="HXU10" s="36"/>
      <c r="HXV10" s="37"/>
      <c r="HXW10" s="37"/>
      <c r="HYC10" s="2"/>
      <c r="HYD10" s="29"/>
      <c r="HYJ10" s="10"/>
      <c r="HYK10" s="36"/>
      <c r="HYL10" s="37"/>
      <c r="HYM10" s="37"/>
      <c r="HYS10" s="2"/>
      <c r="HYT10" s="29"/>
      <c r="HYZ10" s="10"/>
      <c r="HZA10" s="36"/>
      <c r="HZB10" s="37"/>
      <c r="HZC10" s="37"/>
      <c r="HZI10" s="2"/>
      <c r="HZJ10" s="29"/>
      <c r="HZP10" s="10"/>
      <c r="HZQ10" s="36"/>
      <c r="HZR10" s="37"/>
      <c r="HZS10" s="37"/>
      <c r="HZY10" s="2"/>
      <c r="HZZ10" s="29"/>
      <c r="IAF10" s="10"/>
      <c r="IAG10" s="36"/>
      <c r="IAH10" s="37"/>
      <c r="IAI10" s="37"/>
      <c r="IAO10" s="2"/>
      <c r="IAP10" s="29"/>
      <c r="IAV10" s="10"/>
      <c r="IAW10" s="36"/>
      <c r="IAX10" s="37"/>
      <c r="IAY10" s="37"/>
      <c r="IBE10" s="2"/>
      <c r="IBF10" s="29"/>
      <c r="IBL10" s="10"/>
      <c r="IBM10" s="36"/>
      <c r="IBN10" s="37"/>
      <c r="IBO10" s="37"/>
      <c r="IBU10" s="2"/>
      <c r="IBV10" s="29"/>
      <c r="ICB10" s="10"/>
      <c r="ICC10" s="36"/>
      <c r="ICD10" s="37"/>
      <c r="ICE10" s="37"/>
      <c r="ICK10" s="2"/>
      <c r="ICL10" s="29"/>
      <c r="ICR10" s="10"/>
      <c r="ICS10" s="36"/>
      <c r="ICT10" s="37"/>
      <c r="ICU10" s="37"/>
      <c r="IDA10" s="2"/>
      <c r="IDB10" s="29"/>
      <c r="IDH10" s="10"/>
      <c r="IDI10" s="36"/>
      <c r="IDJ10" s="37"/>
      <c r="IDK10" s="37"/>
      <c r="IDQ10" s="2"/>
      <c r="IDR10" s="29"/>
      <c r="IDX10" s="10"/>
      <c r="IDY10" s="36"/>
      <c r="IDZ10" s="37"/>
      <c r="IEA10" s="37"/>
      <c r="IEG10" s="2"/>
      <c r="IEH10" s="29"/>
      <c r="IEN10" s="10"/>
      <c r="IEO10" s="36"/>
      <c r="IEP10" s="37"/>
      <c r="IEQ10" s="37"/>
      <c r="IEW10" s="2"/>
      <c r="IEX10" s="29"/>
      <c r="IFD10" s="10"/>
      <c r="IFE10" s="36"/>
      <c r="IFF10" s="37"/>
      <c r="IFG10" s="37"/>
      <c r="IFM10" s="2"/>
      <c r="IFN10" s="29"/>
      <c r="IFT10" s="10"/>
      <c r="IFU10" s="36"/>
      <c r="IFV10" s="37"/>
      <c r="IFW10" s="37"/>
      <c r="IGC10" s="2"/>
      <c r="IGD10" s="29"/>
      <c r="IGJ10" s="10"/>
      <c r="IGK10" s="36"/>
      <c r="IGL10" s="37"/>
      <c r="IGM10" s="37"/>
      <c r="IGS10" s="2"/>
      <c r="IGT10" s="29"/>
      <c r="IGZ10" s="10"/>
      <c r="IHA10" s="36"/>
      <c r="IHB10" s="37"/>
      <c r="IHC10" s="37"/>
      <c r="IHI10" s="2"/>
      <c r="IHJ10" s="29"/>
      <c r="IHP10" s="10"/>
      <c r="IHQ10" s="36"/>
      <c r="IHR10" s="37"/>
      <c r="IHS10" s="37"/>
      <c r="IHY10" s="2"/>
      <c r="IHZ10" s="29"/>
      <c r="IIF10" s="10"/>
      <c r="IIG10" s="36"/>
      <c r="IIH10" s="37"/>
      <c r="III10" s="37"/>
      <c r="IIO10" s="2"/>
      <c r="IIP10" s="29"/>
      <c r="IIV10" s="10"/>
      <c r="IIW10" s="36"/>
      <c r="IIX10" s="37"/>
      <c r="IIY10" s="37"/>
      <c r="IJE10" s="2"/>
      <c r="IJF10" s="29"/>
      <c r="IJL10" s="10"/>
      <c r="IJM10" s="36"/>
      <c r="IJN10" s="37"/>
      <c r="IJO10" s="37"/>
      <c r="IJU10" s="2"/>
      <c r="IJV10" s="29"/>
      <c r="IKB10" s="10"/>
      <c r="IKC10" s="36"/>
      <c r="IKD10" s="37"/>
      <c r="IKE10" s="37"/>
      <c r="IKK10" s="2"/>
      <c r="IKL10" s="29"/>
      <c r="IKR10" s="10"/>
      <c r="IKS10" s="36"/>
      <c r="IKT10" s="37"/>
      <c r="IKU10" s="37"/>
      <c r="ILA10" s="2"/>
      <c r="ILB10" s="29"/>
      <c r="ILH10" s="10"/>
      <c r="ILI10" s="36"/>
      <c r="ILJ10" s="37"/>
      <c r="ILK10" s="37"/>
      <c r="ILQ10" s="2"/>
      <c r="ILR10" s="29"/>
      <c r="ILX10" s="10"/>
      <c r="ILY10" s="36"/>
      <c r="ILZ10" s="37"/>
      <c r="IMA10" s="37"/>
      <c r="IMG10" s="2"/>
      <c r="IMH10" s="29"/>
      <c r="IMN10" s="10"/>
      <c r="IMO10" s="36"/>
      <c r="IMP10" s="37"/>
      <c r="IMQ10" s="37"/>
      <c r="IMW10" s="2"/>
      <c r="IMX10" s="29"/>
      <c r="IND10" s="10"/>
      <c r="INE10" s="36"/>
      <c r="INF10" s="37"/>
      <c r="ING10" s="37"/>
      <c r="INM10" s="2"/>
      <c r="INN10" s="29"/>
      <c r="INT10" s="10"/>
      <c r="INU10" s="36"/>
      <c r="INV10" s="37"/>
      <c r="INW10" s="37"/>
      <c r="IOC10" s="2"/>
      <c r="IOD10" s="29"/>
      <c r="IOJ10" s="10"/>
      <c r="IOK10" s="36"/>
      <c r="IOL10" s="37"/>
      <c r="IOM10" s="37"/>
      <c r="IOS10" s="2"/>
      <c r="IOT10" s="29"/>
      <c r="IOZ10" s="10"/>
      <c r="IPA10" s="36"/>
      <c r="IPB10" s="37"/>
      <c r="IPC10" s="37"/>
      <c r="IPI10" s="2"/>
      <c r="IPJ10" s="29"/>
      <c r="IPP10" s="10"/>
      <c r="IPQ10" s="36"/>
      <c r="IPR10" s="37"/>
      <c r="IPS10" s="37"/>
      <c r="IPY10" s="2"/>
      <c r="IPZ10" s="29"/>
      <c r="IQF10" s="10"/>
      <c r="IQG10" s="36"/>
      <c r="IQH10" s="37"/>
      <c r="IQI10" s="37"/>
      <c r="IQO10" s="2"/>
      <c r="IQP10" s="29"/>
      <c r="IQV10" s="10"/>
      <c r="IQW10" s="36"/>
      <c r="IQX10" s="37"/>
      <c r="IQY10" s="37"/>
      <c r="IRE10" s="2"/>
      <c r="IRF10" s="29"/>
      <c r="IRL10" s="10"/>
      <c r="IRM10" s="36"/>
      <c r="IRN10" s="37"/>
      <c r="IRO10" s="37"/>
      <c r="IRU10" s="2"/>
      <c r="IRV10" s="29"/>
      <c r="ISB10" s="10"/>
      <c r="ISC10" s="36"/>
      <c r="ISD10" s="37"/>
      <c r="ISE10" s="37"/>
      <c r="ISK10" s="2"/>
      <c r="ISL10" s="29"/>
      <c r="ISR10" s="10"/>
      <c r="ISS10" s="36"/>
      <c r="IST10" s="37"/>
      <c r="ISU10" s="37"/>
      <c r="ITA10" s="2"/>
      <c r="ITB10" s="29"/>
      <c r="ITH10" s="10"/>
      <c r="ITI10" s="36"/>
      <c r="ITJ10" s="37"/>
      <c r="ITK10" s="37"/>
      <c r="ITQ10" s="2"/>
      <c r="ITR10" s="29"/>
      <c r="ITX10" s="10"/>
      <c r="ITY10" s="36"/>
      <c r="ITZ10" s="37"/>
      <c r="IUA10" s="37"/>
      <c r="IUG10" s="2"/>
      <c r="IUH10" s="29"/>
      <c r="IUN10" s="10"/>
      <c r="IUO10" s="36"/>
      <c r="IUP10" s="37"/>
      <c r="IUQ10" s="37"/>
      <c r="IUW10" s="2"/>
      <c r="IUX10" s="29"/>
      <c r="IVD10" s="10"/>
      <c r="IVE10" s="36"/>
      <c r="IVF10" s="37"/>
      <c r="IVG10" s="37"/>
      <c r="IVM10" s="2"/>
      <c r="IVN10" s="29"/>
      <c r="IVT10" s="10"/>
      <c r="IVU10" s="36"/>
      <c r="IVV10" s="37"/>
      <c r="IVW10" s="37"/>
      <c r="IWC10" s="2"/>
      <c r="IWD10" s="29"/>
      <c r="IWJ10" s="10"/>
      <c r="IWK10" s="36"/>
      <c r="IWL10" s="37"/>
      <c r="IWM10" s="37"/>
      <c r="IWS10" s="2"/>
      <c r="IWT10" s="29"/>
      <c r="IWZ10" s="10"/>
      <c r="IXA10" s="36"/>
      <c r="IXB10" s="37"/>
      <c r="IXC10" s="37"/>
      <c r="IXI10" s="2"/>
      <c r="IXJ10" s="29"/>
      <c r="IXP10" s="10"/>
      <c r="IXQ10" s="36"/>
      <c r="IXR10" s="37"/>
      <c r="IXS10" s="37"/>
      <c r="IXY10" s="2"/>
      <c r="IXZ10" s="29"/>
      <c r="IYF10" s="10"/>
      <c r="IYG10" s="36"/>
      <c r="IYH10" s="37"/>
      <c r="IYI10" s="37"/>
      <c r="IYO10" s="2"/>
      <c r="IYP10" s="29"/>
      <c r="IYV10" s="10"/>
      <c r="IYW10" s="36"/>
      <c r="IYX10" s="37"/>
      <c r="IYY10" s="37"/>
      <c r="IZE10" s="2"/>
      <c r="IZF10" s="29"/>
      <c r="IZL10" s="10"/>
      <c r="IZM10" s="36"/>
      <c r="IZN10" s="37"/>
      <c r="IZO10" s="37"/>
      <c r="IZU10" s="2"/>
      <c r="IZV10" s="29"/>
      <c r="JAB10" s="10"/>
      <c r="JAC10" s="36"/>
      <c r="JAD10" s="37"/>
      <c r="JAE10" s="37"/>
      <c r="JAK10" s="2"/>
      <c r="JAL10" s="29"/>
      <c r="JAR10" s="10"/>
      <c r="JAS10" s="36"/>
      <c r="JAT10" s="37"/>
      <c r="JAU10" s="37"/>
      <c r="JBA10" s="2"/>
      <c r="JBB10" s="29"/>
      <c r="JBH10" s="10"/>
      <c r="JBI10" s="36"/>
      <c r="JBJ10" s="37"/>
      <c r="JBK10" s="37"/>
      <c r="JBQ10" s="2"/>
      <c r="JBR10" s="29"/>
      <c r="JBX10" s="10"/>
      <c r="JBY10" s="36"/>
      <c r="JBZ10" s="37"/>
      <c r="JCA10" s="37"/>
      <c r="JCG10" s="2"/>
      <c r="JCH10" s="29"/>
      <c r="JCN10" s="10"/>
      <c r="JCO10" s="36"/>
      <c r="JCP10" s="37"/>
      <c r="JCQ10" s="37"/>
      <c r="JCW10" s="2"/>
      <c r="JCX10" s="29"/>
      <c r="JDD10" s="10"/>
      <c r="JDE10" s="36"/>
      <c r="JDF10" s="37"/>
      <c r="JDG10" s="37"/>
      <c r="JDM10" s="2"/>
      <c r="JDN10" s="29"/>
      <c r="JDT10" s="10"/>
      <c r="JDU10" s="36"/>
      <c r="JDV10" s="37"/>
      <c r="JDW10" s="37"/>
      <c r="JEC10" s="2"/>
      <c r="JED10" s="29"/>
      <c r="JEJ10" s="10"/>
      <c r="JEK10" s="36"/>
      <c r="JEL10" s="37"/>
      <c r="JEM10" s="37"/>
      <c r="JES10" s="2"/>
      <c r="JET10" s="29"/>
      <c r="JEZ10" s="10"/>
      <c r="JFA10" s="36"/>
      <c r="JFB10" s="37"/>
      <c r="JFC10" s="37"/>
      <c r="JFI10" s="2"/>
      <c r="JFJ10" s="29"/>
      <c r="JFP10" s="10"/>
      <c r="JFQ10" s="36"/>
      <c r="JFR10" s="37"/>
      <c r="JFS10" s="37"/>
      <c r="JFY10" s="2"/>
      <c r="JFZ10" s="29"/>
      <c r="JGF10" s="10"/>
      <c r="JGG10" s="36"/>
      <c r="JGH10" s="37"/>
      <c r="JGI10" s="37"/>
      <c r="JGO10" s="2"/>
      <c r="JGP10" s="29"/>
      <c r="JGV10" s="10"/>
      <c r="JGW10" s="36"/>
      <c r="JGX10" s="37"/>
      <c r="JGY10" s="37"/>
      <c r="JHE10" s="2"/>
      <c r="JHF10" s="29"/>
      <c r="JHL10" s="10"/>
      <c r="JHM10" s="36"/>
      <c r="JHN10" s="37"/>
      <c r="JHO10" s="37"/>
      <c r="JHU10" s="2"/>
      <c r="JHV10" s="29"/>
      <c r="JIB10" s="10"/>
      <c r="JIC10" s="36"/>
      <c r="JID10" s="37"/>
      <c r="JIE10" s="37"/>
      <c r="JIK10" s="2"/>
      <c r="JIL10" s="29"/>
      <c r="JIR10" s="10"/>
      <c r="JIS10" s="36"/>
      <c r="JIT10" s="37"/>
      <c r="JIU10" s="37"/>
      <c r="JJA10" s="2"/>
      <c r="JJB10" s="29"/>
      <c r="JJH10" s="10"/>
      <c r="JJI10" s="36"/>
      <c r="JJJ10" s="37"/>
      <c r="JJK10" s="37"/>
      <c r="JJQ10" s="2"/>
      <c r="JJR10" s="29"/>
      <c r="JJX10" s="10"/>
      <c r="JJY10" s="36"/>
      <c r="JJZ10" s="37"/>
      <c r="JKA10" s="37"/>
      <c r="JKG10" s="2"/>
      <c r="JKH10" s="29"/>
      <c r="JKN10" s="10"/>
      <c r="JKO10" s="36"/>
      <c r="JKP10" s="37"/>
      <c r="JKQ10" s="37"/>
      <c r="JKW10" s="2"/>
      <c r="JKX10" s="29"/>
      <c r="JLD10" s="10"/>
      <c r="JLE10" s="36"/>
      <c r="JLF10" s="37"/>
      <c r="JLG10" s="37"/>
      <c r="JLM10" s="2"/>
      <c r="JLN10" s="29"/>
      <c r="JLT10" s="10"/>
      <c r="JLU10" s="36"/>
      <c r="JLV10" s="37"/>
      <c r="JLW10" s="37"/>
      <c r="JMC10" s="2"/>
      <c r="JMD10" s="29"/>
      <c r="JMJ10" s="10"/>
      <c r="JMK10" s="36"/>
      <c r="JML10" s="37"/>
      <c r="JMM10" s="37"/>
      <c r="JMS10" s="2"/>
      <c r="JMT10" s="29"/>
      <c r="JMZ10" s="10"/>
      <c r="JNA10" s="36"/>
      <c r="JNB10" s="37"/>
      <c r="JNC10" s="37"/>
      <c r="JNI10" s="2"/>
      <c r="JNJ10" s="29"/>
      <c r="JNP10" s="10"/>
      <c r="JNQ10" s="36"/>
      <c r="JNR10" s="37"/>
      <c r="JNS10" s="37"/>
      <c r="JNY10" s="2"/>
      <c r="JNZ10" s="29"/>
      <c r="JOF10" s="10"/>
      <c r="JOG10" s="36"/>
      <c r="JOH10" s="37"/>
      <c r="JOI10" s="37"/>
      <c r="JOO10" s="2"/>
      <c r="JOP10" s="29"/>
      <c r="JOV10" s="10"/>
      <c r="JOW10" s="36"/>
      <c r="JOX10" s="37"/>
      <c r="JOY10" s="37"/>
      <c r="JPE10" s="2"/>
      <c r="JPF10" s="29"/>
      <c r="JPL10" s="10"/>
      <c r="JPM10" s="36"/>
      <c r="JPN10" s="37"/>
      <c r="JPO10" s="37"/>
      <c r="JPU10" s="2"/>
      <c r="JPV10" s="29"/>
      <c r="JQB10" s="10"/>
      <c r="JQC10" s="36"/>
      <c r="JQD10" s="37"/>
      <c r="JQE10" s="37"/>
      <c r="JQK10" s="2"/>
      <c r="JQL10" s="29"/>
      <c r="JQR10" s="10"/>
      <c r="JQS10" s="36"/>
      <c r="JQT10" s="37"/>
      <c r="JQU10" s="37"/>
      <c r="JRA10" s="2"/>
      <c r="JRB10" s="29"/>
      <c r="JRH10" s="10"/>
      <c r="JRI10" s="36"/>
      <c r="JRJ10" s="37"/>
      <c r="JRK10" s="37"/>
      <c r="JRQ10" s="2"/>
      <c r="JRR10" s="29"/>
      <c r="JRX10" s="10"/>
      <c r="JRY10" s="36"/>
      <c r="JRZ10" s="37"/>
      <c r="JSA10" s="37"/>
      <c r="JSG10" s="2"/>
      <c r="JSH10" s="29"/>
      <c r="JSN10" s="10"/>
      <c r="JSO10" s="36"/>
      <c r="JSP10" s="37"/>
      <c r="JSQ10" s="37"/>
      <c r="JSW10" s="2"/>
      <c r="JSX10" s="29"/>
      <c r="JTD10" s="10"/>
      <c r="JTE10" s="36"/>
      <c r="JTF10" s="37"/>
      <c r="JTG10" s="37"/>
      <c r="JTM10" s="2"/>
      <c r="JTN10" s="29"/>
      <c r="JTT10" s="10"/>
      <c r="JTU10" s="36"/>
      <c r="JTV10" s="37"/>
      <c r="JTW10" s="37"/>
      <c r="JUC10" s="2"/>
      <c r="JUD10" s="29"/>
      <c r="JUJ10" s="10"/>
      <c r="JUK10" s="36"/>
      <c r="JUL10" s="37"/>
      <c r="JUM10" s="37"/>
      <c r="JUS10" s="2"/>
      <c r="JUT10" s="29"/>
      <c r="JUZ10" s="10"/>
      <c r="JVA10" s="36"/>
      <c r="JVB10" s="37"/>
      <c r="JVC10" s="37"/>
      <c r="JVI10" s="2"/>
      <c r="JVJ10" s="29"/>
      <c r="JVP10" s="10"/>
      <c r="JVQ10" s="36"/>
      <c r="JVR10" s="37"/>
      <c r="JVS10" s="37"/>
      <c r="JVY10" s="2"/>
      <c r="JVZ10" s="29"/>
      <c r="JWF10" s="10"/>
      <c r="JWG10" s="36"/>
      <c r="JWH10" s="37"/>
      <c r="JWI10" s="37"/>
      <c r="JWO10" s="2"/>
      <c r="JWP10" s="29"/>
      <c r="JWV10" s="10"/>
      <c r="JWW10" s="36"/>
      <c r="JWX10" s="37"/>
      <c r="JWY10" s="37"/>
      <c r="JXE10" s="2"/>
      <c r="JXF10" s="29"/>
      <c r="JXL10" s="10"/>
      <c r="JXM10" s="36"/>
      <c r="JXN10" s="37"/>
      <c r="JXO10" s="37"/>
      <c r="JXU10" s="2"/>
      <c r="JXV10" s="29"/>
      <c r="JYB10" s="10"/>
      <c r="JYC10" s="36"/>
      <c r="JYD10" s="37"/>
      <c r="JYE10" s="37"/>
      <c r="JYK10" s="2"/>
      <c r="JYL10" s="29"/>
      <c r="JYR10" s="10"/>
      <c r="JYS10" s="36"/>
      <c r="JYT10" s="37"/>
      <c r="JYU10" s="37"/>
      <c r="JZA10" s="2"/>
      <c r="JZB10" s="29"/>
      <c r="JZH10" s="10"/>
      <c r="JZI10" s="36"/>
      <c r="JZJ10" s="37"/>
      <c r="JZK10" s="37"/>
      <c r="JZQ10" s="2"/>
      <c r="JZR10" s="29"/>
      <c r="JZX10" s="10"/>
      <c r="JZY10" s="36"/>
      <c r="JZZ10" s="37"/>
      <c r="KAA10" s="37"/>
      <c r="KAG10" s="2"/>
      <c r="KAH10" s="29"/>
      <c r="KAN10" s="10"/>
      <c r="KAO10" s="36"/>
      <c r="KAP10" s="37"/>
      <c r="KAQ10" s="37"/>
      <c r="KAW10" s="2"/>
      <c r="KAX10" s="29"/>
      <c r="KBD10" s="10"/>
      <c r="KBE10" s="36"/>
      <c r="KBF10" s="37"/>
      <c r="KBG10" s="37"/>
      <c r="KBM10" s="2"/>
      <c r="KBN10" s="29"/>
      <c r="KBT10" s="10"/>
      <c r="KBU10" s="36"/>
      <c r="KBV10" s="37"/>
      <c r="KBW10" s="37"/>
      <c r="KCC10" s="2"/>
      <c r="KCD10" s="29"/>
      <c r="KCJ10" s="10"/>
      <c r="KCK10" s="36"/>
      <c r="KCL10" s="37"/>
      <c r="KCM10" s="37"/>
      <c r="KCS10" s="2"/>
      <c r="KCT10" s="29"/>
      <c r="KCZ10" s="10"/>
      <c r="KDA10" s="36"/>
      <c r="KDB10" s="37"/>
      <c r="KDC10" s="37"/>
      <c r="KDI10" s="2"/>
      <c r="KDJ10" s="29"/>
      <c r="KDP10" s="10"/>
      <c r="KDQ10" s="36"/>
      <c r="KDR10" s="37"/>
      <c r="KDS10" s="37"/>
      <c r="KDY10" s="2"/>
      <c r="KDZ10" s="29"/>
      <c r="KEF10" s="10"/>
      <c r="KEG10" s="36"/>
      <c r="KEH10" s="37"/>
      <c r="KEI10" s="37"/>
      <c r="KEO10" s="2"/>
      <c r="KEP10" s="29"/>
      <c r="KEV10" s="10"/>
      <c r="KEW10" s="36"/>
      <c r="KEX10" s="37"/>
      <c r="KEY10" s="37"/>
      <c r="KFE10" s="2"/>
      <c r="KFF10" s="29"/>
      <c r="KFL10" s="10"/>
      <c r="KFM10" s="36"/>
      <c r="KFN10" s="37"/>
      <c r="KFO10" s="37"/>
      <c r="KFU10" s="2"/>
      <c r="KFV10" s="29"/>
      <c r="KGB10" s="10"/>
      <c r="KGC10" s="36"/>
      <c r="KGD10" s="37"/>
      <c r="KGE10" s="37"/>
      <c r="KGK10" s="2"/>
      <c r="KGL10" s="29"/>
      <c r="KGR10" s="10"/>
      <c r="KGS10" s="36"/>
      <c r="KGT10" s="37"/>
      <c r="KGU10" s="37"/>
      <c r="KHA10" s="2"/>
      <c r="KHB10" s="29"/>
      <c r="KHH10" s="10"/>
      <c r="KHI10" s="36"/>
      <c r="KHJ10" s="37"/>
      <c r="KHK10" s="37"/>
      <c r="KHQ10" s="2"/>
      <c r="KHR10" s="29"/>
      <c r="KHX10" s="10"/>
      <c r="KHY10" s="36"/>
      <c r="KHZ10" s="37"/>
      <c r="KIA10" s="37"/>
      <c r="KIG10" s="2"/>
      <c r="KIH10" s="29"/>
      <c r="KIN10" s="10"/>
      <c r="KIO10" s="36"/>
      <c r="KIP10" s="37"/>
      <c r="KIQ10" s="37"/>
      <c r="KIW10" s="2"/>
      <c r="KIX10" s="29"/>
      <c r="KJD10" s="10"/>
      <c r="KJE10" s="36"/>
      <c r="KJF10" s="37"/>
      <c r="KJG10" s="37"/>
      <c r="KJM10" s="2"/>
      <c r="KJN10" s="29"/>
      <c r="KJT10" s="10"/>
      <c r="KJU10" s="36"/>
      <c r="KJV10" s="37"/>
      <c r="KJW10" s="37"/>
      <c r="KKC10" s="2"/>
      <c r="KKD10" s="29"/>
      <c r="KKJ10" s="10"/>
      <c r="KKK10" s="36"/>
      <c r="KKL10" s="37"/>
      <c r="KKM10" s="37"/>
      <c r="KKS10" s="2"/>
      <c r="KKT10" s="29"/>
      <c r="KKZ10" s="10"/>
      <c r="KLA10" s="36"/>
      <c r="KLB10" s="37"/>
      <c r="KLC10" s="37"/>
      <c r="KLI10" s="2"/>
      <c r="KLJ10" s="29"/>
      <c r="KLP10" s="10"/>
      <c r="KLQ10" s="36"/>
      <c r="KLR10" s="37"/>
      <c r="KLS10" s="37"/>
      <c r="KLY10" s="2"/>
      <c r="KLZ10" s="29"/>
      <c r="KMF10" s="10"/>
      <c r="KMG10" s="36"/>
      <c r="KMH10" s="37"/>
      <c r="KMI10" s="37"/>
      <c r="KMO10" s="2"/>
      <c r="KMP10" s="29"/>
      <c r="KMV10" s="10"/>
      <c r="KMW10" s="36"/>
      <c r="KMX10" s="37"/>
      <c r="KMY10" s="37"/>
      <c r="KNE10" s="2"/>
      <c r="KNF10" s="29"/>
      <c r="KNL10" s="10"/>
      <c r="KNM10" s="36"/>
      <c r="KNN10" s="37"/>
      <c r="KNO10" s="37"/>
      <c r="KNU10" s="2"/>
      <c r="KNV10" s="29"/>
      <c r="KOB10" s="10"/>
      <c r="KOC10" s="36"/>
      <c r="KOD10" s="37"/>
      <c r="KOE10" s="37"/>
      <c r="KOK10" s="2"/>
      <c r="KOL10" s="29"/>
      <c r="KOR10" s="10"/>
      <c r="KOS10" s="36"/>
      <c r="KOT10" s="37"/>
      <c r="KOU10" s="37"/>
      <c r="KPA10" s="2"/>
      <c r="KPB10" s="29"/>
      <c r="KPH10" s="10"/>
      <c r="KPI10" s="36"/>
      <c r="KPJ10" s="37"/>
      <c r="KPK10" s="37"/>
      <c r="KPQ10" s="2"/>
      <c r="KPR10" s="29"/>
      <c r="KPX10" s="10"/>
      <c r="KPY10" s="36"/>
      <c r="KPZ10" s="37"/>
      <c r="KQA10" s="37"/>
      <c r="KQG10" s="2"/>
      <c r="KQH10" s="29"/>
      <c r="KQN10" s="10"/>
      <c r="KQO10" s="36"/>
      <c r="KQP10" s="37"/>
      <c r="KQQ10" s="37"/>
      <c r="KQW10" s="2"/>
      <c r="KQX10" s="29"/>
      <c r="KRD10" s="10"/>
      <c r="KRE10" s="36"/>
      <c r="KRF10" s="37"/>
      <c r="KRG10" s="37"/>
      <c r="KRM10" s="2"/>
      <c r="KRN10" s="29"/>
      <c r="KRT10" s="10"/>
      <c r="KRU10" s="36"/>
      <c r="KRV10" s="37"/>
      <c r="KRW10" s="37"/>
      <c r="KSC10" s="2"/>
      <c r="KSD10" s="29"/>
      <c r="KSJ10" s="10"/>
      <c r="KSK10" s="36"/>
      <c r="KSL10" s="37"/>
      <c r="KSM10" s="37"/>
      <c r="KSS10" s="2"/>
      <c r="KST10" s="29"/>
      <c r="KSZ10" s="10"/>
      <c r="KTA10" s="36"/>
      <c r="KTB10" s="37"/>
      <c r="KTC10" s="37"/>
      <c r="KTI10" s="2"/>
      <c r="KTJ10" s="29"/>
      <c r="KTP10" s="10"/>
      <c r="KTQ10" s="36"/>
      <c r="KTR10" s="37"/>
      <c r="KTS10" s="37"/>
      <c r="KTY10" s="2"/>
      <c r="KTZ10" s="29"/>
      <c r="KUF10" s="10"/>
      <c r="KUG10" s="36"/>
      <c r="KUH10" s="37"/>
      <c r="KUI10" s="37"/>
      <c r="KUO10" s="2"/>
      <c r="KUP10" s="29"/>
      <c r="KUV10" s="10"/>
      <c r="KUW10" s="36"/>
      <c r="KUX10" s="37"/>
      <c r="KUY10" s="37"/>
      <c r="KVE10" s="2"/>
      <c r="KVF10" s="29"/>
      <c r="KVL10" s="10"/>
      <c r="KVM10" s="36"/>
      <c r="KVN10" s="37"/>
      <c r="KVO10" s="37"/>
      <c r="KVU10" s="2"/>
      <c r="KVV10" s="29"/>
      <c r="KWB10" s="10"/>
      <c r="KWC10" s="36"/>
      <c r="KWD10" s="37"/>
      <c r="KWE10" s="37"/>
      <c r="KWK10" s="2"/>
      <c r="KWL10" s="29"/>
      <c r="KWR10" s="10"/>
      <c r="KWS10" s="36"/>
      <c r="KWT10" s="37"/>
      <c r="KWU10" s="37"/>
      <c r="KXA10" s="2"/>
      <c r="KXB10" s="29"/>
      <c r="KXH10" s="10"/>
      <c r="KXI10" s="36"/>
      <c r="KXJ10" s="37"/>
      <c r="KXK10" s="37"/>
      <c r="KXQ10" s="2"/>
      <c r="KXR10" s="29"/>
      <c r="KXX10" s="10"/>
      <c r="KXY10" s="36"/>
      <c r="KXZ10" s="37"/>
      <c r="KYA10" s="37"/>
      <c r="KYG10" s="2"/>
      <c r="KYH10" s="29"/>
      <c r="KYN10" s="10"/>
      <c r="KYO10" s="36"/>
      <c r="KYP10" s="37"/>
      <c r="KYQ10" s="37"/>
      <c r="KYW10" s="2"/>
      <c r="KYX10" s="29"/>
      <c r="KZD10" s="10"/>
      <c r="KZE10" s="36"/>
      <c r="KZF10" s="37"/>
      <c r="KZG10" s="37"/>
      <c r="KZM10" s="2"/>
      <c r="KZN10" s="29"/>
      <c r="KZT10" s="10"/>
      <c r="KZU10" s="36"/>
      <c r="KZV10" s="37"/>
      <c r="KZW10" s="37"/>
      <c r="LAC10" s="2"/>
      <c r="LAD10" s="29"/>
      <c r="LAJ10" s="10"/>
      <c r="LAK10" s="36"/>
      <c r="LAL10" s="37"/>
      <c r="LAM10" s="37"/>
      <c r="LAS10" s="2"/>
      <c r="LAT10" s="29"/>
      <c r="LAZ10" s="10"/>
      <c r="LBA10" s="36"/>
      <c r="LBB10" s="37"/>
      <c r="LBC10" s="37"/>
      <c r="LBI10" s="2"/>
      <c r="LBJ10" s="29"/>
      <c r="LBP10" s="10"/>
      <c r="LBQ10" s="36"/>
      <c r="LBR10" s="37"/>
      <c r="LBS10" s="37"/>
      <c r="LBY10" s="2"/>
      <c r="LBZ10" s="29"/>
      <c r="LCF10" s="10"/>
      <c r="LCG10" s="36"/>
      <c r="LCH10" s="37"/>
      <c r="LCI10" s="37"/>
      <c r="LCO10" s="2"/>
      <c r="LCP10" s="29"/>
      <c r="LCV10" s="10"/>
      <c r="LCW10" s="36"/>
      <c r="LCX10" s="37"/>
      <c r="LCY10" s="37"/>
      <c r="LDE10" s="2"/>
      <c r="LDF10" s="29"/>
      <c r="LDL10" s="10"/>
      <c r="LDM10" s="36"/>
      <c r="LDN10" s="37"/>
      <c r="LDO10" s="37"/>
      <c r="LDU10" s="2"/>
      <c r="LDV10" s="29"/>
      <c r="LEB10" s="10"/>
      <c r="LEC10" s="36"/>
      <c r="LED10" s="37"/>
      <c r="LEE10" s="37"/>
      <c r="LEK10" s="2"/>
      <c r="LEL10" s="29"/>
      <c r="LER10" s="10"/>
      <c r="LES10" s="36"/>
      <c r="LET10" s="37"/>
      <c r="LEU10" s="37"/>
      <c r="LFA10" s="2"/>
      <c r="LFB10" s="29"/>
      <c r="LFH10" s="10"/>
      <c r="LFI10" s="36"/>
      <c r="LFJ10" s="37"/>
      <c r="LFK10" s="37"/>
      <c r="LFQ10" s="2"/>
      <c r="LFR10" s="29"/>
      <c r="LFX10" s="10"/>
      <c r="LFY10" s="36"/>
      <c r="LFZ10" s="37"/>
      <c r="LGA10" s="37"/>
      <c r="LGG10" s="2"/>
      <c r="LGH10" s="29"/>
      <c r="LGN10" s="10"/>
      <c r="LGO10" s="36"/>
      <c r="LGP10" s="37"/>
      <c r="LGQ10" s="37"/>
      <c r="LGW10" s="2"/>
      <c r="LGX10" s="29"/>
      <c r="LHD10" s="10"/>
      <c r="LHE10" s="36"/>
      <c r="LHF10" s="37"/>
      <c r="LHG10" s="37"/>
      <c r="LHM10" s="2"/>
      <c r="LHN10" s="29"/>
      <c r="LHT10" s="10"/>
      <c r="LHU10" s="36"/>
      <c r="LHV10" s="37"/>
      <c r="LHW10" s="37"/>
      <c r="LIC10" s="2"/>
      <c r="LID10" s="29"/>
      <c r="LIJ10" s="10"/>
      <c r="LIK10" s="36"/>
      <c r="LIL10" s="37"/>
      <c r="LIM10" s="37"/>
      <c r="LIS10" s="2"/>
      <c r="LIT10" s="29"/>
      <c r="LIZ10" s="10"/>
      <c r="LJA10" s="36"/>
      <c r="LJB10" s="37"/>
      <c r="LJC10" s="37"/>
      <c r="LJI10" s="2"/>
      <c r="LJJ10" s="29"/>
      <c r="LJP10" s="10"/>
      <c r="LJQ10" s="36"/>
      <c r="LJR10" s="37"/>
      <c r="LJS10" s="37"/>
      <c r="LJY10" s="2"/>
      <c r="LJZ10" s="29"/>
      <c r="LKF10" s="10"/>
      <c r="LKG10" s="36"/>
      <c r="LKH10" s="37"/>
      <c r="LKI10" s="37"/>
      <c r="LKO10" s="2"/>
      <c r="LKP10" s="29"/>
      <c r="LKV10" s="10"/>
      <c r="LKW10" s="36"/>
      <c r="LKX10" s="37"/>
      <c r="LKY10" s="37"/>
      <c r="LLE10" s="2"/>
      <c r="LLF10" s="29"/>
      <c r="LLL10" s="10"/>
      <c r="LLM10" s="36"/>
      <c r="LLN10" s="37"/>
      <c r="LLO10" s="37"/>
      <c r="LLU10" s="2"/>
      <c r="LLV10" s="29"/>
      <c r="LMB10" s="10"/>
      <c r="LMC10" s="36"/>
      <c r="LMD10" s="37"/>
      <c r="LME10" s="37"/>
      <c r="LMK10" s="2"/>
      <c r="LML10" s="29"/>
      <c r="LMR10" s="10"/>
      <c r="LMS10" s="36"/>
      <c r="LMT10" s="37"/>
      <c r="LMU10" s="37"/>
      <c r="LNA10" s="2"/>
      <c r="LNB10" s="29"/>
      <c r="LNH10" s="10"/>
      <c r="LNI10" s="36"/>
      <c r="LNJ10" s="37"/>
      <c r="LNK10" s="37"/>
      <c r="LNQ10" s="2"/>
      <c r="LNR10" s="29"/>
      <c r="LNX10" s="10"/>
      <c r="LNY10" s="36"/>
      <c r="LNZ10" s="37"/>
      <c r="LOA10" s="37"/>
      <c r="LOG10" s="2"/>
      <c r="LOH10" s="29"/>
      <c r="LON10" s="10"/>
      <c r="LOO10" s="36"/>
      <c r="LOP10" s="37"/>
      <c r="LOQ10" s="37"/>
      <c r="LOW10" s="2"/>
      <c r="LOX10" s="29"/>
      <c r="LPD10" s="10"/>
      <c r="LPE10" s="36"/>
      <c r="LPF10" s="37"/>
      <c r="LPG10" s="37"/>
      <c r="LPM10" s="2"/>
      <c r="LPN10" s="29"/>
      <c r="LPT10" s="10"/>
      <c r="LPU10" s="36"/>
      <c r="LPV10" s="37"/>
      <c r="LPW10" s="37"/>
      <c r="LQC10" s="2"/>
      <c r="LQD10" s="29"/>
      <c r="LQJ10" s="10"/>
      <c r="LQK10" s="36"/>
      <c r="LQL10" s="37"/>
      <c r="LQM10" s="37"/>
      <c r="LQS10" s="2"/>
      <c r="LQT10" s="29"/>
      <c r="LQZ10" s="10"/>
      <c r="LRA10" s="36"/>
      <c r="LRB10" s="37"/>
      <c r="LRC10" s="37"/>
      <c r="LRI10" s="2"/>
      <c r="LRJ10" s="29"/>
      <c r="LRP10" s="10"/>
      <c r="LRQ10" s="36"/>
      <c r="LRR10" s="37"/>
      <c r="LRS10" s="37"/>
      <c r="LRY10" s="2"/>
      <c r="LRZ10" s="29"/>
      <c r="LSF10" s="10"/>
      <c r="LSG10" s="36"/>
      <c r="LSH10" s="37"/>
      <c r="LSI10" s="37"/>
      <c r="LSO10" s="2"/>
      <c r="LSP10" s="29"/>
      <c r="LSV10" s="10"/>
      <c r="LSW10" s="36"/>
      <c r="LSX10" s="37"/>
      <c r="LSY10" s="37"/>
      <c r="LTE10" s="2"/>
      <c r="LTF10" s="29"/>
      <c r="LTL10" s="10"/>
      <c r="LTM10" s="36"/>
      <c r="LTN10" s="37"/>
      <c r="LTO10" s="37"/>
      <c r="LTU10" s="2"/>
      <c r="LTV10" s="29"/>
      <c r="LUB10" s="10"/>
      <c r="LUC10" s="36"/>
      <c r="LUD10" s="37"/>
      <c r="LUE10" s="37"/>
      <c r="LUK10" s="2"/>
      <c r="LUL10" s="29"/>
      <c r="LUR10" s="10"/>
      <c r="LUS10" s="36"/>
      <c r="LUT10" s="37"/>
      <c r="LUU10" s="37"/>
      <c r="LVA10" s="2"/>
      <c r="LVB10" s="29"/>
      <c r="LVH10" s="10"/>
      <c r="LVI10" s="36"/>
      <c r="LVJ10" s="37"/>
      <c r="LVK10" s="37"/>
      <c r="LVQ10" s="2"/>
      <c r="LVR10" s="29"/>
      <c r="LVX10" s="10"/>
      <c r="LVY10" s="36"/>
      <c r="LVZ10" s="37"/>
      <c r="LWA10" s="37"/>
      <c r="LWG10" s="2"/>
      <c r="LWH10" s="29"/>
      <c r="LWN10" s="10"/>
      <c r="LWO10" s="36"/>
      <c r="LWP10" s="37"/>
      <c r="LWQ10" s="37"/>
      <c r="LWW10" s="2"/>
      <c r="LWX10" s="29"/>
      <c r="LXD10" s="10"/>
      <c r="LXE10" s="36"/>
      <c r="LXF10" s="37"/>
      <c r="LXG10" s="37"/>
      <c r="LXM10" s="2"/>
      <c r="LXN10" s="29"/>
      <c r="LXT10" s="10"/>
      <c r="LXU10" s="36"/>
      <c r="LXV10" s="37"/>
      <c r="LXW10" s="37"/>
      <c r="LYC10" s="2"/>
      <c r="LYD10" s="29"/>
      <c r="LYJ10" s="10"/>
      <c r="LYK10" s="36"/>
      <c r="LYL10" s="37"/>
      <c r="LYM10" s="37"/>
      <c r="LYS10" s="2"/>
      <c r="LYT10" s="29"/>
      <c r="LYZ10" s="10"/>
      <c r="LZA10" s="36"/>
      <c r="LZB10" s="37"/>
      <c r="LZC10" s="37"/>
      <c r="LZI10" s="2"/>
      <c r="LZJ10" s="29"/>
      <c r="LZP10" s="10"/>
      <c r="LZQ10" s="36"/>
      <c r="LZR10" s="37"/>
      <c r="LZS10" s="37"/>
      <c r="LZY10" s="2"/>
      <c r="LZZ10" s="29"/>
      <c r="MAF10" s="10"/>
      <c r="MAG10" s="36"/>
      <c r="MAH10" s="37"/>
      <c r="MAI10" s="37"/>
      <c r="MAO10" s="2"/>
      <c r="MAP10" s="29"/>
      <c r="MAV10" s="10"/>
      <c r="MAW10" s="36"/>
      <c r="MAX10" s="37"/>
      <c r="MAY10" s="37"/>
      <c r="MBE10" s="2"/>
      <c r="MBF10" s="29"/>
      <c r="MBL10" s="10"/>
      <c r="MBM10" s="36"/>
      <c r="MBN10" s="37"/>
      <c r="MBO10" s="37"/>
      <c r="MBU10" s="2"/>
      <c r="MBV10" s="29"/>
      <c r="MCB10" s="10"/>
      <c r="MCC10" s="36"/>
      <c r="MCD10" s="37"/>
      <c r="MCE10" s="37"/>
      <c r="MCK10" s="2"/>
      <c r="MCL10" s="29"/>
      <c r="MCR10" s="10"/>
      <c r="MCS10" s="36"/>
      <c r="MCT10" s="37"/>
      <c r="MCU10" s="37"/>
      <c r="MDA10" s="2"/>
      <c r="MDB10" s="29"/>
      <c r="MDH10" s="10"/>
      <c r="MDI10" s="36"/>
      <c r="MDJ10" s="37"/>
      <c r="MDK10" s="37"/>
      <c r="MDQ10" s="2"/>
      <c r="MDR10" s="29"/>
      <c r="MDX10" s="10"/>
      <c r="MDY10" s="36"/>
      <c r="MDZ10" s="37"/>
      <c r="MEA10" s="37"/>
      <c r="MEG10" s="2"/>
      <c r="MEH10" s="29"/>
      <c r="MEN10" s="10"/>
      <c r="MEO10" s="36"/>
      <c r="MEP10" s="37"/>
      <c r="MEQ10" s="37"/>
      <c r="MEW10" s="2"/>
      <c r="MEX10" s="29"/>
      <c r="MFD10" s="10"/>
      <c r="MFE10" s="36"/>
      <c r="MFF10" s="37"/>
      <c r="MFG10" s="37"/>
      <c r="MFM10" s="2"/>
      <c r="MFN10" s="29"/>
      <c r="MFT10" s="10"/>
      <c r="MFU10" s="36"/>
      <c r="MFV10" s="37"/>
      <c r="MFW10" s="37"/>
      <c r="MGC10" s="2"/>
      <c r="MGD10" s="29"/>
      <c r="MGJ10" s="10"/>
      <c r="MGK10" s="36"/>
      <c r="MGL10" s="37"/>
      <c r="MGM10" s="37"/>
      <c r="MGS10" s="2"/>
      <c r="MGT10" s="29"/>
      <c r="MGZ10" s="10"/>
      <c r="MHA10" s="36"/>
      <c r="MHB10" s="37"/>
      <c r="MHC10" s="37"/>
      <c r="MHI10" s="2"/>
      <c r="MHJ10" s="29"/>
      <c r="MHP10" s="10"/>
      <c r="MHQ10" s="36"/>
      <c r="MHR10" s="37"/>
      <c r="MHS10" s="37"/>
      <c r="MHY10" s="2"/>
      <c r="MHZ10" s="29"/>
      <c r="MIF10" s="10"/>
      <c r="MIG10" s="36"/>
      <c r="MIH10" s="37"/>
      <c r="MII10" s="37"/>
      <c r="MIO10" s="2"/>
      <c r="MIP10" s="29"/>
      <c r="MIV10" s="10"/>
      <c r="MIW10" s="36"/>
      <c r="MIX10" s="37"/>
      <c r="MIY10" s="37"/>
      <c r="MJE10" s="2"/>
      <c r="MJF10" s="29"/>
      <c r="MJL10" s="10"/>
      <c r="MJM10" s="36"/>
      <c r="MJN10" s="37"/>
      <c r="MJO10" s="37"/>
      <c r="MJU10" s="2"/>
      <c r="MJV10" s="29"/>
      <c r="MKB10" s="10"/>
      <c r="MKC10" s="36"/>
      <c r="MKD10" s="37"/>
      <c r="MKE10" s="37"/>
      <c r="MKK10" s="2"/>
      <c r="MKL10" s="29"/>
      <c r="MKR10" s="10"/>
      <c r="MKS10" s="36"/>
      <c r="MKT10" s="37"/>
      <c r="MKU10" s="37"/>
      <c r="MLA10" s="2"/>
      <c r="MLB10" s="29"/>
      <c r="MLH10" s="10"/>
      <c r="MLI10" s="36"/>
      <c r="MLJ10" s="37"/>
      <c r="MLK10" s="37"/>
      <c r="MLQ10" s="2"/>
      <c r="MLR10" s="29"/>
      <c r="MLX10" s="10"/>
      <c r="MLY10" s="36"/>
      <c r="MLZ10" s="37"/>
      <c r="MMA10" s="37"/>
      <c r="MMG10" s="2"/>
      <c r="MMH10" s="29"/>
      <c r="MMN10" s="10"/>
      <c r="MMO10" s="36"/>
      <c r="MMP10" s="37"/>
      <c r="MMQ10" s="37"/>
      <c r="MMW10" s="2"/>
      <c r="MMX10" s="29"/>
      <c r="MND10" s="10"/>
      <c r="MNE10" s="36"/>
      <c r="MNF10" s="37"/>
      <c r="MNG10" s="37"/>
      <c r="MNM10" s="2"/>
      <c r="MNN10" s="29"/>
      <c r="MNT10" s="10"/>
      <c r="MNU10" s="36"/>
      <c r="MNV10" s="37"/>
      <c r="MNW10" s="37"/>
      <c r="MOC10" s="2"/>
      <c r="MOD10" s="29"/>
      <c r="MOJ10" s="10"/>
      <c r="MOK10" s="36"/>
      <c r="MOL10" s="37"/>
      <c r="MOM10" s="37"/>
      <c r="MOS10" s="2"/>
      <c r="MOT10" s="29"/>
      <c r="MOZ10" s="10"/>
      <c r="MPA10" s="36"/>
      <c r="MPB10" s="37"/>
      <c r="MPC10" s="37"/>
      <c r="MPI10" s="2"/>
      <c r="MPJ10" s="29"/>
      <c r="MPP10" s="10"/>
      <c r="MPQ10" s="36"/>
      <c r="MPR10" s="37"/>
      <c r="MPS10" s="37"/>
      <c r="MPY10" s="2"/>
      <c r="MPZ10" s="29"/>
      <c r="MQF10" s="10"/>
      <c r="MQG10" s="36"/>
      <c r="MQH10" s="37"/>
      <c r="MQI10" s="37"/>
      <c r="MQO10" s="2"/>
      <c r="MQP10" s="29"/>
      <c r="MQV10" s="10"/>
      <c r="MQW10" s="36"/>
      <c r="MQX10" s="37"/>
      <c r="MQY10" s="37"/>
      <c r="MRE10" s="2"/>
      <c r="MRF10" s="29"/>
      <c r="MRL10" s="10"/>
      <c r="MRM10" s="36"/>
      <c r="MRN10" s="37"/>
      <c r="MRO10" s="37"/>
      <c r="MRU10" s="2"/>
      <c r="MRV10" s="29"/>
      <c r="MSB10" s="10"/>
      <c r="MSC10" s="36"/>
      <c r="MSD10" s="37"/>
      <c r="MSE10" s="37"/>
      <c r="MSK10" s="2"/>
      <c r="MSL10" s="29"/>
      <c r="MSR10" s="10"/>
      <c r="MSS10" s="36"/>
      <c r="MST10" s="37"/>
      <c r="MSU10" s="37"/>
      <c r="MTA10" s="2"/>
      <c r="MTB10" s="29"/>
      <c r="MTH10" s="10"/>
      <c r="MTI10" s="36"/>
      <c r="MTJ10" s="37"/>
      <c r="MTK10" s="37"/>
      <c r="MTQ10" s="2"/>
      <c r="MTR10" s="29"/>
      <c r="MTX10" s="10"/>
      <c r="MTY10" s="36"/>
      <c r="MTZ10" s="37"/>
      <c r="MUA10" s="37"/>
      <c r="MUG10" s="2"/>
      <c r="MUH10" s="29"/>
      <c r="MUN10" s="10"/>
      <c r="MUO10" s="36"/>
      <c r="MUP10" s="37"/>
      <c r="MUQ10" s="37"/>
      <c r="MUW10" s="2"/>
      <c r="MUX10" s="29"/>
      <c r="MVD10" s="10"/>
      <c r="MVE10" s="36"/>
      <c r="MVF10" s="37"/>
      <c r="MVG10" s="37"/>
      <c r="MVM10" s="2"/>
      <c r="MVN10" s="29"/>
      <c r="MVT10" s="10"/>
      <c r="MVU10" s="36"/>
      <c r="MVV10" s="37"/>
      <c r="MVW10" s="37"/>
      <c r="MWC10" s="2"/>
      <c r="MWD10" s="29"/>
      <c r="MWJ10" s="10"/>
      <c r="MWK10" s="36"/>
      <c r="MWL10" s="37"/>
      <c r="MWM10" s="37"/>
      <c r="MWS10" s="2"/>
      <c r="MWT10" s="29"/>
      <c r="MWZ10" s="10"/>
      <c r="MXA10" s="36"/>
      <c r="MXB10" s="37"/>
      <c r="MXC10" s="37"/>
      <c r="MXI10" s="2"/>
      <c r="MXJ10" s="29"/>
      <c r="MXP10" s="10"/>
      <c r="MXQ10" s="36"/>
      <c r="MXR10" s="37"/>
      <c r="MXS10" s="37"/>
      <c r="MXY10" s="2"/>
      <c r="MXZ10" s="29"/>
      <c r="MYF10" s="10"/>
      <c r="MYG10" s="36"/>
      <c r="MYH10" s="37"/>
      <c r="MYI10" s="37"/>
      <c r="MYO10" s="2"/>
      <c r="MYP10" s="29"/>
      <c r="MYV10" s="10"/>
      <c r="MYW10" s="36"/>
      <c r="MYX10" s="37"/>
      <c r="MYY10" s="37"/>
      <c r="MZE10" s="2"/>
      <c r="MZF10" s="29"/>
      <c r="MZL10" s="10"/>
      <c r="MZM10" s="36"/>
      <c r="MZN10" s="37"/>
      <c r="MZO10" s="37"/>
      <c r="MZU10" s="2"/>
      <c r="MZV10" s="29"/>
      <c r="NAB10" s="10"/>
      <c r="NAC10" s="36"/>
      <c r="NAD10" s="37"/>
      <c r="NAE10" s="37"/>
      <c r="NAK10" s="2"/>
      <c r="NAL10" s="29"/>
      <c r="NAR10" s="10"/>
      <c r="NAS10" s="36"/>
      <c r="NAT10" s="37"/>
      <c r="NAU10" s="37"/>
      <c r="NBA10" s="2"/>
      <c r="NBB10" s="29"/>
      <c r="NBH10" s="10"/>
      <c r="NBI10" s="36"/>
      <c r="NBJ10" s="37"/>
      <c r="NBK10" s="37"/>
      <c r="NBQ10" s="2"/>
      <c r="NBR10" s="29"/>
      <c r="NBX10" s="10"/>
      <c r="NBY10" s="36"/>
      <c r="NBZ10" s="37"/>
      <c r="NCA10" s="37"/>
      <c r="NCG10" s="2"/>
      <c r="NCH10" s="29"/>
      <c r="NCN10" s="10"/>
      <c r="NCO10" s="36"/>
      <c r="NCP10" s="37"/>
      <c r="NCQ10" s="37"/>
      <c r="NCW10" s="2"/>
      <c r="NCX10" s="29"/>
      <c r="NDD10" s="10"/>
      <c r="NDE10" s="36"/>
      <c r="NDF10" s="37"/>
      <c r="NDG10" s="37"/>
      <c r="NDM10" s="2"/>
      <c r="NDN10" s="29"/>
      <c r="NDT10" s="10"/>
      <c r="NDU10" s="36"/>
      <c r="NDV10" s="37"/>
      <c r="NDW10" s="37"/>
      <c r="NEC10" s="2"/>
      <c r="NED10" s="29"/>
      <c r="NEJ10" s="10"/>
      <c r="NEK10" s="36"/>
      <c r="NEL10" s="37"/>
      <c r="NEM10" s="37"/>
      <c r="NES10" s="2"/>
      <c r="NET10" s="29"/>
      <c r="NEZ10" s="10"/>
      <c r="NFA10" s="36"/>
      <c r="NFB10" s="37"/>
      <c r="NFC10" s="37"/>
      <c r="NFI10" s="2"/>
      <c r="NFJ10" s="29"/>
      <c r="NFP10" s="10"/>
      <c r="NFQ10" s="36"/>
      <c r="NFR10" s="37"/>
      <c r="NFS10" s="37"/>
      <c r="NFY10" s="2"/>
      <c r="NFZ10" s="29"/>
      <c r="NGF10" s="10"/>
      <c r="NGG10" s="36"/>
      <c r="NGH10" s="37"/>
      <c r="NGI10" s="37"/>
      <c r="NGO10" s="2"/>
      <c r="NGP10" s="29"/>
      <c r="NGV10" s="10"/>
      <c r="NGW10" s="36"/>
      <c r="NGX10" s="37"/>
      <c r="NGY10" s="37"/>
      <c r="NHE10" s="2"/>
      <c r="NHF10" s="29"/>
      <c r="NHL10" s="10"/>
      <c r="NHM10" s="36"/>
      <c r="NHN10" s="37"/>
      <c r="NHO10" s="37"/>
      <c r="NHU10" s="2"/>
      <c r="NHV10" s="29"/>
      <c r="NIB10" s="10"/>
      <c r="NIC10" s="36"/>
      <c r="NID10" s="37"/>
      <c r="NIE10" s="37"/>
      <c r="NIK10" s="2"/>
      <c r="NIL10" s="29"/>
      <c r="NIR10" s="10"/>
      <c r="NIS10" s="36"/>
      <c r="NIT10" s="37"/>
      <c r="NIU10" s="37"/>
      <c r="NJA10" s="2"/>
      <c r="NJB10" s="29"/>
      <c r="NJH10" s="10"/>
      <c r="NJI10" s="36"/>
      <c r="NJJ10" s="37"/>
      <c r="NJK10" s="37"/>
      <c r="NJQ10" s="2"/>
      <c r="NJR10" s="29"/>
      <c r="NJX10" s="10"/>
      <c r="NJY10" s="36"/>
      <c r="NJZ10" s="37"/>
      <c r="NKA10" s="37"/>
      <c r="NKG10" s="2"/>
      <c r="NKH10" s="29"/>
      <c r="NKN10" s="10"/>
      <c r="NKO10" s="36"/>
      <c r="NKP10" s="37"/>
      <c r="NKQ10" s="37"/>
      <c r="NKW10" s="2"/>
      <c r="NKX10" s="29"/>
      <c r="NLD10" s="10"/>
      <c r="NLE10" s="36"/>
      <c r="NLF10" s="37"/>
      <c r="NLG10" s="37"/>
      <c r="NLM10" s="2"/>
      <c r="NLN10" s="29"/>
      <c r="NLT10" s="10"/>
      <c r="NLU10" s="36"/>
      <c r="NLV10" s="37"/>
      <c r="NLW10" s="37"/>
      <c r="NMC10" s="2"/>
      <c r="NMD10" s="29"/>
      <c r="NMJ10" s="10"/>
      <c r="NMK10" s="36"/>
      <c r="NML10" s="37"/>
      <c r="NMM10" s="37"/>
      <c r="NMS10" s="2"/>
      <c r="NMT10" s="29"/>
      <c r="NMZ10" s="10"/>
      <c r="NNA10" s="36"/>
      <c r="NNB10" s="37"/>
      <c r="NNC10" s="37"/>
      <c r="NNI10" s="2"/>
      <c r="NNJ10" s="29"/>
      <c r="NNP10" s="10"/>
      <c r="NNQ10" s="36"/>
      <c r="NNR10" s="37"/>
      <c r="NNS10" s="37"/>
      <c r="NNY10" s="2"/>
      <c r="NNZ10" s="29"/>
      <c r="NOF10" s="10"/>
      <c r="NOG10" s="36"/>
      <c r="NOH10" s="37"/>
      <c r="NOI10" s="37"/>
      <c r="NOO10" s="2"/>
      <c r="NOP10" s="29"/>
      <c r="NOV10" s="10"/>
      <c r="NOW10" s="36"/>
      <c r="NOX10" s="37"/>
      <c r="NOY10" s="37"/>
      <c r="NPE10" s="2"/>
      <c r="NPF10" s="29"/>
      <c r="NPL10" s="10"/>
      <c r="NPM10" s="36"/>
      <c r="NPN10" s="37"/>
      <c r="NPO10" s="37"/>
      <c r="NPU10" s="2"/>
      <c r="NPV10" s="29"/>
      <c r="NQB10" s="10"/>
      <c r="NQC10" s="36"/>
      <c r="NQD10" s="37"/>
      <c r="NQE10" s="37"/>
      <c r="NQK10" s="2"/>
      <c r="NQL10" s="29"/>
      <c r="NQR10" s="10"/>
      <c r="NQS10" s="36"/>
      <c r="NQT10" s="37"/>
      <c r="NQU10" s="37"/>
      <c r="NRA10" s="2"/>
      <c r="NRB10" s="29"/>
      <c r="NRH10" s="10"/>
      <c r="NRI10" s="36"/>
      <c r="NRJ10" s="37"/>
      <c r="NRK10" s="37"/>
      <c r="NRQ10" s="2"/>
      <c r="NRR10" s="29"/>
      <c r="NRX10" s="10"/>
      <c r="NRY10" s="36"/>
      <c r="NRZ10" s="37"/>
      <c r="NSA10" s="37"/>
      <c r="NSG10" s="2"/>
      <c r="NSH10" s="29"/>
      <c r="NSN10" s="10"/>
      <c r="NSO10" s="36"/>
      <c r="NSP10" s="37"/>
      <c r="NSQ10" s="37"/>
      <c r="NSW10" s="2"/>
      <c r="NSX10" s="29"/>
      <c r="NTD10" s="10"/>
      <c r="NTE10" s="36"/>
      <c r="NTF10" s="37"/>
      <c r="NTG10" s="37"/>
      <c r="NTM10" s="2"/>
      <c r="NTN10" s="29"/>
      <c r="NTT10" s="10"/>
      <c r="NTU10" s="36"/>
      <c r="NTV10" s="37"/>
      <c r="NTW10" s="37"/>
      <c r="NUC10" s="2"/>
      <c r="NUD10" s="29"/>
      <c r="NUJ10" s="10"/>
      <c r="NUK10" s="36"/>
      <c r="NUL10" s="37"/>
      <c r="NUM10" s="37"/>
      <c r="NUS10" s="2"/>
      <c r="NUT10" s="29"/>
      <c r="NUZ10" s="10"/>
      <c r="NVA10" s="36"/>
      <c r="NVB10" s="37"/>
      <c r="NVC10" s="37"/>
      <c r="NVI10" s="2"/>
      <c r="NVJ10" s="29"/>
      <c r="NVP10" s="10"/>
      <c r="NVQ10" s="36"/>
      <c r="NVR10" s="37"/>
      <c r="NVS10" s="37"/>
      <c r="NVY10" s="2"/>
      <c r="NVZ10" s="29"/>
      <c r="NWF10" s="10"/>
      <c r="NWG10" s="36"/>
      <c r="NWH10" s="37"/>
      <c r="NWI10" s="37"/>
      <c r="NWO10" s="2"/>
      <c r="NWP10" s="29"/>
      <c r="NWV10" s="10"/>
      <c r="NWW10" s="36"/>
      <c r="NWX10" s="37"/>
      <c r="NWY10" s="37"/>
      <c r="NXE10" s="2"/>
      <c r="NXF10" s="29"/>
      <c r="NXL10" s="10"/>
      <c r="NXM10" s="36"/>
      <c r="NXN10" s="37"/>
      <c r="NXO10" s="37"/>
      <c r="NXU10" s="2"/>
      <c r="NXV10" s="29"/>
      <c r="NYB10" s="10"/>
      <c r="NYC10" s="36"/>
      <c r="NYD10" s="37"/>
      <c r="NYE10" s="37"/>
      <c r="NYK10" s="2"/>
      <c r="NYL10" s="29"/>
      <c r="NYR10" s="10"/>
      <c r="NYS10" s="36"/>
      <c r="NYT10" s="37"/>
      <c r="NYU10" s="37"/>
      <c r="NZA10" s="2"/>
      <c r="NZB10" s="29"/>
      <c r="NZH10" s="10"/>
      <c r="NZI10" s="36"/>
      <c r="NZJ10" s="37"/>
      <c r="NZK10" s="37"/>
      <c r="NZQ10" s="2"/>
      <c r="NZR10" s="29"/>
      <c r="NZX10" s="10"/>
      <c r="NZY10" s="36"/>
      <c r="NZZ10" s="37"/>
      <c r="OAA10" s="37"/>
      <c r="OAG10" s="2"/>
      <c r="OAH10" s="29"/>
      <c r="OAN10" s="10"/>
      <c r="OAO10" s="36"/>
      <c r="OAP10" s="37"/>
      <c r="OAQ10" s="37"/>
      <c r="OAW10" s="2"/>
      <c r="OAX10" s="29"/>
      <c r="OBD10" s="10"/>
      <c r="OBE10" s="36"/>
      <c r="OBF10" s="37"/>
      <c r="OBG10" s="37"/>
      <c r="OBM10" s="2"/>
      <c r="OBN10" s="29"/>
      <c r="OBT10" s="10"/>
      <c r="OBU10" s="36"/>
      <c r="OBV10" s="37"/>
      <c r="OBW10" s="37"/>
      <c r="OCC10" s="2"/>
      <c r="OCD10" s="29"/>
      <c r="OCJ10" s="10"/>
      <c r="OCK10" s="36"/>
      <c r="OCL10" s="37"/>
      <c r="OCM10" s="37"/>
      <c r="OCS10" s="2"/>
      <c r="OCT10" s="29"/>
      <c r="OCZ10" s="10"/>
      <c r="ODA10" s="36"/>
      <c r="ODB10" s="37"/>
      <c r="ODC10" s="37"/>
      <c r="ODI10" s="2"/>
      <c r="ODJ10" s="29"/>
      <c r="ODP10" s="10"/>
      <c r="ODQ10" s="36"/>
      <c r="ODR10" s="37"/>
      <c r="ODS10" s="37"/>
      <c r="ODY10" s="2"/>
      <c r="ODZ10" s="29"/>
      <c r="OEF10" s="10"/>
      <c r="OEG10" s="36"/>
      <c r="OEH10" s="37"/>
      <c r="OEI10" s="37"/>
      <c r="OEO10" s="2"/>
      <c r="OEP10" s="29"/>
      <c r="OEV10" s="10"/>
      <c r="OEW10" s="36"/>
      <c r="OEX10" s="37"/>
      <c r="OEY10" s="37"/>
      <c r="OFE10" s="2"/>
      <c r="OFF10" s="29"/>
      <c r="OFL10" s="10"/>
      <c r="OFM10" s="36"/>
      <c r="OFN10" s="37"/>
      <c r="OFO10" s="37"/>
      <c r="OFU10" s="2"/>
      <c r="OFV10" s="29"/>
      <c r="OGB10" s="10"/>
      <c r="OGC10" s="36"/>
      <c r="OGD10" s="37"/>
      <c r="OGE10" s="37"/>
      <c r="OGK10" s="2"/>
      <c r="OGL10" s="29"/>
      <c r="OGR10" s="10"/>
      <c r="OGS10" s="36"/>
      <c r="OGT10" s="37"/>
      <c r="OGU10" s="37"/>
      <c r="OHA10" s="2"/>
      <c r="OHB10" s="29"/>
      <c r="OHH10" s="10"/>
      <c r="OHI10" s="36"/>
      <c r="OHJ10" s="37"/>
      <c r="OHK10" s="37"/>
      <c r="OHQ10" s="2"/>
      <c r="OHR10" s="29"/>
      <c r="OHX10" s="10"/>
      <c r="OHY10" s="36"/>
      <c r="OHZ10" s="37"/>
      <c r="OIA10" s="37"/>
      <c r="OIG10" s="2"/>
      <c r="OIH10" s="29"/>
      <c r="OIN10" s="10"/>
      <c r="OIO10" s="36"/>
      <c r="OIP10" s="37"/>
      <c r="OIQ10" s="37"/>
      <c r="OIW10" s="2"/>
      <c r="OIX10" s="29"/>
      <c r="OJD10" s="10"/>
      <c r="OJE10" s="36"/>
      <c r="OJF10" s="37"/>
      <c r="OJG10" s="37"/>
      <c r="OJM10" s="2"/>
      <c r="OJN10" s="29"/>
      <c r="OJT10" s="10"/>
      <c r="OJU10" s="36"/>
      <c r="OJV10" s="37"/>
      <c r="OJW10" s="37"/>
      <c r="OKC10" s="2"/>
      <c r="OKD10" s="29"/>
      <c r="OKJ10" s="10"/>
      <c r="OKK10" s="36"/>
      <c r="OKL10" s="37"/>
      <c r="OKM10" s="37"/>
      <c r="OKS10" s="2"/>
      <c r="OKT10" s="29"/>
      <c r="OKZ10" s="10"/>
      <c r="OLA10" s="36"/>
      <c r="OLB10" s="37"/>
      <c r="OLC10" s="37"/>
      <c r="OLI10" s="2"/>
      <c r="OLJ10" s="29"/>
      <c r="OLP10" s="10"/>
      <c r="OLQ10" s="36"/>
      <c r="OLR10" s="37"/>
      <c r="OLS10" s="37"/>
      <c r="OLY10" s="2"/>
      <c r="OLZ10" s="29"/>
      <c r="OMF10" s="10"/>
      <c r="OMG10" s="36"/>
      <c r="OMH10" s="37"/>
      <c r="OMI10" s="37"/>
      <c r="OMO10" s="2"/>
      <c r="OMP10" s="29"/>
      <c r="OMV10" s="10"/>
      <c r="OMW10" s="36"/>
      <c r="OMX10" s="37"/>
      <c r="OMY10" s="37"/>
      <c r="ONE10" s="2"/>
      <c r="ONF10" s="29"/>
      <c r="ONL10" s="10"/>
      <c r="ONM10" s="36"/>
      <c r="ONN10" s="37"/>
      <c r="ONO10" s="37"/>
      <c r="ONU10" s="2"/>
      <c r="ONV10" s="29"/>
      <c r="OOB10" s="10"/>
      <c r="OOC10" s="36"/>
      <c r="OOD10" s="37"/>
      <c r="OOE10" s="37"/>
      <c r="OOK10" s="2"/>
      <c r="OOL10" s="29"/>
      <c r="OOR10" s="10"/>
      <c r="OOS10" s="36"/>
      <c r="OOT10" s="37"/>
      <c r="OOU10" s="37"/>
      <c r="OPA10" s="2"/>
      <c r="OPB10" s="29"/>
      <c r="OPH10" s="10"/>
      <c r="OPI10" s="36"/>
      <c r="OPJ10" s="37"/>
      <c r="OPK10" s="37"/>
      <c r="OPQ10" s="2"/>
      <c r="OPR10" s="29"/>
      <c r="OPX10" s="10"/>
      <c r="OPY10" s="36"/>
      <c r="OPZ10" s="37"/>
      <c r="OQA10" s="37"/>
      <c r="OQG10" s="2"/>
      <c r="OQH10" s="29"/>
      <c r="OQN10" s="10"/>
      <c r="OQO10" s="36"/>
      <c r="OQP10" s="37"/>
      <c r="OQQ10" s="37"/>
      <c r="OQW10" s="2"/>
      <c r="OQX10" s="29"/>
      <c r="ORD10" s="10"/>
      <c r="ORE10" s="36"/>
      <c r="ORF10" s="37"/>
      <c r="ORG10" s="37"/>
      <c r="ORM10" s="2"/>
      <c r="ORN10" s="29"/>
      <c r="ORT10" s="10"/>
      <c r="ORU10" s="36"/>
      <c r="ORV10" s="37"/>
      <c r="ORW10" s="37"/>
      <c r="OSC10" s="2"/>
      <c r="OSD10" s="29"/>
      <c r="OSJ10" s="10"/>
      <c r="OSK10" s="36"/>
      <c r="OSL10" s="37"/>
      <c r="OSM10" s="37"/>
      <c r="OSS10" s="2"/>
      <c r="OST10" s="29"/>
      <c r="OSZ10" s="10"/>
      <c r="OTA10" s="36"/>
      <c r="OTB10" s="37"/>
      <c r="OTC10" s="37"/>
      <c r="OTI10" s="2"/>
      <c r="OTJ10" s="29"/>
      <c r="OTP10" s="10"/>
      <c r="OTQ10" s="36"/>
      <c r="OTR10" s="37"/>
      <c r="OTS10" s="37"/>
      <c r="OTY10" s="2"/>
      <c r="OTZ10" s="29"/>
      <c r="OUF10" s="10"/>
      <c r="OUG10" s="36"/>
      <c r="OUH10" s="37"/>
      <c r="OUI10" s="37"/>
      <c r="OUO10" s="2"/>
      <c r="OUP10" s="29"/>
      <c r="OUV10" s="10"/>
      <c r="OUW10" s="36"/>
      <c r="OUX10" s="37"/>
      <c r="OUY10" s="37"/>
      <c r="OVE10" s="2"/>
      <c r="OVF10" s="29"/>
      <c r="OVL10" s="10"/>
      <c r="OVM10" s="36"/>
      <c r="OVN10" s="37"/>
      <c r="OVO10" s="37"/>
      <c r="OVU10" s="2"/>
      <c r="OVV10" s="29"/>
      <c r="OWB10" s="10"/>
      <c r="OWC10" s="36"/>
      <c r="OWD10" s="37"/>
      <c r="OWE10" s="37"/>
      <c r="OWK10" s="2"/>
      <c r="OWL10" s="29"/>
      <c r="OWR10" s="10"/>
      <c r="OWS10" s="36"/>
      <c r="OWT10" s="37"/>
      <c r="OWU10" s="37"/>
      <c r="OXA10" s="2"/>
      <c r="OXB10" s="29"/>
      <c r="OXH10" s="10"/>
      <c r="OXI10" s="36"/>
      <c r="OXJ10" s="37"/>
      <c r="OXK10" s="37"/>
      <c r="OXQ10" s="2"/>
      <c r="OXR10" s="29"/>
      <c r="OXX10" s="10"/>
      <c r="OXY10" s="36"/>
      <c r="OXZ10" s="37"/>
      <c r="OYA10" s="37"/>
      <c r="OYG10" s="2"/>
      <c r="OYH10" s="29"/>
      <c r="OYN10" s="10"/>
      <c r="OYO10" s="36"/>
      <c r="OYP10" s="37"/>
      <c r="OYQ10" s="37"/>
      <c r="OYW10" s="2"/>
      <c r="OYX10" s="29"/>
      <c r="OZD10" s="10"/>
      <c r="OZE10" s="36"/>
      <c r="OZF10" s="37"/>
      <c r="OZG10" s="37"/>
      <c r="OZM10" s="2"/>
      <c r="OZN10" s="29"/>
      <c r="OZT10" s="10"/>
      <c r="OZU10" s="36"/>
      <c r="OZV10" s="37"/>
      <c r="OZW10" s="37"/>
      <c r="PAC10" s="2"/>
      <c r="PAD10" s="29"/>
      <c r="PAJ10" s="10"/>
      <c r="PAK10" s="36"/>
      <c r="PAL10" s="37"/>
      <c r="PAM10" s="37"/>
      <c r="PAS10" s="2"/>
      <c r="PAT10" s="29"/>
      <c r="PAZ10" s="10"/>
      <c r="PBA10" s="36"/>
      <c r="PBB10" s="37"/>
      <c r="PBC10" s="37"/>
      <c r="PBI10" s="2"/>
      <c r="PBJ10" s="29"/>
      <c r="PBP10" s="10"/>
      <c r="PBQ10" s="36"/>
      <c r="PBR10" s="37"/>
      <c r="PBS10" s="37"/>
      <c r="PBY10" s="2"/>
      <c r="PBZ10" s="29"/>
      <c r="PCF10" s="10"/>
      <c r="PCG10" s="36"/>
      <c r="PCH10" s="37"/>
      <c r="PCI10" s="37"/>
      <c r="PCO10" s="2"/>
      <c r="PCP10" s="29"/>
      <c r="PCV10" s="10"/>
      <c r="PCW10" s="36"/>
      <c r="PCX10" s="37"/>
      <c r="PCY10" s="37"/>
      <c r="PDE10" s="2"/>
      <c r="PDF10" s="29"/>
      <c r="PDL10" s="10"/>
      <c r="PDM10" s="36"/>
      <c r="PDN10" s="37"/>
      <c r="PDO10" s="37"/>
      <c r="PDU10" s="2"/>
      <c r="PDV10" s="29"/>
      <c r="PEB10" s="10"/>
      <c r="PEC10" s="36"/>
      <c r="PED10" s="37"/>
      <c r="PEE10" s="37"/>
      <c r="PEK10" s="2"/>
      <c r="PEL10" s="29"/>
      <c r="PER10" s="10"/>
      <c r="PES10" s="36"/>
      <c r="PET10" s="37"/>
      <c r="PEU10" s="37"/>
      <c r="PFA10" s="2"/>
      <c r="PFB10" s="29"/>
      <c r="PFH10" s="10"/>
      <c r="PFI10" s="36"/>
      <c r="PFJ10" s="37"/>
      <c r="PFK10" s="37"/>
      <c r="PFQ10" s="2"/>
      <c r="PFR10" s="29"/>
      <c r="PFX10" s="10"/>
      <c r="PFY10" s="36"/>
      <c r="PFZ10" s="37"/>
      <c r="PGA10" s="37"/>
      <c r="PGG10" s="2"/>
      <c r="PGH10" s="29"/>
      <c r="PGN10" s="10"/>
      <c r="PGO10" s="36"/>
      <c r="PGP10" s="37"/>
      <c r="PGQ10" s="37"/>
      <c r="PGW10" s="2"/>
      <c r="PGX10" s="29"/>
      <c r="PHD10" s="10"/>
      <c r="PHE10" s="36"/>
      <c r="PHF10" s="37"/>
      <c r="PHG10" s="37"/>
      <c r="PHM10" s="2"/>
      <c r="PHN10" s="29"/>
      <c r="PHT10" s="10"/>
      <c r="PHU10" s="36"/>
      <c r="PHV10" s="37"/>
      <c r="PHW10" s="37"/>
      <c r="PIC10" s="2"/>
      <c r="PID10" s="29"/>
      <c r="PIJ10" s="10"/>
      <c r="PIK10" s="36"/>
      <c r="PIL10" s="37"/>
      <c r="PIM10" s="37"/>
      <c r="PIS10" s="2"/>
      <c r="PIT10" s="29"/>
      <c r="PIZ10" s="10"/>
      <c r="PJA10" s="36"/>
      <c r="PJB10" s="37"/>
      <c r="PJC10" s="37"/>
      <c r="PJI10" s="2"/>
      <c r="PJJ10" s="29"/>
      <c r="PJP10" s="10"/>
      <c r="PJQ10" s="36"/>
      <c r="PJR10" s="37"/>
      <c r="PJS10" s="37"/>
      <c r="PJY10" s="2"/>
      <c r="PJZ10" s="29"/>
      <c r="PKF10" s="10"/>
      <c r="PKG10" s="36"/>
      <c r="PKH10" s="37"/>
      <c r="PKI10" s="37"/>
      <c r="PKO10" s="2"/>
      <c r="PKP10" s="29"/>
      <c r="PKV10" s="10"/>
      <c r="PKW10" s="36"/>
      <c r="PKX10" s="37"/>
      <c r="PKY10" s="37"/>
      <c r="PLE10" s="2"/>
      <c r="PLF10" s="29"/>
      <c r="PLL10" s="10"/>
      <c r="PLM10" s="36"/>
      <c r="PLN10" s="37"/>
      <c r="PLO10" s="37"/>
      <c r="PLU10" s="2"/>
      <c r="PLV10" s="29"/>
      <c r="PMB10" s="10"/>
      <c r="PMC10" s="36"/>
      <c r="PMD10" s="37"/>
      <c r="PME10" s="37"/>
      <c r="PMK10" s="2"/>
      <c r="PML10" s="29"/>
      <c r="PMR10" s="10"/>
      <c r="PMS10" s="36"/>
      <c r="PMT10" s="37"/>
      <c r="PMU10" s="37"/>
      <c r="PNA10" s="2"/>
      <c r="PNB10" s="29"/>
      <c r="PNH10" s="10"/>
      <c r="PNI10" s="36"/>
      <c r="PNJ10" s="37"/>
      <c r="PNK10" s="37"/>
      <c r="PNQ10" s="2"/>
      <c r="PNR10" s="29"/>
      <c r="PNX10" s="10"/>
      <c r="PNY10" s="36"/>
      <c r="PNZ10" s="37"/>
      <c r="POA10" s="37"/>
      <c r="POG10" s="2"/>
      <c r="POH10" s="29"/>
      <c r="PON10" s="10"/>
      <c r="POO10" s="36"/>
      <c r="POP10" s="37"/>
      <c r="POQ10" s="37"/>
      <c r="POW10" s="2"/>
      <c r="POX10" s="29"/>
      <c r="PPD10" s="10"/>
      <c r="PPE10" s="36"/>
      <c r="PPF10" s="37"/>
      <c r="PPG10" s="37"/>
      <c r="PPM10" s="2"/>
      <c r="PPN10" s="29"/>
      <c r="PPT10" s="10"/>
      <c r="PPU10" s="36"/>
      <c r="PPV10" s="37"/>
      <c r="PPW10" s="37"/>
      <c r="PQC10" s="2"/>
      <c r="PQD10" s="29"/>
      <c r="PQJ10" s="10"/>
      <c r="PQK10" s="36"/>
      <c r="PQL10" s="37"/>
      <c r="PQM10" s="37"/>
      <c r="PQS10" s="2"/>
      <c r="PQT10" s="29"/>
      <c r="PQZ10" s="10"/>
      <c r="PRA10" s="36"/>
      <c r="PRB10" s="37"/>
      <c r="PRC10" s="37"/>
      <c r="PRI10" s="2"/>
      <c r="PRJ10" s="29"/>
      <c r="PRP10" s="10"/>
      <c r="PRQ10" s="36"/>
      <c r="PRR10" s="37"/>
      <c r="PRS10" s="37"/>
      <c r="PRY10" s="2"/>
      <c r="PRZ10" s="29"/>
      <c r="PSF10" s="10"/>
      <c r="PSG10" s="36"/>
      <c r="PSH10" s="37"/>
      <c r="PSI10" s="37"/>
      <c r="PSO10" s="2"/>
      <c r="PSP10" s="29"/>
      <c r="PSV10" s="10"/>
      <c r="PSW10" s="36"/>
      <c r="PSX10" s="37"/>
      <c r="PSY10" s="37"/>
      <c r="PTE10" s="2"/>
      <c r="PTF10" s="29"/>
      <c r="PTL10" s="10"/>
      <c r="PTM10" s="36"/>
      <c r="PTN10" s="37"/>
      <c r="PTO10" s="37"/>
      <c r="PTU10" s="2"/>
      <c r="PTV10" s="29"/>
      <c r="PUB10" s="10"/>
      <c r="PUC10" s="36"/>
      <c r="PUD10" s="37"/>
      <c r="PUE10" s="37"/>
      <c r="PUK10" s="2"/>
      <c r="PUL10" s="29"/>
      <c r="PUR10" s="10"/>
      <c r="PUS10" s="36"/>
      <c r="PUT10" s="37"/>
      <c r="PUU10" s="37"/>
      <c r="PVA10" s="2"/>
      <c r="PVB10" s="29"/>
      <c r="PVH10" s="10"/>
      <c r="PVI10" s="36"/>
      <c r="PVJ10" s="37"/>
      <c r="PVK10" s="37"/>
      <c r="PVQ10" s="2"/>
      <c r="PVR10" s="29"/>
      <c r="PVX10" s="10"/>
      <c r="PVY10" s="36"/>
      <c r="PVZ10" s="37"/>
      <c r="PWA10" s="37"/>
      <c r="PWG10" s="2"/>
      <c r="PWH10" s="29"/>
      <c r="PWN10" s="10"/>
      <c r="PWO10" s="36"/>
      <c r="PWP10" s="37"/>
      <c r="PWQ10" s="37"/>
      <c r="PWW10" s="2"/>
      <c r="PWX10" s="29"/>
      <c r="PXD10" s="10"/>
      <c r="PXE10" s="36"/>
      <c r="PXF10" s="37"/>
      <c r="PXG10" s="37"/>
      <c r="PXM10" s="2"/>
      <c r="PXN10" s="29"/>
      <c r="PXT10" s="10"/>
      <c r="PXU10" s="36"/>
      <c r="PXV10" s="37"/>
      <c r="PXW10" s="37"/>
      <c r="PYC10" s="2"/>
      <c r="PYD10" s="29"/>
      <c r="PYJ10" s="10"/>
      <c r="PYK10" s="36"/>
      <c r="PYL10" s="37"/>
      <c r="PYM10" s="37"/>
      <c r="PYS10" s="2"/>
      <c r="PYT10" s="29"/>
      <c r="PYZ10" s="10"/>
      <c r="PZA10" s="36"/>
      <c r="PZB10" s="37"/>
      <c r="PZC10" s="37"/>
      <c r="PZI10" s="2"/>
      <c r="PZJ10" s="29"/>
      <c r="PZP10" s="10"/>
      <c r="PZQ10" s="36"/>
      <c r="PZR10" s="37"/>
      <c r="PZS10" s="37"/>
      <c r="PZY10" s="2"/>
      <c r="PZZ10" s="29"/>
      <c r="QAF10" s="10"/>
      <c r="QAG10" s="36"/>
      <c r="QAH10" s="37"/>
      <c r="QAI10" s="37"/>
      <c r="QAO10" s="2"/>
      <c r="QAP10" s="29"/>
      <c r="QAV10" s="10"/>
      <c r="QAW10" s="36"/>
      <c r="QAX10" s="37"/>
      <c r="QAY10" s="37"/>
      <c r="QBE10" s="2"/>
      <c r="QBF10" s="29"/>
      <c r="QBL10" s="10"/>
      <c r="QBM10" s="36"/>
      <c r="QBN10" s="37"/>
      <c r="QBO10" s="37"/>
      <c r="QBU10" s="2"/>
      <c r="QBV10" s="29"/>
      <c r="QCB10" s="10"/>
      <c r="QCC10" s="36"/>
      <c r="QCD10" s="37"/>
      <c r="QCE10" s="37"/>
      <c r="QCK10" s="2"/>
      <c r="QCL10" s="29"/>
      <c r="QCR10" s="10"/>
      <c r="QCS10" s="36"/>
      <c r="QCT10" s="37"/>
      <c r="QCU10" s="37"/>
      <c r="QDA10" s="2"/>
      <c r="QDB10" s="29"/>
      <c r="QDH10" s="10"/>
      <c r="QDI10" s="36"/>
      <c r="QDJ10" s="37"/>
      <c r="QDK10" s="37"/>
      <c r="QDQ10" s="2"/>
      <c r="QDR10" s="29"/>
      <c r="QDX10" s="10"/>
      <c r="QDY10" s="36"/>
      <c r="QDZ10" s="37"/>
      <c r="QEA10" s="37"/>
      <c r="QEG10" s="2"/>
      <c r="QEH10" s="29"/>
      <c r="QEN10" s="10"/>
      <c r="QEO10" s="36"/>
      <c r="QEP10" s="37"/>
      <c r="QEQ10" s="37"/>
      <c r="QEW10" s="2"/>
      <c r="QEX10" s="29"/>
      <c r="QFD10" s="10"/>
      <c r="QFE10" s="36"/>
      <c r="QFF10" s="37"/>
      <c r="QFG10" s="37"/>
      <c r="QFM10" s="2"/>
      <c r="QFN10" s="29"/>
      <c r="QFT10" s="10"/>
      <c r="QFU10" s="36"/>
      <c r="QFV10" s="37"/>
      <c r="QFW10" s="37"/>
      <c r="QGC10" s="2"/>
      <c r="QGD10" s="29"/>
      <c r="QGJ10" s="10"/>
      <c r="QGK10" s="36"/>
      <c r="QGL10" s="37"/>
      <c r="QGM10" s="37"/>
      <c r="QGS10" s="2"/>
      <c r="QGT10" s="29"/>
      <c r="QGZ10" s="10"/>
      <c r="QHA10" s="36"/>
      <c r="QHB10" s="37"/>
      <c r="QHC10" s="37"/>
      <c r="QHI10" s="2"/>
      <c r="QHJ10" s="29"/>
      <c r="QHP10" s="10"/>
      <c r="QHQ10" s="36"/>
      <c r="QHR10" s="37"/>
      <c r="QHS10" s="37"/>
      <c r="QHY10" s="2"/>
      <c r="QHZ10" s="29"/>
      <c r="QIF10" s="10"/>
      <c r="QIG10" s="36"/>
      <c r="QIH10" s="37"/>
      <c r="QII10" s="37"/>
      <c r="QIO10" s="2"/>
      <c r="QIP10" s="29"/>
      <c r="QIV10" s="10"/>
      <c r="QIW10" s="36"/>
      <c r="QIX10" s="37"/>
      <c r="QIY10" s="37"/>
      <c r="QJE10" s="2"/>
      <c r="QJF10" s="29"/>
      <c r="QJL10" s="10"/>
      <c r="QJM10" s="36"/>
      <c r="QJN10" s="37"/>
      <c r="QJO10" s="37"/>
      <c r="QJU10" s="2"/>
      <c r="QJV10" s="29"/>
      <c r="QKB10" s="10"/>
      <c r="QKC10" s="36"/>
      <c r="QKD10" s="37"/>
      <c r="QKE10" s="37"/>
      <c r="QKK10" s="2"/>
      <c r="QKL10" s="29"/>
      <c r="QKR10" s="10"/>
      <c r="QKS10" s="36"/>
      <c r="QKT10" s="37"/>
      <c r="QKU10" s="37"/>
      <c r="QLA10" s="2"/>
      <c r="QLB10" s="29"/>
      <c r="QLH10" s="10"/>
      <c r="QLI10" s="36"/>
      <c r="QLJ10" s="37"/>
      <c r="QLK10" s="37"/>
      <c r="QLQ10" s="2"/>
      <c r="QLR10" s="29"/>
      <c r="QLX10" s="10"/>
      <c r="QLY10" s="36"/>
      <c r="QLZ10" s="37"/>
      <c r="QMA10" s="37"/>
      <c r="QMG10" s="2"/>
      <c r="QMH10" s="29"/>
      <c r="QMN10" s="10"/>
      <c r="QMO10" s="36"/>
      <c r="QMP10" s="37"/>
      <c r="QMQ10" s="37"/>
      <c r="QMW10" s="2"/>
      <c r="QMX10" s="29"/>
      <c r="QND10" s="10"/>
      <c r="QNE10" s="36"/>
      <c r="QNF10" s="37"/>
      <c r="QNG10" s="37"/>
      <c r="QNM10" s="2"/>
      <c r="QNN10" s="29"/>
      <c r="QNT10" s="10"/>
      <c r="QNU10" s="36"/>
      <c r="QNV10" s="37"/>
      <c r="QNW10" s="37"/>
      <c r="QOC10" s="2"/>
      <c r="QOD10" s="29"/>
      <c r="QOJ10" s="10"/>
      <c r="QOK10" s="36"/>
      <c r="QOL10" s="37"/>
      <c r="QOM10" s="37"/>
      <c r="QOS10" s="2"/>
      <c r="QOT10" s="29"/>
      <c r="QOZ10" s="10"/>
      <c r="QPA10" s="36"/>
      <c r="QPB10" s="37"/>
      <c r="QPC10" s="37"/>
      <c r="QPI10" s="2"/>
      <c r="QPJ10" s="29"/>
      <c r="QPP10" s="10"/>
      <c r="QPQ10" s="36"/>
      <c r="QPR10" s="37"/>
      <c r="QPS10" s="37"/>
      <c r="QPY10" s="2"/>
      <c r="QPZ10" s="29"/>
      <c r="QQF10" s="10"/>
      <c r="QQG10" s="36"/>
      <c r="QQH10" s="37"/>
      <c r="QQI10" s="37"/>
      <c r="QQO10" s="2"/>
      <c r="QQP10" s="29"/>
      <c r="QQV10" s="10"/>
      <c r="QQW10" s="36"/>
      <c r="QQX10" s="37"/>
      <c r="QQY10" s="37"/>
      <c r="QRE10" s="2"/>
      <c r="QRF10" s="29"/>
      <c r="QRL10" s="10"/>
      <c r="QRM10" s="36"/>
      <c r="QRN10" s="37"/>
      <c r="QRO10" s="37"/>
      <c r="QRU10" s="2"/>
      <c r="QRV10" s="29"/>
      <c r="QSB10" s="10"/>
      <c r="QSC10" s="36"/>
      <c r="QSD10" s="37"/>
      <c r="QSE10" s="37"/>
      <c r="QSK10" s="2"/>
      <c r="QSL10" s="29"/>
      <c r="QSR10" s="10"/>
      <c r="QSS10" s="36"/>
      <c r="QST10" s="37"/>
      <c r="QSU10" s="37"/>
      <c r="QTA10" s="2"/>
      <c r="QTB10" s="29"/>
      <c r="QTH10" s="10"/>
      <c r="QTI10" s="36"/>
      <c r="QTJ10" s="37"/>
      <c r="QTK10" s="37"/>
      <c r="QTQ10" s="2"/>
      <c r="QTR10" s="29"/>
      <c r="QTX10" s="10"/>
      <c r="QTY10" s="36"/>
      <c r="QTZ10" s="37"/>
      <c r="QUA10" s="37"/>
      <c r="QUG10" s="2"/>
      <c r="QUH10" s="29"/>
      <c r="QUN10" s="10"/>
      <c r="QUO10" s="36"/>
      <c r="QUP10" s="37"/>
      <c r="QUQ10" s="37"/>
      <c r="QUW10" s="2"/>
      <c r="QUX10" s="29"/>
      <c r="QVD10" s="10"/>
      <c r="QVE10" s="36"/>
      <c r="QVF10" s="37"/>
      <c r="QVG10" s="37"/>
      <c r="QVM10" s="2"/>
      <c r="QVN10" s="29"/>
      <c r="QVT10" s="10"/>
      <c r="QVU10" s="36"/>
      <c r="QVV10" s="37"/>
      <c r="QVW10" s="37"/>
      <c r="QWC10" s="2"/>
      <c r="QWD10" s="29"/>
      <c r="QWJ10" s="10"/>
      <c r="QWK10" s="36"/>
      <c r="QWL10" s="37"/>
      <c r="QWM10" s="37"/>
      <c r="QWS10" s="2"/>
      <c r="QWT10" s="29"/>
      <c r="QWZ10" s="10"/>
      <c r="QXA10" s="36"/>
      <c r="QXB10" s="37"/>
      <c r="QXC10" s="37"/>
      <c r="QXI10" s="2"/>
      <c r="QXJ10" s="29"/>
      <c r="QXP10" s="10"/>
      <c r="QXQ10" s="36"/>
      <c r="QXR10" s="37"/>
      <c r="QXS10" s="37"/>
      <c r="QXY10" s="2"/>
      <c r="QXZ10" s="29"/>
      <c r="QYF10" s="10"/>
      <c r="QYG10" s="36"/>
      <c r="QYH10" s="37"/>
      <c r="QYI10" s="37"/>
      <c r="QYO10" s="2"/>
      <c r="QYP10" s="29"/>
      <c r="QYV10" s="10"/>
      <c r="QYW10" s="36"/>
      <c r="QYX10" s="37"/>
      <c r="QYY10" s="37"/>
      <c r="QZE10" s="2"/>
      <c r="QZF10" s="29"/>
      <c r="QZL10" s="10"/>
      <c r="QZM10" s="36"/>
      <c r="QZN10" s="37"/>
      <c r="QZO10" s="37"/>
      <c r="QZU10" s="2"/>
      <c r="QZV10" s="29"/>
      <c r="RAB10" s="10"/>
      <c r="RAC10" s="36"/>
      <c r="RAD10" s="37"/>
      <c r="RAE10" s="37"/>
      <c r="RAK10" s="2"/>
      <c r="RAL10" s="29"/>
      <c r="RAR10" s="10"/>
      <c r="RAS10" s="36"/>
      <c r="RAT10" s="37"/>
      <c r="RAU10" s="37"/>
      <c r="RBA10" s="2"/>
      <c r="RBB10" s="29"/>
      <c r="RBH10" s="10"/>
      <c r="RBI10" s="36"/>
      <c r="RBJ10" s="37"/>
      <c r="RBK10" s="37"/>
      <c r="RBQ10" s="2"/>
      <c r="RBR10" s="29"/>
      <c r="RBX10" s="10"/>
      <c r="RBY10" s="36"/>
      <c r="RBZ10" s="37"/>
      <c r="RCA10" s="37"/>
      <c r="RCG10" s="2"/>
      <c r="RCH10" s="29"/>
      <c r="RCN10" s="10"/>
      <c r="RCO10" s="36"/>
      <c r="RCP10" s="37"/>
      <c r="RCQ10" s="37"/>
      <c r="RCW10" s="2"/>
      <c r="RCX10" s="29"/>
      <c r="RDD10" s="10"/>
      <c r="RDE10" s="36"/>
      <c r="RDF10" s="37"/>
      <c r="RDG10" s="37"/>
      <c r="RDM10" s="2"/>
      <c r="RDN10" s="29"/>
      <c r="RDT10" s="10"/>
      <c r="RDU10" s="36"/>
      <c r="RDV10" s="37"/>
      <c r="RDW10" s="37"/>
      <c r="REC10" s="2"/>
      <c r="RED10" s="29"/>
      <c r="REJ10" s="10"/>
      <c r="REK10" s="36"/>
      <c r="REL10" s="37"/>
      <c r="REM10" s="37"/>
      <c r="RES10" s="2"/>
      <c r="RET10" s="29"/>
      <c r="REZ10" s="10"/>
      <c r="RFA10" s="36"/>
      <c r="RFB10" s="37"/>
      <c r="RFC10" s="37"/>
      <c r="RFI10" s="2"/>
      <c r="RFJ10" s="29"/>
      <c r="RFP10" s="10"/>
      <c r="RFQ10" s="36"/>
      <c r="RFR10" s="37"/>
      <c r="RFS10" s="37"/>
      <c r="RFY10" s="2"/>
      <c r="RFZ10" s="29"/>
      <c r="RGF10" s="10"/>
      <c r="RGG10" s="36"/>
      <c r="RGH10" s="37"/>
      <c r="RGI10" s="37"/>
      <c r="RGO10" s="2"/>
      <c r="RGP10" s="29"/>
      <c r="RGV10" s="10"/>
      <c r="RGW10" s="36"/>
      <c r="RGX10" s="37"/>
      <c r="RGY10" s="37"/>
      <c r="RHE10" s="2"/>
      <c r="RHF10" s="29"/>
      <c r="RHL10" s="10"/>
      <c r="RHM10" s="36"/>
      <c r="RHN10" s="37"/>
      <c r="RHO10" s="37"/>
      <c r="RHU10" s="2"/>
      <c r="RHV10" s="29"/>
      <c r="RIB10" s="10"/>
      <c r="RIC10" s="36"/>
      <c r="RID10" s="37"/>
      <c r="RIE10" s="37"/>
      <c r="RIK10" s="2"/>
      <c r="RIL10" s="29"/>
      <c r="RIR10" s="10"/>
      <c r="RIS10" s="36"/>
      <c r="RIT10" s="37"/>
      <c r="RIU10" s="37"/>
      <c r="RJA10" s="2"/>
      <c r="RJB10" s="29"/>
      <c r="RJH10" s="10"/>
      <c r="RJI10" s="36"/>
      <c r="RJJ10" s="37"/>
      <c r="RJK10" s="37"/>
      <c r="RJQ10" s="2"/>
      <c r="RJR10" s="29"/>
      <c r="RJX10" s="10"/>
      <c r="RJY10" s="36"/>
      <c r="RJZ10" s="37"/>
      <c r="RKA10" s="37"/>
      <c r="RKG10" s="2"/>
      <c r="RKH10" s="29"/>
      <c r="RKN10" s="10"/>
      <c r="RKO10" s="36"/>
      <c r="RKP10" s="37"/>
      <c r="RKQ10" s="37"/>
      <c r="RKW10" s="2"/>
      <c r="RKX10" s="29"/>
      <c r="RLD10" s="10"/>
      <c r="RLE10" s="36"/>
      <c r="RLF10" s="37"/>
      <c r="RLG10" s="37"/>
      <c r="RLM10" s="2"/>
      <c r="RLN10" s="29"/>
      <c r="RLT10" s="10"/>
      <c r="RLU10" s="36"/>
      <c r="RLV10" s="37"/>
      <c r="RLW10" s="37"/>
      <c r="RMC10" s="2"/>
      <c r="RMD10" s="29"/>
      <c r="RMJ10" s="10"/>
      <c r="RMK10" s="36"/>
      <c r="RML10" s="37"/>
      <c r="RMM10" s="37"/>
      <c r="RMS10" s="2"/>
      <c r="RMT10" s="29"/>
      <c r="RMZ10" s="10"/>
      <c r="RNA10" s="36"/>
      <c r="RNB10" s="37"/>
      <c r="RNC10" s="37"/>
      <c r="RNI10" s="2"/>
      <c r="RNJ10" s="29"/>
      <c r="RNP10" s="10"/>
      <c r="RNQ10" s="36"/>
      <c r="RNR10" s="37"/>
      <c r="RNS10" s="37"/>
      <c r="RNY10" s="2"/>
      <c r="RNZ10" s="29"/>
      <c r="ROF10" s="10"/>
      <c r="ROG10" s="36"/>
      <c r="ROH10" s="37"/>
      <c r="ROI10" s="37"/>
      <c r="ROO10" s="2"/>
      <c r="ROP10" s="29"/>
      <c r="ROV10" s="10"/>
      <c r="ROW10" s="36"/>
      <c r="ROX10" s="37"/>
      <c r="ROY10" s="37"/>
      <c r="RPE10" s="2"/>
      <c r="RPF10" s="29"/>
      <c r="RPL10" s="10"/>
      <c r="RPM10" s="36"/>
      <c r="RPN10" s="37"/>
      <c r="RPO10" s="37"/>
      <c r="RPU10" s="2"/>
      <c r="RPV10" s="29"/>
      <c r="RQB10" s="10"/>
      <c r="RQC10" s="36"/>
      <c r="RQD10" s="37"/>
      <c r="RQE10" s="37"/>
      <c r="RQK10" s="2"/>
      <c r="RQL10" s="29"/>
      <c r="RQR10" s="10"/>
      <c r="RQS10" s="36"/>
      <c r="RQT10" s="37"/>
      <c r="RQU10" s="37"/>
      <c r="RRA10" s="2"/>
      <c r="RRB10" s="29"/>
      <c r="RRH10" s="10"/>
      <c r="RRI10" s="36"/>
      <c r="RRJ10" s="37"/>
      <c r="RRK10" s="37"/>
      <c r="RRQ10" s="2"/>
      <c r="RRR10" s="29"/>
      <c r="RRX10" s="10"/>
      <c r="RRY10" s="36"/>
      <c r="RRZ10" s="37"/>
      <c r="RSA10" s="37"/>
      <c r="RSG10" s="2"/>
      <c r="RSH10" s="29"/>
      <c r="RSN10" s="10"/>
      <c r="RSO10" s="36"/>
      <c r="RSP10" s="37"/>
      <c r="RSQ10" s="37"/>
      <c r="RSW10" s="2"/>
      <c r="RSX10" s="29"/>
      <c r="RTD10" s="10"/>
      <c r="RTE10" s="36"/>
      <c r="RTF10" s="37"/>
      <c r="RTG10" s="37"/>
      <c r="RTM10" s="2"/>
      <c r="RTN10" s="29"/>
      <c r="RTT10" s="10"/>
      <c r="RTU10" s="36"/>
      <c r="RTV10" s="37"/>
      <c r="RTW10" s="37"/>
      <c r="RUC10" s="2"/>
      <c r="RUD10" s="29"/>
      <c r="RUJ10" s="10"/>
      <c r="RUK10" s="36"/>
      <c r="RUL10" s="37"/>
      <c r="RUM10" s="37"/>
      <c r="RUS10" s="2"/>
      <c r="RUT10" s="29"/>
      <c r="RUZ10" s="10"/>
      <c r="RVA10" s="36"/>
      <c r="RVB10" s="37"/>
      <c r="RVC10" s="37"/>
      <c r="RVI10" s="2"/>
      <c r="RVJ10" s="29"/>
      <c r="RVP10" s="10"/>
      <c r="RVQ10" s="36"/>
      <c r="RVR10" s="37"/>
      <c r="RVS10" s="37"/>
      <c r="RVY10" s="2"/>
      <c r="RVZ10" s="29"/>
      <c r="RWF10" s="10"/>
      <c r="RWG10" s="36"/>
      <c r="RWH10" s="37"/>
      <c r="RWI10" s="37"/>
      <c r="RWO10" s="2"/>
      <c r="RWP10" s="29"/>
      <c r="RWV10" s="10"/>
      <c r="RWW10" s="36"/>
      <c r="RWX10" s="37"/>
      <c r="RWY10" s="37"/>
      <c r="RXE10" s="2"/>
      <c r="RXF10" s="29"/>
      <c r="RXL10" s="10"/>
      <c r="RXM10" s="36"/>
      <c r="RXN10" s="37"/>
      <c r="RXO10" s="37"/>
      <c r="RXU10" s="2"/>
      <c r="RXV10" s="29"/>
      <c r="RYB10" s="10"/>
      <c r="RYC10" s="36"/>
      <c r="RYD10" s="37"/>
      <c r="RYE10" s="37"/>
      <c r="RYK10" s="2"/>
      <c r="RYL10" s="29"/>
      <c r="RYR10" s="10"/>
      <c r="RYS10" s="36"/>
      <c r="RYT10" s="37"/>
      <c r="RYU10" s="37"/>
      <c r="RZA10" s="2"/>
      <c r="RZB10" s="29"/>
      <c r="RZH10" s="10"/>
      <c r="RZI10" s="36"/>
      <c r="RZJ10" s="37"/>
      <c r="RZK10" s="37"/>
      <c r="RZQ10" s="2"/>
      <c r="RZR10" s="29"/>
      <c r="RZX10" s="10"/>
      <c r="RZY10" s="36"/>
      <c r="RZZ10" s="37"/>
      <c r="SAA10" s="37"/>
      <c r="SAG10" s="2"/>
      <c r="SAH10" s="29"/>
      <c r="SAN10" s="10"/>
      <c r="SAO10" s="36"/>
      <c r="SAP10" s="37"/>
      <c r="SAQ10" s="37"/>
      <c r="SAW10" s="2"/>
      <c r="SAX10" s="29"/>
      <c r="SBD10" s="10"/>
      <c r="SBE10" s="36"/>
      <c r="SBF10" s="37"/>
      <c r="SBG10" s="37"/>
      <c r="SBM10" s="2"/>
      <c r="SBN10" s="29"/>
      <c r="SBT10" s="10"/>
      <c r="SBU10" s="36"/>
      <c r="SBV10" s="37"/>
      <c r="SBW10" s="37"/>
      <c r="SCC10" s="2"/>
      <c r="SCD10" s="29"/>
      <c r="SCJ10" s="10"/>
      <c r="SCK10" s="36"/>
      <c r="SCL10" s="37"/>
      <c r="SCM10" s="37"/>
      <c r="SCS10" s="2"/>
      <c r="SCT10" s="29"/>
      <c r="SCZ10" s="10"/>
      <c r="SDA10" s="36"/>
      <c r="SDB10" s="37"/>
      <c r="SDC10" s="37"/>
      <c r="SDI10" s="2"/>
      <c r="SDJ10" s="29"/>
      <c r="SDP10" s="10"/>
      <c r="SDQ10" s="36"/>
      <c r="SDR10" s="37"/>
      <c r="SDS10" s="37"/>
      <c r="SDY10" s="2"/>
      <c r="SDZ10" s="29"/>
      <c r="SEF10" s="10"/>
      <c r="SEG10" s="36"/>
      <c r="SEH10" s="37"/>
      <c r="SEI10" s="37"/>
      <c r="SEO10" s="2"/>
      <c r="SEP10" s="29"/>
      <c r="SEV10" s="10"/>
      <c r="SEW10" s="36"/>
      <c r="SEX10" s="37"/>
      <c r="SEY10" s="37"/>
      <c r="SFE10" s="2"/>
      <c r="SFF10" s="29"/>
      <c r="SFL10" s="10"/>
      <c r="SFM10" s="36"/>
      <c r="SFN10" s="37"/>
      <c r="SFO10" s="37"/>
      <c r="SFU10" s="2"/>
      <c r="SFV10" s="29"/>
      <c r="SGB10" s="10"/>
      <c r="SGC10" s="36"/>
      <c r="SGD10" s="37"/>
      <c r="SGE10" s="37"/>
      <c r="SGK10" s="2"/>
      <c r="SGL10" s="29"/>
      <c r="SGR10" s="10"/>
      <c r="SGS10" s="36"/>
      <c r="SGT10" s="37"/>
      <c r="SGU10" s="37"/>
      <c r="SHA10" s="2"/>
      <c r="SHB10" s="29"/>
      <c r="SHH10" s="10"/>
      <c r="SHI10" s="36"/>
      <c r="SHJ10" s="37"/>
      <c r="SHK10" s="37"/>
      <c r="SHQ10" s="2"/>
      <c r="SHR10" s="29"/>
      <c r="SHX10" s="10"/>
      <c r="SHY10" s="36"/>
      <c r="SHZ10" s="37"/>
      <c r="SIA10" s="37"/>
      <c r="SIG10" s="2"/>
      <c r="SIH10" s="29"/>
      <c r="SIN10" s="10"/>
      <c r="SIO10" s="36"/>
      <c r="SIP10" s="37"/>
      <c r="SIQ10" s="37"/>
      <c r="SIW10" s="2"/>
      <c r="SIX10" s="29"/>
      <c r="SJD10" s="10"/>
      <c r="SJE10" s="36"/>
      <c r="SJF10" s="37"/>
      <c r="SJG10" s="37"/>
      <c r="SJM10" s="2"/>
      <c r="SJN10" s="29"/>
      <c r="SJT10" s="10"/>
      <c r="SJU10" s="36"/>
      <c r="SJV10" s="37"/>
      <c r="SJW10" s="37"/>
      <c r="SKC10" s="2"/>
      <c r="SKD10" s="29"/>
      <c r="SKJ10" s="10"/>
      <c r="SKK10" s="36"/>
      <c r="SKL10" s="37"/>
      <c r="SKM10" s="37"/>
      <c r="SKS10" s="2"/>
      <c r="SKT10" s="29"/>
      <c r="SKZ10" s="10"/>
      <c r="SLA10" s="36"/>
      <c r="SLB10" s="37"/>
      <c r="SLC10" s="37"/>
      <c r="SLI10" s="2"/>
      <c r="SLJ10" s="29"/>
      <c r="SLP10" s="10"/>
      <c r="SLQ10" s="36"/>
      <c r="SLR10" s="37"/>
      <c r="SLS10" s="37"/>
      <c r="SLY10" s="2"/>
      <c r="SLZ10" s="29"/>
      <c r="SMF10" s="10"/>
      <c r="SMG10" s="36"/>
      <c r="SMH10" s="37"/>
      <c r="SMI10" s="37"/>
      <c r="SMO10" s="2"/>
      <c r="SMP10" s="29"/>
      <c r="SMV10" s="10"/>
      <c r="SMW10" s="36"/>
      <c r="SMX10" s="37"/>
      <c r="SMY10" s="37"/>
      <c r="SNE10" s="2"/>
      <c r="SNF10" s="29"/>
      <c r="SNL10" s="10"/>
      <c r="SNM10" s="36"/>
      <c r="SNN10" s="37"/>
      <c r="SNO10" s="37"/>
      <c r="SNU10" s="2"/>
      <c r="SNV10" s="29"/>
      <c r="SOB10" s="10"/>
      <c r="SOC10" s="36"/>
      <c r="SOD10" s="37"/>
      <c r="SOE10" s="37"/>
      <c r="SOK10" s="2"/>
      <c r="SOL10" s="29"/>
      <c r="SOR10" s="10"/>
      <c r="SOS10" s="36"/>
      <c r="SOT10" s="37"/>
      <c r="SOU10" s="37"/>
      <c r="SPA10" s="2"/>
      <c r="SPB10" s="29"/>
      <c r="SPH10" s="10"/>
      <c r="SPI10" s="36"/>
      <c r="SPJ10" s="37"/>
      <c r="SPK10" s="37"/>
      <c r="SPQ10" s="2"/>
      <c r="SPR10" s="29"/>
      <c r="SPX10" s="10"/>
      <c r="SPY10" s="36"/>
      <c r="SPZ10" s="37"/>
      <c r="SQA10" s="37"/>
      <c r="SQG10" s="2"/>
      <c r="SQH10" s="29"/>
      <c r="SQN10" s="10"/>
      <c r="SQO10" s="36"/>
      <c r="SQP10" s="37"/>
      <c r="SQQ10" s="37"/>
      <c r="SQW10" s="2"/>
      <c r="SQX10" s="29"/>
      <c r="SRD10" s="10"/>
      <c r="SRE10" s="36"/>
      <c r="SRF10" s="37"/>
      <c r="SRG10" s="37"/>
      <c r="SRM10" s="2"/>
      <c r="SRN10" s="29"/>
      <c r="SRT10" s="10"/>
      <c r="SRU10" s="36"/>
      <c r="SRV10" s="37"/>
      <c r="SRW10" s="37"/>
      <c r="SSC10" s="2"/>
      <c r="SSD10" s="29"/>
      <c r="SSJ10" s="10"/>
      <c r="SSK10" s="36"/>
      <c r="SSL10" s="37"/>
      <c r="SSM10" s="37"/>
      <c r="SSS10" s="2"/>
      <c r="SST10" s="29"/>
      <c r="SSZ10" s="10"/>
      <c r="STA10" s="36"/>
      <c r="STB10" s="37"/>
      <c r="STC10" s="37"/>
      <c r="STI10" s="2"/>
      <c r="STJ10" s="29"/>
      <c r="STP10" s="10"/>
      <c r="STQ10" s="36"/>
      <c r="STR10" s="37"/>
      <c r="STS10" s="37"/>
      <c r="STY10" s="2"/>
      <c r="STZ10" s="29"/>
      <c r="SUF10" s="10"/>
      <c r="SUG10" s="36"/>
      <c r="SUH10" s="37"/>
      <c r="SUI10" s="37"/>
      <c r="SUO10" s="2"/>
      <c r="SUP10" s="29"/>
      <c r="SUV10" s="10"/>
      <c r="SUW10" s="36"/>
      <c r="SUX10" s="37"/>
      <c r="SUY10" s="37"/>
      <c r="SVE10" s="2"/>
      <c r="SVF10" s="29"/>
      <c r="SVL10" s="10"/>
      <c r="SVM10" s="36"/>
      <c r="SVN10" s="37"/>
      <c r="SVO10" s="37"/>
      <c r="SVU10" s="2"/>
      <c r="SVV10" s="29"/>
      <c r="SWB10" s="10"/>
      <c r="SWC10" s="36"/>
      <c r="SWD10" s="37"/>
      <c r="SWE10" s="37"/>
      <c r="SWK10" s="2"/>
      <c r="SWL10" s="29"/>
      <c r="SWR10" s="10"/>
      <c r="SWS10" s="36"/>
      <c r="SWT10" s="37"/>
      <c r="SWU10" s="37"/>
      <c r="SXA10" s="2"/>
      <c r="SXB10" s="29"/>
      <c r="SXH10" s="10"/>
      <c r="SXI10" s="36"/>
      <c r="SXJ10" s="37"/>
      <c r="SXK10" s="37"/>
      <c r="SXQ10" s="2"/>
      <c r="SXR10" s="29"/>
      <c r="SXX10" s="10"/>
      <c r="SXY10" s="36"/>
      <c r="SXZ10" s="37"/>
      <c r="SYA10" s="37"/>
      <c r="SYG10" s="2"/>
      <c r="SYH10" s="29"/>
      <c r="SYN10" s="10"/>
      <c r="SYO10" s="36"/>
      <c r="SYP10" s="37"/>
      <c r="SYQ10" s="37"/>
      <c r="SYW10" s="2"/>
      <c r="SYX10" s="29"/>
      <c r="SZD10" s="10"/>
      <c r="SZE10" s="36"/>
      <c r="SZF10" s="37"/>
      <c r="SZG10" s="37"/>
      <c r="SZM10" s="2"/>
      <c r="SZN10" s="29"/>
      <c r="SZT10" s="10"/>
      <c r="SZU10" s="36"/>
      <c r="SZV10" s="37"/>
      <c r="SZW10" s="37"/>
      <c r="TAC10" s="2"/>
      <c r="TAD10" s="29"/>
      <c r="TAJ10" s="10"/>
      <c r="TAK10" s="36"/>
      <c r="TAL10" s="37"/>
      <c r="TAM10" s="37"/>
      <c r="TAS10" s="2"/>
      <c r="TAT10" s="29"/>
      <c r="TAZ10" s="10"/>
      <c r="TBA10" s="36"/>
      <c r="TBB10" s="37"/>
      <c r="TBC10" s="37"/>
      <c r="TBI10" s="2"/>
      <c r="TBJ10" s="29"/>
      <c r="TBP10" s="10"/>
      <c r="TBQ10" s="36"/>
      <c r="TBR10" s="37"/>
      <c r="TBS10" s="37"/>
      <c r="TBY10" s="2"/>
      <c r="TBZ10" s="29"/>
      <c r="TCF10" s="10"/>
      <c r="TCG10" s="36"/>
      <c r="TCH10" s="37"/>
      <c r="TCI10" s="37"/>
      <c r="TCO10" s="2"/>
      <c r="TCP10" s="29"/>
      <c r="TCV10" s="10"/>
      <c r="TCW10" s="36"/>
      <c r="TCX10" s="37"/>
      <c r="TCY10" s="37"/>
      <c r="TDE10" s="2"/>
      <c r="TDF10" s="29"/>
      <c r="TDL10" s="10"/>
      <c r="TDM10" s="36"/>
      <c r="TDN10" s="37"/>
      <c r="TDO10" s="37"/>
      <c r="TDU10" s="2"/>
      <c r="TDV10" s="29"/>
      <c r="TEB10" s="10"/>
      <c r="TEC10" s="36"/>
      <c r="TED10" s="37"/>
      <c r="TEE10" s="37"/>
      <c r="TEK10" s="2"/>
      <c r="TEL10" s="29"/>
      <c r="TER10" s="10"/>
      <c r="TES10" s="36"/>
      <c r="TET10" s="37"/>
      <c r="TEU10" s="37"/>
      <c r="TFA10" s="2"/>
      <c r="TFB10" s="29"/>
      <c r="TFH10" s="10"/>
      <c r="TFI10" s="36"/>
      <c r="TFJ10" s="37"/>
      <c r="TFK10" s="37"/>
      <c r="TFQ10" s="2"/>
      <c r="TFR10" s="29"/>
      <c r="TFX10" s="10"/>
      <c r="TFY10" s="36"/>
      <c r="TFZ10" s="37"/>
      <c r="TGA10" s="37"/>
      <c r="TGG10" s="2"/>
      <c r="TGH10" s="29"/>
      <c r="TGN10" s="10"/>
      <c r="TGO10" s="36"/>
      <c r="TGP10" s="37"/>
      <c r="TGQ10" s="37"/>
      <c r="TGW10" s="2"/>
      <c r="TGX10" s="29"/>
      <c r="THD10" s="10"/>
      <c r="THE10" s="36"/>
      <c r="THF10" s="37"/>
      <c r="THG10" s="37"/>
      <c r="THM10" s="2"/>
      <c r="THN10" s="29"/>
      <c r="THT10" s="10"/>
      <c r="THU10" s="36"/>
      <c r="THV10" s="37"/>
      <c r="THW10" s="37"/>
      <c r="TIC10" s="2"/>
      <c r="TID10" s="29"/>
      <c r="TIJ10" s="10"/>
      <c r="TIK10" s="36"/>
      <c r="TIL10" s="37"/>
      <c r="TIM10" s="37"/>
      <c r="TIS10" s="2"/>
      <c r="TIT10" s="29"/>
      <c r="TIZ10" s="10"/>
      <c r="TJA10" s="36"/>
      <c r="TJB10" s="37"/>
      <c r="TJC10" s="37"/>
      <c r="TJI10" s="2"/>
      <c r="TJJ10" s="29"/>
      <c r="TJP10" s="10"/>
      <c r="TJQ10" s="36"/>
      <c r="TJR10" s="37"/>
      <c r="TJS10" s="37"/>
      <c r="TJY10" s="2"/>
      <c r="TJZ10" s="29"/>
      <c r="TKF10" s="10"/>
      <c r="TKG10" s="36"/>
      <c r="TKH10" s="37"/>
      <c r="TKI10" s="37"/>
      <c r="TKO10" s="2"/>
      <c r="TKP10" s="29"/>
      <c r="TKV10" s="10"/>
      <c r="TKW10" s="36"/>
      <c r="TKX10" s="37"/>
      <c r="TKY10" s="37"/>
      <c r="TLE10" s="2"/>
      <c r="TLF10" s="29"/>
      <c r="TLL10" s="10"/>
      <c r="TLM10" s="36"/>
      <c r="TLN10" s="37"/>
      <c r="TLO10" s="37"/>
      <c r="TLU10" s="2"/>
      <c r="TLV10" s="29"/>
      <c r="TMB10" s="10"/>
      <c r="TMC10" s="36"/>
      <c r="TMD10" s="37"/>
      <c r="TME10" s="37"/>
      <c r="TMK10" s="2"/>
      <c r="TML10" s="29"/>
      <c r="TMR10" s="10"/>
      <c r="TMS10" s="36"/>
      <c r="TMT10" s="37"/>
      <c r="TMU10" s="37"/>
      <c r="TNA10" s="2"/>
      <c r="TNB10" s="29"/>
      <c r="TNH10" s="10"/>
      <c r="TNI10" s="36"/>
      <c r="TNJ10" s="37"/>
      <c r="TNK10" s="37"/>
      <c r="TNQ10" s="2"/>
      <c r="TNR10" s="29"/>
      <c r="TNX10" s="10"/>
      <c r="TNY10" s="36"/>
      <c r="TNZ10" s="37"/>
      <c r="TOA10" s="37"/>
      <c r="TOG10" s="2"/>
      <c r="TOH10" s="29"/>
      <c r="TON10" s="10"/>
      <c r="TOO10" s="36"/>
      <c r="TOP10" s="37"/>
      <c r="TOQ10" s="37"/>
      <c r="TOW10" s="2"/>
      <c r="TOX10" s="29"/>
      <c r="TPD10" s="10"/>
      <c r="TPE10" s="36"/>
      <c r="TPF10" s="37"/>
      <c r="TPG10" s="37"/>
      <c r="TPM10" s="2"/>
      <c r="TPN10" s="29"/>
      <c r="TPT10" s="10"/>
      <c r="TPU10" s="36"/>
      <c r="TPV10" s="37"/>
      <c r="TPW10" s="37"/>
      <c r="TQC10" s="2"/>
      <c r="TQD10" s="29"/>
      <c r="TQJ10" s="10"/>
      <c r="TQK10" s="36"/>
      <c r="TQL10" s="37"/>
      <c r="TQM10" s="37"/>
      <c r="TQS10" s="2"/>
      <c r="TQT10" s="29"/>
      <c r="TQZ10" s="10"/>
      <c r="TRA10" s="36"/>
      <c r="TRB10" s="37"/>
      <c r="TRC10" s="37"/>
      <c r="TRI10" s="2"/>
      <c r="TRJ10" s="29"/>
      <c r="TRP10" s="10"/>
      <c r="TRQ10" s="36"/>
      <c r="TRR10" s="37"/>
      <c r="TRS10" s="37"/>
      <c r="TRY10" s="2"/>
      <c r="TRZ10" s="29"/>
      <c r="TSF10" s="10"/>
      <c r="TSG10" s="36"/>
      <c r="TSH10" s="37"/>
      <c r="TSI10" s="37"/>
      <c r="TSO10" s="2"/>
      <c r="TSP10" s="29"/>
      <c r="TSV10" s="10"/>
      <c r="TSW10" s="36"/>
      <c r="TSX10" s="37"/>
      <c r="TSY10" s="37"/>
      <c r="TTE10" s="2"/>
      <c r="TTF10" s="29"/>
      <c r="TTL10" s="10"/>
      <c r="TTM10" s="36"/>
      <c r="TTN10" s="37"/>
      <c r="TTO10" s="37"/>
      <c r="TTU10" s="2"/>
      <c r="TTV10" s="29"/>
      <c r="TUB10" s="10"/>
      <c r="TUC10" s="36"/>
      <c r="TUD10" s="37"/>
      <c r="TUE10" s="37"/>
      <c r="TUK10" s="2"/>
      <c r="TUL10" s="29"/>
      <c r="TUR10" s="10"/>
      <c r="TUS10" s="36"/>
      <c r="TUT10" s="37"/>
      <c r="TUU10" s="37"/>
      <c r="TVA10" s="2"/>
      <c r="TVB10" s="29"/>
      <c r="TVH10" s="10"/>
      <c r="TVI10" s="36"/>
      <c r="TVJ10" s="37"/>
      <c r="TVK10" s="37"/>
      <c r="TVQ10" s="2"/>
      <c r="TVR10" s="29"/>
      <c r="TVX10" s="10"/>
      <c r="TVY10" s="36"/>
      <c r="TVZ10" s="37"/>
      <c r="TWA10" s="37"/>
      <c r="TWG10" s="2"/>
      <c r="TWH10" s="29"/>
      <c r="TWN10" s="10"/>
      <c r="TWO10" s="36"/>
      <c r="TWP10" s="37"/>
      <c r="TWQ10" s="37"/>
      <c r="TWW10" s="2"/>
      <c r="TWX10" s="29"/>
      <c r="TXD10" s="10"/>
      <c r="TXE10" s="36"/>
      <c r="TXF10" s="37"/>
      <c r="TXG10" s="37"/>
      <c r="TXM10" s="2"/>
      <c r="TXN10" s="29"/>
      <c r="TXT10" s="10"/>
      <c r="TXU10" s="36"/>
      <c r="TXV10" s="37"/>
      <c r="TXW10" s="37"/>
      <c r="TYC10" s="2"/>
      <c r="TYD10" s="29"/>
      <c r="TYJ10" s="10"/>
      <c r="TYK10" s="36"/>
      <c r="TYL10" s="37"/>
      <c r="TYM10" s="37"/>
      <c r="TYS10" s="2"/>
      <c r="TYT10" s="29"/>
      <c r="TYZ10" s="10"/>
      <c r="TZA10" s="36"/>
      <c r="TZB10" s="37"/>
      <c r="TZC10" s="37"/>
      <c r="TZI10" s="2"/>
      <c r="TZJ10" s="29"/>
      <c r="TZP10" s="10"/>
      <c r="TZQ10" s="36"/>
      <c r="TZR10" s="37"/>
      <c r="TZS10" s="37"/>
      <c r="TZY10" s="2"/>
      <c r="TZZ10" s="29"/>
      <c r="UAF10" s="10"/>
      <c r="UAG10" s="36"/>
      <c r="UAH10" s="37"/>
      <c r="UAI10" s="37"/>
      <c r="UAO10" s="2"/>
      <c r="UAP10" s="29"/>
      <c r="UAV10" s="10"/>
      <c r="UAW10" s="36"/>
      <c r="UAX10" s="37"/>
      <c r="UAY10" s="37"/>
      <c r="UBE10" s="2"/>
      <c r="UBF10" s="29"/>
      <c r="UBL10" s="10"/>
      <c r="UBM10" s="36"/>
      <c r="UBN10" s="37"/>
      <c r="UBO10" s="37"/>
      <c r="UBU10" s="2"/>
      <c r="UBV10" s="29"/>
      <c r="UCB10" s="10"/>
      <c r="UCC10" s="36"/>
      <c r="UCD10" s="37"/>
      <c r="UCE10" s="37"/>
      <c r="UCK10" s="2"/>
      <c r="UCL10" s="29"/>
      <c r="UCR10" s="10"/>
      <c r="UCS10" s="36"/>
      <c r="UCT10" s="37"/>
      <c r="UCU10" s="37"/>
      <c r="UDA10" s="2"/>
      <c r="UDB10" s="29"/>
      <c r="UDH10" s="10"/>
      <c r="UDI10" s="36"/>
      <c r="UDJ10" s="37"/>
      <c r="UDK10" s="37"/>
      <c r="UDQ10" s="2"/>
      <c r="UDR10" s="29"/>
      <c r="UDX10" s="10"/>
      <c r="UDY10" s="36"/>
      <c r="UDZ10" s="37"/>
      <c r="UEA10" s="37"/>
      <c r="UEG10" s="2"/>
      <c r="UEH10" s="29"/>
      <c r="UEN10" s="10"/>
      <c r="UEO10" s="36"/>
      <c r="UEP10" s="37"/>
      <c r="UEQ10" s="37"/>
      <c r="UEW10" s="2"/>
      <c r="UEX10" s="29"/>
      <c r="UFD10" s="10"/>
      <c r="UFE10" s="36"/>
      <c r="UFF10" s="37"/>
      <c r="UFG10" s="37"/>
      <c r="UFM10" s="2"/>
      <c r="UFN10" s="29"/>
      <c r="UFT10" s="10"/>
      <c r="UFU10" s="36"/>
      <c r="UFV10" s="37"/>
      <c r="UFW10" s="37"/>
      <c r="UGC10" s="2"/>
      <c r="UGD10" s="29"/>
      <c r="UGJ10" s="10"/>
      <c r="UGK10" s="36"/>
      <c r="UGL10" s="37"/>
      <c r="UGM10" s="37"/>
      <c r="UGS10" s="2"/>
      <c r="UGT10" s="29"/>
      <c r="UGZ10" s="10"/>
      <c r="UHA10" s="36"/>
      <c r="UHB10" s="37"/>
      <c r="UHC10" s="37"/>
      <c r="UHI10" s="2"/>
      <c r="UHJ10" s="29"/>
      <c r="UHP10" s="10"/>
      <c r="UHQ10" s="36"/>
      <c r="UHR10" s="37"/>
      <c r="UHS10" s="37"/>
      <c r="UHY10" s="2"/>
      <c r="UHZ10" s="29"/>
      <c r="UIF10" s="10"/>
      <c r="UIG10" s="36"/>
      <c r="UIH10" s="37"/>
      <c r="UII10" s="37"/>
      <c r="UIO10" s="2"/>
      <c r="UIP10" s="29"/>
      <c r="UIV10" s="10"/>
      <c r="UIW10" s="36"/>
      <c r="UIX10" s="37"/>
      <c r="UIY10" s="37"/>
      <c r="UJE10" s="2"/>
      <c r="UJF10" s="29"/>
      <c r="UJL10" s="10"/>
      <c r="UJM10" s="36"/>
      <c r="UJN10" s="37"/>
      <c r="UJO10" s="37"/>
      <c r="UJU10" s="2"/>
      <c r="UJV10" s="29"/>
      <c r="UKB10" s="10"/>
      <c r="UKC10" s="36"/>
      <c r="UKD10" s="37"/>
      <c r="UKE10" s="37"/>
      <c r="UKK10" s="2"/>
      <c r="UKL10" s="29"/>
      <c r="UKR10" s="10"/>
      <c r="UKS10" s="36"/>
      <c r="UKT10" s="37"/>
      <c r="UKU10" s="37"/>
      <c r="ULA10" s="2"/>
      <c r="ULB10" s="29"/>
      <c r="ULH10" s="10"/>
      <c r="ULI10" s="36"/>
      <c r="ULJ10" s="37"/>
      <c r="ULK10" s="37"/>
      <c r="ULQ10" s="2"/>
      <c r="ULR10" s="29"/>
      <c r="ULX10" s="10"/>
      <c r="ULY10" s="36"/>
      <c r="ULZ10" s="37"/>
      <c r="UMA10" s="37"/>
      <c r="UMG10" s="2"/>
      <c r="UMH10" s="29"/>
      <c r="UMN10" s="10"/>
      <c r="UMO10" s="36"/>
      <c r="UMP10" s="37"/>
      <c r="UMQ10" s="37"/>
      <c r="UMW10" s="2"/>
      <c r="UMX10" s="29"/>
      <c r="UND10" s="10"/>
      <c r="UNE10" s="36"/>
      <c r="UNF10" s="37"/>
      <c r="UNG10" s="37"/>
      <c r="UNM10" s="2"/>
      <c r="UNN10" s="29"/>
      <c r="UNT10" s="10"/>
      <c r="UNU10" s="36"/>
      <c r="UNV10" s="37"/>
      <c r="UNW10" s="37"/>
      <c r="UOC10" s="2"/>
      <c r="UOD10" s="29"/>
      <c r="UOJ10" s="10"/>
      <c r="UOK10" s="36"/>
      <c r="UOL10" s="37"/>
      <c r="UOM10" s="37"/>
      <c r="UOS10" s="2"/>
      <c r="UOT10" s="29"/>
      <c r="UOZ10" s="10"/>
      <c r="UPA10" s="36"/>
      <c r="UPB10" s="37"/>
      <c r="UPC10" s="37"/>
      <c r="UPI10" s="2"/>
      <c r="UPJ10" s="29"/>
      <c r="UPP10" s="10"/>
      <c r="UPQ10" s="36"/>
      <c r="UPR10" s="37"/>
      <c r="UPS10" s="37"/>
      <c r="UPY10" s="2"/>
      <c r="UPZ10" s="29"/>
      <c r="UQF10" s="10"/>
      <c r="UQG10" s="36"/>
      <c r="UQH10" s="37"/>
      <c r="UQI10" s="37"/>
      <c r="UQO10" s="2"/>
      <c r="UQP10" s="29"/>
      <c r="UQV10" s="10"/>
      <c r="UQW10" s="36"/>
      <c r="UQX10" s="37"/>
      <c r="UQY10" s="37"/>
      <c r="URE10" s="2"/>
      <c r="URF10" s="29"/>
      <c r="URL10" s="10"/>
      <c r="URM10" s="36"/>
      <c r="URN10" s="37"/>
      <c r="URO10" s="37"/>
      <c r="URU10" s="2"/>
      <c r="URV10" s="29"/>
      <c r="USB10" s="10"/>
      <c r="USC10" s="36"/>
      <c r="USD10" s="37"/>
      <c r="USE10" s="37"/>
      <c r="USK10" s="2"/>
      <c r="USL10" s="29"/>
      <c r="USR10" s="10"/>
      <c r="USS10" s="36"/>
      <c r="UST10" s="37"/>
      <c r="USU10" s="37"/>
      <c r="UTA10" s="2"/>
      <c r="UTB10" s="29"/>
      <c r="UTH10" s="10"/>
      <c r="UTI10" s="36"/>
      <c r="UTJ10" s="37"/>
      <c r="UTK10" s="37"/>
      <c r="UTQ10" s="2"/>
      <c r="UTR10" s="29"/>
      <c r="UTX10" s="10"/>
      <c r="UTY10" s="36"/>
      <c r="UTZ10" s="37"/>
      <c r="UUA10" s="37"/>
      <c r="UUG10" s="2"/>
      <c r="UUH10" s="29"/>
      <c r="UUN10" s="10"/>
      <c r="UUO10" s="36"/>
      <c r="UUP10" s="37"/>
      <c r="UUQ10" s="37"/>
      <c r="UUW10" s="2"/>
      <c r="UUX10" s="29"/>
      <c r="UVD10" s="10"/>
      <c r="UVE10" s="36"/>
      <c r="UVF10" s="37"/>
      <c r="UVG10" s="37"/>
      <c r="UVM10" s="2"/>
      <c r="UVN10" s="29"/>
      <c r="UVT10" s="10"/>
      <c r="UVU10" s="36"/>
      <c r="UVV10" s="37"/>
      <c r="UVW10" s="37"/>
      <c r="UWC10" s="2"/>
      <c r="UWD10" s="29"/>
      <c r="UWJ10" s="10"/>
      <c r="UWK10" s="36"/>
      <c r="UWL10" s="37"/>
      <c r="UWM10" s="37"/>
      <c r="UWS10" s="2"/>
      <c r="UWT10" s="29"/>
      <c r="UWZ10" s="10"/>
      <c r="UXA10" s="36"/>
      <c r="UXB10" s="37"/>
      <c r="UXC10" s="37"/>
      <c r="UXI10" s="2"/>
      <c r="UXJ10" s="29"/>
      <c r="UXP10" s="10"/>
      <c r="UXQ10" s="36"/>
      <c r="UXR10" s="37"/>
      <c r="UXS10" s="37"/>
      <c r="UXY10" s="2"/>
      <c r="UXZ10" s="29"/>
      <c r="UYF10" s="10"/>
      <c r="UYG10" s="36"/>
      <c r="UYH10" s="37"/>
      <c r="UYI10" s="37"/>
      <c r="UYO10" s="2"/>
      <c r="UYP10" s="29"/>
      <c r="UYV10" s="10"/>
      <c r="UYW10" s="36"/>
      <c r="UYX10" s="37"/>
      <c r="UYY10" s="37"/>
      <c r="UZE10" s="2"/>
      <c r="UZF10" s="29"/>
      <c r="UZL10" s="10"/>
      <c r="UZM10" s="36"/>
      <c r="UZN10" s="37"/>
      <c r="UZO10" s="37"/>
      <c r="UZU10" s="2"/>
      <c r="UZV10" s="29"/>
      <c r="VAB10" s="10"/>
      <c r="VAC10" s="36"/>
      <c r="VAD10" s="37"/>
      <c r="VAE10" s="37"/>
      <c r="VAK10" s="2"/>
      <c r="VAL10" s="29"/>
      <c r="VAR10" s="10"/>
      <c r="VAS10" s="36"/>
      <c r="VAT10" s="37"/>
      <c r="VAU10" s="37"/>
      <c r="VBA10" s="2"/>
      <c r="VBB10" s="29"/>
      <c r="VBH10" s="10"/>
      <c r="VBI10" s="36"/>
      <c r="VBJ10" s="37"/>
      <c r="VBK10" s="37"/>
      <c r="VBQ10" s="2"/>
      <c r="VBR10" s="29"/>
      <c r="VBX10" s="10"/>
      <c r="VBY10" s="36"/>
      <c r="VBZ10" s="37"/>
      <c r="VCA10" s="37"/>
      <c r="VCG10" s="2"/>
      <c r="VCH10" s="29"/>
      <c r="VCN10" s="10"/>
      <c r="VCO10" s="36"/>
      <c r="VCP10" s="37"/>
      <c r="VCQ10" s="37"/>
      <c r="VCW10" s="2"/>
      <c r="VCX10" s="29"/>
      <c r="VDD10" s="10"/>
      <c r="VDE10" s="36"/>
      <c r="VDF10" s="37"/>
      <c r="VDG10" s="37"/>
      <c r="VDM10" s="2"/>
      <c r="VDN10" s="29"/>
      <c r="VDT10" s="10"/>
      <c r="VDU10" s="36"/>
      <c r="VDV10" s="37"/>
      <c r="VDW10" s="37"/>
      <c r="VEC10" s="2"/>
      <c r="VED10" s="29"/>
      <c r="VEJ10" s="10"/>
      <c r="VEK10" s="36"/>
      <c r="VEL10" s="37"/>
      <c r="VEM10" s="37"/>
      <c r="VES10" s="2"/>
      <c r="VET10" s="29"/>
      <c r="VEZ10" s="10"/>
      <c r="VFA10" s="36"/>
      <c r="VFB10" s="37"/>
      <c r="VFC10" s="37"/>
      <c r="VFI10" s="2"/>
      <c r="VFJ10" s="29"/>
      <c r="VFP10" s="10"/>
      <c r="VFQ10" s="36"/>
      <c r="VFR10" s="37"/>
      <c r="VFS10" s="37"/>
      <c r="VFY10" s="2"/>
      <c r="VFZ10" s="29"/>
      <c r="VGF10" s="10"/>
      <c r="VGG10" s="36"/>
      <c r="VGH10" s="37"/>
      <c r="VGI10" s="37"/>
      <c r="VGO10" s="2"/>
      <c r="VGP10" s="29"/>
      <c r="VGV10" s="10"/>
      <c r="VGW10" s="36"/>
      <c r="VGX10" s="37"/>
      <c r="VGY10" s="37"/>
      <c r="VHE10" s="2"/>
      <c r="VHF10" s="29"/>
      <c r="VHL10" s="10"/>
      <c r="VHM10" s="36"/>
      <c r="VHN10" s="37"/>
      <c r="VHO10" s="37"/>
      <c r="VHU10" s="2"/>
      <c r="VHV10" s="29"/>
      <c r="VIB10" s="10"/>
      <c r="VIC10" s="36"/>
      <c r="VID10" s="37"/>
      <c r="VIE10" s="37"/>
      <c r="VIK10" s="2"/>
      <c r="VIL10" s="29"/>
      <c r="VIR10" s="10"/>
      <c r="VIS10" s="36"/>
      <c r="VIT10" s="37"/>
      <c r="VIU10" s="37"/>
      <c r="VJA10" s="2"/>
      <c r="VJB10" s="29"/>
      <c r="VJH10" s="10"/>
      <c r="VJI10" s="36"/>
      <c r="VJJ10" s="37"/>
      <c r="VJK10" s="37"/>
      <c r="VJQ10" s="2"/>
      <c r="VJR10" s="29"/>
      <c r="VJX10" s="10"/>
      <c r="VJY10" s="36"/>
      <c r="VJZ10" s="37"/>
      <c r="VKA10" s="37"/>
      <c r="VKG10" s="2"/>
      <c r="VKH10" s="29"/>
      <c r="VKN10" s="10"/>
      <c r="VKO10" s="36"/>
      <c r="VKP10" s="37"/>
      <c r="VKQ10" s="37"/>
      <c r="VKW10" s="2"/>
      <c r="VKX10" s="29"/>
      <c r="VLD10" s="10"/>
      <c r="VLE10" s="36"/>
      <c r="VLF10" s="37"/>
      <c r="VLG10" s="37"/>
      <c r="VLM10" s="2"/>
      <c r="VLN10" s="29"/>
      <c r="VLT10" s="10"/>
      <c r="VLU10" s="36"/>
      <c r="VLV10" s="37"/>
      <c r="VLW10" s="37"/>
      <c r="VMC10" s="2"/>
      <c r="VMD10" s="29"/>
      <c r="VMJ10" s="10"/>
      <c r="VMK10" s="36"/>
      <c r="VML10" s="37"/>
      <c r="VMM10" s="37"/>
      <c r="VMS10" s="2"/>
      <c r="VMT10" s="29"/>
      <c r="VMZ10" s="10"/>
      <c r="VNA10" s="36"/>
      <c r="VNB10" s="37"/>
      <c r="VNC10" s="37"/>
      <c r="VNI10" s="2"/>
      <c r="VNJ10" s="29"/>
      <c r="VNP10" s="10"/>
      <c r="VNQ10" s="36"/>
      <c r="VNR10" s="37"/>
      <c r="VNS10" s="37"/>
      <c r="VNY10" s="2"/>
      <c r="VNZ10" s="29"/>
      <c r="VOF10" s="10"/>
      <c r="VOG10" s="36"/>
      <c r="VOH10" s="37"/>
      <c r="VOI10" s="37"/>
      <c r="VOO10" s="2"/>
      <c r="VOP10" s="29"/>
      <c r="VOV10" s="10"/>
      <c r="VOW10" s="36"/>
      <c r="VOX10" s="37"/>
      <c r="VOY10" s="37"/>
      <c r="VPE10" s="2"/>
      <c r="VPF10" s="29"/>
      <c r="VPL10" s="10"/>
      <c r="VPM10" s="36"/>
      <c r="VPN10" s="37"/>
      <c r="VPO10" s="37"/>
      <c r="VPU10" s="2"/>
      <c r="VPV10" s="29"/>
      <c r="VQB10" s="10"/>
      <c r="VQC10" s="36"/>
      <c r="VQD10" s="37"/>
      <c r="VQE10" s="37"/>
      <c r="VQK10" s="2"/>
      <c r="VQL10" s="29"/>
      <c r="VQR10" s="10"/>
      <c r="VQS10" s="36"/>
      <c r="VQT10" s="37"/>
      <c r="VQU10" s="37"/>
      <c r="VRA10" s="2"/>
      <c r="VRB10" s="29"/>
      <c r="VRH10" s="10"/>
      <c r="VRI10" s="36"/>
      <c r="VRJ10" s="37"/>
      <c r="VRK10" s="37"/>
      <c r="VRQ10" s="2"/>
      <c r="VRR10" s="29"/>
      <c r="VRX10" s="10"/>
      <c r="VRY10" s="36"/>
      <c r="VRZ10" s="37"/>
      <c r="VSA10" s="37"/>
      <c r="VSG10" s="2"/>
      <c r="VSH10" s="29"/>
      <c r="VSN10" s="10"/>
      <c r="VSO10" s="36"/>
      <c r="VSP10" s="37"/>
      <c r="VSQ10" s="37"/>
      <c r="VSW10" s="2"/>
      <c r="VSX10" s="29"/>
      <c r="VTD10" s="10"/>
      <c r="VTE10" s="36"/>
      <c r="VTF10" s="37"/>
      <c r="VTG10" s="37"/>
      <c r="VTM10" s="2"/>
      <c r="VTN10" s="29"/>
      <c r="VTT10" s="10"/>
      <c r="VTU10" s="36"/>
      <c r="VTV10" s="37"/>
      <c r="VTW10" s="37"/>
      <c r="VUC10" s="2"/>
      <c r="VUD10" s="29"/>
      <c r="VUJ10" s="10"/>
      <c r="VUK10" s="36"/>
      <c r="VUL10" s="37"/>
      <c r="VUM10" s="37"/>
      <c r="VUS10" s="2"/>
      <c r="VUT10" s="29"/>
      <c r="VUZ10" s="10"/>
      <c r="VVA10" s="36"/>
      <c r="VVB10" s="37"/>
      <c r="VVC10" s="37"/>
      <c r="VVI10" s="2"/>
      <c r="VVJ10" s="29"/>
      <c r="VVP10" s="10"/>
      <c r="VVQ10" s="36"/>
      <c r="VVR10" s="37"/>
      <c r="VVS10" s="37"/>
      <c r="VVY10" s="2"/>
      <c r="VVZ10" s="29"/>
      <c r="VWF10" s="10"/>
      <c r="VWG10" s="36"/>
      <c r="VWH10" s="37"/>
      <c r="VWI10" s="37"/>
      <c r="VWO10" s="2"/>
      <c r="VWP10" s="29"/>
      <c r="VWV10" s="10"/>
      <c r="VWW10" s="36"/>
      <c r="VWX10" s="37"/>
      <c r="VWY10" s="37"/>
      <c r="VXE10" s="2"/>
      <c r="VXF10" s="29"/>
      <c r="VXL10" s="10"/>
      <c r="VXM10" s="36"/>
      <c r="VXN10" s="37"/>
      <c r="VXO10" s="37"/>
      <c r="VXU10" s="2"/>
      <c r="VXV10" s="29"/>
      <c r="VYB10" s="10"/>
      <c r="VYC10" s="36"/>
      <c r="VYD10" s="37"/>
      <c r="VYE10" s="37"/>
      <c r="VYK10" s="2"/>
      <c r="VYL10" s="29"/>
      <c r="VYR10" s="10"/>
      <c r="VYS10" s="36"/>
      <c r="VYT10" s="37"/>
      <c r="VYU10" s="37"/>
      <c r="VZA10" s="2"/>
      <c r="VZB10" s="29"/>
      <c r="VZH10" s="10"/>
      <c r="VZI10" s="36"/>
      <c r="VZJ10" s="37"/>
      <c r="VZK10" s="37"/>
      <c r="VZQ10" s="2"/>
      <c r="VZR10" s="29"/>
      <c r="VZX10" s="10"/>
      <c r="VZY10" s="36"/>
      <c r="VZZ10" s="37"/>
      <c r="WAA10" s="37"/>
      <c r="WAG10" s="2"/>
      <c r="WAH10" s="29"/>
      <c r="WAN10" s="10"/>
      <c r="WAO10" s="36"/>
      <c r="WAP10" s="37"/>
      <c r="WAQ10" s="37"/>
      <c r="WAW10" s="2"/>
      <c r="WAX10" s="29"/>
      <c r="WBD10" s="10"/>
      <c r="WBE10" s="36"/>
      <c r="WBF10" s="37"/>
      <c r="WBG10" s="37"/>
      <c r="WBM10" s="2"/>
      <c r="WBN10" s="29"/>
      <c r="WBT10" s="10"/>
      <c r="WBU10" s="36"/>
      <c r="WBV10" s="37"/>
      <c r="WBW10" s="37"/>
      <c r="WCC10" s="2"/>
      <c r="WCD10" s="29"/>
      <c r="WCJ10" s="10"/>
      <c r="WCK10" s="36"/>
      <c r="WCL10" s="37"/>
      <c r="WCM10" s="37"/>
      <c r="WCS10" s="2"/>
      <c r="WCT10" s="29"/>
      <c r="WCZ10" s="10"/>
      <c r="WDA10" s="36"/>
      <c r="WDB10" s="37"/>
      <c r="WDC10" s="37"/>
      <c r="WDI10" s="2"/>
      <c r="WDJ10" s="29"/>
      <c r="WDP10" s="10"/>
      <c r="WDQ10" s="36"/>
      <c r="WDR10" s="37"/>
      <c r="WDS10" s="37"/>
      <c r="WDY10" s="2"/>
      <c r="WDZ10" s="29"/>
      <c r="WEF10" s="10"/>
      <c r="WEG10" s="36"/>
      <c r="WEH10" s="37"/>
      <c r="WEI10" s="37"/>
      <c r="WEO10" s="2"/>
      <c r="WEP10" s="29"/>
      <c r="WEV10" s="10"/>
      <c r="WEW10" s="36"/>
      <c r="WEX10" s="37"/>
      <c r="WEY10" s="37"/>
      <c r="WFE10" s="2"/>
      <c r="WFF10" s="29"/>
      <c r="WFL10" s="10"/>
      <c r="WFM10" s="36"/>
      <c r="WFN10" s="37"/>
      <c r="WFO10" s="37"/>
      <c r="WFU10" s="2"/>
      <c r="WFV10" s="29"/>
      <c r="WGB10" s="10"/>
      <c r="WGC10" s="36"/>
      <c r="WGD10" s="37"/>
      <c r="WGE10" s="37"/>
      <c r="WGK10" s="2"/>
      <c r="WGL10" s="29"/>
      <c r="WGR10" s="10"/>
      <c r="WGS10" s="36"/>
      <c r="WGT10" s="37"/>
      <c r="WGU10" s="37"/>
      <c r="WHA10" s="2"/>
      <c r="WHB10" s="29"/>
      <c r="WHH10" s="10"/>
      <c r="WHI10" s="36"/>
      <c r="WHJ10" s="37"/>
      <c r="WHK10" s="37"/>
      <c r="WHQ10" s="2"/>
      <c r="WHR10" s="29"/>
      <c r="WHX10" s="10"/>
      <c r="WHY10" s="36"/>
      <c r="WHZ10" s="37"/>
      <c r="WIA10" s="37"/>
      <c r="WIG10" s="2"/>
      <c r="WIH10" s="29"/>
      <c r="WIN10" s="10"/>
      <c r="WIO10" s="36"/>
      <c r="WIP10" s="37"/>
      <c r="WIQ10" s="37"/>
      <c r="WIW10" s="2"/>
      <c r="WIX10" s="29"/>
      <c r="WJD10" s="10"/>
      <c r="WJE10" s="36"/>
      <c r="WJF10" s="37"/>
      <c r="WJG10" s="37"/>
      <c r="WJM10" s="2"/>
      <c r="WJN10" s="29"/>
      <c r="WJT10" s="10"/>
      <c r="WJU10" s="36"/>
      <c r="WJV10" s="37"/>
      <c r="WJW10" s="37"/>
      <c r="WKC10" s="2"/>
      <c r="WKD10" s="29"/>
      <c r="WKJ10" s="10"/>
      <c r="WKK10" s="36"/>
      <c r="WKL10" s="37"/>
      <c r="WKM10" s="37"/>
      <c r="WKS10" s="2"/>
      <c r="WKT10" s="29"/>
      <c r="WKZ10" s="10"/>
      <c r="WLA10" s="36"/>
      <c r="WLB10" s="37"/>
      <c r="WLC10" s="37"/>
      <c r="WLI10" s="2"/>
      <c r="WLJ10" s="29"/>
      <c r="WLP10" s="10"/>
      <c r="WLQ10" s="36"/>
      <c r="WLR10" s="37"/>
      <c r="WLS10" s="37"/>
      <c r="WLY10" s="2"/>
      <c r="WLZ10" s="29"/>
      <c r="WMF10" s="10"/>
      <c r="WMG10" s="36"/>
      <c r="WMH10" s="37"/>
      <c r="WMI10" s="37"/>
      <c r="WMO10" s="2"/>
      <c r="WMP10" s="29"/>
      <c r="WMV10" s="10"/>
      <c r="WMW10" s="36"/>
      <c r="WMX10" s="37"/>
      <c r="WMY10" s="37"/>
      <c r="WNE10" s="2"/>
      <c r="WNF10" s="29"/>
      <c r="WNL10" s="10"/>
      <c r="WNM10" s="36"/>
      <c r="WNN10" s="37"/>
      <c r="WNO10" s="37"/>
      <c r="WNU10" s="2"/>
      <c r="WNV10" s="29"/>
      <c r="WOB10" s="10"/>
      <c r="WOC10" s="36"/>
      <c r="WOD10" s="37"/>
      <c r="WOE10" s="37"/>
      <c r="WOK10" s="2"/>
      <c r="WOL10" s="29"/>
      <c r="WOR10" s="10"/>
      <c r="WOS10" s="36"/>
      <c r="WOT10" s="37"/>
      <c r="WOU10" s="37"/>
      <c r="WPA10" s="2"/>
      <c r="WPB10" s="29"/>
      <c r="WPH10" s="10"/>
      <c r="WPI10" s="36"/>
      <c r="WPJ10" s="37"/>
      <c r="WPK10" s="37"/>
      <c r="WPQ10" s="2"/>
      <c r="WPR10" s="29"/>
      <c r="WPX10" s="10"/>
      <c r="WPY10" s="36"/>
      <c r="WPZ10" s="37"/>
      <c r="WQA10" s="37"/>
      <c r="WQG10" s="2"/>
      <c r="WQH10" s="29"/>
      <c r="WQN10" s="10"/>
      <c r="WQO10" s="36"/>
      <c r="WQP10" s="37"/>
      <c r="WQQ10" s="37"/>
      <c r="WQW10" s="2"/>
      <c r="WQX10" s="29"/>
      <c r="WRD10" s="10"/>
      <c r="WRE10" s="36"/>
      <c r="WRF10" s="37"/>
      <c r="WRG10" s="37"/>
      <c r="WRM10" s="2"/>
      <c r="WRN10" s="29"/>
      <c r="WRT10" s="10"/>
      <c r="WRU10" s="36"/>
      <c r="WRV10" s="37"/>
      <c r="WRW10" s="37"/>
      <c r="WSC10" s="2"/>
      <c r="WSD10" s="29"/>
      <c r="WSJ10" s="10"/>
      <c r="WSK10" s="36"/>
      <c r="WSL10" s="37"/>
      <c r="WSM10" s="37"/>
      <c r="WSS10" s="2"/>
      <c r="WST10" s="29"/>
      <c r="WSZ10" s="10"/>
      <c r="WTA10" s="36"/>
      <c r="WTB10" s="37"/>
      <c r="WTC10" s="37"/>
      <c r="WTI10" s="2"/>
      <c r="WTJ10" s="29"/>
      <c r="WTP10" s="10"/>
      <c r="WTQ10" s="36"/>
      <c r="WTR10" s="37"/>
      <c r="WTS10" s="37"/>
      <c r="WTY10" s="2"/>
      <c r="WTZ10" s="29"/>
      <c r="WUF10" s="10"/>
      <c r="WUG10" s="36"/>
      <c r="WUH10" s="37"/>
      <c r="WUI10" s="37"/>
      <c r="WUO10" s="2"/>
      <c r="WUP10" s="29"/>
      <c r="WUV10" s="10"/>
      <c r="WUW10" s="36"/>
      <c r="WUX10" s="37"/>
      <c r="WUY10" s="37"/>
      <c r="WVE10" s="2"/>
      <c r="WVF10" s="29"/>
      <c r="WVL10" s="10"/>
      <c r="WVM10" s="36"/>
      <c r="WVN10" s="37"/>
      <c r="WVO10" s="37"/>
      <c r="WVU10" s="2"/>
      <c r="WVV10" s="29"/>
      <c r="WWB10" s="10"/>
      <c r="WWC10" s="36"/>
      <c r="WWD10" s="37"/>
      <c r="WWE10" s="37"/>
      <c r="WWK10" s="2"/>
      <c r="WWL10" s="29"/>
      <c r="WWR10" s="10"/>
      <c r="WWS10" s="36"/>
      <c r="WWT10" s="37"/>
      <c r="WWU10" s="37"/>
      <c r="WXA10" s="2"/>
      <c r="WXB10" s="29"/>
      <c r="WXH10" s="10"/>
      <c r="WXI10" s="36"/>
      <c r="WXJ10" s="37"/>
      <c r="WXK10" s="37"/>
      <c r="WXQ10" s="2"/>
      <c r="WXR10" s="29"/>
      <c r="WXX10" s="10"/>
      <c r="WXY10" s="36"/>
      <c r="WXZ10" s="37"/>
      <c r="WYA10" s="37"/>
      <c r="WYG10" s="2"/>
      <c r="WYH10" s="29"/>
      <c r="WYN10" s="10"/>
      <c r="WYO10" s="36"/>
      <c r="WYP10" s="37"/>
      <c r="WYQ10" s="37"/>
      <c r="WYW10" s="2"/>
      <c r="WYX10" s="29"/>
      <c r="WZD10" s="10"/>
      <c r="WZE10" s="36"/>
      <c r="WZF10" s="37"/>
      <c r="WZG10" s="37"/>
      <c r="WZM10" s="2"/>
      <c r="WZN10" s="29"/>
      <c r="WZT10" s="10"/>
      <c r="WZU10" s="36"/>
      <c r="WZV10" s="37"/>
      <c r="WZW10" s="37"/>
      <c r="XAC10" s="2"/>
      <c r="XAD10" s="29"/>
      <c r="XAJ10" s="10"/>
      <c r="XAK10" s="36"/>
      <c r="XAL10" s="37"/>
      <c r="XAM10" s="37"/>
      <c r="XAS10" s="2"/>
      <c r="XAT10" s="29"/>
      <c r="XAZ10" s="10"/>
      <c r="XBA10" s="36"/>
      <c r="XBB10" s="37"/>
      <c r="XBC10" s="37"/>
      <c r="XBI10" s="2"/>
      <c r="XBJ10" s="29"/>
      <c r="XBP10" s="10"/>
      <c r="XBQ10" s="36"/>
      <c r="XBR10" s="37"/>
      <c r="XBS10" s="37"/>
      <c r="XBY10" s="2"/>
      <c r="XBZ10" s="29"/>
      <c r="XCF10" s="10"/>
      <c r="XCG10" s="36"/>
      <c r="XCH10" s="37"/>
      <c r="XCI10" s="37"/>
      <c r="XCO10" s="2"/>
      <c r="XCP10" s="29"/>
      <c r="XCV10" s="10"/>
      <c r="XCW10" s="36"/>
      <c r="XCX10" s="37"/>
      <c r="XCY10" s="37"/>
      <c r="XDE10" s="2"/>
      <c r="XDF10" s="29"/>
      <c r="XDL10" s="10"/>
      <c r="XDM10" s="36"/>
      <c r="XDN10" s="37"/>
      <c r="XDO10" s="37"/>
      <c r="XDU10" s="2"/>
      <c r="XDV10" s="29"/>
      <c r="XEB10" s="10"/>
      <c r="XEC10" s="36"/>
      <c r="XED10" s="37"/>
      <c r="XEE10" s="37"/>
      <c r="XEK10" s="2"/>
      <c r="XEL10" s="29"/>
      <c r="XER10" s="10"/>
      <c r="XES10" s="36"/>
      <c r="XET10" s="37"/>
      <c r="XEU10" s="37"/>
      <c r="XFA10" s="2"/>
      <c r="XFB10" s="29"/>
    </row>
    <row r="11" spans="1:1022 1028:2046 2052:3070 3076:4094 4100:5118 5124:6142 6148:7166 7172:8190 8196:9214 9220:10238 10244:11262 11268:12286 12292:13310 13316:14334 14340:15358 15364:16382"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EVT-2026-1320</v>
      </c>
      <c r="B11" s="30">
        <v>46301</v>
      </c>
      <c r="C11" s="27" t="s">
        <v>227</v>
      </c>
      <c r="D11" s="27" t="s">
        <v>125</v>
      </c>
      <c r="E11" s="27" t="s">
        <v>228</v>
      </c>
      <c r="F11" s="27" t="s">
        <v>874</v>
      </c>
      <c r="G11" s="10">
        <v>50</v>
      </c>
      <c r="H11" s="36" t="s">
        <v>263</v>
      </c>
      <c r="I11" s="37">
        <v>0.58333333333333337</v>
      </c>
      <c r="J11" s="37">
        <v>0.70833333333333337</v>
      </c>
      <c r="K11" s="27" t="s">
        <v>1445</v>
      </c>
      <c r="L11" s="27" t="s">
        <v>1445</v>
      </c>
      <c r="M11" s="27" t="s">
        <v>2559</v>
      </c>
      <c r="N11" s="27" t="s">
        <v>2560</v>
      </c>
      <c r="O11" s="27"/>
      <c r="P11" s="2" t="s">
        <v>1859</v>
      </c>
      <c r="Q11" s="29" t="s">
        <v>265</v>
      </c>
      <c r="R11" s="27" t="s">
        <v>1673</v>
      </c>
      <c r="S11" s="27" t="s">
        <v>1846</v>
      </c>
    </row>
    <row r="12" spans="1:1022 1028:2046 2052:3070 3076:4094 4100:5118 5124:6142 6148:7166 7172:8190 8196:9214 9220:10238 10244:11262 11268:12286 12292:13310 13316:14334 14340:15358 15364:16382"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EVT-2026-1321</v>
      </c>
      <c r="B12" s="30">
        <v>46302</v>
      </c>
      <c r="C12" s="27" t="s">
        <v>201</v>
      </c>
      <c r="D12" s="27" t="s">
        <v>1366</v>
      </c>
      <c r="E12" s="27" t="s">
        <v>208</v>
      </c>
      <c r="F12" s="27" t="s">
        <v>217</v>
      </c>
      <c r="G12" s="10">
        <v>50</v>
      </c>
      <c r="H12" s="36" t="s">
        <v>263</v>
      </c>
      <c r="I12" s="37" t="s">
        <v>309</v>
      </c>
      <c r="J12" s="37" t="s">
        <v>296</v>
      </c>
      <c r="K12" s="27"/>
      <c r="L12" s="27"/>
      <c r="M12" s="27" t="s">
        <v>2559</v>
      </c>
      <c r="N12" s="27" t="s">
        <v>2560</v>
      </c>
      <c r="O12" s="27"/>
      <c r="P12" s="2" t="s">
        <v>1859</v>
      </c>
      <c r="Q12" s="29" t="s">
        <v>265</v>
      </c>
      <c r="R12" s="27" t="s">
        <v>2384</v>
      </c>
      <c r="S12" s="27" t="s">
        <v>1846</v>
      </c>
    </row>
    <row r="13" spans="1:1022 1028:2046 2052:3070 3076:4094 4100:5118 5124:6142 6148:7166 7172:8190 8196:9214 9220:10238 10244:11262 11268:12286 12292:13310 13316:14334 14340:15358 15364:16382"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EVT-2026-1322</v>
      </c>
      <c r="B13" s="30">
        <v>46302</v>
      </c>
      <c r="C13" s="27" t="s">
        <v>201</v>
      </c>
      <c r="D13" s="27" t="s">
        <v>736</v>
      </c>
      <c r="E13" s="27" t="s">
        <v>202</v>
      </c>
      <c r="F13" s="27" t="s">
        <v>874</v>
      </c>
      <c r="G13" s="10">
        <v>50</v>
      </c>
      <c r="H13" s="36" t="s">
        <v>263</v>
      </c>
      <c r="I13" s="37">
        <v>0.58333333333333337</v>
      </c>
      <c r="J13" s="37">
        <v>0.70833333333333337</v>
      </c>
      <c r="K13" s="27" t="s">
        <v>1445</v>
      </c>
      <c r="L13" s="27" t="s">
        <v>1445</v>
      </c>
      <c r="M13" s="27" t="s">
        <v>2559</v>
      </c>
      <c r="N13" s="27" t="s">
        <v>2560</v>
      </c>
      <c r="O13" s="27"/>
      <c r="P13" s="2" t="s">
        <v>1859</v>
      </c>
      <c r="Q13" s="29" t="s">
        <v>265</v>
      </c>
      <c r="R13" s="27" t="s">
        <v>1673</v>
      </c>
      <c r="S13" s="27" t="s">
        <v>1846</v>
      </c>
    </row>
    <row r="14" spans="1:1022 1028:2046 2052:3070 3076:4094 4100:5118 5124:6142 6148:7166 7172:8190 8196:9214 9220:10238 10244:11262 11268:12286 12292:13310 13316:14334 14340:15358 15364:16382"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EVT-2026-1323</v>
      </c>
      <c r="B14" s="30">
        <v>46302</v>
      </c>
      <c r="C14" s="27" t="s">
        <v>201</v>
      </c>
      <c r="D14" s="27" t="s">
        <v>239</v>
      </c>
      <c r="E14" s="27" t="s">
        <v>202</v>
      </c>
      <c r="F14" s="27" t="s">
        <v>2553</v>
      </c>
      <c r="G14" s="10" t="s">
        <v>2554</v>
      </c>
      <c r="H14" s="36" t="s">
        <v>263</v>
      </c>
      <c r="I14" s="37">
        <v>0.5625</v>
      </c>
      <c r="J14" s="37">
        <v>0.66666666666666663</v>
      </c>
      <c r="K14" s="27" t="s">
        <v>1445</v>
      </c>
      <c r="L14" s="27" t="s">
        <v>1445</v>
      </c>
      <c r="M14" s="27" t="s">
        <v>583</v>
      </c>
      <c r="N14" s="27" t="s">
        <v>1772</v>
      </c>
      <c r="O14" s="27"/>
      <c r="P14" s="2" t="s">
        <v>1859</v>
      </c>
      <c r="Q14" s="29" t="s">
        <v>265</v>
      </c>
      <c r="R14" s="27" t="s">
        <v>2555</v>
      </c>
      <c r="S14" s="27" t="s">
        <v>2556</v>
      </c>
    </row>
    <row r="15" spans="1:1022 1028:2046 2052:3070 3076:4094 4100:5118 5124:6142 6148:7166 7172:8190 8196:9214 9220:10238 10244:11262 11268:12286 12292:13310 13316:14334 14340:15358 15364:16382"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EVT-2026-1324</v>
      </c>
      <c r="B15" s="30">
        <v>46302</v>
      </c>
      <c r="C15" s="27" t="s">
        <v>201</v>
      </c>
      <c r="D15" s="27" t="s">
        <v>125</v>
      </c>
      <c r="E15" s="27" t="s">
        <v>228</v>
      </c>
      <c r="F15" s="27" t="s">
        <v>2121</v>
      </c>
      <c r="G15" s="10" t="s">
        <v>2561</v>
      </c>
      <c r="H15" s="36" t="s">
        <v>263</v>
      </c>
      <c r="I15" s="37" t="s">
        <v>295</v>
      </c>
      <c r="J15" s="37" t="s">
        <v>296</v>
      </c>
      <c r="K15" s="27"/>
      <c r="L15" s="27"/>
      <c r="M15" s="27" t="s">
        <v>2122</v>
      </c>
      <c r="N15" s="27" t="s">
        <v>2562</v>
      </c>
      <c r="O15" s="27"/>
      <c r="P15" s="2" t="s">
        <v>1859</v>
      </c>
      <c r="Q15" s="29" t="s">
        <v>265</v>
      </c>
      <c r="R15" s="27"/>
      <c r="S15" s="27"/>
    </row>
    <row r="16" spans="1:1022 1028:2046 2052:3070 3076:4094 4100:5118 5124:6142 6148:7166 7172:8190 8196:9214 9220:10238 10244:11262 11268:12286 12292:13310 13316:14334 14340:15358 15364:16382"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EVT-2026-1325</v>
      </c>
      <c r="B16" s="30">
        <v>46303</v>
      </c>
      <c r="C16" s="27" t="s">
        <v>216</v>
      </c>
      <c r="D16" s="27" t="s">
        <v>125</v>
      </c>
      <c r="E16" s="27" t="s">
        <v>228</v>
      </c>
      <c r="F16" s="27" t="s">
        <v>2124</v>
      </c>
      <c r="G16" s="10">
        <v>45</v>
      </c>
      <c r="H16" s="36" t="s">
        <v>263</v>
      </c>
      <c r="I16" s="37" t="s">
        <v>274</v>
      </c>
      <c r="J16" s="37" t="s">
        <v>331</v>
      </c>
      <c r="K16" s="27" t="s">
        <v>1445</v>
      </c>
      <c r="L16" s="27"/>
      <c r="M16" s="27" t="s">
        <v>1895</v>
      </c>
      <c r="N16" s="27"/>
      <c r="O16" s="27"/>
      <c r="P16" s="2" t="s">
        <v>1859</v>
      </c>
      <c r="Q16" s="29" t="s">
        <v>265</v>
      </c>
      <c r="R16" s="27"/>
      <c r="S16" s="27" t="s">
        <v>1748</v>
      </c>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EVT-2026-1326</v>
      </c>
      <c r="B17" s="30">
        <v>46303</v>
      </c>
      <c r="C17" s="27" t="s">
        <v>216</v>
      </c>
      <c r="D17" s="27" t="s">
        <v>239</v>
      </c>
      <c r="E17" s="27" t="s">
        <v>202</v>
      </c>
      <c r="F17" s="27" t="s">
        <v>2563</v>
      </c>
      <c r="G17" s="10">
        <v>300</v>
      </c>
      <c r="H17" s="36" t="s">
        <v>263</v>
      </c>
      <c r="I17" s="37">
        <v>0.64583333333333337</v>
      </c>
      <c r="J17" s="37">
        <v>0.6875</v>
      </c>
      <c r="K17" s="27" t="s">
        <v>1445</v>
      </c>
      <c r="L17" s="27" t="s">
        <v>1670</v>
      </c>
      <c r="M17" s="27" t="s">
        <v>425</v>
      </c>
      <c r="N17" s="27" t="s">
        <v>2564</v>
      </c>
      <c r="O17" s="27"/>
      <c r="P17" s="2" t="s">
        <v>1859</v>
      </c>
      <c r="Q17" s="29" t="s">
        <v>265</v>
      </c>
      <c r="R17" s="27" t="s">
        <v>2565</v>
      </c>
      <c r="S17" s="27" t="s">
        <v>2556</v>
      </c>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EVT-2026-1327</v>
      </c>
      <c r="B18" s="30">
        <v>46303</v>
      </c>
      <c r="C18" s="27" t="s">
        <v>216</v>
      </c>
      <c r="D18" s="27" t="s">
        <v>1366</v>
      </c>
      <c r="E18" s="27" t="s">
        <v>208</v>
      </c>
      <c r="F18" s="27" t="s">
        <v>217</v>
      </c>
      <c r="G18" s="10">
        <v>50</v>
      </c>
      <c r="H18" s="36" t="s">
        <v>263</v>
      </c>
      <c r="I18" s="37" t="s">
        <v>309</v>
      </c>
      <c r="J18" s="37" t="s">
        <v>296</v>
      </c>
      <c r="K18" s="27"/>
      <c r="L18" s="27"/>
      <c r="M18" s="27" t="s">
        <v>2559</v>
      </c>
      <c r="N18" s="27" t="s">
        <v>2560</v>
      </c>
      <c r="O18" s="27"/>
      <c r="P18" s="2" t="s">
        <v>1859</v>
      </c>
      <c r="Q18" s="29" t="s">
        <v>265</v>
      </c>
      <c r="R18" s="27" t="s">
        <v>2384</v>
      </c>
      <c r="S18" s="27" t="s">
        <v>1846</v>
      </c>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EVT-2026-1328</v>
      </c>
      <c r="B19" s="30">
        <v>46303</v>
      </c>
      <c r="C19" s="27" t="s">
        <v>216</v>
      </c>
      <c r="D19" s="27" t="s">
        <v>1366</v>
      </c>
      <c r="E19" s="27" t="s">
        <v>208</v>
      </c>
      <c r="F19" s="27" t="s">
        <v>2125</v>
      </c>
      <c r="G19" s="10" t="s">
        <v>2566</v>
      </c>
      <c r="H19" s="36" t="s">
        <v>263</v>
      </c>
      <c r="I19" s="37" t="s">
        <v>281</v>
      </c>
      <c r="J19" s="37" t="s">
        <v>429</v>
      </c>
      <c r="K19" s="27" t="s">
        <v>1445</v>
      </c>
      <c r="L19" s="27" t="s">
        <v>1670</v>
      </c>
      <c r="M19" s="27" t="s">
        <v>2126</v>
      </c>
      <c r="N19" s="27" t="s">
        <v>213</v>
      </c>
      <c r="O19" s="30">
        <v>46238</v>
      </c>
      <c r="P19" s="1" t="s">
        <v>264</v>
      </c>
      <c r="Q19" s="29" t="s">
        <v>265</v>
      </c>
      <c r="R19" s="27" t="s">
        <v>1673</v>
      </c>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EVT-2026-1329</v>
      </c>
      <c r="B20" s="30">
        <v>46303</v>
      </c>
      <c r="C20" s="27" t="s">
        <v>216</v>
      </c>
      <c r="D20" s="27" t="s">
        <v>125</v>
      </c>
      <c r="E20" s="27" t="s">
        <v>228</v>
      </c>
      <c r="F20" s="27" t="s">
        <v>874</v>
      </c>
      <c r="G20" s="10">
        <v>50</v>
      </c>
      <c r="H20" s="36" t="s">
        <v>263</v>
      </c>
      <c r="I20" s="37">
        <v>0.58333333333333337</v>
      </c>
      <c r="J20" s="37">
        <v>0.70833333333333337</v>
      </c>
      <c r="K20" s="27" t="s">
        <v>1445</v>
      </c>
      <c r="L20" s="27" t="s">
        <v>1445</v>
      </c>
      <c r="M20" s="27" t="s">
        <v>2567</v>
      </c>
      <c r="N20" s="27"/>
      <c r="O20" s="27"/>
      <c r="P20" s="2" t="s">
        <v>1859</v>
      </c>
      <c r="Q20" s="29" t="s">
        <v>265</v>
      </c>
      <c r="R20" s="27"/>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21" s="30">
        <v>46304</v>
      </c>
      <c r="C21" s="27" t="s">
        <v>220</v>
      </c>
      <c r="D21" s="27"/>
      <c r="E21" s="27"/>
      <c r="F21" s="27"/>
      <c r="G21" s="10"/>
      <c r="H21" s="36" t="s">
        <v>263</v>
      </c>
      <c r="I21" s="37"/>
      <c r="J21" s="37"/>
      <c r="K21" s="37"/>
      <c r="L21" s="37"/>
      <c r="M21" s="27"/>
      <c r="N21" s="27"/>
      <c r="O21" s="30"/>
      <c r="P21" s="2" t="s">
        <v>1859</v>
      </c>
      <c r="Q21" s="29" t="s">
        <v>265</v>
      </c>
      <c r="R21" s="27"/>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22" s="30">
        <v>46306</v>
      </c>
      <c r="C22" s="27" t="s">
        <v>267</v>
      </c>
      <c r="D22" s="27"/>
      <c r="E22" s="27"/>
      <c r="F22" s="27"/>
      <c r="G22" s="10"/>
      <c r="H22" s="36" t="s">
        <v>263</v>
      </c>
      <c r="I22" s="37"/>
      <c r="J22" s="37"/>
      <c r="K22" s="27"/>
      <c r="L22" s="27"/>
      <c r="M22" s="27"/>
      <c r="N22" s="27"/>
      <c r="O22" s="30"/>
      <c r="P22" s="2" t="s">
        <v>1859</v>
      </c>
      <c r="Q22" s="29" t="s">
        <v>265</v>
      </c>
      <c r="R22" s="27" t="s">
        <v>2540</v>
      </c>
      <c r="S22" s="27" t="s">
        <v>1846</v>
      </c>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EVT-2026-1330</v>
      </c>
      <c r="B23" s="30">
        <v>46307</v>
      </c>
      <c r="C23" s="27" t="s">
        <v>224</v>
      </c>
      <c r="D23" s="27" t="s">
        <v>125</v>
      </c>
      <c r="E23" s="27" t="s">
        <v>228</v>
      </c>
      <c r="F23" s="27" t="s">
        <v>2568</v>
      </c>
      <c r="G23" s="10">
        <v>20</v>
      </c>
      <c r="H23" s="36" t="s">
        <v>263</v>
      </c>
      <c r="I23" s="37">
        <v>0.33333333333333331</v>
      </c>
      <c r="J23" s="37">
        <v>0.70833333333333337</v>
      </c>
      <c r="K23" s="27" t="s">
        <v>382</v>
      </c>
      <c r="L23" s="27" t="s">
        <v>382</v>
      </c>
      <c r="M23" s="27" t="s">
        <v>2569</v>
      </c>
      <c r="N23" s="27"/>
      <c r="O23" s="30">
        <v>46266</v>
      </c>
      <c r="P23" s="2" t="s">
        <v>1859</v>
      </c>
      <c r="Q23" s="29" t="s">
        <v>265</v>
      </c>
      <c r="R23" s="27" t="s">
        <v>2129</v>
      </c>
      <c r="S23" s="27" t="s">
        <v>1497</v>
      </c>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EVT-2026-1331</v>
      </c>
      <c r="B24" s="30">
        <v>46308</v>
      </c>
      <c r="C24" s="27" t="s">
        <v>227</v>
      </c>
      <c r="D24" s="27" t="s">
        <v>1366</v>
      </c>
      <c r="E24" s="27" t="s">
        <v>208</v>
      </c>
      <c r="F24" s="27" t="s">
        <v>217</v>
      </c>
      <c r="G24" s="10">
        <v>50</v>
      </c>
      <c r="H24" s="36" t="s">
        <v>263</v>
      </c>
      <c r="I24" s="37" t="s">
        <v>309</v>
      </c>
      <c r="J24" s="37" t="s">
        <v>296</v>
      </c>
      <c r="K24" s="27"/>
      <c r="L24" s="27"/>
      <c r="M24" s="27" t="s">
        <v>2559</v>
      </c>
      <c r="N24" s="27" t="s">
        <v>2560</v>
      </c>
      <c r="O24" s="27"/>
      <c r="P24" s="2" t="s">
        <v>1859</v>
      </c>
      <c r="Q24" s="29" t="s">
        <v>265</v>
      </c>
      <c r="R24" s="27" t="s">
        <v>2384</v>
      </c>
      <c r="S24" s="27" t="s">
        <v>1846</v>
      </c>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EVT-2026-1332</v>
      </c>
      <c r="B25" s="30">
        <v>46308</v>
      </c>
      <c r="C25" s="27" t="s">
        <v>227</v>
      </c>
      <c r="D25" s="27" t="s">
        <v>125</v>
      </c>
      <c r="E25" s="27" t="s">
        <v>228</v>
      </c>
      <c r="F25" s="27" t="s">
        <v>2121</v>
      </c>
      <c r="G25" s="10" t="s">
        <v>2570</v>
      </c>
      <c r="H25" s="36" t="s">
        <v>263</v>
      </c>
      <c r="I25" s="37" t="s">
        <v>295</v>
      </c>
      <c r="J25" s="37" t="s">
        <v>296</v>
      </c>
      <c r="K25" s="27" t="s">
        <v>2128</v>
      </c>
      <c r="L25" s="27" t="s">
        <v>1670</v>
      </c>
      <c r="M25" s="27" t="s">
        <v>2122</v>
      </c>
      <c r="N25" s="27" t="s">
        <v>2562</v>
      </c>
      <c r="O25" s="30"/>
      <c r="P25" s="1" t="s">
        <v>264</v>
      </c>
      <c r="Q25" s="29" t="s">
        <v>265</v>
      </c>
      <c r="R25" s="27"/>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EVT-2026-1333</v>
      </c>
      <c r="B26" s="30">
        <v>46309</v>
      </c>
      <c r="C26" s="27" t="s">
        <v>201</v>
      </c>
      <c r="D26" s="27" t="s">
        <v>1366</v>
      </c>
      <c r="E26" s="27" t="s">
        <v>208</v>
      </c>
      <c r="F26" s="27" t="s">
        <v>217</v>
      </c>
      <c r="G26" s="10">
        <v>50</v>
      </c>
      <c r="H26" s="36" t="s">
        <v>263</v>
      </c>
      <c r="I26" s="37" t="s">
        <v>309</v>
      </c>
      <c r="J26" s="37" t="s">
        <v>296</v>
      </c>
      <c r="K26" s="27"/>
      <c r="L26" s="27"/>
      <c r="M26" s="27" t="s">
        <v>2559</v>
      </c>
      <c r="N26" s="27" t="s">
        <v>2560</v>
      </c>
      <c r="O26" s="27"/>
      <c r="P26" s="2" t="s">
        <v>1859</v>
      </c>
      <c r="Q26" s="29" t="s">
        <v>265</v>
      </c>
      <c r="R26" s="27" t="s">
        <v>2384</v>
      </c>
      <c r="S26" s="27" t="s">
        <v>1846</v>
      </c>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EVT-2026-1334</v>
      </c>
      <c r="B27" s="30">
        <v>46310</v>
      </c>
      <c r="C27" s="27" t="s">
        <v>216</v>
      </c>
      <c r="D27" s="27" t="s">
        <v>1366</v>
      </c>
      <c r="E27" s="27" t="s">
        <v>208</v>
      </c>
      <c r="F27" s="27" t="s">
        <v>217</v>
      </c>
      <c r="G27" s="10">
        <v>50</v>
      </c>
      <c r="H27" s="36" t="s">
        <v>263</v>
      </c>
      <c r="I27" s="37" t="s">
        <v>309</v>
      </c>
      <c r="J27" s="37" t="s">
        <v>296</v>
      </c>
      <c r="K27" s="27"/>
      <c r="L27" s="27"/>
      <c r="M27" s="27" t="s">
        <v>2559</v>
      </c>
      <c r="N27" s="27" t="s">
        <v>2560</v>
      </c>
      <c r="O27" s="27"/>
      <c r="P27" s="2" t="s">
        <v>1859</v>
      </c>
      <c r="Q27" s="29" t="s">
        <v>265</v>
      </c>
      <c r="R27" s="27" t="s">
        <v>2384</v>
      </c>
      <c r="S27" s="27" t="s">
        <v>1846</v>
      </c>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EVT-2026-1335</v>
      </c>
      <c r="B28" s="30">
        <v>46311</v>
      </c>
      <c r="C28" s="27" t="s">
        <v>220</v>
      </c>
      <c r="D28" s="27" t="s">
        <v>2571</v>
      </c>
      <c r="E28" s="27" t="s">
        <v>228</v>
      </c>
      <c r="F28" s="27" t="s">
        <v>2130</v>
      </c>
      <c r="G28" s="10">
        <v>8</v>
      </c>
      <c r="H28" s="36" t="s">
        <v>263</v>
      </c>
      <c r="I28" s="37" t="s">
        <v>269</v>
      </c>
      <c r="J28" s="37" t="s">
        <v>270</v>
      </c>
      <c r="K28" s="27" t="s">
        <v>382</v>
      </c>
      <c r="L28" s="27" t="s">
        <v>382</v>
      </c>
      <c r="M28" s="27" t="s">
        <v>2416</v>
      </c>
      <c r="N28" s="27" t="s">
        <v>213</v>
      </c>
      <c r="O28" s="27" t="s">
        <v>2524</v>
      </c>
      <c r="P28" s="2" t="s">
        <v>1859</v>
      </c>
      <c r="Q28" s="29" t="s">
        <v>265</v>
      </c>
      <c r="R28" s="27"/>
      <c r="S28" s="27"/>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29" s="30">
        <v>46312</v>
      </c>
      <c r="C29" s="27" t="s">
        <v>266</v>
      </c>
      <c r="D29" s="27"/>
      <c r="E29" s="27"/>
      <c r="F29" s="27"/>
      <c r="G29" s="10"/>
      <c r="H29" s="36" t="s">
        <v>263</v>
      </c>
      <c r="I29" s="37"/>
      <c r="J29" s="37"/>
      <c r="K29" s="27"/>
      <c r="L29" s="27"/>
      <c r="M29" s="27"/>
      <c r="N29" s="27"/>
      <c r="O29" s="27"/>
      <c r="P29" s="2" t="s">
        <v>1859</v>
      </c>
      <c r="Q29" s="29" t="s">
        <v>265</v>
      </c>
      <c r="R29" s="27"/>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0" s="30">
        <v>46313</v>
      </c>
      <c r="C30" s="27" t="s">
        <v>267</v>
      </c>
      <c r="D30" s="27"/>
      <c r="E30" s="27"/>
      <c r="F30" s="27"/>
      <c r="G30" s="10"/>
      <c r="H30" s="36" t="s">
        <v>263</v>
      </c>
      <c r="I30" s="37"/>
      <c r="J30" s="37"/>
      <c r="K30" s="27"/>
      <c r="L30" s="27"/>
      <c r="M30" s="27"/>
      <c r="N30" s="27"/>
      <c r="O30" s="27"/>
      <c r="P30" s="2" t="s">
        <v>1859</v>
      </c>
      <c r="Q30" s="29" t="s">
        <v>265</v>
      </c>
      <c r="R30" s="27"/>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1" s="30">
        <v>46314</v>
      </c>
      <c r="C31" s="27" t="s">
        <v>224</v>
      </c>
      <c r="D31" s="27"/>
      <c r="E31" s="27"/>
      <c r="F31" s="27"/>
      <c r="G31" s="10"/>
      <c r="H31" s="36" t="s">
        <v>263</v>
      </c>
      <c r="I31" s="37"/>
      <c r="J31" s="37"/>
      <c r="K31" s="27"/>
      <c r="L31" s="27"/>
      <c r="M31" s="27"/>
      <c r="N31" s="27"/>
      <c r="O31" s="27"/>
      <c r="P31" s="2" t="s">
        <v>1859</v>
      </c>
      <c r="Q31" s="29" t="s">
        <v>265</v>
      </c>
      <c r="R31" s="27"/>
      <c r="S31" s="27"/>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2" s="30">
        <v>46315</v>
      </c>
      <c r="C32" s="27" t="s">
        <v>227</v>
      </c>
      <c r="D32" s="27"/>
      <c r="E32" s="27"/>
      <c r="F32" s="27"/>
      <c r="G32" s="10"/>
      <c r="H32" s="36" t="s">
        <v>263</v>
      </c>
      <c r="I32" s="37"/>
      <c r="J32" s="37"/>
      <c r="K32" s="27"/>
      <c r="L32" s="27"/>
      <c r="M32" s="27"/>
      <c r="N32" s="27"/>
      <c r="O32" s="27"/>
      <c r="P32" s="2" t="s">
        <v>1859</v>
      </c>
      <c r="Q32" s="29" t="s">
        <v>265</v>
      </c>
      <c r="R32" s="27"/>
      <c r="S32" s="27"/>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EVT-2026-1336</v>
      </c>
      <c r="B33" s="30">
        <v>46316</v>
      </c>
      <c r="C33" s="27" t="s">
        <v>201</v>
      </c>
      <c r="D33" s="27" t="s">
        <v>1366</v>
      </c>
      <c r="E33" s="27" t="s">
        <v>208</v>
      </c>
      <c r="F33" s="27" t="s">
        <v>217</v>
      </c>
      <c r="G33" s="10">
        <v>50</v>
      </c>
      <c r="H33" s="36" t="s">
        <v>263</v>
      </c>
      <c r="I33" s="37" t="s">
        <v>309</v>
      </c>
      <c r="J33" s="37" t="s">
        <v>296</v>
      </c>
      <c r="K33" s="27"/>
      <c r="L33" s="27"/>
      <c r="M33" s="27" t="s">
        <v>2559</v>
      </c>
      <c r="N33" s="27" t="s">
        <v>2560</v>
      </c>
      <c r="O33" s="27"/>
      <c r="P33" s="2" t="s">
        <v>1859</v>
      </c>
      <c r="Q33" s="29" t="s">
        <v>265</v>
      </c>
      <c r="R33" s="27" t="s">
        <v>2384</v>
      </c>
      <c r="S33" s="27" t="s">
        <v>1846</v>
      </c>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EVT-2026-1337</v>
      </c>
      <c r="B34" s="30">
        <v>46317</v>
      </c>
      <c r="C34" s="27" t="s">
        <v>216</v>
      </c>
      <c r="D34" s="27" t="s">
        <v>1366</v>
      </c>
      <c r="E34" s="27" t="s">
        <v>208</v>
      </c>
      <c r="F34" s="27" t="s">
        <v>217</v>
      </c>
      <c r="G34" s="10">
        <v>50</v>
      </c>
      <c r="H34" s="36" t="s">
        <v>263</v>
      </c>
      <c r="I34" s="37" t="s">
        <v>309</v>
      </c>
      <c r="J34" s="37" t="s">
        <v>296</v>
      </c>
      <c r="K34" s="27"/>
      <c r="L34" s="27"/>
      <c r="M34" s="27" t="s">
        <v>2559</v>
      </c>
      <c r="N34" s="27" t="s">
        <v>2560</v>
      </c>
      <c r="O34" s="27"/>
      <c r="P34" s="2" t="s">
        <v>1859</v>
      </c>
      <c r="Q34" s="29" t="s">
        <v>265</v>
      </c>
      <c r="R34" s="27" t="s">
        <v>2384</v>
      </c>
      <c r="S34" s="27" t="s">
        <v>1846</v>
      </c>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5" s="30">
        <v>46318</v>
      </c>
      <c r="C35" s="27" t="s">
        <v>220</v>
      </c>
      <c r="D35" s="27"/>
      <c r="E35" s="27"/>
      <c r="F35" s="27"/>
      <c r="G35" s="10"/>
      <c r="H35" s="36" t="s">
        <v>263</v>
      </c>
      <c r="I35" s="37"/>
      <c r="J35" s="37"/>
      <c r="K35" s="27"/>
      <c r="L35" s="27"/>
      <c r="M35" s="27"/>
      <c r="N35" s="27"/>
      <c r="O35" s="27"/>
      <c r="P35" s="2" t="s">
        <v>1859</v>
      </c>
      <c r="Q35" s="29" t="s">
        <v>265</v>
      </c>
      <c r="R35" s="27"/>
      <c r="S35" s="27"/>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6" s="30">
        <v>46319</v>
      </c>
      <c r="C36" s="27" t="s">
        <v>266</v>
      </c>
      <c r="D36" s="27"/>
      <c r="E36" s="27"/>
      <c r="F36" s="27"/>
      <c r="G36" s="10"/>
      <c r="H36" s="36" t="s">
        <v>263</v>
      </c>
      <c r="I36" s="37"/>
      <c r="J36" s="37"/>
      <c r="K36" s="27"/>
      <c r="L36" s="27"/>
      <c r="M36" s="27"/>
      <c r="N36" s="27"/>
      <c r="O36" s="27"/>
      <c r="P36" s="2" t="s">
        <v>1859</v>
      </c>
      <c r="Q36" s="29" t="s">
        <v>265</v>
      </c>
      <c r="R36" s="27"/>
      <c r="S36" s="27"/>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7" s="30">
        <v>46320</v>
      </c>
      <c r="C37" s="27" t="s">
        <v>267</v>
      </c>
      <c r="D37" s="27"/>
      <c r="E37" s="27"/>
      <c r="F37" s="27"/>
      <c r="G37" s="10"/>
      <c r="H37" s="36" t="s">
        <v>263</v>
      </c>
      <c r="I37" s="37"/>
      <c r="J37" s="37"/>
      <c r="K37" s="27"/>
      <c r="L37" s="27"/>
      <c r="M37" s="27"/>
      <c r="N37" s="27"/>
      <c r="O37" s="27"/>
      <c r="P37" s="2" t="s">
        <v>1859</v>
      </c>
      <c r="Q37" s="29" t="s">
        <v>265</v>
      </c>
      <c r="R37" s="27"/>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38" s="30">
        <v>46321</v>
      </c>
      <c r="C38" s="27" t="s">
        <v>224</v>
      </c>
      <c r="D38" s="27"/>
      <c r="E38" s="27"/>
      <c r="F38" s="27"/>
      <c r="G38" s="10"/>
      <c r="H38" s="36" t="s">
        <v>263</v>
      </c>
      <c r="I38" s="37"/>
      <c r="J38" s="37"/>
      <c r="K38" s="27"/>
      <c r="L38" s="27"/>
      <c r="M38" s="27"/>
      <c r="N38" s="27"/>
      <c r="O38" s="27"/>
      <c r="P38" s="2" t="s">
        <v>1859</v>
      </c>
      <c r="Q38" s="29" t="s">
        <v>265</v>
      </c>
      <c r="R38" s="27"/>
      <c r="S38" s="27"/>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EVT-2026-1338</v>
      </c>
      <c r="B39" s="30">
        <v>46322</v>
      </c>
      <c r="C39" s="27" t="s">
        <v>227</v>
      </c>
      <c r="D39" s="27" t="s">
        <v>1366</v>
      </c>
      <c r="E39" s="27" t="s">
        <v>208</v>
      </c>
      <c r="F39" s="27" t="s">
        <v>217</v>
      </c>
      <c r="G39" s="10">
        <v>50</v>
      </c>
      <c r="H39" s="36" t="s">
        <v>263</v>
      </c>
      <c r="I39" s="37" t="s">
        <v>309</v>
      </c>
      <c r="J39" s="37" t="s">
        <v>296</v>
      </c>
      <c r="K39" s="27"/>
      <c r="L39" s="27"/>
      <c r="M39" s="27" t="s">
        <v>2559</v>
      </c>
      <c r="N39" s="27" t="s">
        <v>2560</v>
      </c>
      <c r="O39" s="27"/>
      <c r="P39" s="2" t="s">
        <v>1859</v>
      </c>
      <c r="Q39" s="29" t="s">
        <v>265</v>
      </c>
      <c r="R39" s="27" t="s">
        <v>2384</v>
      </c>
      <c r="S39" s="27" t="s">
        <v>1846</v>
      </c>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EVT-2026-1339</v>
      </c>
      <c r="B40" s="30">
        <v>46323</v>
      </c>
      <c r="C40" s="27" t="s">
        <v>201</v>
      </c>
      <c r="D40" s="27" t="s">
        <v>1366</v>
      </c>
      <c r="E40" s="27" t="s">
        <v>208</v>
      </c>
      <c r="F40" s="27" t="s">
        <v>217</v>
      </c>
      <c r="G40" s="10">
        <v>50</v>
      </c>
      <c r="H40" s="36" t="s">
        <v>263</v>
      </c>
      <c r="I40" s="37" t="s">
        <v>309</v>
      </c>
      <c r="J40" s="37" t="s">
        <v>296</v>
      </c>
      <c r="K40" s="27"/>
      <c r="L40" s="27"/>
      <c r="M40" s="27" t="s">
        <v>2559</v>
      </c>
      <c r="N40" s="27" t="s">
        <v>2560</v>
      </c>
      <c r="O40" s="27"/>
      <c r="P40" s="2" t="s">
        <v>1859</v>
      </c>
      <c r="Q40" s="29" t="s">
        <v>265</v>
      </c>
      <c r="R40" s="27" t="s">
        <v>2384</v>
      </c>
      <c r="S40" s="27" t="s">
        <v>1846</v>
      </c>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EVT-2026-1340</v>
      </c>
      <c r="B41" s="30">
        <v>46324</v>
      </c>
      <c r="C41" s="27" t="s">
        <v>216</v>
      </c>
      <c r="D41" s="27" t="s">
        <v>1366</v>
      </c>
      <c r="E41" s="27" t="s">
        <v>208</v>
      </c>
      <c r="F41" s="27" t="s">
        <v>217</v>
      </c>
      <c r="G41" s="10">
        <v>50</v>
      </c>
      <c r="H41" s="36" t="s">
        <v>263</v>
      </c>
      <c r="I41" s="37" t="s">
        <v>309</v>
      </c>
      <c r="J41" s="37" t="s">
        <v>296</v>
      </c>
      <c r="K41" s="27"/>
      <c r="L41" s="27"/>
      <c r="M41" s="27" t="s">
        <v>2559</v>
      </c>
      <c r="N41" s="27" t="s">
        <v>2560</v>
      </c>
      <c r="O41" s="27"/>
      <c r="P41" s="2" t="s">
        <v>1859</v>
      </c>
      <c r="Q41" s="29" t="s">
        <v>265</v>
      </c>
      <c r="R41" s="27" t="s">
        <v>2384</v>
      </c>
      <c r="S41" s="27" t="s">
        <v>1846</v>
      </c>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EVT-2026-1341</v>
      </c>
      <c r="B42" s="30">
        <v>46324</v>
      </c>
      <c r="C42" s="27" t="s">
        <v>216</v>
      </c>
      <c r="D42" s="27" t="s">
        <v>125</v>
      </c>
      <c r="E42" s="27" t="s">
        <v>202</v>
      </c>
      <c r="F42" s="27" t="s">
        <v>658</v>
      </c>
      <c r="G42" s="10">
        <v>60</v>
      </c>
      <c r="H42" s="36" t="s">
        <v>263</v>
      </c>
      <c r="I42" s="37" t="s">
        <v>295</v>
      </c>
      <c r="J42" s="37" t="s">
        <v>270</v>
      </c>
      <c r="K42" s="27" t="s">
        <v>2131</v>
      </c>
      <c r="L42" s="27"/>
      <c r="M42" s="27" t="s">
        <v>1163</v>
      </c>
      <c r="N42" s="27"/>
      <c r="O42" s="27"/>
      <c r="P42" s="2" t="s">
        <v>1859</v>
      </c>
      <c r="Q42" s="29" t="s">
        <v>265</v>
      </c>
      <c r="R42" s="27"/>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43" s="30">
        <v>46325</v>
      </c>
      <c r="C43" s="27" t="s">
        <v>220</v>
      </c>
      <c r="D43" s="27"/>
      <c r="E43" s="27"/>
      <c r="F43" s="27"/>
      <c r="G43" s="10"/>
      <c r="H43" s="36" t="s">
        <v>263</v>
      </c>
      <c r="I43" s="37"/>
      <c r="J43" s="37"/>
      <c r="K43" s="27"/>
      <c r="L43" s="27"/>
      <c r="M43" s="27"/>
      <c r="N43" s="27"/>
      <c r="O43" s="27"/>
      <c r="P43" s="2" t="s">
        <v>1859</v>
      </c>
      <c r="Q43" s="29" t="s">
        <v>265</v>
      </c>
      <c r="R43" s="27"/>
      <c r="S43" s="27" t="s">
        <v>2105</v>
      </c>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EVT-2026-1342</v>
      </c>
      <c r="B44" s="30">
        <v>46325</v>
      </c>
      <c r="C44" s="27" t="s">
        <v>220</v>
      </c>
      <c r="D44" s="27" t="s">
        <v>2133</v>
      </c>
      <c r="E44" s="27" t="s">
        <v>202</v>
      </c>
      <c r="F44" s="27" t="s">
        <v>344</v>
      </c>
      <c r="G44" s="10">
        <v>60</v>
      </c>
      <c r="H44" s="36" t="s">
        <v>263</v>
      </c>
      <c r="I44" s="37" t="s">
        <v>289</v>
      </c>
      <c r="J44" s="37" t="s">
        <v>296</v>
      </c>
      <c r="K44" s="27"/>
      <c r="L44" s="27"/>
      <c r="M44" s="27" t="s">
        <v>379</v>
      </c>
      <c r="N44" s="27"/>
      <c r="O44" s="27"/>
      <c r="P44" s="2" t="s">
        <v>1859</v>
      </c>
      <c r="Q44" s="29" t="s">
        <v>265</v>
      </c>
      <c r="R44" s="27" t="s">
        <v>1803</v>
      </c>
      <c r="S44" s="27" t="s">
        <v>1177</v>
      </c>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EVT-2026-1343</v>
      </c>
      <c r="B45" s="30">
        <v>46325</v>
      </c>
      <c r="C45" s="27" t="s">
        <v>220</v>
      </c>
      <c r="D45" s="27" t="s">
        <v>1512</v>
      </c>
      <c r="E45" s="27" t="s">
        <v>228</v>
      </c>
      <c r="F45" s="27" t="s">
        <v>1801</v>
      </c>
      <c r="G45" s="10">
        <v>50</v>
      </c>
      <c r="H45" s="36" t="s">
        <v>263</v>
      </c>
      <c r="I45" s="37" t="s">
        <v>295</v>
      </c>
      <c r="J45" s="37" t="s">
        <v>270</v>
      </c>
      <c r="K45" s="27" t="s">
        <v>382</v>
      </c>
      <c r="L45" s="27"/>
      <c r="M45" s="27" t="s">
        <v>916</v>
      </c>
      <c r="N45" s="27"/>
      <c r="O45" s="27"/>
      <c r="P45" s="2" t="s">
        <v>1859</v>
      </c>
      <c r="Q45" s="29" t="s">
        <v>265</v>
      </c>
      <c r="R45" s="27"/>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46" s="30">
        <v>46326</v>
      </c>
      <c r="C46" s="27" t="s">
        <v>266</v>
      </c>
      <c r="D46" s="27"/>
      <c r="E46" s="27"/>
      <c r="F46" s="27"/>
      <c r="G46" s="10"/>
      <c r="H46" s="36" t="s">
        <v>263</v>
      </c>
      <c r="I46" s="37"/>
      <c r="J46" s="37"/>
      <c r="K46" s="27"/>
      <c r="L46" s="27"/>
      <c r="M46" s="27"/>
      <c r="N46" s="27"/>
      <c r="O46" s="27"/>
      <c r="P46" s="2" t="s">
        <v>1859</v>
      </c>
      <c r="Q46" s="29" t="s">
        <v>265</v>
      </c>
      <c r="R46" s="27"/>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47" s="27"/>
      <c r="C47" s="27"/>
      <c r="D47" s="27"/>
      <c r="E47" s="27"/>
      <c r="F47" s="27"/>
      <c r="G47" s="10"/>
      <c r="H47" s="36" t="s">
        <v>263</v>
      </c>
      <c r="I47" s="37"/>
      <c r="J47" s="37"/>
      <c r="K47" s="27"/>
      <c r="L47" s="27"/>
      <c r="M47" s="27"/>
      <c r="N47" s="27"/>
      <c r="O47" s="27"/>
      <c r="P47" s="2" t="s">
        <v>1859</v>
      </c>
      <c r="Q47" s="29" t="s">
        <v>265</v>
      </c>
      <c r="R47" s="27"/>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48" s="27"/>
      <c r="C48" s="27"/>
      <c r="D48" s="27"/>
      <c r="E48" s="27"/>
      <c r="F48" s="27"/>
      <c r="G48" s="10"/>
      <c r="H48" s="36" t="s">
        <v>263</v>
      </c>
      <c r="I48" s="37"/>
      <c r="J48" s="37"/>
      <c r="K48" s="27"/>
      <c r="L48" s="27"/>
      <c r="M48" s="27"/>
      <c r="N48" s="27"/>
      <c r="O48" s="27"/>
      <c r="P48" s="2" t="s">
        <v>1859</v>
      </c>
      <c r="Q48" s="29" t="s">
        <v>265</v>
      </c>
      <c r="R48" s="27"/>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49" s="27"/>
      <c r="C49" s="27"/>
      <c r="D49" s="27"/>
      <c r="E49" s="27"/>
      <c r="F49" s="27"/>
      <c r="G49" s="10"/>
      <c r="H49" s="36" t="s">
        <v>263</v>
      </c>
      <c r="I49" s="37"/>
      <c r="J49" s="37"/>
      <c r="K49" s="27"/>
      <c r="L49" s="27"/>
      <c r="M49" s="27"/>
      <c r="N49" s="27"/>
      <c r="O49" s="27"/>
      <c r="P49" s="2" t="s">
        <v>1859</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0" s="27"/>
      <c r="C50" s="27"/>
      <c r="D50" s="27"/>
      <c r="E50" s="27"/>
      <c r="F50" s="27"/>
      <c r="G50" s="10"/>
      <c r="H50" s="36" t="s">
        <v>263</v>
      </c>
      <c r="I50" s="37"/>
      <c r="J50" s="37"/>
      <c r="K50" s="27"/>
      <c r="L50" s="27"/>
      <c r="M50" s="27"/>
      <c r="N50" s="27"/>
      <c r="O50" s="27"/>
      <c r="P50" s="2" t="s">
        <v>1859</v>
      </c>
      <c r="Q50" s="29" t="s">
        <v>265</v>
      </c>
      <c r="R50" s="27"/>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1" s="27"/>
      <c r="C51" s="27"/>
      <c r="D51" s="27"/>
      <c r="E51" s="27"/>
      <c r="F51" s="27"/>
      <c r="G51" s="10"/>
      <c r="H51" s="36" t="s">
        <v>263</v>
      </c>
      <c r="I51" s="37"/>
      <c r="J51" s="37"/>
      <c r="K51" s="27"/>
      <c r="L51" s="27"/>
      <c r="M51" s="27"/>
      <c r="N51" s="27"/>
      <c r="O51" s="27"/>
      <c r="P51" s="2" t="s">
        <v>1859</v>
      </c>
      <c r="Q51" s="29" t="s">
        <v>265</v>
      </c>
      <c r="R51" s="27"/>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2" s="27"/>
      <c r="C52" s="27"/>
      <c r="D52" s="27"/>
      <c r="E52" s="27"/>
      <c r="F52" s="27"/>
      <c r="G52" s="10"/>
      <c r="H52" s="36" t="s">
        <v>263</v>
      </c>
      <c r="I52" s="37"/>
      <c r="J52" s="37"/>
      <c r="K52" s="27"/>
      <c r="L52" s="27"/>
      <c r="M52" s="27"/>
      <c r="N52" s="27"/>
      <c r="O52" s="27"/>
      <c r="P52" s="2" t="s">
        <v>1859</v>
      </c>
      <c r="Q52" s="29" t="s">
        <v>265</v>
      </c>
      <c r="R52" s="27"/>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3" s="27"/>
      <c r="C53" s="27"/>
      <c r="D53" s="27"/>
      <c r="E53" s="27"/>
      <c r="F53" s="27"/>
      <c r="G53" s="10"/>
      <c r="H53" s="36" t="s">
        <v>263</v>
      </c>
      <c r="I53" s="37"/>
      <c r="J53" s="37"/>
      <c r="K53" s="27"/>
      <c r="L53" s="27"/>
      <c r="M53" s="27"/>
      <c r="N53" s="27"/>
      <c r="O53" s="27"/>
      <c r="P53" s="2" t="s">
        <v>1859</v>
      </c>
      <c r="Q53" s="29" t="s">
        <v>265</v>
      </c>
      <c r="R53" s="27"/>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4" s="27"/>
      <c r="C54" s="27"/>
      <c r="D54" s="27"/>
      <c r="E54" s="27"/>
      <c r="F54" s="27"/>
      <c r="G54" s="10"/>
      <c r="H54" s="36" t="s">
        <v>263</v>
      </c>
      <c r="I54" s="37"/>
      <c r="J54" s="37"/>
      <c r="K54" s="27"/>
      <c r="L54" s="27"/>
      <c r="M54" s="27"/>
      <c r="N54" s="27"/>
      <c r="O54" s="27"/>
      <c r="P54" s="2" t="s">
        <v>1859</v>
      </c>
      <c r="Q54" s="29" t="s">
        <v>265</v>
      </c>
      <c r="R54" s="27"/>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5" s="27"/>
      <c r="C55" s="27"/>
      <c r="D55" s="27"/>
      <c r="E55" s="27"/>
      <c r="F55" s="27"/>
      <c r="G55" s="10"/>
      <c r="H55" s="36" t="s">
        <v>263</v>
      </c>
      <c r="I55" s="37"/>
      <c r="J55" s="37"/>
      <c r="K55" s="27"/>
      <c r="L55" s="27"/>
      <c r="M55" s="27"/>
      <c r="N55" s="27"/>
      <c r="O55" s="27"/>
      <c r="P55" s="2" t="s">
        <v>1859</v>
      </c>
      <c r="Q55" s="29" t="s">
        <v>265</v>
      </c>
      <c r="R55" s="27"/>
      <c r="S55" s="27"/>
    </row>
    <row r="56" spans="1:19" ht="24" customHeight="1">
      <c r="A56" s="27"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6" s="27"/>
      <c r="C56" s="27"/>
      <c r="D56" s="27"/>
      <c r="E56" s="27"/>
      <c r="F56" s="27"/>
      <c r="G56" s="10"/>
      <c r="H56" s="36" t="s">
        <v>263</v>
      </c>
      <c r="I56" s="37"/>
      <c r="J56" s="37"/>
      <c r="K56" s="27"/>
      <c r="L56" s="27"/>
      <c r="M56" s="27"/>
      <c r="N56" s="27"/>
      <c r="O56" s="27"/>
      <c r="P56" s="2" t="s">
        <v>1859</v>
      </c>
      <c r="Q56" s="29" t="s">
        <v>265</v>
      </c>
      <c r="R56" s="27"/>
      <c r="S56" s="27"/>
    </row>
    <row r="57" spans="1:19" ht="15">
      <c r="A57" s="27"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COUNTIF(OFFSET($A$1, 1, 0, ROW()-2, 1), "EVT*") + 1, "0000"), "")</f>
        <v/>
      </c>
      <c r="B57" s="27"/>
      <c r="C57" s="27"/>
      <c r="D57" s="27"/>
      <c r="E57" s="27"/>
      <c r="F57" s="27"/>
      <c r="G57" s="10"/>
      <c r="H57" s="36" t="s">
        <v>263</v>
      </c>
      <c r="I57" s="37"/>
      <c r="J57" s="37"/>
      <c r="K57" s="27"/>
      <c r="L57" s="27"/>
      <c r="M57" s="27"/>
      <c r="N57" s="27"/>
      <c r="O57" s="27"/>
      <c r="P57" s="2" t="s">
        <v>1859</v>
      </c>
      <c r="Q57" s="29" t="s">
        <v>265</v>
      </c>
    </row>
  </sheetData>
  <mergeCells count="3">
    <mergeCell ref="O1:S1"/>
    <mergeCell ref="A1:C1"/>
    <mergeCell ref="D1:N1"/>
  </mergeCells>
  <dataValidations count="4">
    <dataValidation type="list" allowBlank="1" sqref="XEJ10:XEK10 XEZ10:XFA10 AB10:AC10 AR10:AS10 BH10:BI10 BX10:BY10 CN10:CO10 DD10:DE10 DT10:DU10 EJ10:EK10 EZ10:FA10 FP10:FQ10 GF10:GG10 GV10:GW10 HL10:HM10 IB10:IC10 IR10:IS10 JH10:JI10 JX10:JY10 KN10:KO10 LD10:LE10 LT10:LU10 MJ10:MK10 MZ10:NA10 NP10:NQ10 OF10:OG10 OV10:OW10 PL10:PM10 QB10:QC10 QR10:QS10 RH10:RI10 RX10:RY10 SN10:SO10 TD10:TE10 TT10:TU10 UJ10:UK10 UZ10:VA10 VP10:VQ10 WF10:WG10 WV10:WW10 XL10:XM10 YB10:YC10 YR10:YS10 ZH10:ZI10 ZX10:ZY10 AAN10:AAO10 ABD10:ABE10 ABT10:ABU10 ACJ10:ACK10 ACZ10:ADA10 ADP10:ADQ10 AEF10:AEG10 AEV10:AEW10 AFL10:AFM10 AGB10:AGC10 AGR10:AGS10 AHH10:AHI10 AHX10:AHY10 AIN10:AIO10 AJD10:AJE10 AJT10:AJU10 AKJ10:AKK10 AKZ10:ALA10 ALP10:ALQ10 AMF10:AMG10 AMV10:AMW10 ANL10:ANM10 AOB10:AOC10 AOR10:AOS10 APH10:API10 APX10:APY10 AQN10:AQO10 ARD10:ARE10 ART10:ARU10 ASJ10:ASK10 ASZ10:ATA10 ATP10:ATQ10 AUF10:AUG10 AUV10:AUW10 AVL10:AVM10 AWB10:AWC10 AWR10:AWS10 AXH10:AXI10 AXX10:AXY10 AYN10:AYO10 AZD10:AZE10 AZT10:AZU10 BAJ10:BAK10 BAZ10:BBA10 BBP10:BBQ10 BCF10:BCG10 BCV10:BCW10 BDL10:BDM10 BEB10:BEC10 BER10:BES10 BFH10:BFI10 BFX10:BFY10 BGN10:BGO10 BHD10:BHE10 BHT10:BHU10 BIJ10:BIK10 BIZ10:BJA10 BJP10:BJQ10 BKF10:BKG10 BKV10:BKW10 BLL10:BLM10 BMB10:BMC10 BMR10:BMS10 BNH10:BNI10 BNX10:BNY10 BON10:BOO10 BPD10:BPE10 BPT10:BPU10 BQJ10:BQK10 BQZ10:BRA10 BRP10:BRQ10 BSF10:BSG10 BSV10:BSW10 BTL10:BTM10 BUB10:BUC10 BUR10:BUS10 BVH10:BVI10 BVX10:BVY10 BWN10:BWO10 BXD10:BXE10 BXT10:BXU10 BYJ10:BYK10 BYZ10:BZA10 BZP10:BZQ10 CAF10:CAG10 CAV10:CAW10 CBL10:CBM10 CCB10:CCC10 CCR10:CCS10 CDH10:CDI10 CDX10:CDY10 CEN10:CEO10 CFD10:CFE10 CFT10:CFU10 CGJ10:CGK10 CGZ10:CHA10 CHP10:CHQ10 CIF10:CIG10 CIV10:CIW10 CJL10:CJM10 CKB10:CKC10 CKR10:CKS10 CLH10:CLI10 CLX10:CLY10 CMN10:CMO10 CND10:CNE10 CNT10:CNU10 COJ10:COK10 COZ10:CPA10 CPP10:CPQ10 CQF10:CQG10 CQV10:CQW10 CRL10:CRM10 CSB10:CSC10 CSR10:CSS10 CTH10:CTI10 CTX10:CTY10 CUN10:CUO10 CVD10:CVE10 CVT10:CVU10 CWJ10:CWK10 CWZ10:CXA10 CXP10:CXQ10 CYF10:CYG10 CYV10:CYW10 CZL10:CZM10 DAB10:DAC10 DAR10:DAS10 DBH10:DBI10 DBX10:DBY10 DCN10:DCO10 DDD10:DDE10 DDT10:DDU10 DEJ10:DEK10 DEZ10:DFA10 DFP10:DFQ10 DGF10:DGG10 DGV10:DGW10 DHL10:DHM10 DIB10:DIC10 DIR10:DIS10 DJH10:DJI10 DJX10:DJY10 DKN10:DKO10 DLD10:DLE10 DLT10:DLU10 DMJ10:DMK10 DMZ10:DNA10 DNP10:DNQ10 DOF10:DOG10 DOV10:DOW10 DPL10:DPM10 DQB10:DQC10 DQR10:DQS10 DRH10:DRI10 DRX10:DRY10 DSN10:DSO10 DTD10:DTE10 DTT10:DTU10 DUJ10:DUK10 DUZ10:DVA10 DVP10:DVQ10 DWF10:DWG10 DWV10:DWW10 DXL10:DXM10 DYB10:DYC10 DYR10:DYS10 DZH10:DZI10 DZX10:DZY10 EAN10:EAO10 EBD10:EBE10 EBT10:EBU10 ECJ10:ECK10 ECZ10:EDA10 EDP10:EDQ10 EEF10:EEG10 EEV10:EEW10 EFL10:EFM10 EGB10:EGC10 EGR10:EGS10 EHH10:EHI10 EHX10:EHY10 EIN10:EIO10 EJD10:EJE10 EJT10:EJU10 EKJ10:EKK10 EKZ10:ELA10 ELP10:ELQ10 EMF10:EMG10 EMV10:EMW10 ENL10:ENM10 EOB10:EOC10 EOR10:EOS10 EPH10:EPI10 EPX10:EPY10 EQN10:EQO10 ERD10:ERE10 ERT10:ERU10 ESJ10:ESK10 ESZ10:ETA10 ETP10:ETQ10 EUF10:EUG10 EUV10:EUW10 EVL10:EVM10 EWB10:EWC10 EWR10:EWS10 EXH10:EXI10 EXX10:EXY10 EYN10:EYO10 EZD10:EZE10 EZT10:EZU10 FAJ10:FAK10 FAZ10:FBA10 FBP10:FBQ10 FCF10:FCG10 FCV10:FCW10 FDL10:FDM10 FEB10:FEC10 FER10:FES10 FFH10:FFI10 FFX10:FFY10 FGN10:FGO10 FHD10:FHE10 FHT10:FHU10 FIJ10:FIK10 FIZ10:FJA10 FJP10:FJQ10 FKF10:FKG10 FKV10:FKW10 FLL10:FLM10 FMB10:FMC10 FMR10:FMS10 FNH10:FNI10 FNX10:FNY10 FON10:FOO10 FPD10:FPE10 FPT10:FPU10 FQJ10:FQK10 FQZ10:FRA10 FRP10:FRQ10 FSF10:FSG10 FSV10:FSW10 FTL10:FTM10 FUB10:FUC10 FUR10:FUS10 FVH10:FVI10 FVX10:FVY10 FWN10:FWO10 FXD10:FXE10 FXT10:FXU10 FYJ10:FYK10 FYZ10:FZA10 FZP10:FZQ10 GAF10:GAG10 GAV10:GAW10 GBL10:GBM10 GCB10:GCC10 GCR10:GCS10 GDH10:GDI10 GDX10:GDY10 GEN10:GEO10 GFD10:GFE10 GFT10:GFU10 GGJ10:GGK10 GGZ10:GHA10 GHP10:GHQ10 GIF10:GIG10 GIV10:GIW10 GJL10:GJM10 GKB10:GKC10 GKR10:GKS10 GLH10:GLI10 GLX10:GLY10 GMN10:GMO10 GND10:GNE10 GNT10:GNU10 GOJ10:GOK10 GOZ10:GPA10 GPP10:GPQ10 GQF10:GQG10 GQV10:GQW10 GRL10:GRM10 GSB10:GSC10 GSR10:GSS10 GTH10:GTI10 GTX10:GTY10 GUN10:GUO10 GVD10:GVE10 GVT10:GVU10 GWJ10:GWK10 GWZ10:GXA10 GXP10:GXQ10 GYF10:GYG10 GYV10:GYW10 GZL10:GZM10 HAB10:HAC10 HAR10:HAS10 HBH10:HBI10 HBX10:HBY10 HCN10:HCO10 HDD10:HDE10 HDT10:HDU10 HEJ10:HEK10 HEZ10:HFA10 HFP10:HFQ10 HGF10:HGG10 HGV10:HGW10 HHL10:HHM10 HIB10:HIC10 HIR10:HIS10 HJH10:HJI10 HJX10:HJY10 HKN10:HKO10 HLD10:HLE10 HLT10:HLU10 HMJ10:HMK10 HMZ10:HNA10 HNP10:HNQ10 HOF10:HOG10 HOV10:HOW10 HPL10:HPM10 HQB10:HQC10 HQR10:HQS10 HRH10:HRI10 HRX10:HRY10 HSN10:HSO10 HTD10:HTE10 HTT10:HTU10 HUJ10:HUK10 HUZ10:HVA10 HVP10:HVQ10 HWF10:HWG10 HWV10:HWW10 HXL10:HXM10 HYB10:HYC10 HYR10:HYS10 HZH10:HZI10 HZX10:HZY10 IAN10:IAO10 IBD10:IBE10 IBT10:IBU10 ICJ10:ICK10 ICZ10:IDA10 IDP10:IDQ10 IEF10:IEG10 IEV10:IEW10 IFL10:IFM10 IGB10:IGC10 IGR10:IGS10 IHH10:IHI10 IHX10:IHY10 IIN10:IIO10 IJD10:IJE10 IJT10:IJU10 IKJ10:IKK10 IKZ10:ILA10 ILP10:ILQ10 IMF10:IMG10 IMV10:IMW10 INL10:INM10 IOB10:IOC10 IOR10:IOS10 IPH10:IPI10 IPX10:IPY10 IQN10:IQO10 IRD10:IRE10 IRT10:IRU10 ISJ10:ISK10 ISZ10:ITA10 ITP10:ITQ10 IUF10:IUG10 IUV10:IUW10 IVL10:IVM10 IWB10:IWC10 IWR10:IWS10 IXH10:IXI10 IXX10:IXY10 IYN10:IYO10 IZD10:IZE10 IZT10:IZU10 JAJ10:JAK10 JAZ10:JBA10 JBP10:JBQ10 JCF10:JCG10 JCV10:JCW10 JDL10:JDM10 JEB10:JEC10 JER10:JES10 JFH10:JFI10 JFX10:JFY10 JGN10:JGO10 JHD10:JHE10 JHT10:JHU10 JIJ10:JIK10 JIZ10:JJA10 JJP10:JJQ10 JKF10:JKG10 JKV10:JKW10 JLL10:JLM10 JMB10:JMC10 JMR10:JMS10 JNH10:JNI10 JNX10:JNY10 JON10:JOO10 JPD10:JPE10 JPT10:JPU10 JQJ10:JQK10 JQZ10:JRA10 JRP10:JRQ10 JSF10:JSG10 JSV10:JSW10 JTL10:JTM10 JUB10:JUC10 JUR10:JUS10 JVH10:JVI10 JVX10:JVY10 JWN10:JWO10 JXD10:JXE10 JXT10:JXU10 JYJ10:JYK10 JYZ10:JZA10 JZP10:JZQ10 KAF10:KAG10 KAV10:KAW10 KBL10:KBM10 KCB10:KCC10 KCR10:KCS10 KDH10:KDI10 KDX10:KDY10 KEN10:KEO10 KFD10:KFE10 KFT10:KFU10 KGJ10:KGK10 KGZ10:KHA10 KHP10:KHQ10 KIF10:KIG10 KIV10:KIW10 KJL10:KJM10 KKB10:KKC10 KKR10:KKS10 KLH10:KLI10 KLX10:KLY10 KMN10:KMO10 KND10:KNE10 KNT10:KNU10 KOJ10:KOK10 KOZ10:KPA10 KPP10:KPQ10 KQF10:KQG10 KQV10:KQW10 KRL10:KRM10 KSB10:KSC10 KSR10:KSS10 KTH10:KTI10 KTX10:KTY10 KUN10:KUO10 KVD10:KVE10 KVT10:KVU10 KWJ10:KWK10 KWZ10:KXA10 KXP10:KXQ10 KYF10:KYG10 KYV10:KYW10 KZL10:KZM10 LAB10:LAC10 LAR10:LAS10 LBH10:LBI10 LBX10:LBY10 LCN10:LCO10 LDD10:LDE10 LDT10:LDU10 LEJ10:LEK10 LEZ10:LFA10 LFP10:LFQ10 LGF10:LGG10 LGV10:LGW10 LHL10:LHM10 LIB10:LIC10 LIR10:LIS10 LJH10:LJI10 LJX10:LJY10 LKN10:LKO10 LLD10:LLE10 LLT10:LLU10 LMJ10:LMK10 LMZ10:LNA10 LNP10:LNQ10 LOF10:LOG10 LOV10:LOW10 LPL10:LPM10 LQB10:LQC10 LQR10:LQS10 LRH10:LRI10 LRX10:LRY10 LSN10:LSO10 LTD10:LTE10 LTT10:LTU10 LUJ10:LUK10 LUZ10:LVA10 LVP10:LVQ10 LWF10:LWG10 LWV10:LWW10 LXL10:LXM10 LYB10:LYC10 LYR10:LYS10 LZH10:LZI10 LZX10:LZY10 MAN10:MAO10 MBD10:MBE10 MBT10:MBU10 MCJ10:MCK10 MCZ10:MDA10 MDP10:MDQ10 MEF10:MEG10 MEV10:MEW10 MFL10:MFM10 MGB10:MGC10 MGR10:MGS10 MHH10:MHI10 MHX10:MHY10 MIN10:MIO10 MJD10:MJE10 MJT10:MJU10 MKJ10:MKK10 MKZ10:MLA10 MLP10:MLQ10 MMF10:MMG10 MMV10:MMW10 MNL10:MNM10 MOB10:MOC10 MOR10:MOS10 MPH10:MPI10 MPX10:MPY10 MQN10:MQO10 MRD10:MRE10 MRT10:MRU10 MSJ10:MSK10 MSZ10:MTA10 MTP10:MTQ10 MUF10:MUG10 MUV10:MUW10 MVL10:MVM10 MWB10:MWC10 MWR10:MWS10 MXH10:MXI10 MXX10:MXY10 MYN10:MYO10 MZD10:MZE10 MZT10:MZU10 NAJ10:NAK10 NAZ10:NBA10 NBP10:NBQ10 NCF10:NCG10 NCV10:NCW10 NDL10:NDM10 NEB10:NEC10 NER10:NES10 NFH10:NFI10 NFX10:NFY10 NGN10:NGO10 NHD10:NHE10 NHT10:NHU10 NIJ10:NIK10 NIZ10:NJA10 NJP10:NJQ10 NKF10:NKG10 NKV10:NKW10 NLL10:NLM10 NMB10:NMC10 NMR10:NMS10 NNH10:NNI10 NNX10:NNY10 NON10:NOO10 NPD10:NPE10 NPT10:NPU10 NQJ10:NQK10 NQZ10:NRA10 NRP10:NRQ10 NSF10:NSG10 NSV10:NSW10 NTL10:NTM10 NUB10:NUC10 NUR10:NUS10 NVH10:NVI10 NVX10:NVY10 NWN10:NWO10 NXD10:NXE10 NXT10:NXU10 NYJ10:NYK10 NYZ10:NZA10 NZP10:NZQ10 OAF10:OAG10 OAV10:OAW10 OBL10:OBM10 OCB10:OCC10 OCR10:OCS10 ODH10:ODI10 ODX10:ODY10 OEN10:OEO10 OFD10:OFE10 OFT10:OFU10 OGJ10:OGK10 OGZ10:OHA10 OHP10:OHQ10 OIF10:OIG10 OIV10:OIW10 OJL10:OJM10 OKB10:OKC10 OKR10:OKS10 OLH10:OLI10 OLX10:OLY10 OMN10:OMO10 OND10:ONE10 ONT10:ONU10 OOJ10:OOK10 OOZ10:OPA10 OPP10:OPQ10 OQF10:OQG10 OQV10:OQW10 ORL10:ORM10 OSB10:OSC10 OSR10:OSS10 OTH10:OTI10 OTX10:OTY10 OUN10:OUO10 OVD10:OVE10 OVT10:OVU10 OWJ10:OWK10 OWZ10:OXA10 OXP10:OXQ10 OYF10:OYG10 OYV10:OYW10 OZL10:OZM10 PAB10:PAC10 PAR10:PAS10 PBH10:PBI10 PBX10:PBY10 PCN10:PCO10 PDD10:PDE10 PDT10:PDU10 PEJ10:PEK10 PEZ10:PFA10 PFP10:PFQ10 PGF10:PGG10 PGV10:PGW10 PHL10:PHM10 PIB10:PIC10 PIR10:PIS10 PJH10:PJI10 PJX10:PJY10 PKN10:PKO10 PLD10:PLE10 PLT10:PLU10 PMJ10:PMK10 PMZ10:PNA10 PNP10:PNQ10 POF10:POG10 POV10:POW10 PPL10:PPM10 PQB10:PQC10 PQR10:PQS10 PRH10:PRI10 PRX10:PRY10 PSN10:PSO10 PTD10:PTE10 PTT10:PTU10 PUJ10:PUK10 PUZ10:PVA10 PVP10:PVQ10 PWF10:PWG10 PWV10:PWW10 PXL10:PXM10 PYB10:PYC10 PYR10:PYS10 PZH10:PZI10 PZX10:PZY10 QAN10:QAO10 QBD10:QBE10 QBT10:QBU10 QCJ10:QCK10 QCZ10:QDA10 QDP10:QDQ10 QEF10:QEG10 QEV10:QEW10 QFL10:QFM10 QGB10:QGC10 QGR10:QGS10 QHH10:QHI10 QHX10:QHY10 QIN10:QIO10 QJD10:QJE10 QJT10:QJU10 QKJ10:QKK10 QKZ10:QLA10 QLP10:QLQ10 QMF10:QMG10 QMV10:QMW10 QNL10:QNM10 QOB10:QOC10 QOR10:QOS10 QPH10:QPI10 QPX10:QPY10 QQN10:QQO10 QRD10:QRE10 QRT10:QRU10 QSJ10:QSK10 QSZ10:QTA10 QTP10:QTQ10 QUF10:QUG10 QUV10:QUW10 QVL10:QVM10 QWB10:QWC10 QWR10:QWS10 QXH10:QXI10 QXX10:QXY10 QYN10:QYO10 QZD10:QZE10 QZT10:QZU10 RAJ10:RAK10 RAZ10:RBA10 RBP10:RBQ10 RCF10:RCG10 RCV10:RCW10 RDL10:RDM10 REB10:REC10 RER10:RES10 RFH10:RFI10 RFX10:RFY10 RGN10:RGO10 RHD10:RHE10 RHT10:RHU10 RIJ10:RIK10 RIZ10:RJA10 RJP10:RJQ10 RKF10:RKG10 RKV10:RKW10 RLL10:RLM10 RMB10:RMC10 RMR10:RMS10 RNH10:RNI10 RNX10:RNY10 RON10:ROO10 RPD10:RPE10 RPT10:RPU10 RQJ10:RQK10 RQZ10:RRA10 RRP10:RRQ10 RSF10:RSG10 RSV10:RSW10 RTL10:RTM10 RUB10:RUC10 RUR10:RUS10 RVH10:RVI10 RVX10:RVY10 RWN10:RWO10 RXD10:RXE10 RXT10:RXU10 RYJ10:RYK10 RYZ10:RZA10 RZP10:RZQ10 SAF10:SAG10 SAV10:SAW10 SBL10:SBM10 SCB10:SCC10 SCR10:SCS10 SDH10:SDI10 SDX10:SDY10 SEN10:SEO10 SFD10:SFE10 SFT10:SFU10 SGJ10:SGK10 SGZ10:SHA10 SHP10:SHQ10 SIF10:SIG10 SIV10:SIW10 SJL10:SJM10 SKB10:SKC10 SKR10:SKS10 SLH10:SLI10 SLX10:SLY10 SMN10:SMO10 SND10:SNE10 SNT10:SNU10 SOJ10:SOK10 SOZ10:SPA10 SPP10:SPQ10 SQF10:SQG10 SQV10:SQW10 SRL10:SRM10 SSB10:SSC10 SSR10:SSS10 STH10:STI10 STX10:STY10 SUN10:SUO10 SVD10:SVE10 SVT10:SVU10 SWJ10:SWK10 SWZ10:SXA10 SXP10:SXQ10 SYF10:SYG10 SYV10:SYW10 SZL10:SZM10 TAB10:TAC10 TAR10:TAS10 TBH10:TBI10 TBX10:TBY10 TCN10:TCO10 TDD10:TDE10 TDT10:TDU10 TEJ10:TEK10 TEZ10:TFA10 TFP10:TFQ10 TGF10:TGG10 TGV10:TGW10 THL10:THM10 TIB10:TIC10 TIR10:TIS10 TJH10:TJI10 TJX10:TJY10 TKN10:TKO10 TLD10:TLE10 TLT10:TLU10 TMJ10:TMK10 TMZ10:TNA10 TNP10:TNQ10 TOF10:TOG10 TOV10:TOW10 TPL10:TPM10 TQB10:TQC10 TQR10:TQS10 TRH10:TRI10 TRX10:TRY10 TSN10:TSO10 TTD10:TTE10 TTT10:TTU10 TUJ10:TUK10 TUZ10:TVA10 TVP10:TVQ10 TWF10:TWG10 TWV10:TWW10 TXL10:TXM10 TYB10:TYC10 TYR10:TYS10 TZH10:TZI10 TZX10:TZY10 UAN10:UAO10 UBD10:UBE10 UBT10:UBU10 UCJ10:UCK10 UCZ10:UDA10 UDP10:UDQ10 UEF10:UEG10 UEV10:UEW10 UFL10:UFM10 UGB10:UGC10 UGR10:UGS10 UHH10:UHI10 UHX10:UHY10 UIN10:UIO10 UJD10:UJE10 UJT10:UJU10 UKJ10:UKK10 UKZ10:ULA10 ULP10:ULQ10 UMF10:UMG10 UMV10:UMW10 UNL10:UNM10 UOB10:UOC10 UOR10:UOS10 UPH10:UPI10 UPX10:UPY10 UQN10:UQO10 URD10:URE10 URT10:URU10 USJ10:USK10 USZ10:UTA10 UTP10:UTQ10 UUF10:UUG10 UUV10:UUW10 UVL10:UVM10 UWB10:UWC10 UWR10:UWS10 UXH10:UXI10 UXX10:UXY10 UYN10:UYO10 UZD10:UZE10 UZT10:UZU10 VAJ10:VAK10 VAZ10:VBA10 VBP10:VBQ10 VCF10:VCG10 VCV10:VCW10 VDL10:VDM10 VEB10:VEC10 VER10:VES10 VFH10:VFI10 VFX10:VFY10 VGN10:VGO10 VHD10:VHE10 VHT10:VHU10 VIJ10:VIK10 VIZ10:VJA10 VJP10:VJQ10 VKF10:VKG10 VKV10:VKW10 VLL10:VLM10 VMB10:VMC10 VMR10:VMS10 VNH10:VNI10 VNX10:VNY10 VON10:VOO10 VPD10:VPE10 VPT10:VPU10 VQJ10:VQK10 VQZ10:VRA10 VRP10:VRQ10 VSF10:VSG10 VSV10:VSW10 VTL10:VTM10 VUB10:VUC10 VUR10:VUS10 VVH10:VVI10 VVX10:VVY10 VWN10:VWO10 VXD10:VXE10 VXT10:VXU10 VYJ10:VYK10 VYZ10:VZA10 VZP10:VZQ10 WAF10:WAG10 WAV10:WAW10 WBL10:WBM10 WCB10:WCC10 WCR10:WCS10 WDH10:WDI10 WDX10:WDY10 WEN10:WEO10 WFD10:WFE10 WFT10:WFU10 WGJ10:WGK10 WGZ10:WHA10 WHP10:WHQ10 WIF10:WIG10 WIV10:WIW10 WJL10:WJM10 WKB10:WKC10 WKR10:WKS10 WLH10:WLI10 WLX10:WLY10 WMN10:WMO10 WND10:WNE10 WNT10:WNU10 WOJ10:WOK10 WOZ10:WPA10 WPP10:WPQ10 WQF10:WQG10 WQV10:WQW10 WRL10:WRM10 WSB10:WSC10 WSR10:WSS10 WTH10:WTI10 WTX10:WTY10 WUN10:WUO10 WVD10:WVE10 WVT10:WVU10 WWJ10:WWK10 WWZ10:WXA10 WXP10:WXQ10 WYF10:WYG10 WYV10:WYW10 WZL10:WZM10 XAB10:XAC10 XAR10:XAS10 XBH10:XBI10 XBX10:XBY10 XCN10:XCO10 XDD10:XDE10 XDT10:XDU10 P42:P57 O42:O507 O3:P41" xr:uid="{00000000-0002-0000-1500-000000000000}">
      <formula1>"Confirmed (Done),Pending Calendar Booking,Canceled"</formula1>
    </dataValidation>
    <dataValidation type="list" allowBlank="1" sqref="XEK10 XFA10 AC10 AS10 BI10 BY10 CO10 DE10 DU10 EK10 FA10 FQ10 GG10 GW10 HM10 IC10 IS10 JI10 JY10 KO10 LE10 LU10 MK10 NA10 NQ10 OG10 OW10 PM10 QC10 QS10 RI10 RY10 SO10 TE10 TU10 UK10 VA10 VQ10 WG10 WW10 XM10 YC10 YS10 ZI10 ZY10 AAO10 ABE10 ABU10 ACK10 ADA10 ADQ10 AEG10 AEW10 AFM10 AGC10 AGS10 AHI10 AHY10 AIO10 AJE10 AJU10 AKK10 ALA10 ALQ10 AMG10 AMW10 ANM10 AOC10 AOS10 API10 APY10 AQO10 ARE10 ARU10 ASK10 ATA10 ATQ10 AUG10 AUW10 AVM10 AWC10 AWS10 AXI10 AXY10 AYO10 AZE10 AZU10 BAK10 BBA10 BBQ10 BCG10 BCW10 BDM10 BEC10 BES10 BFI10 BFY10 BGO10 BHE10 BHU10 BIK10 BJA10 BJQ10 BKG10 BKW10 BLM10 BMC10 BMS10 BNI10 BNY10 BOO10 BPE10 BPU10 BQK10 BRA10 BRQ10 BSG10 BSW10 BTM10 BUC10 BUS10 BVI10 BVY10 BWO10 BXE10 BXU10 BYK10 BZA10 BZQ10 CAG10 CAW10 CBM10 CCC10 CCS10 CDI10 CDY10 CEO10 CFE10 CFU10 CGK10 CHA10 CHQ10 CIG10 CIW10 CJM10 CKC10 CKS10 CLI10 CLY10 CMO10 CNE10 CNU10 COK10 CPA10 CPQ10 CQG10 CQW10 CRM10 CSC10 CSS10 CTI10 CTY10 CUO10 CVE10 CVU10 CWK10 CXA10 CXQ10 CYG10 CYW10 CZM10 DAC10 DAS10 DBI10 DBY10 DCO10 DDE10 DDU10 DEK10 DFA10 DFQ10 DGG10 DGW10 DHM10 DIC10 DIS10 DJI10 DJY10 DKO10 DLE10 DLU10 DMK10 DNA10 DNQ10 DOG10 DOW10 DPM10 DQC10 DQS10 DRI10 DRY10 DSO10 DTE10 DTU10 DUK10 DVA10 DVQ10 DWG10 DWW10 DXM10 DYC10 DYS10 DZI10 DZY10 EAO10 EBE10 EBU10 ECK10 EDA10 EDQ10 EEG10 EEW10 EFM10 EGC10 EGS10 EHI10 EHY10 EIO10 EJE10 EJU10 EKK10 ELA10 ELQ10 EMG10 EMW10 ENM10 EOC10 EOS10 EPI10 EPY10 EQO10 ERE10 ERU10 ESK10 ETA10 ETQ10 EUG10 EUW10 EVM10 EWC10 EWS10 EXI10 EXY10 EYO10 EZE10 EZU10 FAK10 FBA10 FBQ10 FCG10 FCW10 FDM10 FEC10 FES10 FFI10 FFY10 FGO10 FHE10 FHU10 FIK10 FJA10 FJQ10 FKG10 FKW10 FLM10 FMC10 FMS10 FNI10 FNY10 FOO10 FPE10 FPU10 FQK10 FRA10 FRQ10 FSG10 FSW10 FTM10 FUC10 FUS10 FVI10 FVY10 FWO10 FXE10 FXU10 FYK10 FZA10 FZQ10 GAG10 GAW10 GBM10 GCC10 GCS10 GDI10 GDY10 GEO10 GFE10 GFU10 GGK10 GHA10 GHQ10 GIG10 GIW10 GJM10 GKC10 GKS10 GLI10 GLY10 GMO10 GNE10 GNU10 GOK10 GPA10 GPQ10 GQG10 GQW10 GRM10 GSC10 GSS10 GTI10 GTY10 GUO10 GVE10 GVU10 GWK10 GXA10 GXQ10 GYG10 GYW10 GZM10 HAC10 HAS10 HBI10 HBY10 HCO10 HDE10 HDU10 HEK10 HFA10 HFQ10 HGG10 HGW10 HHM10 HIC10 HIS10 HJI10 HJY10 HKO10 HLE10 HLU10 HMK10 HNA10 HNQ10 HOG10 HOW10 HPM10 HQC10 HQS10 HRI10 HRY10 HSO10 HTE10 HTU10 HUK10 HVA10 HVQ10 HWG10 HWW10 HXM10 HYC10 HYS10 HZI10 HZY10 IAO10 IBE10 IBU10 ICK10 IDA10 IDQ10 IEG10 IEW10 IFM10 IGC10 IGS10 IHI10 IHY10 IIO10 IJE10 IJU10 IKK10 ILA10 ILQ10 IMG10 IMW10 INM10 IOC10 IOS10 IPI10 IPY10 IQO10 IRE10 IRU10 ISK10 ITA10 ITQ10 IUG10 IUW10 IVM10 IWC10 IWS10 IXI10 IXY10 IYO10 IZE10 IZU10 JAK10 JBA10 JBQ10 JCG10 JCW10 JDM10 JEC10 JES10 JFI10 JFY10 JGO10 JHE10 JHU10 JIK10 JJA10 JJQ10 JKG10 JKW10 JLM10 JMC10 JMS10 JNI10 JNY10 JOO10 JPE10 JPU10 JQK10 JRA10 JRQ10 JSG10 JSW10 JTM10 JUC10 JUS10 JVI10 JVY10 JWO10 JXE10 JXU10 JYK10 JZA10 JZQ10 KAG10 KAW10 KBM10 KCC10 KCS10 KDI10 KDY10 KEO10 KFE10 KFU10 KGK10 KHA10 KHQ10 KIG10 KIW10 KJM10 KKC10 KKS10 KLI10 KLY10 KMO10 KNE10 KNU10 KOK10 KPA10 KPQ10 KQG10 KQW10 KRM10 KSC10 KSS10 KTI10 KTY10 KUO10 KVE10 KVU10 KWK10 KXA10 KXQ10 KYG10 KYW10 KZM10 LAC10 LAS10 LBI10 LBY10 LCO10 LDE10 LDU10 LEK10 LFA10 LFQ10 LGG10 LGW10 LHM10 LIC10 LIS10 LJI10 LJY10 LKO10 LLE10 LLU10 LMK10 LNA10 LNQ10 LOG10 LOW10 LPM10 LQC10 LQS10 LRI10 LRY10 LSO10 LTE10 LTU10 LUK10 LVA10 LVQ10 LWG10 LWW10 LXM10 LYC10 LYS10 LZI10 LZY10 MAO10 MBE10 MBU10 MCK10 MDA10 MDQ10 MEG10 MEW10 MFM10 MGC10 MGS10 MHI10 MHY10 MIO10 MJE10 MJU10 MKK10 MLA10 MLQ10 MMG10 MMW10 MNM10 MOC10 MOS10 MPI10 MPY10 MQO10 MRE10 MRU10 MSK10 MTA10 MTQ10 MUG10 MUW10 MVM10 MWC10 MWS10 MXI10 MXY10 MYO10 MZE10 MZU10 NAK10 NBA10 NBQ10 NCG10 NCW10 NDM10 NEC10 NES10 NFI10 NFY10 NGO10 NHE10 NHU10 NIK10 NJA10 NJQ10 NKG10 NKW10 NLM10 NMC10 NMS10 NNI10 NNY10 NOO10 NPE10 NPU10 NQK10 NRA10 NRQ10 NSG10 NSW10 NTM10 NUC10 NUS10 NVI10 NVY10 NWO10 NXE10 NXU10 NYK10 NZA10 NZQ10 OAG10 OAW10 OBM10 OCC10 OCS10 ODI10 ODY10 OEO10 OFE10 OFU10 OGK10 OHA10 OHQ10 OIG10 OIW10 OJM10 OKC10 OKS10 OLI10 OLY10 OMO10 ONE10 ONU10 OOK10 OPA10 OPQ10 OQG10 OQW10 ORM10 OSC10 OSS10 OTI10 OTY10 OUO10 OVE10 OVU10 OWK10 OXA10 OXQ10 OYG10 OYW10 OZM10 PAC10 PAS10 PBI10 PBY10 PCO10 PDE10 PDU10 PEK10 PFA10 PFQ10 PGG10 PGW10 PHM10 PIC10 PIS10 PJI10 PJY10 PKO10 PLE10 PLU10 PMK10 PNA10 PNQ10 POG10 POW10 PPM10 PQC10 PQS10 PRI10 PRY10 PSO10 PTE10 PTU10 PUK10 PVA10 PVQ10 PWG10 PWW10 PXM10 PYC10 PYS10 PZI10 PZY10 QAO10 QBE10 QBU10 QCK10 QDA10 QDQ10 QEG10 QEW10 QFM10 QGC10 QGS10 QHI10 QHY10 QIO10 QJE10 QJU10 QKK10 QLA10 QLQ10 QMG10 QMW10 QNM10 QOC10 QOS10 QPI10 QPY10 QQO10 QRE10 QRU10 QSK10 QTA10 QTQ10 QUG10 QUW10 QVM10 QWC10 QWS10 QXI10 QXY10 QYO10 QZE10 QZU10 RAK10 RBA10 RBQ10 RCG10 RCW10 RDM10 REC10 RES10 RFI10 RFY10 RGO10 RHE10 RHU10 RIK10 RJA10 RJQ10 RKG10 RKW10 RLM10 RMC10 RMS10 RNI10 RNY10 ROO10 RPE10 RPU10 RQK10 RRA10 RRQ10 RSG10 RSW10 RTM10 RUC10 RUS10 RVI10 RVY10 RWO10 RXE10 RXU10 RYK10 RZA10 RZQ10 SAG10 SAW10 SBM10 SCC10 SCS10 SDI10 SDY10 SEO10 SFE10 SFU10 SGK10 SHA10 SHQ10 SIG10 SIW10 SJM10 SKC10 SKS10 SLI10 SLY10 SMO10 SNE10 SNU10 SOK10 SPA10 SPQ10 SQG10 SQW10 SRM10 SSC10 SSS10 STI10 STY10 SUO10 SVE10 SVU10 SWK10 SXA10 SXQ10 SYG10 SYW10 SZM10 TAC10 TAS10 TBI10 TBY10 TCO10 TDE10 TDU10 TEK10 TFA10 TFQ10 TGG10 TGW10 THM10 TIC10 TIS10 TJI10 TJY10 TKO10 TLE10 TLU10 TMK10 TNA10 TNQ10 TOG10 TOW10 TPM10 TQC10 TQS10 TRI10 TRY10 TSO10 TTE10 TTU10 TUK10 TVA10 TVQ10 TWG10 TWW10 TXM10 TYC10 TYS10 TZI10 TZY10 UAO10 UBE10 UBU10 UCK10 UDA10 UDQ10 UEG10 UEW10 UFM10 UGC10 UGS10 UHI10 UHY10 UIO10 UJE10 UJU10 UKK10 ULA10 ULQ10 UMG10 UMW10 UNM10 UOC10 UOS10 UPI10 UPY10 UQO10 URE10 URU10 USK10 UTA10 UTQ10 UUG10 UUW10 UVM10 UWC10 UWS10 UXI10 UXY10 UYO10 UZE10 UZU10 VAK10 VBA10 VBQ10 VCG10 VCW10 VDM10 VEC10 VES10 VFI10 VFY10 VGO10 VHE10 VHU10 VIK10 VJA10 VJQ10 VKG10 VKW10 VLM10 VMC10 VMS10 VNI10 VNY10 VOO10 VPE10 VPU10 VQK10 VRA10 VRQ10 VSG10 VSW10 VTM10 VUC10 VUS10 VVI10 VVY10 VWO10 VXE10 VXU10 VYK10 VZA10 VZQ10 WAG10 WAW10 WBM10 WCC10 WCS10 WDI10 WDY10 WEO10 WFE10 WFU10 WGK10 WHA10 WHQ10 WIG10 WIW10 WJM10 WKC10 WKS10 WLI10 WLY10 WMO10 WNE10 WNU10 WOK10 WPA10 WPQ10 WQG10 WQW10 WRM10 WSC10 WSS10 WTI10 WTY10 WUO10 WVE10 WVU10 WWK10 WXA10 WXQ10 WYG10 WYW10 WZM10 XAC10 XAS10 XBI10 XBY10 XCO10 XDE10 XDU10 P3:P107" xr:uid="{00000000-0002-0000-1500-000001000000}">
      <formula1>"Form sent,NA"</formula1>
    </dataValidation>
    <dataValidation type="list" allowBlank="1" sqref="XEL10 XFB10 AD10 AT10 BJ10 BZ10 CP10 DF10 DV10 EL10 FB10 FR10 GH10 GX10 HN10 ID10 IT10 JJ10 JZ10 KP10 LF10 LV10 ML10 NB10 NR10 OH10 OX10 PN10 QD10 QT10 RJ10 RZ10 SP10 TF10 TV10 UL10 VB10 VR10 WH10 WX10 XN10 YD10 YT10 ZJ10 ZZ10 AAP10 ABF10 ABV10 ACL10 ADB10 ADR10 AEH10 AEX10 AFN10 AGD10 AGT10 AHJ10 AHZ10 AIP10 AJF10 AJV10 AKL10 ALB10 ALR10 AMH10 AMX10 ANN10 AOD10 AOT10 APJ10 APZ10 AQP10 ARF10 ARV10 ASL10 ATB10 ATR10 AUH10 AUX10 AVN10 AWD10 AWT10 AXJ10 AXZ10 AYP10 AZF10 AZV10 BAL10 BBB10 BBR10 BCH10 BCX10 BDN10 BED10 BET10 BFJ10 BFZ10 BGP10 BHF10 BHV10 BIL10 BJB10 BJR10 BKH10 BKX10 BLN10 BMD10 BMT10 BNJ10 BNZ10 BOP10 BPF10 BPV10 BQL10 BRB10 BRR10 BSH10 BSX10 BTN10 BUD10 BUT10 BVJ10 BVZ10 BWP10 BXF10 BXV10 BYL10 BZB10 BZR10 CAH10 CAX10 CBN10 CCD10 CCT10 CDJ10 CDZ10 CEP10 CFF10 CFV10 CGL10 CHB10 CHR10 CIH10 CIX10 CJN10 CKD10 CKT10 CLJ10 CLZ10 CMP10 CNF10 CNV10 COL10 CPB10 CPR10 CQH10 CQX10 CRN10 CSD10 CST10 CTJ10 CTZ10 CUP10 CVF10 CVV10 CWL10 CXB10 CXR10 CYH10 CYX10 CZN10 DAD10 DAT10 DBJ10 DBZ10 DCP10 DDF10 DDV10 DEL10 DFB10 DFR10 DGH10 DGX10 DHN10 DID10 DIT10 DJJ10 DJZ10 DKP10 DLF10 DLV10 DML10 DNB10 DNR10 DOH10 DOX10 DPN10 DQD10 DQT10 DRJ10 DRZ10 DSP10 DTF10 DTV10 DUL10 DVB10 DVR10 DWH10 DWX10 DXN10 DYD10 DYT10 DZJ10 DZZ10 EAP10 EBF10 EBV10 ECL10 EDB10 EDR10 EEH10 EEX10 EFN10 EGD10 EGT10 EHJ10 EHZ10 EIP10 EJF10 EJV10 EKL10 ELB10 ELR10 EMH10 EMX10 ENN10 EOD10 EOT10 EPJ10 EPZ10 EQP10 ERF10 ERV10 ESL10 ETB10 ETR10 EUH10 EUX10 EVN10 EWD10 EWT10 EXJ10 EXZ10 EYP10 EZF10 EZV10 FAL10 FBB10 FBR10 FCH10 FCX10 FDN10 FED10 FET10 FFJ10 FFZ10 FGP10 FHF10 FHV10 FIL10 FJB10 FJR10 FKH10 FKX10 FLN10 FMD10 FMT10 FNJ10 FNZ10 FOP10 FPF10 FPV10 FQL10 FRB10 FRR10 FSH10 FSX10 FTN10 FUD10 FUT10 FVJ10 FVZ10 FWP10 FXF10 FXV10 FYL10 FZB10 FZR10 GAH10 GAX10 GBN10 GCD10 GCT10 GDJ10 GDZ10 GEP10 GFF10 GFV10 GGL10 GHB10 GHR10 GIH10 GIX10 GJN10 GKD10 GKT10 GLJ10 GLZ10 GMP10 GNF10 GNV10 GOL10 GPB10 GPR10 GQH10 GQX10 GRN10 GSD10 GST10 GTJ10 GTZ10 GUP10 GVF10 GVV10 GWL10 GXB10 GXR10 GYH10 GYX10 GZN10 HAD10 HAT10 HBJ10 HBZ10 HCP10 HDF10 HDV10 HEL10 HFB10 HFR10 HGH10 HGX10 HHN10 HID10 HIT10 HJJ10 HJZ10 HKP10 HLF10 HLV10 HML10 HNB10 HNR10 HOH10 HOX10 HPN10 HQD10 HQT10 HRJ10 HRZ10 HSP10 HTF10 HTV10 HUL10 HVB10 HVR10 HWH10 HWX10 HXN10 HYD10 HYT10 HZJ10 HZZ10 IAP10 IBF10 IBV10 ICL10 IDB10 IDR10 IEH10 IEX10 IFN10 IGD10 IGT10 IHJ10 IHZ10 IIP10 IJF10 IJV10 IKL10 ILB10 ILR10 IMH10 IMX10 INN10 IOD10 IOT10 IPJ10 IPZ10 IQP10 IRF10 IRV10 ISL10 ITB10 ITR10 IUH10 IUX10 IVN10 IWD10 IWT10 IXJ10 IXZ10 IYP10 IZF10 IZV10 JAL10 JBB10 JBR10 JCH10 JCX10 JDN10 JED10 JET10 JFJ10 JFZ10 JGP10 JHF10 JHV10 JIL10 JJB10 JJR10 JKH10 JKX10 JLN10 JMD10 JMT10 JNJ10 JNZ10 JOP10 JPF10 JPV10 JQL10 JRB10 JRR10 JSH10 JSX10 JTN10 JUD10 JUT10 JVJ10 JVZ10 JWP10 JXF10 JXV10 JYL10 JZB10 JZR10 KAH10 KAX10 KBN10 KCD10 KCT10 KDJ10 KDZ10 KEP10 KFF10 KFV10 KGL10 KHB10 KHR10 KIH10 KIX10 KJN10 KKD10 KKT10 KLJ10 KLZ10 KMP10 KNF10 KNV10 KOL10 KPB10 KPR10 KQH10 KQX10 KRN10 KSD10 KST10 KTJ10 KTZ10 KUP10 KVF10 KVV10 KWL10 KXB10 KXR10 KYH10 KYX10 KZN10 LAD10 LAT10 LBJ10 LBZ10 LCP10 LDF10 LDV10 LEL10 LFB10 LFR10 LGH10 LGX10 LHN10 LID10 LIT10 LJJ10 LJZ10 LKP10 LLF10 LLV10 LML10 LNB10 LNR10 LOH10 LOX10 LPN10 LQD10 LQT10 LRJ10 LRZ10 LSP10 LTF10 LTV10 LUL10 LVB10 LVR10 LWH10 LWX10 LXN10 LYD10 LYT10 LZJ10 LZZ10 MAP10 MBF10 MBV10 MCL10 MDB10 MDR10 MEH10 MEX10 MFN10 MGD10 MGT10 MHJ10 MHZ10 MIP10 MJF10 MJV10 MKL10 MLB10 MLR10 MMH10 MMX10 MNN10 MOD10 MOT10 MPJ10 MPZ10 MQP10 MRF10 MRV10 MSL10 MTB10 MTR10 MUH10 MUX10 MVN10 MWD10 MWT10 MXJ10 MXZ10 MYP10 MZF10 MZV10 NAL10 NBB10 NBR10 NCH10 NCX10 NDN10 NED10 NET10 NFJ10 NFZ10 NGP10 NHF10 NHV10 NIL10 NJB10 NJR10 NKH10 NKX10 NLN10 NMD10 NMT10 NNJ10 NNZ10 NOP10 NPF10 NPV10 NQL10 NRB10 NRR10 NSH10 NSX10 NTN10 NUD10 NUT10 NVJ10 NVZ10 NWP10 NXF10 NXV10 NYL10 NZB10 NZR10 OAH10 OAX10 OBN10 OCD10 OCT10 ODJ10 ODZ10 OEP10 OFF10 OFV10 OGL10 OHB10 OHR10 OIH10 OIX10 OJN10 OKD10 OKT10 OLJ10 OLZ10 OMP10 ONF10 ONV10 OOL10 OPB10 OPR10 OQH10 OQX10 ORN10 OSD10 OST10 OTJ10 OTZ10 OUP10 OVF10 OVV10 OWL10 OXB10 OXR10 OYH10 OYX10 OZN10 PAD10 PAT10 PBJ10 PBZ10 PCP10 PDF10 PDV10 PEL10 PFB10 PFR10 PGH10 PGX10 PHN10 PID10 PIT10 PJJ10 PJZ10 PKP10 PLF10 PLV10 PML10 PNB10 PNR10 POH10 POX10 PPN10 PQD10 PQT10 PRJ10 PRZ10 PSP10 PTF10 PTV10 PUL10 PVB10 PVR10 PWH10 PWX10 PXN10 PYD10 PYT10 PZJ10 PZZ10 QAP10 QBF10 QBV10 QCL10 QDB10 QDR10 QEH10 QEX10 QFN10 QGD10 QGT10 QHJ10 QHZ10 QIP10 QJF10 QJV10 QKL10 QLB10 QLR10 QMH10 QMX10 QNN10 QOD10 QOT10 QPJ10 QPZ10 QQP10 QRF10 QRV10 QSL10 QTB10 QTR10 QUH10 QUX10 QVN10 QWD10 QWT10 QXJ10 QXZ10 QYP10 QZF10 QZV10 RAL10 RBB10 RBR10 RCH10 RCX10 RDN10 RED10 RET10 RFJ10 RFZ10 RGP10 RHF10 RHV10 RIL10 RJB10 RJR10 RKH10 RKX10 RLN10 RMD10 RMT10 RNJ10 RNZ10 ROP10 RPF10 RPV10 RQL10 RRB10 RRR10 RSH10 RSX10 RTN10 RUD10 RUT10 RVJ10 RVZ10 RWP10 RXF10 RXV10 RYL10 RZB10 RZR10 SAH10 SAX10 SBN10 SCD10 SCT10 SDJ10 SDZ10 SEP10 SFF10 SFV10 SGL10 SHB10 SHR10 SIH10 SIX10 SJN10 SKD10 SKT10 SLJ10 SLZ10 SMP10 SNF10 SNV10 SOL10 SPB10 SPR10 SQH10 SQX10 SRN10 SSD10 SST10 STJ10 STZ10 SUP10 SVF10 SVV10 SWL10 SXB10 SXR10 SYH10 SYX10 SZN10 TAD10 TAT10 TBJ10 TBZ10 TCP10 TDF10 TDV10 TEL10 TFB10 TFR10 TGH10 TGX10 THN10 TID10 TIT10 TJJ10 TJZ10 TKP10 TLF10 TLV10 TML10 TNB10 TNR10 TOH10 TOX10 TPN10 TQD10 TQT10 TRJ10 TRZ10 TSP10 TTF10 TTV10 TUL10 TVB10 TVR10 TWH10 TWX10 TXN10 TYD10 TYT10 TZJ10 TZZ10 UAP10 UBF10 UBV10 UCL10 UDB10 UDR10 UEH10 UEX10 UFN10 UGD10 UGT10 UHJ10 UHZ10 UIP10 UJF10 UJV10 UKL10 ULB10 ULR10 UMH10 UMX10 UNN10 UOD10 UOT10 UPJ10 UPZ10 UQP10 URF10 URV10 USL10 UTB10 UTR10 UUH10 UUX10 UVN10 UWD10 UWT10 UXJ10 UXZ10 UYP10 UZF10 UZV10 VAL10 VBB10 VBR10 VCH10 VCX10 VDN10 VED10 VET10 VFJ10 VFZ10 VGP10 VHF10 VHV10 VIL10 VJB10 VJR10 VKH10 VKX10 VLN10 VMD10 VMT10 VNJ10 VNZ10 VOP10 VPF10 VPV10 VQL10 VRB10 VRR10 VSH10 VSX10 VTN10 VUD10 VUT10 VVJ10 VVZ10 VWP10 VXF10 VXV10 VYL10 VZB10 VZR10 WAH10 WAX10 WBN10 WCD10 WCT10 WDJ10 WDZ10 WEP10 WFF10 WFV10 WGL10 WHB10 WHR10 WIH10 WIX10 WJN10 WKD10 WKT10 WLJ10 WLZ10 WMP10 WNF10 WNV10 WOL10 WPB10 WPR10 WQH10 WQX10 WRN10 WSD10 WST10 WTJ10 WTZ10 WUP10 WVF10 WVV10 WWL10 WXB10 WXR10 WYH10 WYX10 WZN10 XAD10 XAT10 XBJ10 XBZ10 XCP10 XDF10 XDV10 Q3:Q57" xr:uid="{00000000-0002-0000-1500-000002000000}">
      <formula1>"Form sent,Not Required,NA"</formula1>
    </dataValidation>
    <dataValidation type="list" allowBlank="1" sqref="XEC10 XES10 U10 AK10 BA10 BQ10 CG10 CW10 DM10 EC10 ES10 FI10 FY10 GO10 HE10 HU10 IK10 JA10 JQ10 KG10 KW10 LM10 MC10 MS10 NI10 NY10 OO10 PE10 PU10 QK10 RA10 RQ10 SG10 SW10 TM10 UC10 US10 VI10 VY10 WO10 XE10 XU10 YK10 ZA10 ZQ10 AAG10 AAW10 ABM10 ACC10 ACS10 ADI10 ADY10 AEO10 AFE10 AFU10 AGK10 AHA10 AHQ10 AIG10 AIW10 AJM10 AKC10 AKS10 ALI10 ALY10 AMO10 ANE10 ANU10 AOK10 APA10 APQ10 AQG10 AQW10 ARM10 ASC10 ASS10 ATI10 ATY10 AUO10 AVE10 AVU10 AWK10 AXA10 AXQ10 AYG10 AYW10 AZM10 BAC10 BAS10 BBI10 BBY10 BCO10 BDE10 BDU10 BEK10 BFA10 BFQ10 BGG10 BGW10 BHM10 BIC10 BIS10 BJI10 BJY10 BKO10 BLE10 BLU10 BMK10 BNA10 BNQ10 BOG10 BOW10 BPM10 BQC10 BQS10 BRI10 BRY10 BSO10 BTE10 BTU10 BUK10 BVA10 BVQ10 BWG10 BWW10 BXM10 BYC10 BYS10 BZI10 BZY10 CAO10 CBE10 CBU10 CCK10 CDA10 CDQ10 CEG10 CEW10 CFM10 CGC10 CGS10 CHI10 CHY10 CIO10 CJE10 CJU10 CKK10 CLA10 CLQ10 CMG10 CMW10 CNM10 COC10 COS10 CPI10 CPY10 CQO10 CRE10 CRU10 CSK10 CTA10 CTQ10 CUG10 CUW10 CVM10 CWC10 CWS10 CXI10 CXY10 CYO10 CZE10 CZU10 DAK10 DBA10 DBQ10 DCG10 DCW10 DDM10 DEC10 DES10 DFI10 DFY10 DGO10 DHE10 DHU10 DIK10 DJA10 DJQ10 DKG10 DKW10 DLM10 DMC10 DMS10 DNI10 DNY10 DOO10 DPE10 DPU10 DQK10 DRA10 DRQ10 DSG10 DSW10 DTM10 DUC10 DUS10 DVI10 DVY10 DWO10 DXE10 DXU10 DYK10 DZA10 DZQ10 EAG10 EAW10 EBM10 ECC10 ECS10 EDI10 EDY10 EEO10 EFE10 EFU10 EGK10 EHA10 EHQ10 EIG10 EIW10 EJM10 EKC10 EKS10 ELI10 ELY10 EMO10 ENE10 ENU10 EOK10 EPA10 EPQ10 EQG10 EQW10 ERM10 ESC10 ESS10 ETI10 ETY10 EUO10 EVE10 EVU10 EWK10 EXA10 EXQ10 EYG10 EYW10 EZM10 FAC10 FAS10 FBI10 FBY10 FCO10 FDE10 FDU10 FEK10 FFA10 FFQ10 FGG10 FGW10 FHM10 FIC10 FIS10 FJI10 FJY10 FKO10 FLE10 FLU10 FMK10 FNA10 FNQ10 FOG10 FOW10 FPM10 FQC10 FQS10 FRI10 FRY10 FSO10 FTE10 FTU10 FUK10 FVA10 FVQ10 FWG10 FWW10 FXM10 FYC10 FYS10 FZI10 FZY10 GAO10 GBE10 GBU10 GCK10 GDA10 GDQ10 GEG10 GEW10 GFM10 GGC10 GGS10 GHI10 GHY10 GIO10 GJE10 GJU10 GKK10 GLA10 GLQ10 GMG10 GMW10 GNM10 GOC10 GOS10 GPI10 GPY10 GQO10 GRE10 GRU10 GSK10 GTA10 GTQ10 GUG10 GUW10 GVM10 GWC10 GWS10 GXI10 GXY10 GYO10 GZE10 GZU10 HAK10 HBA10 HBQ10 HCG10 HCW10 HDM10 HEC10 HES10 HFI10 HFY10 HGO10 HHE10 HHU10 HIK10 HJA10 HJQ10 HKG10 HKW10 HLM10 HMC10 HMS10 HNI10 HNY10 HOO10 HPE10 HPU10 HQK10 HRA10 HRQ10 HSG10 HSW10 HTM10 HUC10 HUS10 HVI10 HVY10 HWO10 HXE10 HXU10 HYK10 HZA10 HZQ10 IAG10 IAW10 IBM10 ICC10 ICS10 IDI10 IDY10 IEO10 IFE10 IFU10 IGK10 IHA10 IHQ10 IIG10 IIW10 IJM10 IKC10 IKS10 ILI10 ILY10 IMO10 INE10 INU10 IOK10 IPA10 IPQ10 IQG10 IQW10 IRM10 ISC10 ISS10 ITI10 ITY10 IUO10 IVE10 IVU10 IWK10 IXA10 IXQ10 IYG10 IYW10 IZM10 JAC10 JAS10 JBI10 JBY10 JCO10 JDE10 JDU10 JEK10 JFA10 JFQ10 JGG10 JGW10 JHM10 JIC10 JIS10 JJI10 JJY10 JKO10 JLE10 JLU10 JMK10 JNA10 JNQ10 JOG10 JOW10 JPM10 JQC10 JQS10 JRI10 JRY10 JSO10 JTE10 JTU10 JUK10 JVA10 JVQ10 JWG10 JWW10 JXM10 JYC10 JYS10 JZI10 JZY10 KAO10 KBE10 KBU10 KCK10 KDA10 KDQ10 KEG10 KEW10 KFM10 KGC10 KGS10 KHI10 KHY10 KIO10 KJE10 KJU10 KKK10 KLA10 KLQ10 KMG10 KMW10 KNM10 KOC10 KOS10 KPI10 KPY10 KQO10 KRE10 KRU10 KSK10 KTA10 KTQ10 KUG10 KUW10 KVM10 KWC10 KWS10 KXI10 KXY10 KYO10 KZE10 KZU10 LAK10 LBA10 LBQ10 LCG10 LCW10 LDM10 LEC10 LES10 LFI10 LFY10 LGO10 LHE10 LHU10 LIK10 LJA10 LJQ10 LKG10 LKW10 LLM10 LMC10 LMS10 LNI10 LNY10 LOO10 LPE10 LPU10 LQK10 LRA10 LRQ10 LSG10 LSW10 LTM10 LUC10 LUS10 LVI10 LVY10 LWO10 LXE10 LXU10 LYK10 LZA10 LZQ10 MAG10 MAW10 MBM10 MCC10 MCS10 MDI10 MDY10 MEO10 MFE10 MFU10 MGK10 MHA10 MHQ10 MIG10 MIW10 MJM10 MKC10 MKS10 MLI10 MLY10 MMO10 MNE10 MNU10 MOK10 MPA10 MPQ10 MQG10 MQW10 MRM10 MSC10 MSS10 MTI10 MTY10 MUO10 MVE10 MVU10 MWK10 MXA10 MXQ10 MYG10 MYW10 MZM10 NAC10 NAS10 NBI10 NBY10 NCO10 NDE10 NDU10 NEK10 NFA10 NFQ10 NGG10 NGW10 NHM10 NIC10 NIS10 NJI10 NJY10 NKO10 NLE10 NLU10 NMK10 NNA10 NNQ10 NOG10 NOW10 NPM10 NQC10 NQS10 NRI10 NRY10 NSO10 NTE10 NTU10 NUK10 NVA10 NVQ10 NWG10 NWW10 NXM10 NYC10 NYS10 NZI10 NZY10 OAO10 OBE10 OBU10 OCK10 ODA10 ODQ10 OEG10 OEW10 OFM10 OGC10 OGS10 OHI10 OHY10 OIO10 OJE10 OJU10 OKK10 OLA10 OLQ10 OMG10 OMW10 ONM10 OOC10 OOS10 OPI10 OPY10 OQO10 ORE10 ORU10 OSK10 OTA10 OTQ10 OUG10 OUW10 OVM10 OWC10 OWS10 OXI10 OXY10 OYO10 OZE10 OZU10 PAK10 PBA10 PBQ10 PCG10 PCW10 PDM10 PEC10 PES10 PFI10 PFY10 PGO10 PHE10 PHU10 PIK10 PJA10 PJQ10 PKG10 PKW10 PLM10 PMC10 PMS10 PNI10 PNY10 POO10 PPE10 PPU10 PQK10 PRA10 PRQ10 PSG10 PSW10 PTM10 PUC10 PUS10 PVI10 PVY10 PWO10 PXE10 PXU10 PYK10 PZA10 PZQ10 QAG10 QAW10 QBM10 QCC10 QCS10 QDI10 QDY10 QEO10 QFE10 QFU10 QGK10 QHA10 QHQ10 QIG10 QIW10 QJM10 QKC10 QKS10 QLI10 QLY10 QMO10 QNE10 QNU10 QOK10 QPA10 QPQ10 QQG10 QQW10 QRM10 QSC10 QSS10 QTI10 QTY10 QUO10 QVE10 QVU10 QWK10 QXA10 QXQ10 QYG10 QYW10 QZM10 RAC10 RAS10 RBI10 RBY10 RCO10 RDE10 RDU10 REK10 RFA10 RFQ10 RGG10 RGW10 RHM10 RIC10 RIS10 RJI10 RJY10 RKO10 RLE10 RLU10 RMK10 RNA10 RNQ10 ROG10 ROW10 RPM10 RQC10 RQS10 RRI10 RRY10 RSO10 RTE10 RTU10 RUK10 RVA10 RVQ10 RWG10 RWW10 RXM10 RYC10 RYS10 RZI10 RZY10 SAO10 SBE10 SBU10 SCK10 SDA10 SDQ10 SEG10 SEW10 SFM10 SGC10 SGS10 SHI10 SHY10 SIO10 SJE10 SJU10 SKK10 SLA10 SLQ10 SMG10 SMW10 SNM10 SOC10 SOS10 SPI10 SPY10 SQO10 SRE10 SRU10 SSK10 STA10 STQ10 SUG10 SUW10 SVM10 SWC10 SWS10 SXI10 SXY10 SYO10 SZE10 SZU10 TAK10 TBA10 TBQ10 TCG10 TCW10 TDM10 TEC10 TES10 TFI10 TFY10 TGO10 THE10 THU10 TIK10 TJA10 TJQ10 TKG10 TKW10 TLM10 TMC10 TMS10 TNI10 TNY10 TOO10 TPE10 TPU10 TQK10 TRA10 TRQ10 TSG10 TSW10 TTM10 TUC10 TUS10 TVI10 TVY10 TWO10 TXE10 TXU10 TYK10 TZA10 TZQ10 UAG10 UAW10 UBM10 UCC10 UCS10 UDI10 UDY10 UEO10 UFE10 UFU10 UGK10 UHA10 UHQ10 UIG10 UIW10 UJM10 UKC10 UKS10 ULI10 ULY10 UMO10 UNE10 UNU10 UOK10 UPA10 UPQ10 UQG10 UQW10 URM10 USC10 USS10 UTI10 UTY10 UUO10 UVE10 UVU10 UWK10 UXA10 UXQ10 UYG10 UYW10 UZM10 VAC10 VAS10 VBI10 VBY10 VCO10 VDE10 VDU10 VEK10 VFA10 VFQ10 VGG10 VGW10 VHM10 VIC10 VIS10 VJI10 VJY10 VKO10 VLE10 VLU10 VMK10 VNA10 VNQ10 VOG10 VOW10 VPM10 VQC10 VQS10 VRI10 VRY10 VSO10 VTE10 VTU10 VUK10 VVA10 VVQ10 VWG10 VWW10 VXM10 VYC10 VYS10 VZI10 VZY10 WAO10 WBE10 WBU10 WCK10 WDA10 WDQ10 WEG10 WEW10 WFM10 WGC10 WGS10 WHI10 WHY10 WIO10 WJE10 WJU10 WKK10 WLA10 WLQ10 WMG10 WMW10 WNM10 WOC10 WOS10 WPI10 WPY10 WQO10 WRE10 WRU10 WSK10 WTA10 WTQ10 WUG10 WUW10 WVM10 WWC10 WWS10 WXI10 WXY10 WYO10 WZE10 WZU10 XAK10 XBA10 XBQ10 XCG10 XCW10 XDM10 H3:H57" xr:uid="{00000000-0002-0000-1500-000003000000}">
      <formula1>"Big Event,Small Event"</formula1>
    </dataValidation>
  </dataValidations>
  <hyperlinks>
    <hyperlink ref="A1" location="'Dashboard'!A1" display="🏠 ⮌ RETURN TO DASHBOARD" xr:uid="{00000000-0004-0000-1500-000000000000}"/>
    <hyperlink ref="M28" r:id="rId1" xr:uid="{00000000-0004-0000-1500-000001000000}"/>
    <hyperlink ref="N25" r:id="rId2" xr:uid="{14B93180-D053-4F4D-8EA1-F3A226D95D66}"/>
    <hyperlink ref="N15" r:id="rId3" xr:uid="{73697956-4C9C-4029-BABD-AC78B8B4D2B6}"/>
    <hyperlink ref="N5" r:id="rId4" xr:uid="{5EBDE9D5-6E8D-4F98-9DB1-16C8862695D1}"/>
    <hyperlink ref="N9" r:id="rId5" xr:uid="{8995266B-3EEF-46D3-9306-8AFFE9325324}"/>
    <hyperlink ref="N11" r:id="rId6" xr:uid="{F85CC93C-C11B-496F-9E71-791559F29A75}"/>
    <hyperlink ref="N13" r:id="rId7" xr:uid="{F35334AD-7B65-4747-AC85-F8D68F4EE111}"/>
    <hyperlink ref="N10" r:id="rId8" xr:uid="{CA155AC7-BD4A-489C-9EE1-1FE9E596D18A}"/>
    <hyperlink ref="N12" r:id="rId9" xr:uid="{16DACC0D-CC14-4605-9DB9-350EE9154087}"/>
    <hyperlink ref="N18" r:id="rId10" xr:uid="{C7AFCEE0-DCAF-4396-B7FC-857D912D4403}"/>
    <hyperlink ref="N26" r:id="rId11" xr:uid="{65CDFF32-5589-4438-B3B2-955D6112EAD0}"/>
    <hyperlink ref="N24" r:id="rId12" xr:uid="{86359F9B-0FD4-4892-B83A-B3EF2C3A7751}"/>
    <hyperlink ref="N27" r:id="rId13" xr:uid="{2CE1BA91-2431-4E53-9493-0CEF7969C77C}"/>
    <hyperlink ref="N33" r:id="rId14" xr:uid="{F4C744A7-9395-4FC8-B363-DAF93C49B3F3}"/>
    <hyperlink ref="N34" r:id="rId15" xr:uid="{75B73096-D97C-4A9A-B3DF-B8297522D3C2}"/>
    <hyperlink ref="N39" r:id="rId16" xr:uid="{01DC49CF-9D70-43BE-9741-6D45F6F76895}"/>
    <hyperlink ref="N40" r:id="rId17" xr:uid="{A3B31787-E7CA-4082-8811-16C3B3E9DA78}"/>
    <hyperlink ref="N41" r:id="rId18" xr:uid="{49AA989A-BAA6-4DFC-979B-39F9471D4F67}"/>
    <hyperlink ref="N17" r:id="rId19" xr:uid="{AE3F598A-2939-426F-BE98-AEED16A529AC}"/>
    <hyperlink ref="N14" r:id="rId20" xr:uid="{DF158F5F-EEB9-43C2-83FC-A856C9DACB09}"/>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50"/>
  <sheetViews>
    <sheetView workbookViewId="0">
      <pane ySplit="2" topLeftCell="A3" activePane="bottomLeft" state="frozen"/>
      <selection pane="bottomLeft"/>
    </sheetView>
  </sheetViews>
  <sheetFormatPr defaultRowHeight="14.45"/>
  <cols>
    <col min="1" max="1" width="18" customWidth="1"/>
    <col min="2" max="2" width="15" customWidth="1"/>
    <col min="3" max="3" width="12" customWidth="1"/>
    <col min="4" max="4" width="22" customWidth="1"/>
    <col min="5" max="5" width="28" customWidth="1"/>
    <col min="6" max="6" width="12" customWidth="1"/>
    <col min="7" max="7" width="15" customWidth="1"/>
    <col min="8" max="8" width="19" customWidth="1"/>
    <col min="9" max="9" width="17" customWidth="1"/>
    <col min="10" max="10" width="18" customWidth="1"/>
    <col min="11" max="11" width="22" customWidth="1"/>
    <col min="12" max="12" width="20" customWidth="1"/>
    <col min="13" max="13" width="25" customWidth="1"/>
    <col min="14" max="14" width="15" customWidth="1"/>
    <col min="15" max="15" width="27" customWidth="1"/>
    <col min="16" max="16" width="18" customWidth="1"/>
    <col min="17" max="17" width="48" customWidth="1"/>
    <col min="18" max="18" width="19" customWidth="1"/>
  </cols>
  <sheetData>
    <row r="1" spans="1:18" ht="27.95" customHeight="1">
      <c r="A1" s="62" t="s">
        <v>2138</v>
      </c>
      <c r="B1" s="134"/>
      <c r="C1" s="135"/>
      <c r="D1" s="63" t="s">
        <v>2572</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 s="30">
        <v>46327</v>
      </c>
      <c r="C3" s="27" t="s">
        <v>267</v>
      </c>
      <c r="D3" s="27"/>
      <c r="E3" s="27"/>
      <c r="F3" s="10"/>
      <c r="G3" s="36" t="s">
        <v>263</v>
      </c>
      <c r="H3" s="37"/>
      <c r="I3" s="37"/>
      <c r="J3" s="27"/>
      <c r="K3" s="27"/>
      <c r="L3" s="27"/>
      <c r="M3" s="27"/>
      <c r="N3" s="27"/>
      <c r="O3" s="2" t="s">
        <v>1859</v>
      </c>
      <c r="P3" s="29" t="s">
        <v>265</v>
      </c>
      <c r="Q3" s="27"/>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 s="30">
        <v>46328</v>
      </c>
      <c r="C4" s="27" t="s">
        <v>224</v>
      </c>
      <c r="D4" s="27"/>
      <c r="E4" s="27"/>
      <c r="F4" s="10"/>
      <c r="G4" s="36" t="s">
        <v>263</v>
      </c>
      <c r="H4" s="37"/>
      <c r="I4" s="37"/>
      <c r="J4" s="27"/>
      <c r="K4" s="27"/>
      <c r="L4" s="27"/>
      <c r="M4" s="27"/>
      <c r="N4" s="27"/>
      <c r="O4" s="2" t="s">
        <v>1859</v>
      </c>
      <c r="P4" s="29" t="s">
        <v>265</v>
      </c>
      <c r="Q4" s="27"/>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5" s="30">
        <v>46329</v>
      </c>
      <c r="C5" s="27" t="s">
        <v>227</v>
      </c>
      <c r="D5" s="27"/>
      <c r="E5" s="27"/>
      <c r="F5" s="10"/>
      <c r="G5" s="36" t="s">
        <v>263</v>
      </c>
      <c r="H5" s="37"/>
      <c r="I5" s="37"/>
      <c r="J5" s="27"/>
      <c r="K5" s="27"/>
      <c r="L5" s="27"/>
      <c r="M5" s="27"/>
      <c r="N5" s="27"/>
      <c r="O5" s="2" t="s">
        <v>1859</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6" s="30">
        <v>46330</v>
      </c>
      <c r="C6" s="27" t="s">
        <v>201</v>
      </c>
      <c r="D6" s="27"/>
      <c r="E6" s="27"/>
      <c r="F6" s="10"/>
      <c r="G6" s="36" t="s">
        <v>263</v>
      </c>
      <c r="H6" s="37"/>
      <c r="I6" s="37"/>
      <c r="J6" s="27"/>
      <c r="K6" s="27"/>
      <c r="L6" s="27"/>
      <c r="M6" s="27"/>
      <c r="N6" s="27"/>
      <c r="O6" s="2" t="s">
        <v>1859</v>
      </c>
      <c r="P6" s="29" t="s">
        <v>265</v>
      </c>
      <c r="Q6" s="27"/>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7" s="30">
        <v>46331</v>
      </c>
      <c r="C7" s="27" t="s">
        <v>216</v>
      </c>
      <c r="D7" s="27"/>
      <c r="E7" s="27"/>
      <c r="F7" s="10"/>
      <c r="G7" s="36" t="s">
        <v>263</v>
      </c>
      <c r="H7" s="37"/>
      <c r="I7" s="37"/>
      <c r="J7" s="27"/>
      <c r="K7" s="27"/>
      <c r="L7" s="27"/>
      <c r="M7" s="27"/>
      <c r="N7" s="27"/>
      <c r="O7" s="2" t="s">
        <v>1859</v>
      </c>
      <c r="P7" s="29" t="s">
        <v>265</v>
      </c>
      <c r="Q7" s="27"/>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8" s="30">
        <v>46332</v>
      </c>
      <c r="C8" s="27" t="s">
        <v>220</v>
      </c>
      <c r="D8" s="27"/>
      <c r="E8" s="27"/>
      <c r="F8" s="10"/>
      <c r="G8" s="36" t="s">
        <v>263</v>
      </c>
      <c r="H8" s="37"/>
      <c r="I8" s="37"/>
      <c r="J8" s="27"/>
      <c r="K8" s="27"/>
      <c r="L8" s="27"/>
      <c r="M8" s="27"/>
      <c r="N8" s="27"/>
      <c r="O8" s="2" t="s">
        <v>1859</v>
      </c>
      <c r="P8" s="29" t="s">
        <v>265</v>
      </c>
      <c r="Q8" s="27"/>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9" s="30">
        <v>46333</v>
      </c>
      <c r="C9" s="27" t="s">
        <v>266</v>
      </c>
      <c r="D9" s="27"/>
      <c r="E9" s="27"/>
      <c r="F9" s="10"/>
      <c r="G9" s="36" t="s">
        <v>263</v>
      </c>
      <c r="H9" s="37"/>
      <c r="I9" s="37"/>
      <c r="J9" s="27"/>
      <c r="K9" s="27"/>
      <c r="L9" s="27"/>
      <c r="M9" s="27"/>
      <c r="N9" s="27"/>
      <c r="O9" s="2" t="s">
        <v>1859</v>
      </c>
      <c r="P9" s="29" t="s">
        <v>265</v>
      </c>
      <c r="Q9" s="27"/>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0" s="30">
        <v>46334</v>
      </c>
      <c r="C10" s="27" t="s">
        <v>267</v>
      </c>
      <c r="D10" s="27"/>
      <c r="E10" s="27"/>
      <c r="F10" s="10"/>
      <c r="G10" s="36" t="s">
        <v>263</v>
      </c>
      <c r="H10" s="37"/>
      <c r="I10" s="37"/>
      <c r="J10" s="27"/>
      <c r="K10" s="27"/>
      <c r="L10" s="27"/>
      <c r="M10" s="27"/>
      <c r="N10" s="27"/>
      <c r="O10" s="2" t="s">
        <v>1859</v>
      </c>
      <c r="P10" s="29" t="s">
        <v>265</v>
      </c>
      <c r="Q10" s="27"/>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1" s="30">
        <v>46335</v>
      </c>
      <c r="C11" s="27" t="s">
        <v>224</v>
      </c>
      <c r="D11" s="27"/>
      <c r="E11" s="27"/>
      <c r="F11" s="10"/>
      <c r="G11" s="36" t="s">
        <v>263</v>
      </c>
      <c r="H11" s="37"/>
      <c r="I11" s="37"/>
      <c r="J11" s="27"/>
      <c r="K11" s="27"/>
      <c r="L11" s="27"/>
      <c r="M11" s="27"/>
      <c r="N11" s="27"/>
      <c r="O11" s="2" t="s">
        <v>1859</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2" s="30">
        <v>46336</v>
      </c>
      <c r="C12" s="27" t="s">
        <v>227</v>
      </c>
      <c r="D12" s="27"/>
      <c r="E12" s="27"/>
      <c r="F12" s="10"/>
      <c r="G12" s="36" t="s">
        <v>263</v>
      </c>
      <c r="H12" s="37"/>
      <c r="I12" s="37"/>
      <c r="J12" s="27"/>
      <c r="K12" s="27"/>
      <c r="L12" s="27"/>
      <c r="M12" s="27"/>
      <c r="N12" s="27"/>
      <c r="O12" s="2" t="s">
        <v>1859</v>
      </c>
      <c r="P12" s="29" t="s">
        <v>265</v>
      </c>
      <c r="Q12" s="27"/>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3" s="30">
        <v>46337</v>
      </c>
      <c r="C13" s="27" t="s">
        <v>201</v>
      </c>
      <c r="D13" s="27"/>
      <c r="E13" s="27"/>
      <c r="F13" s="10"/>
      <c r="G13" s="36" t="s">
        <v>263</v>
      </c>
      <c r="H13" s="37"/>
      <c r="I13" s="37"/>
      <c r="J13" s="27"/>
      <c r="K13" s="27"/>
      <c r="L13" s="27"/>
      <c r="M13" s="27"/>
      <c r="N13" s="27"/>
      <c r="O13" s="2" t="s">
        <v>1859</v>
      </c>
      <c r="P13" s="29" t="s">
        <v>265</v>
      </c>
      <c r="Q13" s="27"/>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4" s="30">
        <v>46338</v>
      </c>
      <c r="C14" s="27" t="s">
        <v>216</v>
      </c>
      <c r="D14" s="27"/>
      <c r="E14" s="27"/>
      <c r="F14" s="10"/>
      <c r="G14" s="36" t="s">
        <v>263</v>
      </c>
      <c r="H14" s="37"/>
      <c r="I14" s="37"/>
      <c r="J14" s="27"/>
      <c r="K14" s="27"/>
      <c r="L14" s="27"/>
      <c r="M14" s="27"/>
      <c r="N14" s="27"/>
      <c r="O14" s="2" t="s">
        <v>1859</v>
      </c>
      <c r="P14" s="29" t="s">
        <v>265</v>
      </c>
      <c r="Q14" s="27"/>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5" s="30">
        <v>46339</v>
      </c>
      <c r="C15" s="27" t="s">
        <v>220</v>
      </c>
      <c r="D15" s="27"/>
      <c r="E15" s="27"/>
      <c r="F15" s="10"/>
      <c r="G15" s="36" t="s">
        <v>263</v>
      </c>
      <c r="H15" s="37"/>
      <c r="I15" s="37"/>
      <c r="J15" s="27"/>
      <c r="K15" s="27"/>
      <c r="L15" s="27"/>
      <c r="M15" s="27"/>
      <c r="N15" s="27"/>
      <c r="O15" s="2" t="s">
        <v>1859</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6" s="30">
        <v>46340</v>
      </c>
      <c r="C16" s="27" t="s">
        <v>266</v>
      </c>
      <c r="D16" s="27"/>
      <c r="E16" s="27"/>
      <c r="F16" s="10"/>
      <c r="G16" s="36" t="s">
        <v>263</v>
      </c>
      <c r="H16" s="37"/>
      <c r="I16" s="37"/>
      <c r="J16" s="27"/>
      <c r="K16" s="27"/>
      <c r="L16" s="27"/>
      <c r="M16" s="27"/>
      <c r="N16" s="27"/>
      <c r="O16" s="2" t="s">
        <v>1859</v>
      </c>
      <c r="P16" s="29" t="s">
        <v>265</v>
      </c>
      <c r="Q16" s="27"/>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7" s="30">
        <v>46341</v>
      </c>
      <c r="C17" s="27" t="s">
        <v>267</v>
      </c>
      <c r="D17" s="27"/>
      <c r="E17" s="27"/>
      <c r="F17" s="10"/>
      <c r="G17" s="36" t="s">
        <v>263</v>
      </c>
      <c r="H17" s="37"/>
      <c r="I17" s="37"/>
      <c r="J17" s="27"/>
      <c r="K17" s="27"/>
      <c r="L17" s="27"/>
      <c r="M17" s="27"/>
      <c r="N17" s="27"/>
      <c r="O17" s="2" t="s">
        <v>1859</v>
      </c>
      <c r="P17" s="29" t="s">
        <v>265</v>
      </c>
      <c r="Q17" s="27"/>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8" s="30">
        <v>46342</v>
      </c>
      <c r="C18" s="27" t="s">
        <v>224</v>
      </c>
      <c r="D18" s="27"/>
      <c r="E18" s="27"/>
      <c r="F18" s="10"/>
      <c r="G18" s="36" t="s">
        <v>263</v>
      </c>
      <c r="H18" s="37"/>
      <c r="I18" s="37"/>
      <c r="J18" s="27"/>
      <c r="K18" s="27"/>
      <c r="L18" s="27"/>
      <c r="M18" s="27"/>
      <c r="N18" s="27"/>
      <c r="O18" s="2" t="s">
        <v>1859</v>
      </c>
      <c r="P18" s="29" t="s">
        <v>265</v>
      </c>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19" s="30">
        <v>46343</v>
      </c>
      <c r="C19" s="27" t="s">
        <v>227</v>
      </c>
      <c r="D19" s="27"/>
      <c r="E19" s="27"/>
      <c r="F19" s="10"/>
      <c r="G19" s="36" t="s">
        <v>263</v>
      </c>
      <c r="H19" s="37"/>
      <c r="I19" s="37"/>
      <c r="J19" s="27"/>
      <c r="K19" s="27"/>
      <c r="L19" s="27"/>
      <c r="M19" s="27"/>
      <c r="N19" s="27"/>
      <c r="O19" s="2" t="s">
        <v>1859</v>
      </c>
      <c r="P19" s="29" t="s">
        <v>265</v>
      </c>
      <c r="Q19" s="27"/>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0" s="30">
        <v>46344</v>
      </c>
      <c r="C20" s="27" t="s">
        <v>201</v>
      </c>
      <c r="D20" s="27"/>
      <c r="E20" s="27"/>
      <c r="F20" s="10"/>
      <c r="G20" s="36" t="s">
        <v>263</v>
      </c>
      <c r="H20" s="37"/>
      <c r="I20" s="37"/>
      <c r="J20" s="27"/>
      <c r="K20" s="27"/>
      <c r="L20" s="27"/>
      <c r="M20" s="27"/>
      <c r="N20" s="27"/>
      <c r="O20" s="2" t="s">
        <v>1859</v>
      </c>
      <c r="P20" s="29" t="s">
        <v>265</v>
      </c>
      <c r="Q20" s="27"/>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1" s="30">
        <v>46345</v>
      </c>
      <c r="C21" s="27" t="s">
        <v>216</v>
      </c>
      <c r="D21" s="27"/>
      <c r="E21" s="27"/>
      <c r="F21" s="10"/>
      <c r="G21" s="36" t="s">
        <v>263</v>
      </c>
      <c r="H21" s="37"/>
      <c r="I21" s="37"/>
      <c r="J21" s="27"/>
      <c r="K21" s="27"/>
      <c r="L21" s="27"/>
      <c r="M21" s="27"/>
      <c r="N21" s="27"/>
      <c r="O21" s="2" t="s">
        <v>1859</v>
      </c>
      <c r="P21" s="29" t="s">
        <v>265</v>
      </c>
      <c r="Q21" s="27"/>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2" s="30">
        <v>46346</v>
      </c>
      <c r="C22" s="27" t="s">
        <v>220</v>
      </c>
      <c r="D22" s="27"/>
      <c r="E22" s="27"/>
      <c r="F22" s="10"/>
      <c r="G22" s="36" t="s">
        <v>263</v>
      </c>
      <c r="H22" s="37"/>
      <c r="I22" s="37"/>
      <c r="J22" s="27"/>
      <c r="K22" s="27"/>
      <c r="L22" s="27"/>
      <c r="M22" s="27"/>
      <c r="N22" s="27"/>
      <c r="O22" s="2" t="s">
        <v>1859</v>
      </c>
      <c r="P22" s="29" t="s">
        <v>265</v>
      </c>
      <c r="Q22" s="27"/>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3" s="30">
        <v>46347</v>
      </c>
      <c r="C23" s="27" t="s">
        <v>266</v>
      </c>
      <c r="D23" s="27"/>
      <c r="E23" s="27"/>
      <c r="F23" s="10"/>
      <c r="G23" s="36" t="s">
        <v>263</v>
      </c>
      <c r="H23" s="37"/>
      <c r="I23" s="37"/>
      <c r="J23" s="27"/>
      <c r="K23" s="27"/>
      <c r="L23" s="27"/>
      <c r="M23" s="27"/>
      <c r="N23" s="27"/>
      <c r="O23" s="2" t="s">
        <v>1859</v>
      </c>
      <c r="P23" s="29" t="s">
        <v>265</v>
      </c>
      <c r="Q23" s="27"/>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4" s="30">
        <v>46348</v>
      </c>
      <c r="C24" s="27" t="s">
        <v>267</v>
      </c>
      <c r="D24" s="27"/>
      <c r="E24" s="27"/>
      <c r="F24" s="10"/>
      <c r="G24" s="36" t="s">
        <v>263</v>
      </c>
      <c r="H24" s="37"/>
      <c r="I24" s="37"/>
      <c r="J24" s="27"/>
      <c r="K24" s="27"/>
      <c r="L24" s="27"/>
      <c r="M24" s="27"/>
      <c r="N24" s="27"/>
      <c r="O24" s="2" t="s">
        <v>1859</v>
      </c>
      <c r="P24" s="29" t="s">
        <v>265</v>
      </c>
      <c r="Q24" s="27"/>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5" s="30">
        <v>46349</v>
      </c>
      <c r="C25" s="27" t="s">
        <v>224</v>
      </c>
      <c r="D25" s="27"/>
      <c r="E25" s="27"/>
      <c r="F25" s="10"/>
      <c r="G25" s="36" t="s">
        <v>263</v>
      </c>
      <c r="H25" s="37"/>
      <c r="I25" s="37"/>
      <c r="J25" s="27"/>
      <c r="K25" s="27"/>
      <c r="L25" s="27"/>
      <c r="M25" s="27"/>
      <c r="N25" s="27"/>
      <c r="O25" s="2" t="s">
        <v>1859</v>
      </c>
      <c r="P25" s="29" t="s">
        <v>265</v>
      </c>
      <c r="Q25" s="27"/>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6" s="30">
        <v>46350</v>
      </c>
      <c r="C26" s="27" t="s">
        <v>227</v>
      </c>
      <c r="D26" s="27"/>
      <c r="E26" s="27"/>
      <c r="F26" s="10"/>
      <c r="G26" s="36" t="s">
        <v>263</v>
      </c>
      <c r="H26" s="37"/>
      <c r="I26" s="37"/>
      <c r="J26" s="27"/>
      <c r="K26" s="27"/>
      <c r="L26" s="27"/>
      <c r="M26" s="27"/>
      <c r="N26" s="27"/>
      <c r="O26" s="2" t="s">
        <v>1859</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7" s="30">
        <v>46351</v>
      </c>
      <c r="C27" s="27" t="s">
        <v>201</v>
      </c>
      <c r="D27" s="27"/>
      <c r="E27" s="27"/>
      <c r="F27" s="10"/>
      <c r="G27" s="36" t="s">
        <v>263</v>
      </c>
      <c r="H27" s="37"/>
      <c r="I27" s="37"/>
      <c r="J27" s="27"/>
      <c r="K27" s="27"/>
      <c r="L27" s="27"/>
      <c r="M27" s="27"/>
      <c r="N27" s="27"/>
      <c r="O27" s="2" t="s">
        <v>1859</v>
      </c>
      <c r="P27" s="29" t="s">
        <v>265</v>
      </c>
      <c r="Q27" s="27"/>
      <c r="R27" s="27"/>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8" s="30">
        <v>46352</v>
      </c>
      <c r="C28" s="27" t="s">
        <v>216</v>
      </c>
      <c r="D28" s="27"/>
      <c r="E28" s="27"/>
      <c r="F28" s="10"/>
      <c r="G28" s="36" t="s">
        <v>263</v>
      </c>
      <c r="H28" s="37"/>
      <c r="I28" s="37"/>
      <c r="J28" s="27"/>
      <c r="K28" s="27"/>
      <c r="L28" s="27"/>
      <c r="M28" s="27"/>
      <c r="N28" s="27"/>
      <c r="O28" s="2" t="s">
        <v>1859</v>
      </c>
      <c r="P28" s="29" t="s">
        <v>265</v>
      </c>
      <c r="Q28" s="27"/>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29" s="30">
        <v>46353</v>
      </c>
      <c r="C29" s="27" t="s">
        <v>220</v>
      </c>
      <c r="D29" s="27"/>
      <c r="E29" s="27"/>
      <c r="F29" s="10"/>
      <c r="G29" s="36" t="s">
        <v>263</v>
      </c>
      <c r="H29" s="37"/>
      <c r="I29" s="37"/>
      <c r="J29" s="27"/>
      <c r="K29" s="27"/>
      <c r="L29" s="27"/>
      <c r="M29" s="27"/>
      <c r="N29" s="27"/>
      <c r="O29" s="2" t="s">
        <v>1859</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0" s="30">
        <v>46354</v>
      </c>
      <c r="C30" s="27" t="s">
        <v>266</v>
      </c>
      <c r="D30" s="27"/>
      <c r="E30" s="27"/>
      <c r="F30" s="10"/>
      <c r="G30" s="36" t="s">
        <v>263</v>
      </c>
      <c r="H30" s="37"/>
      <c r="I30" s="37"/>
      <c r="J30" s="27"/>
      <c r="K30" s="27"/>
      <c r="L30" s="27"/>
      <c r="M30" s="27"/>
      <c r="N30" s="27"/>
      <c r="O30" s="2" t="s">
        <v>1859</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1" s="30">
        <v>46355</v>
      </c>
      <c r="C31" s="27" t="s">
        <v>267</v>
      </c>
      <c r="D31" s="27"/>
      <c r="E31" s="27"/>
      <c r="F31" s="10"/>
      <c r="G31" s="36" t="s">
        <v>263</v>
      </c>
      <c r="H31" s="37"/>
      <c r="I31" s="37"/>
      <c r="J31" s="27"/>
      <c r="K31" s="27"/>
      <c r="L31" s="27"/>
      <c r="M31" s="27"/>
      <c r="N31" s="27"/>
      <c r="O31" s="2" t="s">
        <v>1859</v>
      </c>
      <c r="P31" s="29" t="s">
        <v>265</v>
      </c>
      <c r="Q31" s="27"/>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EVT-2026-1344</v>
      </c>
      <c r="B32" s="30">
        <v>46356</v>
      </c>
      <c r="C32" s="27" t="s">
        <v>224</v>
      </c>
      <c r="D32" s="27" t="s">
        <v>2134</v>
      </c>
      <c r="E32" s="27"/>
      <c r="F32" s="10">
        <v>200</v>
      </c>
      <c r="G32" s="38" t="s">
        <v>294</v>
      </c>
      <c r="H32" s="37" t="s">
        <v>338</v>
      </c>
      <c r="I32" s="37" t="s">
        <v>330</v>
      </c>
      <c r="J32" s="27"/>
      <c r="K32" s="27"/>
      <c r="L32" s="27"/>
      <c r="M32" s="27"/>
      <c r="N32" s="27"/>
      <c r="O32" s="2" t="s">
        <v>1859</v>
      </c>
      <c r="P32" s="29" t="s">
        <v>265</v>
      </c>
      <c r="Q32" s="27" t="s">
        <v>2135</v>
      </c>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3" s="27"/>
      <c r="C33" s="27"/>
      <c r="D33" s="27"/>
      <c r="E33" s="27"/>
      <c r="F33" s="10"/>
      <c r="G33" s="36" t="s">
        <v>263</v>
      </c>
      <c r="H33" s="37"/>
      <c r="I33" s="37"/>
      <c r="J33" s="27"/>
      <c r="K33" s="27"/>
      <c r="L33" s="27"/>
      <c r="M33" s="27"/>
      <c r="N33" s="27"/>
      <c r="O33" s="2" t="s">
        <v>1859</v>
      </c>
      <c r="P33" s="29" t="s">
        <v>265</v>
      </c>
      <c r="Q33" s="27"/>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4" s="27"/>
      <c r="C34" s="27"/>
      <c r="D34" s="27"/>
      <c r="E34" s="27"/>
      <c r="F34" s="10"/>
      <c r="G34" s="36" t="s">
        <v>263</v>
      </c>
      <c r="H34" s="37"/>
      <c r="I34" s="37"/>
      <c r="J34" s="27"/>
      <c r="K34" s="27"/>
      <c r="L34" s="27"/>
      <c r="M34" s="27"/>
      <c r="N34" s="27"/>
      <c r="O34" s="2" t="s">
        <v>1859</v>
      </c>
      <c r="P34" s="29" t="s">
        <v>265</v>
      </c>
      <c r="Q34" s="27"/>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5" s="27"/>
      <c r="C35" s="27"/>
      <c r="D35" s="27"/>
      <c r="E35" s="27"/>
      <c r="F35" s="10"/>
      <c r="G35" s="36" t="s">
        <v>263</v>
      </c>
      <c r="H35" s="37"/>
      <c r="I35" s="37"/>
      <c r="J35" s="27"/>
      <c r="K35" s="27"/>
      <c r="L35" s="27"/>
      <c r="M35" s="27"/>
      <c r="N35" s="27"/>
      <c r="O35" s="2" t="s">
        <v>1859</v>
      </c>
      <c r="P35" s="29" t="s">
        <v>265</v>
      </c>
      <c r="Q35" s="27"/>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6" s="27"/>
      <c r="C36" s="27"/>
      <c r="D36" s="27"/>
      <c r="E36" s="27"/>
      <c r="F36" s="10"/>
      <c r="G36" s="36" t="s">
        <v>263</v>
      </c>
      <c r="H36" s="37"/>
      <c r="I36" s="37"/>
      <c r="J36" s="27"/>
      <c r="K36" s="27"/>
      <c r="L36" s="27"/>
      <c r="M36" s="27"/>
      <c r="N36" s="27"/>
      <c r="O36" s="2" t="s">
        <v>1859</v>
      </c>
      <c r="P36" s="29" t="s">
        <v>265</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7" s="27"/>
      <c r="C37" s="27"/>
      <c r="D37" s="27"/>
      <c r="E37" s="27"/>
      <c r="F37" s="10"/>
      <c r="G37" s="36" t="s">
        <v>263</v>
      </c>
      <c r="H37" s="37"/>
      <c r="I37" s="37"/>
      <c r="J37" s="27"/>
      <c r="K37" s="27"/>
      <c r="L37" s="27"/>
      <c r="M37" s="27"/>
      <c r="N37" s="27"/>
      <c r="O37" s="2" t="s">
        <v>1859</v>
      </c>
      <c r="P37" s="29" t="s">
        <v>265</v>
      </c>
      <c r="Q37" s="27"/>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8" s="27"/>
      <c r="C38" s="27"/>
      <c r="D38" s="27"/>
      <c r="E38" s="27"/>
      <c r="F38" s="10"/>
      <c r="G38" s="36" t="s">
        <v>263</v>
      </c>
      <c r="H38" s="37"/>
      <c r="I38" s="37"/>
      <c r="J38" s="27"/>
      <c r="K38" s="27"/>
      <c r="L38" s="27"/>
      <c r="M38" s="27"/>
      <c r="N38" s="27"/>
      <c r="O38" s="2" t="s">
        <v>1859</v>
      </c>
      <c r="P38" s="29" t="s">
        <v>265</v>
      </c>
      <c r="Q38" s="27"/>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39" s="27"/>
      <c r="C39" s="27"/>
      <c r="D39" s="27"/>
      <c r="E39" s="27"/>
      <c r="F39" s="10"/>
      <c r="G39" s="36" t="s">
        <v>263</v>
      </c>
      <c r="H39" s="37"/>
      <c r="I39" s="37"/>
      <c r="J39" s="27"/>
      <c r="K39" s="27"/>
      <c r="L39" s="27"/>
      <c r="M39" s="27"/>
      <c r="N39" s="27"/>
      <c r="O39" s="2" t="s">
        <v>1859</v>
      </c>
      <c r="P39" s="29" t="s">
        <v>265</v>
      </c>
      <c r="Q39" s="27"/>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0" s="27"/>
      <c r="C40" s="27"/>
      <c r="D40" s="27"/>
      <c r="E40" s="27"/>
      <c r="F40" s="10"/>
      <c r="G40" s="36" t="s">
        <v>263</v>
      </c>
      <c r="H40" s="37"/>
      <c r="I40" s="37"/>
      <c r="J40" s="27"/>
      <c r="K40" s="27"/>
      <c r="L40" s="27"/>
      <c r="M40" s="27"/>
      <c r="N40" s="27"/>
      <c r="O40" s="2" t="s">
        <v>1859</v>
      </c>
      <c r="P40" s="29" t="s">
        <v>265</v>
      </c>
      <c r="Q40" s="27"/>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1" s="27"/>
      <c r="C41" s="27"/>
      <c r="D41" s="27"/>
      <c r="E41" s="27"/>
      <c r="F41" s="10"/>
      <c r="G41" s="36" t="s">
        <v>263</v>
      </c>
      <c r="H41" s="37"/>
      <c r="I41" s="37"/>
      <c r="J41" s="27"/>
      <c r="K41" s="27"/>
      <c r="L41" s="27"/>
      <c r="M41" s="27"/>
      <c r="N41" s="27"/>
      <c r="O41" s="2" t="s">
        <v>1859</v>
      </c>
      <c r="P41" s="29" t="s">
        <v>265</v>
      </c>
      <c r="Q41" s="27"/>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2" s="27"/>
      <c r="C42" s="27"/>
      <c r="D42" s="27"/>
      <c r="E42" s="27"/>
      <c r="F42" s="10"/>
      <c r="G42" s="36" t="s">
        <v>263</v>
      </c>
      <c r="H42" s="37"/>
      <c r="I42" s="37"/>
      <c r="J42" s="27"/>
      <c r="K42" s="27"/>
      <c r="L42" s="27"/>
      <c r="M42" s="27"/>
      <c r="N42" s="27"/>
      <c r="O42" s="2" t="s">
        <v>1859</v>
      </c>
      <c r="P42" s="29" t="s">
        <v>265</v>
      </c>
      <c r="Q42" s="27"/>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3" s="27"/>
      <c r="C43" s="27"/>
      <c r="D43" s="27"/>
      <c r="E43" s="27"/>
      <c r="F43" s="10"/>
      <c r="G43" s="36" t="s">
        <v>263</v>
      </c>
      <c r="H43" s="37"/>
      <c r="I43" s="37"/>
      <c r="J43" s="27"/>
      <c r="K43" s="27"/>
      <c r="L43" s="27"/>
      <c r="M43" s="27"/>
      <c r="N43" s="27"/>
      <c r="O43" s="2" t="s">
        <v>1859</v>
      </c>
      <c r="P43" s="29" t="s">
        <v>265</v>
      </c>
      <c r="Q43" s="27"/>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4" s="27"/>
      <c r="C44" s="27"/>
      <c r="D44" s="27"/>
      <c r="E44" s="27"/>
      <c r="F44" s="10"/>
      <c r="G44" s="36" t="s">
        <v>263</v>
      </c>
      <c r="H44" s="37"/>
      <c r="I44" s="37"/>
      <c r="J44" s="27"/>
      <c r="K44" s="27"/>
      <c r="L44" s="27"/>
      <c r="M44" s="27"/>
      <c r="N44" s="27"/>
      <c r="O44" s="2" t="s">
        <v>1859</v>
      </c>
      <c r="P44" s="29" t="s">
        <v>265</v>
      </c>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5" s="27"/>
      <c r="C45" s="27"/>
      <c r="D45" s="27"/>
      <c r="E45" s="27"/>
      <c r="F45" s="10"/>
      <c r="G45" s="36" t="s">
        <v>263</v>
      </c>
      <c r="H45" s="37"/>
      <c r="I45" s="37"/>
      <c r="J45" s="27"/>
      <c r="K45" s="27"/>
      <c r="L45" s="27"/>
      <c r="M45" s="27"/>
      <c r="N45" s="27"/>
      <c r="O45" s="2" t="s">
        <v>1859</v>
      </c>
      <c r="P45" s="29" t="s">
        <v>265</v>
      </c>
      <c r="Q45" s="27"/>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6" s="27"/>
      <c r="C46" s="27"/>
      <c r="D46" s="27"/>
      <c r="E46" s="27"/>
      <c r="F46" s="10"/>
      <c r="G46" s="36" t="s">
        <v>263</v>
      </c>
      <c r="H46" s="37"/>
      <c r="I46" s="37"/>
      <c r="J46" s="27"/>
      <c r="K46" s="27"/>
      <c r="L46" s="27"/>
      <c r="M46" s="27"/>
      <c r="N46" s="27"/>
      <c r="O46" s="2" t="s">
        <v>1859</v>
      </c>
      <c r="P46" s="29" t="s">
        <v>265</v>
      </c>
      <c r="Q46" s="27"/>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7" s="27"/>
      <c r="C47" s="27"/>
      <c r="D47" s="27"/>
      <c r="E47" s="27"/>
      <c r="F47" s="10"/>
      <c r="G47" s="36" t="s">
        <v>263</v>
      </c>
      <c r="H47" s="37"/>
      <c r="I47" s="37"/>
      <c r="J47" s="27"/>
      <c r="K47" s="27"/>
      <c r="L47" s="27"/>
      <c r="M47" s="27"/>
      <c r="N47" s="27"/>
      <c r="O47" s="2" t="s">
        <v>1859</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8" s="27"/>
      <c r="C48" s="27"/>
      <c r="D48" s="27"/>
      <c r="E48" s="27"/>
      <c r="F48" s="10"/>
      <c r="G48" s="36" t="s">
        <v>263</v>
      </c>
      <c r="H48" s="37"/>
      <c r="I48" s="37"/>
      <c r="J48" s="27"/>
      <c r="K48" s="27"/>
      <c r="L48" s="27"/>
      <c r="M48" s="27"/>
      <c r="N48" s="27"/>
      <c r="O48" s="2" t="s">
        <v>1859</v>
      </c>
      <c r="P48" s="29" t="s">
        <v>265</v>
      </c>
      <c r="Q48" s="27"/>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49" s="27"/>
      <c r="C49" s="27"/>
      <c r="D49" s="27"/>
      <c r="E49" s="27"/>
      <c r="F49" s="10"/>
      <c r="G49" s="36" t="s">
        <v>263</v>
      </c>
      <c r="H49" s="37"/>
      <c r="I49" s="37"/>
      <c r="J49" s="27"/>
      <c r="K49" s="27"/>
      <c r="L49" s="27"/>
      <c r="M49" s="27"/>
      <c r="N49" s="27"/>
      <c r="O49" s="2" t="s">
        <v>1859</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COUNTIF(OFFSET($A$1, 1, 0, ROW()-2, 1), "EVT*") + 1, "0000"), "")</f>
        <v/>
      </c>
      <c r="B50" s="27"/>
      <c r="C50" s="27"/>
      <c r="D50" s="27"/>
      <c r="E50" s="27"/>
      <c r="F50" s="10"/>
      <c r="G50" s="36" t="s">
        <v>263</v>
      </c>
      <c r="H50" s="37"/>
      <c r="I50" s="37"/>
      <c r="J50" s="27"/>
      <c r="K50" s="27"/>
      <c r="L50" s="27"/>
      <c r="M50" s="27"/>
      <c r="N50" s="27"/>
      <c r="O50" s="2" t="s">
        <v>1859</v>
      </c>
      <c r="P50" s="29" t="s">
        <v>265</v>
      </c>
      <c r="Q50" s="27"/>
      <c r="R50" s="27"/>
    </row>
  </sheetData>
  <mergeCells count="3">
    <mergeCell ref="A1:C1"/>
    <mergeCell ref="N1:R1"/>
    <mergeCell ref="D1:M1"/>
  </mergeCells>
  <dataValidations count="4">
    <dataValidation type="list" allowBlank="1" sqref="N3:N500 O3:O50" xr:uid="{00000000-0002-0000-1600-000000000000}">
      <formula1>"Confirmed (Done),Pending Calendar Booking,Canceled"</formula1>
    </dataValidation>
    <dataValidation type="list" allowBlank="1" sqref="O3:O100" xr:uid="{00000000-0002-0000-1600-000001000000}">
      <formula1>"Form sent,NA"</formula1>
    </dataValidation>
    <dataValidation type="list" allowBlank="1" sqref="P3:P50" xr:uid="{00000000-0002-0000-1600-000002000000}">
      <formula1>"Form sent,Not Required,NA"</formula1>
    </dataValidation>
    <dataValidation type="list" allowBlank="1" sqref="G3:G50" xr:uid="{00000000-0002-0000-1600-000003000000}">
      <formula1>"Big Event,Small Event"</formula1>
    </dataValidation>
  </dataValidations>
  <hyperlinks>
    <hyperlink ref="A1" location="'Dashboard'!A1" display="🏠 ⮌ RETURN TO DASHBOARD" xr:uid="{00000000-0004-0000-16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FB55"/>
  <sheetViews>
    <sheetView workbookViewId="0">
      <pane ySplit="2" topLeftCell="A11" activePane="bottomLeft" state="frozen"/>
      <selection pane="bottomLeft" activeCell="D31" sqref="D31:S31"/>
    </sheetView>
  </sheetViews>
  <sheetFormatPr defaultRowHeight="14.45"/>
  <cols>
    <col min="1" max="1" width="18" customWidth="1"/>
    <col min="2" max="2" width="15" customWidth="1"/>
    <col min="3" max="3" width="12" customWidth="1"/>
    <col min="4" max="4" width="22" customWidth="1"/>
    <col min="5" max="5" width="23" customWidth="1"/>
    <col min="6" max="6" width="31" customWidth="1"/>
    <col min="7" max="7" width="12" customWidth="1"/>
    <col min="8" max="8" width="15" customWidth="1"/>
    <col min="9" max="9" width="19" customWidth="1"/>
    <col min="10" max="10" width="17" customWidth="1"/>
    <col min="11" max="11" width="48" customWidth="1"/>
    <col min="12" max="12" width="22" customWidth="1"/>
    <col min="13" max="13" width="20" customWidth="1"/>
    <col min="14" max="14" width="45.28515625" customWidth="1"/>
    <col min="15" max="15" width="15" customWidth="1"/>
    <col min="16" max="16" width="27" customWidth="1"/>
    <col min="17" max="17" width="18" customWidth="1"/>
    <col min="18" max="18" width="48" customWidth="1"/>
    <col min="19" max="19" width="19" customWidth="1"/>
  </cols>
  <sheetData>
    <row r="1" spans="1:1022 1028:2046 2052:3070 3076:4094 4100:5118 5124:6142 6148:7166 7172:8190 8196:9214 9220:10238 10244:11262 11268:12286 12292:13310 13316:14334 14340:15358 15364:16382" ht="27.95" customHeight="1">
      <c r="A1" s="62" t="s">
        <v>2138</v>
      </c>
      <c r="B1" s="134"/>
      <c r="C1" s="135"/>
      <c r="D1" s="63" t="s">
        <v>2573</v>
      </c>
      <c r="E1" s="134"/>
      <c r="F1" s="134"/>
      <c r="G1" s="134"/>
      <c r="H1" s="134"/>
      <c r="I1" s="134"/>
      <c r="J1" s="134"/>
      <c r="K1" s="134"/>
      <c r="L1" s="134"/>
      <c r="M1" s="134"/>
      <c r="N1" s="135"/>
      <c r="O1" s="61" t="s">
        <v>244</v>
      </c>
      <c r="P1" s="134"/>
      <c r="Q1" s="134"/>
      <c r="R1" s="134"/>
      <c r="S1" s="135"/>
    </row>
    <row r="2" spans="1:1022 1028:2046 2052:3070 3076:4094 4100:5118 5124:6142 6148:7166 7172:8190 8196:9214 9220:10238 10244:11262 11268:12286 12292:13310 13316:14334 14340:15358 15364:16382"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022 1028:2046 2052:3070 3076:4094 4100:5118 5124:6142 6148:7166 7172:8190 8196:9214 9220:10238 10244:11262 11268:12286 12292:13310 13316:14334 14340:15358 15364:16382"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3" s="30">
        <v>46327</v>
      </c>
      <c r="C3" s="27" t="s">
        <v>267</v>
      </c>
      <c r="D3" s="27"/>
      <c r="E3" s="27"/>
      <c r="F3" s="27"/>
      <c r="G3" s="10"/>
      <c r="H3" s="36" t="s">
        <v>263</v>
      </c>
      <c r="I3" s="37"/>
      <c r="J3" s="37"/>
      <c r="K3" s="27"/>
      <c r="L3" s="27"/>
      <c r="M3" s="27"/>
      <c r="N3" s="27"/>
      <c r="O3" s="27"/>
      <c r="P3" s="2" t="s">
        <v>1859</v>
      </c>
      <c r="Q3" s="29" t="s">
        <v>265</v>
      </c>
      <c r="R3" s="27"/>
      <c r="S3" s="27"/>
    </row>
    <row r="4" spans="1:1022 1028:2046 2052:3070 3076:4094 4100:5118 5124:6142 6148:7166 7172:8190 8196:9214 9220:10238 10244:11262 11268:12286 12292:13310 13316:14334 14340:15358 15364:16382"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EVT-2026-1345</v>
      </c>
      <c r="B4" s="30">
        <v>46328</v>
      </c>
      <c r="C4" s="27" t="s">
        <v>224</v>
      </c>
      <c r="D4" s="27" t="s">
        <v>125</v>
      </c>
      <c r="E4" s="27" t="s">
        <v>228</v>
      </c>
      <c r="F4" s="27" t="s">
        <v>874</v>
      </c>
      <c r="G4" s="10">
        <v>50</v>
      </c>
      <c r="H4" s="36" t="s">
        <v>263</v>
      </c>
      <c r="I4" s="37">
        <v>0.58333333333333337</v>
      </c>
      <c r="J4" s="37">
        <v>0.70833333333333337</v>
      </c>
      <c r="K4" s="27" t="s">
        <v>1445</v>
      </c>
      <c r="L4" s="27" t="s">
        <v>1445</v>
      </c>
      <c r="M4" s="27" t="s">
        <v>2559</v>
      </c>
      <c r="N4" s="27" t="s">
        <v>2560</v>
      </c>
      <c r="O4" s="27"/>
      <c r="P4" s="2" t="s">
        <v>1859</v>
      </c>
      <c r="Q4" s="29" t="s">
        <v>265</v>
      </c>
      <c r="R4" s="27" t="s">
        <v>1673</v>
      </c>
      <c r="S4" s="27" t="s">
        <v>1846</v>
      </c>
    </row>
    <row r="5" spans="1:1022 1028:2046 2052:3070 3076:4094 4100:5118 5124:6142 6148:7166 7172:8190 8196:9214 9220:10238 10244:11262 11268:12286 12292:13310 13316:14334 14340:15358 15364:16382"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EVT-2026-1346</v>
      </c>
      <c r="B5" s="30">
        <v>46329</v>
      </c>
      <c r="C5" s="27" t="s">
        <v>227</v>
      </c>
      <c r="D5" s="27" t="s">
        <v>125</v>
      </c>
      <c r="E5" s="27" t="s">
        <v>228</v>
      </c>
      <c r="F5" s="27" t="s">
        <v>874</v>
      </c>
      <c r="G5" s="10">
        <v>50</v>
      </c>
      <c r="H5" s="36" t="s">
        <v>263</v>
      </c>
      <c r="I5" s="37">
        <v>0.58333333333333337</v>
      </c>
      <c r="J5" s="37">
        <v>0.70833333333333337</v>
      </c>
      <c r="K5" s="27" t="s">
        <v>1445</v>
      </c>
      <c r="L5" s="27" t="s">
        <v>1445</v>
      </c>
      <c r="M5" s="27" t="s">
        <v>2559</v>
      </c>
      <c r="N5" s="27" t="s">
        <v>2560</v>
      </c>
      <c r="O5" s="27"/>
      <c r="P5" s="2" t="s">
        <v>1859</v>
      </c>
      <c r="Q5" s="29" t="s">
        <v>265</v>
      </c>
      <c r="R5" s="27" t="s">
        <v>1673</v>
      </c>
      <c r="S5" s="27" t="s">
        <v>1846</v>
      </c>
    </row>
    <row r="6" spans="1:1022 1028:2046 2052:3070 3076:4094 4100:5118 5124:6142 6148:7166 7172:8190 8196:9214 9220:10238 10244:11262 11268:12286 12292:13310 13316:14334 14340:15358 15364:16382" s="27" customFormat="1"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EVT-2026-1347</v>
      </c>
      <c r="B6" s="30">
        <v>46329</v>
      </c>
      <c r="C6" s="27" t="s">
        <v>227</v>
      </c>
      <c r="D6" s="27" t="s">
        <v>1366</v>
      </c>
      <c r="E6" s="27" t="s">
        <v>208</v>
      </c>
      <c r="F6" s="27" t="s">
        <v>217</v>
      </c>
      <c r="G6" s="10">
        <v>50</v>
      </c>
      <c r="H6" s="36" t="s">
        <v>263</v>
      </c>
      <c r="I6" s="37" t="s">
        <v>309</v>
      </c>
      <c r="J6" s="37" t="s">
        <v>296</v>
      </c>
      <c r="M6" s="27" t="s">
        <v>2559</v>
      </c>
      <c r="N6" s="27" t="s">
        <v>2560</v>
      </c>
      <c r="P6" s="2" t="s">
        <v>1859</v>
      </c>
      <c r="Q6" s="29" t="s">
        <v>265</v>
      </c>
      <c r="R6" s="27" t="s">
        <v>2384</v>
      </c>
      <c r="S6" s="27" t="s">
        <v>1846</v>
      </c>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U6" s="2"/>
      <c r="DV6" s="29"/>
      <c r="EB6" s="10"/>
      <c r="EC6" s="36"/>
      <c r="ED6" s="37"/>
      <c r="EE6" s="37"/>
      <c r="EK6" s="2"/>
      <c r="EL6" s="29"/>
      <c r="ER6" s="10"/>
      <c r="ES6" s="36"/>
      <c r="ET6" s="37"/>
      <c r="EU6" s="37"/>
      <c r="FA6" s="2"/>
      <c r="FB6" s="29"/>
      <c r="FH6" s="10"/>
      <c r="FI6" s="36"/>
      <c r="FJ6" s="37"/>
      <c r="FK6" s="37"/>
      <c r="FQ6" s="2"/>
      <c r="FR6" s="29"/>
      <c r="FX6" s="10"/>
      <c r="FY6" s="36"/>
      <c r="FZ6" s="37"/>
      <c r="GA6" s="37"/>
      <c r="GG6" s="2"/>
      <c r="GH6" s="29"/>
      <c r="GN6" s="10"/>
      <c r="GO6" s="36"/>
      <c r="GP6" s="37"/>
      <c r="GQ6" s="37"/>
      <c r="GW6" s="2"/>
      <c r="GX6" s="29"/>
      <c r="HD6" s="10"/>
      <c r="HE6" s="36"/>
      <c r="HF6" s="37"/>
      <c r="HG6" s="37"/>
      <c r="HM6" s="2"/>
      <c r="HN6" s="29"/>
      <c r="HT6" s="10"/>
      <c r="HU6" s="36"/>
      <c r="HV6" s="37"/>
      <c r="HW6" s="37"/>
      <c r="IC6" s="2"/>
      <c r="ID6" s="29"/>
      <c r="IJ6" s="10"/>
      <c r="IK6" s="36"/>
      <c r="IL6" s="37"/>
      <c r="IM6" s="37"/>
      <c r="IS6" s="2"/>
      <c r="IT6" s="29"/>
      <c r="IZ6" s="10"/>
      <c r="JA6" s="36"/>
      <c r="JB6" s="37"/>
      <c r="JC6" s="37"/>
      <c r="JI6" s="2"/>
      <c r="JJ6" s="29"/>
      <c r="JP6" s="10"/>
      <c r="JQ6" s="36"/>
      <c r="JR6" s="37"/>
      <c r="JS6" s="37"/>
      <c r="JY6" s="2"/>
      <c r="JZ6" s="29"/>
      <c r="KF6" s="10"/>
      <c r="KG6" s="36"/>
      <c r="KH6" s="37"/>
      <c r="KI6" s="37"/>
      <c r="KO6" s="2"/>
      <c r="KP6" s="29"/>
      <c r="KV6" s="10"/>
      <c r="KW6" s="36"/>
      <c r="KX6" s="37"/>
      <c r="KY6" s="37"/>
      <c r="LE6" s="2"/>
      <c r="LF6" s="29"/>
      <c r="LL6" s="10"/>
      <c r="LM6" s="36"/>
      <c r="LN6" s="37"/>
      <c r="LO6" s="37"/>
      <c r="LU6" s="2"/>
      <c r="LV6" s="29"/>
      <c r="MB6" s="10"/>
      <c r="MC6" s="36"/>
      <c r="MD6" s="37"/>
      <c r="ME6" s="37"/>
      <c r="MK6" s="2"/>
      <c r="ML6" s="29"/>
      <c r="MR6" s="10"/>
      <c r="MS6" s="36"/>
      <c r="MT6" s="37"/>
      <c r="MU6" s="37"/>
      <c r="NA6" s="2"/>
      <c r="NB6" s="29"/>
      <c r="NH6" s="10"/>
      <c r="NI6" s="36"/>
      <c r="NJ6" s="37"/>
      <c r="NK6" s="37"/>
      <c r="NQ6" s="2"/>
      <c r="NR6" s="29"/>
      <c r="NX6" s="10"/>
      <c r="NY6" s="36"/>
      <c r="NZ6" s="37"/>
      <c r="OA6" s="37"/>
      <c r="OG6" s="2"/>
      <c r="OH6" s="29"/>
      <c r="ON6" s="10"/>
      <c r="OO6" s="36"/>
      <c r="OP6" s="37"/>
      <c r="OQ6" s="37"/>
      <c r="OW6" s="2"/>
      <c r="OX6" s="29"/>
      <c r="PD6" s="10"/>
      <c r="PE6" s="36"/>
      <c r="PF6" s="37"/>
      <c r="PG6" s="37"/>
      <c r="PM6" s="2"/>
      <c r="PN6" s="29"/>
      <c r="PT6" s="10"/>
      <c r="PU6" s="36"/>
      <c r="PV6" s="37"/>
      <c r="PW6" s="37"/>
      <c r="QC6" s="2"/>
      <c r="QD6" s="29"/>
      <c r="QJ6" s="10"/>
      <c r="QK6" s="36"/>
      <c r="QL6" s="37"/>
      <c r="QM6" s="37"/>
      <c r="QS6" s="2"/>
      <c r="QT6" s="29"/>
      <c r="QZ6" s="10"/>
      <c r="RA6" s="36"/>
      <c r="RB6" s="37"/>
      <c r="RC6" s="37"/>
      <c r="RI6" s="2"/>
      <c r="RJ6" s="29"/>
      <c r="RP6" s="10"/>
      <c r="RQ6" s="36"/>
      <c r="RR6" s="37"/>
      <c r="RS6" s="37"/>
      <c r="RY6" s="2"/>
      <c r="RZ6" s="29"/>
      <c r="SF6" s="10"/>
      <c r="SG6" s="36"/>
      <c r="SH6" s="37"/>
      <c r="SI6" s="37"/>
      <c r="SO6" s="2"/>
      <c r="SP6" s="29"/>
      <c r="SV6" s="10"/>
      <c r="SW6" s="36"/>
      <c r="SX6" s="37"/>
      <c r="SY6" s="37"/>
      <c r="TE6" s="2"/>
      <c r="TF6" s="29"/>
      <c r="TL6" s="10"/>
      <c r="TM6" s="36"/>
      <c r="TN6" s="37"/>
      <c r="TO6" s="37"/>
      <c r="TU6" s="2"/>
      <c r="TV6" s="29"/>
      <c r="UB6" s="10"/>
      <c r="UC6" s="36"/>
      <c r="UD6" s="37"/>
      <c r="UE6" s="37"/>
      <c r="UK6" s="2"/>
      <c r="UL6" s="29"/>
      <c r="UR6" s="10"/>
      <c r="US6" s="36"/>
      <c r="UT6" s="37"/>
      <c r="UU6" s="37"/>
      <c r="VA6" s="2"/>
      <c r="VB6" s="29"/>
      <c r="VH6" s="10"/>
      <c r="VI6" s="36"/>
      <c r="VJ6" s="37"/>
      <c r="VK6" s="37"/>
      <c r="VQ6" s="2"/>
      <c r="VR6" s="29"/>
      <c r="VX6" s="10"/>
      <c r="VY6" s="36"/>
      <c r="VZ6" s="37"/>
      <c r="WA6" s="37"/>
      <c r="WG6" s="2"/>
      <c r="WH6" s="29"/>
      <c r="WN6" s="10"/>
      <c r="WO6" s="36"/>
      <c r="WP6" s="37"/>
      <c r="WQ6" s="37"/>
      <c r="WW6" s="2"/>
      <c r="WX6" s="29"/>
      <c r="XD6" s="10"/>
      <c r="XE6" s="36"/>
      <c r="XF6" s="37"/>
      <c r="XG6" s="37"/>
      <c r="XM6" s="2"/>
      <c r="XN6" s="29"/>
      <c r="XT6" s="10"/>
      <c r="XU6" s="36"/>
      <c r="XV6" s="37"/>
      <c r="XW6" s="37"/>
      <c r="YC6" s="2"/>
      <c r="YD6" s="29"/>
      <c r="YJ6" s="10"/>
      <c r="YK6" s="36"/>
      <c r="YL6" s="37"/>
      <c r="YM6" s="37"/>
      <c r="YS6" s="2"/>
      <c r="YT6" s="29"/>
      <c r="YZ6" s="10"/>
      <c r="ZA6" s="36"/>
      <c r="ZB6" s="37"/>
      <c r="ZC6" s="37"/>
      <c r="ZI6" s="2"/>
      <c r="ZJ6" s="29"/>
      <c r="ZP6" s="10"/>
      <c r="ZQ6" s="36"/>
      <c r="ZR6" s="37"/>
      <c r="ZS6" s="37"/>
      <c r="ZY6" s="2"/>
      <c r="ZZ6" s="29"/>
      <c r="AAF6" s="10"/>
      <c r="AAG6" s="36"/>
      <c r="AAH6" s="37"/>
      <c r="AAI6" s="37"/>
      <c r="AAO6" s="2"/>
      <c r="AAP6" s="29"/>
      <c r="AAV6" s="10"/>
      <c r="AAW6" s="36"/>
      <c r="AAX6" s="37"/>
      <c r="AAY6" s="37"/>
      <c r="ABE6" s="2"/>
      <c r="ABF6" s="29"/>
      <c r="ABL6" s="10"/>
      <c r="ABM6" s="36"/>
      <c r="ABN6" s="37"/>
      <c r="ABO6" s="37"/>
      <c r="ABU6" s="2"/>
      <c r="ABV6" s="29"/>
      <c r="ACB6" s="10"/>
      <c r="ACC6" s="36"/>
      <c r="ACD6" s="37"/>
      <c r="ACE6" s="37"/>
      <c r="ACK6" s="2"/>
      <c r="ACL6" s="29"/>
      <c r="ACR6" s="10"/>
      <c r="ACS6" s="36"/>
      <c r="ACT6" s="37"/>
      <c r="ACU6" s="37"/>
      <c r="ADA6" s="2"/>
      <c r="ADB6" s="29"/>
      <c r="ADH6" s="10"/>
      <c r="ADI6" s="36"/>
      <c r="ADJ6" s="37"/>
      <c r="ADK6" s="37"/>
      <c r="ADQ6" s="2"/>
      <c r="ADR6" s="29"/>
      <c r="ADX6" s="10"/>
      <c r="ADY6" s="36"/>
      <c r="ADZ6" s="37"/>
      <c r="AEA6" s="37"/>
      <c r="AEG6" s="2"/>
      <c r="AEH6" s="29"/>
      <c r="AEN6" s="10"/>
      <c r="AEO6" s="36"/>
      <c r="AEP6" s="37"/>
      <c r="AEQ6" s="37"/>
      <c r="AEW6" s="2"/>
      <c r="AEX6" s="29"/>
      <c r="AFD6" s="10"/>
      <c r="AFE6" s="36"/>
      <c r="AFF6" s="37"/>
      <c r="AFG6" s="37"/>
      <c r="AFM6" s="2"/>
      <c r="AFN6" s="29"/>
      <c r="AFT6" s="10"/>
      <c r="AFU6" s="36"/>
      <c r="AFV6" s="37"/>
      <c r="AFW6" s="37"/>
      <c r="AGC6" s="2"/>
      <c r="AGD6" s="29"/>
      <c r="AGJ6" s="10"/>
      <c r="AGK6" s="36"/>
      <c r="AGL6" s="37"/>
      <c r="AGM6" s="37"/>
      <c r="AGS6" s="2"/>
      <c r="AGT6" s="29"/>
      <c r="AGZ6" s="10"/>
      <c r="AHA6" s="36"/>
      <c r="AHB6" s="37"/>
      <c r="AHC6" s="37"/>
      <c r="AHI6" s="2"/>
      <c r="AHJ6" s="29"/>
      <c r="AHP6" s="10"/>
      <c r="AHQ6" s="36"/>
      <c r="AHR6" s="37"/>
      <c r="AHS6" s="37"/>
      <c r="AHY6" s="2"/>
      <c r="AHZ6" s="29"/>
      <c r="AIF6" s="10"/>
      <c r="AIG6" s="36"/>
      <c r="AIH6" s="37"/>
      <c r="AII6" s="37"/>
      <c r="AIO6" s="2"/>
      <c r="AIP6" s="29"/>
      <c r="AIV6" s="10"/>
      <c r="AIW6" s="36"/>
      <c r="AIX6" s="37"/>
      <c r="AIY6" s="37"/>
      <c r="AJE6" s="2"/>
      <c r="AJF6" s="29"/>
      <c r="AJL6" s="10"/>
      <c r="AJM6" s="36"/>
      <c r="AJN6" s="37"/>
      <c r="AJO6" s="37"/>
      <c r="AJU6" s="2"/>
      <c r="AJV6" s="29"/>
      <c r="AKB6" s="10"/>
      <c r="AKC6" s="36"/>
      <c r="AKD6" s="37"/>
      <c r="AKE6" s="37"/>
      <c r="AKK6" s="2"/>
      <c r="AKL6" s="29"/>
      <c r="AKR6" s="10"/>
      <c r="AKS6" s="36"/>
      <c r="AKT6" s="37"/>
      <c r="AKU6" s="37"/>
      <c r="ALA6" s="2"/>
      <c r="ALB6" s="29"/>
      <c r="ALH6" s="10"/>
      <c r="ALI6" s="36"/>
      <c r="ALJ6" s="37"/>
      <c r="ALK6" s="37"/>
      <c r="ALQ6" s="2"/>
      <c r="ALR6" s="29"/>
      <c r="ALX6" s="10"/>
      <c r="ALY6" s="36"/>
      <c r="ALZ6" s="37"/>
      <c r="AMA6" s="37"/>
      <c r="AMG6" s="2"/>
      <c r="AMH6" s="29"/>
      <c r="AMN6" s="10"/>
      <c r="AMO6" s="36"/>
      <c r="AMP6" s="37"/>
      <c r="AMQ6" s="37"/>
      <c r="AMW6" s="2"/>
      <c r="AMX6" s="29"/>
      <c r="AND6" s="10"/>
      <c r="ANE6" s="36"/>
      <c r="ANF6" s="37"/>
      <c r="ANG6" s="37"/>
      <c r="ANM6" s="2"/>
      <c r="ANN6" s="29"/>
      <c r="ANT6" s="10"/>
      <c r="ANU6" s="36"/>
      <c r="ANV6" s="37"/>
      <c r="ANW6" s="37"/>
      <c r="AOC6" s="2"/>
      <c r="AOD6" s="29"/>
      <c r="AOJ6" s="10"/>
      <c r="AOK6" s="36"/>
      <c r="AOL6" s="37"/>
      <c r="AOM6" s="37"/>
      <c r="AOS6" s="2"/>
      <c r="AOT6" s="29"/>
      <c r="AOZ6" s="10"/>
      <c r="APA6" s="36"/>
      <c r="APB6" s="37"/>
      <c r="APC6" s="37"/>
      <c r="API6" s="2"/>
      <c r="APJ6" s="29"/>
      <c r="APP6" s="10"/>
      <c r="APQ6" s="36"/>
      <c r="APR6" s="37"/>
      <c r="APS6" s="37"/>
      <c r="APY6" s="2"/>
      <c r="APZ6" s="29"/>
      <c r="AQF6" s="10"/>
      <c r="AQG6" s="36"/>
      <c r="AQH6" s="37"/>
      <c r="AQI6" s="37"/>
      <c r="AQO6" s="2"/>
      <c r="AQP6" s="29"/>
      <c r="AQV6" s="10"/>
      <c r="AQW6" s="36"/>
      <c r="AQX6" s="37"/>
      <c r="AQY6" s="37"/>
      <c r="ARE6" s="2"/>
      <c r="ARF6" s="29"/>
      <c r="ARL6" s="10"/>
      <c r="ARM6" s="36"/>
      <c r="ARN6" s="37"/>
      <c r="ARO6" s="37"/>
      <c r="ARU6" s="2"/>
      <c r="ARV6" s="29"/>
      <c r="ASB6" s="10"/>
      <c r="ASC6" s="36"/>
      <c r="ASD6" s="37"/>
      <c r="ASE6" s="37"/>
      <c r="ASK6" s="2"/>
      <c r="ASL6" s="29"/>
      <c r="ASR6" s="10"/>
      <c r="ASS6" s="36"/>
      <c r="AST6" s="37"/>
      <c r="ASU6" s="37"/>
      <c r="ATA6" s="2"/>
      <c r="ATB6" s="29"/>
      <c r="ATH6" s="10"/>
      <c r="ATI6" s="36"/>
      <c r="ATJ6" s="37"/>
      <c r="ATK6" s="37"/>
      <c r="ATQ6" s="2"/>
      <c r="ATR6" s="29"/>
      <c r="ATX6" s="10"/>
      <c r="ATY6" s="36"/>
      <c r="ATZ6" s="37"/>
      <c r="AUA6" s="37"/>
      <c r="AUG6" s="2"/>
      <c r="AUH6" s="29"/>
      <c r="AUN6" s="10"/>
      <c r="AUO6" s="36"/>
      <c r="AUP6" s="37"/>
      <c r="AUQ6" s="37"/>
      <c r="AUW6" s="2"/>
      <c r="AUX6" s="29"/>
      <c r="AVD6" s="10"/>
      <c r="AVE6" s="36"/>
      <c r="AVF6" s="37"/>
      <c r="AVG6" s="37"/>
      <c r="AVM6" s="2"/>
      <c r="AVN6" s="29"/>
      <c r="AVT6" s="10"/>
      <c r="AVU6" s="36"/>
      <c r="AVV6" s="37"/>
      <c r="AVW6" s="37"/>
      <c r="AWC6" s="2"/>
      <c r="AWD6" s="29"/>
      <c r="AWJ6" s="10"/>
      <c r="AWK6" s="36"/>
      <c r="AWL6" s="37"/>
      <c r="AWM6" s="37"/>
      <c r="AWS6" s="2"/>
      <c r="AWT6" s="29"/>
      <c r="AWZ6" s="10"/>
      <c r="AXA6" s="36"/>
      <c r="AXB6" s="37"/>
      <c r="AXC6" s="37"/>
      <c r="AXI6" s="2"/>
      <c r="AXJ6" s="29"/>
      <c r="AXP6" s="10"/>
      <c r="AXQ6" s="36"/>
      <c r="AXR6" s="37"/>
      <c r="AXS6" s="37"/>
      <c r="AXY6" s="2"/>
      <c r="AXZ6" s="29"/>
      <c r="AYF6" s="10"/>
      <c r="AYG6" s="36"/>
      <c r="AYH6" s="37"/>
      <c r="AYI6" s="37"/>
      <c r="AYO6" s="2"/>
      <c r="AYP6" s="29"/>
      <c r="AYV6" s="10"/>
      <c r="AYW6" s="36"/>
      <c r="AYX6" s="37"/>
      <c r="AYY6" s="37"/>
      <c r="AZE6" s="2"/>
      <c r="AZF6" s="29"/>
      <c r="AZL6" s="10"/>
      <c r="AZM6" s="36"/>
      <c r="AZN6" s="37"/>
      <c r="AZO6" s="37"/>
      <c r="AZU6" s="2"/>
      <c r="AZV6" s="29"/>
      <c r="BAB6" s="10"/>
      <c r="BAC6" s="36"/>
      <c r="BAD6" s="37"/>
      <c r="BAE6" s="37"/>
      <c r="BAK6" s="2"/>
      <c r="BAL6" s="29"/>
      <c r="BAR6" s="10"/>
      <c r="BAS6" s="36"/>
      <c r="BAT6" s="37"/>
      <c r="BAU6" s="37"/>
      <c r="BBA6" s="2"/>
      <c r="BBB6" s="29"/>
      <c r="BBH6" s="10"/>
      <c r="BBI6" s="36"/>
      <c r="BBJ6" s="37"/>
      <c r="BBK6" s="37"/>
      <c r="BBQ6" s="2"/>
      <c r="BBR6" s="29"/>
      <c r="BBX6" s="10"/>
      <c r="BBY6" s="36"/>
      <c r="BBZ6" s="37"/>
      <c r="BCA6" s="37"/>
      <c r="BCG6" s="2"/>
      <c r="BCH6" s="29"/>
      <c r="BCN6" s="10"/>
      <c r="BCO6" s="36"/>
      <c r="BCP6" s="37"/>
      <c r="BCQ6" s="37"/>
      <c r="BCW6" s="2"/>
      <c r="BCX6" s="29"/>
      <c r="BDD6" s="10"/>
      <c r="BDE6" s="36"/>
      <c r="BDF6" s="37"/>
      <c r="BDG6" s="37"/>
      <c r="BDM6" s="2"/>
      <c r="BDN6" s="29"/>
      <c r="BDT6" s="10"/>
      <c r="BDU6" s="36"/>
      <c r="BDV6" s="37"/>
      <c r="BDW6" s="37"/>
      <c r="BEC6" s="2"/>
      <c r="BED6" s="29"/>
      <c r="BEJ6" s="10"/>
      <c r="BEK6" s="36"/>
      <c r="BEL6" s="37"/>
      <c r="BEM6" s="37"/>
      <c r="BES6" s="2"/>
      <c r="BET6" s="29"/>
      <c r="BEZ6" s="10"/>
      <c r="BFA6" s="36"/>
      <c r="BFB6" s="37"/>
      <c r="BFC6" s="37"/>
      <c r="BFI6" s="2"/>
      <c r="BFJ6" s="29"/>
      <c r="BFP6" s="10"/>
      <c r="BFQ6" s="36"/>
      <c r="BFR6" s="37"/>
      <c r="BFS6" s="37"/>
      <c r="BFY6" s="2"/>
      <c r="BFZ6" s="29"/>
      <c r="BGF6" s="10"/>
      <c r="BGG6" s="36"/>
      <c r="BGH6" s="37"/>
      <c r="BGI6" s="37"/>
      <c r="BGO6" s="2"/>
      <c r="BGP6" s="29"/>
      <c r="BGV6" s="10"/>
      <c r="BGW6" s="36"/>
      <c r="BGX6" s="37"/>
      <c r="BGY6" s="37"/>
      <c r="BHE6" s="2"/>
      <c r="BHF6" s="29"/>
      <c r="BHL6" s="10"/>
      <c r="BHM6" s="36"/>
      <c r="BHN6" s="37"/>
      <c r="BHO6" s="37"/>
      <c r="BHU6" s="2"/>
      <c r="BHV6" s="29"/>
      <c r="BIB6" s="10"/>
      <c r="BIC6" s="36"/>
      <c r="BID6" s="37"/>
      <c r="BIE6" s="37"/>
      <c r="BIK6" s="2"/>
      <c r="BIL6" s="29"/>
      <c r="BIR6" s="10"/>
      <c r="BIS6" s="36"/>
      <c r="BIT6" s="37"/>
      <c r="BIU6" s="37"/>
      <c r="BJA6" s="2"/>
      <c r="BJB6" s="29"/>
      <c r="BJH6" s="10"/>
      <c r="BJI6" s="36"/>
      <c r="BJJ6" s="37"/>
      <c r="BJK6" s="37"/>
      <c r="BJQ6" s="2"/>
      <c r="BJR6" s="29"/>
      <c r="BJX6" s="10"/>
      <c r="BJY6" s="36"/>
      <c r="BJZ6" s="37"/>
      <c r="BKA6" s="37"/>
      <c r="BKG6" s="2"/>
      <c r="BKH6" s="29"/>
      <c r="BKN6" s="10"/>
      <c r="BKO6" s="36"/>
      <c r="BKP6" s="37"/>
      <c r="BKQ6" s="37"/>
      <c r="BKW6" s="2"/>
      <c r="BKX6" s="29"/>
      <c r="BLD6" s="10"/>
      <c r="BLE6" s="36"/>
      <c r="BLF6" s="37"/>
      <c r="BLG6" s="37"/>
      <c r="BLM6" s="2"/>
      <c r="BLN6" s="29"/>
      <c r="BLT6" s="10"/>
      <c r="BLU6" s="36"/>
      <c r="BLV6" s="37"/>
      <c r="BLW6" s="37"/>
      <c r="BMC6" s="2"/>
      <c r="BMD6" s="29"/>
      <c r="BMJ6" s="10"/>
      <c r="BMK6" s="36"/>
      <c r="BML6" s="37"/>
      <c r="BMM6" s="37"/>
      <c r="BMS6" s="2"/>
      <c r="BMT6" s="29"/>
      <c r="BMZ6" s="10"/>
      <c r="BNA6" s="36"/>
      <c r="BNB6" s="37"/>
      <c r="BNC6" s="37"/>
      <c r="BNI6" s="2"/>
      <c r="BNJ6" s="29"/>
      <c r="BNP6" s="10"/>
      <c r="BNQ6" s="36"/>
      <c r="BNR6" s="37"/>
      <c r="BNS6" s="37"/>
      <c r="BNY6" s="2"/>
      <c r="BNZ6" s="29"/>
      <c r="BOF6" s="10"/>
      <c r="BOG6" s="36"/>
      <c r="BOH6" s="37"/>
      <c r="BOI6" s="37"/>
      <c r="BOO6" s="2"/>
      <c r="BOP6" s="29"/>
      <c r="BOV6" s="10"/>
      <c r="BOW6" s="36"/>
      <c r="BOX6" s="37"/>
      <c r="BOY6" s="37"/>
      <c r="BPE6" s="2"/>
      <c r="BPF6" s="29"/>
      <c r="BPL6" s="10"/>
      <c r="BPM6" s="36"/>
      <c r="BPN6" s="37"/>
      <c r="BPO6" s="37"/>
      <c r="BPU6" s="2"/>
      <c r="BPV6" s="29"/>
      <c r="BQB6" s="10"/>
      <c r="BQC6" s="36"/>
      <c r="BQD6" s="37"/>
      <c r="BQE6" s="37"/>
      <c r="BQK6" s="2"/>
      <c r="BQL6" s="29"/>
      <c r="BQR6" s="10"/>
      <c r="BQS6" s="36"/>
      <c r="BQT6" s="37"/>
      <c r="BQU6" s="37"/>
      <c r="BRA6" s="2"/>
      <c r="BRB6" s="29"/>
      <c r="BRH6" s="10"/>
      <c r="BRI6" s="36"/>
      <c r="BRJ6" s="37"/>
      <c r="BRK6" s="37"/>
      <c r="BRQ6" s="2"/>
      <c r="BRR6" s="29"/>
      <c r="BRX6" s="10"/>
      <c r="BRY6" s="36"/>
      <c r="BRZ6" s="37"/>
      <c r="BSA6" s="37"/>
      <c r="BSG6" s="2"/>
      <c r="BSH6" s="29"/>
      <c r="BSN6" s="10"/>
      <c r="BSO6" s="36"/>
      <c r="BSP6" s="37"/>
      <c r="BSQ6" s="37"/>
      <c r="BSW6" s="2"/>
      <c r="BSX6" s="29"/>
      <c r="BTD6" s="10"/>
      <c r="BTE6" s="36"/>
      <c r="BTF6" s="37"/>
      <c r="BTG6" s="37"/>
      <c r="BTM6" s="2"/>
      <c r="BTN6" s="29"/>
      <c r="BTT6" s="10"/>
      <c r="BTU6" s="36"/>
      <c r="BTV6" s="37"/>
      <c r="BTW6" s="37"/>
      <c r="BUC6" s="2"/>
      <c r="BUD6" s="29"/>
      <c r="BUJ6" s="10"/>
      <c r="BUK6" s="36"/>
      <c r="BUL6" s="37"/>
      <c r="BUM6" s="37"/>
      <c r="BUS6" s="2"/>
      <c r="BUT6" s="29"/>
      <c r="BUZ6" s="10"/>
      <c r="BVA6" s="36"/>
      <c r="BVB6" s="37"/>
      <c r="BVC6" s="37"/>
      <c r="BVI6" s="2"/>
      <c r="BVJ6" s="29"/>
      <c r="BVP6" s="10"/>
      <c r="BVQ6" s="36"/>
      <c r="BVR6" s="37"/>
      <c r="BVS6" s="37"/>
      <c r="BVY6" s="2"/>
      <c r="BVZ6" s="29"/>
      <c r="BWF6" s="10"/>
      <c r="BWG6" s="36"/>
      <c r="BWH6" s="37"/>
      <c r="BWI6" s="37"/>
      <c r="BWO6" s="2"/>
      <c r="BWP6" s="29"/>
      <c r="BWV6" s="10"/>
      <c r="BWW6" s="36"/>
      <c r="BWX6" s="37"/>
      <c r="BWY6" s="37"/>
      <c r="BXE6" s="2"/>
      <c r="BXF6" s="29"/>
      <c r="BXL6" s="10"/>
      <c r="BXM6" s="36"/>
      <c r="BXN6" s="37"/>
      <c r="BXO6" s="37"/>
      <c r="BXU6" s="2"/>
      <c r="BXV6" s="29"/>
      <c r="BYB6" s="10"/>
      <c r="BYC6" s="36"/>
      <c r="BYD6" s="37"/>
      <c r="BYE6" s="37"/>
      <c r="BYK6" s="2"/>
      <c r="BYL6" s="29"/>
      <c r="BYR6" s="10"/>
      <c r="BYS6" s="36"/>
      <c r="BYT6" s="37"/>
      <c r="BYU6" s="37"/>
      <c r="BZA6" s="2"/>
      <c r="BZB6" s="29"/>
      <c r="BZH6" s="10"/>
      <c r="BZI6" s="36"/>
      <c r="BZJ6" s="37"/>
      <c r="BZK6" s="37"/>
      <c r="BZQ6" s="2"/>
      <c r="BZR6" s="29"/>
      <c r="BZX6" s="10"/>
      <c r="BZY6" s="36"/>
      <c r="BZZ6" s="37"/>
      <c r="CAA6" s="37"/>
      <c r="CAG6" s="2"/>
      <c r="CAH6" s="29"/>
      <c r="CAN6" s="10"/>
      <c r="CAO6" s="36"/>
      <c r="CAP6" s="37"/>
      <c r="CAQ6" s="37"/>
      <c r="CAW6" s="2"/>
      <c r="CAX6" s="29"/>
      <c r="CBD6" s="10"/>
      <c r="CBE6" s="36"/>
      <c r="CBF6" s="37"/>
      <c r="CBG6" s="37"/>
      <c r="CBM6" s="2"/>
      <c r="CBN6" s="29"/>
      <c r="CBT6" s="10"/>
      <c r="CBU6" s="36"/>
      <c r="CBV6" s="37"/>
      <c r="CBW6" s="37"/>
      <c r="CCC6" s="2"/>
      <c r="CCD6" s="29"/>
      <c r="CCJ6" s="10"/>
      <c r="CCK6" s="36"/>
      <c r="CCL6" s="37"/>
      <c r="CCM6" s="37"/>
      <c r="CCS6" s="2"/>
      <c r="CCT6" s="29"/>
      <c r="CCZ6" s="10"/>
      <c r="CDA6" s="36"/>
      <c r="CDB6" s="37"/>
      <c r="CDC6" s="37"/>
      <c r="CDI6" s="2"/>
      <c r="CDJ6" s="29"/>
      <c r="CDP6" s="10"/>
      <c r="CDQ6" s="36"/>
      <c r="CDR6" s="37"/>
      <c r="CDS6" s="37"/>
      <c r="CDY6" s="2"/>
      <c r="CDZ6" s="29"/>
      <c r="CEF6" s="10"/>
      <c r="CEG6" s="36"/>
      <c r="CEH6" s="37"/>
      <c r="CEI6" s="37"/>
      <c r="CEO6" s="2"/>
      <c r="CEP6" s="29"/>
      <c r="CEV6" s="10"/>
      <c r="CEW6" s="36"/>
      <c r="CEX6" s="37"/>
      <c r="CEY6" s="37"/>
      <c r="CFE6" s="2"/>
      <c r="CFF6" s="29"/>
      <c r="CFL6" s="10"/>
      <c r="CFM6" s="36"/>
      <c r="CFN6" s="37"/>
      <c r="CFO6" s="37"/>
      <c r="CFU6" s="2"/>
      <c r="CFV6" s="29"/>
      <c r="CGB6" s="10"/>
      <c r="CGC6" s="36"/>
      <c r="CGD6" s="37"/>
      <c r="CGE6" s="37"/>
      <c r="CGK6" s="2"/>
      <c r="CGL6" s="29"/>
      <c r="CGR6" s="10"/>
      <c r="CGS6" s="36"/>
      <c r="CGT6" s="37"/>
      <c r="CGU6" s="37"/>
      <c r="CHA6" s="2"/>
      <c r="CHB6" s="29"/>
      <c r="CHH6" s="10"/>
      <c r="CHI6" s="36"/>
      <c r="CHJ6" s="37"/>
      <c r="CHK6" s="37"/>
      <c r="CHQ6" s="2"/>
      <c r="CHR6" s="29"/>
      <c r="CHX6" s="10"/>
      <c r="CHY6" s="36"/>
      <c r="CHZ6" s="37"/>
      <c r="CIA6" s="37"/>
      <c r="CIG6" s="2"/>
      <c r="CIH6" s="29"/>
      <c r="CIN6" s="10"/>
      <c r="CIO6" s="36"/>
      <c r="CIP6" s="37"/>
      <c r="CIQ6" s="37"/>
      <c r="CIW6" s="2"/>
      <c r="CIX6" s="29"/>
      <c r="CJD6" s="10"/>
      <c r="CJE6" s="36"/>
      <c r="CJF6" s="37"/>
      <c r="CJG6" s="37"/>
      <c r="CJM6" s="2"/>
      <c r="CJN6" s="29"/>
      <c r="CJT6" s="10"/>
      <c r="CJU6" s="36"/>
      <c r="CJV6" s="37"/>
      <c r="CJW6" s="37"/>
      <c r="CKC6" s="2"/>
      <c r="CKD6" s="29"/>
      <c r="CKJ6" s="10"/>
      <c r="CKK6" s="36"/>
      <c r="CKL6" s="37"/>
      <c r="CKM6" s="37"/>
      <c r="CKS6" s="2"/>
      <c r="CKT6" s="29"/>
      <c r="CKZ6" s="10"/>
      <c r="CLA6" s="36"/>
      <c r="CLB6" s="37"/>
      <c r="CLC6" s="37"/>
      <c r="CLI6" s="2"/>
      <c r="CLJ6" s="29"/>
      <c r="CLP6" s="10"/>
      <c r="CLQ6" s="36"/>
      <c r="CLR6" s="37"/>
      <c r="CLS6" s="37"/>
      <c r="CLY6" s="2"/>
      <c r="CLZ6" s="29"/>
      <c r="CMF6" s="10"/>
      <c r="CMG6" s="36"/>
      <c r="CMH6" s="37"/>
      <c r="CMI6" s="37"/>
      <c r="CMO6" s="2"/>
      <c r="CMP6" s="29"/>
      <c r="CMV6" s="10"/>
      <c r="CMW6" s="36"/>
      <c r="CMX6" s="37"/>
      <c r="CMY6" s="37"/>
      <c r="CNE6" s="2"/>
      <c r="CNF6" s="29"/>
      <c r="CNL6" s="10"/>
      <c r="CNM6" s="36"/>
      <c r="CNN6" s="37"/>
      <c r="CNO6" s="37"/>
      <c r="CNU6" s="2"/>
      <c r="CNV6" s="29"/>
      <c r="COB6" s="10"/>
      <c r="COC6" s="36"/>
      <c r="COD6" s="37"/>
      <c r="COE6" s="37"/>
      <c r="COK6" s="2"/>
      <c r="COL6" s="29"/>
      <c r="COR6" s="10"/>
      <c r="COS6" s="36"/>
      <c r="COT6" s="37"/>
      <c r="COU6" s="37"/>
      <c r="CPA6" s="2"/>
      <c r="CPB6" s="29"/>
      <c r="CPH6" s="10"/>
      <c r="CPI6" s="36"/>
      <c r="CPJ6" s="37"/>
      <c r="CPK6" s="37"/>
      <c r="CPQ6" s="2"/>
      <c r="CPR6" s="29"/>
      <c r="CPX6" s="10"/>
      <c r="CPY6" s="36"/>
      <c r="CPZ6" s="37"/>
      <c r="CQA6" s="37"/>
      <c r="CQG6" s="2"/>
      <c r="CQH6" s="29"/>
      <c r="CQN6" s="10"/>
      <c r="CQO6" s="36"/>
      <c r="CQP6" s="37"/>
      <c r="CQQ6" s="37"/>
      <c r="CQW6" s="2"/>
      <c r="CQX6" s="29"/>
      <c r="CRD6" s="10"/>
      <c r="CRE6" s="36"/>
      <c r="CRF6" s="37"/>
      <c r="CRG6" s="37"/>
      <c r="CRM6" s="2"/>
      <c r="CRN6" s="29"/>
      <c r="CRT6" s="10"/>
      <c r="CRU6" s="36"/>
      <c r="CRV6" s="37"/>
      <c r="CRW6" s="37"/>
      <c r="CSC6" s="2"/>
      <c r="CSD6" s="29"/>
      <c r="CSJ6" s="10"/>
      <c r="CSK6" s="36"/>
      <c r="CSL6" s="37"/>
      <c r="CSM6" s="37"/>
      <c r="CSS6" s="2"/>
      <c r="CST6" s="29"/>
      <c r="CSZ6" s="10"/>
      <c r="CTA6" s="36"/>
      <c r="CTB6" s="37"/>
      <c r="CTC6" s="37"/>
      <c r="CTI6" s="2"/>
      <c r="CTJ6" s="29"/>
      <c r="CTP6" s="10"/>
      <c r="CTQ6" s="36"/>
      <c r="CTR6" s="37"/>
      <c r="CTS6" s="37"/>
      <c r="CTY6" s="2"/>
      <c r="CTZ6" s="29"/>
      <c r="CUF6" s="10"/>
      <c r="CUG6" s="36"/>
      <c r="CUH6" s="37"/>
      <c r="CUI6" s="37"/>
      <c r="CUO6" s="2"/>
      <c r="CUP6" s="29"/>
      <c r="CUV6" s="10"/>
      <c r="CUW6" s="36"/>
      <c r="CUX6" s="37"/>
      <c r="CUY6" s="37"/>
      <c r="CVE6" s="2"/>
      <c r="CVF6" s="29"/>
      <c r="CVL6" s="10"/>
      <c r="CVM6" s="36"/>
      <c r="CVN6" s="37"/>
      <c r="CVO6" s="37"/>
      <c r="CVU6" s="2"/>
      <c r="CVV6" s="29"/>
      <c r="CWB6" s="10"/>
      <c r="CWC6" s="36"/>
      <c r="CWD6" s="37"/>
      <c r="CWE6" s="37"/>
      <c r="CWK6" s="2"/>
      <c r="CWL6" s="29"/>
      <c r="CWR6" s="10"/>
      <c r="CWS6" s="36"/>
      <c r="CWT6" s="37"/>
      <c r="CWU6" s="37"/>
      <c r="CXA6" s="2"/>
      <c r="CXB6" s="29"/>
      <c r="CXH6" s="10"/>
      <c r="CXI6" s="36"/>
      <c r="CXJ6" s="37"/>
      <c r="CXK6" s="37"/>
      <c r="CXQ6" s="2"/>
      <c r="CXR6" s="29"/>
      <c r="CXX6" s="10"/>
      <c r="CXY6" s="36"/>
      <c r="CXZ6" s="37"/>
      <c r="CYA6" s="37"/>
      <c r="CYG6" s="2"/>
      <c r="CYH6" s="29"/>
      <c r="CYN6" s="10"/>
      <c r="CYO6" s="36"/>
      <c r="CYP6" s="37"/>
      <c r="CYQ6" s="37"/>
      <c r="CYW6" s="2"/>
      <c r="CYX6" s="29"/>
      <c r="CZD6" s="10"/>
      <c r="CZE6" s="36"/>
      <c r="CZF6" s="37"/>
      <c r="CZG6" s="37"/>
      <c r="CZM6" s="2"/>
      <c r="CZN6" s="29"/>
      <c r="CZT6" s="10"/>
      <c r="CZU6" s="36"/>
      <c r="CZV6" s="37"/>
      <c r="CZW6" s="37"/>
      <c r="DAC6" s="2"/>
      <c r="DAD6" s="29"/>
      <c r="DAJ6" s="10"/>
      <c r="DAK6" s="36"/>
      <c r="DAL6" s="37"/>
      <c r="DAM6" s="37"/>
      <c r="DAS6" s="2"/>
      <c r="DAT6" s="29"/>
      <c r="DAZ6" s="10"/>
      <c r="DBA6" s="36"/>
      <c r="DBB6" s="37"/>
      <c r="DBC6" s="37"/>
      <c r="DBI6" s="2"/>
      <c r="DBJ6" s="29"/>
      <c r="DBP6" s="10"/>
      <c r="DBQ6" s="36"/>
      <c r="DBR6" s="37"/>
      <c r="DBS6" s="37"/>
      <c r="DBY6" s="2"/>
      <c r="DBZ6" s="29"/>
      <c r="DCF6" s="10"/>
      <c r="DCG6" s="36"/>
      <c r="DCH6" s="37"/>
      <c r="DCI6" s="37"/>
      <c r="DCO6" s="2"/>
      <c r="DCP6" s="29"/>
      <c r="DCV6" s="10"/>
      <c r="DCW6" s="36"/>
      <c r="DCX6" s="37"/>
      <c r="DCY6" s="37"/>
      <c r="DDE6" s="2"/>
      <c r="DDF6" s="29"/>
      <c r="DDL6" s="10"/>
      <c r="DDM6" s="36"/>
      <c r="DDN6" s="37"/>
      <c r="DDO6" s="37"/>
      <c r="DDU6" s="2"/>
      <c r="DDV6" s="29"/>
      <c r="DEB6" s="10"/>
      <c r="DEC6" s="36"/>
      <c r="DED6" s="37"/>
      <c r="DEE6" s="37"/>
      <c r="DEK6" s="2"/>
      <c r="DEL6" s="29"/>
      <c r="DER6" s="10"/>
      <c r="DES6" s="36"/>
      <c r="DET6" s="37"/>
      <c r="DEU6" s="37"/>
      <c r="DFA6" s="2"/>
      <c r="DFB6" s="29"/>
      <c r="DFH6" s="10"/>
      <c r="DFI6" s="36"/>
      <c r="DFJ6" s="37"/>
      <c r="DFK6" s="37"/>
      <c r="DFQ6" s="2"/>
      <c r="DFR6" s="29"/>
      <c r="DFX6" s="10"/>
      <c r="DFY6" s="36"/>
      <c r="DFZ6" s="37"/>
      <c r="DGA6" s="37"/>
      <c r="DGG6" s="2"/>
      <c r="DGH6" s="29"/>
      <c r="DGN6" s="10"/>
      <c r="DGO6" s="36"/>
      <c r="DGP6" s="37"/>
      <c r="DGQ6" s="37"/>
      <c r="DGW6" s="2"/>
      <c r="DGX6" s="29"/>
      <c r="DHD6" s="10"/>
      <c r="DHE6" s="36"/>
      <c r="DHF6" s="37"/>
      <c r="DHG6" s="37"/>
      <c r="DHM6" s="2"/>
      <c r="DHN6" s="29"/>
      <c r="DHT6" s="10"/>
      <c r="DHU6" s="36"/>
      <c r="DHV6" s="37"/>
      <c r="DHW6" s="37"/>
      <c r="DIC6" s="2"/>
      <c r="DID6" s="29"/>
      <c r="DIJ6" s="10"/>
      <c r="DIK6" s="36"/>
      <c r="DIL6" s="37"/>
      <c r="DIM6" s="37"/>
      <c r="DIS6" s="2"/>
      <c r="DIT6" s="29"/>
      <c r="DIZ6" s="10"/>
      <c r="DJA6" s="36"/>
      <c r="DJB6" s="37"/>
      <c r="DJC6" s="37"/>
      <c r="DJI6" s="2"/>
      <c r="DJJ6" s="29"/>
      <c r="DJP6" s="10"/>
      <c r="DJQ6" s="36"/>
      <c r="DJR6" s="37"/>
      <c r="DJS6" s="37"/>
      <c r="DJY6" s="2"/>
      <c r="DJZ6" s="29"/>
      <c r="DKF6" s="10"/>
      <c r="DKG6" s="36"/>
      <c r="DKH6" s="37"/>
      <c r="DKI6" s="37"/>
      <c r="DKO6" s="2"/>
      <c r="DKP6" s="29"/>
      <c r="DKV6" s="10"/>
      <c r="DKW6" s="36"/>
      <c r="DKX6" s="37"/>
      <c r="DKY6" s="37"/>
      <c r="DLE6" s="2"/>
      <c r="DLF6" s="29"/>
      <c r="DLL6" s="10"/>
      <c r="DLM6" s="36"/>
      <c r="DLN6" s="37"/>
      <c r="DLO6" s="37"/>
      <c r="DLU6" s="2"/>
      <c r="DLV6" s="29"/>
      <c r="DMB6" s="10"/>
      <c r="DMC6" s="36"/>
      <c r="DMD6" s="37"/>
      <c r="DME6" s="37"/>
      <c r="DMK6" s="2"/>
      <c r="DML6" s="29"/>
      <c r="DMR6" s="10"/>
      <c r="DMS6" s="36"/>
      <c r="DMT6" s="37"/>
      <c r="DMU6" s="37"/>
      <c r="DNA6" s="2"/>
      <c r="DNB6" s="29"/>
      <c r="DNH6" s="10"/>
      <c r="DNI6" s="36"/>
      <c r="DNJ6" s="37"/>
      <c r="DNK6" s="37"/>
      <c r="DNQ6" s="2"/>
      <c r="DNR6" s="29"/>
      <c r="DNX6" s="10"/>
      <c r="DNY6" s="36"/>
      <c r="DNZ6" s="37"/>
      <c r="DOA6" s="37"/>
      <c r="DOG6" s="2"/>
      <c r="DOH6" s="29"/>
      <c r="DON6" s="10"/>
      <c r="DOO6" s="36"/>
      <c r="DOP6" s="37"/>
      <c r="DOQ6" s="37"/>
      <c r="DOW6" s="2"/>
      <c r="DOX6" s="29"/>
      <c r="DPD6" s="10"/>
      <c r="DPE6" s="36"/>
      <c r="DPF6" s="37"/>
      <c r="DPG6" s="37"/>
      <c r="DPM6" s="2"/>
      <c r="DPN6" s="29"/>
      <c r="DPT6" s="10"/>
      <c r="DPU6" s="36"/>
      <c r="DPV6" s="37"/>
      <c r="DPW6" s="37"/>
      <c r="DQC6" s="2"/>
      <c r="DQD6" s="29"/>
      <c r="DQJ6" s="10"/>
      <c r="DQK6" s="36"/>
      <c r="DQL6" s="37"/>
      <c r="DQM6" s="37"/>
      <c r="DQS6" s="2"/>
      <c r="DQT6" s="29"/>
      <c r="DQZ6" s="10"/>
      <c r="DRA6" s="36"/>
      <c r="DRB6" s="37"/>
      <c r="DRC6" s="37"/>
      <c r="DRI6" s="2"/>
      <c r="DRJ6" s="29"/>
      <c r="DRP6" s="10"/>
      <c r="DRQ6" s="36"/>
      <c r="DRR6" s="37"/>
      <c r="DRS6" s="37"/>
      <c r="DRY6" s="2"/>
      <c r="DRZ6" s="29"/>
      <c r="DSF6" s="10"/>
      <c r="DSG6" s="36"/>
      <c r="DSH6" s="37"/>
      <c r="DSI6" s="37"/>
      <c r="DSO6" s="2"/>
      <c r="DSP6" s="29"/>
      <c r="DSV6" s="10"/>
      <c r="DSW6" s="36"/>
      <c r="DSX6" s="37"/>
      <c r="DSY6" s="37"/>
      <c r="DTE6" s="2"/>
      <c r="DTF6" s="29"/>
      <c r="DTL6" s="10"/>
      <c r="DTM6" s="36"/>
      <c r="DTN6" s="37"/>
      <c r="DTO6" s="37"/>
      <c r="DTU6" s="2"/>
      <c r="DTV6" s="29"/>
      <c r="DUB6" s="10"/>
      <c r="DUC6" s="36"/>
      <c r="DUD6" s="37"/>
      <c r="DUE6" s="37"/>
      <c r="DUK6" s="2"/>
      <c r="DUL6" s="29"/>
      <c r="DUR6" s="10"/>
      <c r="DUS6" s="36"/>
      <c r="DUT6" s="37"/>
      <c r="DUU6" s="37"/>
      <c r="DVA6" s="2"/>
      <c r="DVB6" s="29"/>
      <c r="DVH6" s="10"/>
      <c r="DVI6" s="36"/>
      <c r="DVJ6" s="37"/>
      <c r="DVK6" s="37"/>
      <c r="DVQ6" s="2"/>
      <c r="DVR6" s="29"/>
      <c r="DVX6" s="10"/>
      <c r="DVY6" s="36"/>
      <c r="DVZ6" s="37"/>
      <c r="DWA6" s="37"/>
      <c r="DWG6" s="2"/>
      <c r="DWH6" s="29"/>
      <c r="DWN6" s="10"/>
      <c r="DWO6" s="36"/>
      <c r="DWP6" s="37"/>
      <c r="DWQ6" s="37"/>
      <c r="DWW6" s="2"/>
      <c r="DWX6" s="29"/>
      <c r="DXD6" s="10"/>
      <c r="DXE6" s="36"/>
      <c r="DXF6" s="37"/>
      <c r="DXG6" s="37"/>
      <c r="DXM6" s="2"/>
      <c r="DXN6" s="29"/>
      <c r="DXT6" s="10"/>
      <c r="DXU6" s="36"/>
      <c r="DXV6" s="37"/>
      <c r="DXW6" s="37"/>
      <c r="DYC6" s="2"/>
      <c r="DYD6" s="29"/>
      <c r="DYJ6" s="10"/>
      <c r="DYK6" s="36"/>
      <c r="DYL6" s="37"/>
      <c r="DYM6" s="37"/>
      <c r="DYS6" s="2"/>
      <c r="DYT6" s="29"/>
      <c r="DYZ6" s="10"/>
      <c r="DZA6" s="36"/>
      <c r="DZB6" s="37"/>
      <c r="DZC6" s="37"/>
      <c r="DZI6" s="2"/>
      <c r="DZJ6" s="29"/>
      <c r="DZP6" s="10"/>
      <c r="DZQ6" s="36"/>
      <c r="DZR6" s="37"/>
      <c r="DZS6" s="37"/>
      <c r="DZY6" s="2"/>
      <c r="DZZ6" s="29"/>
      <c r="EAF6" s="10"/>
      <c r="EAG6" s="36"/>
      <c r="EAH6" s="37"/>
      <c r="EAI6" s="37"/>
      <c r="EAO6" s="2"/>
      <c r="EAP6" s="29"/>
      <c r="EAV6" s="10"/>
      <c r="EAW6" s="36"/>
      <c r="EAX6" s="37"/>
      <c r="EAY6" s="37"/>
      <c r="EBE6" s="2"/>
      <c r="EBF6" s="29"/>
      <c r="EBL6" s="10"/>
      <c r="EBM6" s="36"/>
      <c r="EBN6" s="37"/>
      <c r="EBO6" s="37"/>
      <c r="EBU6" s="2"/>
      <c r="EBV6" s="29"/>
      <c r="ECB6" s="10"/>
      <c r="ECC6" s="36"/>
      <c r="ECD6" s="37"/>
      <c r="ECE6" s="37"/>
      <c r="ECK6" s="2"/>
      <c r="ECL6" s="29"/>
      <c r="ECR6" s="10"/>
      <c r="ECS6" s="36"/>
      <c r="ECT6" s="37"/>
      <c r="ECU6" s="37"/>
      <c r="EDA6" s="2"/>
      <c r="EDB6" s="29"/>
      <c r="EDH6" s="10"/>
      <c r="EDI6" s="36"/>
      <c r="EDJ6" s="37"/>
      <c r="EDK6" s="37"/>
      <c r="EDQ6" s="2"/>
      <c r="EDR6" s="29"/>
      <c r="EDX6" s="10"/>
      <c r="EDY6" s="36"/>
      <c r="EDZ6" s="37"/>
      <c r="EEA6" s="37"/>
      <c r="EEG6" s="2"/>
      <c r="EEH6" s="29"/>
      <c r="EEN6" s="10"/>
      <c r="EEO6" s="36"/>
      <c r="EEP6" s="37"/>
      <c r="EEQ6" s="37"/>
      <c r="EEW6" s="2"/>
      <c r="EEX6" s="29"/>
      <c r="EFD6" s="10"/>
      <c r="EFE6" s="36"/>
      <c r="EFF6" s="37"/>
      <c r="EFG6" s="37"/>
      <c r="EFM6" s="2"/>
      <c r="EFN6" s="29"/>
      <c r="EFT6" s="10"/>
      <c r="EFU6" s="36"/>
      <c r="EFV6" s="37"/>
      <c r="EFW6" s="37"/>
      <c r="EGC6" s="2"/>
      <c r="EGD6" s="29"/>
      <c r="EGJ6" s="10"/>
      <c r="EGK6" s="36"/>
      <c r="EGL6" s="37"/>
      <c r="EGM6" s="37"/>
      <c r="EGS6" s="2"/>
      <c r="EGT6" s="29"/>
      <c r="EGZ6" s="10"/>
      <c r="EHA6" s="36"/>
      <c r="EHB6" s="37"/>
      <c r="EHC6" s="37"/>
      <c r="EHI6" s="2"/>
      <c r="EHJ6" s="29"/>
      <c r="EHP6" s="10"/>
      <c r="EHQ6" s="36"/>
      <c r="EHR6" s="37"/>
      <c r="EHS6" s="37"/>
      <c r="EHY6" s="2"/>
      <c r="EHZ6" s="29"/>
      <c r="EIF6" s="10"/>
      <c r="EIG6" s="36"/>
      <c r="EIH6" s="37"/>
      <c r="EII6" s="37"/>
      <c r="EIO6" s="2"/>
      <c r="EIP6" s="29"/>
      <c r="EIV6" s="10"/>
      <c r="EIW6" s="36"/>
      <c r="EIX6" s="37"/>
      <c r="EIY6" s="37"/>
      <c r="EJE6" s="2"/>
      <c r="EJF6" s="29"/>
      <c r="EJL6" s="10"/>
      <c r="EJM6" s="36"/>
      <c r="EJN6" s="37"/>
      <c r="EJO6" s="37"/>
      <c r="EJU6" s="2"/>
      <c r="EJV6" s="29"/>
      <c r="EKB6" s="10"/>
      <c r="EKC6" s="36"/>
      <c r="EKD6" s="37"/>
      <c r="EKE6" s="37"/>
      <c r="EKK6" s="2"/>
      <c r="EKL6" s="29"/>
      <c r="EKR6" s="10"/>
      <c r="EKS6" s="36"/>
      <c r="EKT6" s="37"/>
      <c r="EKU6" s="37"/>
      <c r="ELA6" s="2"/>
      <c r="ELB6" s="29"/>
      <c r="ELH6" s="10"/>
      <c r="ELI6" s="36"/>
      <c r="ELJ6" s="37"/>
      <c r="ELK6" s="37"/>
      <c r="ELQ6" s="2"/>
      <c r="ELR6" s="29"/>
      <c r="ELX6" s="10"/>
      <c r="ELY6" s="36"/>
      <c r="ELZ6" s="37"/>
      <c r="EMA6" s="37"/>
      <c r="EMG6" s="2"/>
      <c r="EMH6" s="29"/>
      <c r="EMN6" s="10"/>
      <c r="EMO6" s="36"/>
      <c r="EMP6" s="37"/>
      <c r="EMQ6" s="37"/>
      <c r="EMW6" s="2"/>
      <c r="EMX6" s="29"/>
      <c r="END6" s="10"/>
      <c r="ENE6" s="36"/>
      <c r="ENF6" s="37"/>
      <c r="ENG6" s="37"/>
      <c r="ENM6" s="2"/>
      <c r="ENN6" s="29"/>
      <c r="ENT6" s="10"/>
      <c r="ENU6" s="36"/>
      <c r="ENV6" s="37"/>
      <c r="ENW6" s="37"/>
      <c r="EOC6" s="2"/>
      <c r="EOD6" s="29"/>
      <c r="EOJ6" s="10"/>
      <c r="EOK6" s="36"/>
      <c r="EOL6" s="37"/>
      <c r="EOM6" s="37"/>
      <c r="EOS6" s="2"/>
      <c r="EOT6" s="29"/>
      <c r="EOZ6" s="10"/>
      <c r="EPA6" s="36"/>
      <c r="EPB6" s="37"/>
      <c r="EPC6" s="37"/>
      <c r="EPI6" s="2"/>
      <c r="EPJ6" s="29"/>
      <c r="EPP6" s="10"/>
      <c r="EPQ6" s="36"/>
      <c r="EPR6" s="37"/>
      <c r="EPS6" s="37"/>
      <c r="EPY6" s="2"/>
      <c r="EPZ6" s="29"/>
      <c r="EQF6" s="10"/>
      <c r="EQG6" s="36"/>
      <c r="EQH6" s="37"/>
      <c r="EQI6" s="37"/>
      <c r="EQO6" s="2"/>
      <c r="EQP6" s="29"/>
      <c r="EQV6" s="10"/>
      <c r="EQW6" s="36"/>
      <c r="EQX6" s="37"/>
      <c r="EQY6" s="37"/>
      <c r="ERE6" s="2"/>
      <c r="ERF6" s="29"/>
      <c r="ERL6" s="10"/>
      <c r="ERM6" s="36"/>
      <c r="ERN6" s="37"/>
      <c r="ERO6" s="37"/>
      <c r="ERU6" s="2"/>
      <c r="ERV6" s="29"/>
      <c r="ESB6" s="10"/>
      <c r="ESC6" s="36"/>
      <c r="ESD6" s="37"/>
      <c r="ESE6" s="37"/>
      <c r="ESK6" s="2"/>
      <c r="ESL6" s="29"/>
      <c r="ESR6" s="10"/>
      <c r="ESS6" s="36"/>
      <c r="EST6" s="37"/>
      <c r="ESU6" s="37"/>
      <c r="ETA6" s="2"/>
      <c r="ETB6" s="29"/>
      <c r="ETH6" s="10"/>
      <c r="ETI6" s="36"/>
      <c r="ETJ6" s="37"/>
      <c r="ETK6" s="37"/>
      <c r="ETQ6" s="2"/>
      <c r="ETR6" s="29"/>
      <c r="ETX6" s="10"/>
      <c r="ETY6" s="36"/>
      <c r="ETZ6" s="37"/>
      <c r="EUA6" s="37"/>
      <c r="EUG6" s="2"/>
      <c r="EUH6" s="29"/>
      <c r="EUN6" s="10"/>
      <c r="EUO6" s="36"/>
      <c r="EUP6" s="37"/>
      <c r="EUQ6" s="37"/>
      <c r="EUW6" s="2"/>
      <c r="EUX6" s="29"/>
      <c r="EVD6" s="10"/>
      <c r="EVE6" s="36"/>
      <c r="EVF6" s="37"/>
      <c r="EVG6" s="37"/>
      <c r="EVM6" s="2"/>
      <c r="EVN6" s="29"/>
      <c r="EVT6" s="10"/>
      <c r="EVU6" s="36"/>
      <c r="EVV6" s="37"/>
      <c r="EVW6" s="37"/>
      <c r="EWC6" s="2"/>
      <c r="EWD6" s="29"/>
      <c r="EWJ6" s="10"/>
      <c r="EWK6" s="36"/>
      <c r="EWL6" s="37"/>
      <c r="EWM6" s="37"/>
      <c r="EWS6" s="2"/>
      <c r="EWT6" s="29"/>
      <c r="EWZ6" s="10"/>
      <c r="EXA6" s="36"/>
      <c r="EXB6" s="37"/>
      <c r="EXC6" s="37"/>
      <c r="EXI6" s="2"/>
      <c r="EXJ6" s="29"/>
      <c r="EXP6" s="10"/>
      <c r="EXQ6" s="36"/>
      <c r="EXR6" s="37"/>
      <c r="EXS6" s="37"/>
      <c r="EXY6" s="2"/>
      <c r="EXZ6" s="29"/>
      <c r="EYF6" s="10"/>
      <c r="EYG6" s="36"/>
      <c r="EYH6" s="37"/>
      <c r="EYI6" s="37"/>
      <c r="EYO6" s="2"/>
      <c r="EYP6" s="29"/>
      <c r="EYV6" s="10"/>
      <c r="EYW6" s="36"/>
      <c r="EYX6" s="37"/>
      <c r="EYY6" s="37"/>
      <c r="EZE6" s="2"/>
      <c r="EZF6" s="29"/>
      <c r="EZL6" s="10"/>
      <c r="EZM6" s="36"/>
      <c r="EZN6" s="37"/>
      <c r="EZO6" s="37"/>
      <c r="EZU6" s="2"/>
      <c r="EZV6" s="29"/>
      <c r="FAB6" s="10"/>
      <c r="FAC6" s="36"/>
      <c r="FAD6" s="37"/>
      <c r="FAE6" s="37"/>
      <c r="FAK6" s="2"/>
      <c r="FAL6" s="29"/>
      <c r="FAR6" s="10"/>
      <c r="FAS6" s="36"/>
      <c r="FAT6" s="37"/>
      <c r="FAU6" s="37"/>
      <c r="FBA6" s="2"/>
      <c r="FBB6" s="29"/>
      <c r="FBH6" s="10"/>
      <c r="FBI6" s="36"/>
      <c r="FBJ6" s="37"/>
      <c r="FBK6" s="37"/>
      <c r="FBQ6" s="2"/>
      <c r="FBR6" s="29"/>
      <c r="FBX6" s="10"/>
      <c r="FBY6" s="36"/>
      <c r="FBZ6" s="37"/>
      <c r="FCA6" s="37"/>
      <c r="FCG6" s="2"/>
      <c r="FCH6" s="29"/>
      <c r="FCN6" s="10"/>
      <c r="FCO6" s="36"/>
      <c r="FCP6" s="37"/>
      <c r="FCQ6" s="37"/>
      <c r="FCW6" s="2"/>
      <c r="FCX6" s="29"/>
      <c r="FDD6" s="10"/>
      <c r="FDE6" s="36"/>
      <c r="FDF6" s="37"/>
      <c r="FDG6" s="37"/>
      <c r="FDM6" s="2"/>
      <c r="FDN6" s="29"/>
      <c r="FDT6" s="10"/>
      <c r="FDU6" s="36"/>
      <c r="FDV6" s="37"/>
      <c r="FDW6" s="37"/>
      <c r="FEC6" s="2"/>
      <c r="FED6" s="29"/>
      <c r="FEJ6" s="10"/>
      <c r="FEK6" s="36"/>
      <c r="FEL6" s="37"/>
      <c r="FEM6" s="37"/>
      <c r="FES6" s="2"/>
      <c r="FET6" s="29"/>
      <c r="FEZ6" s="10"/>
      <c r="FFA6" s="36"/>
      <c r="FFB6" s="37"/>
      <c r="FFC6" s="37"/>
      <c r="FFI6" s="2"/>
      <c r="FFJ6" s="29"/>
      <c r="FFP6" s="10"/>
      <c r="FFQ6" s="36"/>
      <c r="FFR6" s="37"/>
      <c r="FFS6" s="37"/>
      <c r="FFY6" s="2"/>
      <c r="FFZ6" s="29"/>
      <c r="FGF6" s="10"/>
      <c r="FGG6" s="36"/>
      <c r="FGH6" s="37"/>
      <c r="FGI6" s="37"/>
      <c r="FGO6" s="2"/>
      <c r="FGP6" s="29"/>
      <c r="FGV6" s="10"/>
      <c r="FGW6" s="36"/>
      <c r="FGX6" s="37"/>
      <c r="FGY6" s="37"/>
      <c r="FHE6" s="2"/>
      <c r="FHF6" s="29"/>
      <c r="FHL6" s="10"/>
      <c r="FHM6" s="36"/>
      <c r="FHN6" s="37"/>
      <c r="FHO6" s="37"/>
      <c r="FHU6" s="2"/>
      <c r="FHV6" s="29"/>
      <c r="FIB6" s="10"/>
      <c r="FIC6" s="36"/>
      <c r="FID6" s="37"/>
      <c r="FIE6" s="37"/>
      <c r="FIK6" s="2"/>
      <c r="FIL6" s="29"/>
      <c r="FIR6" s="10"/>
      <c r="FIS6" s="36"/>
      <c r="FIT6" s="37"/>
      <c r="FIU6" s="37"/>
      <c r="FJA6" s="2"/>
      <c r="FJB6" s="29"/>
      <c r="FJH6" s="10"/>
      <c r="FJI6" s="36"/>
      <c r="FJJ6" s="37"/>
      <c r="FJK6" s="37"/>
      <c r="FJQ6" s="2"/>
      <c r="FJR6" s="29"/>
      <c r="FJX6" s="10"/>
      <c r="FJY6" s="36"/>
      <c r="FJZ6" s="37"/>
      <c r="FKA6" s="37"/>
      <c r="FKG6" s="2"/>
      <c r="FKH6" s="29"/>
      <c r="FKN6" s="10"/>
      <c r="FKO6" s="36"/>
      <c r="FKP6" s="37"/>
      <c r="FKQ6" s="37"/>
      <c r="FKW6" s="2"/>
      <c r="FKX6" s="29"/>
      <c r="FLD6" s="10"/>
      <c r="FLE6" s="36"/>
      <c r="FLF6" s="37"/>
      <c r="FLG6" s="37"/>
      <c r="FLM6" s="2"/>
      <c r="FLN6" s="29"/>
      <c r="FLT6" s="10"/>
      <c r="FLU6" s="36"/>
      <c r="FLV6" s="37"/>
      <c r="FLW6" s="37"/>
      <c r="FMC6" s="2"/>
      <c r="FMD6" s="29"/>
      <c r="FMJ6" s="10"/>
      <c r="FMK6" s="36"/>
      <c r="FML6" s="37"/>
      <c r="FMM6" s="37"/>
      <c r="FMS6" s="2"/>
      <c r="FMT6" s="29"/>
      <c r="FMZ6" s="10"/>
      <c r="FNA6" s="36"/>
      <c r="FNB6" s="37"/>
      <c r="FNC6" s="37"/>
      <c r="FNI6" s="2"/>
      <c r="FNJ6" s="29"/>
      <c r="FNP6" s="10"/>
      <c r="FNQ6" s="36"/>
      <c r="FNR6" s="37"/>
      <c r="FNS6" s="37"/>
      <c r="FNY6" s="2"/>
      <c r="FNZ6" s="29"/>
      <c r="FOF6" s="10"/>
      <c r="FOG6" s="36"/>
      <c r="FOH6" s="37"/>
      <c r="FOI6" s="37"/>
      <c r="FOO6" s="2"/>
      <c r="FOP6" s="29"/>
      <c r="FOV6" s="10"/>
      <c r="FOW6" s="36"/>
      <c r="FOX6" s="37"/>
      <c r="FOY6" s="37"/>
      <c r="FPE6" s="2"/>
      <c r="FPF6" s="29"/>
      <c r="FPL6" s="10"/>
      <c r="FPM6" s="36"/>
      <c r="FPN6" s="37"/>
      <c r="FPO6" s="37"/>
      <c r="FPU6" s="2"/>
      <c r="FPV6" s="29"/>
      <c r="FQB6" s="10"/>
      <c r="FQC6" s="36"/>
      <c r="FQD6" s="37"/>
      <c r="FQE6" s="37"/>
      <c r="FQK6" s="2"/>
      <c r="FQL6" s="29"/>
      <c r="FQR6" s="10"/>
      <c r="FQS6" s="36"/>
      <c r="FQT6" s="37"/>
      <c r="FQU6" s="37"/>
      <c r="FRA6" s="2"/>
      <c r="FRB6" s="29"/>
      <c r="FRH6" s="10"/>
      <c r="FRI6" s="36"/>
      <c r="FRJ6" s="37"/>
      <c r="FRK6" s="37"/>
      <c r="FRQ6" s="2"/>
      <c r="FRR6" s="29"/>
      <c r="FRX6" s="10"/>
      <c r="FRY6" s="36"/>
      <c r="FRZ6" s="37"/>
      <c r="FSA6" s="37"/>
      <c r="FSG6" s="2"/>
      <c r="FSH6" s="29"/>
      <c r="FSN6" s="10"/>
      <c r="FSO6" s="36"/>
      <c r="FSP6" s="37"/>
      <c r="FSQ6" s="37"/>
      <c r="FSW6" s="2"/>
      <c r="FSX6" s="29"/>
      <c r="FTD6" s="10"/>
      <c r="FTE6" s="36"/>
      <c r="FTF6" s="37"/>
      <c r="FTG6" s="37"/>
      <c r="FTM6" s="2"/>
      <c r="FTN6" s="29"/>
      <c r="FTT6" s="10"/>
      <c r="FTU6" s="36"/>
      <c r="FTV6" s="37"/>
      <c r="FTW6" s="37"/>
      <c r="FUC6" s="2"/>
      <c r="FUD6" s="29"/>
      <c r="FUJ6" s="10"/>
      <c r="FUK6" s="36"/>
      <c r="FUL6" s="37"/>
      <c r="FUM6" s="37"/>
      <c r="FUS6" s="2"/>
      <c r="FUT6" s="29"/>
      <c r="FUZ6" s="10"/>
      <c r="FVA6" s="36"/>
      <c r="FVB6" s="37"/>
      <c r="FVC6" s="37"/>
      <c r="FVI6" s="2"/>
      <c r="FVJ6" s="29"/>
      <c r="FVP6" s="10"/>
      <c r="FVQ6" s="36"/>
      <c r="FVR6" s="37"/>
      <c r="FVS6" s="37"/>
      <c r="FVY6" s="2"/>
      <c r="FVZ6" s="29"/>
      <c r="FWF6" s="10"/>
      <c r="FWG6" s="36"/>
      <c r="FWH6" s="37"/>
      <c r="FWI6" s="37"/>
      <c r="FWO6" s="2"/>
      <c r="FWP6" s="29"/>
      <c r="FWV6" s="10"/>
      <c r="FWW6" s="36"/>
      <c r="FWX6" s="37"/>
      <c r="FWY6" s="37"/>
      <c r="FXE6" s="2"/>
      <c r="FXF6" s="29"/>
      <c r="FXL6" s="10"/>
      <c r="FXM6" s="36"/>
      <c r="FXN6" s="37"/>
      <c r="FXO6" s="37"/>
      <c r="FXU6" s="2"/>
      <c r="FXV6" s="29"/>
      <c r="FYB6" s="10"/>
      <c r="FYC6" s="36"/>
      <c r="FYD6" s="37"/>
      <c r="FYE6" s="37"/>
      <c r="FYK6" s="2"/>
      <c r="FYL6" s="29"/>
      <c r="FYR6" s="10"/>
      <c r="FYS6" s="36"/>
      <c r="FYT6" s="37"/>
      <c r="FYU6" s="37"/>
      <c r="FZA6" s="2"/>
      <c r="FZB6" s="29"/>
      <c r="FZH6" s="10"/>
      <c r="FZI6" s="36"/>
      <c r="FZJ6" s="37"/>
      <c r="FZK6" s="37"/>
      <c r="FZQ6" s="2"/>
      <c r="FZR6" s="29"/>
      <c r="FZX6" s="10"/>
      <c r="FZY6" s="36"/>
      <c r="FZZ6" s="37"/>
      <c r="GAA6" s="37"/>
      <c r="GAG6" s="2"/>
      <c r="GAH6" s="29"/>
      <c r="GAN6" s="10"/>
      <c r="GAO6" s="36"/>
      <c r="GAP6" s="37"/>
      <c r="GAQ6" s="37"/>
      <c r="GAW6" s="2"/>
      <c r="GAX6" s="29"/>
      <c r="GBD6" s="10"/>
      <c r="GBE6" s="36"/>
      <c r="GBF6" s="37"/>
      <c r="GBG6" s="37"/>
      <c r="GBM6" s="2"/>
      <c r="GBN6" s="29"/>
      <c r="GBT6" s="10"/>
      <c r="GBU6" s="36"/>
      <c r="GBV6" s="37"/>
      <c r="GBW6" s="37"/>
      <c r="GCC6" s="2"/>
      <c r="GCD6" s="29"/>
      <c r="GCJ6" s="10"/>
      <c r="GCK6" s="36"/>
      <c r="GCL6" s="37"/>
      <c r="GCM6" s="37"/>
      <c r="GCS6" s="2"/>
      <c r="GCT6" s="29"/>
      <c r="GCZ6" s="10"/>
      <c r="GDA6" s="36"/>
      <c r="GDB6" s="37"/>
      <c r="GDC6" s="37"/>
      <c r="GDI6" s="2"/>
      <c r="GDJ6" s="29"/>
      <c r="GDP6" s="10"/>
      <c r="GDQ6" s="36"/>
      <c r="GDR6" s="37"/>
      <c r="GDS6" s="37"/>
      <c r="GDY6" s="2"/>
      <c r="GDZ6" s="29"/>
      <c r="GEF6" s="10"/>
      <c r="GEG6" s="36"/>
      <c r="GEH6" s="37"/>
      <c r="GEI6" s="37"/>
      <c r="GEO6" s="2"/>
      <c r="GEP6" s="29"/>
      <c r="GEV6" s="10"/>
      <c r="GEW6" s="36"/>
      <c r="GEX6" s="37"/>
      <c r="GEY6" s="37"/>
      <c r="GFE6" s="2"/>
      <c r="GFF6" s="29"/>
      <c r="GFL6" s="10"/>
      <c r="GFM6" s="36"/>
      <c r="GFN6" s="37"/>
      <c r="GFO6" s="37"/>
      <c r="GFU6" s="2"/>
      <c r="GFV6" s="29"/>
      <c r="GGB6" s="10"/>
      <c r="GGC6" s="36"/>
      <c r="GGD6" s="37"/>
      <c r="GGE6" s="37"/>
      <c r="GGK6" s="2"/>
      <c r="GGL6" s="29"/>
      <c r="GGR6" s="10"/>
      <c r="GGS6" s="36"/>
      <c r="GGT6" s="37"/>
      <c r="GGU6" s="37"/>
      <c r="GHA6" s="2"/>
      <c r="GHB6" s="29"/>
      <c r="GHH6" s="10"/>
      <c r="GHI6" s="36"/>
      <c r="GHJ6" s="37"/>
      <c r="GHK6" s="37"/>
      <c r="GHQ6" s="2"/>
      <c r="GHR6" s="29"/>
      <c r="GHX6" s="10"/>
      <c r="GHY6" s="36"/>
      <c r="GHZ6" s="37"/>
      <c r="GIA6" s="37"/>
      <c r="GIG6" s="2"/>
      <c r="GIH6" s="29"/>
      <c r="GIN6" s="10"/>
      <c r="GIO6" s="36"/>
      <c r="GIP6" s="37"/>
      <c r="GIQ6" s="37"/>
      <c r="GIW6" s="2"/>
      <c r="GIX6" s="29"/>
      <c r="GJD6" s="10"/>
      <c r="GJE6" s="36"/>
      <c r="GJF6" s="37"/>
      <c r="GJG6" s="37"/>
      <c r="GJM6" s="2"/>
      <c r="GJN6" s="29"/>
      <c r="GJT6" s="10"/>
      <c r="GJU6" s="36"/>
      <c r="GJV6" s="37"/>
      <c r="GJW6" s="37"/>
      <c r="GKC6" s="2"/>
      <c r="GKD6" s="29"/>
      <c r="GKJ6" s="10"/>
      <c r="GKK6" s="36"/>
      <c r="GKL6" s="37"/>
      <c r="GKM6" s="37"/>
      <c r="GKS6" s="2"/>
      <c r="GKT6" s="29"/>
      <c r="GKZ6" s="10"/>
      <c r="GLA6" s="36"/>
      <c r="GLB6" s="37"/>
      <c r="GLC6" s="37"/>
      <c r="GLI6" s="2"/>
      <c r="GLJ6" s="29"/>
      <c r="GLP6" s="10"/>
      <c r="GLQ6" s="36"/>
      <c r="GLR6" s="37"/>
      <c r="GLS6" s="37"/>
      <c r="GLY6" s="2"/>
      <c r="GLZ6" s="29"/>
      <c r="GMF6" s="10"/>
      <c r="GMG6" s="36"/>
      <c r="GMH6" s="37"/>
      <c r="GMI6" s="37"/>
      <c r="GMO6" s="2"/>
      <c r="GMP6" s="29"/>
      <c r="GMV6" s="10"/>
      <c r="GMW6" s="36"/>
      <c r="GMX6" s="37"/>
      <c r="GMY6" s="37"/>
      <c r="GNE6" s="2"/>
      <c r="GNF6" s="29"/>
      <c r="GNL6" s="10"/>
      <c r="GNM6" s="36"/>
      <c r="GNN6" s="37"/>
      <c r="GNO6" s="37"/>
      <c r="GNU6" s="2"/>
      <c r="GNV6" s="29"/>
      <c r="GOB6" s="10"/>
      <c r="GOC6" s="36"/>
      <c r="GOD6" s="37"/>
      <c r="GOE6" s="37"/>
      <c r="GOK6" s="2"/>
      <c r="GOL6" s="29"/>
      <c r="GOR6" s="10"/>
      <c r="GOS6" s="36"/>
      <c r="GOT6" s="37"/>
      <c r="GOU6" s="37"/>
      <c r="GPA6" s="2"/>
      <c r="GPB6" s="29"/>
      <c r="GPH6" s="10"/>
      <c r="GPI6" s="36"/>
      <c r="GPJ6" s="37"/>
      <c r="GPK6" s="37"/>
      <c r="GPQ6" s="2"/>
      <c r="GPR6" s="29"/>
      <c r="GPX6" s="10"/>
      <c r="GPY6" s="36"/>
      <c r="GPZ6" s="37"/>
      <c r="GQA6" s="37"/>
      <c r="GQG6" s="2"/>
      <c r="GQH6" s="29"/>
      <c r="GQN6" s="10"/>
      <c r="GQO6" s="36"/>
      <c r="GQP6" s="37"/>
      <c r="GQQ6" s="37"/>
      <c r="GQW6" s="2"/>
      <c r="GQX6" s="29"/>
      <c r="GRD6" s="10"/>
      <c r="GRE6" s="36"/>
      <c r="GRF6" s="37"/>
      <c r="GRG6" s="37"/>
      <c r="GRM6" s="2"/>
      <c r="GRN6" s="29"/>
      <c r="GRT6" s="10"/>
      <c r="GRU6" s="36"/>
      <c r="GRV6" s="37"/>
      <c r="GRW6" s="37"/>
      <c r="GSC6" s="2"/>
      <c r="GSD6" s="29"/>
      <c r="GSJ6" s="10"/>
      <c r="GSK6" s="36"/>
      <c r="GSL6" s="37"/>
      <c r="GSM6" s="37"/>
      <c r="GSS6" s="2"/>
      <c r="GST6" s="29"/>
      <c r="GSZ6" s="10"/>
      <c r="GTA6" s="36"/>
      <c r="GTB6" s="37"/>
      <c r="GTC6" s="37"/>
      <c r="GTI6" s="2"/>
      <c r="GTJ6" s="29"/>
      <c r="GTP6" s="10"/>
      <c r="GTQ6" s="36"/>
      <c r="GTR6" s="37"/>
      <c r="GTS6" s="37"/>
      <c r="GTY6" s="2"/>
      <c r="GTZ6" s="29"/>
      <c r="GUF6" s="10"/>
      <c r="GUG6" s="36"/>
      <c r="GUH6" s="37"/>
      <c r="GUI6" s="37"/>
      <c r="GUO6" s="2"/>
      <c r="GUP6" s="29"/>
      <c r="GUV6" s="10"/>
      <c r="GUW6" s="36"/>
      <c r="GUX6" s="37"/>
      <c r="GUY6" s="37"/>
      <c r="GVE6" s="2"/>
      <c r="GVF6" s="29"/>
      <c r="GVL6" s="10"/>
      <c r="GVM6" s="36"/>
      <c r="GVN6" s="37"/>
      <c r="GVO6" s="37"/>
      <c r="GVU6" s="2"/>
      <c r="GVV6" s="29"/>
      <c r="GWB6" s="10"/>
      <c r="GWC6" s="36"/>
      <c r="GWD6" s="37"/>
      <c r="GWE6" s="37"/>
      <c r="GWK6" s="2"/>
      <c r="GWL6" s="29"/>
      <c r="GWR6" s="10"/>
      <c r="GWS6" s="36"/>
      <c r="GWT6" s="37"/>
      <c r="GWU6" s="37"/>
      <c r="GXA6" s="2"/>
      <c r="GXB6" s="29"/>
      <c r="GXH6" s="10"/>
      <c r="GXI6" s="36"/>
      <c r="GXJ6" s="37"/>
      <c r="GXK6" s="37"/>
      <c r="GXQ6" s="2"/>
      <c r="GXR6" s="29"/>
      <c r="GXX6" s="10"/>
      <c r="GXY6" s="36"/>
      <c r="GXZ6" s="37"/>
      <c r="GYA6" s="37"/>
      <c r="GYG6" s="2"/>
      <c r="GYH6" s="29"/>
      <c r="GYN6" s="10"/>
      <c r="GYO6" s="36"/>
      <c r="GYP6" s="37"/>
      <c r="GYQ6" s="37"/>
      <c r="GYW6" s="2"/>
      <c r="GYX6" s="29"/>
      <c r="GZD6" s="10"/>
      <c r="GZE6" s="36"/>
      <c r="GZF6" s="37"/>
      <c r="GZG6" s="37"/>
      <c r="GZM6" s="2"/>
      <c r="GZN6" s="29"/>
      <c r="GZT6" s="10"/>
      <c r="GZU6" s="36"/>
      <c r="GZV6" s="37"/>
      <c r="GZW6" s="37"/>
      <c r="HAC6" s="2"/>
      <c r="HAD6" s="29"/>
      <c r="HAJ6" s="10"/>
      <c r="HAK6" s="36"/>
      <c r="HAL6" s="37"/>
      <c r="HAM6" s="37"/>
      <c r="HAS6" s="2"/>
      <c r="HAT6" s="29"/>
      <c r="HAZ6" s="10"/>
      <c r="HBA6" s="36"/>
      <c r="HBB6" s="37"/>
      <c r="HBC6" s="37"/>
      <c r="HBI6" s="2"/>
      <c r="HBJ6" s="29"/>
      <c r="HBP6" s="10"/>
      <c r="HBQ6" s="36"/>
      <c r="HBR6" s="37"/>
      <c r="HBS6" s="37"/>
      <c r="HBY6" s="2"/>
      <c r="HBZ6" s="29"/>
      <c r="HCF6" s="10"/>
      <c r="HCG6" s="36"/>
      <c r="HCH6" s="37"/>
      <c r="HCI6" s="37"/>
      <c r="HCO6" s="2"/>
      <c r="HCP6" s="29"/>
      <c r="HCV6" s="10"/>
      <c r="HCW6" s="36"/>
      <c r="HCX6" s="37"/>
      <c r="HCY6" s="37"/>
      <c r="HDE6" s="2"/>
      <c r="HDF6" s="29"/>
      <c r="HDL6" s="10"/>
      <c r="HDM6" s="36"/>
      <c r="HDN6" s="37"/>
      <c r="HDO6" s="37"/>
      <c r="HDU6" s="2"/>
      <c r="HDV6" s="29"/>
      <c r="HEB6" s="10"/>
      <c r="HEC6" s="36"/>
      <c r="HED6" s="37"/>
      <c r="HEE6" s="37"/>
      <c r="HEK6" s="2"/>
      <c r="HEL6" s="29"/>
      <c r="HER6" s="10"/>
      <c r="HES6" s="36"/>
      <c r="HET6" s="37"/>
      <c r="HEU6" s="37"/>
      <c r="HFA6" s="2"/>
      <c r="HFB6" s="29"/>
      <c r="HFH6" s="10"/>
      <c r="HFI6" s="36"/>
      <c r="HFJ6" s="37"/>
      <c r="HFK6" s="37"/>
      <c r="HFQ6" s="2"/>
      <c r="HFR6" s="29"/>
      <c r="HFX6" s="10"/>
      <c r="HFY6" s="36"/>
      <c r="HFZ6" s="37"/>
      <c r="HGA6" s="37"/>
      <c r="HGG6" s="2"/>
      <c r="HGH6" s="29"/>
      <c r="HGN6" s="10"/>
      <c r="HGO6" s="36"/>
      <c r="HGP6" s="37"/>
      <c r="HGQ6" s="37"/>
      <c r="HGW6" s="2"/>
      <c r="HGX6" s="29"/>
      <c r="HHD6" s="10"/>
      <c r="HHE6" s="36"/>
      <c r="HHF6" s="37"/>
      <c r="HHG6" s="37"/>
      <c r="HHM6" s="2"/>
      <c r="HHN6" s="29"/>
      <c r="HHT6" s="10"/>
      <c r="HHU6" s="36"/>
      <c r="HHV6" s="37"/>
      <c r="HHW6" s="37"/>
      <c r="HIC6" s="2"/>
      <c r="HID6" s="29"/>
      <c r="HIJ6" s="10"/>
      <c r="HIK6" s="36"/>
      <c r="HIL6" s="37"/>
      <c r="HIM6" s="37"/>
      <c r="HIS6" s="2"/>
      <c r="HIT6" s="29"/>
      <c r="HIZ6" s="10"/>
      <c r="HJA6" s="36"/>
      <c r="HJB6" s="37"/>
      <c r="HJC6" s="37"/>
      <c r="HJI6" s="2"/>
      <c r="HJJ6" s="29"/>
      <c r="HJP6" s="10"/>
      <c r="HJQ6" s="36"/>
      <c r="HJR6" s="37"/>
      <c r="HJS6" s="37"/>
      <c r="HJY6" s="2"/>
      <c r="HJZ6" s="29"/>
      <c r="HKF6" s="10"/>
      <c r="HKG6" s="36"/>
      <c r="HKH6" s="37"/>
      <c r="HKI6" s="37"/>
      <c r="HKO6" s="2"/>
      <c r="HKP6" s="29"/>
      <c r="HKV6" s="10"/>
      <c r="HKW6" s="36"/>
      <c r="HKX6" s="37"/>
      <c r="HKY6" s="37"/>
      <c r="HLE6" s="2"/>
      <c r="HLF6" s="29"/>
      <c r="HLL6" s="10"/>
      <c r="HLM6" s="36"/>
      <c r="HLN6" s="37"/>
      <c r="HLO6" s="37"/>
      <c r="HLU6" s="2"/>
      <c r="HLV6" s="29"/>
      <c r="HMB6" s="10"/>
      <c r="HMC6" s="36"/>
      <c r="HMD6" s="37"/>
      <c r="HME6" s="37"/>
      <c r="HMK6" s="2"/>
      <c r="HML6" s="29"/>
      <c r="HMR6" s="10"/>
      <c r="HMS6" s="36"/>
      <c r="HMT6" s="37"/>
      <c r="HMU6" s="37"/>
      <c r="HNA6" s="2"/>
      <c r="HNB6" s="29"/>
      <c r="HNH6" s="10"/>
      <c r="HNI6" s="36"/>
      <c r="HNJ6" s="37"/>
      <c r="HNK6" s="37"/>
      <c r="HNQ6" s="2"/>
      <c r="HNR6" s="29"/>
      <c r="HNX6" s="10"/>
      <c r="HNY6" s="36"/>
      <c r="HNZ6" s="37"/>
      <c r="HOA6" s="37"/>
      <c r="HOG6" s="2"/>
      <c r="HOH6" s="29"/>
      <c r="HON6" s="10"/>
      <c r="HOO6" s="36"/>
      <c r="HOP6" s="37"/>
      <c r="HOQ6" s="37"/>
      <c r="HOW6" s="2"/>
      <c r="HOX6" s="29"/>
      <c r="HPD6" s="10"/>
      <c r="HPE6" s="36"/>
      <c r="HPF6" s="37"/>
      <c r="HPG6" s="37"/>
      <c r="HPM6" s="2"/>
      <c r="HPN6" s="29"/>
      <c r="HPT6" s="10"/>
      <c r="HPU6" s="36"/>
      <c r="HPV6" s="37"/>
      <c r="HPW6" s="37"/>
      <c r="HQC6" s="2"/>
      <c r="HQD6" s="29"/>
      <c r="HQJ6" s="10"/>
      <c r="HQK6" s="36"/>
      <c r="HQL6" s="37"/>
      <c r="HQM6" s="37"/>
      <c r="HQS6" s="2"/>
      <c r="HQT6" s="29"/>
      <c r="HQZ6" s="10"/>
      <c r="HRA6" s="36"/>
      <c r="HRB6" s="37"/>
      <c r="HRC6" s="37"/>
      <c r="HRI6" s="2"/>
      <c r="HRJ6" s="29"/>
      <c r="HRP6" s="10"/>
      <c r="HRQ6" s="36"/>
      <c r="HRR6" s="37"/>
      <c r="HRS6" s="37"/>
      <c r="HRY6" s="2"/>
      <c r="HRZ6" s="29"/>
      <c r="HSF6" s="10"/>
      <c r="HSG6" s="36"/>
      <c r="HSH6" s="37"/>
      <c r="HSI6" s="37"/>
      <c r="HSO6" s="2"/>
      <c r="HSP6" s="29"/>
      <c r="HSV6" s="10"/>
      <c r="HSW6" s="36"/>
      <c r="HSX6" s="37"/>
      <c r="HSY6" s="37"/>
      <c r="HTE6" s="2"/>
      <c r="HTF6" s="29"/>
      <c r="HTL6" s="10"/>
      <c r="HTM6" s="36"/>
      <c r="HTN6" s="37"/>
      <c r="HTO6" s="37"/>
      <c r="HTU6" s="2"/>
      <c r="HTV6" s="29"/>
      <c r="HUB6" s="10"/>
      <c r="HUC6" s="36"/>
      <c r="HUD6" s="37"/>
      <c r="HUE6" s="37"/>
      <c r="HUK6" s="2"/>
      <c r="HUL6" s="29"/>
      <c r="HUR6" s="10"/>
      <c r="HUS6" s="36"/>
      <c r="HUT6" s="37"/>
      <c r="HUU6" s="37"/>
      <c r="HVA6" s="2"/>
      <c r="HVB6" s="29"/>
      <c r="HVH6" s="10"/>
      <c r="HVI6" s="36"/>
      <c r="HVJ6" s="37"/>
      <c r="HVK6" s="37"/>
      <c r="HVQ6" s="2"/>
      <c r="HVR6" s="29"/>
      <c r="HVX6" s="10"/>
      <c r="HVY6" s="36"/>
      <c r="HVZ6" s="37"/>
      <c r="HWA6" s="37"/>
      <c r="HWG6" s="2"/>
      <c r="HWH6" s="29"/>
      <c r="HWN6" s="10"/>
      <c r="HWO6" s="36"/>
      <c r="HWP6" s="37"/>
      <c r="HWQ6" s="37"/>
      <c r="HWW6" s="2"/>
      <c r="HWX6" s="29"/>
      <c r="HXD6" s="10"/>
      <c r="HXE6" s="36"/>
      <c r="HXF6" s="37"/>
      <c r="HXG6" s="37"/>
      <c r="HXM6" s="2"/>
      <c r="HXN6" s="29"/>
      <c r="HXT6" s="10"/>
      <c r="HXU6" s="36"/>
      <c r="HXV6" s="37"/>
      <c r="HXW6" s="37"/>
      <c r="HYC6" s="2"/>
      <c r="HYD6" s="29"/>
      <c r="HYJ6" s="10"/>
      <c r="HYK6" s="36"/>
      <c r="HYL6" s="37"/>
      <c r="HYM6" s="37"/>
      <c r="HYS6" s="2"/>
      <c r="HYT6" s="29"/>
      <c r="HYZ6" s="10"/>
      <c r="HZA6" s="36"/>
      <c r="HZB6" s="37"/>
      <c r="HZC6" s="37"/>
      <c r="HZI6" s="2"/>
      <c r="HZJ6" s="29"/>
      <c r="HZP6" s="10"/>
      <c r="HZQ6" s="36"/>
      <c r="HZR6" s="37"/>
      <c r="HZS6" s="37"/>
      <c r="HZY6" s="2"/>
      <c r="HZZ6" s="29"/>
      <c r="IAF6" s="10"/>
      <c r="IAG6" s="36"/>
      <c r="IAH6" s="37"/>
      <c r="IAI6" s="37"/>
      <c r="IAO6" s="2"/>
      <c r="IAP6" s="29"/>
      <c r="IAV6" s="10"/>
      <c r="IAW6" s="36"/>
      <c r="IAX6" s="37"/>
      <c r="IAY6" s="37"/>
      <c r="IBE6" s="2"/>
      <c r="IBF6" s="29"/>
      <c r="IBL6" s="10"/>
      <c r="IBM6" s="36"/>
      <c r="IBN6" s="37"/>
      <c r="IBO6" s="37"/>
      <c r="IBU6" s="2"/>
      <c r="IBV6" s="29"/>
      <c r="ICB6" s="10"/>
      <c r="ICC6" s="36"/>
      <c r="ICD6" s="37"/>
      <c r="ICE6" s="37"/>
      <c r="ICK6" s="2"/>
      <c r="ICL6" s="29"/>
      <c r="ICR6" s="10"/>
      <c r="ICS6" s="36"/>
      <c r="ICT6" s="37"/>
      <c r="ICU6" s="37"/>
      <c r="IDA6" s="2"/>
      <c r="IDB6" s="29"/>
      <c r="IDH6" s="10"/>
      <c r="IDI6" s="36"/>
      <c r="IDJ6" s="37"/>
      <c r="IDK6" s="37"/>
      <c r="IDQ6" s="2"/>
      <c r="IDR6" s="29"/>
      <c r="IDX6" s="10"/>
      <c r="IDY6" s="36"/>
      <c r="IDZ6" s="37"/>
      <c r="IEA6" s="37"/>
      <c r="IEG6" s="2"/>
      <c r="IEH6" s="29"/>
      <c r="IEN6" s="10"/>
      <c r="IEO6" s="36"/>
      <c r="IEP6" s="37"/>
      <c r="IEQ6" s="37"/>
      <c r="IEW6" s="2"/>
      <c r="IEX6" s="29"/>
      <c r="IFD6" s="10"/>
      <c r="IFE6" s="36"/>
      <c r="IFF6" s="37"/>
      <c r="IFG6" s="37"/>
      <c r="IFM6" s="2"/>
      <c r="IFN6" s="29"/>
      <c r="IFT6" s="10"/>
      <c r="IFU6" s="36"/>
      <c r="IFV6" s="37"/>
      <c r="IFW6" s="37"/>
      <c r="IGC6" s="2"/>
      <c r="IGD6" s="29"/>
      <c r="IGJ6" s="10"/>
      <c r="IGK6" s="36"/>
      <c r="IGL6" s="37"/>
      <c r="IGM6" s="37"/>
      <c r="IGS6" s="2"/>
      <c r="IGT6" s="29"/>
      <c r="IGZ6" s="10"/>
      <c r="IHA6" s="36"/>
      <c r="IHB6" s="37"/>
      <c r="IHC6" s="37"/>
      <c r="IHI6" s="2"/>
      <c r="IHJ6" s="29"/>
      <c r="IHP6" s="10"/>
      <c r="IHQ6" s="36"/>
      <c r="IHR6" s="37"/>
      <c r="IHS6" s="37"/>
      <c r="IHY6" s="2"/>
      <c r="IHZ6" s="29"/>
      <c r="IIF6" s="10"/>
      <c r="IIG6" s="36"/>
      <c r="IIH6" s="37"/>
      <c r="III6" s="37"/>
      <c r="IIO6" s="2"/>
      <c r="IIP6" s="29"/>
      <c r="IIV6" s="10"/>
      <c r="IIW6" s="36"/>
      <c r="IIX6" s="37"/>
      <c r="IIY6" s="37"/>
      <c r="IJE6" s="2"/>
      <c r="IJF6" s="29"/>
      <c r="IJL6" s="10"/>
      <c r="IJM6" s="36"/>
      <c r="IJN6" s="37"/>
      <c r="IJO6" s="37"/>
      <c r="IJU6" s="2"/>
      <c r="IJV6" s="29"/>
      <c r="IKB6" s="10"/>
      <c r="IKC6" s="36"/>
      <c r="IKD6" s="37"/>
      <c r="IKE6" s="37"/>
      <c r="IKK6" s="2"/>
      <c r="IKL6" s="29"/>
      <c r="IKR6" s="10"/>
      <c r="IKS6" s="36"/>
      <c r="IKT6" s="37"/>
      <c r="IKU6" s="37"/>
      <c r="ILA6" s="2"/>
      <c r="ILB6" s="29"/>
      <c r="ILH6" s="10"/>
      <c r="ILI6" s="36"/>
      <c r="ILJ6" s="37"/>
      <c r="ILK6" s="37"/>
      <c r="ILQ6" s="2"/>
      <c r="ILR6" s="29"/>
      <c r="ILX6" s="10"/>
      <c r="ILY6" s="36"/>
      <c r="ILZ6" s="37"/>
      <c r="IMA6" s="37"/>
      <c r="IMG6" s="2"/>
      <c r="IMH6" s="29"/>
      <c r="IMN6" s="10"/>
      <c r="IMO6" s="36"/>
      <c r="IMP6" s="37"/>
      <c r="IMQ6" s="37"/>
      <c r="IMW6" s="2"/>
      <c r="IMX6" s="29"/>
      <c r="IND6" s="10"/>
      <c r="INE6" s="36"/>
      <c r="INF6" s="37"/>
      <c r="ING6" s="37"/>
      <c r="INM6" s="2"/>
      <c r="INN6" s="29"/>
      <c r="INT6" s="10"/>
      <c r="INU6" s="36"/>
      <c r="INV6" s="37"/>
      <c r="INW6" s="37"/>
      <c r="IOC6" s="2"/>
      <c r="IOD6" s="29"/>
      <c r="IOJ6" s="10"/>
      <c r="IOK6" s="36"/>
      <c r="IOL6" s="37"/>
      <c r="IOM6" s="37"/>
      <c r="IOS6" s="2"/>
      <c r="IOT6" s="29"/>
      <c r="IOZ6" s="10"/>
      <c r="IPA6" s="36"/>
      <c r="IPB6" s="37"/>
      <c r="IPC6" s="37"/>
      <c r="IPI6" s="2"/>
      <c r="IPJ6" s="29"/>
      <c r="IPP6" s="10"/>
      <c r="IPQ6" s="36"/>
      <c r="IPR6" s="37"/>
      <c r="IPS6" s="37"/>
      <c r="IPY6" s="2"/>
      <c r="IPZ6" s="29"/>
      <c r="IQF6" s="10"/>
      <c r="IQG6" s="36"/>
      <c r="IQH6" s="37"/>
      <c r="IQI6" s="37"/>
      <c r="IQO6" s="2"/>
      <c r="IQP6" s="29"/>
      <c r="IQV6" s="10"/>
      <c r="IQW6" s="36"/>
      <c r="IQX6" s="37"/>
      <c r="IQY6" s="37"/>
      <c r="IRE6" s="2"/>
      <c r="IRF6" s="29"/>
      <c r="IRL6" s="10"/>
      <c r="IRM6" s="36"/>
      <c r="IRN6" s="37"/>
      <c r="IRO6" s="37"/>
      <c r="IRU6" s="2"/>
      <c r="IRV6" s="29"/>
      <c r="ISB6" s="10"/>
      <c r="ISC6" s="36"/>
      <c r="ISD6" s="37"/>
      <c r="ISE6" s="37"/>
      <c r="ISK6" s="2"/>
      <c r="ISL6" s="29"/>
      <c r="ISR6" s="10"/>
      <c r="ISS6" s="36"/>
      <c r="IST6" s="37"/>
      <c r="ISU6" s="37"/>
      <c r="ITA6" s="2"/>
      <c r="ITB6" s="29"/>
      <c r="ITH6" s="10"/>
      <c r="ITI6" s="36"/>
      <c r="ITJ6" s="37"/>
      <c r="ITK6" s="37"/>
      <c r="ITQ6" s="2"/>
      <c r="ITR6" s="29"/>
      <c r="ITX6" s="10"/>
      <c r="ITY6" s="36"/>
      <c r="ITZ6" s="37"/>
      <c r="IUA6" s="37"/>
      <c r="IUG6" s="2"/>
      <c r="IUH6" s="29"/>
      <c r="IUN6" s="10"/>
      <c r="IUO6" s="36"/>
      <c r="IUP6" s="37"/>
      <c r="IUQ6" s="37"/>
      <c r="IUW6" s="2"/>
      <c r="IUX6" s="29"/>
      <c r="IVD6" s="10"/>
      <c r="IVE6" s="36"/>
      <c r="IVF6" s="37"/>
      <c r="IVG6" s="37"/>
      <c r="IVM6" s="2"/>
      <c r="IVN6" s="29"/>
      <c r="IVT6" s="10"/>
      <c r="IVU6" s="36"/>
      <c r="IVV6" s="37"/>
      <c r="IVW6" s="37"/>
      <c r="IWC6" s="2"/>
      <c r="IWD6" s="29"/>
      <c r="IWJ6" s="10"/>
      <c r="IWK6" s="36"/>
      <c r="IWL6" s="37"/>
      <c r="IWM6" s="37"/>
      <c r="IWS6" s="2"/>
      <c r="IWT6" s="29"/>
      <c r="IWZ6" s="10"/>
      <c r="IXA6" s="36"/>
      <c r="IXB6" s="37"/>
      <c r="IXC6" s="37"/>
      <c r="IXI6" s="2"/>
      <c r="IXJ6" s="29"/>
      <c r="IXP6" s="10"/>
      <c r="IXQ6" s="36"/>
      <c r="IXR6" s="37"/>
      <c r="IXS6" s="37"/>
      <c r="IXY6" s="2"/>
      <c r="IXZ6" s="29"/>
      <c r="IYF6" s="10"/>
      <c r="IYG6" s="36"/>
      <c r="IYH6" s="37"/>
      <c r="IYI6" s="37"/>
      <c r="IYO6" s="2"/>
      <c r="IYP6" s="29"/>
      <c r="IYV6" s="10"/>
      <c r="IYW6" s="36"/>
      <c r="IYX6" s="37"/>
      <c r="IYY6" s="37"/>
      <c r="IZE6" s="2"/>
      <c r="IZF6" s="29"/>
      <c r="IZL6" s="10"/>
      <c r="IZM6" s="36"/>
      <c r="IZN6" s="37"/>
      <c r="IZO6" s="37"/>
      <c r="IZU6" s="2"/>
      <c r="IZV6" s="29"/>
      <c r="JAB6" s="10"/>
      <c r="JAC6" s="36"/>
      <c r="JAD6" s="37"/>
      <c r="JAE6" s="37"/>
      <c r="JAK6" s="2"/>
      <c r="JAL6" s="29"/>
      <c r="JAR6" s="10"/>
      <c r="JAS6" s="36"/>
      <c r="JAT6" s="37"/>
      <c r="JAU6" s="37"/>
      <c r="JBA6" s="2"/>
      <c r="JBB6" s="29"/>
      <c r="JBH6" s="10"/>
      <c r="JBI6" s="36"/>
      <c r="JBJ6" s="37"/>
      <c r="JBK6" s="37"/>
      <c r="JBQ6" s="2"/>
      <c r="JBR6" s="29"/>
      <c r="JBX6" s="10"/>
      <c r="JBY6" s="36"/>
      <c r="JBZ6" s="37"/>
      <c r="JCA6" s="37"/>
      <c r="JCG6" s="2"/>
      <c r="JCH6" s="29"/>
      <c r="JCN6" s="10"/>
      <c r="JCO6" s="36"/>
      <c r="JCP6" s="37"/>
      <c r="JCQ6" s="37"/>
      <c r="JCW6" s="2"/>
      <c r="JCX6" s="29"/>
      <c r="JDD6" s="10"/>
      <c r="JDE6" s="36"/>
      <c r="JDF6" s="37"/>
      <c r="JDG6" s="37"/>
      <c r="JDM6" s="2"/>
      <c r="JDN6" s="29"/>
      <c r="JDT6" s="10"/>
      <c r="JDU6" s="36"/>
      <c r="JDV6" s="37"/>
      <c r="JDW6" s="37"/>
      <c r="JEC6" s="2"/>
      <c r="JED6" s="29"/>
      <c r="JEJ6" s="10"/>
      <c r="JEK6" s="36"/>
      <c r="JEL6" s="37"/>
      <c r="JEM6" s="37"/>
      <c r="JES6" s="2"/>
      <c r="JET6" s="29"/>
      <c r="JEZ6" s="10"/>
      <c r="JFA6" s="36"/>
      <c r="JFB6" s="37"/>
      <c r="JFC6" s="37"/>
      <c r="JFI6" s="2"/>
      <c r="JFJ6" s="29"/>
      <c r="JFP6" s="10"/>
      <c r="JFQ6" s="36"/>
      <c r="JFR6" s="37"/>
      <c r="JFS6" s="37"/>
      <c r="JFY6" s="2"/>
      <c r="JFZ6" s="29"/>
      <c r="JGF6" s="10"/>
      <c r="JGG6" s="36"/>
      <c r="JGH6" s="37"/>
      <c r="JGI6" s="37"/>
      <c r="JGO6" s="2"/>
      <c r="JGP6" s="29"/>
      <c r="JGV6" s="10"/>
      <c r="JGW6" s="36"/>
      <c r="JGX6" s="37"/>
      <c r="JGY6" s="37"/>
      <c r="JHE6" s="2"/>
      <c r="JHF6" s="29"/>
      <c r="JHL6" s="10"/>
      <c r="JHM6" s="36"/>
      <c r="JHN6" s="37"/>
      <c r="JHO6" s="37"/>
      <c r="JHU6" s="2"/>
      <c r="JHV6" s="29"/>
      <c r="JIB6" s="10"/>
      <c r="JIC6" s="36"/>
      <c r="JID6" s="37"/>
      <c r="JIE6" s="37"/>
      <c r="JIK6" s="2"/>
      <c r="JIL6" s="29"/>
      <c r="JIR6" s="10"/>
      <c r="JIS6" s="36"/>
      <c r="JIT6" s="37"/>
      <c r="JIU6" s="37"/>
      <c r="JJA6" s="2"/>
      <c r="JJB6" s="29"/>
      <c r="JJH6" s="10"/>
      <c r="JJI6" s="36"/>
      <c r="JJJ6" s="37"/>
      <c r="JJK6" s="37"/>
      <c r="JJQ6" s="2"/>
      <c r="JJR6" s="29"/>
      <c r="JJX6" s="10"/>
      <c r="JJY6" s="36"/>
      <c r="JJZ6" s="37"/>
      <c r="JKA6" s="37"/>
      <c r="JKG6" s="2"/>
      <c r="JKH6" s="29"/>
      <c r="JKN6" s="10"/>
      <c r="JKO6" s="36"/>
      <c r="JKP6" s="37"/>
      <c r="JKQ6" s="37"/>
      <c r="JKW6" s="2"/>
      <c r="JKX6" s="29"/>
      <c r="JLD6" s="10"/>
      <c r="JLE6" s="36"/>
      <c r="JLF6" s="37"/>
      <c r="JLG6" s="37"/>
      <c r="JLM6" s="2"/>
      <c r="JLN6" s="29"/>
      <c r="JLT6" s="10"/>
      <c r="JLU6" s="36"/>
      <c r="JLV6" s="37"/>
      <c r="JLW6" s="37"/>
      <c r="JMC6" s="2"/>
      <c r="JMD6" s="29"/>
      <c r="JMJ6" s="10"/>
      <c r="JMK6" s="36"/>
      <c r="JML6" s="37"/>
      <c r="JMM6" s="37"/>
      <c r="JMS6" s="2"/>
      <c r="JMT6" s="29"/>
      <c r="JMZ6" s="10"/>
      <c r="JNA6" s="36"/>
      <c r="JNB6" s="37"/>
      <c r="JNC6" s="37"/>
      <c r="JNI6" s="2"/>
      <c r="JNJ6" s="29"/>
      <c r="JNP6" s="10"/>
      <c r="JNQ6" s="36"/>
      <c r="JNR6" s="37"/>
      <c r="JNS6" s="37"/>
      <c r="JNY6" s="2"/>
      <c r="JNZ6" s="29"/>
      <c r="JOF6" s="10"/>
      <c r="JOG6" s="36"/>
      <c r="JOH6" s="37"/>
      <c r="JOI6" s="37"/>
      <c r="JOO6" s="2"/>
      <c r="JOP6" s="29"/>
      <c r="JOV6" s="10"/>
      <c r="JOW6" s="36"/>
      <c r="JOX6" s="37"/>
      <c r="JOY6" s="37"/>
      <c r="JPE6" s="2"/>
      <c r="JPF6" s="29"/>
      <c r="JPL6" s="10"/>
      <c r="JPM6" s="36"/>
      <c r="JPN6" s="37"/>
      <c r="JPO6" s="37"/>
      <c r="JPU6" s="2"/>
      <c r="JPV6" s="29"/>
      <c r="JQB6" s="10"/>
      <c r="JQC6" s="36"/>
      <c r="JQD6" s="37"/>
      <c r="JQE6" s="37"/>
      <c r="JQK6" s="2"/>
      <c r="JQL6" s="29"/>
      <c r="JQR6" s="10"/>
      <c r="JQS6" s="36"/>
      <c r="JQT6" s="37"/>
      <c r="JQU6" s="37"/>
      <c r="JRA6" s="2"/>
      <c r="JRB6" s="29"/>
      <c r="JRH6" s="10"/>
      <c r="JRI6" s="36"/>
      <c r="JRJ6" s="37"/>
      <c r="JRK6" s="37"/>
      <c r="JRQ6" s="2"/>
      <c r="JRR6" s="29"/>
      <c r="JRX6" s="10"/>
      <c r="JRY6" s="36"/>
      <c r="JRZ6" s="37"/>
      <c r="JSA6" s="37"/>
      <c r="JSG6" s="2"/>
      <c r="JSH6" s="29"/>
      <c r="JSN6" s="10"/>
      <c r="JSO6" s="36"/>
      <c r="JSP6" s="37"/>
      <c r="JSQ6" s="37"/>
      <c r="JSW6" s="2"/>
      <c r="JSX6" s="29"/>
      <c r="JTD6" s="10"/>
      <c r="JTE6" s="36"/>
      <c r="JTF6" s="37"/>
      <c r="JTG6" s="37"/>
      <c r="JTM6" s="2"/>
      <c r="JTN6" s="29"/>
      <c r="JTT6" s="10"/>
      <c r="JTU6" s="36"/>
      <c r="JTV6" s="37"/>
      <c r="JTW6" s="37"/>
      <c r="JUC6" s="2"/>
      <c r="JUD6" s="29"/>
      <c r="JUJ6" s="10"/>
      <c r="JUK6" s="36"/>
      <c r="JUL6" s="37"/>
      <c r="JUM6" s="37"/>
      <c r="JUS6" s="2"/>
      <c r="JUT6" s="29"/>
      <c r="JUZ6" s="10"/>
      <c r="JVA6" s="36"/>
      <c r="JVB6" s="37"/>
      <c r="JVC6" s="37"/>
      <c r="JVI6" s="2"/>
      <c r="JVJ6" s="29"/>
      <c r="JVP6" s="10"/>
      <c r="JVQ6" s="36"/>
      <c r="JVR6" s="37"/>
      <c r="JVS6" s="37"/>
      <c r="JVY6" s="2"/>
      <c r="JVZ6" s="29"/>
      <c r="JWF6" s="10"/>
      <c r="JWG6" s="36"/>
      <c r="JWH6" s="37"/>
      <c r="JWI6" s="37"/>
      <c r="JWO6" s="2"/>
      <c r="JWP6" s="29"/>
      <c r="JWV6" s="10"/>
      <c r="JWW6" s="36"/>
      <c r="JWX6" s="37"/>
      <c r="JWY6" s="37"/>
      <c r="JXE6" s="2"/>
      <c r="JXF6" s="29"/>
      <c r="JXL6" s="10"/>
      <c r="JXM6" s="36"/>
      <c r="JXN6" s="37"/>
      <c r="JXO6" s="37"/>
      <c r="JXU6" s="2"/>
      <c r="JXV6" s="29"/>
      <c r="JYB6" s="10"/>
      <c r="JYC6" s="36"/>
      <c r="JYD6" s="37"/>
      <c r="JYE6" s="37"/>
      <c r="JYK6" s="2"/>
      <c r="JYL6" s="29"/>
      <c r="JYR6" s="10"/>
      <c r="JYS6" s="36"/>
      <c r="JYT6" s="37"/>
      <c r="JYU6" s="37"/>
      <c r="JZA6" s="2"/>
      <c r="JZB6" s="29"/>
      <c r="JZH6" s="10"/>
      <c r="JZI6" s="36"/>
      <c r="JZJ6" s="37"/>
      <c r="JZK6" s="37"/>
      <c r="JZQ6" s="2"/>
      <c r="JZR6" s="29"/>
      <c r="JZX6" s="10"/>
      <c r="JZY6" s="36"/>
      <c r="JZZ6" s="37"/>
      <c r="KAA6" s="37"/>
      <c r="KAG6" s="2"/>
      <c r="KAH6" s="29"/>
      <c r="KAN6" s="10"/>
      <c r="KAO6" s="36"/>
      <c r="KAP6" s="37"/>
      <c r="KAQ6" s="37"/>
      <c r="KAW6" s="2"/>
      <c r="KAX6" s="29"/>
      <c r="KBD6" s="10"/>
      <c r="KBE6" s="36"/>
      <c r="KBF6" s="37"/>
      <c r="KBG6" s="37"/>
      <c r="KBM6" s="2"/>
      <c r="KBN6" s="29"/>
      <c r="KBT6" s="10"/>
      <c r="KBU6" s="36"/>
      <c r="KBV6" s="37"/>
      <c r="KBW6" s="37"/>
      <c r="KCC6" s="2"/>
      <c r="KCD6" s="29"/>
      <c r="KCJ6" s="10"/>
      <c r="KCK6" s="36"/>
      <c r="KCL6" s="37"/>
      <c r="KCM6" s="37"/>
      <c r="KCS6" s="2"/>
      <c r="KCT6" s="29"/>
      <c r="KCZ6" s="10"/>
      <c r="KDA6" s="36"/>
      <c r="KDB6" s="37"/>
      <c r="KDC6" s="37"/>
      <c r="KDI6" s="2"/>
      <c r="KDJ6" s="29"/>
      <c r="KDP6" s="10"/>
      <c r="KDQ6" s="36"/>
      <c r="KDR6" s="37"/>
      <c r="KDS6" s="37"/>
      <c r="KDY6" s="2"/>
      <c r="KDZ6" s="29"/>
      <c r="KEF6" s="10"/>
      <c r="KEG6" s="36"/>
      <c r="KEH6" s="37"/>
      <c r="KEI6" s="37"/>
      <c r="KEO6" s="2"/>
      <c r="KEP6" s="29"/>
      <c r="KEV6" s="10"/>
      <c r="KEW6" s="36"/>
      <c r="KEX6" s="37"/>
      <c r="KEY6" s="37"/>
      <c r="KFE6" s="2"/>
      <c r="KFF6" s="29"/>
      <c r="KFL6" s="10"/>
      <c r="KFM6" s="36"/>
      <c r="KFN6" s="37"/>
      <c r="KFO6" s="37"/>
      <c r="KFU6" s="2"/>
      <c r="KFV6" s="29"/>
      <c r="KGB6" s="10"/>
      <c r="KGC6" s="36"/>
      <c r="KGD6" s="37"/>
      <c r="KGE6" s="37"/>
      <c r="KGK6" s="2"/>
      <c r="KGL6" s="29"/>
      <c r="KGR6" s="10"/>
      <c r="KGS6" s="36"/>
      <c r="KGT6" s="37"/>
      <c r="KGU6" s="37"/>
      <c r="KHA6" s="2"/>
      <c r="KHB6" s="29"/>
      <c r="KHH6" s="10"/>
      <c r="KHI6" s="36"/>
      <c r="KHJ6" s="37"/>
      <c r="KHK6" s="37"/>
      <c r="KHQ6" s="2"/>
      <c r="KHR6" s="29"/>
      <c r="KHX6" s="10"/>
      <c r="KHY6" s="36"/>
      <c r="KHZ6" s="37"/>
      <c r="KIA6" s="37"/>
      <c r="KIG6" s="2"/>
      <c r="KIH6" s="29"/>
      <c r="KIN6" s="10"/>
      <c r="KIO6" s="36"/>
      <c r="KIP6" s="37"/>
      <c r="KIQ6" s="37"/>
      <c r="KIW6" s="2"/>
      <c r="KIX6" s="29"/>
      <c r="KJD6" s="10"/>
      <c r="KJE6" s="36"/>
      <c r="KJF6" s="37"/>
      <c r="KJG6" s="37"/>
      <c r="KJM6" s="2"/>
      <c r="KJN6" s="29"/>
      <c r="KJT6" s="10"/>
      <c r="KJU6" s="36"/>
      <c r="KJV6" s="37"/>
      <c r="KJW6" s="37"/>
      <c r="KKC6" s="2"/>
      <c r="KKD6" s="29"/>
      <c r="KKJ6" s="10"/>
      <c r="KKK6" s="36"/>
      <c r="KKL6" s="37"/>
      <c r="KKM6" s="37"/>
      <c r="KKS6" s="2"/>
      <c r="KKT6" s="29"/>
      <c r="KKZ6" s="10"/>
      <c r="KLA6" s="36"/>
      <c r="KLB6" s="37"/>
      <c r="KLC6" s="37"/>
      <c r="KLI6" s="2"/>
      <c r="KLJ6" s="29"/>
      <c r="KLP6" s="10"/>
      <c r="KLQ6" s="36"/>
      <c r="KLR6" s="37"/>
      <c r="KLS6" s="37"/>
      <c r="KLY6" s="2"/>
      <c r="KLZ6" s="29"/>
      <c r="KMF6" s="10"/>
      <c r="KMG6" s="36"/>
      <c r="KMH6" s="37"/>
      <c r="KMI6" s="37"/>
      <c r="KMO6" s="2"/>
      <c r="KMP6" s="29"/>
      <c r="KMV6" s="10"/>
      <c r="KMW6" s="36"/>
      <c r="KMX6" s="37"/>
      <c r="KMY6" s="37"/>
      <c r="KNE6" s="2"/>
      <c r="KNF6" s="29"/>
      <c r="KNL6" s="10"/>
      <c r="KNM6" s="36"/>
      <c r="KNN6" s="37"/>
      <c r="KNO6" s="37"/>
      <c r="KNU6" s="2"/>
      <c r="KNV6" s="29"/>
      <c r="KOB6" s="10"/>
      <c r="KOC6" s="36"/>
      <c r="KOD6" s="37"/>
      <c r="KOE6" s="37"/>
      <c r="KOK6" s="2"/>
      <c r="KOL6" s="29"/>
      <c r="KOR6" s="10"/>
      <c r="KOS6" s="36"/>
      <c r="KOT6" s="37"/>
      <c r="KOU6" s="37"/>
      <c r="KPA6" s="2"/>
      <c r="KPB6" s="29"/>
      <c r="KPH6" s="10"/>
      <c r="KPI6" s="36"/>
      <c r="KPJ6" s="37"/>
      <c r="KPK6" s="37"/>
      <c r="KPQ6" s="2"/>
      <c r="KPR6" s="29"/>
      <c r="KPX6" s="10"/>
      <c r="KPY6" s="36"/>
      <c r="KPZ6" s="37"/>
      <c r="KQA6" s="37"/>
      <c r="KQG6" s="2"/>
      <c r="KQH6" s="29"/>
      <c r="KQN6" s="10"/>
      <c r="KQO6" s="36"/>
      <c r="KQP6" s="37"/>
      <c r="KQQ6" s="37"/>
      <c r="KQW6" s="2"/>
      <c r="KQX6" s="29"/>
      <c r="KRD6" s="10"/>
      <c r="KRE6" s="36"/>
      <c r="KRF6" s="37"/>
      <c r="KRG6" s="37"/>
      <c r="KRM6" s="2"/>
      <c r="KRN6" s="29"/>
      <c r="KRT6" s="10"/>
      <c r="KRU6" s="36"/>
      <c r="KRV6" s="37"/>
      <c r="KRW6" s="37"/>
      <c r="KSC6" s="2"/>
      <c r="KSD6" s="29"/>
      <c r="KSJ6" s="10"/>
      <c r="KSK6" s="36"/>
      <c r="KSL6" s="37"/>
      <c r="KSM6" s="37"/>
      <c r="KSS6" s="2"/>
      <c r="KST6" s="29"/>
      <c r="KSZ6" s="10"/>
      <c r="KTA6" s="36"/>
      <c r="KTB6" s="37"/>
      <c r="KTC6" s="37"/>
      <c r="KTI6" s="2"/>
      <c r="KTJ6" s="29"/>
      <c r="KTP6" s="10"/>
      <c r="KTQ6" s="36"/>
      <c r="KTR6" s="37"/>
      <c r="KTS6" s="37"/>
      <c r="KTY6" s="2"/>
      <c r="KTZ6" s="29"/>
      <c r="KUF6" s="10"/>
      <c r="KUG6" s="36"/>
      <c r="KUH6" s="37"/>
      <c r="KUI6" s="37"/>
      <c r="KUO6" s="2"/>
      <c r="KUP6" s="29"/>
      <c r="KUV6" s="10"/>
      <c r="KUW6" s="36"/>
      <c r="KUX6" s="37"/>
      <c r="KUY6" s="37"/>
      <c r="KVE6" s="2"/>
      <c r="KVF6" s="29"/>
      <c r="KVL6" s="10"/>
      <c r="KVM6" s="36"/>
      <c r="KVN6" s="37"/>
      <c r="KVO6" s="37"/>
      <c r="KVU6" s="2"/>
      <c r="KVV6" s="29"/>
      <c r="KWB6" s="10"/>
      <c r="KWC6" s="36"/>
      <c r="KWD6" s="37"/>
      <c r="KWE6" s="37"/>
      <c r="KWK6" s="2"/>
      <c r="KWL6" s="29"/>
      <c r="KWR6" s="10"/>
      <c r="KWS6" s="36"/>
      <c r="KWT6" s="37"/>
      <c r="KWU6" s="37"/>
      <c r="KXA6" s="2"/>
      <c r="KXB6" s="29"/>
      <c r="KXH6" s="10"/>
      <c r="KXI6" s="36"/>
      <c r="KXJ6" s="37"/>
      <c r="KXK6" s="37"/>
      <c r="KXQ6" s="2"/>
      <c r="KXR6" s="29"/>
      <c r="KXX6" s="10"/>
      <c r="KXY6" s="36"/>
      <c r="KXZ6" s="37"/>
      <c r="KYA6" s="37"/>
      <c r="KYG6" s="2"/>
      <c r="KYH6" s="29"/>
      <c r="KYN6" s="10"/>
      <c r="KYO6" s="36"/>
      <c r="KYP6" s="37"/>
      <c r="KYQ6" s="37"/>
      <c r="KYW6" s="2"/>
      <c r="KYX6" s="29"/>
      <c r="KZD6" s="10"/>
      <c r="KZE6" s="36"/>
      <c r="KZF6" s="37"/>
      <c r="KZG6" s="37"/>
      <c r="KZM6" s="2"/>
      <c r="KZN6" s="29"/>
      <c r="KZT6" s="10"/>
      <c r="KZU6" s="36"/>
      <c r="KZV6" s="37"/>
      <c r="KZW6" s="37"/>
      <c r="LAC6" s="2"/>
      <c r="LAD6" s="29"/>
      <c r="LAJ6" s="10"/>
      <c r="LAK6" s="36"/>
      <c r="LAL6" s="37"/>
      <c r="LAM6" s="37"/>
      <c r="LAS6" s="2"/>
      <c r="LAT6" s="29"/>
      <c r="LAZ6" s="10"/>
      <c r="LBA6" s="36"/>
      <c r="LBB6" s="37"/>
      <c r="LBC6" s="37"/>
      <c r="LBI6" s="2"/>
      <c r="LBJ6" s="29"/>
      <c r="LBP6" s="10"/>
      <c r="LBQ6" s="36"/>
      <c r="LBR6" s="37"/>
      <c r="LBS6" s="37"/>
      <c r="LBY6" s="2"/>
      <c r="LBZ6" s="29"/>
      <c r="LCF6" s="10"/>
      <c r="LCG6" s="36"/>
      <c r="LCH6" s="37"/>
      <c r="LCI6" s="37"/>
      <c r="LCO6" s="2"/>
      <c r="LCP6" s="29"/>
      <c r="LCV6" s="10"/>
      <c r="LCW6" s="36"/>
      <c r="LCX6" s="37"/>
      <c r="LCY6" s="37"/>
      <c r="LDE6" s="2"/>
      <c r="LDF6" s="29"/>
      <c r="LDL6" s="10"/>
      <c r="LDM6" s="36"/>
      <c r="LDN6" s="37"/>
      <c r="LDO6" s="37"/>
      <c r="LDU6" s="2"/>
      <c r="LDV6" s="29"/>
      <c r="LEB6" s="10"/>
      <c r="LEC6" s="36"/>
      <c r="LED6" s="37"/>
      <c r="LEE6" s="37"/>
      <c r="LEK6" s="2"/>
      <c r="LEL6" s="29"/>
      <c r="LER6" s="10"/>
      <c r="LES6" s="36"/>
      <c r="LET6" s="37"/>
      <c r="LEU6" s="37"/>
      <c r="LFA6" s="2"/>
      <c r="LFB6" s="29"/>
      <c r="LFH6" s="10"/>
      <c r="LFI6" s="36"/>
      <c r="LFJ6" s="37"/>
      <c r="LFK6" s="37"/>
      <c r="LFQ6" s="2"/>
      <c r="LFR6" s="29"/>
      <c r="LFX6" s="10"/>
      <c r="LFY6" s="36"/>
      <c r="LFZ6" s="37"/>
      <c r="LGA6" s="37"/>
      <c r="LGG6" s="2"/>
      <c r="LGH6" s="29"/>
      <c r="LGN6" s="10"/>
      <c r="LGO6" s="36"/>
      <c r="LGP6" s="37"/>
      <c r="LGQ6" s="37"/>
      <c r="LGW6" s="2"/>
      <c r="LGX6" s="29"/>
      <c r="LHD6" s="10"/>
      <c r="LHE6" s="36"/>
      <c r="LHF6" s="37"/>
      <c r="LHG6" s="37"/>
      <c r="LHM6" s="2"/>
      <c r="LHN6" s="29"/>
      <c r="LHT6" s="10"/>
      <c r="LHU6" s="36"/>
      <c r="LHV6" s="37"/>
      <c r="LHW6" s="37"/>
      <c r="LIC6" s="2"/>
      <c r="LID6" s="29"/>
      <c r="LIJ6" s="10"/>
      <c r="LIK6" s="36"/>
      <c r="LIL6" s="37"/>
      <c r="LIM6" s="37"/>
      <c r="LIS6" s="2"/>
      <c r="LIT6" s="29"/>
      <c r="LIZ6" s="10"/>
      <c r="LJA6" s="36"/>
      <c r="LJB6" s="37"/>
      <c r="LJC6" s="37"/>
      <c r="LJI6" s="2"/>
      <c r="LJJ6" s="29"/>
      <c r="LJP6" s="10"/>
      <c r="LJQ6" s="36"/>
      <c r="LJR6" s="37"/>
      <c r="LJS6" s="37"/>
      <c r="LJY6" s="2"/>
      <c r="LJZ6" s="29"/>
      <c r="LKF6" s="10"/>
      <c r="LKG6" s="36"/>
      <c r="LKH6" s="37"/>
      <c r="LKI6" s="37"/>
      <c r="LKO6" s="2"/>
      <c r="LKP6" s="29"/>
      <c r="LKV6" s="10"/>
      <c r="LKW6" s="36"/>
      <c r="LKX6" s="37"/>
      <c r="LKY6" s="37"/>
      <c r="LLE6" s="2"/>
      <c r="LLF6" s="29"/>
      <c r="LLL6" s="10"/>
      <c r="LLM6" s="36"/>
      <c r="LLN6" s="37"/>
      <c r="LLO6" s="37"/>
      <c r="LLU6" s="2"/>
      <c r="LLV6" s="29"/>
      <c r="LMB6" s="10"/>
      <c r="LMC6" s="36"/>
      <c r="LMD6" s="37"/>
      <c r="LME6" s="37"/>
      <c r="LMK6" s="2"/>
      <c r="LML6" s="29"/>
      <c r="LMR6" s="10"/>
      <c r="LMS6" s="36"/>
      <c r="LMT6" s="37"/>
      <c r="LMU6" s="37"/>
      <c r="LNA6" s="2"/>
      <c r="LNB6" s="29"/>
      <c r="LNH6" s="10"/>
      <c r="LNI6" s="36"/>
      <c r="LNJ6" s="37"/>
      <c r="LNK6" s="37"/>
      <c r="LNQ6" s="2"/>
      <c r="LNR6" s="29"/>
      <c r="LNX6" s="10"/>
      <c r="LNY6" s="36"/>
      <c r="LNZ6" s="37"/>
      <c r="LOA6" s="37"/>
      <c r="LOG6" s="2"/>
      <c r="LOH6" s="29"/>
      <c r="LON6" s="10"/>
      <c r="LOO6" s="36"/>
      <c r="LOP6" s="37"/>
      <c r="LOQ6" s="37"/>
      <c r="LOW6" s="2"/>
      <c r="LOX6" s="29"/>
      <c r="LPD6" s="10"/>
      <c r="LPE6" s="36"/>
      <c r="LPF6" s="37"/>
      <c r="LPG6" s="37"/>
      <c r="LPM6" s="2"/>
      <c r="LPN6" s="29"/>
      <c r="LPT6" s="10"/>
      <c r="LPU6" s="36"/>
      <c r="LPV6" s="37"/>
      <c r="LPW6" s="37"/>
      <c r="LQC6" s="2"/>
      <c r="LQD6" s="29"/>
      <c r="LQJ6" s="10"/>
      <c r="LQK6" s="36"/>
      <c r="LQL6" s="37"/>
      <c r="LQM6" s="37"/>
      <c r="LQS6" s="2"/>
      <c r="LQT6" s="29"/>
      <c r="LQZ6" s="10"/>
      <c r="LRA6" s="36"/>
      <c r="LRB6" s="37"/>
      <c r="LRC6" s="37"/>
      <c r="LRI6" s="2"/>
      <c r="LRJ6" s="29"/>
      <c r="LRP6" s="10"/>
      <c r="LRQ6" s="36"/>
      <c r="LRR6" s="37"/>
      <c r="LRS6" s="37"/>
      <c r="LRY6" s="2"/>
      <c r="LRZ6" s="29"/>
      <c r="LSF6" s="10"/>
      <c r="LSG6" s="36"/>
      <c r="LSH6" s="37"/>
      <c r="LSI6" s="37"/>
      <c r="LSO6" s="2"/>
      <c r="LSP6" s="29"/>
      <c r="LSV6" s="10"/>
      <c r="LSW6" s="36"/>
      <c r="LSX6" s="37"/>
      <c r="LSY6" s="37"/>
      <c r="LTE6" s="2"/>
      <c r="LTF6" s="29"/>
      <c r="LTL6" s="10"/>
      <c r="LTM6" s="36"/>
      <c r="LTN6" s="37"/>
      <c r="LTO6" s="37"/>
      <c r="LTU6" s="2"/>
      <c r="LTV6" s="29"/>
      <c r="LUB6" s="10"/>
      <c r="LUC6" s="36"/>
      <c r="LUD6" s="37"/>
      <c r="LUE6" s="37"/>
      <c r="LUK6" s="2"/>
      <c r="LUL6" s="29"/>
      <c r="LUR6" s="10"/>
      <c r="LUS6" s="36"/>
      <c r="LUT6" s="37"/>
      <c r="LUU6" s="37"/>
      <c r="LVA6" s="2"/>
      <c r="LVB6" s="29"/>
      <c r="LVH6" s="10"/>
      <c r="LVI6" s="36"/>
      <c r="LVJ6" s="37"/>
      <c r="LVK6" s="37"/>
      <c r="LVQ6" s="2"/>
      <c r="LVR6" s="29"/>
      <c r="LVX6" s="10"/>
      <c r="LVY6" s="36"/>
      <c r="LVZ6" s="37"/>
      <c r="LWA6" s="37"/>
      <c r="LWG6" s="2"/>
      <c r="LWH6" s="29"/>
      <c r="LWN6" s="10"/>
      <c r="LWO6" s="36"/>
      <c r="LWP6" s="37"/>
      <c r="LWQ6" s="37"/>
      <c r="LWW6" s="2"/>
      <c r="LWX6" s="29"/>
      <c r="LXD6" s="10"/>
      <c r="LXE6" s="36"/>
      <c r="LXF6" s="37"/>
      <c r="LXG6" s="37"/>
      <c r="LXM6" s="2"/>
      <c r="LXN6" s="29"/>
      <c r="LXT6" s="10"/>
      <c r="LXU6" s="36"/>
      <c r="LXV6" s="37"/>
      <c r="LXW6" s="37"/>
      <c r="LYC6" s="2"/>
      <c r="LYD6" s="29"/>
      <c r="LYJ6" s="10"/>
      <c r="LYK6" s="36"/>
      <c r="LYL6" s="37"/>
      <c r="LYM6" s="37"/>
      <c r="LYS6" s="2"/>
      <c r="LYT6" s="29"/>
      <c r="LYZ6" s="10"/>
      <c r="LZA6" s="36"/>
      <c r="LZB6" s="37"/>
      <c r="LZC6" s="37"/>
      <c r="LZI6" s="2"/>
      <c r="LZJ6" s="29"/>
      <c r="LZP6" s="10"/>
      <c r="LZQ6" s="36"/>
      <c r="LZR6" s="37"/>
      <c r="LZS6" s="37"/>
      <c r="LZY6" s="2"/>
      <c r="LZZ6" s="29"/>
      <c r="MAF6" s="10"/>
      <c r="MAG6" s="36"/>
      <c r="MAH6" s="37"/>
      <c r="MAI6" s="37"/>
      <c r="MAO6" s="2"/>
      <c r="MAP6" s="29"/>
      <c r="MAV6" s="10"/>
      <c r="MAW6" s="36"/>
      <c r="MAX6" s="37"/>
      <c r="MAY6" s="37"/>
      <c r="MBE6" s="2"/>
      <c r="MBF6" s="29"/>
      <c r="MBL6" s="10"/>
      <c r="MBM6" s="36"/>
      <c r="MBN6" s="37"/>
      <c r="MBO6" s="37"/>
      <c r="MBU6" s="2"/>
      <c r="MBV6" s="29"/>
      <c r="MCB6" s="10"/>
      <c r="MCC6" s="36"/>
      <c r="MCD6" s="37"/>
      <c r="MCE6" s="37"/>
      <c r="MCK6" s="2"/>
      <c r="MCL6" s="29"/>
      <c r="MCR6" s="10"/>
      <c r="MCS6" s="36"/>
      <c r="MCT6" s="37"/>
      <c r="MCU6" s="37"/>
      <c r="MDA6" s="2"/>
      <c r="MDB6" s="29"/>
      <c r="MDH6" s="10"/>
      <c r="MDI6" s="36"/>
      <c r="MDJ6" s="37"/>
      <c r="MDK6" s="37"/>
      <c r="MDQ6" s="2"/>
      <c r="MDR6" s="29"/>
      <c r="MDX6" s="10"/>
      <c r="MDY6" s="36"/>
      <c r="MDZ6" s="37"/>
      <c r="MEA6" s="37"/>
      <c r="MEG6" s="2"/>
      <c r="MEH6" s="29"/>
      <c r="MEN6" s="10"/>
      <c r="MEO6" s="36"/>
      <c r="MEP6" s="37"/>
      <c r="MEQ6" s="37"/>
      <c r="MEW6" s="2"/>
      <c r="MEX6" s="29"/>
      <c r="MFD6" s="10"/>
      <c r="MFE6" s="36"/>
      <c r="MFF6" s="37"/>
      <c r="MFG6" s="37"/>
      <c r="MFM6" s="2"/>
      <c r="MFN6" s="29"/>
      <c r="MFT6" s="10"/>
      <c r="MFU6" s="36"/>
      <c r="MFV6" s="37"/>
      <c r="MFW6" s="37"/>
      <c r="MGC6" s="2"/>
      <c r="MGD6" s="29"/>
      <c r="MGJ6" s="10"/>
      <c r="MGK6" s="36"/>
      <c r="MGL6" s="37"/>
      <c r="MGM6" s="37"/>
      <c r="MGS6" s="2"/>
      <c r="MGT6" s="29"/>
      <c r="MGZ6" s="10"/>
      <c r="MHA6" s="36"/>
      <c r="MHB6" s="37"/>
      <c r="MHC6" s="37"/>
      <c r="MHI6" s="2"/>
      <c r="MHJ6" s="29"/>
      <c r="MHP6" s="10"/>
      <c r="MHQ6" s="36"/>
      <c r="MHR6" s="37"/>
      <c r="MHS6" s="37"/>
      <c r="MHY6" s="2"/>
      <c r="MHZ6" s="29"/>
      <c r="MIF6" s="10"/>
      <c r="MIG6" s="36"/>
      <c r="MIH6" s="37"/>
      <c r="MII6" s="37"/>
      <c r="MIO6" s="2"/>
      <c r="MIP6" s="29"/>
      <c r="MIV6" s="10"/>
      <c r="MIW6" s="36"/>
      <c r="MIX6" s="37"/>
      <c r="MIY6" s="37"/>
      <c r="MJE6" s="2"/>
      <c r="MJF6" s="29"/>
      <c r="MJL6" s="10"/>
      <c r="MJM6" s="36"/>
      <c r="MJN6" s="37"/>
      <c r="MJO6" s="37"/>
      <c r="MJU6" s="2"/>
      <c r="MJV6" s="29"/>
      <c r="MKB6" s="10"/>
      <c r="MKC6" s="36"/>
      <c r="MKD6" s="37"/>
      <c r="MKE6" s="37"/>
      <c r="MKK6" s="2"/>
      <c r="MKL6" s="29"/>
      <c r="MKR6" s="10"/>
      <c r="MKS6" s="36"/>
      <c r="MKT6" s="37"/>
      <c r="MKU6" s="37"/>
      <c r="MLA6" s="2"/>
      <c r="MLB6" s="29"/>
      <c r="MLH6" s="10"/>
      <c r="MLI6" s="36"/>
      <c r="MLJ6" s="37"/>
      <c r="MLK6" s="37"/>
      <c r="MLQ6" s="2"/>
      <c r="MLR6" s="29"/>
      <c r="MLX6" s="10"/>
      <c r="MLY6" s="36"/>
      <c r="MLZ6" s="37"/>
      <c r="MMA6" s="37"/>
      <c r="MMG6" s="2"/>
      <c r="MMH6" s="29"/>
      <c r="MMN6" s="10"/>
      <c r="MMO6" s="36"/>
      <c r="MMP6" s="37"/>
      <c r="MMQ6" s="37"/>
      <c r="MMW6" s="2"/>
      <c r="MMX6" s="29"/>
      <c r="MND6" s="10"/>
      <c r="MNE6" s="36"/>
      <c r="MNF6" s="37"/>
      <c r="MNG6" s="37"/>
      <c r="MNM6" s="2"/>
      <c r="MNN6" s="29"/>
      <c r="MNT6" s="10"/>
      <c r="MNU6" s="36"/>
      <c r="MNV6" s="37"/>
      <c r="MNW6" s="37"/>
      <c r="MOC6" s="2"/>
      <c r="MOD6" s="29"/>
      <c r="MOJ6" s="10"/>
      <c r="MOK6" s="36"/>
      <c r="MOL6" s="37"/>
      <c r="MOM6" s="37"/>
      <c r="MOS6" s="2"/>
      <c r="MOT6" s="29"/>
      <c r="MOZ6" s="10"/>
      <c r="MPA6" s="36"/>
      <c r="MPB6" s="37"/>
      <c r="MPC6" s="37"/>
      <c r="MPI6" s="2"/>
      <c r="MPJ6" s="29"/>
      <c r="MPP6" s="10"/>
      <c r="MPQ6" s="36"/>
      <c r="MPR6" s="37"/>
      <c r="MPS6" s="37"/>
      <c r="MPY6" s="2"/>
      <c r="MPZ6" s="29"/>
      <c r="MQF6" s="10"/>
      <c r="MQG6" s="36"/>
      <c r="MQH6" s="37"/>
      <c r="MQI6" s="37"/>
      <c r="MQO6" s="2"/>
      <c r="MQP6" s="29"/>
      <c r="MQV6" s="10"/>
      <c r="MQW6" s="36"/>
      <c r="MQX6" s="37"/>
      <c r="MQY6" s="37"/>
      <c r="MRE6" s="2"/>
      <c r="MRF6" s="29"/>
      <c r="MRL6" s="10"/>
      <c r="MRM6" s="36"/>
      <c r="MRN6" s="37"/>
      <c r="MRO6" s="37"/>
      <c r="MRU6" s="2"/>
      <c r="MRV6" s="29"/>
      <c r="MSB6" s="10"/>
      <c r="MSC6" s="36"/>
      <c r="MSD6" s="37"/>
      <c r="MSE6" s="37"/>
      <c r="MSK6" s="2"/>
      <c r="MSL6" s="29"/>
      <c r="MSR6" s="10"/>
      <c r="MSS6" s="36"/>
      <c r="MST6" s="37"/>
      <c r="MSU6" s="37"/>
      <c r="MTA6" s="2"/>
      <c r="MTB6" s="29"/>
      <c r="MTH6" s="10"/>
      <c r="MTI6" s="36"/>
      <c r="MTJ6" s="37"/>
      <c r="MTK6" s="37"/>
      <c r="MTQ6" s="2"/>
      <c r="MTR6" s="29"/>
      <c r="MTX6" s="10"/>
      <c r="MTY6" s="36"/>
      <c r="MTZ6" s="37"/>
      <c r="MUA6" s="37"/>
      <c r="MUG6" s="2"/>
      <c r="MUH6" s="29"/>
      <c r="MUN6" s="10"/>
      <c r="MUO6" s="36"/>
      <c r="MUP6" s="37"/>
      <c r="MUQ6" s="37"/>
      <c r="MUW6" s="2"/>
      <c r="MUX6" s="29"/>
      <c r="MVD6" s="10"/>
      <c r="MVE6" s="36"/>
      <c r="MVF6" s="37"/>
      <c r="MVG6" s="37"/>
      <c r="MVM6" s="2"/>
      <c r="MVN6" s="29"/>
      <c r="MVT6" s="10"/>
      <c r="MVU6" s="36"/>
      <c r="MVV6" s="37"/>
      <c r="MVW6" s="37"/>
      <c r="MWC6" s="2"/>
      <c r="MWD6" s="29"/>
      <c r="MWJ6" s="10"/>
      <c r="MWK6" s="36"/>
      <c r="MWL6" s="37"/>
      <c r="MWM6" s="37"/>
      <c r="MWS6" s="2"/>
      <c r="MWT6" s="29"/>
      <c r="MWZ6" s="10"/>
      <c r="MXA6" s="36"/>
      <c r="MXB6" s="37"/>
      <c r="MXC6" s="37"/>
      <c r="MXI6" s="2"/>
      <c r="MXJ6" s="29"/>
      <c r="MXP6" s="10"/>
      <c r="MXQ6" s="36"/>
      <c r="MXR6" s="37"/>
      <c r="MXS6" s="37"/>
      <c r="MXY6" s="2"/>
      <c r="MXZ6" s="29"/>
      <c r="MYF6" s="10"/>
      <c r="MYG6" s="36"/>
      <c r="MYH6" s="37"/>
      <c r="MYI6" s="37"/>
      <c r="MYO6" s="2"/>
      <c r="MYP6" s="29"/>
      <c r="MYV6" s="10"/>
      <c r="MYW6" s="36"/>
      <c r="MYX6" s="37"/>
      <c r="MYY6" s="37"/>
      <c r="MZE6" s="2"/>
      <c r="MZF6" s="29"/>
      <c r="MZL6" s="10"/>
      <c r="MZM6" s="36"/>
      <c r="MZN6" s="37"/>
      <c r="MZO6" s="37"/>
      <c r="MZU6" s="2"/>
      <c r="MZV6" s="29"/>
      <c r="NAB6" s="10"/>
      <c r="NAC6" s="36"/>
      <c r="NAD6" s="37"/>
      <c r="NAE6" s="37"/>
      <c r="NAK6" s="2"/>
      <c r="NAL6" s="29"/>
      <c r="NAR6" s="10"/>
      <c r="NAS6" s="36"/>
      <c r="NAT6" s="37"/>
      <c r="NAU6" s="37"/>
      <c r="NBA6" s="2"/>
      <c r="NBB6" s="29"/>
      <c r="NBH6" s="10"/>
      <c r="NBI6" s="36"/>
      <c r="NBJ6" s="37"/>
      <c r="NBK6" s="37"/>
      <c r="NBQ6" s="2"/>
      <c r="NBR6" s="29"/>
      <c r="NBX6" s="10"/>
      <c r="NBY6" s="36"/>
      <c r="NBZ6" s="37"/>
      <c r="NCA6" s="37"/>
      <c r="NCG6" s="2"/>
      <c r="NCH6" s="29"/>
      <c r="NCN6" s="10"/>
      <c r="NCO6" s="36"/>
      <c r="NCP6" s="37"/>
      <c r="NCQ6" s="37"/>
      <c r="NCW6" s="2"/>
      <c r="NCX6" s="29"/>
      <c r="NDD6" s="10"/>
      <c r="NDE6" s="36"/>
      <c r="NDF6" s="37"/>
      <c r="NDG6" s="37"/>
      <c r="NDM6" s="2"/>
      <c r="NDN6" s="29"/>
      <c r="NDT6" s="10"/>
      <c r="NDU6" s="36"/>
      <c r="NDV6" s="37"/>
      <c r="NDW6" s="37"/>
      <c r="NEC6" s="2"/>
      <c r="NED6" s="29"/>
      <c r="NEJ6" s="10"/>
      <c r="NEK6" s="36"/>
      <c r="NEL6" s="37"/>
      <c r="NEM6" s="37"/>
      <c r="NES6" s="2"/>
      <c r="NET6" s="29"/>
      <c r="NEZ6" s="10"/>
      <c r="NFA6" s="36"/>
      <c r="NFB6" s="37"/>
      <c r="NFC6" s="37"/>
      <c r="NFI6" s="2"/>
      <c r="NFJ6" s="29"/>
      <c r="NFP6" s="10"/>
      <c r="NFQ6" s="36"/>
      <c r="NFR6" s="37"/>
      <c r="NFS6" s="37"/>
      <c r="NFY6" s="2"/>
      <c r="NFZ6" s="29"/>
      <c r="NGF6" s="10"/>
      <c r="NGG6" s="36"/>
      <c r="NGH6" s="37"/>
      <c r="NGI6" s="37"/>
      <c r="NGO6" s="2"/>
      <c r="NGP6" s="29"/>
      <c r="NGV6" s="10"/>
      <c r="NGW6" s="36"/>
      <c r="NGX6" s="37"/>
      <c r="NGY6" s="37"/>
      <c r="NHE6" s="2"/>
      <c r="NHF6" s="29"/>
      <c r="NHL6" s="10"/>
      <c r="NHM6" s="36"/>
      <c r="NHN6" s="37"/>
      <c r="NHO6" s="37"/>
      <c r="NHU6" s="2"/>
      <c r="NHV6" s="29"/>
      <c r="NIB6" s="10"/>
      <c r="NIC6" s="36"/>
      <c r="NID6" s="37"/>
      <c r="NIE6" s="37"/>
      <c r="NIK6" s="2"/>
      <c r="NIL6" s="29"/>
      <c r="NIR6" s="10"/>
      <c r="NIS6" s="36"/>
      <c r="NIT6" s="37"/>
      <c r="NIU6" s="37"/>
      <c r="NJA6" s="2"/>
      <c r="NJB6" s="29"/>
      <c r="NJH6" s="10"/>
      <c r="NJI6" s="36"/>
      <c r="NJJ6" s="37"/>
      <c r="NJK6" s="37"/>
      <c r="NJQ6" s="2"/>
      <c r="NJR6" s="29"/>
      <c r="NJX6" s="10"/>
      <c r="NJY6" s="36"/>
      <c r="NJZ6" s="37"/>
      <c r="NKA6" s="37"/>
      <c r="NKG6" s="2"/>
      <c r="NKH6" s="29"/>
      <c r="NKN6" s="10"/>
      <c r="NKO6" s="36"/>
      <c r="NKP6" s="37"/>
      <c r="NKQ6" s="37"/>
      <c r="NKW6" s="2"/>
      <c r="NKX6" s="29"/>
      <c r="NLD6" s="10"/>
      <c r="NLE6" s="36"/>
      <c r="NLF6" s="37"/>
      <c r="NLG6" s="37"/>
      <c r="NLM6" s="2"/>
      <c r="NLN6" s="29"/>
      <c r="NLT6" s="10"/>
      <c r="NLU6" s="36"/>
      <c r="NLV6" s="37"/>
      <c r="NLW6" s="37"/>
      <c r="NMC6" s="2"/>
      <c r="NMD6" s="29"/>
      <c r="NMJ6" s="10"/>
      <c r="NMK6" s="36"/>
      <c r="NML6" s="37"/>
      <c r="NMM6" s="37"/>
      <c r="NMS6" s="2"/>
      <c r="NMT6" s="29"/>
      <c r="NMZ6" s="10"/>
      <c r="NNA6" s="36"/>
      <c r="NNB6" s="37"/>
      <c r="NNC6" s="37"/>
      <c r="NNI6" s="2"/>
      <c r="NNJ6" s="29"/>
      <c r="NNP6" s="10"/>
      <c r="NNQ6" s="36"/>
      <c r="NNR6" s="37"/>
      <c r="NNS6" s="37"/>
      <c r="NNY6" s="2"/>
      <c r="NNZ6" s="29"/>
      <c r="NOF6" s="10"/>
      <c r="NOG6" s="36"/>
      <c r="NOH6" s="37"/>
      <c r="NOI6" s="37"/>
      <c r="NOO6" s="2"/>
      <c r="NOP6" s="29"/>
      <c r="NOV6" s="10"/>
      <c r="NOW6" s="36"/>
      <c r="NOX6" s="37"/>
      <c r="NOY6" s="37"/>
      <c r="NPE6" s="2"/>
      <c r="NPF6" s="29"/>
      <c r="NPL6" s="10"/>
      <c r="NPM6" s="36"/>
      <c r="NPN6" s="37"/>
      <c r="NPO6" s="37"/>
      <c r="NPU6" s="2"/>
      <c r="NPV6" s="29"/>
      <c r="NQB6" s="10"/>
      <c r="NQC6" s="36"/>
      <c r="NQD6" s="37"/>
      <c r="NQE6" s="37"/>
      <c r="NQK6" s="2"/>
      <c r="NQL6" s="29"/>
      <c r="NQR6" s="10"/>
      <c r="NQS6" s="36"/>
      <c r="NQT6" s="37"/>
      <c r="NQU6" s="37"/>
      <c r="NRA6" s="2"/>
      <c r="NRB6" s="29"/>
      <c r="NRH6" s="10"/>
      <c r="NRI6" s="36"/>
      <c r="NRJ6" s="37"/>
      <c r="NRK6" s="37"/>
      <c r="NRQ6" s="2"/>
      <c r="NRR6" s="29"/>
      <c r="NRX6" s="10"/>
      <c r="NRY6" s="36"/>
      <c r="NRZ6" s="37"/>
      <c r="NSA6" s="37"/>
      <c r="NSG6" s="2"/>
      <c r="NSH6" s="29"/>
      <c r="NSN6" s="10"/>
      <c r="NSO6" s="36"/>
      <c r="NSP6" s="37"/>
      <c r="NSQ6" s="37"/>
      <c r="NSW6" s="2"/>
      <c r="NSX6" s="29"/>
      <c r="NTD6" s="10"/>
      <c r="NTE6" s="36"/>
      <c r="NTF6" s="37"/>
      <c r="NTG6" s="37"/>
      <c r="NTM6" s="2"/>
      <c r="NTN6" s="29"/>
      <c r="NTT6" s="10"/>
      <c r="NTU6" s="36"/>
      <c r="NTV6" s="37"/>
      <c r="NTW6" s="37"/>
      <c r="NUC6" s="2"/>
      <c r="NUD6" s="29"/>
      <c r="NUJ6" s="10"/>
      <c r="NUK6" s="36"/>
      <c r="NUL6" s="37"/>
      <c r="NUM6" s="37"/>
      <c r="NUS6" s="2"/>
      <c r="NUT6" s="29"/>
      <c r="NUZ6" s="10"/>
      <c r="NVA6" s="36"/>
      <c r="NVB6" s="37"/>
      <c r="NVC6" s="37"/>
      <c r="NVI6" s="2"/>
      <c r="NVJ6" s="29"/>
      <c r="NVP6" s="10"/>
      <c r="NVQ6" s="36"/>
      <c r="NVR6" s="37"/>
      <c r="NVS6" s="37"/>
      <c r="NVY6" s="2"/>
      <c r="NVZ6" s="29"/>
      <c r="NWF6" s="10"/>
      <c r="NWG6" s="36"/>
      <c r="NWH6" s="37"/>
      <c r="NWI6" s="37"/>
      <c r="NWO6" s="2"/>
      <c r="NWP6" s="29"/>
      <c r="NWV6" s="10"/>
      <c r="NWW6" s="36"/>
      <c r="NWX6" s="37"/>
      <c r="NWY6" s="37"/>
      <c r="NXE6" s="2"/>
      <c r="NXF6" s="29"/>
      <c r="NXL6" s="10"/>
      <c r="NXM6" s="36"/>
      <c r="NXN6" s="37"/>
      <c r="NXO6" s="37"/>
      <c r="NXU6" s="2"/>
      <c r="NXV6" s="29"/>
      <c r="NYB6" s="10"/>
      <c r="NYC6" s="36"/>
      <c r="NYD6" s="37"/>
      <c r="NYE6" s="37"/>
      <c r="NYK6" s="2"/>
      <c r="NYL6" s="29"/>
      <c r="NYR6" s="10"/>
      <c r="NYS6" s="36"/>
      <c r="NYT6" s="37"/>
      <c r="NYU6" s="37"/>
      <c r="NZA6" s="2"/>
      <c r="NZB6" s="29"/>
      <c r="NZH6" s="10"/>
      <c r="NZI6" s="36"/>
      <c r="NZJ6" s="37"/>
      <c r="NZK6" s="37"/>
      <c r="NZQ6" s="2"/>
      <c r="NZR6" s="29"/>
      <c r="NZX6" s="10"/>
      <c r="NZY6" s="36"/>
      <c r="NZZ6" s="37"/>
      <c r="OAA6" s="37"/>
      <c r="OAG6" s="2"/>
      <c r="OAH6" s="29"/>
      <c r="OAN6" s="10"/>
      <c r="OAO6" s="36"/>
      <c r="OAP6" s="37"/>
      <c r="OAQ6" s="37"/>
      <c r="OAW6" s="2"/>
      <c r="OAX6" s="29"/>
      <c r="OBD6" s="10"/>
      <c r="OBE6" s="36"/>
      <c r="OBF6" s="37"/>
      <c r="OBG6" s="37"/>
      <c r="OBM6" s="2"/>
      <c r="OBN6" s="29"/>
      <c r="OBT6" s="10"/>
      <c r="OBU6" s="36"/>
      <c r="OBV6" s="37"/>
      <c r="OBW6" s="37"/>
      <c r="OCC6" s="2"/>
      <c r="OCD6" s="29"/>
      <c r="OCJ6" s="10"/>
      <c r="OCK6" s="36"/>
      <c r="OCL6" s="37"/>
      <c r="OCM6" s="37"/>
      <c r="OCS6" s="2"/>
      <c r="OCT6" s="29"/>
      <c r="OCZ6" s="10"/>
      <c r="ODA6" s="36"/>
      <c r="ODB6" s="37"/>
      <c r="ODC6" s="37"/>
      <c r="ODI6" s="2"/>
      <c r="ODJ6" s="29"/>
      <c r="ODP6" s="10"/>
      <c r="ODQ6" s="36"/>
      <c r="ODR6" s="37"/>
      <c r="ODS6" s="37"/>
      <c r="ODY6" s="2"/>
      <c r="ODZ6" s="29"/>
      <c r="OEF6" s="10"/>
      <c r="OEG6" s="36"/>
      <c r="OEH6" s="37"/>
      <c r="OEI6" s="37"/>
      <c r="OEO6" s="2"/>
      <c r="OEP6" s="29"/>
      <c r="OEV6" s="10"/>
      <c r="OEW6" s="36"/>
      <c r="OEX6" s="37"/>
      <c r="OEY6" s="37"/>
      <c r="OFE6" s="2"/>
      <c r="OFF6" s="29"/>
      <c r="OFL6" s="10"/>
      <c r="OFM6" s="36"/>
      <c r="OFN6" s="37"/>
      <c r="OFO6" s="37"/>
      <c r="OFU6" s="2"/>
      <c r="OFV6" s="29"/>
      <c r="OGB6" s="10"/>
      <c r="OGC6" s="36"/>
      <c r="OGD6" s="37"/>
      <c r="OGE6" s="37"/>
      <c r="OGK6" s="2"/>
      <c r="OGL6" s="29"/>
      <c r="OGR6" s="10"/>
      <c r="OGS6" s="36"/>
      <c r="OGT6" s="37"/>
      <c r="OGU6" s="37"/>
      <c r="OHA6" s="2"/>
      <c r="OHB6" s="29"/>
      <c r="OHH6" s="10"/>
      <c r="OHI6" s="36"/>
      <c r="OHJ6" s="37"/>
      <c r="OHK6" s="37"/>
      <c r="OHQ6" s="2"/>
      <c r="OHR6" s="29"/>
      <c r="OHX6" s="10"/>
      <c r="OHY6" s="36"/>
      <c r="OHZ6" s="37"/>
      <c r="OIA6" s="37"/>
      <c r="OIG6" s="2"/>
      <c r="OIH6" s="29"/>
      <c r="OIN6" s="10"/>
      <c r="OIO6" s="36"/>
      <c r="OIP6" s="37"/>
      <c r="OIQ6" s="37"/>
      <c r="OIW6" s="2"/>
      <c r="OIX6" s="29"/>
      <c r="OJD6" s="10"/>
      <c r="OJE6" s="36"/>
      <c r="OJF6" s="37"/>
      <c r="OJG6" s="37"/>
      <c r="OJM6" s="2"/>
      <c r="OJN6" s="29"/>
      <c r="OJT6" s="10"/>
      <c r="OJU6" s="36"/>
      <c r="OJV6" s="37"/>
      <c r="OJW6" s="37"/>
      <c r="OKC6" s="2"/>
      <c r="OKD6" s="29"/>
      <c r="OKJ6" s="10"/>
      <c r="OKK6" s="36"/>
      <c r="OKL6" s="37"/>
      <c r="OKM6" s="37"/>
      <c r="OKS6" s="2"/>
      <c r="OKT6" s="29"/>
      <c r="OKZ6" s="10"/>
      <c r="OLA6" s="36"/>
      <c r="OLB6" s="37"/>
      <c r="OLC6" s="37"/>
      <c r="OLI6" s="2"/>
      <c r="OLJ6" s="29"/>
      <c r="OLP6" s="10"/>
      <c r="OLQ6" s="36"/>
      <c r="OLR6" s="37"/>
      <c r="OLS6" s="37"/>
      <c r="OLY6" s="2"/>
      <c r="OLZ6" s="29"/>
      <c r="OMF6" s="10"/>
      <c r="OMG6" s="36"/>
      <c r="OMH6" s="37"/>
      <c r="OMI6" s="37"/>
      <c r="OMO6" s="2"/>
      <c r="OMP6" s="29"/>
      <c r="OMV6" s="10"/>
      <c r="OMW6" s="36"/>
      <c r="OMX6" s="37"/>
      <c r="OMY6" s="37"/>
      <c r="ONE6" s="2"/>
      <c r="ONF6" s="29"/>
      <c r="ONL6" s="10"/>
      <c r="ONM6" s="36"/>
      <c r="ONN6" s="37"/>
      <c r="ONO6" s="37"/>
      <c r="ONU6" s="2"/>
      <c r="ONV6" s="29"/>
      <c r="OOB6" s="10"/>
      <c r="OOC6" s="36"/>
      <c r="OOD6" s="37"/>
      <c r="OOE6" s="37"/>
      <c r="OOK6" s="2"/>
      <c r="OOL6" s="29"/>
      <c r="OOR6" s="10"/>
      <c r="OOS6" s="36"/>
      <c r="OOT6" s="37"/>
      <c r="OOU6" s="37"/>
      <c r="OPA6" s="2"/>
      <c r="OPB6" s="29"/>
      <c r="OPH6" s="10"/>
      <c r="OPI6" s="36"/>
      <c r="OPJ6" s="37"/>
      <c r="OPK6" s="37"/>
      <c r="OPQ6" s="2"/>
      <c r="OPR6" s="29"/>
      <c r="OPX6" s="10"/>
      <c r="OPY6" s="36"/>
      <c r="OPZ6" s="37"/>
      <c r="OQA6" s="37"/>
      <c r="OQG6" s="2"/>
      <c r="OQH6" s="29"/>
      <c r="OQN6" s="10"/>
      <c r="OQO6" s="36"/>
      <c r="OQP6" s="37"/>
      <c r="OQQ6" s="37"/>
      <c r="OQW6" s="2"/>
      <c r="OQX6" s="29"/>
      <c r="ORD6" s="10"/>
      <c r="ORE6" s="36"/>
      <c r="ORF6" s="37"/>
      <c r="ORG6" s="37"/>
      <c r="ORM6" s="2"/>
      <c r="ORN6" s="29"/>
      <c r="ORT6" s="10"/>
      <c r="ORU6" s="36"/>
      <c r="ORV6" s="37"/>
      <c r="ORW6" s="37"/>
      <c r="OSC6" s="2"/>
      <c r="OSD6" s="29"/>
      <c r="OSJ6" s="10"/>
      <c r="OSK6" s="36"/>
      <c r="OSL6" s="37"/>
      <c r="OSM6" s="37"/>
      <c r="OSS6" s="2"/>
      <c r="OST6" s="29"/>
      <c r="OSZ6" s="10"/>
      <c r="OTA6" s="36"/>
      <c r="OTB6" s="37"/>
      <c r="OTC6" s="37"/>
      <c r="OTI6" s="2"/>
      <c r="OTJ6" s="29"/>
      <c r="OTP6" s="10"/>
      <c r="OTQ6" s="36"/>
      <c r="OTR6" s="37"/>
      <c r="OTS6" s="37"/>
      <c r="OTY6" s="2"/>
      <c r="OTZ6" s="29"/>
      <c r="OUF6" s="10"/>
      <c r="OUG6" s="36"/>
      <c r="OUH6" s="37"/>
      <c r="OUI6" s="37"/>
      <c r="OUO6" s="2"/>
      <c r="OUP6" s="29"/>
      <c r="OUV6" s="10"/>
      <c r="OUW6" s="36"/>
      <c r="OUX6" s="37"/>
      <c r="OUY6" s="37"/>
      <c r="OVE6" s="2"/>
      <c r="OVF6" s="29"/>
      <c r="OVL6" s="10"/>
      <c r="OVM6" s="36"/>
      <c r="OVN6" s="37"/>
      <c r="OVO6" s="37"/>
      <c r="OVU6" s="2"/>
      <c r="OVV6" s="29"/>
      <c r="OWB6" s="10"/>
      <c r="OWC6" s="36"/>
      <c r="OWD6" s="37"/>
      <c r="OWE6" s="37"/>
      <c r="OWK6" s="2"/>
      <c r="OWL6" s="29"/>
      <c r="OWR6" s="10"/>
      <c r="OWS6" s="36"/>
      <c r="OWT6" s="37"/>
      <c r="OWU6" s="37"/>
      <c r="OXA6" s="2"/>
      <c r="OXB6" s="29"/>
      <c r="OXH6" s="10"/>
      <c r="OXI6" s="36"/>
      <c r="OXJ6" s="37"/>
      <c r="OXK6" s="37"/>
      <c r="OXQ6" s="2"/>
      <c r="OXR6" s="29"/>
      <c r="OXX6" s="10"/>
      <c r="OXY6" s="36"/>
      <c r="OXZ6" s="37"/>
      <c r="OYA6" s="37"/>
      <c r="OYG6" s="2"/>
      <c r="OYH6" s="29"/>
      <c r="OYN6" s="10"/>
      <c r="OYO6" s="36"/>
      <c r="OYP6" s="37"/>
      <c r="OYQ6" s="37"/>
      <c r="OYW6" s="2"/>
      <c r="OYX6" s="29"/>
      <c r="OZD6" s="10"/>
      <c r="OZE6" s="36"/>
      <c r="OZF6" s="37"/>
      <c r="OZG6" s="37"/>
      <c r="OZM6" s="2"/>
      <c r="OZN6" s="29"/>
      <c r="OZT6" s="10"/>
      <c r="OZU6" s="36"/>
      <c r="OZV6" s="37"/>
      <c r="OZW6" s="37"/>
      <c r="PAC6" s="2"/>
      <c r="PAD6" s="29"/>
      <c r="PAJ6" s="10"/>
      <c r="PAK6" s="36"/>
      <c r="PAL6" s="37"/>
      <c r="PAM6" s="37"/>
      <c r="PAS6" s="2"/>
      <c r="PAT6" s="29"/>
      <c r="PAZ6" s="10"/>
      <c r="PBA6" s="36"/>
      <c r="PBB6" s="37"/>
      <c r="PBC6" s="37"/>
      <c r="PBI6" s="2"/>
      <c r="PBJ6" s="29"/>
      <c r="PBP6" s="10"/>
      <c r="PBQ6" s="36"/>
      <c r="PBR6" s="37"/>
      <c r="PBS6" s="37"/>
      <c r="PBY6" s="2"/>
      <c r="PBZ6" s="29"/>
      <c r="PCF6" s="10"/>
      <c r="PCG6" s="36"/>
      <c r="PCH6" s="37"/>
      <c r="PCI6" s="37"/>
      <c r="PCO6" s="2"/>
      <c r="PCP6" s="29"/>
      <c r="PCV6" s="10"/>
      <c r="PCW6" s="36"/>
      <c r="PCX6" s="37"/>
      <c r="PCY6" s="37"/>
      <c r="PDE6" s="2"/>
      <c r="PDF6" s="29"/>
      <c r="PDL6" s="10"/>
      <c r="PDM6" s="36"/>
      <c r="PDN6" s="37"/>
      <c r="PDO6" s="37"/>
      <c r="PDU6" s="2"/>
      <c r="PDV6" s="29"/>
      <c r="PEB6" s="10"/>
      <c r="PEC6" s="36"/>
      <c r="PED6" s="37"/>
      <c r="PEE6" s="37"/>
      <c r="PEK6" s="2"/>
      <c r="PEL6" s="29"/>
      <c r="PER6" s="10"/>
      <c r="PES6" s="36"/>
      <c r="PET6" s="37"/>
      <c r="PEU6" s="37"/>
      <c r="PFA6" s="2"/>
      <c r="PFB6" s="29"/>
      <c r="PFH6" s="10"/>
      <c r="PFI6" s="36"/>
      <c r="PFJ6" s="37"/>
      <c r="PFK6" s="37"/>
      <c r="PFQ6" s="2"/>
      <c r="PFR6" s="29"/>
      <c r="PFX6" s="10"/>
      <c r="PFY6" s="36"/>
      <c r="PFZ6" s="37"/>
      <c r="PGA6" s="37"/>
      <c r="PGG6" s="2"/>
      <c r="PGH6" s="29"/>
      <c r="PGN6" s="10"/>
      <c r="PGO6" s="36"/>
      <c r="PGP6" s="37"/>
      <c r="PGQ6" s="37"/>
      <c r="PGW6" s="2"/>
      <c r="PGX6" s="29"/>
      <c r="PHD6" s="10"/>
      <c r="PHE6" s="36"/>
      <c r="PHF6" s="37"/>
      <c r="PHG6" s="37"/>
      <c r="PHM6" s="2"/>
      <c r="PHN6" s="29"/>
      <c r="PHT6" s="10"/>
      <c r="PHU6" s="36"/>
      <c r="PHV6" s="37"/>
      <c r="PHW6" s="37"/>
      <c r="PIC6" s="2"/>
      <c r="PID6" s="29"/>
      <c r="PIJ6" s="10"/>
      <c r="PIK6" s="36"/>
      <c r="PIL6" s="37"/>
      <c r="PIM6" s="37"/>
      <c r="PIS6" s="2"/>
      <c r="PIT6" s="29"/>
      <c r="PIZ6" s="10"/>
      <c r="PJA6" s="36"/>
      <c r="PJB6" s="37"/>
      <c r="PJC6" s="37"/>
      <c r="PJI6" s="2"/>
      <c r="PJJ6" s="29"/>
      <c r="PJP6" s="10"/>
      <c r="PJQ6" s="36"/>
      <c r="PJR6" s="37"/>
      <c r="PJS6" s="37"/>
      <c r="PJY6" s="2"/>
      <c r="PJZ6" s="29"/>
      <c r="PKF6" s="10"/>
      <c r="PKG6" s="36"/>
      <c r="PKH6" s="37"/>
      <c r="PKI6" s="37"/>
      <c r="PKO6" s="2"/>
      <c r="PKP6" s="29"/>
      <c r="PKV6" s="10"/>
      <c r="PKW6" s="36"/>
      <c r="PKX6" s="37"/>
      <c r="PKY6" s="37"/>
      <c r="PLE6" s="2"/>
      <c r="PLF6" s="29"/>
      <c r="PLL6" s="10"/>
      <c r="PLM6" s="36"/>
      <c r="PLN6" s="37"/>
      <c r="PLO6" s="37"/>
      <c r="PLU6" s="2"/>
      <c r="PLV6" s="29"/>
      <c r="PMB6" s="10"/>
      <c r="PMC6" s="36"/>
      <c r="PMD6" s="37"/>
      <c r="PME6" s="37"/>
      <c r="PMK6" s="2"/>
      <c r="PML6" s="29"/>
      <c r="PMR6" s="10"/>
      <c r="PMS6" s="36"/>
      <c r="PMT6" s="37"/>
      <c r="PMU6" s="37"/>
      <c r="PNA6" s="2"/>
      <c r="PNB6" s="29"/>
      <c r="PNH6" s="10"/>
      <c r="PNI6" s="36"/>
      <c r="PNJ6" s="37"/>
      <c r="PNK6" s="37"/>
      <c r="PNQ6" s="2"/>
      <c r="PNR6" s="29"/>
      <c r="PNX6" s="10"/>
      <c r="PNY6" s="36"/>
      <c r="PNZ6" s="37"/>
      <c r="POA6" s="37"/>
      <c r="POG6" s="2"/>
      <c r="POH6" s="29"/>
      <c r="PON6" s="10"/>
      <c r="POO6" s="36"/>
      <c r="POP6" s="37"/>
      <c r="POQ6" s="37"/>
      <c r="POW6" s="2"/>
      <c r="POX6" s="29"/>
      <c r="PPD6" s="10"/>
      <c r="PPE6" s="36"/>
      <c r="PPF6" s="37"/>
      <c r="PPG6" s="37"/>
      <c r="PPM6" s="2"/>
      <c r="PPN6" s="29"/>
      <c r="PPT6" s="10"/>
      <c r="PPU6" s="36"/>
      <c r="PPV6" s="37"/>
      <c r="PPW6" s="37"/>
      <c r="PQC6" s="2"/>
      <c r="PQD6" s="29"/>
      <c r="PQJ6" s="10"/>
      <c r="PQK6" s="36"/>
      <c r="PQL6" s="37"/>
      <c r="PQM6" s="37"/>
      <c r="PQS6" s="2"/>
      <c r="PQT6" s="29"/>
      <c r="PQZ6" s="10"/>
      <c r="PRA6" s="36"/>
      <c r="PRB6" s="37"/>
      <c r="PRC6" s="37"/>
      <c r="PRI6" s="2"/>
      <c r="PRJ6" s="29"/>
      <c r="PRP6" s="10"/>
      <c r="PRQ6" s="36"/>
      <c r="PRR6" s="37"/>
      <c r="PRS6" s="37"/>
      <c r="PRY6" s="2"/>
      <c r="PRZ6" s="29"/>
      <c r="PSF6" s="10"/>
      <c r="PSG6" s="36"/>
      <c r="PSH6" s="37"/>
      <c r="PSI6" s="37"/>
      <c r="PSO6" s="2"/>
      <c r="PSP6" s="29"/>
      <c r="PSV6" s="10"/>
      <c r="PSW6" s="36"/>
      <c r="PSX6" s="37"/>
      <c r="PSY6" s="37"/>
      <c r="PTE6" s="2"/>
      <c r="PTF6" s="29"/>
      <c r="PTL6" s="10"/>
      <c r="PTM6" s="36"/>
      <c r="PTN6" s="37"/>
      <c r="PTO6" s="37"/>
      <c r="PTU6" s="2"/>
      <c r="PTV6" s="29"/>
      <c r="PUB6" s="10"/>
      <c r="PUC6" s="36"/>
      <c r="PUD6" s="37"/>
      <c r="PUE6" s="37"/>
      <c r="PUK6" s="2"/>
      <c r="PUL6" s="29"/>
      <c r="PUR6" s="10"/>
      <c r="PUS6" s="36"/>
      <c r="PUT6" s="37"/>
      <c r="PUU6" s="37"/>
      <c r="PVA6" s="2"/>
      <c r="PVB6" s="29"/>
      <c r="PVH6" s="10"/>
      <c r="PVI6" s="36"/>
      <c r="PVJ6" s="37"/>
      <c r="PVK6" s="37"/>
      <c r="PVQ6" s="2"/>
      <c r="PVR6" s="29"/>
      <c r="PVX6" s="10"/>
      <c r="PVY6" s="36"/>
      <c r="PVZ6" s="37"/>
      <c r="PWA6" s="37"/>
      <c r="PWG6" s="2"/>
      <c r="PWH6" s="29"/>
      <c r="PWN6" s="10"/>
      <c r="PWO6" s="36"/>
      <c r="PWP6" s="37"/>
      <c r="PWQ6" s="37"/>
      <c r="PWW6" s="2"/>
      <c r="PWX6" s="29"/>
      <c r="PXD6" s="10"/>
      <c r="PXE6" s="36"/>
      <c r="PXF6" s="37"/>
      <c r="PXG6" s="37"/>
      <c r="PXM6" s="2"/>
      <c r="PXN6" s="29"/>
      <c r="PXT6" s="10"/>
      <c r="PXU6" s="36"/>
      <c r="PXV6" s="37"/>
      <c r="PXW6" s="37"/>
      <c r="PYC6" s="2"/>
      <c r="PYD6" s="29"/>
      <c r="PYJ6" s="10"/>
      <c r="PYK6" s="36"/>
      <c r="PYL6" s="37"/>
      <c r="PYM6" s="37"/>
      <c r="PYS6" s="2"/>
      <c r="PYT6" s="29"/>
      <c r="PYZ6" s="10"/>
      <c r="PZA6" s="36"/>
      <c r="PZB6" s="37"/>
      <c r="PZC6" s="37"/>
      <c r="PZI6" s="2"/>
      <c r="PZJ6" s="29"/>
      <c r="PZP6" s="10"/>
      <c r="PZQ6" s="36"/>
      <c r="PZR6" s="37"/>
      <c r="PZS6" s="37"/>
      <c r="PZY6" s="2"/>
      <c r="PZZ6" s="29"/>
      <c r="QAF6" s="10"/>
      <c r="QAG6" s="36"/>
      <c r="QAH6" s="37"/>
      <c r="QAI6" s="37"/>
      <c r="QAO6" s="2"/>
      <c r="QAP6" s="29"/>
      <c r="QAV6" s="10"/>
      <c r="QAW6" s="36"/>
      <c r="QAX6" s="37"/>
      <c r="QAY6" s="37"/>
      <c r="QBE6" s="2"/>
      <c r="QBF6" s="29"/>
      <c r="QBL6" s="10"/>
      <c r="QBM6" s="36"/>
      <c r="QBN6" s="37"/>
      <c r="QBO6" s="37"/>
      <c r="QBU6" s="2"/>
      <c r="QBV6" s="29"/>
      <c r="QCB6" s="10"/>
      <c r="QCC6" s="36"/>
      <c r="QCD6" s="37"/>
      <c r="QCE6" s="37"/>
      <c r="QCK6" s="2"/>
      <c r="QCL6" s="29"/>
      <c r="QCR6" s="10"/>
      <c r="QCS6" s="36"/>
      <c r="QCT6" s="37"/>
      <c r="QCU6" s="37"/>
      <c r="QDA6" s="2"/>
      <c r="QDB6" s="29"/>
      <c r="QDH6" s="10"/>
      <c r="QDI6" s="36"/>
      <c r="QDJ6" s="37"/>
      <c r="QDK6" s="37"/>
      <c r="QDQ6" s="2"/>
      <c r="QDR6" s="29"/>
      <c r="QDX6" s="10"/>
      <c r="QDY6" s="36"/>
      <c r="QDZ6" s="37"/>
      <c r="QEA6" s="37"/>
      <c r="QEG6" s="2"/>
      <c r="QEH6" s="29"/>
      <c r="QEN6" s="10"/>
      <c r="QEO6" s="36"/>
      <c r="QEP6" s="37"/>
      <c r="QEQ6" s="37"/>
      <c r="QEW6" s="2"/>
      <c r="QEX6" s="29"/>
      <c r="QFD6" s="10"/>
      <c r="QFE6" s="36"/>
      <c r="QFF6" s="37"/>
      <c r="QFG6" s="37"/>
      <c r="QFM6" s="2"/>
      <c r="QFN6" s="29"/>
      <c r="QFT6" s="10"/>
      <c r="QFU6" s="36"/>
      <c r="QFV6" s="37"/>
      <c r="QFW6" s="37"/>
      <c r="QGC6" s="2"/>
      <c r="QGD6" s="29"/>
      <c r="QGJ6" s="10"/>
      <c r="QGK6" s="36"/>
      <c r="QGL6" s="37"/>
      <c r="QGM6" s="37"/>
      <c r="QGS6" s="2"/>
      <c r="QGT6" s="29"/>
      <c r="QGZ6" s="10"/>
      <c r="QHA6" s="36"/>
      <c r="QHB6" s="37"/>
      <c r="QHC6" s="37"/>
      <c r="QHI6" s="2"/>
      <c r="QHJ6" s="29"/>
      <c r="QHP6" s="10"/>
      <c r="QHQ6" s="36"/>
      <c r="QHR6" s="37"/>
      <c r="QHS6" s="37"/>
      <c r="QHY6" s="2"/>
      <c r="QHZ6" s="29"/>
      <c r="QIF6" s="10"/>
      <c r="QIG6" s="36"/>
      <c r="QIH6" s="37"/>
      <c r="QII6" s="37"/>
      <c r="QIO6" s="2"/>
      <c r="QIP6" s="29"/>
      <c r="QIV6" s="10"/>
      <c r="QIW6" s="36"/>
      <c r="QIX6" s="37"/>
      <c r="QIY6" s="37"/>
      <c r="QJE6" s="2"/>
      <c r="QJF6" s="29"/>
      <c r="QJL6" s="10"/>
      <c r="QJM6" s="36"/>
      <c r="QJN6" s="37"/>
      <c r="QJO6" s="37"/>
      <c r="QJU6" s="2"/>
      <c r="QJV6" s="29"/>
      <c r="QKB6" s="10"/>
      <c r="QKC6" s="36"/>
      <c r="QKD6" s="37"/>
      <c r="QKE6" s="37"/>
      <c r="QKK6" s="2"/>
      <c r="QKL6" s="29"/>
      <c r="QKR6" s="10"/>
      <c r="QKS6" s="36"/>
      <c r="QKT6" s="37"/>
      <c r="QKU6" s="37"/>
      <c r="QLA6" s="2"/>
      <c r="QLB6" s="29"/>
      <c r="QLH6" s="10"/>
      <c r="QLI6" s="36"/>
      <c r="QLJ6" s="37"/>
      <c r="QLK6" s="37"/>
      <c r="QLQ6" s="2"/>
      <c r="QLR6" s="29"/>
      <c r="QLX6" s="10"/>
      <c r="QLY6" s="36"/>
      <c r="QLZ6" s="37"/>
      <c r="QMA6" s="37"/>
      <c r="QMG6" s="2"/>
      <c r="QMH6" s="29"/>
      <c r="QMN6" s="10"/>
      <c r="QMO6" s="36"/>
      <c r="QMP6" s="37"/>
      <c r="QMQ6" s="37"/>
      <c r="QMW6" s="2"/>
      <c r="QMX6" s="29"/>
      <c r="QND6" s="10"/>
      <c r="QNE6" s="36"/>
      <c r="QNF6" s="37"/>
      <c r="QNG6" s="37"/>
      <c r="QNM6" s="2"/>
      <c r="QNN6" s="29"/>
      <c r="QNT6" s="10"/>
      <c r="QNU6" s="36"/>
      <c r="QNV6" s="37"/>
      <c r="QNW6" s="37"/>
      <c r="QOC6" s="2"/>
      <c r="QOD6" s="29"/>
      <c r="QOJ6" s="10"/>
      <c r="QOK6" s="36"/>
      <c r="QOL6" s="37"/>
      <c r="QOM6" s="37"/>
      <c r="QOS6" s="2"/>
      <c r="QOT6" s="29"/>
      <c r="QOZ6" s="10"/>
      <c r="QPA6" s="36"/>
      <c r="QPB6" s="37"/>
      <c r="QPC6" s="37"/>
      <c r="QPI6" s="2"/>
      <c r="QPJ6" s="29"/>
      <c r="QPP6" s="10"/>
      <c r="QPQ6" s="36"/>
      <c r="QPR6" s="37"/>
      <c r="QPS6" s="37"/>
      <c r="QPY6" s="2"/>
      <c r="QPZ6" s="29"/>
      <c r="QQF6" s="10"/>
      <c r="QQG6" s="36"/>
      <c r="QQH6" s="37"/>
      <c r="QQI6" s="37"/>
      <c r="QQO6" s="2"/>
      <c r="QQP6" s="29"/>
      <c r="QQV6" s="10"/>
      <c r="QQW6" s="36"/>
      <c r="QQX6" s="37"/>
      <c r="QQY6" s="37"/>
      <c r="QRE6" s="2"/>
      <c r="QRF6" s="29"/>
      <c r="QRL6" s="10"/>
      <c r="QRM6" s="36"/>
      <c r="QRN6" s="37"/>
      <c r="QRO6" s="37"/>
      <c r="QRU6" s="2"/>
      <c r="QRV6" s="29"/>
      <c r="QSB6" s="10"/>
      <c r="QSC6" s="36"/>
      <c r="QSD6" s="37"/>
      <c r="QSE6" s="37"/>
      <c r="QSK6" s="2"/>
      <c r="QSL6" s="29"/>
      <c r="QSR6" s="10"/>
      <c r="QSS6" s="36"/>
      <c r="QST6" s="37"/>
      <c r="QSU6" s="37"/>
      <c r="QTA6" s="2"/>
      <c r="QTB6" s="29"/>
      <c r="QTH6" s="10"/>
      <c r="QTI6" s="36"/>
      <c r="QTJ6" s="37"/>
      <c r="QTK6" s="37"/>
      <c r="QTQ6" s="2"/>
      <c r="QTR6" s="29"/>
      <c r="QTX6" s="10"/>
      <c r="QTY6" s="36"/>
      <c r="QTZ6" s="37"/>
      <c r="QUA6" s="37"/>
      <c r="QUG6" s="2"/>
      <c r="QUH6" s="29"/>
      <c r="QUN6" s="10"/>
      <c r="QUO6" s="36"/>
      <c r="QUP6" s="37"/>
      <c r="QUQ6" s="37"/>
      <c r="QUW6" s="2"/>
      <c r="QUX6" s="29"/>
      <c r="QVD6" s="10"/>
      <c r="QVE6" s="36"/>
      <c r="QVF6" s="37"/>
      <c r="QVG6" s="37"/>
      <c r="QVM6" s="2"/>
      <c r="QVN6" s="29"/>
      <c r="QVT6" s="10"/>
      <c r="QVU6" s="36"/>
      <c r="QVV6" s="37"/>
      <c r="QVW6" s="37"/>
      <c r="QWC6" s="2"/>
      <c r="QWD6" s="29"/>
      <c r="QWJ6" s="10"/>
      <c r="QWK6" s="36"/>
      <c r="QWL6" s="37"/>
      <c r="QWM6" s="37"/>
      <c r="QWS6" s="2"/>
      <c r="QWT6" s="29"/>
      <c r="QWZ6" s="10"/>
      <c r="QXA6" s="36"/>
      <c r="QXB6" s="37"/>
      <c r="QXC6" s="37"/>
      <c r="QXI6" s="2"/>
      <c r="QXJ6" s="29"/>
      <c r="QXP6" s="10"/>
      <c r="QXQ6" s="36"/>
      <c r="QXR6" s="37"/>
      <c r="QXS6" s="37"/>
      <c r="QXY6" s="2"/>
      <c r="QXZ6" s="29"/>
      <c r="QYF6" s="10"/>
      <c r="QYG6" s="36"/>
      <c r="QYH6" s="37"/>
      <c r="QYI6" s="37"/>
      <c r="QYO6" s="2"/>
      <c r="QYP6" s="29"/>
      <c r="QYV6" s="10"/>
      <c r="QYW6" s="36"/>
      <c r="QYX6" s="37"/>
      <c r="QYY6" s="37"/>
      <c r="QZE6" s="2"/>
      <c r="QZF6" s="29"/>
      <c r="QZL6" s="10"/>
      <c r="QZM6" s="36"/>
      <c r="QZN6" s="37"/>
      <c r="QZO6" s="37"/>
      <c r="QZU6" s="2"/>
      <c r="QZV6" s="29"/>
      <c r="RAB6" s="10"/>
      <c r="RAC6" s="36"/>
      <c r="RAD6" s="37"/>
      <c r="RAE6" s="37"/>
      <c r="RAK6" s="2"/>
      <c r="RAL6" s="29"/>
      <c r="RAR6" s="10"/>
      <c r="RAS6" s="36"/>
      <c r="RAT6" s="37"/>
      <c r="RAU6" s="37"/>
      <c r="RBA6" s="2"/>
      <c r="RBB6" s="29"/>
      <c r="RBH6" s="10"/>
      <c r="RBI6" s="36"/>
      <c r="RBJ6" s="37"/>
      <c r="RBK6" s="37"/>
      <c r="RBQ6" s="2"/>
      <c r="RBR6" s="29"/>
      <c r="RBX6" s="10"/>
      <c r="RBY6" s="36"/>
      <c r="RBZ6" s="37"/>
      <c r="RCA6" s="37"/>
      <c r="RCG6" s="2"/>
      <c r="RCH6" s="29"/>
      <c r="RCN6" s="10"/>
      <c r="RCO6" s="36"/>
      <c r="RCP6" s="37"/>
      <c r="RCQ6" s="37"/>
      <c r="RCW6" s="2"/>
      <c r="RCX6" s="29"/>
      <c r="RDD6" s="10"/>
      <c r="RDE6" s="36"/>
      <c r="RDF6" s="37"/>
      <c r="RDG6" s="37"/>
      <c r="RDM6" s="2"/>
      <c r="RDN6" s="29"/>
      <c r="RDT6" s="10"/>
      <c r="RDU6" s="36"/>
      <c r="RDV6" s="37"/>
      <c r="RDW6" s="37"/>
      <c r="REC6" s="2"/>
      <c r="RED6" s="29"/>
      <c r="REJ6" s="10"/>
      <c r="REK6" s="36"/>
      <c r="REL6" s="37"/>
      <c r="REM6" s="37"/>
      <c r="RES6" s="2"/>
      <c r="RET6" s="29"/>
      <c r="REZ6" s="10"/>
      <c r="RFA6" s="36"/>
      <c r="RFB6" s="37"/>
      <c r="RFC6" s="37"/>
      <c r="RFI6" s="2"/>
      <c r="RFJ6" s="29"/>
      <c r="RFP6" s="10"/>
      <c r="RFQ6" s="36"/>
      <c r="RFR6" s="37"/>
      <c r="RFS6" s="37"/>
      <c r="RFY6" s="2"/>
      <c r="RFZ6" s="29"/>
      <c r="RGF6" s="10"/>
      <c r="RGG6" s="36"/>
      <c r="RGH6" s="37"/>
      <c r="RGI6" s="37"/>
      <c r="RGO6" s="2"/>
      <c r="RGP6" s="29"/>
      <c r="RGV6" s="10"/>
      <c r="RGW6" s="36"/>
      <c r="RGX6" s="37"/>
      <c r="RGY6" s="37"/>
      <c r="RHE6" s="2"/>
      <c r="RHF6" s="29"/>
      <c r="RHL6" s="10"/>
      <c r="RHM6" s="36"/>
      <c r="RHN6" s="37"/>
      <c r="RHO6" s="37"/>
      <c r="RHU6" s="2"/>
      <c r="RHV6" s="29"/>
      <c r="RIB6" s="10"/>
      <c r="RIC6" s="36"/>
      <c r="RID6" s="37"/>
      <c r="RIE6" s="37"/>
      <c r="RIK6" s="2"/>
      <c r="RIL6" s="29"/>
      <c r="RIR6" s="10"/>
      <c r="RIS6" s="36"/>
      <c r="RIT6" s="37"/>
      <c r="RIU6" s="37"/>
      <c r="RJA6" s="2"/>
      <c r="RJB6" s="29"/>
      <c r="RJH6" s="10"/>
      <c r="RJI6" s="36"/>
      <c r="RJJ6" s="37"/>
      <c r="RJK6" s="37"/>
      <c r="RJQ6" s="2"/>
      <c r="RJR6" s="29"/>
      <c r="RJX6" s="10"/>
      <c r="RJY6" s="36"/>
      <c r="RJZ6" s="37"/>
      <c r="RKA6" s="37"/>
      <c r="RKG6" s="2"/>
      <c r="RKH6" s="29"/>
      <c r="RKN6" s="10"/>
      <c r="RKO6" s="36"/>
      <c r="RKP6" s="37"/>
      <c r="RKQ6" s="37"/>
      <c r="RKW6" s="2"/>
      <c r="RKX6" s="29"/>
      <c r="RLD6" s="10"/>
      <c r="RLE6" s="36"/>
      <c r="RLF6" s="37"/>
      <c r="RLG6" s="37"/>
      <c r="RLM6" s="2"/>
      <c r="RLN6" s="29"/>
      <c r="RLT6" s="10"/>
      <c r="RLU6" s="36"/>
      <c r="RLV6" s="37"/>
      <c r="RLW6" s="37"/>
      <c r="RMC6" s="2"/>
      <c r="RMD6" s="29"/>
      <c r="RMJ6" s="10"/>
      <c r="RMK6" s="36"/>
      <c r="RML6" s="37"/>
      <c r="RMM6" s="37"/>
      <c r="RMS6" s="2"/>
      <c r="RMT6" s="29"/>
      <c r="RMZ6" s="10"/>
      <c r="RNA6" s="36"/>
      <c r="RNB6" s="37"/>
      <c r="RNC6" s="37"/>
      <c r="RNI6" s="2"/>
      <c r="RNJ6" s="29"/>
      <c r="RNP6" s="10"/>
      <c r="RNQ6" s="36"/>
      <c r="RNR6" s="37"/>
      <c r="RNS6" s="37"/>
      <c r="RNY6" s="2"/>
      <c r="RNZ6" s="29"/>
      <c r="ROF6" s="10"/>
      <c r="ROG6" s="36"/>
      <c r="ROH6" s="37"/>
      <c r="ROI6" s="37"/>
      <c r="ROO6" s="2"/>
      <c r="ROP6" s="29"/>
      <c r="ROV6" s="10"/>
      <c r="ROW6" s="36"/>
      <c r="ROX6" s="37"/>
      <c r="ROY6" s="37"/>
      <c r="RPE6" s="2"/>
      <c r="RPF6" s="29"/>
      <c r="RPL6" s="10"/>
      <c r="RPM6" s="36"/>
      <c r="RPN6" s="37"/>
      <c r="RPO6" s="37"/>
      <c r="RPU6" s="2"/>
      <c r="RPV6" s="29"/>
      <c r="RQB6" s="10"/>
      <c r="RQC6" s="36"/>
      <c r="RQD6" s="37"/>
      <c r="RQE6" s="37"/>
      <c r="RQK6" s="2"/>
      <c r="RQL6" s="29"/>
      <c r="RQR6" s="10"/>
      <c r="RQS6" s="36"/>
      <c r="RQT6" s="37"/>
      <c r="RQU6" s="37"/>
      <c r="RRA6" s="2"/>
      <c r="RRB6" s="29"/>
      <c r="RRH6" s="10"/>
      <c r="RRI6" s="36"/>
      <c r="RRJ6" s="37"/>
      <c r="RRK6" s="37"/>
      <c r="RRQ6" s="2"/>
      <c r="RRR6" s="29"/>
      <c r="RRX6" s="10"/>
      <c r="RRY6" s="36"/>
      <c r="RRZ6" s="37"/>
      <c r="RSA6" s="37"/>
      <c r="RSG6" s="2"/>
      <c r="RSH6" s="29"/>
      <c r="RSN6" s="10"/>
      <c r="RSO6" s="36"/>
      <c r="RSP6" s="37"/>
      <c r="RSQ6" s="37"/>
      <c r="RSW6" s="2"/>
      <c r="RSX6" s="29"/>
      <c r="RTD6" s="10"/>
      <c r="RTE6" s="36"/>
      <c r="RTF6" s="37"/>
      <c r="RTG6" s="37"/>
      <c r="RTM6" s="2"/>
      <c r="RTN6" s="29"/>
      <c r="RTT6" s="10"/>
      <c r="RTU6" s="36"/>
      <c r="RTV6" s="37"/>
      <c r="RTW6" s="37"/>
      <c r="RUC6" s="2"/>
      <c r="RUD6" s="29"/>
      <c r="RUJ6" s="10"/>
      <c r="RUK6" s="36"/>
      <c r="RUL6" s="37"/>
      <c r="RUM6" s="37"/>
      <c r="RUS6" s="2"/>
      <c r="RUT6" s="29"/>
      <c r="RUZ6" s="10"/>
      <c r="RVA6" s="36"/>
      <c r="RVB6" s="37"/>
      <c r="RVC6" s="37"/>
      <c r="RVI6" s="2"/>
      <c r="RVJ6" s="29"/>
      <c r="RVP6" s="10"/>
      <c r="RVQ6" s="36"/>
      <c r="RVR6" s="37"/>
      <c r="RVS6" s="37"/>
      <c r="RVY6" s="2"/>
      <c r="RVZ6" s="29"/>
      <c r="RWF6" s="10"/>
      <c r="RWG6" s="36"/>
      <c r="RWH6" s="37"/>
      <c r="RWI6" s="37"/>
      <c r="RWO6" s="2"/>
      <c r="RWP6" s="29"/>
      <c r="RWV6" s="10"/>
      <c r="RWW6" s="36"/>
      <c r="RWX6" s="37"/>
      <c r="RWY6" s="37"/>
      <c r="RXE6" s="2"/>
      <c r="RXF6" s="29"/>
      <c r="RXL6" s="10"/>
      <c r="RXM6" s="36"/>
      <c r="RXN6" s="37"/>
      <c r="RXO6" s="37"/>
      <c r="RXU6" s="2"/>
      <c r="RXV6" s="29"/>
      <c r="RYB6" s="10"/>
      <c r="RYC6" s="36"/>
      <c r="RYD6" s="37"/>
      <c r="RYE6" s="37"/>
      <c r="RYK6" s="2"/>
      <c r="RYL6" s="29"/>
      <c r="RYR6" s="10"/>
      <c r="RYS6" s="36"/>
      <c r="RYT6" s="37"/>
      <c r="RYU6" s="37"/>
      <c r="RZA6" s="2"/>
      <c r="RZB6" s="29"/>
      <c r="RZH6" s="10"/>
      <c r="RZI6" s="36"/>
      <c r="RZJ6" s="37"/>
      <c r="RZK6" s="37"/>
      <c r="RZQ6" s="2"/>
      <c r="RZR6" s="29"/>
      <c r="RZX6" s="10"/>
      <c r="RZY6" s="36"/>
      <c r="RZZ6" s="37"/>
      <c r="SAA6" s="37"/>
      <c r="SAG6" s="2"/>
      <c r="SAH6" s="29"/>
      <c r="SAN6" s="10"/>
      <c r="SAO6" s="36"/>
      <c r="SAP6" s="37"/>
      <c r="SAQ6" s="37"/>
      <c r="SAW6" s="2"/>
      <c r="SAX6" s="29"/>
      <c r="SBD6" s="10"/>
      <c r="SBE6" s="36"/>
      <c r="SBF6" s="37"/>
      <c r="SBG6" s="37"/>
      <c r="SBM6" s="2"/>
      <c r="SBN6" s="29"/>
      <c r="SBT6" s="10"/>
      <c r="SBU6" s="36"/>
      <c r="SBV6" s="37"/>
      <c r="SBW6" s="37"/>
      <c r="SCC6" s="2"/>
      <c r="SCD6" s="29"/>
      <c r="SCJ6" s="10"/>
      <c r="SCK6" s="36"/>
      <c r="SCL6" s="37"/>
      <c r="SCM6" s="37"/>
      <c r="SCS6" s="2"/>
      <c r="SCT6" s="29"/>
      <c r="SCZ6" s="10"/>
      <c r="SDA6" s="36"/>
      <c r="SDB6" s="37"/>
      <c r="SDC6" s="37"/>
      <c r="SDI6" s="2"/>
      <c r="SDJ6" s="29"/>
      <c r="SDP6" s="10"/>
      <c r="SDQ6" s="36"/>
      <c r="SDR6" s="37"/>
      <c r="SDS6" s="37"/>
      <c r="SDY6" s="2"/>
      <c r="SDZ6" s="29"/>
      <c r="SEF6" s="10"/>
      <c r="SEG6" s="36"/>
      <c r="SEH6" s="37"/>
      <c r="SEI6" s="37"/>
      <c r="SEO6" s="2"/>
      <c r="SEP6" s="29"/>
      <c r="SEV6" s="10"/>
      <c r="SEW6" s="36"/>
      <c r="SEX6" s="37"/>
      <c r="SEY6" s="37"/>
      <c r="SFE6" s="2"/>
      <c r="SFF6" s="29"/>
      <c r="SFL6" s="10"/>
      <c r="SFM6" s="36"/>
      <c r="SFN6" s="37"/>
      <c r="SFO6" s="37"/>
      <c r="SFU6" s="2"/>
      <c r="SFV6" s="29"/>
      <c r="SGB6" s="10"/>
      <c r="SGC6" s="36"/>
      <c r="SGD6" s="37"/>
      <c r="SGE6" s="37"/>
      <c r="SGK6" s="2"/>
      <c r="SGL6" s="29"/>
      <c r="SGR6" s="10"/>
      <c r="SGS6" s="36"/>
      <c r="SGT6" s="37"/>
      <c r="SGU6" s="37"/>
      <c r="SHA6" s="2"/>
      <c r="SHB6" s="29"/>
      <c r="SHH6" s="10"/>
      <c r="SHI6" s="36"/>
      <c r="SHJ6" s="37"/>
      <c r="SHK6" s="37"/>
      <c r="SHQ6" s="2"/>
      <c r="SHR6" s="29"/>
      <c r="SHX6" s="10"/>
      <c r="SHY6" s="36"/>
      <c r="SHZ6" s="37"/>
      <c r="SIA6" s="37"/>
      <c r="SIG6" s="2"/>
      <c r="SIH6" s="29"/>
      <c r="SIN6" s="10"/>
      <c r="SIO6" s="36"/>
      <c r="SIP6" s="37"/>
      <c r="SIQ6" s="37"/>
      <c r="SIW6" s="2"/>
      <c r="SIX6" s="29"/>
      <c r="SJD6" s="10"/>
      <c r="SJE6" s="36"/>
      <c r="SJF6" s="37"/>
      <c r="SJG6" s="37"/>
      <c r="SJM6" s="2"/>
      <c r="SJN6" s="29"/>
      <c r="SJT6" s="10"/>
      <c r="SJU6" s="36"/>
      <c r="SJV6" s="37"/>
      <c r="SJW6" s="37"/>
      <c r="SKC6" s="2"/>
      <c r="SKD6" s="29"/>
      <c r="SKJ6" s="10"/>
      <c r="SKK6" s="36"/>
      <c r="SKL6" s="37"/>
      <c r="SKM6" s="37"/>
      <c r="SKS6" s="2"/>
      <c r="SKT6" s="29"/>
      <c r="SKZ6" s="10"/>
      <c r="SLA6" s="36"/>
      <c r="SLB6" s="37"/>
      <c r="SLC6" s="37"/>
      <c r="SLI6" s="2"/>
      <c r="SLJ6" s="29"/>
      <c r="SLP6" s="10"/>
      <c r="SLQ6" s="36"/>
      <c r="SLR6" s="37"/>
      <c r="SLS6" s="37"/>
      <c r="SLY6" s="2"/>
      <c r="SLZ6" s="29"/>
      <c r="SMF6" s="10"/>
      <c r="SMG6" s="36"/>
      <c r="SMH6" s="37"/>
      <c r="SMI6" s="37"/>
      <c r="SMO6" s="2"/>
      <c r="SMP6" s="29"/>
      <c r="SMV6" s="10"/>
      <c r="SMW6" s="36"/>
      <c r="SMX6" s="37"/>
      <c r="SMY6" s="37"/>
      <c r="SNE6" s="2"/>
      <c r="SNF6" s="29"/>
      <c r="SNL6" s="10"/>
      <c r="SNM6" s="36"/>
      <c r="SNN6" s="37"/>
      <c r="SNO6" s="37"/>
      <c r="SNU6" s="2"/>
      <c r="SNV6" s="29"/>
      <c r="SOB6" s="10"/>
      <c r="SOC6" s="36"/>
      <c r="SOD6" s="37"/>
      <c r="SOE6" s="37"/>
      <c r="SOK6" s="2"/>
      <c r="SOL6" s="29"/>
      <c r="SOR6" s="10"/>
      <c r="SOS6" s="36"/>
      <c r="SOT6" s="37"/>
      <c r="SOU6" s="37"/>
      <c r="SPA6" s="2"/>
      <c r="SPB6" s="29"/>
      <c r="SPH6" s="10"/>
      <c r="SPI6" s="36"/>
      <c r="SPJ6" s="37"/>
      <c r="SPK6" s="37"/>
      <c r="SPQ6" s="2"/>
      <c r="SPR6" s="29"/>
      <c r="SPX6" s="10"/>
      <c r="SPY6" s="36"/>
      <c r="SPZ6" s="37"/>
      <c r="SQA6" s="37"/>
      <c r="SQG6" s="2"/>
      <c r="SQH6" s="29"/>
      <c r="SQN6" s="10"/>
      <c r="SQO6" s="36"/>
      <c r="SQP6" s="37"/>
      <c r="SQQ6" s="37"/>
      <c r="SQW6" s="2"/>
      <c r="SQX6" s="29"/>
      <c r="SRD6" s="10"/>
      <c r="SRE6" s="36"/>
      <c r="SRF6" s="37"/>
      <c r="SRG6" s="37"/>
      <c r="SRM6" s="2"/>
      <c r="SRN6" s="29"/>
      <c r="SRT6" s="10"/>
      <c r="SRU6" s="36"/>
      <c r="SRV6" s="37"/>
      <c r="SRW6" s="37"/>
      <c r="SSC6" s="2"/>
      <c r="SSD6" s="29"/>
      <c r="SSJ6" s="10"/>
      <c r="SSK6" s="36"/>
      <c r="SSL6" s="37"/>
      <c r="SSM6" s="37"/>
      <c r="SSS6" s="2"/>
      <c r="SST6" s="29"/>
      <c r="SSZ6" s="10"/>
      <c r="STA6" s="36"/>
      <c r="STB6" s="37"/>
      <c r="STC6" s="37"/>
      <c r="STI6" s="2"/>
      <c r="STJ6" s="29"/>
      <c r="STP6" s="10"/>
      <c r="STQ6" s="36"/>
      <c r="STR6" s="37"/>
      <c r="STS6" s="37"/>
      <c r="STY6" s="2"/>
      <c r="STZ6" s="29"/>
      <c r="SUF6" s="10"/>
      <c r="SUG6" s="36"/>
      <c r="SUH6" s="37"/>
      <c r="SUI6" s="37"/>
      <c r="SUO6" s="2"/>
      <c r="SUP6" s="29"/>
      <c r="SUV6" s="10"/>
      <c r="SUW6" s="36"/>
      <c r="SUX6" s="37"/>
      <c r="SUY6" s="37"/>
      <c r="SVE6" s="2"/>
      <c r="SVF6" s="29"/>
      <c r="SVL6" s="10"/>
      <c r="SVM6" s="36"/>
      <c r="SVN6" s="37"/>
      <c r="SVO6" s="37"/>
      <c r="SVU6" s="2"/>
      <c r="SVV6" s="29"/>
      <c r="SWB6" s="10"/>
      <c r="SWC6" s="36"/>
      <c r="SWD6" s="37"/>
      <c r="SWE6" s="37"/>
      <c r="SWK6" s="2"/>
      <c r="SWL6" s="29"/>
      <c r="SWR6" s="10"/>
      <c r="SWS6" s="36"/>
      <c r="SWT6" s="37"/>
      <c r="SWU6" s="37"/>
      <c r="SXA6" s="2"/>
      <c r="SXB6" s="29"/>
      <c r="SXH6" s="10"/>
      <c r="SXI6" s="36"/>
      <c r="SXJ6" s="37"/>
      <c r="SXK6" s="37"/>
      <c r="SXQ6" s="2"/>
      <c r="SXR6" s="29"/>
      <c r="SXX6" s="10"/>
      <c r="SXY6" s="36"/>
      <c r="SXZ6" s="37"/>
      <c r="SYA6" s="37"/>
      <c r="SYG6" s="2"/>
      <c r="SYH6" s="29"/>
      <c r="SYN6" s="10"/>
      <c r="SYO6" s="36"/>
      <c r="SYP6" s="37"/>
      <c r="SYQ6" s="37"/>
      <c r="SYW6" s="2"/>
      <c r="SYX6" s="29"/>
      <c r="SZD6" s="10"/>
      <c r="SZE6" s="36"/>
      <c r="SZF6" s="37"/>
      <c r="SZG6" s="37"/>
      <c r="SZM6" s="2"/>
      <c r="SZN6" s="29"/>
      <c r="SZT6" s="10"/>
      <c r="SZU6" s="36"/>
      <c r="SZV6" s="37"/>
      <c r="SZW6" s="37"/>
      <c r="TAC6" s="2"/>
      <c r="TAD6" s="29"/>
      <c r="TAJ6" s="10"/>
      <c r="TAK6" s="36"/>
      <c r="TAL6" s="37"/>
      <c r="TAM6" s="37"/>
      <c r="TAS6" s="2"/>
      <c r="TAT6" s="29"/>
      <c r="TAZ6" s="10"/>
      <c r="TBA6" s="36"/>
      <c r="TBB6" s="37"/>
      <c r="TBC6" s="37"/>
      <c r="TBI6" s="2"/>
      <c r="TBJ6" s="29"/>
      <c r="TBP6" s="10"/>
      <c r="TBQ6" s="36"/>
      <c r="TBR6" s="37"/>
      <c r="TBS6" s="37"/>
      <c r="TBY6" s="2"/>
      <c r="TBZ6" s="29"/>
      <c r="TCF6" s="10"/>
      <c r="TCG6" s="36"/>
      <c r="TCH6" s="37"/>
      <c r="TCI6" s="37"/>
      <c r="TCO6" s="2"/>
      <c r="TCP6" s="29"/>
      <c r="TCV6" s="10"/>
      <c r="TCW6" s="36"/>
      <c r="TCX6" s="37"/>
      <c r="TCY6" s="37"/>
      <c r="TDE6" s="2"/>
      <c r="TDF6" s="29"/>
      <c r="TDL6" s="10"/>
      <c r="TDM6" s="36"/>
      <c r="TDN6" s="37"/>
      <c r="TDO6" s="37"/>
      <c r="TDU6" s="2"/>
      <c r="TDV6" s="29"/>
      <c r="TEB6" s="10"/>
      <c r="TEC6" s="36"/>
      <c r="TED6" s="37"/>
      <c r="TEE6" s="37"/>
      <c r="TEK6" s="2"/>
      <c r="TEL6" s="29"/>
      <c r="TER6" s="10"/>
      <c r="TES6" s="36"/>
      <c r="TET6" s="37"/>
      <c r="TEU6" s="37"/>
      <c r="TFA6" s="2"/>
      <c r="TFB6" s="29"/>
      <c r="TFH6" s="10"/>
      <c r="TFI6" s="36"/>
      <c r="TFJ6" s="37"/>
      <c r="TFK6" s="37"/>
      <c r="TFQ6" s="2"/>
      <c r="TFR6" s="29"/>
      <c r="TFX6" s="10"/>
      <c r="TFY6" s="36"/>
      <c r="TFZ6" s="37"/>
      <c r="TGA6" s="37"/>
      <c r="TGG6" s="2"/>
      <c r="TGH6" s="29"/>
      <c r="TGN6" s="10"/>
      <c r="TGO6" s="36"/>
      <c r="TGP6" s="37"/>
      <c r="TGQ6" s="37"/>
      <c r="TGW6" s="2"/>
      <c r="TGX6" s="29"/>
      <c r="THD6" s="10"/>
      <c r="THE6" s="36"/>
      <c r="THF6" s="37"/>
      <c r="THG6" s="37"/>
      <c r="THM6" s="2"/>
      <c r="THN6" s="29"/>
      <c r="THT6" s="10"/>
      <c r="THU6" s="36"/>
      <c r="THV6" s="37"/>
      <c r="THW6" s="37"/>
      <c r="TIC6" s="2"/>
      <c r="TID6" s="29"/>
      <c r="TIJ6" s="10"/>
      <c r="TIK6" s="36"/>
      <c r="TIL6" s="37"/>
      <c r="TIM6" s="37"/>
      <c r="TIS6" s="2"/>
      <c r="TIT6" s="29"/>
      <c r="TIZ6" s="10"/>
      <c r="TJA6" s="36"/>
      <c r="TJB6" s="37"/>
      <c r="TJC6" s="37"/>
      <c r="TJI6" s="2"/>
      <c r="TJJ6" s="29"/>
      <c r="TJP6" s="10"/>
      <c r="TJQ6" s="36"/>
      <c r="TJR6" s="37"/>
      <c r="TJS6" s="37"/>
      <c r="TJY6" s="2"/>
      <c r="TJZ6" s="29"/>
      <c r="TKF6" s="10"/>
      <c r="TKG6" s="36"/>
      <c r="TKH6" s="37"/>
      <c r="TKI6" s="37"/>
      <c r="TKO6" s="2"/>
      <c r="TKP6" s="29"/>
      <c r="TKV6" s="10"/>
      <c r="TKW6" s="36"/>
      <c r="TKX6" s="37"/>
      <c r="TKY6" s="37"/>
      <c r="TLE6" s="2"/>
      <c r="TLF6" s="29"/>
      <c r="TLL6" s="10"/>
      <c r="TLM6" s="36"/>
      <c r="TLN6" s="37"/>
      <c r="TLO6" s="37"/>
      <c r="TLU6" s="2"/>
      <c r="TLV6" s="29"/>
      <c r="TMB6" s="10"/>
      <c r="TMC6" s="36"/>
      <c r="TMD6" s="37"/>
      <c r="TME6" s="37"/>
      <c r="TMK6" s="2"/>
      <c r="TML6" s="29"/>
      <c r="TMR6" s="10"/>
      <c r="TMS6" s="36"/>
      <c r="TMT6" s="37"/>
      <c r="TMU6" s="37"/>
      <c r="TNA6" s="2"/>
      <c r="TNB6" s="29"/>
      <c r="TNH6" s="10"/>
      <c r="TNI6" s="36"/>
      <c r="TNJ6" s="37"/>
      <c r="TNK6" s="37"/>
      <c r="TNQ6" s="2"/>
      <c r="TNR6" s="29"/>
      <c r="TNX6" s="10"/>
      <c r="TNY6" s="36"/>
      <c r="TNZ6" s="37"/>
      <c r="TOA6" s="37"/>
      <c r="TOG6" s="2"/>
      <c r="TOH6" s="29"/>
      <c r="TON6" s="10"/>
      <c r="TOO6" s="36"/>
      <c r="TOP6" s="37"/>
      <c r="TOQ6" s="37"/>
      <c r="TOW6" s="2"/>
      <c r="TOX6" s="29"/>
      <c r="TPD6" s="10"/>
      <c r="TPE6" s="36"/>
      <c r="TPF6" s="37"/>
      <c r="TPG6" s="37"/>
      <c r="TPM6" s="2"/>
      <c r="TPN6" s="29"/>
      <c r="TPT6" s="10"/>
      <c r="TPU6" s="36"/>
      <c r="TPV6" s="37"/>
      <c r="TPW6" s="37"/>
      <c r="TQC6" s="2"/>
      <c r="TQD6" s="29"/>
      <c r="TQJ6" s="10"/>
      <c r="TQK6" s="36"/>
      <c r="TQL6" s="37"/>
      <c r="TQM6" s="37"/>
      <c r="TQS6" s="2"/>
      <c r="TQT6" s="29"/>
      <c r="TQZ6" s="10"/>
      <c r="TRA6" s="36"/>
      <c r="TRB6" s="37"/>
      <c r="TRC6" s="37"/>
      <c r="TRI6" s="2"/>
      <c r="TRJ6" s="29"/>
      <c r="TRP6" s="10"/>
      <c r="TRQ6" s="36"/>
      <c r="TRR6" s="37"/>
      <c r="TRS6" s="37"/>
      <c r="TRY6" s="2"/>
      <c r="TRZ6" s="29"/>
      <c r="TSF6" s="10"/>
      <c r="TSG6" s="36"/>
      <c r="TSH6" s="37"/>
      <c r="TSI6" s="37"/>
      <c r="TSO6" s="2"/>
      <c r="TSP6" s="29"/>
      <c r="TSV6" s="10"/>
      <c r="TSW6" s="36"/>
      <c r="TSX6" s="37"/>
      <c r="TSY6" s="37"/>
      <c r="TTE6" s="2"/>
      <c r="TTF6" s="29"/>
      <c r="TTL6" s="10"/>
      <c r="TTM6" s="36"/>
      <c r="TTN6" s="37"/>
      <c r="TTO6" s="37"/>
      <c r="TTU6" s="2"/>
      <c r="TTV6" s="29"/>
      <c r="TUB6" s="10"/>
      <c r="TUC6" s="36"/>
      <c r="TUD6" s="37"/>
      <c r="TUE6" s="37"/>
      <c r="TUK6" s="2"/>
      <c r="TUL6" s="29"/>
      <c r="TUR6" s="10"/>
      <c r="TUS6" s="36"/>
      <c r="TUT6" s="37"/>
      <c r="TUU6" s="37"/>
      <c r="TVA6" s="2"/>
      <c r="TVB6" s="29"/>
      <c r="TVH6" s="10"/>
      <c r="TVI6" s="36"/>
      <c r="TVJ6" s="37"/>
      <c r="TVK6" s="37"/>
      <c r="TVQ6" s="2"/>
      <c r="TVR6" s="29"/>
      <c r="TVX6" s="10"/>
      <c r="TVY6" s="36"/>
      <c r="TVZ6" s="37"/>
      <c r="TWA6" s="37"/>
      <c r="TWG6" s="2"/>
      <c r="TWH6" s="29"/>
      <c r="TWN6" s="10"/>
      <c r="TWO6" s="36"/>
      <c r="TWP6" s="37"/>
      <c r="TWQ6" s="37"/>
      <c r="TWW6" s="2"/>
      <c r="TWX6" s="29"/>
      <c r="TXD6" s="10"/>
      <c r="TXE6" s="36"/>
      <c r="TXF6" s="37"/>
      <c r="TXG6" s="37"/>
      <c r="TXM6" s="2"/>
      <c r="TXN6" s="29"/>
      <c r="TXT6" s="10"/>
      <c r="TXU6" s="36"/>
      <c r="TXV6" s="37"/>
      <c r="TXW6" s="37"/>
      <c r="TYC6" s="2"/>
      <c r="TYD6" s="29"/>
      <c r="TYJ6" s="10"/>
      <c r="TYK6" s="36"/>
      <c r="TYL6" s="37"/>
      <c r="TYM6" s="37"/>
      <c r="TYS6" s="2"/>
      <c r="TYT6" s="29"/>
      <c r="TYZ6" s="10"/>
      <c r="TZA6" s="36"/>
      <c r="TZB6" s="37"/>
      <c r="TZC6" s="37"/>
      <c r="TZI6" s="2"/>
      <c r="TZJ6" s="29"/>
      <c r="TZP6" s="10"/>
      <c r="TZQ6" s="36"/>
      <c r="TZR6" s="37"/>
      <c r="TZS6" s="37"/>
      <c r="TZY6" s="2"/>
      <c r="TZZ6" s="29"/>
      <c r="UAF6" s="10"/>
      <c r="UAG6" s="36"/>
      <c r="UAH6" s="37"/>
      <c r="UAI6" s="37"/>
      <c r="UAO6" s="2"/>
      <c r="UAP6" s="29"/>
      <c r="UAV6" s="10"/>
      <c r="UAW6" s="36"/>
      <c r="UAX6" s="37"/>
      <c r="UAY6" s="37"/>
      <c r="UBE6" s="2"/>
      <c r="UBF6" s="29"/>
      <c r="UBL6" s="10"/>
      <c r="UBM6" s="36"/>
      <c r="UBN6" s="37"/>
      <c r="UBO6" s="37"/>
      <c r="UBU6" s="2"/>
      <c r="UBV6" s="29"/>
      <c r="UCB6" s="10"/>
      <c r="UCC6" s="36"/>
      <c r="UCD6" s="37"/>
      <c r="UCE6" s="37"/>
      <c r="UCK6" s="2"/>
      <c r="UCL6" s="29"/>
      <c r="UCR6" s="10"/>
      <c r="UCS6" s="36"/>
      <c r="UCT6" s="37"/>
      <c r="UCU6" s="37"/>
      <c r="UDA6" s="2"/>
      <c r="UDB6" s="29"/>
      <c r="UDH6" s="10"/>
      <c r="UDI6" s="36"/>
      <c r="UDJ6" s="37"/>
      <c r="UDK6" s="37"/>
      <c r="UDQ6" s="2"/>
      <c r="UDR6" s="29"/>
      <c r="UDX6" s="10"/>
      <c r="UDY6" s="36"/>
      <c r="UDZ6" s="37"/>
      <c r="UEA6" s="37"/>
      <c r="UEG6" s="2"/>
      <c r="UEH6" s="29"/>
      <c r="UEN6" s="10"/>
      <c r="UEO6" s="36"/>
      <c r="UEP6" s="37"/>
      <c r="UEQ6" s="37"/>
      <c r="UEW6" s="2"/>
      <c r="UEX6" s="29"/>
      <c r="UFD6" s="10"/>
      <c r="UFE6" s="36"/>
      <c r="UFF6" s="37"/>
      <c r="UFG6" s="37"/>
      <c r="UFM6" s="2"/>
      <c r="UFN6" s="29"/>
      <c r="UFT6" s="10"/>
      <c r="UFU6" s="36"/>
      <c r="UFV6" s="37"/>
      <c r="UFW6" s="37"/>
      <c r="UGC6" s="2"/>
      <c r="UGD6" s="29"/>
      <c r="UGJ6" s="10"/>
      <c r="UGK6" s="36"/>
      <c r="UGL6" s="37"/>
      <c r="UGM6" s="37"/>
      <c r="UGS6" s="2"/>
      <c r="UGT6" s="29"/>
      <c r="UGZ6" s="10"/>
      <c r="UHA6" s="36"/>
      <c r="UHB6" s="37"/>
      <c r="UHC6" s="37"/>
      <c r="UHI6" s="2"/>
      <c r="UHJ6" s="29"/>
      <c r="UHP6" s="10"/>
      <c r="UHQ6" s="36"/>
      <c r="UHR6" s="37"/>
      <c r="UHS6" s="37"/>
      <c r="UHY6" s="2"/>
      <c r="UHZ6" s="29"/>
      <c r="UIF6" s="10"/>
      <c r="UIG6" s="36"/>
      <c r="UIH6" s="37"/>
      <c r="UII6" s="37"/>
      <c r="UIO6" s="2"/>
      <c r="UIP6" s="29"/>
      <c r="UIV6" s="10"/>
      <c r="UIW6" s="36"/>
      <c r="UIX6" s="37"/>
      <c r="UIY6" s="37"/>
      <c r="UJE6" s="2"/>
      <c r="UJF6" s="29"/>
      <c r="UJL6" s="10"/>
      <c r="UJM6" s="36"/>
      <c r="UJN6" s="37"/>
      <c r="UJO6" s="37"/>
      <c r="UJU6" s="2"/>
      <c r="UJV6" s="29"/>
      <c r="UKB6" s="10"/>
      <c r="UKC6" s="36"/>
      <c r="UKD6" s="37"/>
      <c r="UKE6" s="37"/>
      <c r="UKK6" s="2"/>
      <c r="UKL6" s="29"/>
      <c r="UKR6" s="10"/>
      <c r="UKS6" s="36"/>
      <c r="UKT6" s="37"/>
      <c r="UKU6" s="37"/>
      <c r="ULA6" s="2"/>
      <c r="ULB6" s="29"/>
      <c r="ULH6" s="10"/>
      <c r="ULI6" s="36"/>
      <c r="ULJ6" s="37"/>
      <c r="ULK6" s="37"/>
      <c r="ULQ6" s="2"/>
      <c r="ULR6" s="29"/>
      <c r="ULX6" s="10"/>
      <c r="ULY6" s="36"/>
      <c r="ULZ6" s="37"/>
      <c r="UMA6" s="37"/>
      <c r="UMG6" s="2"/>
      <c r="UMH6" s="29"/>
      <c r="UMN6" s="10"/>
      <c r="UMO6" s="36"/>
      <c r="UMP6" s="37"/>
      <c r="UMQ6" s="37"/>
      <c r="UMW6" s="2"/>
      <c r="UMX6" s="29"/>
      <c r="UND6" s="10"/>
      <c r="UNE6" s="36"/>
      <c r="UNF6" s="37"/>
      <c r="UNG6" s="37"/>
      <c r="UNM6" s="2"/>
      <c r="UNN6" s="29"/>
      <c r="UNT6" s="10"/>
      <c r="UNU6" s="36"/>
      <c r="UNV6" s="37"/>
      <c r="UNW6" s="37"/>
      <c r="UOC6" s="2"/>
      <c r="UOD6" s="29"/>
      <c r="UOJ6" s="10"/>
      <c r="UOK6" s="36"/>
      <c r="UOL6" s="37"/>
      <c r="UOM6" s="37"/>
      <c r="UOS6" s="2"/>
      <c r="UOT6" s="29"/>
      <c r="UOZ6" s="10"/>
      <c r="UPA6" s="36"/>
      <c r="UPB6" s="37"/>
      <c r="UPC6" s="37"/>
      <c r="UPI6" s="2"/>
      <c r="UPJ6" s="29"/>
      <c r="UPP6" s="10"/>
      <c r="UPQ6" s="36"/>
      <c r="UPR6" s="37"/>
      <c r="UPS6" s="37"/>
      <c r="UPY6" s="2"/>
      <c r="UPZ6" s="29"/>
      <c r="UQF6" s="10"/>
      <c r="UQG6" s="36"/>
      <c r="UQH6" s="37"/>
      <c r="UQI6" s="37"/>
      <c r="UQO6" s="2"/>
      <c r="UQP6" s="29"/>
      <c r="UQV6" s="10"/>
      <c r="UQW6" s="36"/>
      <c r="UQX6" s="37"/>
      <c r="UQY6" s="37"/>
      <c r="URE6" s="2"/>
      <c r="URF6" s="29"/>
      <c r="URL6" s="10"/>
      <c r="URM6" s="36"/>
      <c r="URN6" s="37"/>
      <c r="URO6" s="37"/>
      <c r="URU6" s="2"/>
      <c r="URV6" s="29"/>
      <c r="USB6" s="10"/>
      <c r="USC6" s="36"/>
      <c r="USD6" s="37"/>
      <c r="USE6" s="37"/>
      <c r="USK6" s="2"/>
      <c r="USL6" s="29"/>
      <c r="USR6" s="10"/>
      <c r="USS6" s="36"/>
      <c r="UST6" s="37"/>
      <c r="USU6" s="37"/>
      <c r="UTA6" s="2"/>
      <c r="UTB6" s="29"/>
      <c r="UTH6" s="10"/>
      <c r="UTI6" s="36"/>
      <c r="UTJ6" s="37"/>
      <c r="UTK6" s="37"/>
      <c r="UTQ6" s="2"/>
      <c r="UTR6" s="29"/>
      <c r="UTX6" s="10"/>
      <c r="UTY6" s="36"/>
      <c r="UTZ6" s="37"/>
      <c r="UUA6" s="37"/>
      <c r="UUG6" s="2"/>
      <c r="UUH6" s="29"/>
      <c r="UUN6" s="10"/>
      <c r="UUO6" s="36"/>
      <c r="UUP6" s="37"/>
      <c r="UUQ6" s="37"/>
      <c r="UUW6" s="2"/>
      <c r="UUX6" s="29"/>
      <c r="UVD6" s="10"/>
      <c r="UVE6" s="36"/>
      <c r="UVF6" s="37"/>
      <c r="UVG6" s="37"/>
      <c r="UVM6" s="2"/>
      <c r="UVN6" s="29"/>
      <c r="UVT6" s="10"/>
      <c r="UVU6" s="36"/>
      <c r="UVV6" s="37"/>
      <c r="UVW6" s="37"/>
      <c r="UWC6" s="2"/>
      <c r="UWD6" s="29"/>
      <c r="UWJ6" s="10"/>
      <c r="UWK6" s="36"/>
      <c r="UWL6" s="37"/>
      <c r="UWM6" s="37"/>
      <c r="UWS6" s="2"/>
      <c r="UWT6" s="29"/>
      <c r="UWZ6" s="10"/>
      <c r="UXA6" s="36"/>
      <c r="UXB6" s="37"/>
      <c r="UXC6" s="37"/>
      <c r="UXI6" s="2"/>
      <c r="UXJ6" s="29"/>
      <c r="UXP6" s="10"/>
      <c r="UXQ6" s="36"/>
      <c r="UXR6" s="37"/>
      <c r="UXS6" s="37"/>
      <c r="UXY6" s="2"/>
      <c r="UXZ6" s="29"/>
      <c r="UYF6" s="10"/>
      <c r="UYG6" s="36"/>
      <c r="UYH6" s="37"/>
      <c r="UYI6" s="37"/>
      <c r="UYO6" s="2"/>
      <c r="UYP6" s="29"/>
      <c r="UYV6" s="10"/>
      <c r="UYW6" s="36"/>
      <c r="UYX6" s="37"/>
      <c r="UYY6" s="37"/>
      <c r="UZE6" s="2"/>
      <c r="UZF6" s="29"/>
      <c r="UZL6" s="10"/>
      <c r="UZM6" s="36"/>
      <c r="UZN6" s="37"/>
      <c r="UZO6" s="37"/>
      <c r="UZU6" s="2"/>
      <c r="UZV6" s="29"/>
      <c r="VAB6" s="10"/>
      <c r="VAC6" s="36"/>
      <c r="VAD6" s="37"/>
      <c r="VAE6" s="37"/>
      <c r="VAK6" s="2"/>
      <c r="VAL6" s="29"/>
      <c r="VAR6" s="10"/>
      <c r="VAS6" s="36"/>
      <c r="VAT6" s="37"/>
      <c r="VAU6" s="37"/>
      <c r="VBA6" s="2"/>
      <c r="VBB6" s="29"/>
      <c r="VBH6" s="10"/>
      <c r="VBI6" s="36"/>
      <c r="VBJ6" s="37"/>
      <c r="VBK6" s="37"/>
      <c r="VBQ6" s="2"/>
      <c r="VBR6" s="29"/>
      <c r="VBX6" s="10"/>
      <c r="VBY6" s="36"/>
      <c r="VBZ6" s="37"/>
      <c r="VCA6" s="37"/>
      <c r="VCG6" s="2"/>
      <c r="VCH6" s="29"/>
      <c r="VCN6" s="10"/>
      <c r="VCO6" s="36"/>
      <c r="VCP6" s="37"/>
      <c r="VCQ6" s="37"/>
      <c r="VCW6" s="2"/>
      <c r="VCX6" s="29"/>
      <c r="VDD6" s="10"/>
      <c r="VDE6" s="36"/>
      <c r="VDF6" s="37"/>
      <c r="VDG6" s="37"/>
      <c r="VDM6" s="2"/>
      <c r="VDN6" s="29"/>
      <c r="VDT6" s="10"/>
      <c r="VDU6" s="36"/>
      <c r="VDV6" s="37"/>
      <c r="VDW6" s="37"/>
      <c r="VEC6" s="2"/>
      <c r="VED6" s="29"/>
      <c r="VEJ6" s="10"/>
      <c r="VEK6" s="36"/>
      <c r="VEL6" s="37"/>
      <c r="VEM6" s="37"/>
      <c r="VES6" s="2"/>
      <c r="VET6" s="29"/>
      <c r="VEZ6" s="10"/>
      <c r="VFA6" s="36"/>
      <c r="VFB6" s="37"/>
      <c r="VFC6" s="37"/>
      <c r="VFI6" s="2"/>
      <c r="VFJ6" s="29"/>
      <c r="VFP6" s="10"/>
      <c r="VFQ6" s="36"/>
      <c r="VFR6" s="37"/>
      <c r="VFS6" s="37"/>
      <c r="VFY6" s="2"/>
      <c r="VFZ6" s="29"/>
      <c r="VGF6" s="10"/>
      <c r="VGG6" s="36"/>
      <c r="VGH6" s="37"/>
      <c r="VGI6" s="37"/>
      <c r="VGO6" s="2"/>
      <c r="VGP6" s="29"/>
      <c r="VGV6" s="10"/>
      <c r="VGW6" s="36"/>
      <c r="VGX6" s="37"/>
      <c r="VGY6" s="37"/>
      <c r="VHE6" s="2"/>
      <c r="VHF6" s="29"/>
      <c r="VHL6" s="10"/>
      <c r="VHM6" s="36"/>
      <c r="VHN6" s="37"/>
      <c r="VHO6" s="37"/>
      <c r="VHU6" s="2"/>
      <c r="VHV6" s="29"/>
      <c r="VIB6" s="10"/>
      <c r="VIC6" s="36"/>
      <c r="VID6" s="37"/>
      <c r="VIE6" s="37"/>
      <c r="VIK6" s="2"/>
      <c r="VIL6" s="29"/>
      <c r="VIR6" s="10"/>
      <c r="VIS6" s="36"/>
      <c r="VIT6" s="37"/>
      <c r="VIU6" s="37"/>
      <c r="VJA6" s="2"/>
      <c r="VJB6" s="29"/>
      <c r="VJH6" s="10"/>
      <c r="VJI6" s="36"/>
      <c r="VJJ6" s="37"/>
      <c r="VJK6" s="37"/>
      <c r="VJQ6" s="2"/>
      <c r="VJR6" s="29"/>
      <c r="VJX6" s="10"/>
      <c r="VJY6" s="36"/>
      <c r="VJZ6" s="37"/>
      <c r="VKA6" s="37"/>
      <c r="VKG6" s="2"/>
      <c r="VKH6" s="29"/>
      <c r="VKN6" s="10"/>
      <c r="VKO6" s="36"/>
      <c r="VKP6" s="37"/>
      <c r="VKQ6" s="37"/>
      <c r="VKW6" s="2"/>
      <c r="VKX6" s="29"/>
      <c r="VLD6" s="10"/>
      <c r="VLE6" s="36"/>
      <c r="VLF6" s="37"/>
      <c r="VLG6" s="37"/>
      <c r="VLM6" s="2"/>
      <c r="VLN6" s="29"/>
      <c r="VLT6" s="10"/>
      <c r="VLU6" s="36"/>
      <c r="VLV6" s="37"/>
      <c r="VLW6" s="37"/>
      <c r="VMC6" s="2"/>
      <c r="VMD6" s="29"/>
      <c r="VMJ6" s="10"/>
      <c r="VMK6" s="36"/>
      <c r="VML6" s="37"/>
      <c r="VMM6" s="37"/>
      <c r="VMS6" s="2"/>
      <c r="VMT6" s="29"/>
      <c r="VMZ6" s="10"/>
      <c r="VNA6" s="36"/>
      <c r="VNB6" s="37"/>
      <c r="VNC6" s="37"/>
      <c r="VNI6" s="2"/>
      <c r="VNJ6" s="29"/>
      <c r="VNP6" s="10"/>
      <c r="VNQ6" s="36"/>
      <c r="VNR6" s="37"/>
      <c r="VNS6" s="37"/>
      <c r="VNY6" s="2"/>
      <c r="VNZ6" s="29"/>
      <c r="VOF6" s="10"/>
      <c r="VOG6" s="36"/>
      <c r="VOH6" s="37"/>
      <c r="VOI6" s="37"/>
      <c r="VOO6" s="2"/>
      <c r="VOP6" s="29"/>
      <c r="VOV6" s="10"/>
      <c r="VOW6" s="36"/>
      <c r="VOX6" s="37"/>
      <c r="VOY6" s="37"/>
      <c r="VPE6" s="2"/>
      <c r="VPF6" s="29"/>
      <c r="VPL6" s="10"/>
      <c r="VPM6" s="36"/>
      <c r="VPN6" s="37"/>
      <c r="VPO6" s="37"/>
      <c r="VPU6" s="2"/>
      <c r="VPV6" s="29"/>
      <c r="VQB6" s="10"/>
      <c r="VQC6" s="36"/>
      <c r="VQD6" s="37"/>
      <c r="VQE6" s="37"/>
      <c r="VQK6" s="2"/>
      <c r="VQL6" s="29"/>
      <c r="VQR6" s="10"/>
      <c r="VQS6" s="36"/>
      <c r="VQT6" s="37"/>
      <c r="VQU6" s="37"/>
      <c r="VRA6" s="2"/>
      <c r="VRB6" s="29"/>
      <c r="VRH6" s="10"/>
      <c r="VRI6" s="36"/>
      <c r="VRJ6" s="37"/>
      <c r="VRK6" s="37"/>
      <c r="VRQ6" s="2"/>
      <c r="VRR6" s="29"/>
      <c r="VRX6" s="10"/>
      <c r="VRY6" s="36"/>
      <c r="VRZ6" s="37"/>
      <c r="VSA6" s="37"/>
      <c r="VSG6" s="2"/>
      <c r="VSH6" s="29"/>
      <c r="VSN6" s="10"/>
      <c r="VSO6" s="36"/>
      <c r="VSP6" s="37"/>
      <c r="VSQ6" s="37"/>
      <c r="VSW6" s="2"/>
      <c r="VSX6" s="29"/>
      <c r="VTD6" s="10"/>
      <c r="VTE6" s="36"/>
      <c r="VTF6" s="37"/>
      <c r="VTG6" s="37"/>
      <c r="VTM6" s="2"/>
      <c r="VTN6" s="29"/>
      <c r="VTT6" s="10"/>
      <c r="VTU6" s="36"/>
      <c r="VTV6" s="37"/>
      <c r="VTW6" s="37"/>
      <c r="VUC6" s="2"/>
      <c r="VUD6" s="29"/>
      <c r="VUJ6" s="10"/>
      <c r="VUK6" s="36"/>
      <c r="VUL6" s="37"/>
      <c r="VUM6" s="37"/>
      <c r="VUS6" s="2"/>
      <c r="VUT6" s="29"/>
      <c r="VUZ6" s="10"/>
      <c r="VVA6" s="36"/>
      <c r="VVB6" s="37"/>
      <c r="VVC6" s="37"/>
      <c r="VVI6" s="2"/>
      <c r="VVJ6" s="29"/>
      <c r="VVP6" s="10"/>
      <c r="VVQ6" s="36"/>
      <c r="VVR6" s="37"/>
      <c r="VVS6" s="37"/>
      <c r="VVY6" s="2"/>
      <c r="VVZ6" s="29"/>
      <c r="VWF6" s="10"/>
      <c r="VWG6" s="36"/>
      <c r="VWH6" s="37"/>
      <c r="VWI6" s="37"/>
      <c r="VWO6" s="2"/>
      <c r="VWP6" s="29"/>
      <c r="VWV6" s="10"/>
      <c r="VWW6" s="36"/>
      <c r="VWX6" s="37"/>
      <c r="VWY6" s="37"/>
      <c r="VXE6" s="2"/>
      <c r="VXF6" s="29"/>
      <c r="VXL6" s="10"/>
      <c r="VXM6" s="36"/>
      <c r="VXN6" s="37"/>
      <c r="VXO6" s="37"/>
      <c r="VXU6" s="2"/>
      <c r="VXV6" s="29"/>
      <c r="VYB6" s="10"/>
      <c r="VYC6" s="36"/>
      <c r="VYD6" s="37"/>
      <c r="VYE6" s="37"/>
      <c r="VYK6" s="2"/>
      <c r="VYL6" s="29"/>
      <c r="VYR6" s="10"/>
      <c r="VYS6" s="36"/>
      <c r="VYT6" s="37"/>
      <c r="VYU6" s="37"/>
      <c r="VZA6" s="2"/>
      <c r="VZB6" s="29"/>
      <c r="VZH6" s="10"/>
      <c r="VZI6" s="36"/>
      <c r="VZJ6" s="37"/>
      <c r="VZK6" s="37"/>
      <c r="VZQ6" s="2"/>
      <c r="VZR6" s="29"/>
      <c r="VZX6" s="10"/>
      <c r="VZY6" s="36"/>
      <c r="VZZ6" s="37"/>
      <c r="WAA6" s="37"/>
      <c r="WAG6" s="2"/>
      <c r="WAH6" s="29"/>
      <c r="WAN6" s="10"/>
      <c r="WAO6" s="36"/>
      <c r="WAP6" s="37"/>
      <c r="WAQ6" s="37"/>
      <c r="WAW6" s="2"/>
      <c r="WAX6" s="29"/>
      <c r="WBD6" s="10"/>
      <c r="WBE6" s="36"/>
      <c r="WBF6" s="37"/>
      <c r="WBG6" s="37"/>
      <c r="WBM6" s="2"/>
      <c r="WBN6" s="29"/>
      <c r="WBT6" s="10"/>
      <c r="WBU6" s="36"/>
      <c r="WBV6" s="37"/>
      <c r="WBW6" s="37"/>
      <c r="WCC6" s="2"/>
      <c r="WCD6" s="29"/>
      <c r="WCJ6" s="10"/>
      <c r="WCK6" s="36"/>
      <c r="WCL6" s="37"/>
      <c r="WCM6" s="37"/>
      <c r="WCS6" s="2"/>
      <c r="WCT6" s="29"/>
      <c r="WCZ6" s="10"/>
      <c r="WDA6" s="36"/>
      <c r="WDB6" s="37"/>
      <c r="WDC6" s="37"/>
      <c r="WDI6" s="2"/>
      <c r="WDJ6" s="29"/>
      <c r="WDP6" s="10"/>
      <c r="WDQ6" s="36"/>
      <c r="WDR6" s="37"/>
      <c r="WDS6" s="37"/>
      <c r="WDY6" s="2"/>
      <c r="WDZ6" s="29"/>
      <c r="WEF6" s="10"/>
      <c r="WEG6" s="36"/>
      <c r="WEH6" s="37"/>
      <c r="WEI6" s="37"/>
      <c r="WEO6" s="2"/>
      <c r="WEP6" s="29"/>
      <c r="WEV6" s="10"/>
      <c r="WEW6" s="36"/>
      <c r="WEX6" s="37"/>
      <c r="WEY6" s="37"/>
      <c r="WFE6" s="2"/>
      <c r="WFF6" s="29"/>
      <c r="WFL6" s="10"/>
      <c r="WFM6" s="36"/>
      <c r="WFN6" s="37"/>
      <c r="WFO6" s="37"/>
      <c r="WFU6" s="2"/>
      <c r="WFV6" s="29"/>
      <c r="WGB6" s="10"/>
      <c r="WGC6" s="36"/>
      <c r="WGD6" s="37"/>
      <c r="WGE6" s="37"/>
      <c r="WGK6" s="2"/>
      <c r="WGL6" s="29"/>
      <c r="WGR6" s="10"/>
      <c r="WGS6" s="36"/>
      <c r="WGT6" s="37"/>
      <c r="WGU6" s="37"/>
      <c r="WHA6" s="2"/>
      <c r="WHB6" s="29"/>
      <c r="WHH6" s="10"/>
      <c r="WHI6" s="36"/>
      <c r="WHJ6" s="37"/>
      <c r="WHK6" s="37"/>
      <c r="WHQ6" s="2"/>
      <c r="WHR6" s="29"/>
      <c r="WHX6" s="10"/>
      <c r="WHY6" s="36"/>
      <c r="WHZ6" s="37"/>
      <c r="WIA6" s="37"/>
      <c r="WIG6" s="2"/>
      <c r="WIH6" s="29"/>
      <c r="WIN6" s="10"/>
      <c r="WIO6" s="36"/>
      <c r="WIP6" s="37"/>
      <c r="WIQ6" s="37"/>
      <c r="WIW6" s="2"/>
      <c r="WIX6" s="29"/>
      <c r="WJD6" s="10"/>
      <c r="WJE6" s="36"/>
      <c r="WJF6" s="37"/>
      <c r="WJG6" s="37"/>
      <c r="WJM6" s="2"/>
      <c r="WJN6" s="29"/>
      <c r="WJT6" s="10"/>
      <c r="WJU6" s="36"/>
      <c r="WJV6" s="37"/>
      <c r="WJW6" s="37"/>
      <c r="WKC6" s="2"/>
      <c r="WKD6" s="29"/>
      <c r="WKJ6" s="10"/>
      <c r="WKK6" s="36"/>
      <c r="WKL6" s="37"/>
      <c r="WKM6" s="37"/>
      <c r="WKS6" s="2"/>
      <c r="WKT6" s="29"/>
      <c r="WKZ6" s="10"/>
      <c r="WLA6" s="36"/>
      <c r="WLB6" s="37"/>
      <c r="WLC6" s="37"/>
      <c r="WLI6" s="2"/>
      <c r="WLJ6" s="29"/>
      <c r="WLP6" s="10"/>
      <c r="WLQ6" s="36"/>
      <c r="WLR6" s="37"/>
      <c r="WLS6" s="37"/>
      <c r="WLY6" s="2"/>
      <c r="WLZ6" s="29"/>
      <c r="WMF6" s="10"/>
      <c r="WMG6" s="36"/>
      <c r="WMH6" s="37"/>
      <c r="WMI6" s="37"/>
      <c r="WMO6" s="2"/>
      <c r="WMP6" s="29"/>
      <c r="WMV6" s="10"/>
      <c r="WMW6" s="36"/>
      <c r="WMX6" s="37"/>
      <c r="WMY6" s="37"/>
      <c r="WNE6" s="2"/>
      <c r="WNF6" s="29"/>
      <c r="WNL6" s="10"/>
      <c r="WNM6" s="36"/>
      <c r="WNN6" s="37"/>
      <c r="WNO6" s="37"/>
      <c r="WNU6" s="2"/>
      <c r="WNV6" s="29"/>
      <c r="WOB6" s="10"/>
      <c r="WOC6" s="36"/>
      <c r="WOD6" s="37"/>
      <c r="WOE6" s="37"/>
      <c r="WOK6" s="2"/>
      <c r="WOL6" s="29"/>
      <c r="WOR6" s="10"/>
      <c r="WOS6" s="36"/>
      <c r="WOT6" s="37"/>
      <c r="WOU6" s="37"/>
      <c r="WPA6" s="2"/>
      <c r="WPB6" s="29"/>
      <c r="WPH6" s="10"/>
      <c r="WPI6" s="36"/>
      <c r="WPJ6" s="37"/>
      <c r="WPK6" s="37"/>
      <c r="WPQ6" s="2"/>
      <c r="WPR6" s="29"/>
      <c r="WPX6" s="10"/>
      <c r="WPY6" s="36"/>
      <c r="WPZ6" s="37"/>
      <c r="WQA6" s="37"/>
      <c r="WQG6" s="2"/>
      <c r="WQH6" s="29"/>
      <c r="WQN6" s="10"/>
      <c r="WQO6" s="36"/>
      <c r="WQP6" s="37"/>
      <c r="WQQ6" s="37"/>
      <c r="WQW6" s="2"/>
      <c r="WQX6" s="29"/>
      <c r="WRD6" s="10"/>
      <c r="WRE6" s="36"/>
      <c r="WRF6" s="37"/>
      <c r="WRG6" s="37"/>
      <c r="WRM6" s="2"/>
      <c r="WRN6" s="29"/>
      <c r="WRT6" s="10"/>
      <c r="WRU6" s="36"/>
      <c r="WRV6" s="37"/>
      <c r="WRW6" s="37"/>
      <c r="WSC6" s="2"/>
      <c r="WSD6" s="29"/>
      <c r="WSJ6" s="10"/>
      <c r="WSK6" s="36"/>
      <c r="WSL6" s="37"/>
      <c r="WSM6" s="37"/>
      <c r="WSS6" s="2"/>
      <c r="WST6" s="29"/>
      <c r="WSZ6" s="10"/>
      <c r="WTA6" s="36"/>
      <c r="WTB6" s="37"/>
      <c r="WTC6" s="37"/>
      <c r="WTI6" s="2"/>
      <c r="WTJ6" s="29"/>
      <c r="WTP6" s="10"/>
      <c r="WTQ6" s="36"/>
      <c r="WTR6" s="37"/>
      <c r="WTS6" s="37"/>
      <c r="WTY6" s="2"/>
      <c r="WTZ6" s="29"/>
      <c r="WUF6" s="10"/>
      <c r="WUG6" s="36"/>
      <c r="WUH6" s="37"/>
      <c r="WUI6" s="37"/>
      <c r="WUO6" s="2"/>
      <c r="WUP6" s="29"/>
      <c r="WUV6" s="10"/>
      <c r="WUW6" s="36"/>
      <c r="WUX6" s="37"/>
      <c r="WUY6" s="37"/>
      <c r="WVE6" s="2"/>
      <c r="WVF6" s="29"/>
      <c r="WVL6" s="10"/>
      <c r="WVM6" s="36"/>
      <c r="WVN6" s="37"/>
      <c r="WVO6" s="37"/>
      <c r="WVU6" s="2"/>
      <c r="WVV6" s="29"/>
      <c r="WWB6" s="10"/>
      <c r="WWC6" s="36"/>
      <c r="WWD6" s="37"/>
      <c r="WWE6" s="37"/>
      <c r="WWK6" s="2"/>
      <c r="WWL6" s="29"/>
      <c r="WWR6" s="10"/>
      <c r="WWS6" s="36"/>
      <c r="WWT6" s="37"/>
      <c r="WWU6" s="37"/>
      <c r="WXA6" s="2"/>
      <c r="WXB6" s="29"/>
      <c r="WXH6" s="10"/>
      <c r="WXI6" s="36"/>
      <c r="WXJ6" s="37"/>
      <c r="WXK6" s="37"/>
      <c r="WXQ6" s="2"/>
      <c r="WXR6" s="29"/>
      <c r="WXX6" s="10"/>
      <c r="WXY6" s="36"/>
      <c r="WXZ6" s="37"/>
      <c r="WYA6" s="37"/>
      <c r="WYG6" s="2"/>
      <c r="WYH6" s="29"/>
      <c r="WYN6" s="10"/>
      <c r="WYO6" s="36"/>
      <c r="WYP6" s="37"/>
      <c r="WYQ6" s="37"/>
      <c r="WYW6" s="2"/>
      <c r="WYX6" s="29"/>
      <c r="WZD6" s="10"/>
      <c r="WZE6" s="36"/>
      <c r="WZF6" s="37"/>
      <c r="WZG6" s="37"/>
      <c r="WZM6" s="2"/>
      <c r="WZN6" s="29"/>
      <c r="WZT6" s="10"/>
      <c r="WZU6" s="36"/>
      <c r="WZV6" s="37"/>
      <c r="WZW6" s="37"/>
      <c r="XAC6" s="2"/>
      <c r="XAD6" s="29"/>
      <c r="XAJ6" s="10"/>
      <c r="XAK6" s="36"/>
      <c r="XAL6" s="37"/>
      <c r="XAM6" s="37"/>
      <c r="XAS6" s="2"/>
      <c r="XAT6" s="29"/>
      <c r="XAZ6" s="10"/>
      <c r="XBA6" s="36"/>
      <c r="XBB6" s="37"/>
      <c r="XBC6" s="37"/>
      <c r="XBI6" s="2"/>
      <c r="XBJ6" s="29"/>
      <c r="XBP6" s="10"/>
      <c r="XBQ6" s="36"/>
      <c r="XBR6" s="37"/>
      <c r="XBS6" s="37"/>
      <c r="XBY6" s="2"/>
      <c r="XBZ6" s="29"/>
      <c r="XCF6" s="10"/>
      <c r="XCG6" s="36"/>
      <c r="XCH6" s="37"/>
      <c r="XCI6" s="37"/>
      <c r="XCO6" s="2"/>
      <c r="XCP6" s="29"/>
      <c r="XCV6" s="10"/>
      <c r="XCW6" s="36"/>
      <c r="XCX6" s="37"/>
      <c r="XCY6" s="37"/>
      <c r="XDE6" s="2"/>
      <c r="XDF6" s="29"/>
      <c r="XDL6" s="10"/>
      <c r="XDM6" s="36"/>
      <c r="XDN6" s="37"/>
      <c r="XDO6" s="37"/>
      <c r="XDU6" s="2"/>
      <c r="XDV6" s="29"/>
      <c r="XEB6" s="10"/>
      <c r="XEC6" s="36"/>
      <c r="XED6" s="37"/>
      <c r="XEE6" s="37"/>
      <c r="XEK6" s="2"/>
      <c r="XEL6" s="29"/>
      <c r="XER6" s="10"/>
      <c r="XES6" s="36"/>
      <c r="XET6" s="37"/>
      <c r="XEU6" s="37"/>
      <c r="XFA6" s="2"/>
      <c r="XFB6" s="29"/>
    </row>
    <row r="7" spans="1:1022 1028:2046 2052:3070 3076:4094 4100:5118 5124:6142 6148:7166 7172:8190 8196:9214 9220:10238 10244:11262 11268:12286 12292:13310 13316:14334 14340:15358 15364:16382" s="27" customFormat="1"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EVT-2026-1348</v>
      </c>
      <c r="B7" s="30">
        <v>46330</v>
      </c>
      <c r="C7" s="27" t="s">
        <v>201</v>
      </c>
      <c r="D7" s="27" t="s">
        <v>1366</v>
      </c>
      <c r="E7" s="27" t="s">
        <v>208</v>
      </c>
      <c r="F7" s="27" t="s">
        <v>217</v>
      </c>
      <c r="G7" s="10">
        <v>50</v>
      </c>
      <c r="H7" s="36" t="s">
        <v>263</v>
      </c>
      <c r="I7" s="37" t="s">
        <v>309</v>
      </c>
      <c r="J7" s="37" t="s">
        <v>296</v>
      </c>
      <c r="M7" s="27" t="s">
        <v>2559</v>
      </c>
      <c r="N7" s="27" t="s">
        <v>2560</v>
      </c>
      <c r="P7" s="2" t="s">
        <v>1859</v>
      </c>
      <c r="Q7" s="29" t="s">
        <v>265</v>
      </c>
      <c r="R7" s="27" t="s">
        <v>2384</v>
      </c>
      <c r="S7" s="27" t="s">
        <v>1846</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U7" s="2"/>
      <c r="DV7" s="29"/>
      <c r="EB7" s="10"/>
      <c r="EC7" s="36"/>
      <c r="ED7" s="37"/>
      <c r="EE7" s="37"/>
      <c r="EK7" s="2"/>
      <c r="EL7" s="29"/>
      <c r="ER7" s="10"/>
      <c r="ES7" s="36"/>
      <c r="ET7" s="37"/>
      <c r="EU7" s="37"/>
      <c r="FA7" s="2"/>
      <c r="FB7" s="29"/>
      <c r="FH7" s="10"/>
      <c r="FI7" s="36"/>
      <c r="FJ7" s="37"/>
      <c r="FK7" s="37"/>
      <c r="FQ7" s="2"/>
      <c r="FR7" s="29"/>
      <c r="FX7" s="10"/>
      <c r="FY7" s="36"/>
      <c r="FZ7" s="37"/>
      <c r="GA7" s="37"/>
      <c r="GG7" s="2"/>
      <c r="GH7" s="29"/>
      <c r="GN7" s="10"/>
      <c r="GO7" s="36"/>
      <c r="GP7" s="37"/>
      <c r="GQ7" s="37"/>
      <c r="GW7" s="2"/>
      <c r="GX7" s="29"/>
      <c r="HD7" s="10"/>
      <c r="HE7" s="36"/>
      <c r="HF7" s="37"/>
      <c r="HG7" s="37"/>
      <c r="HM7" s="2"/>
      <c r="HN7" s="29"/>
      <c r="HT7" s="10"/>
      <c r="HU7" s="36"/>
      <c r="HV7" s="37"/>
      <c r="HW7" s="37"/>
      <c r="IC7" s="2"/>
      <c r="ID7" s="29"/>
      <c r="IJ7" s="10"/>
      <c r="IK7" s="36"/>
      <c r="IL7" s="37"/>
      <c r="IM7" s="37"/>
      <c r="IS7" s="2"/>
      <c r="IT7" s="29"/>
      <c r="IZ7" s="10"/>
      <c r="JA7" s="36"/>
      <c r="JB7" s="37"/>
      <c r="JC7" s="37"/>
      <c r="JI7" s="2"/>
      <c r="JJ7" s="29"/>
      <c r="JP7" s="10"/>
      <c r="JQ7" s="36"/>
      <c r="JR7" s="37"/>
      <c r="JS7" s="37"/>
      <c r="JY7" s="2"/>
      <c r="JZ7" s="29"/>
      <c r="KF7" s="10"/>
      <c r="KG7" s="36"/>
      <c r="KH7" s="37"/>
      <c r="KI7" s="37"/>
      <c r="KO7" s="2"/>
      <c r="KP7" s="29"/>
      <c r="KV7" s="10"/>
      <c r="KW7" s="36"/>
      <c r="KX7" s="37"/>
      <c r="KY7" s="37"/>
      <c r="LE7" s="2"/>
      <c r="LF7" s="29"/>
      <c r="LL7" s="10"/>
      <c r="LM7" s="36"/>
      <c r="LN7" s="37"/>
      <c r="LO7" s="37"/>
      <c r="LU7" s="2"/>
      <c r="LV7" s="29"/>
      <c r="MB7" s="10"/>
      <c r="MC7" s="36"/>
      <c r="MD7" s="37"/>
      <c r="ME7" s="37"/>
      <c r="MK7" s="2"/>
      <c r="ML7" s="29"/>
      <c r="MR7" s="10"/>
      <c r="MS7" s="36"/>
      <c r="MT7" s="37"/>
      <c r="MU7" s="37"/>
      <c r="NA7" s="2"/>
      <c r="NB7" s="29"/>
      <c r="NH7" s="10"/>
      <c r="NI7" s="36"/>
      <c r="NJ7" s="37"/>
      <c r="NK7" s="37"/>
      <c r="NQ7" s="2"/>
      <c r="NR7" s="29"/>
      <c r="NX7" s="10"/>
      <c r="NY7" s="36"/>
      <c r="NZ7" s="37"/>
      <c r="OA7" s="37"/>
      <c r="OG7" s="2"/>
      <c r="OH7" s="29"/>
      <c r="ON7" s="10"/>
      <c r="OO7" s="36"/>
      <c r="OP7" s="37"/>
      <c r="OQ7" s="37"/>
      <c r="OW7" s="2"/>
      <c r="OX7" s="29"/>
      <c r="PD7" s="10"/>
      <c r="PE7" s="36"/>
      <c r="PF7" s="37"/>
      <c r="PG7" s="37"/>
      <c r="PM7" s="2"/>
      <c r="PN7" s="29"/>
      <c r="PT7" s="10"/>
      <c r="PU7" s="36"/>
      <c r="PV7" s="37"/>
      <c r="PW7" s="37"/>
      <c r="QC7" s="2"/>
      <c r="QD7" s="29"/>
      <c r="QJ7" s="10"/>
      <c r="QK7" s="36"/>
      <c r="QL7" s="37"/>
      <c r="QM7" s="37"/>
      <c r="QS7" s="2"/>
      <c r="QT7" s="29"/>
      <c r="QZ7" s="10"/>
      <c r="RA7" s="36"/>
      <c r="RB7" s="37"/>
      <c r="RC7" s="37"/>
      <c r="RI7" s="2"/>
      <c r="RJ7" s="29"/>
      <c r="RP7" s="10"/>
      <c r="RQ7" s="36"/>
      <c r="RR7" s="37"/>
      <c r="RS7" s="37"/>
      <c r="RY7" s="2"/>
      <c r="RZ7" s="29"/>
      <c r="SF7" s="10"/>
      <c r="SG7" s="36"/>
      <c r="SH7" s="37"/>
      <c r="SI7" s="37"/>
      <c r="SO7" s="2"/>
      <c r="SP7" s="29"/>
      <c r="SV7" s="10"/>
      <c r="SW7" s="36"/>
      <c r="SX7" s="37"/>
      <c r="SY7" s="37"/>
      <c r="TE7" s="2"/>
      <c r="TF7" s="29"/>
      <c r="TL7" s="10"/>
      <c r="TM7" s="36"/>
      <c r="TN7" s="37"/>
      <c r="TO7" s="37"/>
      <c r="TU7" s="2"/>
      <c r="TV7" s="29"/>
      <c r="UB7" s="10"/>
      <c r="UC7" s="36"/>
      <c r="UD7" s="37"/>
      <c r="UE7" s="37"/>
      <c r="UK7" s="2"/>
      <c r="UL7" s="29"/>
      <c r="UR7" s="10"/>
      <c r="US7" s="36"/>
      <c r="UT7" s="37"/>
      <c r="UU7" s="37"/>
      <c r="VA7" s="2"/>
      <c r="VB7" s="29"/>
      <c r="VH7" s="10"/>
      <c r="VI7" s="36"/>
      <c r="VJ7" s="37"/>
      <c r="VK7" s="37"/>
      <c r="VQ7" s="2"/>
      <c r="VR7" s="29"/>
      <c r="VX7" s="10"/>
      <c r="VY7" s="36"/>
      <c r="VZ7" s="37"/>
      <c r="WA7" s="37"/>
      <c r="WG7" s="2"/>
      <c r="WH7" s="29"/>
      <c r="WN7" s="10"/>
      <c r="WO7" s="36"/>
      <c r="WP7" s="37"/>
      <c r="WQ7" s="37"/>
      <c r="WW7" s="2"/>
      <c r="WX7" s="29"/>
      <c r="XD7" s="10"/>
      <c r="XE7" s="36"/>
      <c r="XF7" s="37"/>
      <c r="XG7" s="37"/>
      <c r="XM7" s="2"/>
      <c r="XN7" s="29"/>
      <c r="XT7" s="10"/>
      <c r="XU7" s="36"/>
      <c r="XV7" s="37"/>
      <c r="XW7" s="37"/>
      <c r="YC7" s="2"/>
      <c r="YD7" s="29"/>
      <c r="YJ7" s="10"/>
      <c r="YK7" s="36"/>
      <c r="YL7" s="37"/>
      <c r="YM7" s="37"/>
      <c r="YS7" s="2"/>
      <c r="YT7" s="29"/>
      <c r="YZ7" s="10"/>
      <c r="ZA7" s="36"/>
      <c r="ZB7" s="37"/>
      <c r="ZC7" s="37"/>
      <c r="ZI7" s="2"/>
      <c r="ZJ7" s="29"/>
      <c r="ZP7" s="10"/>
      <c r="ZQ7" s="36"/>
      <c r="ZR7" s="37"/>
      <c r="ZS7" s="37"/>
      <c r="ZY7" s="2"/>
      <c r="ZZ7" s="29"/>
      <c r="AAF7" s="10"/>
      <c r="AAG7" s="36"/>
      <c r="AAH7" s="37"/>
      <c r="AAI7" s="37"/>
      <c r="AAO7" s="2"/>
      <c r="AAP7" s="29"/>
      <c r="AAV7" s="10"/>
      <c r="AAW7" s="36"/>
      <c r="AAX7" s="37"/>
      <c r="AAY7" s="37"/>
      <c r="ABE7" s="2"/>
      <c r="ABF7" s="29"/>
      <c r="ABL7" s="10"/>
      <c r="ABM7" s="36"/>
      <c r="ABN7" s="37"/>
      <c r="ABO7" s="37"/>
      <c r="ABU7" s="2"/>
      <c r="ABV7" s="29"/>
      <c r="ACB7" s="10"/>
      <c r="ACC7" s="36"/>
      <c r="ACD7" s="37"/>
      <c r="ACE7" s="37"/>
      <c r="ACK7" s="2"/>
      <c r="ACL7" s="29"/>
      <c r="ACR7" s="10"/>
      <c r="ACS7" s="36"/>
      <c r="ACT7" s="37"/>
      <c r="ACU7" s="37"/>
      <c r="ADA7" s="2"/>
      <c r="ADB7" s="29"/>
      <c r="ADH7" s="10"/>
      <c r="ADI7" s="36"/>
      <c r="ADJ7" s="37"/>
      <c r="ADK7" s="37"/>
      <c r="ADQ7" s="2"/>
      <c r="ADR7" s="29"/>
      <c r="ADX7" s="10"/>
      <c r="ADY7" s="36"/>
      <c r="ADZ7" s="37"/>
      <c r="AEA7" s="37"/>
      <c r="AEG7" s="2"/>
      <c r="AEH7" s="29"/>
      <c r="AEN7" s="10"/>
      <c r="AEO7" s="36"/>
      <c r="AEP7" s="37"/>
      <c r="AEQ7" s="37"/>
      <c r="AEW7" s="2"/>
      <c r="AEX7" s="29"/>
      <c r="AFD7" s="10"/>
      <c r="AFE7" s="36"/>
      <c r="AFF7" s="37"/>
      <c r="AFG7" s="37"/>
      <c r="AFM7" s="2"/>
      <c r="AFN7" s="29"/>
      <c r="AFT7" s="10"/>
      <c r="AFU7" s="36"/>
      <c r="AFV7" s="37"/>
      <c r="AFW7" s="37"/>
      <c r="AGC7" s="2"/>
      <c r="AGD7" s="29"/>
      <c r="AGJ7" s="10"/>
      <c r="AGK7" s="36"/>
      <c r="AGL7" s="37"/>
      <c r="AGM7" s="37"/>
      <c r="AGS7" s="2"/>
      <c r="AGT7" s="29"/>
      <c r="AGZ7" s="10"/>
      <c r="AHA7" s="36"/>
      <c r="AHB7" s="37"/>
      <c r="AHC7" s="37"/>
      <c r="AHI7" s="2"/>
      <c r="AHJ7" s="29"/>
      <c r="AHP7" s="10"/>
      <c r="AHQ7" s="36"/>
      <c r="AHR7" s="37"/>
      <c r="AHS7" s="37"/>
      <c r="AHY7" s="2"/>
      <c r="AHZ7" s="29"/>
      <c r="AIF7" s="10"/>
      <c r="AIG7" s="36"/>
      <c r="AIH7" s="37"/>
      <c r="AII7" s="37"/>
      <c r="AIO7" s="2"/>
      <c r="AIP7" s="29"/>
      <c r="AIV7" s="10"/>
      <c r="AIW7" s="36"/>
      <c r="AIX7" s="37"/>
      <c r="AIY7" s="37"/>
      <c r="AJE7" s="2"/>
      <c r="AJF7" s="29"/>
      <c r="AJL7" s="10"/>
      <c r="AJM7" s="36"/>
      <c r="AJN7" s="37"/>
      <c r="AJO7" s="37"/>
      <c r="AJU7" s="2"/>
      <c r="AJV7" s="29"/>
      <c r="AKB7" s="10"/>
      <c r="AKC7" s="36"/>
      <c r="AKD7" s="37"/>
      <c r="AKE7" s="37"/>
      <c r="AKK7" s="2"/>
      <c r="AKL7" s="29"/>
      <c r="AKR7" s="10"/>
      <c r="AKS7" s="36"/>
      <c r="AKT7" s="37"/>
      <c r="AKU7" s="37"/>
      <c r="ALA7" s="2"/>
      <c r="ALB7" s="29"/>
      <c r="ALH7" s="10"/>
      <c r="ALI7" s="36"/>
      <c r="ALJ7" s="37"/>
      <c r="ALK7" s="37"/>
      <c r="ALQ7" s="2"/>
      <c r="ALR7" s="29"/>
      <c r="ALX7" s="10"/>
      <c r="ALY7" s="36"/>
      <c r="ALZ7" s="37"/>
      <c r="AMA7" s="37"/>
      <c r="AMG7" s="2"/>
      <c r="AMH7" s="29"/>
      <c r="AMN7" s="10"/>
      <c r="AMO7" s="36"/>
      <c r="AMP7" s="37"/>
      <c r="AMQ7" s="37"/>
      <c r="AMW7" s="2"/>
      <c r="AMX7" s="29"/>
      <c r="AND7" s="10"/>
      <c r="ANE7" s="36"/>
      <c r="ANF7" s="37"/>
      <c r="ANG7" s="37"/>
      <c r="ANM7" s="2"/>
      <c r="ANN7" s="29"/>
      <c r="ANT7" s="10"/>
      <c r="ANU7" s="36"/>
      <c r="ANV7" s="37"/>
      <c r="ANW7" s="37"/>
      <c r="AOC7" s="2"/>
      <c r="AOD7" s="29"/>
      <c r="AOJ7" s="10"/>
      <c r="AOK7" s="36"/>
      <c r="AOL7" s="37"/>
      <c r="AOM7" s="37"/>
      <c r="AOS7" s="2"/>
      <c r="AOT7" s="29"/>
      <c r="AOZ7" s="10"/>
      <c r="APA7" s="36"/>
      <c r="APB7" s="37"/>
      <c r="APC7" s="37"/>
      <c r="API7" s="2"/>
      <c r="APJ7" s="29"/>
      <c r="APP7" s="10"/>
      <c r="APQ7" s="36"/>
      <c r="APR7" s="37"/>
      <c r="APS7" s="37"/>
      <c r="APY7" s="2"/>
      <c r="APZ7" s="29"/>
      <c r="AQF7" s="10"/>
      <c r="AQG7" s="36"/>
      <c r="AQH7" s="37"/>
      <c r="AQI7" s="37"/>
      <c r="AQO7" s="2"/>
      <c r="AQP7" s="29"/>
      <c r="AQV7" s="10"/>
      <c r="AQW7" s="36"/>
      <c r="AQX7" s="37"/>
      <c r="AQY7" s="37"/>
      <c r="ARE7" s="2"/>
      <c r="ARF7" s="29"/>
      <c r="ARL7" s="10"/>
      <c r="ARM7" s="36"/>
      <c r="ARN7" s="37"/>
      <c r="ARO7" s="37"/>
      <c r="ARU7" s="2"/>
      <c r="ARV7" s="29"/>
      <c r="ASB7" s="10"/>
      <c r="ASC7" s="36"/>
      <c r="ASD7" s="37"/>
      <c r="ASE7" s="37"/>
      <c r="ASK7" s="2"/>
      <c r="ASL7" s="29"/>
      <c r="ASR7" s="10"/>
      <c r="ASS7" s="36"/>
      <c r="AST7" s="37"/>
      <c r="ASU7" s="37"/>
      <c r="ATA7" s="2"/>
      <c r="ATB7" s="29"/>
      <c r="ATH7" s="10"/>
      <c r="ATI7" s="36"/>
      <c r="ATJ7" s="37"/>
      <c r="ATK7" s="37"/>
      <c r="ATQ7" s="2"/>
      <c r="ATR7" s="29"/>
      <c r="ATX7" s="10"/>
      <c r="ATY7" s="36"/>
      <c r="ATZ7" s="37"/>
      <c r="AUA7" s="37"/>
      <c r="AUG7" s="2"/>
      <c r="AUH7" s="29"/>
      <c r="AUN7" s="10"/>
      <c r="AUO7" s="36"/>
      <c r="AUP7" s="37"/>
      <c r="AUQ7" s="37"/>
      <c r="AUW7" s="2"/>
      <c r="AUX7" s="29"/>
      <c r="AVD7" s="10"/>
      <c r="AVE7" s="36"/>
      <c r="AVF7" s="37"/>
      <c r="AVG7" s="37"/>
      <c r="AVM7" s="2"/>
      <c r="AVN7" s="29"/>
      <c r="AVT7" s="10"/>
      <c r="AVU7" s="36"/>
      <c r="AVV7" s="37"/>
      <c r="AVW7" s="37"/>
      <c r="AWC7" s="2"/>
      <c r="AWD7" s="29"/>
      <c r="AWJ7" s="10"/>
      <c r="AWK7" s="36"/>
      <c r="AWL7" s="37"/>
      <c r="AWM7" s="37"/>
      <c r="AWS7" s="2"/>
      <c r="AWT7" s="29"/>
      <c r="AWZ7" s="10"/>
      <c r="AXA7" s="36"/>
      <c r="AXB7" s="37"/>
      <c r="AXC7" s="37"/>
      <c r="AXI7" s="2"/>
      <c r="AXJ7" s="29"/>
      <c r="AXP7" s="10"/>
      <c r="AXQ7" s="36"/>
      <c r="AXR7" s="37"/>
      <c r="AXS7" s="37"/>
      <c r="AXY7" s="2"/>
      <c r="AXZ7" s="29"/>
      <c r="AYF7" s="10"/>
      <c r="AYG7" s="36"/>
      <c r="AYH7" s="37"/>
      <c r="AYI7" s="37"/>
      <c r="AYO7" s="2"/>
      <c r="AYP7" s="29"/>
      <c r="AYV7" s="10"/>
      <c r="AYW7" s="36"/>
      <c r="AYX7" s="37"/>
      <c r="AYY7" s="37"/>
      <c r="AZE7" s="2"/>
      <c r="AZF7" s="29"/>
      <c r="AZL7" s="10"/>
      <c r="AZM7" s="36"/>
      <c r="AZN7" s="37"/>
      <c r="AZO7" s="37"/>
      <c r="AZU7" s="2"/>
      <c r="AZV7" s="29"/>
      <c r="BAB7" s="10"/>
      <c r="BAC7" s="36"/>
      <c r="BAD7" s="37"/>
      <c r="BAE7" s="37"/>
      <c r="BAK7" s="2"/>
      <c r="BAL7" s="29"/>
      <c r="BAR7" s="10"/>
      <c r="BAS7" s="36"/>
      <c r="BAT7" s="37"/>
      <c r="BAU7" s="37"/>
      <c r="BBA7" s="2"/>
      <c r="BBB7" s="29"/>
      <c r="BBH7" s="10"/>
      <c r="BBI7" s="36"/>
      <c r="BBJ7" s="37"/>
      <c r="BBK7" s="37"/>
      <c r="BBQ7" s="2"/>
      <c r="BBR7" s="29"/>
      <c r="BBX7" s="10"/>
      <c r="BBY7" s="36"/>
      <c r="BBZ7" s="37"/>
      <c r="BCA7" s="37"/>
      <c r="BCG7" s="2"/>
      <c r="BCH7" s="29"/>
      <c r="BCN7" s="10"/>
      <c r="BCO7" s="36"/>
      <c r="BCP7" s="37"/>
      <c r="BCQ7" s="37"/>
      <c r="BCW7" s="2"/>
      <c r="BCX7" s="29"/>
      <c r="BDD7" s="10"/>
      <c r="BDE7" s="36"/>
      <c r="BDF7" s="37"/>
      <c r="BDG7" s="37"/>
      <c r="BDM7" s="2"/>
      <c r="BDN7" s="29"/>
      <c r="BDT7" s="10"/>
      <c r="BDU7" s="36"/>
      <c r="BDV7" s="37"/>
      <c r="BDW7" s="37"/>
      <c r="BEC7" s="2"/>
      <c r="BED7" s="29"/>
      <c r="BEJ7" s="10"/>
      <c r="BEK7" s="36"/>
      <c r="BEL7" s="37"/>
      <c r="BEM7" s="37"/>
      <c r="BES7" s="2"/>
      <c r="BET7" s="29"/>
      <c r="BEZ7" s="10"/>
      <c r="BFA7" s="36"/>
      <c r="BFB7" s="37"/>
      <c r="BFC7" s="37"/>
      <c r="BFI7" s="2"/>
      <c r="BFJ7" s="29"/>
      <c r="BFP7" s="10"/>
      <c r="BFQ7" s="36"/>
      <c r="BFR7" s="37"/>
      <c r="BFS7" s="37"/>
      <c r="BFY7" s="2"/>
      <c r="BFZ7" s="29"/>
      <c r="BGF7" s="10"/>
      <c r="BGG7" s="36"/>
      <c r="BGH7" s="37"/>
      <c r="BGI7" s="37"/>
      <c r="BGO7" s="2"/>
      <c r="BGP7" s="29"/>
      <c r="BGV7" s="10"/>
      <c r="BGW7" s="36"/>
      <c r="BGX7" s="37"/>
      <c r="BGY7" s="37"/>
      <c r="BHE7" s="2"/>
      <c r="BHF7" s="29"/>
      <c r="BHL7" s="10"/>
      <c r="BHM7" s="36"/>
      <c r="BHN7" s="37"/>
      <c r="BHO7" s="37"/>
      <c r="BHU7" s="2"/>
      <c r="BHV7" s="29"/>
      <c r="BIB7" s="10"/>
      <c r="BIC7" s="36"/>
      <c r="BID7" s="37"/>
      <c r="BIE7" s="37"/>
      <c r="BIK7" s="2"/>
      <c r="BIL7" s="29"/>
      <c r="BIR7" s="10"/>
      <c r="BIS7" s="36"/>
      <c r="BIT7" s="37"/>
      <c r="BIU7" s="37"/>
      <c r="BJA7" s="2"/>
      <c r="BJB7" s="29"/>
      <c r="BJH7" s="10"/>
      <c r="BJI7" s="36"/>
      <c r="BJJ7" s="37"/>
      <c r="BJK7" s="37"/>
      <c r="BJQ7" s="2"/>
      <c r="BJR7" s="29"/>
      <c r="BJX7" s="10"/>
      <c r="BJY7" s="36"/>
      <c r="BJZ7" s="37"/>
      <c r="BKA7" s="37"/>
      <c r="BKG7" s="2"/>
      <c r="BKH7" s="29"/>
      <c r="BKN7" s="10"/>
      <c r="BKO7" s="36"/>
      <c r="BKP7" s="37"/>
      <c r="BKQ7" s="37"/>
      <c r="BKW7" s="2"/>
      <c r="BKX7" s="29"/>
      <c r="BLD7" s="10"/>
      <c r="BLE7" s="36"/>
      <c r="BLF7" s="37"/>
      <c r="BLG7" s="37"/>
      <c r="BLM7" s="2"/>
      <c r="BLN7" s="29"/>
      <c r="BLT7" s="10"/>
      <c r="BLU7" s="36"/>
      <c r="BLV7" s="37"/>
      <c r="BLW7" s="37"/>
      <c r="BMC7" s="2"/>
      <c r="BMD7" s="29"/>
      <c r="BMJ7" s="10"/>
      <c r="BMK7" s="36"/>
      <c r="BML7" s="37"/>
      <c r="BMM7" s="37"/>
      <c r="BMS7" s="2"/>
      <c r="BMT7" s="29"/>
      <c r="BMZ7" s="10"/>
      <c r="BNA7" s="36"/>
      <c r="BNB7" s="37"/>
      <c r="BNC7" s="37"/>
      <c r="BNI7" s="2"/>
      <c r="BNJ7" s="29"/>
      <c r="BNP7" s="10"/>
      <c r="BNQ7" s="36"/>
      <c r="BNR7" s="37"/>
      <c r="BNS7" s="37"/>
      <c r="BNY7" s="2"/>
      <c r="BNZ7" s="29"/>
      <c r="BOF7" s="10"/>
      <c r="BOG7" s="36"/>
      <c r="BOH7" s="37"/>
      <c r="BOI7" s="37"/>
      <c r="BOO7" s="2"/>
      <c r="BOP7" s="29"/>
      <c r="BOV7" s="10"/>
      <c r="BOW7" s="36"/>
      <c r="BOX7" s="37"/>
      <c r="BOY7" s="37"/>
      <c r="BPE7" s="2"/>
      <c r="BPF7" s="29"/>
      <c r="BPL7" s="10"/>
      <c r="BPM7" s="36"/>
      <c r="BPN7" s="37"/>
      <c r="BPO7" s="37"/>
      <c r="BPU7" s="2"/>
      <c r="BPV7" s="29"/>
      <c r="BQB7" s="10"/>
      <c r="BQC7" s="36"/>
      <c r="BQD7" s="37"/>
      <c r="BQE7" s="37"/>
      <c r="BQK7" s="2"/>
      <c r="BQL7" s="29"/>
      <c r="BQR7" s="10"/>
      <c r="BQS7" s="36"/>
      <c r="BQT7" s="37"/>
      <c r="BQU7" s="37"/>
      <c r="BRA7" s="2"/>
      <c r="BRB7" s="29"/>
      <c r="BRH7" s="10"/>
      <c r="BRI7" s="36"/>
      <c r="BRJ7" s="37"/>
      <c r="BRK7" s="37"/>
      <c r="BRQ7" s="2"/>
      <c r="BRR7" s="29"/>
      <c r="BRX7" s="10"/>
      <c r="BRY7" s="36"/>
      <c r="BRZ7" s="37"/>
      <c r="BSA7" s="37"/>
      <c r="BSG7" s="2"/>
      <c r="BSH7" s="29"/>
      <c r="BSN7" s="10"/>
      <c r="BSO7" s="36"/>
      <c r="BSP7" s="37"/>
      <c r="BSQ7" s="37"/>
      <c r="BSW7" s="2"/>
      <c r="BSX7" s="29"/>
      <c r="BTD7" s="10"/>
      <c r="BTE7" s="36"/>
      <c r="BTF7" s="37"/>
      <c r="BTG7" s="37"/>
      <c r="BTM7" s="2"/>
      <c r="BTN7" s="29"/>
      <c r="BTT7" s="10"/>
      <c r="BTU7" s="36"/>
      <c r="BTV7" s="37"/>
      <c r="BTW7" s="37"/>
      <c r="BUC7" s="2"/>
      <c r="BUD7" s="29"/>
      <c r="BUJ7" s="10"/>
      <c r="BUK7" s="36"/>
      <c r="BUL7" s="37"/>
      <c r="BUM7" s="37"/>
      <c r="BUS7" s="2"/>
      <c r="BUT7" s="29"/>
      <c r="BUZ7" s="10"/>
      <c r="BVA7" s="36"/>
      <c r="BVB7" s="37"/>
      <c r="BVC7" s="37"/>
      <c r="BVI7" s="2"/>
      <c r="BVJ7" s="29"/>
      <c r="BVP7" s="10"/>
      <c r="BVQ7" s="36"/>
      <c r="BVR7" s="37"/>
      <c r="BVS7" s="37"/>
      <c r="BVY7" s="2"/>
      <c r="BVZ7" s="29"/>
      <c r="BWF7" s="10"/>
      <c r="BWG7" s="36"/>
      <c r="BWH7" s="37"/>
      <c r="BWI7" s="37"/>
      <c r="BWO7" s="2"/>
      <c r="BWP7" s="29"/>
      <c r="BWV7" s="10"/>
      <c r="BWW7" s="36"/>
      <c r="BWX7" s="37"/>
      <c r="BWY7" s="37"/>
      <c r="BXE7" s="2"/>
      <c r="BXF7" s="29"/>
      <c r="BXL7" s="10"/>
      <c r="BXM7" s="36"/>
      <c r="BXN7" s="37"/>
      <c r="BXO7" s="37"/>
      <c r="BXU7" s="2"/>
      <c r="BXV7" s="29"/>
      <c r="BYB7" s="10"/>
      <c r="BYC7" s="36"/>
      <c r="BYD7" s="37"/>
      <c r="BYE7" s="37"/>
      <c r="BYK7" s="2"/>
      <c r="BYL7" s="29"/>
      <c r="BYR7" s="10"/>
      <c r="BYS7" s="36"/>
      <c r="BYT7" s="37"/>
      <c r="BYU7" s="37"/>
      <c r="BZA7" s="2"/>
      <c r="BZB7" s="29"/>
      <c r="BZH7" s="10"/>
      <c r="BZI7" s="36"/>
      <c r="BZJ7" s="37"/>
      <c r="BZK7" s="37"/>
      <c r="BZQ7" s="2"/>
      <c r="BZR7" s="29"/>
      <c r="BZX7" s="10"/>
      <c r="BZY7" s="36"/>
      <c r="BZZ7" s="37"/>
      <c r="CAA7" s="37"/>
      <c r="CAG7" s="2"/>
      <c r="CAH7" s="29"/>
      <c r="CAN7" s="10"/>
      <c r="CAO7" s="36"/>
      <c r="CAP7" s="37"/>
      <c r="CAQ7" s="37"/>
      <c r="CAW7" s="2"/>
      <c r="CAX7" s="29"/>
      <c r="CBD7" s="10"/>
      <c r="CBE7" s="36"/>
      <c r="CBF7" s="37"/>
      <c r="CBG7" s="37"/>
      <c r="CBM7" s="2"/>
      <c r="CBN7" s="29"/>
      <c r="CBT7" s="10"/>
      <c r="CBU7" s="36"/>
      <c r="CBV7" s="37"/>
      <c r="CBW7" s="37"/>
      <c r="CCC7" s="2"/>
      <c r="CCD7" s="29"/>
      <c r="CCJ7" s="10"/>
      <c r="CCK7" s="36"/>
      <c r="CCL7" s="37"/>
      <c r="CCM7" s="37"/>
      <c r="CCS7" s="2"/>
      <c r="CCT7" s="29"/>
      <c r="CCZ7" s="10"/>
      <c r="CDA7" s="36"/>
      <c r="CDB7" s="37"/>
      <c r="CDC7" s="37"/>
      <c r="CDI7" s="2"/>
      <c r="CDJ7" s="29"/>
      <c r="CDP7" s="10"/>
      <c r="CDQ7" s="36"/>
      <c r="CDR7" s="37"/>
      <c r="CDS7" s="37"/>
      <c r="CDY7" s="2"/>
      <c r="CDZ7" s="29"/>
      <c r="CEF7" s="10"/>
      <c r="CEG7" s="36"/>
      <c r="CEH7" s="37"/>
      <c r="CEI7" s="37"/>
      <c r="CEO7" s="2"/>
      <c r="CEP7" s="29"/>
      <c r="CEV7" s="10"/>
      <c r="CEW7" s="36"/>
      <c r="CEX7" s="37"/>
      <c r="CEY7" s="37"/>
      <c r="CFE7" s="2"/>
      <c r="CFF7" s="29"/>
      <c r="CFL7" s="10"/>
      <c r="CFM7" s="36"/>
      <c r="CFN7" s="37"/>
      <c r="CFO7" s="37"/>
      <c r="CFU7" s="2"/>
      <c r="CFV7" s="29"/>
      <c r="CGB7" s="10"/>
      <c r="CGC7" s="36"/>
      <c r="CGD7" s="37"/>
      <c r="CGE7" s="37"/>
      <c r="CGK7" s="2"/>
      <c r="CGL7" s="29"/>
      <c r="CGR7" s="10"/>
      <c r="CGS7" s="36"/>
      <c r="CGT7" s="37"/>
      <c r="CGU7" s="37"/>
      <c r="CHA7" s="2"/>
      <c r="CHB7" s="29"/>
      <c r="CHH7" s="10"/>
      <c r="CHI7" s="36"/>
      <c r="CHJ7" s="37"/>
      <c r="CHK7" s="37"/>
      <c r="CHQ7" s="2"/>
      <c r="CHR7" s="29"/>
      <c r="CHX7" s="10"/>
      <c r="CHY7" s="36"/>
      <c r="CHZ7" s="37"/>
      <c r="CIA7" s="37"/>
      <c r="CIG7" s="2"/>
      <c r="CIH7" s="29"/>
      <c r="CIN7" s="10"/>
      <c r="CIO7" s="36"/>
      <c r="CIP7" s="37"/>
      <c r="CIQ7" s="37"/>
      <c r="CIW7" s="2"/>
      <c r="CIX7" s="29"/>
      <c r="CJD7" s="10"/>
      <c r="CJE7" s="36"/>
      <c r="CJF7" s="37"/>
      <c r="CJG7" s="37"/>
      <c r="CJM7" s="2"/>
      <c r="CJN7" s="29"/>
      <c r="CJT7" s="10"/>
      <c r="CJU7" s="36"/>
      <c r="CJV7" s="37"/>
      <c r="CJW7" s="37"/>
      <c r="CKC7" s="2"/>
      <c r="CKD7" s="29"/>
      <c r="CKJ7" s="10"/>
      <c r="CKK7" s="36"/>
      <c r="CKL7" s="37"/>
      <c r="CKM7" s="37"/>
      <c r="CKS7" s="2"/>
      <c r="CKT7" s="29"/>
      <c r="CKZ7" s="10"/>
      <c r="CLA7" s="36"/>
      <c r="CLB7" s="37"/>
      <c r="CLC7" s="37"/>
      <c r="CLI7" s="2"/>
      <c r="CLJ7" s="29"/>
      <c r="CLP7" s="10"/>
      <c r="CLQ7" s="36"/>
      <c r="CLR7" s="37"/>
      <c r="CLS7" s="37"/>
      <c r="CLY7" s="2"/>
      <c r="CLZ7" s="29"/>
      <c r="CMF7" s="10"/>
      <c r="CMG7" s="36"/>
      <c r="CMH7" s="37"/>
      <c r="CMI7" s="37"/>
      <c r="CMO7" s="2"/>
      <c r="CMP7" s="29"/>
      <c r="CMV7" s="10"/>
      <c r="CMW7" s="36"/>
      <c r="CMX7" s="37"/>
      <c r="CMY7" s="37"/>
      <c r="CNE7" s="2"/>
      <c r="CNF7" s="29"/>
      <c r="CNL7" s="10"/>
      <c r="CNM7" s="36"/>
      <c r="CNN7" s="37"/>
      <c r="CNO7" s="37"/>
      <c r="CNU7" s="2"/>
      <c r="CNV7" s="29"/>
      <c r="COB7" s="10"/>
      <c r="COC7" s="36"/>
      <c r="COD7" s="37"/>
      <c r="COE7" s="37"/>
      <c r="COK7" s="2"/>
      <c r="COL7" s="29"/>
      <c r="COR7" s="10"/>
      <c r="COS7" s="36"/>
      <c r="COT7" s="37"/>
      <c r="COU7" s="37"/>
      <c r="CPA7" s="2"/>
      <c r="CPB7" s="29"/>
      <c r="CPH7" s="10"/>
      <c r="CPI7" s="36"/>
      <c r="CPJ7" s="37"/>
      <c r="CPK7" s="37"/>
      <c r="CPQ7" s="2"/>
      <c r="CPR7" s="29"/>
      <c r="CPX7" s="10"/>
      <c r="CPY7" s="36"/>
      <c r="CPZ7" s="37"/>
      <c r="CQA7" s="37"/>
      <c r="CQG7" s="2"/>
      <c r="CQH7" s="29"/>
      <c r="CQN7" s="10"/>
      <c r="CQO7" s="36"/>
      <c r="CQP7" s="37"/>
      <c r="CQQ7" s="37"/>
      <c r="CQW7" s="2"/>
      <c r="CQX7" s="29"/>
      <c r="CRD7" s="10"/>
      <c r="CRE7" s="36"/>
      <c r="CRF7" s="37"/>
      <c r="CRG7" s="37"/>
      <c r="CRM7" s="2"/>
      <c r="CRN7" s="29"/>
      <c r="CRT7" s="10"/>
      <c r="CRU7" s="36"/>
      <c r="CRV7" s="37"/>
      <c r="CRW7" s="37"/>
      <c r="CSC7" s="2"/>
      <c r="CSD7" s="29"/>
      <c r="CSJ7" s="10"/>
      <c r="CSK7" s="36"/>
      <c r="CSL7" s="37"/>
      <c r="CSM7" s="37"/>
      <c r="CSS7" s="2"/>
      <c r="CST7" s="29"/>
      <c r="CSZ7" s="10"/>
      <c r="CTA7" s="36"/>
      <c r="CTB7" s="37"/>
      <c r="CTC7" s="37"/>
      <c r="CTI7" s="2"/>
      <c r="CTJ7" s="29"/>
      <c r="CTP7" s="10"/>
      <c r="CTQ7" s="36"/>
      <c r="CTR7" s="37"/>
      <c r="CTS7" s="37"/>
      <c r="CTY7" s="2"/>
      <c r="CTZ7" s="29"/>
      <c r="CUF7" s="10"/>
      <c r="CUG7" s="36"/>
      <c r="CUH7" s="37"/>
      <c r="CUI7" s="37"/>
      <c r="CUO7" s="2"/>
      <c r="CUP7" s="29"/>
      <c r="CUV7" s="10"/>
      <c r="CUW7" s="36"/>
      <c r="CUX7" s="37"/>
      <c r="CUY7" s="37"/>
      <c r="CVE7" s="2"/>
      <c r="CVF7" s="29"/>
      <c r="CVL7" s="10"/>
      <c r="CVM7" s="36"/>
      <c r="CVN7" s="37"/>
      <c r="CVO7" s="37"/>
      <c r="CVU7" s="2"/>
      <c r="CVV7" s="29"/>
      <c r="CWB7" s="10"/>
      <c r="CWC7" s="36"/>
      <c r="CWD7" s="37"/>
      <c r="CWE7" s="37"/>
      <c r="CWK7" s="2"/>
      <c r="CWL7" s="29"/>
      <c r="CWR7" s="10"/>
      <c r="CWS7" s="36"/>
      <c r="CWT7" s="37"/>
      <c r="CWU7" s="37"/>
      <c r="CXA7" s="2"/>
      <c r="CXB7" s="29"/>
      <c r="CXH7" s="10"/>
      <c r="CXI7" s="36"/>
      <c r="CXJ7" s="37"/>
      <c r="CXK7" s="37"/>
      <c r="CXQ7" s="2"/>
      <c r="CXR7" s="29"/>
      <c r="CXX7" s="10"/>
      <c r="CXY7" s="36"/>
      <c r="CXZ7" s="37"/>
      <c r="CYA7" s="37"/>
      <c r="CYG7" s="2"/>
      <c r="CYH7" s="29"/>
      <c r="CYN7" s="10"/>
      <c r="CYO7" s="36"/>
      <c r="CYP7" s="37"/>
      <c r="CYQ7" s="37"/>
      <c r="CYW7" s="2"/>
      <c r="CYX7" s="29"/>
      <c r="CZD7" s="10"/>
      <c r="CZE7" s="36"/>
      <c r="CZF7" s="37"/>
      <c r="CZG7" s="37"/>
      <c r="CZM7" s="2"/>
      <c r="CZN7" s="29"/>
      <c r="CZT7" s="10"/>
      <c r="CZU7" s="36"/>
      <c r="CZV7" s="37"/>
      <c r="CZW7" s="37"/>
      <c r="DAC7" s="2"/>
      <c r="DAD7" s="29"/>
      <c r="DAJ7" s="10"/>
      <c r="DAK7" s="36"/>
      <c r="DAL7" s="37"/>
      <c r="DAM7" s="37"/>
      <c r="DAS7" s="2"/>
      <c r="DAT7" s="29"/>
      <c r="DAZ7" s="10"/>
      <c r="DBA7" s="36"/>
      <c r="DBB7" s="37"/>
      <c r="DBC7" s="37"/>
      <c r="DBI7" s="2"/>
      <c r="DBJ7" s="29"/>
      <c r="DBP7" s="10"/>
      <c r="DBQ7" s="36"/>
      <c r="DBR7" s="37"/>
      <c r="DBS7" s="37"/>
      <c r="DBY7" s="2"/>
      <c r="DBZ7" s="29"/>
      <c r="DCF7" s="10"/>
      <c r="DCG7" s="36"/>
      <c r="DCH7" s="37"/>
      <c r="DCI7" s="37"/>
      <c r="DCO7" s="2"/>
      <c r="DCP7" s="29"/>
      <c r="DCV7" s="10"/>
      <c r="DCW7" s="36"/>
      <c r="DCX7" s="37"/>
      <c r="DCY7" s="37"/>
      <c r="DDE7" s="2"/>
      <c r="DDF7" s="29"/>
      <c r="DDL7" s="10"/>
      <c r="DDM7" s="36"/>
      <c r="DDN7" s="37"/>
      <c r="DDO7" s="37"/>
      <c r="DDU7" s="2"/>
      <c r="DDV7" s="29"/>
      <c r="DEB7" s="10"/>
      <c r="DEC7" s="36"/>
      <c r="DED7" s="37"/>
      <c r="DEE7" s="37"/>
      <c r="DEK7" s="2"/>
      <c r="DEL7" s="29"/>
      <c r="DER7" s="10"/>
      <c r="DES7" s="36"/>
      <c r="DET7" s="37"/>
      <c r="DEU7" s="37"/>
      <c r="DFA7" s="2"/>
      <c r="DFB7" s="29"/>
      <c r="DFH7" s="10"/>
      <c r="DFI7" s="36"/>
      <c r="DFJ7" s="37"/>
      <c r="DFK7" s="37"/>
      <c r="DFQ7" s="2"/>
      <c r="DFR7" s="29"/>
      <c r="DFX7" s="10"/>
      <c r="DFY7" s="36"/>
      <c r="DFZ7" s="37"/>
      <c r="DGA7" s="37"/>
      <c r="DGG7" s="2"/>
      <c r="DGH7" s="29"/>
      <c r="DGN7" s="10"/>
      <c r="DGO7" s="36"/>
      <c r="DGP7" s="37"/>
      <c r="DGQ7" s="37"/>
      <c r="DGW7" s="2"/>
      <c r="DGX7" s="29"/>
      <c r="DHD7" s="10"/>
      <c r="DHE7" s="36"/>
      <c r="DHF7" s="37"/>
      <c r="DHG7" s="37"/>
      <c r="DHM7" s="2"/>
      <c r="DHN7" s="29"/>
      <c r="DHT7" s="10"/>
      <c r="DHU7" s="36"/>
      <c r="DHV7" s="37"/>
      <c r="DHW7" s="37"/>
      <c r="DIC7" s="2"/>
      <c r="DID7" s="29"/>
      <c r="DIJ7" s="10"/>
      <c r="DIK7" s="36"/>
      <c r="DIL7" s="37"/>
      <c r="DIM7" s="37"/>
      <c r="DIS7" s="2"/>
      <c r="DIT7" s="29"/>
      <c r="DIZ7" s="10"/>
      <c r="DJA7" s="36"/>
      <c r="DJB7" s="37"/>
      <c r="DJC7" s="37"/>
      <c r="DJI7" s="2"/>
      <c r="DJJ7" s="29"/>
      <c r="DJP7" s="10"/>
      <c r="DJQ7" s="36"/>
      <c r="DJR7" s="37"/>
      <c r="DJS7" s="37"/>
      <c r="DJY7" s="2"/>
      <c r="DJZ7" s="29"/>
      <c r="DKF7" s="10"/>
      <c r="DKG7" s="36"/>
      <c r="DKH7" s="37"/>
      <c r="DKI7" s="37"/>
      <c r="DKO7" s="2"/>
      <c r="DKP7" s="29"/>
      <c r="DKV7" s="10"/>
      <c r="DKW7" s="36"/>
      <c r="DKX7" s="37"/>
      <c r="DKY7" s="37"/>
      <c r="DLE7" s="2"/>
      <c r="DLF7" s="29"/>
      <c r="DLL7" s="10"/>
      <c r="DLM7" s="36"/>
      <c r="DLN7" s="37"/>
      <c r="DLO7" s="37"/>
      <c r="DLU7" s="2"/>
      <c r="DLV7" s="29"/>
      <c r="DMB7" s="10"/>
      <c r="DMC7" s="36"/>
      <c r="DMD7" s="37"/>
      <c r="DME7" s="37"/>
      <c r="DMK7" s="2"/>
      <c r="DML7" s="29"/>
      <c r="DMR7" s="10"/>
      <c r="DMS7" s="36"/>
      <c r="DMT7" s="37"/>
      <c r="DMU7" s="37"/>
      <c r="DNA7" s="2"/>
      <c r="DNB7" s="29"/>
      <c r="DNH7" s="10"/>
      <c r="DNI7" s="36"/>
      <c r="DNJ7" s="37"/>
      <c r="DNK7" s="37"/>
      <c r="DNQ7" s="2"/>
      <c r="DNR7" s="29"/>
      <c r="DNX7" s="10"/>
      <c r="DNY7" s="36"/>
      <c r="DNZ7" s="37"/>
      <c r="DOA7" s="37"/>
      <c r="DOG7" s="2"/>
      <c r="DOH7" s="29"/>
      <c r="DON7" s="10"/>
      <c r="DOO7" s="36"/>
      <c r="DOP7" s="37"/>
      <c r="DOQ7" s="37"/>
      <c r="DOW7" s="2"/>
      <c r="DOX7" s="29"/>
      <c r="DPD7" s="10"/>
      <c r="DPE7" s="36"/>
      <c r="DPF7" s="37"/>
      <c r="DPG7" s="37"/>
      <c r="DPM7" s="2"/>
      <c r="DPN7" s="29"/>
      <c r="DPT7" s="10"/>
      <c r="DPU7" s="36"/>
      <c r="DPV7" s="37"/>
      <c r="DPW7" s="37"/>
      <c r="DQC7" s="2"/>
      <c r="DQD7" s="29"/>
      <c r="DQJ7" s="10"/>
      <c r="DQK7" s="36"/>
      <c r="DQL7" s="37"/>
      <c r="DQM7" s="37"/>
      <c r="DQS7" s="2"/>
      <c r="DQT7" s="29"/>
      <c r="DQZ7" s="10"/>
      <c r="DRA7" s="36"/>
      <c r="DRB7" s="37"/>
      <c r="DRC7" s="37"/>
      <c r="DRI7" s="2"/>
      <c r="DRJ7" s="29"/>
      <c r="DRP7" s="10"/>
      <c r="DRQ7" s="36"/>
      <c r="DRR7" s="37"/>
      <c r="DRS7" s="37"/>
      <c r="DRY7" s="2"/>
      <c r="DRZ7" s="29"/>
      <c r="DSF7" s="10"/>
      <c r="DSG7" s="36"/>
      <c r="DSH7" s="37"/>
      <c r="DSI7" s="37"/>
      <c r="DSO7" s="2"/>
      <c r="DSP7" s="29"/>
      <c r="DSV7" s="10"/>
      <c r="DSW7" s="36"/>
      <c r="DSX7" s="37"/>
      <c r="DSY7" s="37"/>
      <c r="DTE7" s="2"/>
      <c r="DTF7" s="29"/>
      <c r="DTL7" s="10"/>
      <c r="DTM7" s="36"/>
      <c r="DTN7" s="37"/>
      <c r="DTO7" s="37"/>
      <c r="DTU7" s="2"/>
      <c r="DTV7" s="29"/>
      <c r="DUB7" s="10"/>
      <c r="DUC7" s="36"/>
      <c r="DUD7" s="37"/>
      <c r="DUE7" s="37"/>
      <c r="DUK7" s="2"/>
      <c r="DUL7" s="29"/>
      <c r="DUR7" s="10"/>
      <c r="DUS7" s="36"/>
      <c r="DUT7" s="37"/>
      <c r="DUU7" s="37"/>
      <c r="DVA7" s="2"/>
      <c r="DVB7" s="29"/>
      <c r="DVH7" s="10"/>
      <c r="DVI7" s="36"/>
      <c r="DVJ7" s="37"/>
      <c r="DVK7" s="37"/>
      <c r="DVQ7" s="2"/>
      <c r="DVR7" s="29"/>
      <c r="DVX7" s="10"/>
      <c r="DVY7" s="36"/>
      <c r="DVZ7" s="37"/>
      <c r="DWA7" s="37"/>
      <c r="DWG7" s="2"/>
      <c r="DWH7" s="29"/>
      <c r="DWN7" s="10"/>
      <c r="DWO7" s="36"/>
      <c r="DWP7" s="37"/>
      <c r="DWQ7" s="37"/>
      <c r="DWW7" s="2"/>
      <c r="DWX7" s="29"/>
      <c r="DXD7" s="10"/>
      <c r="DXE7" s="36"/>
      <c r="DXF7" s="37"/>
      <c r="DXG7" s="37"/>
      <c r="DXM7" s="2"/>
      <c r="DXN7" s="29"/>
      <c r="DXT7" s="10"/>
      <c r="DXU7" s="36"/>
      <c r="DXV7" s="37"/>
      <c r="DXW7" s="37"/>
      <c r="DYC7" s="2"/>
      <c r="DYD7" s="29"/>
      <c r="DYJ7" s="10"/>
      <c r="DYK7" s="36"/>
      <c r="DYL7" s="37"/>
      <c r="DYM7" s="37"/>
      <c r="DYS7" s="2"/>
      <c r="DYT7" s="29"/>
      <c r="DYZ7" s="10"/>
      <c r="DZA7" s="36"/>
      <c r="DZB7" s="37"/>
      <c r="DZC7" s="37"/>
      <c r="DZI7" s="2"/>
      <c r="DZJ7" s="29"/>
      <c r="DZP7" s="10"/>
      <c r="DZQ7" s="36"/>
      <c r="DZR7" s="37"/>
      <c r="DZS7" s="37"/>
      <c r="DZY7" s="2"/>
      <c r="DZZ7" s="29"/>
      <c r="EAF7" s="10"/>
      <c r="EAG7" s="36"/>
      <c r="EAH7" s="37"/>
      <c r="EAI7" s="37"/>
      <c r="EAO7" s="2"/>
      <c r="EAP7" s="29"/>
      <c r="EAV7" s="10"/>
      <c r="EAW7" s="36"/>
      <c r="EAX7" s="37"/>
      <c r="EAY7" s="37"/>
      <c r="EBE7" s="2"/>
      <c r="EBF7" s="29"/>
      <c r="EBL7" s="10"/>
      <c r="EBM7" s="36"/>
      <c r="EBN7" s="37"/>
      <c r="EBO7" s="37"/>
      <c r="EBU7" s="2"/>
      <c r="EBV7" s="29"/>
      <c r="ECB7" s="10"/>
      <c r="ECC7" s="36"/>
      <c r="ECD7" s="37"/>
      <c r="ECE7" s="37"/>
      <c r="ECK7" s="2"/>
      <c r="ECL7" s="29"/>
      <c r="ECR7" s="10"/>
      <c r="ECS7" s="36"/>
      <c r="ECT7" s="37"/>
      <c r="ECU7" s="37"/>
      <c r="EDA7" s="2"/>
      <c r="EDB7" s="29"/>
      <c r="EDH7" s="10"/>
      <c r="EDI7" s="36"/>
      <c r="EDJ7" s="37"/>
      <c r="EDK7" s="37"/>
      <c r="EDQ7" s="2"/>
      <c r="EDR7" s="29"/>
      <c r="EDX7" s="10"/>
      <c r="EDY7" s="36"/>
      <c r="EDZ7" s="37"/>
      <c r="EEA7" s="37"/>
      <c r="EEG7" s="2"/>
      <c r="EEH7" s="29"/>
      <c r="EEN7" s="10"/>
      <c r="EEO7" s="36"/>
      <c r="EEP7" s="37"/>
      <c r="EEQ7" s="37"/>
      <c r="EEW7" s="2"/>
      <c r="EEX7" s="29"/>
      <c r="EFD7" s="10"/>
      <c r="EFE7" s="36"/>
      <c r="EFF7" s="37"/>
      <c r="EFG7" s="37"/>
      <c r="EFM7" s="2"/>
      <c r="EFN7" s="29"/>
      <c r="EFT7" s="10"/>
      <c r="EFU7" s="36"/>
      <c r="EFV7" s="37"/>
      <c r="EFW7" s="37"/>
      <c r="EGC7" s="2"/>
      <c r="EGD7" s="29"/>
      <c r="EGJ7" s="10"/>
      <c r="EGK7" s="36"/>
      <c r="EGL7" s="37"/>
      <c r="EGM7" s="37"/>
      <c r="EGS7" s="2"/>
      <c r="EGT7" s="29"/>
      <c r="EGZ7" s="10"/>
      <c r="EHA7" s="36"/>
      <c r="EHB7" s="37"/>
      <c r="EHC7" s="37"/>
      <c r="EHI7" s="2"/>
      <c r="EHJ7" s="29"/>
      <c r="EHP7" s="10"/>
      <c r="EHQ7" s="36"/>
      <c r="EHR7" s="37"/>
      <c r="EHS7" s="37"/>
      <c r="EHY7" s="2"/>
      <c r="EHZ7" s="29"/>
      <c r="EIF7" s="10"/>
      <c r="EIG7" s="36"/>
      <c r="EIH7" s="37"/>
      <c r="EII7" s="37"/>
      <c r="EIO7" s="2"/>
      <c r="EIP7" s="29"/>
      <c r="EIV7" s="10"/>
      <c r="EIW7" s="36"/>
      <c r="EIX7" s="37"/>
      <c r="EIY7" s="37"/>
      <c r="EJE7" s="2"/>
      <c r="EJF7" s="29"/>
      <c r="EJL7" s="10"/>
      <c r="EJM7" s="36"/>
      <c r="EJN7" s="37"/>
      <c r="EJO7" s="37"/>
      <c r="EJU7" s="2"/>
      <c r="EJV7" s="29"/>
      <c r="EKB7" s="10"/>
      <c r="EKC7" s="36"/>
      <c r="EKD7" s="37"/>
      <c r="EKE7" s="37"/>
      <c r="EKK7" s="2"/>
      <c r="EKL7" s="29"/>
      <c r="EKR7" s="10"/>
      <c r="EKS7" s="36"/>
      <c r="EKT7" s="37"/>
      <c r="EKU7" s="37"/>
      <c r="ELA7" s="2"/>
      <c r="ELB7" s="29"/>
      <c r="ELH7" s="10"/>
      <c r="ELI7" s="36"/>
      <c r="ELJ7" s="37"/>
      <c r="ELK7" s="37"/>
      <c r="ELQ7" s="2"/>
      <c r="ELR7" s="29"/>
      <c r="ELX7" s="10"/>
      <c r="ELY7" s="36"/>
      <c r="ELZ7" s="37"/>
      <c r="EMA7" s="37"/>
      <c r="EMG7" s="2"/>
      <c r="EMH7" s="29"/>
      <c r="EMN7" s="10"/>
      <c r="EMO7" s="36"/>
      <c r="EMP7" s="37"/>
      <c r="EMQ7" s="37"/>
      <c r="EMW7" s="2"/>
      <c r="EMX7" s="29"/>
      <c r="END7" s="10"/>
      <c r="ENE7" s="36"/>
      <c r="ENF7" s="37"/>
      <c r="ENG7" s="37"/>
      <c r="ENM7" s="2"/>
      <c r="ENN7" s="29"/>
      <c r="ENT7" s="10"/>
      <c r="ENU7" s="36"/>
      <c r="ENV7" s="37"/>
      <c r="ENW7" s="37"/>
      <c r="EOC7" s="2"/>
      <c r="EOD7" s="29"/>
      <c r="EOJ7" s="10"/>
      <c r="EOK7" s="36"/>
      <c r="EOL7" s="37"/>
      <c r="EOM7" s="37"/>
      <c r="EOS7" s="2"/>
      <c r="EOT7" s="29"/>
      <c r="EOZ7" s="10"/>
      <c r="EPA7" s="36"/>
      <c r="EPB7" s="37"/>
      <c r="EPC7" s="37"/>
      <c r="EPI7" s="2"/>
      <c r="EPJ7" s="29"/>
      <c r="EPP7" s="10"/>
      <c r="EPQ7" s="36"/>
      <c r="EPR7" s="37"/>
      <c r="EPS7" s="37"/>
      <c r="EPY7" s="2"/>
      <c r="EPZ7" s="29"/>
      <c r="EQF7" s="10"/>
      <c r="EQG7" s="36"/>
      <c r="EQH7" s="37"/>
      <c r="EQI7" s="37"/>
      <c r="EQO7" s="2"/>
      <c r="EQP7" s="29"/>
      <c r="EQV7" s="10"/>
      <c r="EQW7" s="36"/>
      <c r="EQX7" s="37"/>
      <c r="EQY7" s="37"/>
      <c r="ERE7" s="2"/>
      <c r="ERF7" s="29"/>
      <c r="ERL7" s="10"/>
      <c r="ERM7" s="36"/>
      <c r="ERN7" s="37"/>
      <c r="ERO7" s="37"/>
      <c r="ERU7" s="2"/>
      <c r="ERV7" s="29"/>
      <c r="ESB7" s="10"/>
      <c r="ESC7" s="36"/>
      <c r="ESD7" s="37"/>
      <c r="ESE7" s="37"/>
      <c r="ESK7" s="2"/>
      <c r="ESL7" s="29"/>
      <c r="ESR7" s="10"/>
      <c r="ESS7" s="36"/>
      <c r="EST7" s="37"/>
      <c r="ESU7" s="37"/>
      <c r="ETA7" s="2"/>
      <c r="ETB7" s="29"/>
      <c r="ETH7" s="10"/>
      <c r="ETI7" s="36"/>
      <c r="ETJ7" s="37"/>
      <c r="ETK7" s="37"/>
      <c r="ETQ7" s="2"/>
      <c r="ETR7" s="29"/>
      <c r="ETX7" s="10"/>
      <c r="ETY7" s="36"/>
      <c r="ETZ7" s="37"/>
      <c r="EUA7" s="37"/>
      <c r="EUG7" s="2"/>
      <c r="EUH7" s="29"/>
      <c r="EUN7" s="10"/>
      <c r="EUO7" s="36"/>
      <c r="EUP7" s="37"/>
      <c r="EUQ7" s="37"/>
      <c r="EUW7" s="2"/>
      <c r="EUX7" s="29"/>
      <c r="EVD7" s="10"/>
      <c r="EVE7" s="36"/>
      <c r="EVF7" s="37"/>
      <c r="EVG7" s="37"/>
      <c r="EVM7" s="2"/>
      <c r="EVN7" s="29"/>
      <c r="EVT7" s="10"/>
      <c r="EVU7" s="36"/>
      <c r="EVV7" s="37"/>
      <c r="EVW7" s="37"/>
      <c r="EWC7" s="2"/>
      <c r="EWD7" s="29"/>
      <c r="EWJ7" s="10"/>
      <c r="EWK7" s="36"/>
      <c r="EWL7" s="37"/>
      <c r="EWM7" s="37"/>
      <c r="EWS7" s="2"/>
      <c r="EWT7" s="29"/>
      <c r="EWZ7" s="10"/>
      <c r="EXA7" s="36"/>
      <c r="EXB7" s="37"/>
      <c r="EXC7" s="37"/>
      <c r="EXI7" s="2"/>
      <c r="EXJ7" s="29"/>
      <c r="EXP7" s="10"/>
      <c r="EXQ7" s="36"/>
      <c r="EXR7" s="37"/>
      <c r="EXS7" s="37"/>
      <c r="EXY7" s="2"/>
      <c r="EXZ7" s="29"/>
      <c r="EYF7" s="10"/>
      <c r="EYG7" s="36"/>
      <c r="EYH7" s="37"/>
      <c r="EYI7" s="37"/>
      <c r="EYO7" s="2"/>
      <c r="EYP7" s="29"/>
      <c r="EYV7" s="10"/>
      <c r="EYW7" s="36"/>
      <c r="EYX7" s="37"/>
      <c r="EYY7" s="37"/>
      <c r="EZE7" s="2"/>
      <c r="EZF7" s="29"/>
      <c r="EZL7" s="10"/>
      <c r="EZM7" s="36"/>
      <c r="EZN7" s="37"/>
      <c r="EZO7" s="37"/>
      <c r="EZU7" s="2"/>
      <c r="EZV7" s="29"/>
      <c r="FAB7" s="10"/>
      <c r="FAC7" s="36"/>
      <c r="FAD7" s="37"/>
      <c r="FAE7" s="37"/>
      <c r="FAK7" s="2"/>
      <c r="FAL7" s="29"/>
      <c r="FAR7" s="10"/>
      <c r="FAS7" s="36"/>
      <c r="FAT7" s="37"/>
      <c r="FAU7" s="37"/>
      <c r="FBA7" s="2"/>
      <c r="FBB7" s="29"/>
      <c r="FBH7" s="10"/>
      <c r="FBI7" s="36"/>
      <c r="FBJ7" s="37"/>
      <c r="FBK7" s="37"/>
      <c r="FBQ7" s="2"/>
      <c r="FBR7" s="29"/>
      <c r="FBX7" s="10"/>
      <c r="FBY7" s="36"/>
      <c r="FBZ7" s="37"/>
      <c r="FCA7" s="37"/>
      <c r="FCG7" s="2"/>
      <c r="FCH7" s="29"/>
      <c r="FCN7" s="10"/>
      <c r="FCO7" s="36"/>
      <c r="FCP7" s="37"/>
      <c r="FCQ7" s="37"/>
      <c r="FCW7" s="2"/>
      <c r="FCX7" s="29"/>
      <c r="FDD7" s="10"/>
      <c r="FDE7" s="36"/>
      <c r="FDF7" s="37"/>
      <c r="FDG7" s="37"/>
      <c r="FDM7" s="2"/>
      <c r="FDN7" s="29"/>
      <c r="FDT7" s="10"/>
      <c r="FDU7" s="36"/>
      <c r="FDV7" s="37"/>
      <c r="FDW7" s="37"/>
      <c r="FEC7" s="2"/>
      <c r="FED7" s="29"/>
      <c r="FEJ7" s="10"/>
      <c r="FEK7" s="36"/>
      <c r="FEL7" s="37"/>
      <c r="FEM7" s="37"/>
      <c r="FES7" s="2"/>
      <c r="FET7" s="29"/>
      <c r="FEZ7" s="10"/>
      <c r="FFA7" s="36"/>
      <c r="FFB7" s="37"/>
      <c r="FFC7" s="37"/>
      <c r="FFI7" s="2"/>
      <c r="FFJ7" s="29"/>
      <c r="FFP7" s="10"/>
      <c r="FFQ7" s="36"/>
      <c r="FFR7" s="37"/>
      <c r="FFS7" s="37"/>
      <c r="FFY7" s="2"/>
      <c r="FFZ7" s="29"/>
      <c r="FGF7" s="10"/>
      <c r="FGG7" s="36"/>
      <c r="FGH7" s="37"/>
      <c r="FGI7" s="37"/>
      <c r="FGO7" s="2"/>
      <c r="FGP7" s="29"/>
      <c r="FGV7" s="10"/>
      <c r="FGW7" s="36"/>
      <c r="FGX7" s="37"/>
      <c r="FGY7" s="37"/>
      <c r="FHE7" s="2"/>
      <c r="FHF7" s="29"/>
      <c r="FHL7" s="10"/>
      <c r="FHM7" s="36"/>
      <c r="FHN7" s="37"/>
      <c r="FHO7" s="37"/>
      <c r="FHU7" s="2"/>
      <c r="FHV7" s="29"/>
      <c r="FIB7" s="10"/>
      <c r="FIC7" s="36"/>
      <c r="FID7" s="37"/>
      <c r="FIE7" s="37"/>
      <c r="FIK7" s="2"/>
      <c r="FIL7" s="29"/>
      <c r="FIR7" s="10"/>
      <c r="FIS7" s="36"/>
      <c r="FIT7" s="37"/>
      <c r="FIU7" s="37"/>
      <c r="FJA7" s="2"/>
      <c r="FJB7" s="29"/>
      <c r="FJH7" s="10"/>
      <c r="FJI7" s="36"/>
      <c r="FJJ7" s="37"/>
      <c r="FJK7" s="37"/>
      <c r="FJQ7" s="2"/>
      <c r="FJR7" s="29"/>
      <c r="FJX7" s="10"/>
      <c r="FJY7" s="36"/>
      <c r="FJZ7" s="37"/>
      <c r="FKA7" s="37"/>
      <c r="FKG7" s="2"/>
      <c r="FKH7" s="29"/>
      <c r="FKN7" s="10"/>
      <c r="FKO7" s="36"/>
      <c r="FKP7" s="37"/>
      <c r="FKQ7" s="37"/>
      <c r="FKW7" s="2"/>
      <c r="FKX7" s="29"/>
      <c r="FLD7" s="10"/>
      <c r="FLE7" s="36"/>
      <c r="FLF7" s="37"/>
      <c r="FLG7" s="37"/>
      <c r="FLM7" s="2"/>
      <c r="FLN7" s="29"/>
      <c r="FLT7" s="10"/>
      <c r="FLU7" s="36"/>
      <c r="FLV7" s="37"/>
      <c r="FLW7" s="37"/>
      <c r="FMC7" s="2"/>
      <c r="FMD7" s="29"/>
      <c r="FMJ7" s="10"/>
      <c r="FMK7" s="36"/>
      <c r="FML7" s="37"/>
      <c r="FMM7" s="37"/>
      <c r="FMS7" s="2"/>
      <c r="FMT7" s="29"/>
      <c r="FMZ7" s="10"/>
      <c r="FNA7" s="36"/>
      <c r="FNB7" s="37"/>
      <c r="FNC7" s="37"/>
      <c r="FNI7" s="2"/>
      <c r="FNJ7" s="29"/>
      <c r="FNP7" s="10"/>
      <c r="FNQ7" s="36"/>
      <c r="FNR7" s="37"/>
      <c r="FNS7" s="37"/>
      <c r="FNY7" s="2"/>
      <c r="FNZ7" s="29"/>
      <c r="FOF7" s="10"/>
      <c r="FOG7" s="36"/>
      <c r="FOH7" s="37"/>
      <c r="FOI7" s="37"/>
      <c r="FOO7" s="2"/>
      <c r="FOP7" s="29"/>
      <c r="FOV7" s="10"/>
      <c r="FOW7" s="36"/>
      <c r="FOX7" s="37"/>
      <c r="FOY7" s="37"/>
      <c r="FPE7" s="2"/>
      <c r="FPF7" s="29"/>
      <c r="FPL7" s="10"/>
      <c r="FPM7" s="36"/>
      <c r="FPN7" s="37"/>
      <c r="FPO7" s="37"/>
      <c r="FPU7" s="2"/>
      <c r="FPV7" s="29"/>
      <c r="FQB7" s="10"/>
      <c r="FQC7" s="36"/>
      <c r="FQD7" s="37"/>
      <c r="FQE7" s="37"/>
      <c r="FQK7" s="2"/>
      <c r="FQL7" s="29"/>
      <c r="FQR7" s="10"/>
      <c r="FQS7" s="36"/>
      <c r="FQT7" s="37"/>
      <c r="FQU7" s="37"/>
      <c r="FRA7" s="2"/>
      <c r="FRB7" s="29"/>
      <c r="FRH7" s="10"/>
      <c r="FRI7" s="36"/>
      <c r="FRJ7" s="37"/>
      <c r="FRK7" s="37"/>
      <c r="FRQ7" s="2"/>
      <c r="FRR7" s="29"/>
      <c r="FRX7" s="10"/>
      <c r="FRY7" s="36"/>
      <c r="FRZ7" s="37"/>
      <c r="FSA7" s="37"/>
      <c r="FSG7" s="2"/>
      <c r="FSH7" s="29"/>
      <c r="FSN7" s="10"/>
      <c r="FSO7" s="36"/>
      <c r="FSP7" s="37"/>
      <c r="FSQ7" s="37"/>
      <c r="FSW7" s="2"/>
      <c r="FSX7" s="29"/>
      <c r="FTD7" s="10"/>
      <c r="FTE7" s="36"/>
      <c r="FTF7" s="37"/>
      <c r="FTG7" s="37"/>
      <c r="FTM7" s="2"/>
      <c r="FTN7" s="29"/>
      <c r="FTT7" s="10"/>
      <c r="FTU7" s="36"/>
      <c r="FTV7" s="37"/>
      <c r="FTW7" s="37"/>
      <c r="FUC7" s="2"/>
      <c r="FUD7" s="29"/>
      <c r="FUJ7" s="10"/>
      <c r="FUK7" s="36"/>
      <c r="FUL7" s="37"/>
      <c r="FUM7" s="37"/>
      <c r="FUS7" s="2"/>
      <c r="FUT7" s="29"/>
      <c r="FUZ7" s="10"/>
      <c r="FVA7" s="36"/>
      <c r="FVB7" s="37"/>
      <c r="FVC7" s="37"/>
      <c r="FVI7" s="2"/>
      <c r="FVJ7" s="29"/>
      <c r="FVP7" s="10"/>
      <c r="FVQ7" s="36"/>
      <c r="FVR7" s="37"/>
      <c r="FVS7" s="37"/>
      <c r="FVY7" s="2"/>
      <c r="FVZ7" s="29"/>
      <c r="FWF7" s="10"/>
      <c r="FWG7" s="36"/>
      <c r="FWH7" s="37"/>
      <c r="FWI7" s="37"/>
      <c r="FWO7" s="2"/>
      <c r="FWP7" s="29"/>
      <c r="FWV7" s="10"/>
      <c r="FWW7" s="36"/>
      <c r="FWX7" s="37"/>
      <c r="FWY7" s="37"/>
      <c r="FXE7" s="2"/>
      <c r="FXF7" s="29"/>
      <c r="FXL7" s="10"/>
      <c r="FXM7" s="36"/>
      <c r="FXN7" s="37"/>
      <c r="FXO7" s="37"/>
      <c r="FXU7" s="2"/>
      <c r="FXV7" s="29"/>
      <c r="FYB7" s="10"/>
      <c r="FYC7" s="36"/>
      <c r="FYD7" s="37"/>
      <c r="FYE7" s="37"/>
      <c r="FYK7" s="2"/>
      <c r="FYL7" s="29"/>
      <c r="FYR7" s="10"/>
      <c r="FYS7" s="36"/>
      <c r="FYT7" s="37"/>
      <c r="FYU7" s="37"/>
      <c r="FZA7" s="2"/>
      <c r="FZB7" s="29"/>
      <c r="FZH7" s="10"/>
      <c r="FZI7" s="36"/>
      <c r="FZJ7" s="37"/>
      <c r="FZK7" s="37"/>
      <c r="FZQ7" s="2"/>
      <c r="FZR7" s="29"/>
      <c r="FZX7" s="10"/>
      <c r="FZY7" s="36"/>
      <c r="FZZ7" s="37"/>
      <c r="GAA7" s="37"/>
      <c r="GAG7" s="2"/>
      <c r="GAH7" s="29"/>
      <c r="GAN7" s="10"/>
      <c r="GAO7" s="36"/>
      <c r="GAP7" s="37"/>
      <c r="GAQ7" s="37"/>
      <c r="GAW7" s="2"/>
      <c r="GAX7" s="29"/>
      <c r="GBD7" s="10"/>
      <c r="GBE7" s="36"/>
      <c r="GBF7" s="37"/>
      <c r="GBG7" s="37"/>
      <c r="GBM7" s="2"/>
      <c r="GBN7" s="29"/>
      <c r="GBT7" s="10"/>
      <c r="GBU7" s="36"/>
      <c r="GBV7" s="37"/>
      <c r="GBW7" s="37"/>
      <c r="GCC7" s="2"/>
      <c r="GCD7" s="29"/>
      <c r="GCJ7" s="10"/>
      <c r="GCK7" s="36"/>
      <c r="GCL7" s="37"/>
      <c r="GCM7" s="37"/>
      <c r="GCS7" s="2"/>
      <c r="GCT7" s="29"/>
      <c r="GCZ7" s="10"/>
      <c r="GDA7" s="36"/>
      <c r="GDB7" s="37"/>
      <c r="GDC7" s="37"/>
      <c r="GDI7" s="2"/>
      <c r="GDJ7" s="29"/>
      <c r="GDP7" s="10"/>
      <c r="GDQ7" s="36"/>
      <c r="GDR7" s="37"/>
      <c r="GDS7" s="37"/>
      <c r="GDY7" s="2"/>
      <c r="GDZ7" s="29"/>
      <c r="GEF7" s="10"/>
      <c r="GEG7" s="36"/>
      <c r="GEH7" s="37"/>
      <c r="GEI7" s="37"/>
      <c r="GEO7" s="2"/>
      <c r="GEP7" s="29"/>
      <c r="GEV7" s="10"/>
      <c r="GEW7" s="36"/>
      <c r="GEX7" s="37"/>
      <c r="GEY7" s="37"/>
      <c r="GFE7" s="2"/>
      <c r="GFF7" s="29"/>
      <c r="GFL7" s="10"/>
      <c r="GFM7" s="36"/>
      <c r="GFN7" s="37"/>
      <c r="GFO7" s="37"/>
      <c r="GFU7" s="2"/>
      <c r="GFV7" s="29"/>
      <c r="GGB7" s="10"/>
      <c r="GGC7" s="36"/>
      <c r="GGD7" s="37"/>
      <c r="GGE7" s="37"/>
      <c r="GGK7" s="2"/>
      <c r="GGL7" s="29"/>
      <c r="GGR7" s="10"/>
      <c r="GGS7" s="36"/>
      <c r="GGT7" s="37"/>
      <c r="GGU7" s="37"/>
      <c r="GHA7" s="2"/>
      <c r="GHB7" s="29"/>
      <c r="GHH7" s="10"/>
      <c r="GHI7" s="36"/>
      <c r="GHJ7" s="37"/>
      <c r="GHK7" s="37"/>
      <c r="GHQ7" s="2"/>
      <c r="GHR7" s="29"/>
      <c r="GHX7" s="10"/>
      <c r="GHY7" s="36"/>
      <c r="GHZ7" s="37"/>
      <c r="GIA7" s="37"/>
      <c r="GIG7" s="2"/>
      <c r="GIH7" s="29"/>
      <c r="GIN7" s="10"/>
      <c r="GIO7" s="36"/>
      <c r="GIP7" s="37"/>
      <c r="GIQ7" s="37"/>
      <c r="GIW7" s="2"/>
      <c r="GIX7" s="29"/>
      <c r="GJD7" s="10"/>
      <c r="GJE7" s="36"/>
      <c r="GJF7" s="37"/>
      <c r="GJG7" s="37"/>
      <c r="GJM7" s="2"/>
      <c r="GJN7" s="29"/>
      <c r="GJT7" s="10"/>
      <c r="GJU7" s="36"/>
      <c r="GJV7" s="37"/>
      <c r="GJW7" s="37"/>
      <c r="GKC7" s="2"/>
      <c r="GKD7" s="29"/>
      <c r="GKJ7" s="10"/>
      <c r="GKK7" s="36"/>
      <c r="GKL7" s="37"/>
      <c r="GKM7" s="37"/>
      <c r="GKS7" s="2"/>
      <c r="GKT7" s="29"/>
      <c r="GKZ7" s="10"/>
      <c r="GLA7" s="36"/>
      <c r="GLB7" s="37"/>
      <c r="GLC7" s="37"/>
      <c r="GLI7" s="2"/>
      <c r="GLJ7" s="29"/>
      <c r="GLP7" s="10"/>
      <c r="GLQ7" s="36"/>
      <c r="GLR7" s="37"/>
      <c r="GLS7" s="37"/>
      <c r="GLY7" s="2"/>
      <c r="GLZ7" s="29"/>
      <c r="GMF7" s="10"/>
      <c r="GMG7" s="36"/>
      <c r="GMH7" s="37"/>
      <c r="GMI7" s="37"/>
      <c r="GMO7" s="2"/>
      <c r="GMP7" s="29"/>
      <c r="GMV7" s="10"/>
      <c r="GMW7" s="36"/>
      <c r="GMX7" s="37"/>
      <c r="GMY7" s="37"/>
      <c r="GNE7" s="2"/>
      <c r="GNF7" s="29"/>
      <c r="GNL7" s="10"/>
      <c r="GNM7" s="36"/>
      <c r="GNN7" s="37"/>
      <c r="GNO7" s="37"/>
      <c r="GNU7" s="2"/>
      <c r="GNV7" s="29"/>
      <c r="GOB7" s="10"/>
      <c r="GOC7" s="36"/>
      <c r="GOD7" s="37"/>
      <c r="GOE7" s="37"/>
      <c r="GOK7" s="2"/>
      <c r="GOL7" s="29"/>
      <c r="GOR7" s="10"/>
      <c r="GOS7" s="36"/>
      <c r="GOT7" s="37"/>
      <c r="GOU7" s="37"/>
      <c r="GPA7" s="2"/>
      <c r="GPB7" s="29"/>
      <c r="GPH7" s="10"/>
      <c r="GPI7" s="36"/>
      <c r="GPJ7" s="37"/>
      <c r="GPK7" s="37"/>
      <c r="GPQ7" s="2"/>
      <c r="GPR7" s="29"/>
      <c r="GPX7" s="10"/>
      <c r="GPY7" s="36"/>
      <c r="GPZ7" s="37"/>
      <c r="GQA7" s="37"/>
      <c r="GQG7" s="2"/>
      <c r="GQH7" s="29"/>
      <c r="GQN7" s="10"/>
      <c r="GQO7" s="36"/>
      <c r="GQP7" s="37"/>
      <c r="GQQ7" s="37"/>
      <c r="GQW7" s="2"/>
      <c r="GQX7" s="29"/>
      <c r="GRD7" s="10"/>
      <c r="GRE7" s="36"/>
      <c r="GRF7" s="37"/>
      <c r="GRG7" s="37"/>
      <c r="GRM7" s="2"/>
      <c r="GRN7" s="29"/>
      <c r="GRT7" s="10"/>
      <c r="GRU7" s="36"/>
      <c r="GRV7" s="37"/>
      <c r="GRW7" s="37"/>
      <c r="GSC7" s="2"/>
      <c r="GSD7" s="29"/>
      <c r="GSJ7" s="10"/>
      <c r="GSK7" s="36"/>
      <c r="GSL7" s="37"/>
      <c r="GSM7" s="37"/>
      <c r="GSS7" s="2"/>
      <c r="GST7" s="29"/>
      <c r="GSZ7" s="10"/>
      <c r="GTA7" s="36"/>
      <c r="GTB7" s="37"/>
      <c r="GTC7" s="37"/>
      <c r="GTI7" s="2"/>
      <c r="GTJ7" s="29"/>
      <c r="GTP7" s="10"/>
      <c r="GTQ7" s="36"/>
      <c r="GTR7" s="37"/>
      <c r="GTS7" s="37"/>
      <c r="GTY7" s="2"/>
      <c r="GTZ7" s="29"/>
      <c r="GUF7" s="10"/>
      <c r="GUG7" s="36"/>
      <c r="GUH7" s="37"/>
      <c r="GUI7" s="37"/>
      <c r="GUO7" s="2"/>
      <c r="GUP7" s="29"/>
      <c r="GUV7" s="10"/>
      <c r="GUW7" s="36"/>
      <c r="GUX7" s="37"/>
      <c r="GUY7" s="37"/>
      <c r="GVE7" s="2"/>
      <c r="GVF7" s="29"/>
      <c r="GVL7" s="10"/>
      <c r="GVM7" s="36"/>
      <c r="GVN7" s="37"/>
      <c r="GVO7" s="37"/>
      <c r="GVU7" s="2"/>
      <c r="GVV7" s="29"/>
      <c r="GWB7" s="10"/>
      <c r="GWC7" s="36"/>
      <c r="GWD7" s="37"/>
      <c r="GWE7" s="37"/>
      <c r="GWK7" s="2"/>
      <c r="GWL7" s="29"/>
      <c r="GWR7" s="10"/>
      <c r="GWS7" s="36"/>
      <c r="GWT7" s="37"/>
      <c r="GWU7" s="37"/>
      <c r="GXA7" s="2"/>
      <c r="GXB7" s="29"/>
      <c r="GXH7" s="10"/>
      <c r="GXI7" s="36"/>
      <c r="GXJ7" s="37"/>
      <c r="GXK7" s="37"/>
      <c r="GXQ7" s="2"/>
      <c r="GXR7" s="29"/>
      <c r="GXX7" s="10"/>
      <c r="GXY7" s="36"/>
      <c r="GXZ7" s="37"/>
      <c r="GYA7" s="37"/>
      <c r="GYG7" s="2"/>
      <c r="GYH7" s="29"/>
      <c r="GYN7" s="10"/>
      <c r="GYO7" s="36"/>
      <c r="GYP7" s="37"/>
      <c r="GYQ7" s="37"/>
      <c r="GYW7" s="2"/>
      <c r="GYX7" s="29"/>
      <c r="GZD7" s="10"/>
      <c r="GZE7" s="36"/>
      <c r="GZF7" s="37"/>
      <c r="GZG7" s="37"/>
      <c r="GZM7" s="2"/>
      <c r="GZN7" s="29"/>
      <c r="GZT7" s="10"/>
      <c r="GZU7" s="36"/>
      <c r="GZV7" s="37"/>
      <c r="GZW7" s="37"/>
      <c r="HAC7" s="2"/>
      <c r="HAD7" s="29"/>
      <c r="HAJ7" s="10"/>
      <c r="HAK7" s="36"/>
      <c r="HAL7" s="37"/>
      <c r="HAM7" s="37"/>
      <c r="HAS7" s="2"/>
      <c r="HAT7" s="29"/>
      <c r="HAZ7" s="10"/>
      <c r="HBA7" s="36"/>
      <c r="HBB7" s="37"/>
      <c r="HBC7" s="37"/>
      <c r="HBI7" s="2"/>
      <c r="HBJ7" s="29"/>
      <c r="HBP7" s="10"/>
      <c r="HBQ7" s="36"/>
      <c r="HBR7" s="37"/>
      <c r="HBS7" s="37"/>
      <c r="HBY7" s="2"/>
      <c r="HBZ7" s="29"/>
      <c r="HCF7" s="10"/>
      <c r="HCG7" s="36"/>
      <c r="HCH7" s="37"/>
      <c r="HCI7" s="37"/>
      <c r="HCO7" s="2"/>
      <c r="HCP7" s="29"/>
      <c r="HCV7" s="10"/>
      <c r="HCW7" s="36"/>
      <c r="HCX7" s="37"/>
      <c r="HCY7" s="37"/>
      <c r="HDE7" s="2"/>
      <c r="HDF7" s="29"/>
      <c r="HDL7" s="10"/>
      <c r="HDM7" s="36"/>
      <c r="HDN7" s="37"/>
      <c r="HDO7" s="37"/>
      <c r="HDU7" s="2"/>
      <c r="HDV7" s="29"/>
      <c r="HEB7" s="10"/>
      <c r="HEC7" s="36"/>
      <c r="HED7" s="37"/>
      <c r="HEE7" s="37"/>
      <c r="HEK7" s="2"/>
      <c r="HEL7" s="29"/>
      <c r="HER7" s="10"/>
      <c r="HES7" s="36"/>
      <c r="HET7" s="37"/>
      <c r="HEU7" s="37"/>
      <c r="HFA7" s="2"/>
      <c r="HFB7" s="29"/>
      <c r="HFH7" s="10"/>
      <c r="HFI7" s="36"/>
      <c r="HFJ7" s="37"/>
      <c r="HFK7" s="37"/>
      <c r="HFQ7" s="2"/>
      <c r="HFR7" s="29"/>
      <c r="HFX7" s="10"/>
      <c r="HFY7" s="36"/>
      <c r="HFZ7" s="37"/>
      <c r="HGA7" s="37"/>
      <c r="HGG7" s="2"/>
      <c r="HGH7" s="29"/>
      <c r="HGN7" s="10"/>
      <c r="HGO7" s="36"/>
      <c r="HGP7" s="37"/>
      <c r="HGQ7" s="37"/>
      <c r="HGW7" s="2"/>
      <c r="HGX7" s="29"/>
      <c r="HHD7" s="10"/>
      <c r="HHE7" s="36"/>
      <c r="HHF7" s="37"/>
      <c r="HHG7" s="37"/>
      <c r="HHM7" s="2"/>
      <c r="HHN7" s="29"/>
      <c r="HHT7" s="10"/>
      <c r="HHU7" s="36"/>
      <c r="HHV7" s="37"/>
      <c r="HHW7" s="37"/>
      <c r="HIC7" s="2"/>
      <c r="HID7" s="29"/>
      <c r="HIJ7" s="10"/>
      <c r="HIK7" s="36"/>
      <c r="HIL7" s="37"/>
      <c r="HIM7" s="37"/>
      <c r="HIS7" s="2"/>
      <c r="HIT7" s="29"/>
      <c r="HIZ7" s="10"/>
      <c r="HJA7" s="36"/>
      <c r="HJB7" s="37"/>
      <c r="HJC7" s="37"/>
      <c r="HJI7" s="2"/>
      <c r="HJJ7" s="29"/>
      <c r="HJP7" s="10"/>
      <c r="HJQ7" s="36"/>
      <c r="HJR7" s="37"/>
      <c r="HJS7" s="37"/>
      <c r="HJY7" s="2"/>
      <c r="HJZ7" s="29"/>
      <c r="HKF7" s="10"/>
      <c r="HKG7" s="36"/>
      <c r="HKH7" s="37"/>
      <c r="HKI7" s="37"/>
      <c r="HKO7" s="2"/>
      <c r="HKP7" s="29"/>
      <c r="HKV7" s="10"/>
      <c r="HKW7" s="36"/>
      <c r="HKX7" s="37"/>
      <c r="HKY7" s="37"/>
      <c r="HLE7" s="2"/>
      <c r="HLF7" s="29"/>
      <c r="HLL7" s="10"/>
      <c r="HLM7" s="36"/>
      <c r="HLN7" s="37"/>
      <c r="HLO7" s="37"/>
      <c r="HLU7" s="2"/>
      <c r="HLV7" s="29"/>
      <c r="HMB7" s="10"/>
      <c r="HMC7" s="36"/>
      <c r="HMD7" s="37"/>
      <c r="HME7" s="37"/>
      <c r="HMK7" s="2"/>
      <c r="HML7" s="29"/>
      <c r="HMR7" s="10"/>
      <c r="HMS7" s="36"/>
      <c r="HMT7" s="37"/>
      <c r="HMU7" s="37"/>
      <c r="HNA7" s="2"/>
      <c r="HNB7" s="29"/>
      <c r="HNH7" s="10"/>
      <c r="HNI7" s="36"/>
      <c r="HNJ7" s="37"/>
      <c r="HNK7" s="37"/>
      <c r="HNQ7" s="2"/>
      <c r="HNR7" s="29"/>
      <c r="HNX7" s="10"/>
      <c r="HNY7" s="36"/>
      <c r="HNZ7" s="37"/>
      <c r="HOA7" s="37"/>
      <c r="HOG7" s="2"/>
      <c r="HOH7" s="29"/>
      <c r="HON7" s="10"/>
      <c r="HOO7" s="36"/>
      <c r="HOP7" s="37"/>
      <c r="HOQ7" s="37"/>
      <c r="HOW7" s="2"/>
      <c r="HOX7" s="29"/>
      <c r="HPD7" s="10"/>
      <c r="HPE7" s="36"/>
      <c r="HPF7" s="37"/>
      <c r="HPG7" s="37"/>
      <c r="HPM7" s="2"/>
      <c r="HPN7" s="29"/>
      <c r="HPT7" s="10"/>
      <c r="HPU7" s="36"/>
      <c r="HPV7" s="37"/>
      <c r="HPW7" s="37"/>
      <c r="HQC7" s="2"/>
      <c r="HQD7" s="29"/>
      <c r="HQJ7" s="10"/>
      <c r="HQK7" s="36"/>
      <c r="HQL7" s="37"/>
      <c r="HQM7" s="37"/>
      <c r="HQS7" s="2"/>
      <c r="HQT7" s="29"/>
      <c r="HQZ7" s="10"/>
      <c r="HRA7" s="36"/>
      <c r="HRB7" s="37"/>
      <c r="HRC7" s="37"/>
      <c r="HRI7" s="2"/>
      <c r="HRJ7" s="29"/>
      <c r="HRP7" s="10"/>
      <c r="HRQ7" s="36"/>
      <c r="HRR7" s="37"/>
      <c r="HRS7" s="37"/>
      <c r="HRY7" s="2"/>
      <c r="HRZ7" s="29"/>
      <c r="HSF7" s="10"/>
      <c r="HSG7" s="36"/>
      <c r="HSH7" s="37"/>
      <c r="HSI7" s="37"/>
      <c r="HSO7" s="2"/>
      <c r="HSP7" s="29"/>
      <c r="HSV7" s="10"/>
      <c r="HSW7" s="36"/>
      <c r="HSX7" s="37"/>
      <c r="HSY7" s="37"/>
      <c r="HTE7" s="2"/>
      <c r="HTF7" s="29"/>
      <c r="HTL7" s="10"/>
      <c r="HTM7" s="36"/>
      <c r="HTN7" s="37"/>
      <c r="HTO7" s="37"/>
      <c r="HTU7" s="2"/>
      <c r="HTV7" s="29"/>
      <c r="HUB7" s="10"/>
      <c r="HUC7" s="36"/>
      <c r="HUD7" s="37"/>
      <c r="HUE7" s="37"/>
      <c r="HUK7" s="2"/>
      <c r="HUL7" s="29"/>
      <c r="HUR7" s="10"/>
      <c r="HUS7" s="36"/>
      <c r="HUT7" s="37"/>
      <c r="HUU7" s="37"/>
      <c r="HVA7" s="2"/>
      <c r="HVB7" s="29"/>
      <c r="HVH7" s="10"/>
      <c r="HVI7" s="36"/>
      <c r="HVJ7" s="37"/>
      <c r="HVK7" s="37"/>
      <c r="HVQ7" s="2"/>
      <c r="HVR7" s="29"/>
      <c r="HVX7" s="10"/>
      <c r="HVY7" s="36"/>
      <c r="HVZ7" s="37"/>
      <c r="HWA7" s="37"/>
      <c r="HWG7" s="2"/>
      <c r="HWH7" s="29"/>
      <c r="HWN7" s="10"/>
      <c r="HWO7" s="36"/>
      <c r="HWP7" s="37"/>
      <c r="HWQ7" s="37"/>
      <c r="HWW7" s="2"/>
      <c r="HWX7" s="29"/>
      <c r="HXD7" s="10"/>
      <c r="HXE7" s="36"/>
      <c r="HXF7" s="37"/>
      <c r="HXG7" s="37"/>
      <c r="HXM7" s="2"/>
      <c r="HXN7" s="29"/>
      <c r="HXT7" s="10"/>
      <c r="HXU7" s="36"/>
      <c r="HXV7" s="37"/>
      <c r="HXW7" s="37"/>
      <c r="HYC7" s="2"/>
      <c r="HYD7" s="29"/>
      <c r="HYJ7" s="10"/>
      <c r="HYK7" s="36"/>
      <c r="HYL7" s="37"/>
      <c r="HYM7" s="37"/>
      <c r="HYS7" s="2"/>
      <c r="HYT7" s="29"/>
      <c r="HYZ7" s="10"/>
      <c r="HZA7" s="36"/>
      <c r="HZB7" s="37"/>
      <c r="HZC7" s="37"/>
      <c r="HZI7" s="2"/>
      <c r="HZJ7" s="29"/>
      <c r="HZP7" s="10"/>
      <c r="HZQ7" s="36"/>
      <c r="HZR7" s="37"/>
      <c r="HZS7" s="37"/>
      <c r="HZY7" s="2"/>
      <c r="HZZ7" s="29"/>
      <c r="IAF7" s="10"/>
      <c r="IAG7" s="36"/>
      <c r="IAH7" s="37"/>
      <c r="IAI7" s="37"/>
      <c r="IAO7" s="2"/>
      <c r="IAP7" s="29"/>
      <c r="IAV7" s="10"/>
      <c r="IAW7" s="36"/>
      <c r="IAX7" s="37"/>
      <c r="IAY7" s="37"/>
      <c r="IBE7" s="2"/>
      <c r="IBF7" s="29"/>
      <c r="IBL7" s="10"/>
      <c r="IBM7" s="36"/>
      <c r="IBN7" s="37"/>
      <c r="IBO7" s="37"/>
      <c r="IBU7" s="2"/>
      <c r="IBV7" s="29"/>
      <c r="ICB7" s="10"/>
      <c r="ICC7" s="36"/>
      <c r="ICD7" s="37"/>
      <c r="ICE7" s="37"/>
      <c r="ICK7" s="2"/>
      <c r="ICL7" s="29"/>
      <c r="ICR7" s="10"/>
      <c r="ICS7" s="36"/>
      <c r="ICT7" s="37"/>
      <c r="ICU7" s="37"/>
      <c r="IDA7" s="2"/>
      <c r="IDB7" s="29"/>
      <c r="IDH7" s="10"/>
      <c r="IDI7" s="36"/>
      <c r="IDJ7" s="37"/>
      <c r="IDK7" s="37"/>
      <c r="IDQ7" s="2"/>
      <c r="IDR7" s="29"/>
      <c r="IDX7" s="10"/>
      <c r="IDY7" s="36"/>
      <c r="IDZ7" s="37"/>
      <c r="IEA7" s="37"/>
      <c r="IEG7" s="2"/>
      <c r="IEH7" s="29"/>
      <c r="IEN7" s="10"/>
      <c r="IEO7" s="36"/>
      <c r="IEP7" s="37"/>
      <c r="IEQ7" s="37"/>
      <c r="IEW7" s="2"/>
      <c r="IEX7" s="29"/>
      <c r="IFD7" s="10"/>
      <c r="IFE7" s="36"/>
      <c r="IFF7" s="37"/>
      <c r="IFG7" s="37"/>
      <c r="IFM7" s="2"/>
      <c r="IFN7" s="29"/>
      <c r="IFT7" s="10"/>
      <c r="IFU7" s="36"/>
      <c r="IFV7" s="37"/>
      <c r="IFW7" s="37"/>
      <c r="IGC7" s="2"/>
      <c r="IGD7" s="29"/>
      <c r="IGJ7" s="10"/>
      <c r="IGK7" s="36"/>
      <c r="IGL7" s="37"/>
      <c r="IGM7" s="37"/>
      <c r="IGS7" s="2"/>
      <c r="IGT7" s="29"/>
      <c r="IGZ7" s="10"/>
      <c r="IHA7" s="36"/>
      <c r="IHB7" s="37"/>
      <c r="IHC7" s="37"/>
      <c r="IHI7" s="2"/>
      <c r="IHJ7" s="29"/>
      <c r="IHP7" s="10"/>
      <c r="IHQ7" s="36"/>
      <c r="IHR7" s="37"/>
      <c r="IHS7" s="37"/>
      <c r="IHY7" s="2"/>
      <c r="IHZ7" s="29"/>
      <c r="IIF7" s="10"/>
      <c r="IIG7" s="36"/>
      <c r="IIH7" s="37"/>
      <c r="III7" s="37"/>
      <c r="IIO7" s="2"/>
      <c r="IIP7" s="29"/>
      <c r="IIV7" s="10"/>
      <c r="IIW7" s="36"/>
      <c r="IIX7" s="37"/>
      <c r="IIY7" s="37"/>
      <c r="IJE7" s="2"/>
      <c r="IJF7" s="29"/>
      <c r="IJL7" s="10"/>
      <c r="IJM7" s="36"/>
      <c r="IJN7" s="37"/>
      <c r="IJO7" s="37"/>
      <c r="IJU7" s="2"/>
      <c r="IJV7" s="29"/>
      <c r="IKB7" s="10"/>
      <c r="IKC7" s="36"/>
      <c r="IKD7" s="37"/>
      <c r="IKE7" s="37"/>
      <c r="IKK7" s="2"/>
      <c r="IKL7" s="29"/>
      <c r="IKR7" s="10"/>
      <c r="IKS7" s="36"/>
      <c r="IKT7" s="37"/>
      <c r="IKU7" s="37"/>
      <c r="ILA7" s="2"/>
      <c r="ILB7" s="29"/>
      <c r="ILH7" s="10"/>
      <c r="ILI7" s="36"/>
      <c r="ILJ7" s="37"/>
      <c r="ILK7" s="37"/>
      <c r="ILQ7" s="2"/>
      <c r="ILR7" s="29"/>
      <c r="ILX7" s="10"/>
      <c r="ILY7" s="36"/>
      <c r="ILZ7" s="37"/>
      <c r="IMA7" s="37"/>
      <c r="IMG7" s="2"/>
      <c r="IMH7" s="29"/>
      <c r="IMN7" s="10"/>
      <c r="IMO7" s="36"/>
      <c r="IMP7" s="37"/>
      <c r="IMQ7" s="37"/>
      <c r="IMW7" s="2"/>
      <c r="IMX7" s="29"/>
      <c r="IND7" s="10"/>
      <c r="INE7" s="36"/>
      <c r="INF7" s="37"/>
      <c r="ING7" s="37"/>
      <c r="INM7" s="2"/>
      <c r="INN7" s="29"/>
      <c r="INT7" s="10"/>
      <c r="INU7" s="36"/>
      <c r="INV7" s="37"/>
      <c r="INW7" s="37"/>
      <c r="IOC7" s="2"/>
      <c r="IOD7" s="29"/>
      <c r="IOJ7" s="10"/>
      <c r="IOK7" s="36"/>
      <c r="IOL7" s="37"/>
      <c r="IOM7" s="37"/>
      <c r="IOS7" s="2"/>
      <c r="IOT7" s="29"/>
      <c r="IOZ7" s="10"/>
      <c r="IPA7" s="36"/>
      <c r="IPB7" s="37"/>
      <c r="IPC7" s="37"/>
      <c r="IPI7" s="2"/>
      <c r="IPJ7" s="29"/>
      <c r="IPP7" s="10"/>
      <c r="IPQ7" s="36"/>
      <c r="IPR7" s="37"/>
      <c r="IPS7" s="37"/>
      <c r="IPY7" s="2"/>
      <c r="IPZ7" s="29"/>
      <c r="IQF7" s="10"/>
      <c r="IQG7" s="36"/>
      <c r="IQH7" s="37"/>
      <c r="IQI7" s="37"/>
      <c r="IQO7" s="2"/>
      <c r="IQP7" s="29"/>
      <c r="IQV7" s="10"/>
      <c r="IQW7" s="36"/>
      <c r="IQX7" s="37"/>
      <c r="IQY7" s="37"/>
      <c r="IRE7" s="2"/>
      <c r="IRF7" s="29"/>
      <c r="IRL7" s="10"/>
      <c r="IRM7" s="36"/>
      <c r="IRN7" s="37"/>
      <c r="IRO7" s="37"/>
      <c r="IRU7" s="2"/>
      <c r="IRV7" s="29"/>
      <c r="ISB7" s="10"/>
      <c r="ISC7" s="36"/>
      <c r="ISD7" s="37"/>
      <c r="ISE7" s="37"/>
      <c r="ISK7" s="2"/>
      <c r="ISL7" s="29"/>
      <c r="ISR7" s="10"/>
      <c r="ISS7" s="36"/>
      <c r="IST7" s="37"/>
      <c r="ISU7" s="37"/>
      <c r="ITA7" s="2"/>
      <c r="ITB7" s="29"/>
      <c r="ITH7" s="10"/>
      <c r="ITI7" s="36"/>
      <c r="ITJ7" s="37"/>
      <c r="ITK7" s="37"/>
      <c r="ITQ7" s="2"/>
      <c r="ITR7" s="29"/>
      <c r="ITX7" s="10"/>
      <c r="ITY7" s="36"/>
      <c r="ITZ7" s="37"/>
      <c r="IUA7" s="37"/>
      <c r="IUG7" s="2"/>
      <c r="IUH7" s="29"/>
      <c r="IUN7" s="10"/>
      <c r="IUO7" s="36"/>
      <c r="IUP7" s="37"/>
      <c r="IUQ7" s="37"/>
      <c r="IUW7" s="2"/>
      <c r="IUX7" s="29"/>
      <c r="IVD7" s="10"/>
      <c r="IVE7" s="36"/>
      <c r="IVF7" s="37"/>
      <c r="IVG7" s="37"/>
      <c r="IVM7" s="2"/>
      <c r="IVN7" s="29"/>
      <c r="IVT7" s="10"/>
      <c r="IVU7" s="36"/>
      <c r="IVV7" s="37"/>
      <c r="IVW7" s="37"/>
      <c r="IWC7" s="2"/>
      <c r="IWD7" s="29"/>
      <c r="IWJ7" s="10"/>
      <c r="IWK7" s="36"/>
      <c r="IWL7" s="37"/>
      <c r="IWM7" s="37"/>
      <c r="IWS7" s="2"/>
      <c r="IWT7" s="29"/>
      <c r="IWZ7" s="10"/>
      <c r="IXA7" s="36"/>
      <c r="IXB7" s="37"/>
      <c r="IXC7" s="37"/>
      <c r="IXI7" s="2"/>
      <c r="IXJ7" s="29"/>
      <c r="IXP7" s="10"/>
      <c r="IXQ7" s="36"/>
      <c r="IXR7" s="37"/>
      <c r="IXS7" s="37"/>
      <c r="IXY7" s="2"/>
      <c r="IXZ7" s="29"/>
      <c r="IYF7" s="10"/>
      <c r="IYG7" s="36"/>
      <c r="IYH7" s="37"/>
      <c r="IYI7" s="37"/>
      <c r="IYO7" s="2"/>
      <c r="IYP7" s="29"/>
      <c r="IYV7" s="10"/>
      <c r="IYW7" s="36"/>
      <c r="IYX7" s="37"/>
      <c r="IYY7" s="37"/>
      <c r="IZE7" s="2"/>
      <c r="IZF7" s="29"/>
      <c r="IZL7" s="10"/>
      <c r="IZM7" s="36"/>
      <c r="IZN7" s="37"/>
      <c r="IZO7" s="37"/>
      <c r="IZU7" s="2"/>
      <c r="IZV7" s="29"/>
      <c r="JAB7" s="10"/>
      <c r="JAC7" s="36"/>
      <c r="JAD7" s="37"/>
      <c r="JAE7" s="37"/>
      <c r="JAK7" s="2"/>
      <c r="JAL7" s="29"/>
      <c r="JAR7" s="10"/>
      <c r="JAS7" s="36"/>
      <c r="JAT7" s="37"/>
      <c r="JAU7" s="37"/>
      <c r="JBA7" s="2"/>
      <c r="JBB7" s="29"/>
      <c r="JBH7" s="10"/>
      <c r="JBI7" s="36"/>
      <c r="JBJ7" s="37"/>
      <c r="JBK7" s="37"/>
      <c r="JBQ7" s="2"/>
      <c r="JBR7" s="29"/>
      <c r="JBX7" s="10"/>
      <c r="JBY7" s="36"/>
      <c r="JBZ7" s="37"/>
      <c r="JCA7" s="37"/>
      <c r="JCG7" s="2"/>
      <c r="JCH7" s="29"/>
      <c r="JCN7" s="10"/>
      <c r="JCO7" s="36"/>
      <c r="JCP7" s="37"/>
      <c r="JCQ7" s="37"/>
      <c r="JCW7" s="2"/>
      <c r="JCX7" s="29"/>
      <c r="JDD7" s="10"/>
      <c r="JDE7" s="36"/>
      <c r="JDF7" s="37"/>
      <c r="JDG7" s="37"/>
      <c r="JDM7" s="2"/>
      <c r="JDN7" s="29"/>
      <c r="JDT7" s="10"/>
      <c r="JDU7" s="36"/>
      <c r="JDV7" s="37"/>
      <c r="JDW7" s="37"/>
      <c r="JEC7" s="2"/>
      <c r="JED7" s="29"/>
      <c r="JEJ7" s="10"/>
      <c r="JEK7" s="36"/>
      <c r="JEL7" s="37"/>
      <c r="JEM7" s="37"/>
      <c r="JES7" s="2"/>
      <c r="JET7" s="29"/>
      <c r="JEZ7" s="10"/>
      <c r="JFA7" s="36"/>
      <c r="JFB7" s="37"/>
      <c r="JFC7" s="37"/>
      <c r="JFI7" s="2"/>
      <c r="JFJ7" s="29"/>
      <c r="JFP7" s="10"/>
      <c r="JFQ7" s="36"/>
      <c r="JFR7" s="37"/>
      <c r="JFS7" s="37"/>
      <c r="JFY7" s="2"/>
      <c r="JFZ7" s="29"/>
      <c r="JGF7" s="10"/>
      <c r="JGG7" s="36"/>
      <c r="JGH7" s="37"/>
      <c r="JGI7" s="37"/>
      <c r="JGO7" s="2"/>
      <c r="JGP7" s="29"/>
      <c r="JGV7" s="10"/>
      <c r="JGW7" s="36"/>
      <c r="JGX7" s="37"/>
      <c r="JGY7" s="37"/>
      <c r="JHE7" s="2"/>
      <c r="JHF7" s="29"/>
      <c r="JHL7" s="10"/>
      <c r="JHM7" s="36"/>
      <c r="JHN7" s="37"/>
      <c r="JHO7" s="37"/>
      <c r="JHU7" s="2"/>
      <c r="JHV7" s="29"/>
      <c r="JIB7" s="10"/>
      <c r="JIC7" s="36"/>
      <c r="JID7" s="37"/>
      <c r="JIE7" s="37"/>
      <c r="JIK7" s="2"/>
      <c r="JIL7" s="29"/>
      <c r="JIR7" s="10"/>
      <c r="JIS7" s="36"/>
      <c r="JIT7" s="37"/>
      <c r="JIU7" s="37"/>
      <c r="JJA7" s="2"/>
      <c r="JJB7" s="29"/>
      <c r="JJH7" s="10"/>
      <c r="JJI7" s="36"/>
      <c r="JJJ7" s="37"/>
      <c r="JJK7" s="37"/>
      <c r="JJQ7" s="2"/>
      <c r="JJR7" s="29"/>
      <c r="JJX7" s="10"/>
      <c r="JJY7" s="36"/>
      <c r="JJZ7" s="37"/>
      <c r="JKA7" s="37"/>
      <c r="JKG7" s="2"/>
      <c r="JKH7" s="29"/>
      <c r="JKN7" s="10"/>
      <c r="JKO7" s="36"/>
      <c r="JKP7" s="37"/>
      <c r="JKQ7" s="37"/>
      <c r="JKW7" s="2"/>
      <c r="JKX7" s="29"/>
      <c r="JLD7" s="10"/>
      <c r="JLE7" s="36"/>
      <c r="JLF7" s="37"/>
      <c r="JLG7" s="37"/>
      <c r="JLM7" s="2"/>
      <c r="JLN7" s="29"/>
      <c r="JLT7" s="10"/>
      <c r="JLU7" s="36"/>
      <c r="JLV7" s="37"/>
      <c r="JLW7" s="37"/>
      <c r="JMC7" s="2"/>
      <c r="JMD7" s="29"/>
      <c r="JMJ7" s="10"/>
      <c r="JMK7" s="36"/>
      <c r="JML7" s="37"/>
      <c r="JMM7" s="37"/>
      <c r="JMS7" s="2"/>
      <c r="JMT7" s="29"/>
      <c r="JMZ7" s="10"/>
      <c r="JNA7" s="36"/>
      <c r="JNB7" s="37"/>
      <c r="JNC7" s="37"/>
      <c r="JNI7" s="2"/>
      <c r="JNJ7" s="29"/>
      <c r="JNP7" s="10"/>
      <c r="JNQ7" s="36"/>
      <c r="JNR7" s="37"/>
      <c r="JNS7" s="37"/>
      <c r="JNY7" s="2"/>
      <c r="JNZ7" s="29"/>
      <c r="JOF7" s="10"/>
      <c r="JOG7" s="36"/>
      <c r="JOH7" s="37"/>
      <c r="JOI7" s="37"/>
      <c r="JOO7" s="2"/>
      <c r="JOP7" s="29"/>
      <c r="JOV7" s="10"/>
      <c r="JOW7" s="36"/>
      <c r="JOX7" s="37"/>
      <c r="JOY7" s="37"/>
      <c r="JPE7" s="2"/>
      <c r="JPF7" s="29"/>
      <c r="JPL7" s="10"/>
      <c r="JPM7" s="36"/>
      <c r="JPN7" s="37"/>
      <c r="JPO7" s="37"/>
      <c r="JPU7" s="2"/>
      <c r="JPV7" s="29"/>
      <c r="JQB7" s="10"/>
      <c r="JQC7" s="36"/>
      <c r="JQD7" s="37"/>
      <c r="JQE7" s="37"/>
      <c r="JQK7" s="2"/>
      <c r="JQL7" s="29"/>
      <c r="JQR7" s="10"/>
      <c r="JQS7" s="36"/>
      <c r="JQT7" s="37"/>
      <c r="JQU7" s="37"/>
      <c r="JRA7" s="2"/>
      <c r="JRB7" s="29"/>
      <c r="JRH7" s="10"/>
      <c r="JRI7" s="36"/>
      <c r="JRJ7" s="37"/>
      <c r="JRK7" s="37"/>
      <c r="JRQ7" s="2"/>
      <c r="JRR7" s="29"/>
      <c r="JRX7" s="10"/>
      <c r="JRY7" s="36"/>
      <c r="JRZ7" s="37"/>
      <c r="JSA7" s="37"/>
      <c r="JSG7" s="2"/>
      <c r="JSH7" s="29"/>
      <c r="JSN7" s="10"/>
      <c r="JSO7" s="36"/>
      <c r="JSP7" s="37"/>
      <c r="JSQ7" s="37"/>
      <c r="JSW7" s="2"/>
      <c r="JSX7" s="29"/>
      <c r="JTD7" s="10"/>
      <c r="JTE7" s="36"/>
      <c r="JTF7" s="37"/>
      <c r="JTG7" s="37"/>
      <c r="JTM7" s="2"/>
      <c r="JTN7" s="29"/>
      <c r="JTT7" s="10"/>
      <c r="JTU7" s="36"/>
      <c r="JTV7" s="37"/>
      <c r="JTW7" s="37"/>
      <c r="JUC7" s="2"/>
      <c r="JUD7" s="29"/>
      <c r="JUJ7" s="10"/>
      <c r="JUK7" s="36"/>
      <c r="JUL7" s="37"/>
      <c r="JUM7" s="37"/>
      <c r="JUS7" s="2"/>
      <c r="JUT7" s="29"/>
      <c r="JUZ7" s="10"/>
      <c r="JVA7" s="36"/>
      <c r="JVB7" s="37"/>
      <c r="JVC7" s="37"/>
      <c r="JVI7" s="2"/>
      <c r="JVJ7" s="29"/>
      <c r="JVP7" s="10"/>
      <c r="JVQ7" s="36"/>
      <c r="JVR7" s="37"/>
      <c r="JVS7" s="37"/>
      <c r="JVY7" s="2"/>
      <c r="JVZ7" s="29"/>
      <c r="JWF7" s="10"/>
      <c r="JWG7" s="36"/>
      <c r="JWH7" s="37"/>
      <c r="JWI7" s="37"/>
      <c r="JWO7" s="2"/>
      <c r="JWP7" s="29"/>
      <c r="JWV7" s="10"/>
      <c r="JWW7" s="36"/>
      <c r="JWX7" s="37"/>
      <c r="JWY7" s="37"/>
      <c r="JXE7" s="2"/>
      <c r="JXF7" s="29"/>
      <c r="JXL7" s="10"/>
      <c r="JXM7" s="36"/>
      <c r="JXN7" s="37"/>
      <c r="JXO7" s="37"/>
      <c r="JXU7" s="2"/>
      <c r="JXV7" s="29"/>
      <c r="JYB7" s="10"/>
      <c r="JYC7" s="36"/>
      <c r="JYD7" s="37"/>
      <c r="JYE7" s="37"/>
      <c r="JYK7" s="2"/>
      <c r="JYL7" s="29"/>
      <c r="JYR7" s="10"/>
      <c r="JYS7" s="36"/>
      <c r="JYT7" s="37"/>
      <c r="JYU7" s="37"/>
      <c r="JZA7" s="2"/>
      <c r="JZB7" s="29"/>
      <c r="JZH7" s="10"/>
      <c r="JZI7" s="36"/>
      <c r="JZJ7" s="37"/>
      <c r="JZK7" s="37"/>
      <c r="JZQ7" s="2"/>
      <c r="JZR7" s="29"/>
      <c r="JZX7" s="10"/>
      <c r="JZY7" s="36"/>
      <c r="JZZ7" s="37"/>
      <c r="KAA7" s="37"/>
      <c r="KAG7" s="2"/>
      <c r="KAH7" s="29"/>
      <c r="KAN7" s="10"/>
      <c r="KAO7" s="36"/>
      <c r="KAP7" s="37"/>
      <c r="KAQ7" s="37"/>
      <c r="KAW7" s="2"/>
      <c r="KAX7" s="29"/>
      <c r="KBD7" s="10"/>
      <c r="KBE7" s="36"/>
      <c r="KBF7" s="37"/>
      <c r="KBG7" s="37"/>
      <c r="KBM7" s="2"/>
      <c r="KBN7" s="29"/>
      <c r="KBT7" s="10"/>
      <c r="KBU7" s="36"/>
      <c r="KBV7" s="37"/>
      <c r="KBW7" s="37"/>
      <c r="KCC7" s="2"/>
      <c r="KCD7" s="29"/>
      <c r="KCJ7" s="10"/>
      <c r="KCK7" s="36"/>
      <c r="KCL7" s="37"/>
      <c r="KCM7" s="37"/>
      <c r="KCS7" s="2"/>
      <c r="KCT7" s="29"/>
      <c r="KCZ7" s="10"/>
      <c r="KDA7" s="36"/>
      <c r="KDB7" s="37"/>
      <c r="KDC7" s="37"/>
      <c r="KDI7" s="2"/>
      <c r="KDJ7" s="29"/>
      <c r="KDP7" s="10"/>
      <c r="KDQ7" s="36"/>
      <c r="KDR7" s="37"/>
      <c r="KDS7" s="37"/>
      <c r="KDY7" s="2"/>
      <c r="KDZ7" s="29"/>
      <c r="KEF7" s="10"/>
      <c r="KEG7" s="36"/>
      <c r="KEH7" s="37"/>
      <c r="KEI7" s="37"/>
      <c r="KEO7" s="2"/>
      <c r="KEP7" s="29"/>
      <c r="KEV7" s="10"/>
      <c r="KEW7" s="36"/>
      <c r="KEX7" s="37"/>
      <c r="KEY7" s="37"/>
      <c r="KFE7" s="2"/>
      <c r="KFF7" s="29"/>
      <c r="KFL7" s="10"/>
      <c r="KFM7" s="36"/>
      <c r="KFN7" s="37"/>
      <c r="KFO7" s="37"/>
      <c r="KFU7" s="2"/>
      <c r="KFV7" s="29"/>
      <c r="KGB7" s="10"/>
      <c r="KGC7" s="36"/>
      <c r="KGD7" s="37"/>
      <c r="KGE7" s="37"/>
      <c r="KGK7" s="2"/>
      <c r="KGL7" s="29"/>
      <c r="KGR7" s="10"/>
      <c r="KGS7" s="36"/>
      <c r="KGT7" s="37"/>
      <c r="KGU7" s="37"/>
      <c r="KHA7" s="2"/>
      <c r="KHB7" s="29"/>
      <c r="KHH7" s="10"/>
      <c r="KHI7" s="36"/>
      <c r="KHJ7" s="37"/>
      <c r="KHK7" s="37"/>
      <c r="KHQ7" s="2"/>
      <c r="KHR7" s="29"/>
      <c r="KHX7" s="10"/>
      <c r="KHY7" s="36"/>
      <c r="KHZ7" s="37"/>
      <c r="KIA7" s="37"/>
      <c r="KIG7" s="2"/>
      <c r="KIH7" s="29"/>
      <c r="KIN7" s="10"/>
      <c r="KIO7" s="36"/>
      <c r="KIP7" s="37"/>
      <c r="KIQ7" s="37"/>
      <c r="KIW7" s="2"/>
      <c r="KIX7" s="29"/>
      <c r="KJD7" s="10"/>
      <c r="KJE7" s="36"/>
      <c r="KJF7" s="37"/>
      <c r="KJG7" s="37"/>
      <c r="KJM7" s="2"/>
      <c r="KJN7" s="29"/>
      <c r="KJT7" s="10"/>
      <c r="KJU7" s="36"/>
      <c r="KJV7" s="37"/>
      <c r="KJW7" s="37"/>
      <c r="KKC7" s="2"/>
      <c r="KKD7" s="29"/>
      <c r="KKJ7" s="10"/>
      <c r="KKK7" s="36"/>
      <c r="KKL7" s="37"/>
      <c r="KKM7" s="37"/>
      <c r="KKS7" s="2"/>
      <c r="KKT7" s="29"/>
      <c r="KKZ7" s="10"/>
      <c r="KLA7" s="36"/>
      <c r="KLB7" s="37"/>
      <c r="KLC7" s="37"/>
      <c r="KLI7" s="2"/>
      <c r="KLJ7" s="29"/>
      <c r="KLP7" s="10"/>
      <c r="KLQ7" s="36"/>
      <c r="KLR7" s="37"/>
      <c r="KLS7" s="37"/>
      <c r="KLY7" s="2"/>
      <c r="KLZ7" s="29"/>
      <c r="KMF7" s="10"/>
      <c r="KMG7" s="36"/>
      <c r="KMH7" s="37"/>
      <c r="KMI7" s="37"/>
      <c r="KMO7" s="2"/>
      <c r="KMP7" s="29"/>
      <c r="KMV7" s="10"/>
      <c r="KMW7" s="36"/>
      <c r="KMX7" s="37"/>
      <c r="KMY7" s="37"/>
      <c r="KNE7" s="2"/>
      <c r="KNF7" s="29"/>
      <c r="KNL7" s="10"/>
      <c r="KNM7" s="36"/>
      <c r="KNN7" s="37"/>
      <c r="KNO7" s="37"/>
      <c r="KNU7" s="2"/>
      <c r="KNV7" s="29"/>
      <c r="KOB7" s="10"/>
      <c r="KOC7" s="36"/>
      <c r="KOD7" s="37"/>
      <c r="KOE7" s="37"/>
      <c r="KOK7" s="2"/>
      <c r="KOL7" s="29"/>
      <c r="KOR7" s="10"/>
      <c r="KOS7" s="36"/>
      <c r="KOT7" s="37"/>
      <c r="KOU7" s="37"/>
      <c r="KPA7" s="2"/>
      <c r="KPB7" s="29"/>
      <c r="KPH7" s="10"/>
      <c r="KPI7" s="36"/>
      <c r="KPJ7" s="37"/>
      <c r="KPK7" s="37"/>
      <c r="KPQ7" s="2"/>
      <c r="KPR7" s="29"/>
      <c r="KPX7" s="10"/>
      <c r="KPY7" s="36"/>
      <c r="KPZ7" s="37"/>
      <c r="KQA7" s="37"/>
      <c r="KQG7" s="2"/>
      <c r="KQH7" s="29"/>
      <c r="KQN7" s="10"/>
      <c r="KQO7" s="36"/>
      <c r="KQP7" s="37"/>
      <c r="KQQ7" s="37"/>
      <c r="KQW7" s="2"/>
      <c r="KQX7" s="29"/>
      <c r="KRD7" s="10"/>
      <c r="KRE7" s="36"/>
      <c r="KRF7" s="37"/>
      <c r="KRG7" s="37"/>
      <c r="KRM7" s="2"/>
      <c r="KRN7" s="29"/>
      <c r="KRT7" s="10"/>
      <c r="KRU7" s="36"/>
      <c r="KRV7" s="37"/>
      <c r="KRW7" s="37"/>
      <c r="KSC7" s="2"/>
      <c r="KSD7" s="29"/>
      <c r="KSJ7" s="10"/>
      <c r="KSK7" s="36"/>
      <c r="KSL7" s="37"/>
      <c r="KSM7" s="37"/>
      <c r="KSS7" s="2"/>
      <c r="KST7" s="29"/>
      <c r="KSZ7" s="10"/>
      <c r="KTA7" s="36"/>
      <c r="KTB7" s="37"/>
      <c r="KTC7" s="37"/>
      <c r="KTI7" s="2"/>
      <c r="KTJ7" s="29"/>
      <c r="KTP7" s="10"/>
      <c r="KTQ7" s="36"/>
      <c r="KTR7" s="37"/>
      <c r="KTS7" s="37"/>
      <c r="KTY7" s="2"/>
      <c r="KTZ7" s="29"/>
      <c r="KUF7" s="10"/>
      <c r="KUG7" s="36"/>
      <c r="KUH7" s="37"/>
      <c r="KUI7" s="37"/>
      <c r="KUO7" s="2"/>
      <c r="KUP7" s="29"/>
      <c r="KUV7" s="10"/>
      <c r="KUW7" s="36"/>
      <c r="KUX7" s="37"/>
      <c r="KUY7" s="37"/>
      <c r="KVE7" s="2"/>
      <c r="KVF7" s="29"/>
      <c r="KVL7" s="10"/>
      <c r="KVM7" s="36"/>
      <c r="KVN7" s="37"/>
      <c r="KVO7" s="37"/>
      <c r="KVU7" s="2"/>
      <c r="KVV7" s="29"/>
      <c r="KWB7" s="10"/>
      <c r="KWC7" s="36"/>
      <c r="KWD7" s="37"/>
      <c r="KWE7" s="37"/>
      <c r="KWK7" s="2"/>
      <c r="KWL7" s="29"/>
      <c r="KWR7" s="10"/>
      <c r="KWS7" s="36"/>
      <c r="KWT7" s="37"/>
      <c r="KWU7" s="37"/>
      <c r="KXA7" s="2"/>
      <c r="KXB7" s="29"/>
      <c r="KXH7" s="10"/>
      <c r="KXI7" s="36"/>
      <c r="KXJ7" s="37"/>
      <c r="KXK7" s="37"/>
      <c r="KXQ7" s="2"/>
      <c r="KXR7" s="29"/>
      <c r="KXX7" s="10"/>
      <c r="KXY7" s="36"/>
      <c r="KXZ7" s="37"/>
      <c r="KYA7" s="37"/>
      <c r="KYG7" s="2"/>
      <c r="KYH7" s="29"/>
      <c r="KYN7" s="10"/>
      <c r="KYO7" s="36"/>
      <c r="KYP7" s="37"/>
      <c r="KYQ7" s="37"/>
      <c r="KYW7" s="2"/>
      <c r="KYX7" s="29"/>
      <c r="KZD7" s="10"/>
      <c r="KZE7" s="36"/>
      <c r="KZF7" s="37"/>
      <c r="KZG7" s="37"/>
      <c r="KZM7" s="2"/>
      <c r="KZN7" s="29"/>
      <c r="KZT7" s="10"/>
      <c r="KZU7" s="36"/>
      <c r="KZV7" s="37"/>
      <c r="KZW7" s="37"/>
      <c r="LAC7" s="2"/>
      <c r="LAD7" s="29"/>
      <c r="LAJ7" s="10"/>
      <c r="LAK7" s="36"/>
      <c r="LAL7" s="37"/>
      <c r="LAM7" s="37"/>
      <c r="LAS7" s="2"/>
      <c r="LAT7" s="29"/>
      <c r="LAZ7" s="10"/>
      <c r="LBA7" s="36"/>
      <c r="LBB7" s="37"/>
      <c r="LBC7" s="37"/>
      <c r="LBI7" s="2"/>
      <c r="LBJ7" s="29"/>
      <c r="LBP7" s="10"/>
      <c r="LBQ7" s="36"/>
      <c r="LBR7" s="37"/>
      <c r="LBS7" s="37"/>
      <c r="LBY7" s="2"/>
      <c r="LBZ7" s="29"/>
      <c r="LCF7" s="10"/>
      <c r="LCG7" s="36"/>
      <c r="LCH7" s="37"/>
      <c r="LCI7" s="37"/>
      <c r="LCO7" s="2"/>
      <c r="LCP7" s="29"/>
      <c r="LCV7" s="10"/>
      <c r="LCW7" s="36"/>
      <c r="LCX7" s="37"/>
      <c r="LCY7" s="37"/>
      <c r="LDE7" s="2"/>
      <c r="LDF7" s="29"/>
      <c r="LDL7" s="10"/>
      <c r="LDM7" s="36"/>
      <c r="LDN7" s="37"/>
      <c r="LDO7" s="37"/>
      <c r="LDU7" s="2"/>
      <c r="LDV7" s="29"/>
      <c r="LEB7" s="10"/>
      <c r="LEC7" s="36"/>
      <c r="LED7" s="37"/>
      <c r="LEE7" s="37"/>
      <c r="LEK7" s="2"/>
      <c r="LEL7" s="29"/>
      <c r="LER7" s="10"/>
      <c r="LES7" s="36"/>
      <c r="LET7" s="37"/>
      <c r="LEU7" s="37"/>
      <c r="LFA7" s="2"/>
      <c r="LFB7" s="29"/>
      <c r="LFH7" s="10"/>
      <c r="LFI7" s="36"/>
      <c r="LFJ7" s="37"/>
      <c r="LFK7" s="37"/>
      <c r="LFQ7" s="2"/>
      <c r="LFR7" s="29"/>
      <c r="LFX7" s="10"/>
      <c r="LFY7" s="36"/>
      <c r="LFZ7" s="37"/>
      <c r="LGA7" s="37"/>
      <c r="LGG7" s="2"/>
      <c r="LGH7" s="29"/>
      <c r="LGN7" s="10"/>
      <c r="LGO7" s="36"/>
      <c r="LGP7" s="37"/>
      <c r="LGQ7" s="37"/>
      <c r="LGW7" s="2"/>
      <c r="LGX7" s="29"/>
      <c r="LHD7" s="10"/>
      <c r="LHE7" s="36"/>
      <c r="LHF7" s="37"/>
      <c r="LHG7" s="37"/>
      <c r="LHM7" s="2"/>
      <c r="LHN7" s="29"/>
      <c r="LHT7" s="10"/>
      <c r="LHU7" s="36"/>
      <c r="LHV7" s="37"/>
      <c r="LHW7" s="37"/>
      <c r="LIC7" s="2"/>
      <c r="LID7" s="29"/>
      <c r="LIJ7" s="10"/>
      <c r="LIK7" s="36"/>
      <c r="LIL7" s="37"/>
      <c r="LIM7" s="37"/>
      <c r="LIS7" s="2"/>
      <c r="LIT7" s="29"/>
      <c r="LIZ7" s="10"/>
      <c r="LJA7" s="36"/>
      <c r="LJB7" s="37"/>
      <c r="LJC7" s="37"/>
      <c r="LJI7" s="2"/>
      <c r="LJJ7" s="29"/>
      <c r="LJP7" s="10"/>
      <c r="LJQ7" s="36"/>
      <c r="LJR7" s="37"/>
      <c r="LJS7" s="37"/>
      <c r="LJY7" s="2"/>
      <c r="LJZ7" s="29"/>
      <c r="LKF7" s="10"/>
      <c r="LKG7" s="36"/>
      <c r="LKH7" s="37"/>
      <c r="LKI7" s="37"/>
      <c r="LKO7" s="2"/>
      <c r="LKP7" s="29"/>
      <c r="LKV7" s="10"/>
      <c r="LKW7" s="36"/>
      <c r="LKX7" s="37"/>
      <c r="LKY7" s="37"/>
      <c r="LLE7" s="2"/>
      <c r="LLF7" s="29"/>
      <c r="LLL7" s="10"/>
      <c r="LLM7" s="36"/>
      <c r="LLN7" s="37"/>
      <c r="LLO7" s="37"/>
      <c r="LLU7" s="2"/>
      <c r="LLV7" s="29"/>
      <c r="LMB7" s="10"/>
      <c r="LMC7" s="36"/>
      <c r="LMD7" s="37"/>
      <c r="LME7" s="37"/>
      <c r="LMK7" s="2"/>
      <c r="LML7" s="29"/>
      <c r="LMR7" s="10"/>
      <c r="LMS7" s="36"/>
      <c r="LMT7" s="37"/>
      <c r="LMU7" s="37"/>
      <c r="LNA7" s="2"/>
      <c r="LNB7" s="29"/>
      <c r="LNH7" s="10"/>
      <c r="LNI7" s="36"/>
      <c r="LNJ7" s="37"/>
      <c r="LNK7" s="37"/>
      <c r="LNQ7" s="2"/>
      <c r="LNR7" s="29"/>
      <c r="LNX7" s="10"/>
      <c r="LNY7" s="36"/>
      <c r="LNZ7" s="37"/>
      <c r="LOA7" s="37"/>
      <c r="LOG7" s="2"/>
      <c r="LOH7" s="29"/>
      <c r="LON7" s="10"/>
      <c r="LOO7" s="36"/>
      <c r="LOP7" s="37"/>
      <c r="LOQ7" s="37"/>
      <c r="LOW7" s="2"/>
      <c r="LOX7" s="29"/>
      <c r="LPD7" s="10"/>
      <c r="LPE7" s="36"/>
      <c r="LPF7" s="37"/>
      <c r="LPG7" s="37"/>
      <c r="LPM7" s="2"/>
      <c r="LPN7" s="29"/>
      <c r="LPT7" s="10"/>
      <c r="LPU7" s="36"/>
      <c r="LPV7" s="37"/>
      <c r="LPW7" s="37"/>
      <c r="LQC7" s="2"/>
      <c r="LQD7" s="29"/>
      <c r="LQJ7" s="10"/>
      <c r="LQK7" s="36"/>
      <c r="LQL7" s="37"/>
      <c r="LQM7" s="37"/>
      <c r="LQS7" s="2"/>
      <c r="LQT7" s="29"/>
      <c r="LQZ7" s="10"/>
      <c r="LRA7" s="36"/>
      <c r="LRB7" s="37"/>
      <c r="LRC7" s="37"/>
      <c r="LRI7" s="2"/>
      <c r="LRJ7" s="29"/>
      <c r="LRP7" s="10"/>
      <c r="LRQ7" s="36"/>
      <c r="LRR7" s="37"/>
      <c r="LRS7" s="37"/>
      <c r="LRY7" s="2"/>
      <c r="LRZ7" s="29"/>
      <c r="LSF7" s="10"/>
      <c r="LSG7" s="36"/>
      <c r="LSH7" s="37"/>
      <c r="LSI7" s="37"/>
      <c r="LSO7" s="2"/>
      <c r="LSP7" s="29"/>
      <c r="LSV7" s="10"/>
      <c r="LSW7" s="36"/>
      <c r="LSX7" s="37"/>
      <c r="LSY7" s="37"/>
      <c r="LTE7" s="2"/>
      <c r="LTF7" s="29"/>
      <c r="LTL7" s="10"/>
      <c r="LTM7" s="36"/>
      <c r="LTN7" s="37"/>
      <c r="LTO7" s="37"/>
      <c r="LTU7" s="2"/>
      <c r="LTV7" s="29"/>
      <c r="LUB7" s="10"/>
      <c r="LUC7" s="36"/>
      <c r="LUD7" s="37"/>
      <c r="LUE7" s="37"/>
      <c r="LUK7" s="2"/>
      <c r="LUL7" s="29"/>
      <c r="LUR7" s="10"/>
      <c r="LUS7" s="36"/>
      <c r="LUT7" s="37"/>
      <c r="LUU7" s="37"/>
      <c r="LVA7" s="2"/>
      <c r="LVB7" s="29"/>
      <c r="LVH7" s="10"/>
      <c r="LVI7" s="36"/>
      <c r="LVJ7" s="37"/>
      <c r="LVK7" s="37"/>
      <c r="LVQ7" s="2"/>
      <c r="LVR7" s="29"/>
      <c r="LVX7" s="10"/>
      <c r="LVY7" s="36"/>
      <c r="LVZ7" s="37"/>
      <c r="LWA7" s="37"/>
      <c r="LWG7" s="2"/>
      <c r="LWH7" s="29"/>
      <c r="LWN7" s="10"/>
      <c r="LWO7" s="36"/>
      <c r="LWP7" s="37"/>
      <c r="LWQ7" s="37"/>
      <c r="LWW7" s="2"/>
      <c r="LWX7" s="29"/>
      <c r="LXD7" s="10"/>
      <c r="LXE7" s="36"/>
      <c r="LXF7" s="37"/>
      <c r="LXG7" s="37"/>
      <c r="LXM7" s="2"/>
      <c r="LXN7" s="29"/>
      <c r="LXT7" s="10"/>
      <c r="LXU7" s="36"/>
      <c r="LXV7" s="37"/>
      <c r="LXW7" s="37"/>
      <c r="LYC7" s="2"/>
      <c r="LYD7" s="29"/>
      <c r="LYJ7" s="10"/>
      <c r="LYK7" s="36"/>
      <c r="LYL7" s="37"/>
      <c r="LYM7" s="37"/>
      <c r="LYS7" s="2"/>
      <c r="LYT7" s="29"/>
      <c r="LYZ7" s="10"/>
      <c r="LZA7" s="36"/>
      <c r="LZB7" s="37"/>
      <c r="LZC7" s="37"/>
      <c r="LZI7" s="2"/>
      <c r="LZJ7" s="29"/>
      <c r="LZP7" s="10"/>
      <c r="LZQ7" s="36"/>
      <c r="LZR7" s="37"/>
      <c r="LZS7" s="37"/>
      <c r="LZY7" s="2"/>
      <c r="LZZ7" s="29"/>
      <c r="MAF7" s="10"/>
      <c r="MAG7" s="36"/>
      <c r="MAH7" s="37"/>
      <c r="MAI7" s="37"/>
      <c r="MAO7" s="2"/>
      <c r="MAP7" s="29"/>
      <c r="MAV7" s="10"/>
      <c r="MAW7" s="36"/>
      <c r="MAX7" s="37"/>
      <c r="MAY7" s="37"/>
      <c r="MBE7" s="2"/>
      <c r="MBF7" s="29"/>
      <c r="MBL7" s="10"/>
      <c r="MBM7" s="36"/>
      <c r="MBN7" s="37"/>
      <c r="MBO7" s="37"/>
      <c r="MBU7" s="2"/>
      <c r="MBV7" s="29"/>
      <c r="MCB7" s="10"/>
      <c r="MCC7" s="36"/>
      <c r="MCD7" s="37"/>
      <c r="MCE7" s="37"/>
      <c r="MCK7" s="2"/>
      <c r="MCL7" s="29"/>
      <c r="MCR7" s="10"/>
      <c r="MCS7" s="36"/>
      <c r="MCT7" s="37"/>
      <c r="MCU7" s="37"/>
      <c r="MDA7" s="2"/>
      <c r="MDB7" s="29"/>
      <c r="MDH7" s="10"/>
      <c r="MDI7" s="36"/>
      <c r="MDJ7" s="37"/>
      <c r="MDK7" s="37"/>
      <c r="MDQ7" s="2"/>
      <c r="MDR7" s="29"/>
      <c r="MDX7" s="10"/>
      <c r="MDY7" s="36"/>
      <c r="MDZ7" s="37"/>
      <c r="MEA7" s="37"/>
      <c r="MEG7" s="2"/>
      <c r="MEH7" s="29"/>
      <c r="MEN7" s="10"/>
      <c r="MEO7" s="36"/>
      <c r="MEP7" s="37"/>
      <c r="MEQ7" s="37"/>
      <c r="MEW7" s="2"/>
      <c r="MEX7" s="29"/>
      <c r="MFD7" s="10"/>
      <c r="MFE7" s="36"/>
      <c r="MFF7" s="37"/>
      <c r="MFG7" s="37"/>
      <c r="MFM7" s="2"/>
      <c r="MFN7" s="29"/>
      <c r="MFT7" s="10"/>
      <c r="MFU7" s="36"/>
      <c r="MFV7" s="37"/>
      <c r="MFW7" s="37"/>
      <c r="MGC7" s="2"/>
      <c r="MGD7" s="29"/>
      <c r="MGJ7" s="10"/>
      <c r="MGK7" s="36"/>
      <c r="MGL7" s="37"/>
      <c r="MGM7" s="37"/>
      <c r="MGS7" s="2"/>
      <c r="MGT7" s="29"/>
      <c r="MGZ7" s="10"/>
      <c r="MHA7" s="36"/>
      <c r="MHB7" s="37"/>
      <c r="MHC7" s="37"/>
      <c r="MHI7" s="2"/>
      <c r="MHJ7" s="29"/>
      <c r="MHP7" s="10"/>
      <c r="MHQ7" s="36"/>
      <c r="MHR7" s="37"/>
      <c r="MHS7" s="37"/>
      <c r="MHY7" s="2"/>
      <c r="MHZ7" s="29"/>
      <c r="MIF7" s="10"/>
      <c r="MIG7" s="36"/>
      <c r="MIH7" s="37"/>
      <c r="MII7" s="37"/>
      <c r="MIO7" s="2"/>
      <c r="MIP7" s="29"/>
      <c r="MIV7" s="10"/>
      <c r="MIW7" s="36"/>
      <c r="MIX7" s="37"/>
      <c r="MIY7" s="37"/>
      <c r="MJE7" s="2"/>
      <c r="MJF7" s="29"/>
      <c r="MJL7" s="10"/>
      <c r="MJM7" s="36"/>
      <c r="MJN7" s="37"/>
      <c r="MJO7" s="37"/>
      <c r="MJU7" s="2"/>
      <c r="MJV7" s="29"/>
      <c r="MKB7" s="10"/>
      <c r="MKC7" s="36"/>
      <c r="MKD7" s="37"/>
      <c r="MKE7" s="37"/>
      <c r="MKK7" s="2"/>
      <c r="MKL7" s="29"/>
      <c r="MKR7" s="10"/>
      <c r="MKS7" s="36"/>
      <c r="MKT7" s="37"/>
      <c r="MKU7" s="37"/>
      <c r="MLA7" s="2"/>
      <c r="MLB7" s="29"/>
      <c r="MLH7" s="10"/>
      <c r="MLI7" s="36"/>
      <c r="MLJ7" s="37"/>
      <c r="MLK7" s="37"/>
      <c r="MLQ7" s="2"/>
      <c r="MLR7" s="29"/>
      <c r="MLX7" s="10"/>
      <c r="MLY7" s="36"/>
      <c r="MLZ7" s="37"/>
      <c r="MMA7" s="37"/>
      <c r="MMG7" s="2"/>
      <c r="MMH7" s="29"/>
      <c r="MMN7" s="10"/>
      <c r="MMO7" s="36"/>
      <c r="MMP7" s="37"/>
      <c r="MMQ7" s="37"/>
      <c r="MMW7" s="2"/>
      <c r="MMX7" s="29"/>
      <c r="MND7" s="10"/>
      <c r="MNE7" s="36"/>
      <c r="MNF7" s="37"/>
      <c r="MNG7" s="37"/>
      <c r="MNM7" s="2"/>
      <c r="MNN7" s="29"/>
      <c r="MNT7" s="10"/>
      <c r="MNU7" s="36"/>
      <c r="MNV7" s="37"/>
      <c r="MNW7" s="37"/>
      <c r="MOC7" s="2"/>
      <c r="MOD7" s="29"/>
      <c r="MOJ7" s="10"/>
      <c r="MOK7" s="36"/>
      <c r="MOL7" s="37"/>
      <c r="MOM7" s="37"/>
      <c r="MOS7" s="2"/>
      <c r="MOT7" s="29"/>
      <c r="MOZ7" s="10"/>
      <c r="MPA7" s="36"/>
      <c r="MPB7" s="37"/>
      <c r="MPC7" s="37"/>
      <c r="MPI7" s="2"/>
      <c r="MPJ7" s="29"/>
      <c r="MPP7" s="10"/>
      <c r="MPQ7" s="36"/>
      <c r="MPR7" s="37"/>
      <c r="MPS7" s="37"/>
      <c r="MPY7" s="2"/>
      <c r="MPZ7" s="29"/>
      <c r="MQF7" s="10"/>
      <c r="MQG7" s="36"/>
      <c r="MQH7" s="37"/>
      <c r="MQI7" s="37"/>
      <c r="MQO7" s="2"/>
      <c r="MQP7" s="29"/>
      <c r="MQV7" s="10"/>
      <c r="MQW7" s="36"/>
      <c r="MQX7" s="37"/>
      <c r="MQY7" s="37"/>
      <c r="MRE7" s="2"/>
      <c r="MRF7" s="29"/>
      <c r="MRL7" s="10"/>
      <c r="MRM7" s="36"/>
      <c r="MRN7" s="37"/>
      <c r="MRO7" s="37"/>
      <c r="MRU7" s="2"/>
      <c r="MRV7" s="29"/>
      <c r="MSB7" s="10"/>
      <c r="MSC7" s="36"/>
      <c r="MSD7" s="37"/>
      <c r="MSE7" s="37"/>
      <c r="MSK7" s="2"/>
      <c r="MSL7" s="29"/>
      <c r="MSR7" s="10"/>
      <c r="MSS7" s="36"/>
      <c r="MST7" s="37"/>
      <c r="MSU7" s="37"/>
      <c r="MTA7" s="2"/>
      <c r="MTB7" s="29"/>
      <c r="MTH7" s="10"/>
      <c r="MTI7" s="36"/>
      <c r="MTJ7" s="37"/>
      <c r="MTK7" s="37"/>
      <c r="MTQ7" s="2"/>
      <c r="MTR7" s="29"/>
      <c r="MTX7" s="10"/>
      <c r="MTY7" s="36"/>
      <c r="MTZ7" s="37"/>
      <c r="MUA7" s="37"/>
      <c r="MUG7" s="2"/>
      <c r="MUH7" s="29"/>
      <c r="MUN7" s="10"/>
      <c r="MUO7" s="36"/>
      <c r="MUP7" s="37"/>
      <c r="MUQ7" s="37"/>
      <c r="MUW7" s="2"/>
      <c r="MUX7" s="29"/>
      <c r="MVD7" s="10"/>
      <c r="MVE7" s="36"/>
      <c r="MVF7" s="37"/>
      <c r="MVG7" s="37"/>
      <c r="MVM7" s="2"/>
      <c r="MVN7" s="29"/>
      <c r="MVT7" s="10"/>
      <c r="MVU7" s="36"/>
      <c r="MVV7" s="37"/>
      <c r="MVW7" s="37"/>
      <c r="MWC7" s="2"/>
      <c r="MWD7" s="29"/>
      <c r="MWJ7" s="10"/>
      <c r="MWK7" s="36"/>
      <c r="MWL7" s="37"/>
      <c r="MWM7" s="37"/>
      <c r="MWS7" s="2"/>
      <c r="MWT7" s="29"/>
      <c r="MWZ7" s="10"/>
      <c r="MXA7" s="36"/>
      <c r="MXB7" s="37"/>
      <c r="MXC7" s="37"/>
      <c r="MXI7" s="2"/>
      <c r="MXJ7" s="29"/>
      <c r="MXP7" s="10"/>
      <c r="MXQ7" s="36"/>
      <c r="MXR7" s="37"/>
      <c r="MXS7" s="37"/>
      <c r="MXY7" s="2"/>
      <c r="MXZ7" s="29"/>
      <c r="MYF7" s="10"/>
      <c r="MYG7" s="36"/>
      <c r="MYH7" s="37"/>
      <c r="MYI7" s="37"/>
      <c r="MYO7" s="2"/>
      <c r="MYP7" s="29"/>
      <c r="MYV7" s="10"/>
      <c r="MYW7" s="36"/>
      <c r="MYX7" s="37"/>
      <c r="MYY7" s="37"/>
      <c r="MZE7" s="2"/>
      <c r="MZF7" s="29"/>
      <c r="MZL7" s="10"/>
      <c r="MZM7" s="36"/>
      <c r="MZN7" s="37"/>
      <c r="MZO7" s="37"/>
      <c r="MZU7" s="2"/>
      <c r="MZV7" s="29"/>
      <c r="NAB7" s="10"/>
      <c r="NAC7" s="36"/>
      <c r="NAD7" s="37"/>
      <c r="NAE7" s="37"/>
      <c r="NAK7" s="2"/>
      <c r="NAL7" s="29"/>
      <c r="NAR7" s="10"/>
      <c r="NAS7" s="36"/>
      <c r="NAT7" s="37"/>
      <c r="NAU7" s="37"/>
      <c r="NBA7" s="2"/>
      <c r="NBB7" s="29"/>
      <c r="NBH7" s="10"/>
      <c r="NBI7" s="36"/>
      <c r="NBJ7" s="37"/>
      <c r="NBK7" s="37"/>
      <c r="NBQ7" s="2"/>
      <c r="NBR7" s="29"/>
      <c r="NBX7" s="10"/>
      <c r="NBY7" s="36"/>
      <c r="NBZ7" s="37"/>
      <c r="NCA7" s="37"/>
      <c r="NCG7" s="2"/>
      <c r="NCH7" s="29"/>
      <c r="NCN7" s="10"/>
      <c r="NCO7" s="36"/>
      <c r="NCP7" s="37"/>
      <c r="NCQ7" s="37"/>
      <c r="NCW7" s="2"/>
      <c r="NCX7" s="29"/>
      <c r="NDD7" s="10"/>
      <c r="NDE7" s="36"/>
      <c r="NDF7" s="37"/>
      <c r="NDG7" s="37"/>
      <c r="NDM7" s="2"/>
      <c r="NDN7" s="29"/>
      <c r="NDT7" s="10"/>
      <c r="NDU7" s="36"/>
      <c r="NDV7" s="37"/>
      <c r="NDW7" s="37"/>
      <c r="NEC7" s="2"/>
      <c r="NED7" s="29"/>
      <c r="NEJ7" s="10"/>
      <c r="NEK7" s="36"/>
      <c r="NEL7" s="37"/>
      <c r="NEM7" s="37"/>
      <c r="NES7" s="2"/>
      <c r="NET7" s="29"/>
      <c r="NEZ7" s="10"/>
      <c r="NFA7" s="36"/>
      <c r="NFB7" s="37"/>
      <c r="NFC7" s="37"/>
      <c r="NFI7" s="2"/>
      <c r="NFJ7" s="29"/>
      <c r="NFP7" s="10"/>
      <c r="NFQ7" s="36"/>
      <c r="NFR7" s="37"/>
      <c r="NFS7" s="37"/>
      <c r="NFY7" s="2"/>
      <c r="NFZ7" s="29"/>
      <c r="NGF7" s="10"/>
      <c r="NGG7" s="36"/>
      <c r="NGH7" s="37"/>
      <c r="NGI7" s="37"/>
      <c r="NGO7" s="2"/>
      <c r="NGP7" s="29"/>
      <c r="NGV7" s="10"/>
      <c r="NGW7" s="36"/>
      <c r="NGX7" s="37"/>
      <c r="NGY7" s="37"/>
      <c r="NHE7" s="2"/>
      <c r="NHF7" s="29"/>
      <c r="NHL7" s="10"/>
      <c r="NHM7" s="36"/>
      <c r="NHN7" s="37"/>
      <c r="NHO7" s="37"/>
      <c r="NHU7" s="2"/>
      <c r="NHV7" s="29"/>
      <c r="NIB7" s="10"/>
      <c r="NIC7" s="36"/>
      <c r="NID7" s="37"/>
      <c r="NIE7" s="37"/>
      <c r="NIK7" s="2"/>
      <c r="NIL7" s="29"/>
      <c r="NIR7" s="10"/>
      <c r="NIS7" s="36"/>
      <c r="NIT7" s="37"/>
      <c r="NIU7" s="37"/>
      <c r="NJA7" s="2"/>
      <c r="NJB7" s="29"/>
      <c r="NJH7" s="10"/>
      <c r="NJI7" s="36"/>
      <c r="NJJ7" s="37"/>
      <c r="NJK7" s="37"/>
      <c r="NJQ7" s="2"/>
      <c r="NJR7" s="29"/>
      <c r="NJX7" s="10"/>
      <c r="NJY7" s="36"/>
      <c r="NJZ7" s="37"/>
      <c r="NKA7" s="37"/>
      <c r="NKG7" s="2"/>
      <c r="NKH7" s="29"/>
      <c r="NKN7" s="10"/>
      <c r="NKO7" s="36"/>
      <c r="NKP7" s="37"/>
      <c r="NKQ7" s="37"/>
      <c r="NKW7" s="2"/>
      <c r="NKX7" s="29"/>
      <c r="NLD7" s="10"/>
      <c r="NLE7" s="36"/>
      <c r="NLF7" s="37"/>
      <c r="NLG7" s="37"/>
      <c r="NLM7" s="2"/>
      <c r="NLN7" s="29"/>
      <c r="NLT7" s="10"/>
      <c r="NLU7" s="36"/>
      <c r="NLV7" s="37"/>
      <c r="NLW7" s="37"/>
      <c r="NMC7" s="2"/>
      <c r="NMD7" s="29"/>
      <c r="NMJ7" s="10"/>
      <c r="NMK7" s="36"/>
      <c r="NML7" s="37"/>
      <c r="NMM7" s="37"/>
      <c r="NMS7" s="2"/>
      <c r="NMT7" s="29"/>
      <c r="NMZ7" s="10"/>
      <c r="NNA7" s="36"/>
      <c r="NNB7" s="37"/>
      <c r="NNC7" s="37"/>
      <c r="NNI7" s="2"/>
      <c r="NNJ7" s="29"/>
      <c r="NNP7" s="10"/>
      <c r="NNQ7" s="36"/>
      <c r="NNR7" s="37"/>
      <c r="NNS7" s="37"/>
      <c r="NNY7" s="2"/>
      <c r="NNZ7" s="29"/>
      <c r="NOF7" s="10"/>
      <c r="NOG7" s="36"/>
      <c r="NOH7" s="37"/>
      <c r="NOI7" s="37"/>
      <c r="NOO7" s="2"/>
      <c r="NOP7" s="29"/>
      <c r="NOV7" s="10"/>
      <c r="NOW7" s="36"/>
      <c r="NOX7" s="37"/>
      <c r="NOY7" s="37"/>
      <c r="NPE7" s="2"/>
      <c r="NPF7" s="29"/>
      <c r="NPL7" s="10"/>
      <c r="NPM7" s="36"/>
      <c r="NPN7" s="37"/>
      <c r="NPO7" s="37"/>
      <c r="NPU7" s="2"/>
      <c r="NPV7" s="29"/>
      <c r="NQB7" s="10"/>
      <c r="NQC7" s="36"/>
      <c r="NQD7" s="37"/>
      <c r="NQE7" s="37"/>
      <c r="NQK7" s="2"/>
      <c r="NQL7" s="29"/>
      <c r="NQR7" s="10"/>
      <c r="NQS7" s="36"/>
      <c r="NQT7" s="37"/>
      <c r="NQU7" s="37"/>
      <c r="NRA7" s="2"/>
      <c r="NRB7" s="29"/>
      <c r="NRH7" s="10"/>
      <c r="NRI7" s="36"/>
      <c r="NRJ7" s="37"/>
      <c r="NRK7" s="37"/>
      <c r="NRQ7" s="2"/>
      <c r="NRR7" s="29"/>
      <c r="NRX7" s="10"/>
      <c r="NRY7" s="36"/>
      <c r="NRZ7" s="37"/>
      <c r="NSA7" s="37"/>
      <c r="NSG7" s="2"/>
      <c r="NSH7" s="29"/>
      <c r="NSN7" s="10"/>
      <c r="NSO7" s="36"/>
      <c r="NSP7" s="37"/>
      <c r="NSQ7" s="37"/>
      <c r="NSW7" s="2"/>
      <c r="NSX7" s="29"/>
      <c r="NTD7" s="10"/>
      <c r="NTE7" s="36"/>
      <c r="NTF7" s="37"/>
      <c r="NTG7" s="37"/>
      <c r="NTM7" s="2"/>
      <c r="NTN7" s="29"/>
      <c r="NTT7" s="10"/>
      <c r="NTU7" s="36"/>
      <c r="NTV7" s="37"/>
      <c r="NTW7" s="37"/>
      <c r="NUC7" s="2"/>
      <c r="NUD7" s="29"/>
      <c r="NUJ7" s="10"/>
      <c r="NUK7" s="36"/>
      <c r="NUL7" s="37"/>
      <c r="NUM7" s="37"/>
      <c r="NUS7" s="2"/>
      <c r="NUT7" s="29"/>
      <c r="NUZ7" s="10"/>
      <c r="NVA7" s="36"/>
      <c r="NVB7" s="37"/>
      <c r="NVC7" s="37"/>
      <c r="NVI7" s="2"/>
      <c r="NVJ7" s="29"/>
      <c r="NVP7" s="10"/>
      <c r="NVQ7" s="36"/>
      <c r="NVR7" s="37"/>
      <c r="NVS7" s="37"/>
      <c r="NVY7" s="2"/>
      <c r="NVZ7" s="29"/>
      <c r="NWF7" s="10"/>
      <c r="NWG7" s="36"/>
      <c r="NWH7" s="37"/>
      <c r="NWI7" s="37"/>
      <c r="NWO7" s="2"/>
      <c r="NWP7" s="29"/>
      <c r="NWV7" s="10"/>
      <c r="NWW7" s="36"/>
      <c r="NWX7" s="37"/>
      <c r="NWY7" s="37"/>
      <c r="NXE7" s="2"/>
      <c r="NXF7" s="29"/>
      <c r="NXL7" s="10"/>
      <c r="NXM7" s="36"/>
      <c r="NXN7" s="37"/>
      <c r="NXO7" s="37"/>
      <c r="NXU7" s="2"/>
      <c r="NXV7" s="29"/>
      <c r="NYB7" s="10"/>
      <c r="NYC7" s="36"/>
      <c r="NYD7" s="37"/>
      <c r="NYE7" s="37"/>
      <c r="NYK7" s="2"/>
      <c r="NYL7" s="29"/>
      <c r="NYR7" s="10"/>
      <c r="NYS7" s="36"/>
      <c r="NYT7" s="37"/>
      <c r="NYU7" s="37"/>
      <c r="NZA7" s="2"/>
      <c r="NZB7" s="29"/>
      <c r="NZH7" s="10"/>
      <c r="NZI7" s="36"/>
      <c r="NZJ7" s="37"/>
      <c r="NZK7" s="37"/>
      <c r="NZQ7" s="2"/>
      <c r="NZR7" s="29"/>
      <c r="NZX7" s="10"/>
      <c r="NZY7" s="36"/>
      <c r="NZZ7" s="37"/>
      <c r="OAA7" s="37"/>
      <c r="OAG7" s="2"/>
      <c r="OAH7" s="29"/>
      <c r="OAN7" s="10"/>
      <c r="OAO7" s="36"/>
      <c r="OAP7" s="37"/>
      <c r="OAQ7" s="37"/>
      <c r="OAW7" s="2"/>
      <c r="OAX7" s="29"/>
      <c r="OBD7" s="10"/>
      <c r="OBE7" s="36"/>
      <c r="OBF7" s="37"/>
      <c r="OBG7" s="37"/>
      <c r="OBM7" s="2"/>
      <c r="OBN7" s="29"/>
      <c r="OBT7" s="10"/>
      <c r="OBU7" s="36"/>
      <c r="OBV7" s="37"/>
      <c r="OBW7" s="37"/>
      <c r="OCC7" s="2"/>
      <c r="OCD7" s="29"/>
      <c r="OCJ7" s="10"/>
      <c r="OCK7" s="36"/>
      <c r="OCL7" s="37"/>
      <c r="OCM7" s="37"/>
      <c r="OCS7" s="2"/>
      <c r="OCT7" s="29"/>
      <c r="OCZ7" s="10"/>
      <c r="ODA7" s="36"/>
      <c r="ODB7" s="37"/>
      <c r="ODC7" s="37"/>
      <c r="ODI7" s="2"/>
      <c r="ODJ7" s="29"/>
      <c r="ODP7" s="10"/>
      <c r="ODQ7" s="36"/>
      <c r="ODR7" s="37"/>
      <c r="ODS7" s="37"/>
      <c r="ODY7" s="2"/>
      <c r="ODZ7" s="29"/>
      <c r="OEF7" s="10"/>
      <c r="OEG7" s="36"/>
      <c r="OEH7" s="37"/>
      <c r="OEI7" s="37"/>
      <c r="OEO7" s="2"/>
      <c r="OEP7" s="29"/>
      <c r="OEV7" s="10"/>
      <c r="OEW7" s="36"/>
      <c r="OEX7" s="37"/>
      <c r="OEY7" s="37"/>
      <c r="OFE7" s="2"/>
      <c r="OFF7" s="29"/>
      <c r="OFL7" s="10"/>
      <c r="OFM7" s="36"/>
      <c r="OFN7" s="37"/>
      <c r="OFO7" s="37"/>
      <c r="OFU7" s="2"/>
      <c r="OFV7" s="29"/>
      <c r="OGB7" s="10"/>
      <c r="OGC7" s="36"/>
      <c r="OGD7" s="37"/>
      <c r="OGE7" s="37"/>
      <c r="OGK7" s="2"/>
      <c r="OGL7" s="29"/>
      <c r="OGR7" s="10"/>
      <c r="OGS7" s="36"/>
      <c r="OGT7" s="37"/>
      <c r="OGU7" s="37"/>
      <c r="OHA7" s="2"/>
      <c r="OHB7" s="29"/>
      <c r="OHH7" s="10"/>
      <c r="OHI7" s="36"/>
      <c r="OHJ7" s="37"/>
      <c r="OHK7" s="37"/>
      <c r="OHQ7" s="2"/>
      <c r="OHR7" s="29"/>
      <c r="OHX7" s="10"/>
      <c r="OHY7" s="36"/>
      <c r="OHZ7" s="37"/>
      <c r="OIA7" s="37"/>
      <c r="OIG7" s="2"/>
      <c r="OIH7" s="29"/>
      <c r="OIN7" s="10"/>
      <c r="OIO7" s="36"/>
      <c r="OIP7" s="37"/>
      <c r="OIQ7" s="37"/>
      <c r="OIW7" s="2"/>
      <c r="OIX7" s="29"/>
      <c r="OJD7" s="10"/>
      <c r="OJE7" s="36"/>
      <c r="OJF7" s="37"/>
      <c r="OJG7" s="37"/>
      <c r="OJM7" s="2"/>
      <c r="OJN7" s="29"/>
      <c r="OJT7" s="10"/>
      <c r="OJU7" s="36"/>
      <c r="OJV7" s="37"/>
      <c r="OJW7" s="37"/>
      <c r="OKC7" s="2"/>
      <c r="OKD7" s="29"/>
      <c r="OKJ7" s="10"/>
      <c r="OKK7" s="36"/>
      <c r="OKL7" s="37"/>
      <c r="OKM7" s="37"/>
      <c r="OKS7" s="2"/>
      <c r="OKT7" s="29"/>
      <c r="OKZ7" s="10"/>
      <c r="OLA7" s="36"/>
      <c r="OLB7" s="37"/>
      <c r="OLC7" s="37"/>
      <c r="OLI7" s="2"/>
      <c r="OLJ7" s="29"/>
      <c r="OLP7" s="10"/>
      <c r="OLQ7" s="36"/>
      <c r="OLR7" s="37"/>
      <c r="OLS7" s="37"/>
      <c r="OLY7" s="2"/>
      <c r="OLZ7" s="29"/>
      <c r="OMF7" s="10"/>
      <c r="OMG7" s="36"/>
      <c r="OMH7" s="37"/>
      <c r="OMI7" s="37"/>
      <c r="OMO7" s="2"/>
      <c r="OMP7" s="29"/>
      <c r="OMV7" s="10"/>
      <c r="OMW7" s="36"/>
      <c r="OMX7" s="37"/>
      <c r="OMY7" s="37"/>
      <c r="ONE7" s="2"/>
      <c r="ONF7" s="29"/>
      <c r="ONL7" s="10"/>
      <c r="ONM7" s="36"/>
      <c r="ONN7" s="37"/>
      <c r="ONO7" s="37"/>
      <c r="ONU7" s="2"/>
      <c r="ONV7" s="29"/>
      <c r="OOB7" s="10"/>
      <c r="OOC7" s="36"/>
      <c r="OOD7" s="37"/>
      <c r="OOE7" s="37"/>
      <c r="OOK7" s="2"/>
      <c r="OOL7" s="29"/>
      <c r="OOR7" s="10"/>
      <c r="OOS7" s="36"/>
      <c r="OOT7" s="37"/>
      <c r="OOU7" s="37"/>
      <c r="OPA7" s="2"/>
      <c r="OPB7" s="29"/>
      <c r="OPH7" s="10"/>
      <c r="OPI7" s="36"/>
      <c r="OPJ7" s="37"/>
      <c r="OPK7" s="37"/>
      <c r="OPQ7" s="2"/>
      <c r="OPR7" s="29"/>
      <c r="OPX7" s="10"/>
      <c r="OPY7" s="36"/>
      <c r="OPZ7" s="37"/>
      <c r="OQA7" s="37"/>
      <c r="OQG7" s="2"/>
      <c r="OQH7" s="29"/>
      <c r="OQN7" s="10"/>
      <c r="OQO7" s="36"/>
      <c r="OQP7" s="37"/>
      <c r="OQQ7" s="37"/>
      <c r="OQW7" s="2"/>
      <c r="OQX7" s="29"/>
      <c r="ORD7" s="10"/>
      <c r="ORE7" s="36"/>
      <c r="ORF7" s="37"/>
      <c r="ORG7" s="37"/>
      <c r="ORM7" s="2"/>
      <c r="ORN7" s="29"/>
      <c r="ORT7" s="10"/>
      <c r="ORU7" s="36"/>
      <c r="ORV7" s="37"/>
      <c r="ORW7" s="37"/>
      <c r="OSC7" s="2"/>
      <c r="OSD7" s="29"/>
      <c r="OSJ7" s="10"/>
      <c r="OSK7" s="36"/>
      <c r="OSL7" s="37"/>
      <c r="OSM7" s="37"/>
      <c r="OSS7" s="2"/>
      <c r="OST7" s="29"/>
      <c r="OSZ7" s="10"/>
      <c r="OTA7" s="36"/>
      <c r="OTB7" s="37"/>
      <c r="OTC7" s="37"/>
      <c r="OTI7" s="2"/>
      <c r="OTJ7" s="29"/>
      <c r="OTP7" s="10"/>
      <c r="OTQ7" s="36"/>
      <c r="OTR7" s="37"/>
      <c r="OTS7" s="37"/>
      <c r="OTY7" s="2"/>
      <c r="OTZ7" s="29"/>
      <c r="OUF7" s="10"/>
      <c r="OUG7" s="36"/>
      <c r="OUH7" s="37"/>
      <c r="OUI7" s="37"/>
      <c r="OUO7" s="2"/>
      <c r="OUP7" s="29"/>
      <c r="OUV7" s="10"/>
      <c r="OUW7" s="36"/>
      <c r="OUX7" s="37"/>
      <c r="OUY7" s="37"/>
      <c r="OVE7" s="2"/>
      <c r="OVF7" s="29"/>
      <c r="OVL7" s="10"/>
      <c r="OVM7" s="36"/>
      <c r="OVN7" s="37"/>
      <c r="OVO7" s="37"/>
      <c r="OVU7" s="2"/>
      <c r="OVV7" s="29"/>
      <c r="OWB7" s="10"/>
      <c r="OWC7" s="36"/>
      <c r="OWD7" s="37"/>
      <c r="OWE7" s="37"/>
      <c r="OWK7" s="2"/>
      <c r="OWL7" s="29"/>
      <c r="OWR7" s="10"/>
      <c r="OWS7" s="36"/>
      <c r="OWT7" s="37"/>
      <c r="OWU7" s="37"/>
      <c r="OXA7" s="2"/>
      <c r="OXB7" s="29"/>
      <c r="OXH7" s="10"/>
      <c r="OXI7" s="36"/>
      <c r="OXJ7" s="37"/>
      <c r="OXK7" s="37"/>
      <c r="OXQ7" s="2"/>
      <c r="OXR7" s="29"/>
      <c r="OXX7" s="10"/>
      <c r="OXY7" s="36"/>
      <c r="OXZ7" s="37"/>
      <c r="OYA7" s="37"/>
      <c r="OYG7" s="2"/>
      <c r="OYH7" s="29"/>
      <c r="OYN7" s="10"/>
      <c r="OYO7" s="36"/>
      <c r="OYP7" s="37"/>
      <c r="OYQ7" s="37"/>
      <c r="OYW7" s="2"/>
      <c r="OYX7" s="29"/>
      <c r="OZD7" s="10"/>
      <c r="OZE7" s="36"/>
      <c r="OZF7" s="37"/>
      <c r="OZG7" s="37"/>
      <c r="OZM7" s="2"/>
      <c r="OZN7" s="29"/>
      <c r="OZT7" s="10"/>
      <c r="OZU7" s="36"/>
      <c r="OZV7" s="37"/>
      <c r="OZW7" s="37"/>
      <c r="PAC7" s="2"/>
      <c r="PAD7" s="29"/>
      <c r="PAJ7" s="10"/>
      <c r="PAK7" s="36"/>
      <c r="PAL7" s="37"/>
      <c r="PAM7" s="37"/>
      <c r="PAS7" s="2"/>
      <c r="PAT7" s="29"/>
      <c r="PAZ7" s="10"/>
      <c r="PBA7" s="36"/>
      <c r="PBB7" s="37"/>
      <c r="PBC7" s="37"/>
      <c r="PBI7" s="2"/>
      <c r="PBJ7" s="29"/>
      <c r="PBP7" s="10"/>
      <c r="PBQ7" s="36"/>
      <c r="PBR7" s="37"/>
      <c r="PBS7" s="37"/>
      <c r="PBY7" s="2"/>
      <c r="PBZ7" s="29"/>
      <c r="PCF7" s="10"/>
      <c r="PCG7" s="36"/>
      <c r="PCH7" s="37"/>
      <c r="PCI7" s="37"/>
      <c r="PCO7" s="2"/>
      <c r="PCP7" s="29"/>
      <c r="PCV7" s="10"/>
      <c r="PCW7" s="36"/>
      <c r="PCX7" s="37"/>
      <c r="PCY7" s="37"/>
      <c r="PDE7" s="2"/>
      <c r="PDF7" s="29"/>
      <c r="PDL7" s="10"/>
      <c r="PDM7" s="36"/>
      <c r="PDN7" s="37"/>
      <c r="PDO7" s="37"/>
      <c r="PDU7" s="2"/>
      <c r="PDV7" s="29"/>
      <c r="PEB7" s="10"/>
      <c r="PEC7" s="36"/>
      <c r="PED7" s="37"/>
      <c r="PEE7" s="37"/>
      <c r="PEK7" s="2"/>
      <c r="PEL7" s="29"/>
      <c r="PER7" s="10"/>
      <c r="PES7" s="36"/>
      <c r="PET7" s="37"/>
      <c r="PEU7" s="37"/>
      <c r="PFA7" s="2"/>
      <c r="PFB7" s="29"/>
      <c r="PFH7" s="10"/>
      <c r="PFI7" s="36"/>
      <c r="PFJ7" s="37"/>
      <c r="PFK7" s="37"/>
      <c r="PFQ7" s="2"/>
      <c r="PFR7" s="29"/>
      <c r="PFX7" s="10"/>
      <c r="PFY7" s="36"/>
      <c r="PFZ7" s="37"/>
      <c r="PGA7" s="37"/>
      <c r="PGG7" s="2"/>
      <c r="PGH7" s="29"/>
      <c r="PGN7" s="10"/>
      <c r="PGO7" s="36"/>
      <c r="PGP7" s="37"/>
      <c r="PGQ7" s="37"/>
      <c r="PGW7" s="2"/>
      <c r="PGX7" s="29"/>
      <c r="PHD7" s="10"/>
      <c r="PHE7" s="36"/>
      <c r="PHF7" s="37"/>
      <c r="PHG7" s="37"/>
      <c r="PHM7" s="2"/>
      <c r="PHN7" s="29"/>
      <c r="PHT7" s="10"/>
      <c r="PHU7" s="36"/>
      <c r="PHV7" s="37"/>
      <c r="PHW7" s="37"/>
      <c r="PIC7" s="2"/>
      <c r="PID7" s="29"/>
      <c r="PIJ7" s="10"/>
      <c r="PIK7" s="36"/>
      <c r="PIL7" s="37"/>
      <c r="PIM7" s="37"/>
      <c r="PIS7" s="2"/>
      <c r="PIT7" s="29"/>
      <c r="PIZ7" s="10"/>
      <c r="PJA7" s="36"/>
      <c r="PJB7" s="37"/>
      <c r="PJC7" s="37"/>
      <c r="PJI7" s="2"/>
      <c r="PJJ7" s="29"/>
      <c r="PJP7" s="10"/>
      <c r="PJQ7" s="36"/>
      <c r="PJR7" s="37"/>
      <c r="PJS7" s="37"/>
      <c r="PJY7" s="2"/>
      <c r="PJZ7" s="29"/>
      <c r="PKF7" s="10"/>
      <c r="PKG7" s="36"/>
      <c r="PKH7" s="37"/>
      <c r="PKI7" s="37"/>
      <c r="PKO7" s="2"/>
      <c r="PKP7" s="29"/>
      <c r="PKV7" s="10"/>
      <c r="PKW7" s="36"/>
      <c r="PKX7" s="37"/>
      <c r="PKY7" s="37"/>
      <c r="PLE7" s="2"/>
      <c r="PLF7" s="29"/>
      <c r="PLL7" s="10"/>
      <c r="PLM7" s="36"/>
      <c r="PLN7" s="37"/>
      <c r="PLO7" s="37"/>
      <c r="PLU7" s="2"/>
      <c r="PLV7" s="29"/>
      <c r="PMB7" s="10"/>
      <c r="PMC7" s="36"/>
      <c r="PMD7" s="37"/>
      <c r="PME7" s="37"/>
      <c r="PMK7" s="2"/>
      <c r="PML7" s="29"/>
      <c r="PMR7" s="10"/>
      <c r="PMS7" s="36"/>
      <c r="PMT7" s="37"/>
      <c r="PMU7" s="37"/>
      <c r="PNA7" s="2"/>
      <c r="PNB7" s="29"/>
      <c r="PNH7" s="10"/>
      <c r="PNI7" s="36"/>
      <c r="PNJ7" s="37"/>
      <c r="PNK7" s="37"/>
      <c r="PNQ7" s="2"/>
      <c r="PNR7" s="29"/>
      <c r="PNX7" s="10"/>
      <c r="PNY7" s="36"/>
      <c r="PNZ7" s="37"/>
      <c r="POA7" s="37"/>
      <c r="POG7" s="2"/>
      <c r="POH7" s="29"/>
      <c r="PON7" s="10"/>
      <c r="POO7" s="36"/>
      <c r="POP7" s="37"/>
      <c r="POQ7" s="37"/>
      <c r="POW7" s="2"/>
      <c r="POX7" s="29"/>
      <c r="PPD7" s="10"/>
      <c r="PPE7" s="36"/>
      <c r="PPF7" s="37"/>
      <c r="PPG7" s="37"/>
      <c r="PPM7" s="2"/>
      <c r="PPN7" s="29"/>
      <c r="PPT7" s="10"/>
      <c r="PPU7" s="36"/>
      <c r="PPV7" s="37"/>
      <c r="PPW7" s="37"/>
      <c r="PQC7" s="2"/>
      <c r="PQD7" s="29"/>
      <c r="PQJ7" s="10"/>
      <c r="PQK7" s="36"/>
      <c r="PQL7" s="37"/>
      <c r="PQM7" s="37"/>
      <c r="PQS7" s="2"/>
      <c r="PQT7" s="29"/>
      <c r="PQZ7" s="10"/>
      <c r="PRA7" s="36"/>
      <c r="PRB7" s="37"/>
      <c r="PRC7" s="37"/>
      <c r="PRI7" s="2"/>
      <c r="PRJ7" s="29"/>
      <c r="PRP7" s="10"/>
      <c r="PRQ7" s="36"/>
      <c r="PRR7" s="37"/>
      <c r="PRS7" s="37"/>
      <c r="PRY7" s="2"/>
      <c r="PRZ7" s="29"/>
      <c r="PSF7" s="10"/>
      <c r="PSG7" s="36"/>
      <c r="PSH7" s="37"/>
      <c r="PSI7" s="37"/>
      <c r="PSO7" s="2"/>
      <c r="PSP7" s="29"/>
      <c r="PSV7" s="10"/>
      <c r="PSW7" s="36"/>
      <c r="PSX7" s="37"/>
      <c r="PSY7" s="37"/>
      <c r="PTE7" s="2"/>
      <c r="PTF7" s="29"/>
      <c r="PTL7" s="10"/>
      <c r="PTM7" s="36"/>
      <c r="PTN7" s="37"/>
      <c r="PTO7" s="37"/>
      <c r="PTU7" s="2"/>
      <c r="PTV7" s="29"/>
      <c r="PUB7" s="10"/>
      <c r="PUC7" s="36"/>
      <c r="PUD7" s="37"/>
      <c r="PUE7" s="37"/>
      <c r="PUK7" s="2"/>
      <c r="PUL7" s="29"/>
      <c r="PUR7" s="10"/>
      <c r="PUS7" s="36"/>
      <c r="PUT7" s="37"/>
      <c r="PUU7" s="37"/>
      <c r="PVA7" s="2"/>
      <c r="PVB7" s="29"/>
      <c r="PVH7" s="10"/>
      <c r="PVI7" s="36"/>
      <c r="PVJ7" s="37"/>
      <c r="PVK7" s="37"/>
      <c r="PVQ7" s="2"/>
      <c r="PVR7" s="29"/>
      <c r="PVX7" s="10"/>
      <c r="PVY7" s="36"/>
      <c r="PVZ7" s="37"/>
      <c r="PWA7" s="37"/>
      <c r="PWG7" s="2"/>
      <c r="PWH7" s="29"/>
      <c r="PWN7" s="10"/>
      <c r="PWO7" s="36"/>
      <c r="PWP7" s="37"/>
      <c r="PWQ7" s="37"/>
      <c r="PWW7" s="2"/>
      <c r="PWX7" s="29"/>
      <c r="PXD7" s="10"/>
      <c r="PXE7" s="36"/>
      <c r="PXF7" s="37"/>
      <c r="PXG7" s="37"/>
      <c r="PXM7" s="2"/>
      <c r="PXN7" s="29"/>
      <c r="PXT7" s="10"/>
      <c r="PXU7" s="36"/>
      <c r="PXV7" s="37"/>
      <c r="PXW7" s="37"/>
      <c r="PYC7" s="2"/>
      <c r="PYD7" s="29"/>
      <c r="PYJ7" s="10"/>
      <c r="PYK7" s="36"/>
      <c r="PYL7" s="37"/>
      <c r="PYM7" s="37"/>
      <c r="PYS7" s="2"/>
      <c r="PYT7" s="29"/>
      <c r="PYZ7" s="10"/>
      <c r="PZA7" s="36"/>
      <c r="PZB7" s="37"/>
      <c r="PZC7" s="37"/>
      <c r="PZI7" s="2"/>
      <c r="PZJ7" s="29"/>
      <c r="PZP7" s="10"/>
      <c r="PZQ7" s="36"/>
      <c r="PZR7" s="37"/>
      <c r="PZS7" s="37"/>
      <c r="PZY7" s="2"/>
      <c r="PZZ7" s="29"/>
      <c r="QAF7" s="10"/>
      <c r="QAG7" s="36"/>
      <c r="QAH7" s="37"/>
      <c r="QAI7" s="37"/>
      <c r="QAO7" s="2"/>
      <c r="QAP7" s="29"/>
      <c r="QAV7" s="10"/>
      <c r="QAW7" s="36"/>
      <c r="QAX7" s="37"/>
      <c r="QAY7" s="37"/>
      <c r="QBE7" s="2"/>
      <c r="QBF7" s="29"/>
      <c r="QBL7" s="10"/>
      <c r="QBM7" s="36"/>
      <c r="QBN7" s="37"/>
      <c r="QBO7" s="37"/>
      <c r="QBU7" s="2"/>
      <c r="QBV7" s="29"/>
      <c r="QCB7" s="10"/>
      <c r="QCC7" s="36"/>
      <c r="QCD7" s="37"/>
      <c r="QCE7" s="37"/>
      <c r="QCK7" s="2"/>
      <c r="QCL7" s="29"/>
      <c r="QCR7" s="10"/>
      <c r="QCS7" s="36"/>
      <c r="QCT7" s="37"/>
      <c r="QCU7" s="37"/>
      <c r="QDA7" s="2"/>
      <c r="QDB7" s="29"/>
      <c r="QDH7" s="10"/>
      <c r="QDI7" s="36"/>
      <c r="QDJ7" s="37"/>
      <c r="QDK7" s="37"/>
      <c r="QDQ7" s="2"/>
      <c r="QDR7" s="29"/>
      <c r="QDX7" s="10"/>
      <c r="QDY7" s="36"/>
      <c r="QDZ7" s="37"/>
      <c r="QEA7" s="37"/>
      <c r="QEG7" s="2"/>
      <c r="QEH7" s="29"/>
      <c r="QEN7" s="10"/>
      <c r="QEO7" s="36"/>
      <c r="QEP7" s="37"/>
      <c r="QEQ7" s="37"/>
      <c r="QEW7" s="2"/>
      <c r="QEX7" s="29"/>
      <c r="QFD7" s="10"/>
      <c r="QFE7" s="36"/>
      <c r="QFF7" s="37"/>
      <c r="QFG7" s="37"/>
      <c r="QFM7" s="2"/>
      <c r="QFN7" s="29"/>
      <c r="QFT7" s="10"/>
      <c r="QFU7" s="36"/>
      <c r="QFV7" s="37"/>
      <c r="QFW7" s="37"/>
      <c r="QGC7" s="2"/>
      <c r="QGD7" s="29"/>
      <c r="QGJ7" s="10"/>
      <c r="QGK7" s="36"/>
      <c r="QGL7" s="37"/>
      <c r="QGM7" s="37"/>
      <c r="QGS7" s="2"/>
      <c r="QGT7" s="29"/>
      <c r="QGZ7" s="10"/>
      <c r="QHA7" s="36"/>
      <c r="QHB7" s="37"/>
      <c r="QHC7" s="37"/>
      <c r="QHI7" s="2"/>
      <c r="QHJ7" s="29"/>
      <c r="QHP7" s="10"/>
      <c r="QHQ7" s="36"/>
      <c r="QHR7" s="37"/>
      <c r="QHS7" s="37"/>
      <c r="QHY7" s="2"/>
      <c r="QHZ7" s="29"/>
      <c r="QIF7" s="10"/>
      <c r="QIG7" s="36"/>
      <c r="QIH7" s="37"/>
      <c r="QII7" s="37"/>
      <c r="QIO7" s="2"/>
      <c r="QIP7" s="29"/>
      <c r="QIV7" s="10"/>
      <c r="QIW7" s="36"/>
      <c r="QIX7" s="37"/>
      <c r="QIY7" s="37"/>
      <c r="QJE7" s="2"/>
      <c r="QJF7" s="29"/>
      <c r="QJL7" s="10"/>
      <c r="QJM7" s="36"/>
      <c r="QJN7" s="37"/>
      <c r="QJO7" s="37"/>
      <c r="QJU7" s="2"/>
      <c r="QJV7" s="29"/>
      <c r="QKB7" s="10"/>
      <c r="QKC7" s="36"/>
      <c r="QKD7" s="37"/>
      <c r="QKE7" s="37"/>
      <c r="QKK7" s="2"/>
      <c r="QKL7" s="29"/>
      <c r="QKR7" s="10"/>
      <c r="QKS7" s="36"/>
      <c r="QKT7" s="37"/>
      <c r="QKU7" s="37"/>
      <c r="QLA7" s="2"/>
      <c r="QLB7" s="29"/>
      <c r="QLH7" s="10"/>
      <c r="QLI7" s="36"/>
      <c r="QLJ7" s="37"/>
      <c r="QLK7" s="37"/>
      <c r="QLQ7" s="2"/>
      <c r="QLR7" s="29"/>
      <c r="QLX7" s="10"/>
      <c r="QLY7" s="36"/>
      <c r="QLZ7" s="37"/>
      <c r="QMA7" s="37"/>
      <c r="QMG7" s="2"/>
      <c r="QMH7" s="29"/>
      <c r="QMN7" s="10"/>
      <c r="QMO7" s="36"/>
      <c r="QMP7" s="37"/>
      <c r="QMQ7" s="37"/>
      <c r="QMW7" s="2"/>
      <c r="QMX7" s="29"/>
      <c r="QND7" s="10"/>
      <c r="QNE7" s="36"/>
      <c r="QNF7" s="37"/>
      <c r="QNG7" s="37"/>
      <c r="QNM7" s="2"/>
      <c r="QNN7" s="29"/>
      <c r="QNT7" s="10"/>
      <c r="QNU7" s="36"/>
      <c r="QNV7" s="37"/>
      <c r="QNW7" s="37"/>
      <c r="QOC7" s="2"/>
      <c r="QOD7" s="29"/>
      <c r="QOJ7" s="10"/>
      <c r="QOK7" s="36"/>
      <c r="QOL7" s="37"/>
      <c r="QOM7" s="37"/>
      <c r="QOS7" s="2"/>
      <c r="QOT7" s="29"/>
      <c r="QOZ7" s="10"/>
      <c r="QPA7" s="36"/>
      <c r="QPB7" s="37"/>
      <c r="QPC7" s="37"/>
      <c r="QPI7" s="2"/>
      <c r="QPJ7" s="29"/>
      <c r="QPP7" s="10"/>
      <c r="QPQ7" s="36"/>
      <c r="QPR7" s="37"/>
      <c r="QPS7" s="37"/>
      <c r="QPY7" s="2"/>
      <c r="QPZ7" s="29"/>
      <c r="QQF7" s="10"/>
      <c r="QQG7" s="36"/>
      <c r="QQH7" s="37"/>
      <c r="QQI7" s="37"/>
      <c r="QQO7" s="2"/>
      <c r="QQP7" s="29"/>
      <c r="QQV7" s="10"/>
      <c r="QQW7" s="36"/>
      <c r="QQX7" s="37"/>
      <c r="QQY7" s="37"/>
      <c r="QRE7" s="2"/>
      <c r="QRF7" s="29"/>
      <c r="QRL7" s="10"/>
      <c r="QRM7" s="36"/>
      <c r="QRN7" s="37"/>
      <c r="QRO7" s="37"/>
      <c r="QRU7" s="2"/>
      <c r="QRV7" s="29"/>
      <c r="QSB7" s="10"/>
      <c r="QSC7" s="36"/>
      <c r="QSD7" s="37"/>
      <c r="QSE7" s="37"/>
      <c r="QSK7" s="2"/>
      <c r="QSL7" s="29"/>
      <c r="QSR7" s="10"/>
      <c r="QSS7" s="36"/>
      <c r="QST7" s="37"/>
      <c r="QSU7" s="37"/>
      <c r="QTA7" s="2"/>
      <c r="QTB7" s="29"/>
      <c r="QTH7" s="10"/>
      <c r="QTI7" s="36"/>
      <c r="QTJ7" s="37"/>
      <c r="QTK7" s="37"/>
      <c r="QTQ7" s="2"/>
      <c r="QTR7" s="29"/>
      <c r="QTX7" s="10"/>
      <c r="QTY7" s="36"/>
      <c r="QTZ7" s="37"/>
      <c r="QUA7" s="37"/>
      <c r="QUG7" s="2"/>
      <c r="QUH7" s="29"/>
      <c r="QUN7" s="10"/>
      <c r="QUO7" s="36"/>
      <c r="QUP7" s="37"/>
      <c r="QUQ7" s="37"/>
      <c r="QUW7" s="2"/>
      <c r="QUX7" s="29"/>
      <c r="QVD7" s="10"/>
      <c r="QVE7" s="36"/>
      <c r="QVF7" s="37"/>
      <c r="QVG7" s="37"/>
      <c r="QVM7" s="2"/>
      <c r="QVN7" s="29"/>
      <c r="QVT7" s="10"/>
      <c r="QVU7" s="36"/>
      <c r="QVV7" s="37"/>
      <c r="QVW7" s="37"/>
      <c r="QWC7" s="2"/>
      <c r="QWD7" s="29"/>
      <c r="QWJ7" s="10"/>
      <c r="QWK7" s="36"/>
      <c r="QWL7" s="37"/>
      <c r="QWM7" s="37"/>
      <c r="QWS7" s="2"/>
      <c r="QWT7" s="29"/>
      <c r="QWZ7" s="10"/>
      <c r="QXA7" s="36"/>
      <c r="QXB7" s="37"/>
      <c r="QXC7" s="37"/>
      <c r="QXI7" s="2"/>
      <c r="QXJ7" s="29"/>
      <c r="QXP7" s="10"/>
      <c r="QXQ7" s="36"/>
      <c r="QXR7" s="37"/>
      <c r="QXS7" s="37"/>
      <c r="QXY7" s="2"/>
      <c r="QXZ7" s="29"/>
      <c r="QYF7" s="10"/>
      <c r="QYG7" s="36"/>
      <c r="QYH7" s="37"/>
      <c r="QYI7" s="37"/>
      <c r="QYO7" s="2"/>
      <c r="QYP7" s="29"/>
      <c r="QYV7" s="10"/>
      <c r="QYW7" s="36"/>
      <c r="QYX7" s="37"/>
      <c r="QYY7" s="37"/>
      <c r="QZE7" s="2"/>
      <c r="QZF7" s="29"/>
      <c r="QZL7" s="10"/>
      <c r="QZM7" s="36"/>
      <c r="QZN7" s="37"/>
      <c r="QZO7" s="37"/>
      <c r="QZU7" s="2"/>
      <c r="QZV7" s="29"/>
      <c r="RAB7" s="10"/>
      <c r="RAC7" s="36"/>
      <c r="RAD7" s="37"/>
      <c r="RAE7" s="37"/>
      <c r="RAK7" s="2"/>
      <c r="RAL7" s="29"/>
      <c r="RAR7" s="10"/>
      <c r="RAS7" s="36"/>
      <c r="RAT7" s="37"/>
      <c r="RAU7" s="37"/>
      <c r="RBA7" s="2"/>
      <c r="RBB7" s="29"/>
      <c r="RBH7" s="10"/>
      <c r="RBI7" s="36"/>
      <c r="RBJ7" s="37"/>
      <c r="RBK7" s="37"/>
      <c r="RBQ7" s="2"/>
      <c r="RBR7" s="29"/>
      <c r="RBX7" s="10"/>
      <c r="RBY7" s="36"/>
      <c r="RBZ7" s="37"/>
      <c r="RCA7" s="37"/>
      <c r="RCG7" s="2"/>
      <c r="RCH7" s="29"/>
      <c r="RCN7" s="10"/>
      <c r="RCO7" s="36"/>
      <c r="RCP7" s="37"/>
      <c r="RCQ7" s="37"/>
      <c r="RCW7" s="2"/>
      <c r="RCX7" s="29"/>
      <c r="RDD7" s="10"/>
      <c r="RDE7" s="36"/>
      <c r="RDF7" s="37"/>
      <c r="RDG7" s="37"/>
      <c r="RDM7" s="2"/>
      <c r="RDN7" s="29"/>
      <c r="RDT7" s="10"/>
      <c r="RDU7" s="36"/>
      <c r="RDV7" s="37"/>
      <c r="RDW7" s="37"/>
      <c r="REC7" s="2"/>
      <c r="RED7" s="29"/>
      <c r="REJ7" s="10"/>
      <c r="REK7" s="36"/>
      <c r="REL7" s="37"/>
      <c r="REM7" s="37"/>
      <c r="RES7" s="2"/>
      <c r="RET7" s="29"/>
      <c r="REZ7" s="10"/>
      <c r="RFA7" s="36"/>
      <c r="RFB7" s="37"/>
      <c r="RFC7" s="37"/>
      <c r="RFI7" s="2"/>
      <c r="RFJ7" s="29"/>
      <c r="RFP7" s="10"/>
      <c r="RFQ7" s="36"/>
      <c r="RFR7" s="37"/>
      <c r="RFS7" s="37"/>
      <c r="RFY7" s="2"/>
      <c r="RFZ7" s="29"/>
      <c r="RGF7" s="10"/>
      <c r="RGG7" s="36"/>
      <c r="RGH7" s="37"/>
      <c r="RGI7" s="37"/>
      <c r="RGO7" s="2"/>
      <c r="RGP7" s="29"/>
      <c r="RGV7" s="10"/>
      <c r="RGW7" s="36"/>
      <c r="RGX7" s="37"/>
      <c r="RGY7" s="37"/>
      <c r="RHE7" s="2"/>
      <c r="RHF7" s="29"/>
      <c r="RHL7" s="10"/>
      <c r="RHM7" s="36"/>
      <c r="RHN7" s="37"/>
      <c r="RHO7" s="37"/>
      <c r="RHU7" s="2"/>
      <c r="RHV7" s="29"/>
      <c r="RIB7" s="10"/>
      <c r="RIC7" s="36"/>
      <c r="RID7" s="37"/>
      <c r="RIE7" s="37"/>
      <c r="RIK7" s="2"/>
      <c r="RIL7" s="29"/>
      <c r="RIR7" s="10"/>
      <c r="RIS7" s="36"/>
      <c r="RIT7" s="37"/>
      <c r="RIU7" s="37"/>
      <c r="RJA7" s="2"/>
      <c r="RJB7" s="29"/>
      <c r="RJH7" s="10"/>
      <c r="RJI7" s="36"/>
      <c r="RJJ7" s="37"/>
      <c r="RJK7" s="37"/>
      <c r="RJQ7" s="2"/>
      <c r="RJR7" s="29"/>
      <c r="RJX7" s="10"/>
      <c r="RJY7" s="36"/>
      <c r="RJZ7" s="37"/>
      <c r="RKA7" s="37"/>
      <c r="RKG7" s="2"/>
      <c r="RKH7" s="29"/>
      <c r="RKN7" s="10"/>
      <c r="RKO7" s="36"/>
      <c r="RKP7" s="37"/>
      <c r="RKQ7" s="37"/>
      <c r="RKW7" s="2"/>
      <c r="RKX7" s="29"/>
      <c r="RLD7" s="10"/>
      <c r="RLE7" s="36"/>
      <c r="RLF7" s="37"/>
      <c r="RLG7" s="37"/>
      <c r="RLM7" s="2"/>
      <c r="RLN7" s="29"/>
      <c r="RLT7" s="10"/>
      <c r="RLU7" s="36"/>
      <c r="RLV7" s="37"/>
      <c r="RLW7" s="37"/>
      <c r="RMC7" s="2"/>
      <c r="RMD7" s="29"/>
      <c r="RMJ7" s="10"/>
      <c r="RMK7" s="36"/>
      <c r="RML7" s="37"/>
      <c r="RMM7" s="37"/>
      <c r="RMS7" s="2"/>
      <c r="RMT7" s="29"/>
      <c r="RMZ7" s="10"/>
      <c r="RNA7" s="36"/>
      <c r="RNB7" s="37"/>
      <c r="RNC7" s="37"/>
      <c r="RNI7" s="2"/>
      <c r="RNJ7" s="29"/>
      <c r="RNP7" s="10"/>
      <c r="RNQ7" s="36"/>
      <c r="RNR7" s="37"/>
      <c r="RNS7" s="37"/>
      <c r="RNY7" s="2"/>
      <c r="RNZ7" s="29"/>
      <c r="ROF7" s="10"/>
      <c r="ROG7" s="36"/>
      <c r="ROH7" s="37"/>
      <c r="ROI7" s="37"/>
      <c r="ROO7" s="2"/>
      <c r="ROP7" s="29"/>
      <c r="ROV7" s="10"/>
      <c r="ROW7" s="36"/>
      <c r="ROX7" s="37"/>
      <c r="ROY7" s="37"/>
      <c r="RPE7" s="2"/>
      <c r="RPF7" s="29"/>
      <c r="RPL7" s="10"/>
      <c r="RPM7" s="36"/>
      <c r="RPN7" s="37"/>
      <c r="RPO7" s="37"/>
      <c r="RPU7" s="2"/>
      <c r="RPV7" s="29"/>
      <c r="RQB7" s="10"/>
      <c r="RQC7" s="36"/>
      <c r="RQD7" s="37"/>
      <c r="RQE7" s="37"/>
      <c r="RQK7" s="2"/>
      <c r="RQL7" s="29"/>
      <c r="RQR7" s="10"/>
      <c r="RQS7" s="36"/>
      <c r="RQT7" s="37"/>
      <c r="RQU7" s="37"/>
      <c r="RRA7" s="2"/>
      <c r="RRB7" s="29"/>
      <c r="RRH7" s="10"/>
      <c r="RRI7" s="36"/>
      <c r="RRJ7" s="37"/>
      <c r="RRK7" s="37"/>
      <c r="RRQ7" s="2"/>
      <c r="RRR7" s="29"/>
      <c r="RRX7" s="10"/>
      <c r="RRY7" s="36"/>
      <c r="RRZ7" s="37"/>
      <c r="RSA7" s="37"/>
      <c r="RSG7" s="2"/>
      <c r="RSH7" s="29"/>
      <c r="RSN7" s="10"/>
      <c r="RSO7" s="36"/>
      <c r="RSP7" s="37"/>
      <c r="RSQ7" s="37"/>
      <c r="RSW7" s="2"/>
      <c r="RSX7" s="29"/>
      <c r="RTD7" s="10"/>
      <c r="RTE7" s="36"/>
      <c r="RTF7" s="37"/>
      <c r="RTG7" s="37"/>
      <c r="RTM7" s="2"/>
      <c r="RTN7" s="29"/>
      <c r="RTT7" s="10"/>
      <c r="RTU7" s="36"/>
      <c r="RTV7" s="37"/>
      <c r="RTW7" s="37"/>
      <c r="RUC7" s="2"/>
      <c r="RUD7" s="29"/>
      <c r="RUJ7" s="10"/>
      <c r="RUK7" s="36"/>
      <c r="RUL7" s="37"/>
      <c r="RUM7" s="37"/>
      <c r="RUS7" s="2"/>
      <c r="RUT7" s="29"/>
      <c r="RUZ7" s="10"/>
      <c r="RVA7" s="36"/>
      <c r="RVB7" s="37"/>
      <c r="RVC7" s="37"/>
      <c r="RVI7" s="2"/>
      <c r="RVJ7" s="29"/>
      <c r="RVP7" s="10"/>
      <c r="RVQ7" s="36"/>
      <c r="RVR7" s="37"/>
      <c r="RVS7" s="37"/>
      <c r="RVY7" s="2"/>
      <c r="RVZ7" s="29"/>
      <c r="RWF7" s="10"/>
      <c r="RWG7" s="36"/>
      <c r="RWH7" s="37"/>
      <c r="RWI7" s="37"/>
      <c r="RWO7" s="2"/>
      <c r="RWP7" s="29"/>
      <c r="RWV7" s="10"/>
      <c r="RWW7" s="36"/>
      <c r="RWX7" s="37"/>
      <c r="RWY7" s="37"/>
      <c r="RXE7" s="2"/>
      <c r="RXF7" s="29"/>
      <c r="RXL7" s="10"/>
      <c r="RXM7" s="36"/>
      <c r="RXN7" s="37"/>
      <c r="RXO7" s="37"/>
      <c r="RXU7" s="2"/>
      <c r="RXV7" s="29"/>
      <c r="RYB7" s="10"/>
      <c r="RYC7" s="36"/>
      <c r="RYD7" s="37"/>
      <c r="RYE7" s="37"/>
      <c r="RYK7" s="2"/>
      <c r="RYL7" s="29"/>
      <c r="RYR7" s="10"/>
      <c r="RYS7" s="36"/>
      <c r="RYT7" s="37"/>
      <c r="RYU7" s="37"/>
      <c r="RZA7" s="2"/>
      <c r="RZB7" s="29"/>
      <c r="RZH7" s="10"/>
      <c r="RZI7" s="36"/>
      <c r="RZJ7" s="37"/>
      <c r="RZK7" s="37"/>
      <c r="RZQ7" s="2"/>
      <c r="RZR7" s="29"/>
      <c r="RZX7" s="10"/>
      <c r="RZY7" s="36"/>
      <c r="RZZ7" s="37"/>
      <c r="SAA7" s="37"/>
      <c r="SAG7" s="2"/>
      <c r="SAH7" s="29"/>
      <c r="SAN7" s="10"/>
      <c r="SAO7" s="36"/>
      <c r="SAP7" s="37"/>
      <c r="SAQ7" s="37"/>
      <c r="SAW7" s="2"/>
      <c r="SAX7" s="29"/>
      <c r="SBD7" s="10"/>
      <c r="SBE7" s="36"/>
      <c r="SBF7" s="37"/>
      <c r="SBG7" s="37"/>
      <c r="SBM7" s="2"/>
      <c r="SBN7" s="29"/>
      <c r="SBT7" s="10"/>
      <c r="SBU7" s="36"/>
      <c r="SBV7" s="37"/>
      <c r="SBW7" s="37"/>
      <c r="SCC7" s="2"/>
      <c r="SCD7" s="29"/>
      <c r="SCJ7" s="10"/>
      <c r="SCK7" s="36"/>
      <c r="SCL7" s="37"/>
      <c r="SCM7" s="37"/>
      <c r="SCS7" s="2"/>
      <c r="SCT7" s="29"/>
      <c r="SCZ7" s="10"/>
      <c r="SDA7" s="36"/>
      <c r="SDB7" s="37"/>
      <c r="SDC7" s="37"/>
      <c r="SDI7" s="2"/>
      <c r="SDJ7" s="29"/>
      <c r="SDP7" s="10"/>
      <c r="SDQ7" s="36"/>
      <c r="SDR7" s="37"/>
      <c r="SDS7" s="37"/>
      <c r="SDY7" s="2"/>
      <c r="SDZ7" s="29"/>
      <c r="SEF7" s="10"/>
      <c r="SEG7" s="36"/>
      <c r="SEH7" s="37"/>
      <c r="SEI7" s="37"/>
      <c r="SEO7" s="2"/>
      <c r="SEP7" s="29"/>
      <c r="SEV7" s="10"/>
      <c r="SEW7" s="36"/>
      <c r="SEX7" s="37"/>
      <c r="SEY7" s="37"/>
      <c r="SFE7" s="2"/>
      <c r="SFF7" s="29"/>
      <c r="SFL7" s="10"/>
      <c r="SFM7" s="36"/>
      <c r="SFN7" s="37"/>
      <c r="SFO7" s="37"/>
      <c r="SFU7" s="2"/>
      <c r="SFV7" s="29"/>
      <c r="SGB7" s="10"/>
      <c r="SGC7" s="36"/>
      <c r="SGD7" s="37"/>
      <c r="SGE7" s="37"/>
      <c r="SGK7" s="2"/>
      <c r="SGL7" s="29"/>
      <c r="SGR7" s="10"/>
      <c r="SGS7" s="36"/>
      <c r="SGT7" s="37"/>
      <c r="SGU7" s="37"/>
      <c r="SHA7" s="2"/>
      <c r="SHB7" s="29"/>
      <c r="SHH7" s="10"/>
      <c r="SHI7" s="36"/>
      <c r="SHJ7" s="37"/>
      <c r="SHK7" s="37"/>
      <c r="SHQ7" s="2"/>
      <c r="SHR7" s="29"/>
      <c r="SHX7" s="10"/>
      <c r="SHY7" s="36"/>
      <c r="SHZ7" s="37"/>
      <c r="SIA7" s="37"/>
      <c r="SIG7" s="2"/>
      <c r="SIH7" s="29"/>
      <c r="SIN7" s="10"/>
      <c r="SIO7" s="36"/>
      <c r="SIP7" s="37"/>
      <c r="SIQ7" s="37"/>
      <c r="SIW7" s="2"/>
      <c r="SIX7" s="29"/>
      <c r="SJD7" s="10"/>
      <c r="SJE7" s="36"/>
      <c r="SJF7" s="37"/>
      <c r="SJG7" s="37"/>
      <c r="SJM7" s="2"/>
      <c r="SJN7" s="29"/>
      <c r="SJT7" s="10"/>
      <c r="SJU7" s="36"/>
      <c r="SJV7" s="37"/>
      <c r="SJW7" s="37"/>
      <c r="SKC7" s="2"/>
      <c r="SKD7" s="29"/>
      <c r="SKJ7" s="10"/>
      <c r="SKK7" s="36"/>
      <c r="SKL7" s="37"/>
      <c r="SKM7" s="37"/>
      <c r="SKS7" s="2"/>
      <c r="SKT7" s="29"/>
      <c r="SKZ7" s="10"/>
      <c r="SLA7" s="36"/>
      <c r="SLB7" s="37"/>
      <c r="SLC7" s="37"/>
      <c r="SLI7" s="2"/>
      <c r="SLJ7" s="29"/>
      <c r="SLP7" s="10"/>
      <c r="SLQ7" s="36"/>
      <c r="SLR7" s="37"/>
      <c r="SLS7" s="37"/>
      <c r="SLY7" s="2"/>
      <c r="SLZ7" s="29"/>
      <c r="SMF7" s="10"/>
      <c r="SMG7" s="36"/>
      <c r="SMH7" s="37"/>
      <c r="SMI7" s="37"/>
      <c r="SMO7" s="2"/>
      <c r="SMP7" s="29"/>
      <c r="SMV7" s="10"/>
      <c r="SMW7" s="36"/>
      <c r="SMX7" s="37"/>
      <c r="SMY7" s="37"/>
      <c r="SNE7" s="2"/>
      <c r="SNF7" s="29"/>
      <c r="SNL7" s="10"/>
      <c r="SNM7" s="36"/>
      <c r="SNN7" s="37"/>
      <c r="SNO7" s="37"/>
      <c r="SNU7" s="2"/>
      <c r="SNV7" s="29"/>
      <c r="SOB7" s="10"/>
      <c r="SOC7" s="36"/>
      <c r="SOD7" s="37"/>
      <c r="SOE7" s="37"/>
      <c r="SOK7" s="2"/>
      <c r="SOL7" s="29"/>
      <c r="SOR7" s="10"/>
      <c r="SOS7" s="36"/>
      <c r="SOT7" s="37"/>
      <c r="SOU7" s="37"/>
      <c r="SPA7" s="2"/>
      <c r="SPB7" s="29"/>
      <c r="SPH7" s="10"/>
      <c r="SPI7" s="36"/>
      <c r="SPJ7" s="37"/>
      <c r="SPK7" s="37"/>
      <c r="SPQ7" s="2"/>
      <c r="SPR7" s="29"/>
      <c r="SPX7" s="10"/>
      <c r="SPY7" s="36"/>
      <c r="SPZ7" s="37"/>
      <c r="SQA7" s="37"/>
      <c r="SQG7" s="2"/>
      <c r="SQH7" s="29"/>
      <c r="SQN7" s="10"/>
      <c r="SQO7" s="36"/>
      <c r="SQP7" s="37"/>
      <c r="SQQ7" s="37"/>
      <c r="SQW7" s="2"/>
      <c r="SQX7" s="29"/>
      <c r="SRD7" s="10"/>
      <c r="SRE7" s="36"/>
      <c r="SRF7" s="37"/>
      <c r="SRG7" s="37"/>
      <c r="SRM7" s="2"/>
      <c r="SRN7" s="29"/>
      <c r="SRT7" s="10"/>
      <c r="SRU7" s="36"/>
      <c r="SRV7" s="37"/>
      <c r="SRW7" s="37"/>
      <c r="SSC7" s="2"/>
      <c r="SSD7" s="29"/>
      <c r="SSJ7" s="10"/>
      <c r="SSK7" s="36"/>
      <c r="SSL7" s="37"/>
      <c r="SSM7" s="37"/>
      <c r="SSS7" s="2"/>
      <c r="SST7" s="29"/>
      <c r="SSZ7" s="10"/>
      <c r="STA7" s="36"/>
      <c r="STB7" s="37"/>
      <c r="STC7" s="37"/>
      <c r="STI7" s="2"/>
      <c r="STJ7" s="29"/>
      <c r="STP7" s="10"/>
      <c r="STQ7" s="36"/>
      <c r="STR7" s="37"/>
      <c r="STS7" s="37"/>
      <c r="STY7" s="2"/>
      <c r="STZ7" s="29"/>
      <c r="SUF7" s="10"/>
      <c r="SUG7" s="36"/>
      <c r="SUH7" s="37"/>
      <c r="SUI7" s="37"/>
      <c r="SUO7" s="2"/>
      <c r="SUP7" s="29"/>
      <c r="SUV7" s="10"/>
      <c r="SUW7" s="36"/>
      <c r="SUX7" s="37"/>
      <c r="SUY7" s="37"/>
      <c r="SVE7" s="2"/>
      <c r="SVF7" s="29"/>
      <c r="SVL7" s="10"/>
      <c r="SVM7" s="36"/>
      <c r="SVN7" s="37"/>
      <c r="SVO7" s="37"/>
      <c r="SVU7" s="2"/>
      <c r="SVV7" s="29"/>
      <c r="SWB7" s="10"/>
      <c r="SWC7" s="36"/>
      <c r="SWD7" s="37"/>
      <c r="SWE7" s="37"/>
      <c r="SWK7" s="2"/>
      <c r="SWL7" s="29"/>
      <c r="SWR7" s="10"/>
      <c r="SWS7" s="36"/>
      <c r="SWT7" s="37"/>
      <c r="SWU7" s="37"/>
      <c r="SXA7" s="2"/>
      <c r="SXB7" s="29"/>
      <c r="SXH7" s="10"/>
      <c r="SXI7" s="36"/>
      <c r="SXJ7" s="37"/>
      <c r="SXK7" s="37"/>
      <c r="SXQ7" s="2"/>
      <c r="SXR7" s="29"/>
      <c r="SXX7" s="10"/>
      <c r="SXY7" s="36"/>
      <c r="SXZ7" s="37"/>
      <c r="SYA7" s="37"/>
      <c r="SYG7" s="2"/>
      <c r="SYH7" s="29"/>
      <c r="SYN7" s="10"/>
      <c r="SYO7" s="36"/>
      <c r="SYP7" s="37"/>
      <c r="SYQ7" s="37"/>
      <c r="SYW7" s="2"/>
      <c r="SYX7" s="29"/>
      <c r="SZD7" s="10"/>
      <c r="SZE7" s="36"/>
      <c r="SZF7" s="37"/>
      <c r="SZG7" s="37"/>
      <c r="SZM7" s="2"/>
      <c r="SZN7" s="29"/>
      <c r="SZT7" s="10"/>
      <c r="SZU7" s="36"/>
      <c r="SZV7" s="37"/>
      <c r="SZW7" s="37"/>
      <c r="TAC7" s="2"/>
      <c r="TAD7" s="29"/>
      <c r="TAJ7" s="10"/>
      <c r="TAK7" s="36"/>
      <c r="TAL7" s="37"/>
      <c r="TAM7" s="37"/>
      <c r="TAS7" s="2"/>
      <c r="TAT7" s="29"/>
      <c r="TAZ7" s="10"/>
      <c r="TBA7" s="36"/>
      <c r="TBB7" s="37"/>
      <c r="TBC7" s="37"/>
      <c r="TBI7" s="2"/>
      <c r="TBJ7" s="29"/>
      <c r="TBP7" s="10"/>
      <c r="TBQ7" s="36"/>
      <c r="TBR7" s="37"/>
      <c r="TBS7" s="37"/>
      <c r="TBY7" s="2"/>
      <c r="TBZ7" s="29"/>
      <c r="TCF7" s="10"/>
      <c r="TCG7" s="36"/>
      <c r="TCH7" s="37"/>
      <c r="TCI7" s="37"/>
      <c r="TCO7" s="2"/>
      <c r="TCP7" s="29"/>
      <c r="TCV7" s="10"/>
      <c r="TCW7" s="36"/>
      <c r="TCX7" s="37"/>
      <c r="TCY7" s="37"/>
      <c r="TDE7" s="2"/>
      <c r="TDF7" s="29"/>
      <c r="TDL7" s="10"/>
      <c r="TDM7" s="36"/>
      <c r="TDN7" s="37"/>
      <c r="TDO7" s="37"/>
      <c r="TDU7" s="2"/>
      <c r="TDV7" s="29"/>
      <c r="TEB7" s="10"/>
      <c r="TEC7" s="36"/>
      <c r="TED7" s="37"/>
      <c r="TEE7" s="37"/>
      <c r="TEK7" s="2"/>
      <c r="TEL7" s="29"/>
      <c r="TER7" s="10"/>
      <c r="TES7" s="36"/>
      <c r="TET7" s="37"/>
      <c r="TEU7" s="37"/>
      <c r="TFA7" s="2"/>
      <c r="TFB7" s="29"/>
      <c r="TFH7" s="10"/>
      <c r="TFI7" s="36"/>
      <c r="TFJ7" s="37"/>
      <c r="TFK7" s="37"/>
      <c r="TFQ7" s="2"/>
      <c r="TFR7" s="29"/>
      <c r="TFX7" s="10"/>
      <c r="TFY7" s="36"/>
      <c r="TFZ7" s="37"/>
      <c r="TGA7" s="37"/>
      <c r="TGG7" s="2"/>
      <c r="TGH7" s="29"/>
      <c r="TGN7" s="10"/>
      <c r="TGO7" s="36"/>
      <c r="TGP7" s="37"/>
      <c r="TGQ7" s="37"/>
      <c r="TGW7" s="2"/>
      <c r="TGX7" s="29"/>
      <c r="THD7" s="10"/>
      <c r="THE7" s="36"/>
      <c r="THF7" s="37"/>
      <c r="THG7" s="37"/>
      <c r="THM7" s="2"/>
      <c r="THN7" s="29"/>
      <c r="THT7" s="10"/>
      <c r="THU7" s="36"/>
      <c r="THV7" s="37"/>
      <c r="THW7" s="37"/>
      <c r="TIC7" s="2"/>
      <c r="TID7" s="29"/>
      <c r="TIJ7" s="10"/>
      <c r="TIK7" s="36"/>
      <c r="TIL7" s="37"/>
      <c r="TIM7" s="37"/>
      <c r="TIS7" s="2"/>
      <c r="TIT7" s="29"/>
      <c r="TIZ7" s="10"/>
      <c r="TJA7" s="36"/>
      <c r="TJB7" s="37"/>
      <c r="TJC7" s="37"/>
      <c r="TJI7" s="2"/>
      <c r="TJJ7" s="29"/>
      <c r="TJP7" s="10"/>
      <c r="TJQ7" s="36"/>
      <c r="TJR7" s="37"/>
      <c r="TJS7" s="37"/>
      <c r="TJY7" s="2"/>
      <c r="TJZ7" s="29"/>
      <c r="TKF7" s="10"/>
      <c r="TKG7" s="36"/>
      <c r="TKH7" s="37"/>
      <c r="TKI7" s="37"/>
      <c r="TKO7" s="2"/>
      <c r="TKP7" s="29"/>
      <c r="TKV7" s="10"/>
      <c r="TKW7" s="36"/>
      <c r="TKX7" s="37"/>
      <c r="TKY7" s="37"/>
      <c r="TLE7" s="2"/>
      <c r="TLF7" s="29"/>
      <c r="TLL7" s="10"/>
      <c r="TLM7" s="36"/>
      <c r="TLN7" s="37"/>
      <c r="TLO7" s="37"/>
      <c r="TLU7" s="2"/>
      <c r="TLV7" s="29"/>
      <c r="TMB7" s="10"/>
      <c r="TMC7" s="36"/>
      <c r="TMD7" s="37"/>
      <c r="TME7" s="37"/>
      <c r="TMK7" s="2"/>
      <c r="TML7" s="29"/>
      <c r="TMR7" s="10"/>
      <c r="TMS7" s="36"/>
      <c r="TMT7" s="37"/>
      <c r="TMU7" s="37"/>
      <c r="TNA7" s="2"/>
      <c r="TNB7" s="29"/>
      <c r="TNH7" s="10"/>
      <c r="TNI7" s="36"/>
      <c r="TNJ7" s="37"/>
      <c r="TNK7" s="37"/>
      <c r="TNQ7" s="2"/>
      <c r="TNR7" s="29"/>
      <c r="TNX7" s="10"/>
      <c r="TNY7" s="36"/>
      <c r="TNZ7" s="37"/>
      <c r="TOA7" s="37"/>
      <c r="TOG7" s="2"/>
      <c r="TOH7" s="29"/>
      <c r="TON7" s="10"/>
      <c r="TOO7" s="36"/>
      <c r="TOP7" s="37"/>
      <c r="TOQ7" s="37"/>
      <c r="TOW7" s="2"/>
      <c r="TOX7" s="29"/>
      <c r="TPD7" s="10"/>
      <c r="TPE7" s="36"/>
      <c r="TPF7" s="37"/>
      <c r="TPG7" s="37"/>
      <c r="TPM7" s="2"/>
      <c r="TPN7" s="29"/>
      <c r="TPT7" s="10"/>
      <c r="TPU7" s="36"/>
      <c r="TPV7" s="37"/>
      <c r="TPW7" s="37"/>
      <c r="TQC7" s="2"/>
      <c r="TQD7" s="29"/>
      <c r="TQJ7" s="10"/>
      <c r="TQK7" s="36"/>
      <c r="TQL7" s="37"/>
      <c r="TQM7" s="37"/>
      <c r="TQS7" s="2"/>
      <c r="TQT7" s="29"/>
      <c r="TQZ7" s="10"/>
      <c r="TRA7" s="36"/>
      <c r="TRB7" s="37"/>
      <c r="TRC7" s="37"/>
      <c r="TRI7" s="2"/>
      <c r="TRJ7" s="29"/>
      <c r="TRP7" s="10"/>
      <c r="TRQ7" s="36"/>
      <c r="TRR7" s="37"/>
      <c r="TRS7" s="37"/>
      <c r="TRY7" s="2"/>
      <c r="TRZ7" s="29"/>
      <c r="TSF7" s="10"/>
      <c r="TSG7" s="36"/>
      <c r="TSH7" s="37"/>
      <c r="TSI7" s="37"/>
      <c r="TSO7" s="2"/>
      <c r="TSP7" s="29"/>
      <c r="TSV7" s="10"/>
      <c r="TSW7" s="36"/>
      <c r="TSX7" s="37"/>
      <c r="TSY7" s="37"/>
      <c r="TTE7" s="2"/>
      <c r="TTF7" s="29"/>
      <c r="TTL7" s="10"/>
      <c r="TTM7" s="36"/>
      <c r="TTN7" s="37"/>
      <c r="TTO7" s="37"/>
      <c r="TTU7" s="2"/>
      <c r="TTV7" s="29"/>
      <c r="TUB7" s="10"/>
      <c r="TUC7" s="36"/>
      <c r="TUD7" s="37"/>
      <c r="TUE7" s="37"/>
      <c r="TUK7" s="2"/>
      <c r="TUL7" s="29"/>
      <c r="TUR7" s="10"/>
      <c r="TUS7" s="36"/>
      <c r="TUT7" s="37"/>
      <c r="TUU7" s="37"/>
      <c r="TVA7" s="2"/>
      <c r="TVB7" s="29"/>
      <c r="TVH7" s="10"/>
      <c r="TVI7" s="36"/>
      <c r="TVJ7" s="37"/>
      <c r="TVK7" s="37"/>
      <c r="TVQ7" s="2"/>
      <c r="TVR7" s="29"/>
      <c r="TVX7" s="10"/>
      <c r="TVY7" s="36"/>
      <c r="TVZ7" s="37"/>
      <c r="TWA7" s="37"/>
      <c r="TWG7" s="2"/>
      <c r="TWH7" s="29"/>
      <c r="TWN7" s="10"/>
      <c r="TWO7" s="36"/>
      <c r="TWP7" s="37"/>
      <c r="TWQ7" s="37"/>
      <c r="TWW7" s="2"/>
      <c r="TWX7" s="29"/>
      <c r="TXD7" s="10"/>
      <c r="TXE7" s="36"/>
      <c r="TXF7" s="37"/>
      <c r="TXG7" s="37"/>
      <c r="TXM7" s="2"/>
      <c r="TXN7" s="29"/>
      <c r="TXT7" s="10"/>
      <c r="TXU7" s="36"/>
      <c r="TXV7" s="37"/>
      <c r="TXW7" s="37"/>
      <c r="TYC7" s="2"/>
      <c r="TYD7" s="29"/>
      <c r="TYJ7" s="10"/>
      <c r="TYK7" s="36"/>
      <c r="TYL7" s="37"/>
      <c r="TYM7" s="37"/>
      <c r="TYS7" s="2"/>
      <c r="TYT7" s="29"/>
      <c r="TYZ7" s="10"/>
      <c r="TZA7" s="36"/>
      <c r="TZB7" s="37"/>
      <c r="TZC7" s="37"/>
      <c r="TZI7" s="2"/>
      <c r="TZJ7" s="29"/>
      <c r="TZP7" s="10"/>
      <c r="TZQ7" s="36"/>
      <c r="TZR7" s="37"/>
      <c r="TZS7" s="37"/>
      <c r="TZY7" s="2"/>
      <c r="TZZ7" s="29"/>
      <c r="UAF7" s="10"/>
      <c r="UAG7" s="36"/>
      <c r="UAH7" s="37"/>
      <c r="UAI7" s="37"/>
      <c r="UAO7" s="2"/>
      <c r="UAP7" s="29"/>
      <c r="UAV7" s="10"/>
      <c r="UAW7" s="36"/>
      <c r="UAX7" s="37"/>
      <c r="UAY7" s="37"/>
      <c r="UBE7" s="2"/>
      <c r="UBF7" s="29"/>
      <c r="UBL7" s="10"/>
      <c r="UBM7" s="36"/>
      <c r="UBN7" s="37"/>
      <c r="UBO7" s="37"/>
      <c r="UBU7" s="2"/>
      <c r="UBV7" s="29"/>
      <c r="UCB7" s="10"/>
      <c r="UCC7" s="36"/>
      <c r="UCD7" s="37"/>
      <c r="UCE7" s="37"/>
      <c r="UCK7" s="2"/>
      <c r="UCL7" s="29"/>
      <c r="UCR7" s="10"/>
      <c r="UCS7" s="36"/>
      <c r="UCT7" s="37"/>
      <c r="UCU7" s="37"/>
      <c r="UDA7" s="2"/>
      <c r="UDB7" s="29"/>
      <c r="UDH7" s="10"/>
      <c r="UDI7" s="36"/>
      <c r="UDJ7" s="37"/>
      <c r="UDK7" s="37"/>
      <c r="UDQ7" s="2"/>
      <c r="UDR7" s="29"/>
      <c r="UDX7" s="10"/>
      <c r="UDY7" s="36"/>
      <c r="UDZ7" s="37"/>
      <c r="UEA7" s="37"/>
      <c r="UEG7" s="2"/>
      <c r="UEH7" s="29"/>
      <c r="UEN7" s="10"/>
      <c r="UEO7" s="36"/>
      <c r="UEP7" s="37"/>
      <c r="UEQ7" s="37"/>
      <c r="UEW7" s="2"/>
      <c r="UEX7" s="29"/>
      <c r="UFD7" s="10"/>
      <c r="UFE7" s="36"/>
      <c r="UFF7" s="37"/>
      <c r="UFG7" s="37"/>
      <c r="UFM7" s="2"/>
      <c r="UFN7" s="29"/>
      <c r="UFT7" s="10"/>
      <c r="UFU7" s="36"/>
      <c r="UFV7" s="37"/>
      <c r="UFW7" s="37"/>
      <c r="UGC7" s="2"/>
      <c r="UGD7" s="29"/>
      <c r="UGJ7" s="10"/>
      <c r="UGK7" s="36"/>
      <c r="UGL7" s="37"/>
      <c r="UGM7" s="37"/>
      <c r="UGS7" s="2"/>
      <c r="UGT7" s="29"/>
      <c r="UGZ7" s="10"/>
      <c r="UHA7" s="36"/>
      <c r="UHB7" s="37"/>
      <c r="UHC7" s="37"/>
      <c r="UHI7" s="2"/>
      <c r="UHJ7" s="29"/>
      <c r="UHP7" s="10"/>
      <c r="UHQ7" s="36"/>
      <c r="UHR7" s="37"/>
      <c r="UHS7" s="37"/>
      <c r="UHY7" s="2"/>
      <c r="UHZ7" s="29"/>
      <c r="UIF7" s="10"/>
      <c r="UIG7" s="36"/>
      <c r="UIH7" s="37"/>
      <c r="UII7" s="37"/>
      <c r="UIO7" s="2"/>
      <c r="UIP7" s="29"/>
      <c r="UIV7" s="10"/>
      <c r="UIW7" s="36"/>
      <c r="UIX7" s="37"/>
      <c r="UIY7" s="37"/>
      <c r="UJE7" s="2"/>
      <c r="UJF7" s="29"/>
      <c r="UJL7" s="10"/>
      <c r="UJM7" s="36"/>
      <c r="UJN7" s="37"/>
      <c r="UJO7" s="37"/>
      <c r="UJU7" s="2"/>
      <c r="UJV7" s="29"/>
      <c r="UKB7" s="10"/>
      <c r="UKC7" s="36"/>
      <c r="UKD7" s="37"/>
      <c r="UKE7" s="37"/>
      <c r="UKK7" s="2"/>
      <c r="UKL7" s="29"/>
      <c r="UKR7" s="10"/>
      <c r="UKS7" s="36"/>
      <c r="UKT7" s="37"/>
      <c r="UKU7" s="37"/>
      <c r="ULA7" s="2"/>
      <c r="ULB7" s="29"/>
      <c r="ULH7" s="10"/>
      <c r="ULI7" s="36"/>
      <c r="ULJ7" s="37"/>
      <c r="ULK7" s="37"/>
      <c r="ULQ7" s="2"/>
      <c r="ULR7" s="29"/>
      <c r="ULX7" s="10"/>
      <c r="ULY7" s="36"/>
      <c r="ULZ7" s="37"/>
      <c r="UMA7" s="37"/>
      <c r="UMG7" s="2"/>
      <c r="UMH7" s="29"/>
      <c r="UMN7" s="10"/>
      <c r="UMO7" s="36"/>
      <c r="UMP7" s="37"/>
      <c r="UMQ7" s="37"/>
      <c r="UMW7" s="2"/>
      <c r="UMX7" s="29"/>
      <c r="UND7" s="10"/>
      <c r="UNE7" s="36"/>
      <c r="UNF7" s="37"/>
      <c r="UNG7" s="37"/>
      <c r="UNM7" s="2"/>
      <c r="UNN7" s="29"/>
      <c r="UNT7" s="10"/>
      <c r="UNU7" s="36"/>
      <c r="UNV7" s="37"/>
      <c r="UNW7" s="37"/>
      <c r="UOC7" s="2"/>
      <c r="UOD7" s="29"/>
      <c r="UOJ7" s="10"/>
      <c r="UOK7" s="36"/>
      <c r="UOL7" s="37"/>
      <c r="UOM7" s="37"/>
      <c r="UOS7" s="2"/>
      <c r="UOT7" s="29"/>
      <c r="UOZ7" s="10"/>
      <c r="UPA7" s="36"/>
      <c r="UPB7" s="37"/>
      <c r="UPC7" s="37"/>
      <c r="UPI7" s="2"/>
      <c r="UPJ7" s="29"/>
      <c r="UPP7" s="10"/>
      <c r="UPQ7" s="36"/>
      <c r="UPR7" s="37"/>
      <c r="UPS7" s="37"/>
      <c r="UPY7" s="2"/>
      <c r="UPZ7" s="29"/>
      <c r="UQF7" s="10"/>
      <c r="UQG7" s="36"/>
      <c r="UQH7" s="37"/>
      <c r="UQI7" s="37"/>
      <c r="UQO7" s="2"/>
      <c r="UQP7" s="29"/>
      <c r="UQV7" s="10"/>
      <c r="UQW7" s="36"/>
      <c r="UQX7" s="37"/>
      <c r="UQY7" s="37"/>
      <c r="URE7" s="2"/>
      <c r="URF7" s="29"/>
      <c r="URL7" s="10"/>
      <c r="URM7" s="36"/>
      <c r="URN7" s="37"/>
      <c r="URO7" s="37"/>
      <c r="URU7" s="2"/>
      <c r="URV7" s="29"/>
      <c r="USB7" s="10"/>
      <c r="USC7" s="36"/>
      <c r="USD7" s="37"/>
      <c r="USE7" s="37"/>
      <c r="USK7" s="2"/>
      <c r="USL7" s="29"/>
      <c r="USR7" s="10"/>
      <c r="USS7" s="36"/>
      <c r="UST7" s="37"/>
      <c r="USU7" s="37"/>
      <c r="UTA7" s="2"/>
      <c r="UTB7" s="29"/>
      <c r="UTH7" s="10"/>
      <c r="UTI7" s="36"/>
      <c r="UTJ7" s="37"/>
      <c r="UTK7" s="37"/>
      <c r="UTQ7" s="2"/>
      <c r="UTR7" s="29"/>
      <c r="UTX7" s="10"/>
      <c r="UTY7" s="36"/>
      <c r="UTZ7" s="37"/>
      <c r="UUA7" s="37"/>
      <c r="UUG7" s="2"/>
      <c r="UUH7" s="29"/>
      <c r="UUN7" s="10"/>
      <c r="UUO7" s="36"/>
      <c r="UUP7" s="37"/>
      <c r="UUQ7" s="37"/>
      <c r="UUW7" s="2"/>
      <c r="UUX7" s="29"/>
      <c r="UVD7" s="10"/>
      <c r="UVE7" s="36"/>
      <c r="UVF7" s="37"/>
      <c r="UVG7" s="37"/>
      <c r="UVM7" s="2"/>
      <c r="UVN7" s="29"/>
      <c r="UVT7" s="10"/>
      <c r="UVU7" s="36"/>
      <c r="UVV7" s="37"/>
      <c r="UVW7" s="37"/>
      <c r="UWC7" s="2"/>
      <c r="UWD7" s="29"/>
      <c r="UWJ7" s="10"/>
      <c r="UWK7" s="36"/>
      <c r="UWL7" s="37"/>
      <c r="UWM7" s="37"/>
      <c r="UWS7" s="2"/>
      <c r="UWT7" s="29"/>
      <c r="UWZ7" s="10"/>
      <c r="UXA7" s="36"/>
      <c r="UXB7" s="37"/>
      <c r="UXC7" s="37"/>
      <c r="UXI7" s="2"/>
      <c r="UXJ7" s="29"/>
      <c r="UXP7" s="10"/>
      <c r="UXQ7" s="36"/>
      <c r="UXR7" s="37"/>
      <c r="UXS7" s="37"/>
      <c r="UXY7" s="2"/>
      <c r="UXZ7" s="29"/>
      <c r="UYF7" s="10"/>
      <c r="UYG7" s="36"/>
      <c r="UYH7" s="37"/>
      <c r="UYI7" s="37"/>
      <c r="UYO7" s="2"/>
      <c r="UYP7" s="29"/>
      <c r="UYV7" s="10"/>
      <c r="UYW7" s="36"/>
      <c r="UYX7" s="37"/>
      <c r="UYY7" s="37"/>
      <c r="UZE7" s="2"/>
      <c r="UZF7" s="29"/>
      <c r="UZL7" s="10"/>
      <c r="UZM7" s="36"/>
      <c r="UZN7" s="37"/>
      <c r="UZO7" s="37"/>
      <c r="UZU7" s="2"/>
      <c r="UZV7" s="29"/>
      <c r="VAB7" s="10"/>
      <c r="VAC7" s="36"/>
      <c r="VAD7" s="37"/>
      <c r="VAE7" s="37"/>
      <c r="VAK7" s="2"/>
      <c r="VAL7" s="29"/>
      <c r="VAR7" s="10"/>
      <c r="VAS7" s="36"/>
      <c r="VAT7" s="37"/>
      <c r="VAU7" s="37"/>
      <c r="VBA7" s="2"/>
      <c r="VBB7" s="29"/>
      <c r="VBH7" s="10"/>
      <c r="VBI7" s="36"/>
      <c r="VBJ7" s="37"/>
      <c r="VBK7" s="37"/>
      <c r="VBQ7" s="2"/>
      <c r="VBR7" s="29"/>
      <c r="VBX7" s="10"/>
      <c r="VBY7" s="36"/>
      <c r="VBZ7" s="37"/>
      <c r="VCA7" s="37"/>
      <c r="VCG7" s="2"/>
      <c r="VCH7" s="29"/>
      <c r="VCN7" s="10"/>
      <c r="VCO7" s="36"/>
      <c r="VCP7" s="37"/>
      <c r="VCQ7" s="37"/>
      <c r="VCW7" s="2"/>
      <c r="VCX7" s="29"/>
      <c r="VDD7" s="10"/>
      <c r="VDE7" s="36"/>
      <c r="VDF7" s="37"/>
      <c r="VDG7" s="37"/>
      <c r="VDM7" s="2"/>
      <c r="VDN7" s="29"/>
      <c r="VDT7" s="10"/>
      <c r="VDU7" s="36"/>
      <c r="VDV7" s="37"/>
      <c r="VDW7" s="37"/>
      <c r="VEC7" s="2"/>
      <c r="VED7" s="29"/>
      <c r="VEJ7" s="10"/>
      <c r="VEK7" s="36"/>
      <c r="VEL7" s="37"/>
      <c r="VEM7" s="37"/>
      <c r="VES7" s="2"/>
      <c r="VET7" s="29"/>
      <c r="VEZ7" s="10"/>
      <c r="VFA7" s="36"/>
      <c r="VFB7" s="37"/>
      <c r="VFC7" s="37"/>
      <c r="VFI7" s="2"/>
      <c r="VFJ7" s="29"/>
      <c r="VFP7" s="10"/>
      <c r="VFQ7" s="36"/>
      <c r="VFR7" s="37"/>
      <c r="VFS7" s="37"/>
      <c r="VFY7" s="2"/>
      <c r="VFZ7" s="29"/>
      <c r="VGF7" s="10"/>
      <c r="VGG7" s="36"/>
      <c r="VGH7" s="37"/>
      <c r="VGI7" s="37"/>
      <c r="VGO7" s="2"/>
      <c r="VGP7" s="29"/>
      <c r="VGV7" s="10"/>
      <c r="VGW7" s="36"/>
      <c r="VGX7" s="37"/>
      <c r="VGY7" s="37"/>
      <c r="VHE7" s="2"/>
      <c r="VHF7" s="29"/>
      <c r="VHL7" s="10"/>
      <c r="VHM7" s="36"/>
      <c r="VHN7" s="37"/>
      <c r="VHO7" s="37"/>
      <c r="VHU7" s="2"/>
      <c r="VHV7" s="29"/>
      <c r="VIB7" s="10"/>
      <c r="VIC7" s="36"/>
      <c r="VID7" s="37"/>
      <c r="VIE7" s="37"/>
      <c r="VIK7" s="2"/>
      <c r="VIL7" s="29"/>
      <c r="VIR7" s="10"/>
      <c r="VIS7" s="36"/>
      <c r="VIT7" s="37"/>
      <c r="VIU7" s="37"/>
      <c r="VJA7" s="2"/>
      <c r="VJB7" s="29"/>
      <c r="VJH7" s="10"/>
      <c r="VJI7" s="36"/>
      <c r="VJJ7" s="37"/>
      <c r="VJK7" s="37"/>
      <c r="VJQ7" s="2"/>
      <c r="VJR7" s="29"/>
      <c r="VJX7" s="10"/>
      <c r="VJY7" s="36"/>
      <c r="VJZ7" s="37"/>
      <c r="VKA7" s="37"/>
      <c r="VKG7" s="2"/>
      <c r="VKH7" s="29"/>
      <c r="VKN7" s="10"/>
      <c r="VKO7" s="36"/>
      <c r="VKP7" s="37"/>
      <c r="VKQ7" s="37"/>
      <c r="VKW7" s="2"/>
      <c r="VKX7" s="29"/>
      <c r="VLD7" s="10"/>
      <c r="VLE7" s="36"/>
      <c r="VLF7" s="37"/>
      <c r="VLG7" s="37"/>
      <c r="VLM7" s="2"/>
      <c r="VLN7" s="29"/>
      <c r="VLT7" s="10"/>
      <c r="VLU7" s="36"/>
      <c r="VLV7" s="37"/>
      <c r="VLW7" s="37"/>
      <c r="VMC7" s="2"/>
      <c r="VMD7" s="29"/>
      <c r="VMJ7" s="10"/>
      <c r="VMK7" s="36"/>
      <c r="VML7" s="37"/>
      <c r="VMM7" s="37"/>
      <c r="VMS7" s="2"/>
      <c r="VMT7" s="29"/>
      <c r="VMZ7" s="10"/>
      <c r="VNA7" s="36"/>
      <c r="VNB7" s="37"/>
      <c r="VNC7" s="37"/>
      <c r="VNI7" s="2"/>
      <c r="VNJ7" s="29"/>
      <c r="VNP7" s="10"/>
      <c r="VNQ7" s="36"/>
      <c r="VNR7" s="37"/>
      <c r="VNS7" s="37"/>
      <c r="VNY7" s="2"/>
      <c r="VNZ7" s="29"/>
      <c r="VOF7" s="10"/>
      <c r="VOG7" s="36"/>
      <c r="VOH7" s="37"/>
      <c r="VOI7" s="37"/>
      <c r="VOO7" s="2"/>
      <c r="VOP7" s="29"/>
      <c r="VOV7" s="10"/>
      <c r="VOW7" s="36"/>
      <c r="VOX7" s="37"/>
      <c r="VOY7" s="37"/>
      <c r="VPE7" s="2"/>
      <c r="VPF7" s="29"/>
      <c r="VPL7" s="10"/>
      <c r="VPM7" s="36"/>
      <c r="VPN7" s="37"/>
      <c r="VPO7" s="37"/>
      <c r="VPU7" s="2"/>
      <c r="VPV7" s="29"/>
      <c r="VQB7" s="10"/>
      <c r="VQC7" s="36"/>
      <c r="VQD7" s="37"/>
      <c r="VQE7" s="37"/>
      <c r="VQK7" s="2"/>
      <c r="VQL7" s="29"/>
      <c r="VQR7" s="10"/>
      <c r="VQS7" s="36"/>
      <c r="VQT7" s="37"/>
      <c r="VQU7" s="37"/>
      <c r="VRA7" s="2"/>
      <c r="VRB7" s="29"/>
      <c r="VRH7" s="10"/>
      <c r="VRI7" s="36"/>
      <c r="VRJ7" s="37"/>
      <c r="VRK7" s="37"/>
      <c r="VRQ7" s="2"/>
      <c r="VRR7" s="29"/>
      <c r="VRX7" s="10"/>
      <c r="VRY7" s="36"/>
      <c r="VRZ7" s="37"/>
      <c r="VSA7" s="37"/>
      <c r="VSG7" s="2"/>
      <c r="VSH7" s="29"/>
      <c r="VSN7" s="10"/>
      <c r="VSO7" s="36"/>
      <c r="VSP7" s="37"/>
      <c r="VSQ7" s="37"/>
      <c r="VSW7" s="2"/>
      <c r="VSX7" s="29"/>
      <c r="VTD7" s="10"/>
      <c r="VTE7" s="36"/>
      <c r="VTF7" s="37"/>
      <c r="VTG7" s="37"/>
      <c r="VTM7" s="2"/>
      <c r="VTN7" s="29"/>
      <c r="VTT7" s="10"/>
      <c r="VTU7" s="36"/>
      <c r="VTV7" s="37"/>
      <c r="VTW7" s="37"/>
      <c r="VUC7" s="2"/>
      <c r="VUD7" s="29"/>
      <c r="VUJ7" s="10"/>
      <c r="VUK7" s="36"/>
      <c r="VUL7" s="37"/>
      <c r="VUM7" s="37"/>
      <c r="VUS7" s="2"/>
      <c r="VUT7" s="29"/>
      <c r="VUZ7" s="10"/>
      <c r="VVA7" s="36"/>
      <c r="VVB7" s="37"/>
      <c r="VVC7" s="37"/>
      <c r="VVI7" s="2"/>
      <c r="VVJ7" s="29"/>
      <c r="VVP7" s="10"/>
      <c r="VVQ7" s="36"/>
      <c r="VVR7" s="37"/>
      <c r="VVS7" s="37"/>
      <c r="VVY7" s="2"/>
      <c r="VVZ7" s="29"/>
      <c r="VWF7" s="10"/>
      <c r="VWG7" s="36"/>
      <c r="VWH7" s="37"/>
      <c r="VWI7" s="37"/>
      <c r="VWO7" s="2"/>
      <c r="VWP7" s="29"/>
      <c r="VWV7" s="10"/>
      <c r="VWW7" s="36"/>
      <c r="VWX7" s="37"/>
      <c r="VWY7" s="37"/>
      <c r="VXE7" s="2"/>
      <c r="VXF7" s="29"/>
      <c r="VXL7" s="10"/>
      <c r="VXM7" s="36"/>
      <c r="VXN7" s="37"/>
      <c r="VXO7" s="37"/>
      <c r="VXU7" s="2"/>
      <c r="VXV7" s="29"/>
      <c r="VYB7" s="10"/>
      <c r="VYC7" s="36"/>
      <c r="VYD7" s="37"/>
      <c r="VYE7" s="37"/>
      <c r="VYK7" s="2"/>
      <c r="VYL7" s="29"/>
      <c r="VYR7" s="10"/>
      <c r="VYS7" s="36"/>
      <c r="VYT7" s="37"/>
      <c r="VYU7" s="37"/>
      <c r="VZA7" s="2"/>
      <c r="VZB7" s="29"/>
      <c r="VZH7" s="10"/>
      <c r="VZI7" s="36"/>
      <c r="VZJ7" s="37"/>
      <c r="VZK7" s="37"/>
      <c r="VZQ7" s="2"/>
      <c r="VZR7" s="29"/>
      <c r="VZX7" s="10"/>
      <c r="VZY7" s="36"/>
      <c r="VZZ7" s="37"/>
      <c r="WAA7" s="37"/>
      <c r="WAG7" s="2"/>
      <c r="WAH7" s="29"/>
      <c r="WAN7" s="10"/>
      <c r="WAO7" s="36"/>
      <c r="WAP7" s="37"/>
      <c r="WAQ7" s="37"/>
      <c r="WAW7" s="2"/>
      <c r="WAX7" s="29"/>
      <c r="WBD7" s="10"/>
      <c r="WBE7" s="36"/>
      <c r="WBF7" s="37"/>
      <c r="WBG7" s="37"/>
      <c r="WBM7" s="2"/>
      <c r="WBN7" s="29"/>
      <c r="WBT7" s="10"/>
      <c r="WBU7" s="36"/>
      <c r="WBV7" s="37"/>
      <c r="WBW7" s="37"/>
      <c r="WCC7" s="2"/>
      <c r="WCD7" s="29"/>
      <c r="WCJ7" s="10"/>
      <c r="WCK7" s="36"/>
      <c r="WCL7" s="37"/>
      <c r="WCM7" s="37"/>
      <c r="WCS7" s="2"/>
      <c r="WCT7" s="29"/>
      <c r="WCZ7" s="10"/>
      <c r="WDA7" s="36"/>
      <c r="WDB7" s="37"/>
      <c r="WDC7" s="37"/>
      <c r="WDI7" s="2"/>
      <c r="WDJ7" s="29"/>
      <c r="WDP7" s="10"/>
      <c r="WDQ7" s="36"/>
      <c r="WDR7" s="37"/>
      <c r="WDS7" s="37"/>
      <c r="WDY7" s="2"/>
      <c r="WDZ7" s="29"/>
      <c r="WEF7" s="10"/>
      <c r="WEG7" s="36"/>
      <c r="WEH7" s="37"/>
      <c r="WEI7" s="37"/>
      <c r="WEO7" s="2"/>
      <c r="WEP7" s="29"/>
      <c r="WEV7" s="10"/>
      <c r="WEW7" s="36"/>
      <c r="WEX7" s="37"/>
      <c r="WEY7" s="37"/>
      <c r="WFE7" s="2"/>
      <c r="WFF7" s="29"/>
      <c r="WFL7" s="10"/>
      <c r="WFM7" s="36"/>
      <c r="WFN7" s="37"/>
      <c r="WFO7" s="37"/>
      <c r="WFU7" s="2"/>
      <c r="WFV7" s="29"/>
      <c r="WGB7" s="10"/>
      <c r="WGC7" s="36"/>
      <c r="WGD7" s="37"/>
      <c r="WGE7" s="37"/>
      <c r="WGK7" s="2"/>
      <c r="WGL7" s="29"/>
      <c r="WGR7" s="10"/>
      <c r="WGS7" s="36"/>
      <c r="WGT7" s="37"/>
      <c r="WGU7" s="37"/>
      <c r="WHA7" s="2"/>
      <c r="WHB7" s="29"/>
      <c r="WHH7" s="10"/>
      <c r="WHI7" s="36"/>
      <c r="WHJ7" s="37"/>
      <c r="WHK7" s="37"/>
      <c r="WHQ7" s="2"/>
      <c r="WHR7" s="29"/>
      <c r="WHX7" s="10"/>
      <c r="WHY7" s="36"/>
      <c r="WHZ7" s="37"/>
      <c r="WIA7" s="37"/>
      <c r="WIG7" s="2"/>
      <c r="WIH7" s="29"/>
      <c r="WIN7" s="10"/>
      <c r="WIO7" s="36"/>
      <c r="WIP7" s="37"/>
      <c r="WIQ7" s="37"/>
      <c r="WIW7" s="2"/>
      <c r="WIX7" s="29"/>
      <c r="WJD7" s="10"/>
      <c r="WJE7" s="36"/>
      <c r="WJF7" s="37"/>
      <c r="WJG7" s="37"/>
      <c r="WJM7" s="2"/>
      <c r="WJN7" s="29"/>
      <c r="WJT7" s="10"/>
      <c r="WJU7" s="36"/>
      <c r="WJV7" s="37"/>
      <c r="WJW7" s="37"/>
      <c r="WKC7" s="2"/>
      <c r="WKD7" s="29"/>
      <c r="WKJ7" s="10"/>
      <c r="WKK7" s="36"/>
      <c r="WKL7" s="37"/>
      <c r="WKM7" s="37"/>
      <c r="WKS7" s="2"/>
      <c r="WKT7" s="29"/>
      <c r="WKZ7" s="10"/>
      <c r="WLA7" s="36"/>
      <c r="WLB7" s="37"/>
      <c r="WLC7" s="37"/>
      <c r="WLI7" s="2"/>
      <c r="WLJ7" s="29"/>
      <c r="WLP7" s="10"/>
      <c r="WLQ7" s="36"/>
      <c r="WLR7" s="37"/>
      <c r="WLS7" s="37"/>
      <c r="WLY7" s="2"/>
      <c r="WLZ7" s="29"/>
      <c r="WMF7" s="10"/>
      <c r="WMG7" s="36"/>
      <c r="WMH7" s="37"/>
      <c r="WMI7" s="37"/>
      <c r="WMO7" s="2"/>
      <c r="WMP7" s="29"/>
      <c r="WMV7" s="10"/>
      <c r="WMW7" s="36"/>
      <c r="WMX7" s="37"/>
      <c r="WMY7" s="37"/>
      <c r="WNE7" s="2"/>
      <c r="WNF7" s="29"/>
      <c r="WNL7" s="10"/>
      <c r="WNM7" s="36"/>
      <c r="WNN7" s="37"/>
      <c r="WNO7" s="37"/>
      <c r="WNU7" s="2"/>
      <c r="WNV7" s="29"/>
      <c r="WOB7" s="10"/>
      <c r="WOC7" s="36"/>
      <c r="WOD7" s="37"/>
      <c r="WOE7" s="37"/>
      <c r="WOK7" s="2"/>
      <c r="WOL7" s="29"/>
      <c r="WOR7" s="10"/>
      <c r="WOS7" s="36"/>
      <c r="WOT7" s="37"/>
      <c r="WOU7" s="37"/>
      <c r="WPA7" s="2"/>
      <c r="WPB7" s="29"/>
      <c r="WPH7" s="10"/>
      <c r="WPI7" s="36"/>
      <c r="WPJ7" s="37"/>
      <c r="WPK7" s="37"/>
      <c r="WPQ7" s="2"/>
      <c r="WPR7" s="29"/>
      <c r="WPX7" s="10"/>
      <c r="WPY7" s="36"/>
      <c r="WPZ7" s="37"/>
      <c r="WQA7" s="37"/>
      <c r="WQG7" s="2"/>
      <c r="WQH7" s="29"/>
      <c r="WQN7" s="10"/>
      <c r="WQO7" s="36"/>
      <c r="WQP7" s="37"/>
      <c r="WQQ7" s="37"/>
      <c r="WQW7" s="2"/>
      <c r="WQX7" s="29"/>
      <c r="WRD7" s="10"/>
      <c r="WRE7" s="36"/>
      <c r="WRF7" s="37"/>
      <c r="WRG7" s="37"/>
      <c r="WRM7" s="2"/>
      <c r="WRN7" s="29"/>
      <c r="WRT7" s="10"/>
      <c r="WRU7" s="36"/>
      <c r="WRV7" s="37"/>
      <c r="WRW7" s="37"/>
      <c r="WSC7" s="2"/>
      <c r="WSD7" s="29"/>
      <c r="WSJ7" s="10"/>
      <c r="WSK7" s="36"/>
      <c r="WSL7" s="37"/>
      <c r="WSM7" s="37"/>
      <c r="WSS7" s="2"/>
      <c r="WST7" s="29"/>
      <c r="WSZ7" s="10"/>
      <c r="WTA7" s="36"/>
      <c r="WTB7" s="37"/>
      <c r="WTC7" s="37"/>
      <c r="WTI7" s="2"/>
      <c r="WTJ7" s="29"/>
      <c r="WTP7" s="10"/>
      <c r="WTQ7" s="36"/>
      <c r="WTR7" s="37"/>
      <c r="WTS7" s="37"/>
      <c r="WTY7" s="2"/>
      <c r="WTZ7" s="29"/>
      <c r="WUF7" s="10"/>
      <c r="WUG7" s="36"/>
      <c r="WUH7" s="37"/>
      <c r="WUI7" s="37"/>
      <c r="WUO7" s="2"/>
      <c r="WUP7" s="29"/>
      <c r="WUV7" s="10"/>
      <c r="WUW7" s="36"/>
      <c r="WUX7" s="37"/>
      <c r="WUY7" s="37"/>
      <c r="WVE7" s="2"/>
      <c r="WVF7" s="29"/>
      <c r="WVL7" s="10"/>
      <c r="WVM7" s="36"/>
      <c r="WVN7" s="37"/>
      <c r="WVO7" s="37"/>
      <c r="WVU7" s="2"/>
      <c r="WVV7" s="29"/>
      <c r="WWB7" s="10"/>
      <c r="WWC7" s="36"/>
      <c r="WWD7" s="37"/>
      <c r="WWE7" s="37"/>
      <c r="WWK7" s="2"/>
      <c r="WWL7" s="29"/>
      <c r="WWR7" s="10"/>
      <c r="WWS7" s="36"/>
      <c r="WWT7" s="37"/>
      <c r="WWU7" s="37"/>
      <c r="WXA7" s="2"/>
      <c r="WXB7" s="29"/>
      <c r="WXH7" s="10"/>
      <c r="WXI7" s="36"/>
      <c r="WXJ7" s="37"/>
      <c r="WXK7" s="37"/>
      <c r="WXQ7" s="2"/>
      <c r="WXR7" s="29"/>
      <c r="WXX7" s="10"/>
      <c r="WXY7" s="36"/>
      <c r="WXZ7" s="37"/>
      <c r="WYA7" s="37"/>
      <c r="WYG7" s="2"/>
      <c r="WYH7" s="29"/>
      <c r="WYN7" s="10"/>
      <c r="WYO7" s="36"/>
      <c r="WYP7" s="37"/>
      <c r="WYQ7" s="37"/>
      <c r="WYW7" s="2"/>
      <c r="WYX7" s="29"/>
      <c r="WZD7" s="10"/>
      <c r="WZE7" s="36"/>
      <c r="WZF7" s="37"/>
      <c r="WZG7" s="37"/>
      <c r="WZM7" s="2"/>
      <c r="WZN7" s="29"/>
      <c r="WZT7" s="10"/>
      <c r="WZU7" s="36"/>
      <c r="WZV7" s="37"/>
      <c r="WZW7" s="37"/>
      <c r="XAC7" s="2"/>
      <c r="XAD7" s="29"/>
      <c r="XAJ7" s="10"/>
      <c r="XAK7" s="36"/>
      <c r="XAL7" s="37"/>
      <c r="XAM7" s="37"/>
      <c r="XAS7" s="2"/>
      <c r="XAT7" s="29"/>
      <c r="XAZ7" s="10"/>
      <c r="XBA7" s="36"/>
      <c r="XBB7" s="37"/>
      <c r="XBC7" s="37"/>
      <c r="XBI7" s="2"/>
      <c r="XBJ7" s="29"/>
      <c r="XBP7" s="10"/>
      <c r="XBQ7" s="36"/>
      <c r="XBR7" s="37"/>
      <c r="XBS7" s="37"/>
      <c r="XBY7" s="2"/>
      <c r="XBZ7" s="29"/>
      <c r="XCF7" s="10"/>
      <c r="XCG7" s="36"/>
      <c r="XCH7" s="37"/>
      <c r="XCI7" s="37"/>
      <c r="XCO7" s="2"/>
      <c r="XCP7" s="29"/>
      <c r="XCV7" s="10"/>
      <c r="XCW7" s="36"/>
      <c r="XCX7" s="37"/>
      <c r="XCY7" s="37"/>
      <c r="XDE7" s="2"/>
      <c r="XDF7" s="29"/>
      <c r="XDL7" s="10"/>
      <c r="XDM7" s="36"/>
      <c r="XDN7" s="37"/>
      <c r="XDO7" s="37"/>
      <c r="XDU7" s="2"/>
      <c r="XDV7" s="29"/>
      <c r="XEB7" s="10"/>
      <c r="XEC7" s="36"/>
      <c r="XED7" s="37"/>
      <c r="XEE7" s="37"/>
      <c r="XEK7" s="2"/>
      <c r="XEL7" s="29"/>
      <c r="XER7" s="10"/>
      <c r="XES7" s="36"/>
      <c r="XET7" s="37"/>
      <c r="XEU7" s="37"/>
      <c r="XFA7" s="2"/>
      <c r="XFB7" s="29"/>
    </row>
    <row r="8" spans="1:1022 1028:2046 2052:3070 3076:4094 4100:5118 5124:6142 6148:7166 7172:8190 8196:9214 9220:10238 10244:11262 11268:12286 12292:13310 13316:14334 14340:15358 15364:16382"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EVT-2026-1349</v>
      </c>
      <c r="B8" s="30">
        <v>46330</v>
      </c>
      <c r="C8" s="27" t="s">
        <v>201</v>
      </c>
      <c r="D8" s="27" t="s">
        <v>125</v>
      </c>
      <c r="E8" s="27" t="s">
        <v>228</v>
      </c>
      <c r="F8" s="27" t="s">
        <v>874</v>
      </c>
      <c r="G8" s="10">
        <v>50</v>
      </c>
      <c r="H8" s="36" t="s">
        <v>263</v>
      </c>
      <c r="I8" s="37">
        <v>0.58333333333333337</v>
      </c>
      <c r="J8" s="37">
        <v>0.70833333333333337</v>
      </c>
      <c r="K8" s="27" t="s">
        <v>1445</v>
      </c>
      <c r="L8" s="27" t="s">
        <v>1445</v>
      </c>
      <c r="M8" s="27" t="s">
        <v>2559</v>
      </c>
      <c r="N8" s="27" t="s">
        <v>2560</v>
      </c>
      <c r="O8" s="27"/>
      <c r="P8" s="2" t="s">
        <v>1859</v>
      </c>
      <c r="Q8" s="29" t="s">
        <v>265</v>
      </c>
      <c r="R8" s="27" t="s">
        <v>1673</v>
      </c>
      <c r="S8" s="27" t="s">
        <v>1846</v>
      </c>
    </row>
    <row r="9" spans="1:1022 1028:2046 2052:3070 3076:4094 4100:5118 5124:6142 6148:7166 7172:8190 8196:9214 9220:10238 10244:11262 11268:12286 12292:13310 13316:14334 14340:15358 15364:16382"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EVT-2026-1350</v>
      </c>
      <c r="B9" s="30">
        <v>46331</v>
      </c>
      <c r="C9" s="27" t="s">
        <v>216</v>
      </c>
      <c r="D9" s="27" t="s">
        <v>1366</v>
      </c>
      <c r="E9" s="27" t="s">
        <v>208</v>
      </c>
      <c r="F9" s="27" t="s">
        <v>217</v>
      </c>
      <c r="G9" s="10">
        <v>50</v>
      </c>
      <c r="H9" s="36" t="s">
        <v>263</v>
      </c>
      <c r="I9" s="37" t="s">
        <v>309</v>
      </c>
      <c r="J9" s="37" t="s">
        <v>296</v>
      </c>
      <c r="K9" s="27"/>
      <c r="L9" s="27"/>
      <c r="M9" s="27" t="s">
        <v>2559</v>
      </c>
      <c r="N9" s="27" t="s">
        <v>2560</v>
      </c>
      <c r="O9" s="27"/>
      <c r="P9" s="2" t="s">
        <v>1859</v>
      </c>
      <c r="Q9" s="29" t="s">
        <v>265</v>
      </c>
      <c r="R9" s="27" t="s">
        <v>2384</v>
      </c>
      <c r="S9" s="27" t="s">
        <v>1846</v>
      </c>
    </row>
    <row r="10" spans="1:1022 1028:2046 2052:3070 3076:4094 4100:5118 5124:6142 6148:7166 7172:8190 8196:9214 9220:10238 10244:11262 11268:12286 12292:13310 13316:14334 14340:15358 15364:16382"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EVT-2026-1351</v>
      </c>
      <c r="B10" s="30">
        <v>46331</v>
      </c>
      <c r="C10" s="27" t="s">
        <v>216</v>
      </c>
      <c r="D10" s="27" t="s">
        <v>125</v>
      </c>
      <c r="E10" s="27" t="s">
        <v>228</v>
      </c>
      <c r="F10" s="27" t="s">
        <v>874</v>
      </c>
      <c r="G10" s="10">
        <v>50</v>
      </c>
      <c r="H10" s="36" t="s">
        <v>263</v>
      </c>
      <c r="I10" s="37">
        <v>0.58333333333333337</v>
      </c>
      <c r="J10" s="37">
        <v>0.70833333333333337</v>
      </c>
      <c r="K10" s="27" t="s">
        <v>1445</v>
      </c>
      <c r="L10" s="27" t="s">
        <v>1445</v>
      </c>
      <c r="M10" s="27" t="s">
        <v>2559</v>
      </c>
      <c r="N10" s="27" t="s">
        <v>2560</v>
      </c>
      <c r="O10" s="27"/>
      <c r="P10" s="2" t="s">
        <v>1859</v>
      </c>
      <c r="Q10" s="29" t="s">
        <v>265</v>
      </c>
      <c r="R10" s="27" t="s">
        <v>1673</v>
      </c>
      <c r="S10" s="27" t="s">
        <v>1846</v>
      </c>
    </row>
    <row r="11" spans="1:1022 1028:2046 2052:3070 3076:4094 4100:5118 5124:6142 6148:7166 7172:8190 8196:9214 9220:10238 10244:11262 11268:12286 12292:13310 13316:14334 14340:15358 15364:16382"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11" s="30">
        <v>46332</v>
      </c>
      <c r="C11" s="27" t="s">
        <v>220</v>
      </c>
      <c r="D11" s="27"/>
      <c r="E11" s="27"/>
      <c r="F11" s="27"/>
      <c r="G11" s="10"/>
      <c r="H11" s="36" t="s">
        <v>263</v>
      </c>
      <c r="I11" s="37"/>
      <c r="J11" s="37"/>
      <c r="K11" s="27"/>
      <c r="L11" s="27"/>
      <c r="M11" s="27"/>
      <c r="N11" s="27"/>
      <c r="O11" s="27"/>
      <c r="P11" s="2" t="s">
        <v>1859</v>
      </c>
      <c r="Q11" s="29" t="s">
        <v>265</v>
      </c>
      <c r="R11" s="27"/>
      <c r="S11" s="27"/>
    </row>
    <row r="12" spans="1:1022 1028:2046 2052:3070 3076:4094 4100:5118 5124:6142 6148:7166 7172:8190 8196:9214 9220:10238 10244:11262 11268:12286 12292:13310 13316:14334 14340:15358 15364:16382"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12" s="30">
        <v>46333</v>
      </c>
      <c r="C12" s="27" t="s">
        <v>266</v>
      </c>
      <c r="D12" s="27"/>
      <c r="E12" s="27"/>
      <c r="F12" s="27"/>
      <c r="G12" s="10"/>
      <c r="H12" s="36" t="s">
        <v>263</v>
      </c>
      <c r="I12" s="37"/>
      <c r="J12" s="37"/>
      <c r="K12" s="27"/>
      <c r="L12" s="27"/>
      <c r="M12" s="27"/>
      <c r="N12" s="27"/>
      <c r="O12" s="27"/>
      <c r="P12" s="2" t="s">
        <v>1859</v>
      </c>
      <c r="Q12" s="29" t="s">
        <v>265</v>
      </c>
      <c r="R12" s="27"/>
      <c r="S12" s="27"/>
    </row>
    <row r="13" spans="1:1022 1028:2046 2052:3070 3076:4094 4100:5118 5124:6142 6148:7166 7172:8190 8196:9214 9220:10238 10244:11262 11268:12286 12292:13310 13316:14334 14340:15358 15364:16382"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13" s="30">
        <v>46334</v>
      </c>
      <c r="C13" s="27" t="s">
        <v>267</v>
      </c>
      <c r="D13" s="27"/>
      <c r="E13" s="27"/>
      <c r="F13" s="27"/>
      <c r="G13" s="10"/>
      <c r="H13" s="36" t="s">
        <v>263</v>
      </c>
      <c r="I13" s="37"/>
      <c r="J13" s="37"/>
      <c r="K13" s="27"/>
      <c r="L13" s="27"/>
      <c r="M13" s="27"/>
      <c r="N13" s="27"/>
      <c r="O13" s="27"/>
      <c r="P13" s="2" t="s">
        <v>1859</v>
      </c>
      <c r="Q13" s="29" t="s">
        <v>265</v>
      </c>
      <c r="R13" s="27"/>
      <c r="S13" s="27"/>
    </row>
    <row r="14" spans="1:1022 1028:2046 2052:3070 3076:4094 4100:5118 5124:6142 6148:7166 7172:8190 8196:9214 9220:10238 10244:11262 11268:12286 12292:13310 13316:14334 14340:15358 15364:16382"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14" s="30">
        <v>46335</v>
      </c>
      <c r="C14" s="27" t="s">
        <v>224</v>
      </c>
      <c r="D14" s="27"/>
      <c r="E14" s="27"/>
      <c r="F14" s="27"/>
      <c r="G14" s="10"/>
      <c r="H14" s="36" t="s">
        <v>263</v>
      </c>
      <c r="I14" s="37"/>
      <c r="J14" s="37"/>
      <c r="K14" s="27"/>
      <c r="L14" s="27"/>
      <c r="M14" s="27"/>
      <c r="N14" s="27"/>
      <c r="O14" s="27"/>
      <c r="P14" s="2" t="s">
        <v>1859</v>
      </c>
      <c r="Q14" s="29" t="s">
        <v>265</v>
      </c>
      <c r="R14" s="27"/>
      <c r="S14" s="27"/>
    </row>
    <row r="15" spans="1:1022 1028:2046 2052:3070 3076:4094 4100:5118 5124:6142 6148:7166 7172:8190 8196:9214 9220:10238 10244:11262 11268:12286 12292:13310 13316:14334 14340:15358 15364:16382"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EVT-2026-1352</v>
      </c>
      <c r="B15" s="30">
        <v>46336</v>
      </c>
      <c r="C15" s="27" t="s">
        <v>227</v>
      </c>
      <c r="D15" s="27" t="s">
        <v>208</v>
      </c>
      <c r="E15" s="27" t="s">
        <v>348</v>
      </c>
      <c r="F15" s="27" t="s">
        <v>812</v>
      </c>
      <c r="G15" s="10">
        <v>75</v>
      </c>
      <c r="H15" s="36" t="s">
        <v>263</v>
      </c>
      <c r="I15" s="37" t="s">
        <v>338</v>
      </c>
      <c r="J15" s="37" t="s">
        <v>429</v>
      </c>
      <c r="K15" s="27"/>
      <c r="L15" s="27"/>
      <c r="M15" s="27" t="s">
        <v>378</v>
      </c>
      <c r="N15" s="27"/>
      <c r="O15" s="30" t="s">
        <v>2176</v>
      </c>
      <c r="P15" s="2" t="s">
        <v>1859</v>
      </c>
      <c r="Q15" s="29" t="s">
        <v>265</v>
      </c>
      <c r="R15" s="27" t="s">
        <v>813</v>
      </c>
      <c r="S15" s="27"/>
    </row>
    <row r="16" spans="1:1022 1028:2046 2052:3070 3076:4094 4100:5118 5124:6142 6148:7166 7172:8190 8196:9214 9220:10238 10244:11262 11268:12286 12292:13310 13316:14334 14340:15358 15364:16382"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EVT-2026-1353</v>
      </c>
      <c r="B16" s="30">
        <v>46336</v>
      </c>
      <c r="C16" s="27" t="s">
        <v>227</v>
      </c>
      <c r="D16" s="27" t="s">
        <v>1366</v>
      </c>
      <c r="E16" s="27" t="s">
        <v>208</v>
      </c>
      <c r="F16" s="27" t="s">
        <v>217</v>
      </c>
      <c r="G16" s="10">
        <v>50</v>
      </c>
      <c r="H16" s="36" t="s">
        <v>263</v>
      </c>
      <c r="I16" s="37" t="s">
        <v>309</v>
      </c>
      <c r="J16" s="37" t="s">
        <v>296</v>
      </c>
      <c r="K16" s="27"/>
      <c r="L16" s="27"/>
      <c r="M16" s="27" t="s">
        <v>2559</v>
      </c>
      <c r="N16" s="27" t="s">
        <v>2560</v>
      </c>
      <c r="O16" s="27"/>
      <c r="P16" s="2" t="s">
        <v>1859</v>
      </c>
      <c r="Q16" s="29" t="s">
        <v>265</v>
      </c>
      <c r="R16" s="27" t="s">
        <v>2384</v>
      </c>
      <c r="S16" s="27" t="s">
        <v>1846</v>
      </c>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EVT-2026-1354</v>
      </c>
      <c r="B17" s="30">
        <v>46337</v>
      </c>
      <c r="C17" s="27" t="s">
        <v>201</v>
      </c>
      <c r="D17" s="27" t="s">
        <v>1366</v>
      </c>
      <c r="E17" s="27" t="s">
        <v>208</v>
      </c>
      <c r="F17" s="27" t="s">
        <v>217</v>
      </c>
      <c r="G17" s="10">
        <v>50</v>
      </c>
      <c r="H17" s="36" t="s">
        <v>263</v>
      </c>
      <c r="I17" s="37" t="s">
        <v>309</v>
      </c>
      <c r="J17" s="37" t="s">
        <v>296</v>
      </c>
      <c r="K17" s="27"/>
      <c r="L17" s="27"/>
      <c r="M17" s="27" t="s">
        <v>2559</v>
      </c>
      <c r="N17" s="27" t="s">
        <v>2560</v>
      </c>
      <c r="O17" s="27"/>
      <c r="P17" s="2" t="s">
        <v>1859</v>
      </c>
      <c r="Q17" s="29" t="s">
        <v>265</v>
      </c>
      <c r="R17" s="27" t="s">
        <v>2384</v>
      </c>
      <c r="S17" s="27" t="s">
        <v>1846</v>
      </c>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EVT-2026-1355</v>
      </c>
      <c r="B18" s="30">
        <v>46338</v>
      </c>
      <c r="C18" s="27" t="s">
        <v>216</v>
      </c>
      <c r="D18" s="27" t="s">
        <v>1366</v>
      </c>
      <c r="E18" s="27" t="s">
        <v>208</v>
      </c>
      <c r="F18" s="27" t="s">
        <v>217</v>
      </c>
      <c r="G18" s="10">
        <v>50</v>
      </c>
      <c r="H18" s="36" t="s">
        <v>263</v>
      </c>
      <c r="I18" s="37" t="s">
        <v>309</v>
      </c>
      <c r="J18" s="37" t="s">
        <v>296</v>
      </c>
      <c r="K18" s="27"/>
      <c r="L18" s="27"/>
      <c r="M18" s="27" t="s">
        <v>2559</v>
      </c>
      <c r="N18" s="27" t="s">
        <v>2560</v>
      </c>
      <c r="O18" s="27"/>
      <c r="P18" s="2" t="s">
        <v>1859</v>
      </c>
      <c r="Q18" s="29" t="s">
        <v>265</v>
      </c>
      <c r="R18" s="27" t="s">
        <v>2384</v>
      </c>
      <c r="S18" s="27" t="s">
        <v>1846</v>
      </c>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19" s="30">
        <v>46339</v>
      </c>
      <c r="C19" s="27" t="s">
        <v>220</v>
      </c>
      <c r="D19" s="27"/>
      <c r="E19" s="27"/>
      <c r="F19" s="27"/>
      <c r="G19" s="10"/>
      <c r="H19" s="36" t="s">
        <v>263</v>
      </c>
      <c r="I19" s="37"/>
      <c r="J19" s="37"/>
      <c r="K19" s="27"/>
      <c r="L19" s="27"/>
      <c r="M19" s="27"/>
      <c r="N19" s="27"/>
      <c r="O19" s="27"/>
      <c r="P19" s="2" t="s">
        <v>1859</v>
      </c>
      <c r="Q19" s="29" t="s">
        <v>265</v>
      </c>
      <c r="R19" s="27"/>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0" s="30">
        <v>46340</v>
      </c>
      <c r="C20" s="27" t="s">
        <v>266</v>
      </c>
      <c r="D20" s="27"/>
      <c r="E20" s="27"/>
      <c r="F20" s="27"/>
      <c r="G20" s="10"/>
      <c r="H20" s="36" t="s">
        <v>263</v>
      </c>
      <c r="I20" s="37"/>
      <c r="J20" s="37"/>
      <c r="K20" s="27"/>
      <c r="L20" s="27"/>
      <c r="M20" s="27"/>
      <c r="N20" s="27"/>
      <c r="O20" s="27"/>
      <c r="P20" s="2" t="s">
        <v>1859</v>
      </c>
      <c r="Q20" s="29" t="s">
        <v>265</v>
      </c>
      <c r="R20" s="27"/>
      <c r="S20" s="27"/>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1" s="30">
        <v>46341</v>
      </c>
      <c r="C21" s="27" t="s">
        <v>267</v>
      </c>
      <c r="D21" s="27"/>
      <c r="E21" s="27"/>
      <c r="F21" s="27"/>
      <c r="G21" s="10"/>
      <c r="H21" s="36" t="s">
        <v>263</v>
      </c>
      <c r="I21" s="37"/>
      <c r="J21" s="37"/>
      <c r="K21" s="27"/>
      <c r="L21" s="27"/>
      <c r="M21" s="27"/>
      <c r="N21" s="27"/>
      <c r="O21" s="27"/>
      <c r="P21" s="2" t="s">
        <v>1859</v>
      </c>
      <c r="Q21" s="29" t="s">
        <v>265</v>
      </c>
      <c r="R21" s="27"/>
      <c r="S21" s="27"/>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2" s="30">
        <v>46342</v>
      </c>
      <c r="C22" s="27" t="s">
        <v>224</v>
      </c>
      <c r="D22" s="27"/>
      <c r="E22" s="27"/>
      <c r="F22" s="27"/>
      <c r="G22" s="10"/>
      <c r="H22" s="36" t="s">
        <v>263</v>
      </c>
      <c r="I22" s="37"/>
      <c r="J22" s="37"/>
      <c r="K22" s="27"/>
      <c r="L22" s="27"/>
      <c r="M22" s="27"/>
      <c r="N22" s="27"/>
      <c r="O22" s="27"/>
      <c r="P22" s="2" t="s">
        <v>1859</v>
      </c>
      <c r="Q22" s="29" t="s">
        <v>265</v>
      </c>
      <c r="R22" s="27"/>
      <c r="S22" s="27"/>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EVT-2026-1356</v>
      </c>
      <c r="B23" s="30">
        <v>46343</v>
      </c>
      <c r="C23" s="27" t="s">
        <v>227</v>
      </c>
      <c r="D23" s="27" t="s">
        <v>1366</v>
      </c>
      <c r="E23" s="27" t="s">
        <v>208</v>
      </c>
      <c r="F23" s="27" t="s">
        <v>217</v>
      </c>
      <c r="G23" s="10">
        <v>50</v>
      </c>
      <c r="H23" s="36" t="s">
        <v>263</v>
      </c>
      <c r="I23" s="37" t="s">
        <v>309</v>
      </c>
      <c r="J23" s="37" t="s">
        <v>296</v>
      </c>
      <c r="K23" s="27"/>
      <c r="L23" s="27"/>
      <c r="M23" s="27" t="s">
        <v>2559</v>
      </c>
      <c r="N23" s="27" t="s">
        <v>2560</v>
      </c>
      <c r="O23" s="27"/>
      <c r="P23" s="2" t="s">
        <v>1859</v>
      </c>
      <c r="Q23" s="29" t="s">
        <v>265</v>
      </c>
      <c r="R23" s="27" t="s">
        <v>2384</v>
      </c>
      <c r="S23" s="27" t="s">
        <v>1846</v>
      </c>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EVT-2026-1357</v>
      </c>
      <c r="B24" s="30">
        <v>46344</v>
      </c>
      <c r="C24" s="27" t="s">
        <v>201</v>
      </c>
      <c r="D24" s="27" t="s">
        <v>1366</v>
      </c>
      <c r="E24" s="27" t="s">
        <v>208</v>
      </c>
      <c r="F24" s="27" t="s">
        <v>217</v>
      </c>
      <c r="G24" s="10">
        <v>50</v>
      </c>
      <c r="H24" s="36" t="s">
        <v>263</v>
      </c>
      <c r="I24" s="37" t="s">
        <v>309</v>
      </c>
      <c r="J24" s="37" t="s">
        <v>296</v>
      </c>
      <c r="K24" s="27"/>
      <c r="L24" s="27"/>
      <c r="M24" s="27" t="s">
        <v>2559</v>
      </c>
      <c r="N24" s="27" t="s">
        <v>2560</v>
      </c>
      <c r="O24" s="27"/>
      <c r="P24" s="2" t="s">
        <v>1859</v>
      </c>
      <c r="Q24" s="29" t="s">
        <v>265</v>
      </c>
      <c r="R24" s="27" t="s">
        <v>2384</v>
      </c>
      <c r="S24" s="27" t="s">
        <v>1846</v>
      </c>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EVT-2026-1358</v>
      </c>
      <c r="B25" s="30">
        <v>46345</v>
      </c>
      <c r="C25" s="27" t="s">
        <v>216</v>
      </c>
      <c r="D25" s="27" t="s">
        <v>1366</v>
      </c>
      <c r="E25" s="27" t="s">
        <v>208</v>
      </c>
      <c r="F25" s="27" t="s">
        <v>217</v>
      </c>
      <c r="G25" s="10">
        <v>50</v>
      </c>
      <c r="H25" s="36" t="s">
        <v>263</v>
      </c>
      <c r="I25" s="37" t="s">
        <v>309</v>
      </c>
      <c r="J25" s="37" t="s">
        <v>296</v>
      </c>
      <c r="K25" s="27"/>
      <c r="L25" s="27"/>
      <c r="M25" s="27" t="s">
        <v>2559</v>
      </c>
      <c r="N25" s="27" t="s">
        <v>2560</v>
      </c>
      <c r="O25" s="27"/>
      <c r="P25" s="2" t="s">
        <v>1859</v>
      </c>
      <c r="Q25" s="29" t="s">
        <v>265</v>
      </c>
      <c r="R25" s="27" t="s">
        <v>2384</v>
      </c>
      <c r="S25" s="27" t="s">
        <v>1846</v>
      </c>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6" s="30">
        <v>46346</v>
      </c>
      <c r="C26" s="27" t="s">
        <v>220</v>
      </c>
      <c r="D26" s="27"/>
      <c r="E26" s="27"/>
      <c r="F26" s="27"/>
      <c r="G26" s="10"/>
      <c r="H26" s="36" t="s">
        <v>263</v>
      </c>
      <c r="I26" s="37"/>
      <c r="J26" s="37"/>
      <c r="K26" s="27"/>
      <c r="L26" s="27"/>
      <c r="M26" s="27"/>
      <c r="N26" s="27"/>
      <c r="O26" s="27"/>
      <c r="P26" s="2" t="s">
        <v>1859</v>
      </c>
      <c r="Q26" s="29" t="s">
        <v>265</v>
      </c>
      <c r="R26" s="27"/>
      <c r="S26" s="27"/>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7" s="30">
        <v>46347</v>
      </c>
      <c r="C27" s="27" t="s">
        <v>266</v>
      </c>
      <c r="D27" s="27"/>
      <c r="E27" s="27"/>
      <c r="F27" s="27"/>
      <c r="G27" s="10"/>
      <c r="H27" s="36" t="s">
        <v>263</v>
      </c>
      <c r="I27" s="37"/>
      <c r="J27" s="37"/>
      <c r="K27" s="27"/>
      <c r="L27" s="27"/>
      <c r="M27" s="27"/>
      <c r="N27" s="27"/>
      <c r="O27" s="27"/>
      <c r="P27" s="2" t="s">
        <v>1859</v>
      </c>
      <c r="Q27" s="29" t="s">
        <v>265</v>
      </c>
      <c r="R27" s="27"/>
      <c r="S27" s="27"/>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8" s="30">
        <v>46348</v>
      </c>
      <c r="C28" s="27" t="s">
        <v>267</v>
      </c>
      <c r="D28" s="27"/>
      <c r="E28" s="27"/>
      <c r="F28" s="27"/>
      <c r="G28" s="10"/>
      <c r="H28" s="36" t="s">
        <v>263</v>
      </c>
      <c r="I28" s="37"/>
      <c r="J28" s="37"/>
      <c r="K28" s="27"/>
      <c r="L28" s="27"/>
      <c r="M28" s="27"/>
      <c r="N28" s="27"/>
      <c r="O28" s="27"/>
      <c r="P28" s="2" t="s">
        <v>1859</v>
      </c>
      <c r="Q28" s="29" t="s">
        <v>265</v>
      </c>
      <c r="R28" s="27"/>
      <c r="S28" s="27"/>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29" s="30">
        <v>46349</v>
      </c>
      <c r="C29" s="27" t="s">
        <v>224</v>
      </c>
      <c r="D29" s="27"/>
      <c r="E29" s="27"/>
      <c r="F29" s="27"/>
      <c r="G29" s="10"/>
      <c r="H29" s="36" t="s">
        <v>263</v>
      </c>
      <c r="I29" s="37"/>
      <c r="J29" s="37"/>
      <c r="K29" s="27"/>
      <c r="L29" s="27"/>
      <c r="M29" s="27"/>
      <c r="N29" s="27"/>
      <c r="O29" s="27"/>
      <c r="P29" s="2" t="s">
        <v>1859</v>
      </c>
      <c r="Q29" s="29" t="s">
        <v>265</v>
      </c>
      <c r="R29" s="27"/>
      <c r="S29" s="27"/>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EVT-2026-1359</v>
      </c>
      <c r="B30" s="30">
        <v>46350</v>
      </c>
      <c r="C30" s="27" t="s">
        <v>227</v>
      </c>
      <c r="D30" s="27" t="s">
        <v>1366</v>
      </c>
      <c r="E30" s="27" t="s">
        <v>208</v>
      </c>
      <c r="F30" s="27" t="s">
        <v>217</v>
      </c>
      <c r="G30" s="10">
        <v>50</v>
      </c>
      <c r="H30" s="36" t="s">
        <v>263</v>
      </c>
      <c r="I30" s="37" t="s">
        <v>309</v>
      </c>
      <c r="J30" s="37" t="s">
        <v>296</v>
      </c>
      <c r="K30" s="27"/>
      <c r="L30" s="27"/>
      <c r="M30" s="27" t="s">
        <v>2559</v>
      </c>
      <c r="N30" s="27" t="s">
        <v>2560</v>
      </c>
      <c r="O30" s="27"/>
      <c r="P30" s="2" t="s">
        <v>1859</v>
      </c>
      <c r="Q30" s="29" t="s">
        <v>265</v>
      </c>
      <c r="R30" s="27" t="s">
        <v>2384</v>
      </c>
      <c r="S30" s="27" t="s">
        <v>1846</v>
      </c>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EVT-2026-1360</v>
      </c>
      <c r="B31" s="30">
        <v>46351</v>
      </c>
      <c r="C31" s="27" t="s">
        <v>201</v>
      </c>
      <c r="D31" s="27" t="s">
        <v>1366</v>
      </c>
      <c r="E31" s="27" t="s">
        <v>208</v>
      </c>
      <c r="F31" s="27" t="s">
        <v>217</v>
      </c>
      <c r="G31" s="10">
        <v>50</v>
      </c>
      <c r="H31" s="36" t="s">
        <v>263</v>
      </c>
      <c r="I31" s="37" t="s">
        <v>309</v>
      </c>
      <c r="J31" s="37" t="s">
        <v>296</v>
      </c>
      <c r="K31" s="27"/>
      <c r="L31" s="27"/>
      <c r="M31" s="27" t="s">
        <v>2559</v>
      </c>
      <c r="N31" s="27" t="s">
        <v>2560</v>
      </c>
      <c r="O31" s="27"/>
      <c r="P31" s="2" t="s">
        <v>1859</v>
      </c>
      <c r="Q31" s="29" t="s">
        <v>265</v>
      </c>
      <c r="R31" s="27" t="s">
        <v>2384</v>
      </c>
      <c r="S31" s="27" t="s">
        <v>1846</v>
      </c>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EVT-2026-1361</v>
      </c>
      <c r="B32" s="30">
        <v>46352</v>
      </c>
      <c r="C32" s="27" t="s">
        <v>216</v>
      </c>
      <c r="D32" s="27" t="s">
        <v>228</v>
      </c>
      <c r="E32" s="27" t="s">
        <v>1512</v>
      </c>
      <c r="F32" s="27" t="s">
        <v>658</v>
      </c>
      <c r="G32" s="10">
        <v>60</v>
      </c>
      <c r="H32" s="36" t="s">
        <v>263</v>
      </c>
      <c r="I32" s="37" t="s">
        <v>295</v>
      </c>
      <c r="J32" s="37" t="s">
        <v>270</v>
      </c>
      <c r="K32" s="27" t="s">
        <v>2136</v>
      </c>
      <c r="L32" s="27"/>
      <c r="M32" s="27" t="s">
        <v>1163</v>
      </c>
      <c r="N32" s="27"/>
      <c r="O32" s="27"/>
      <c r="P32" s="2" t="s">
        <v>1859</v>
      </c>
      <c r="Q32" s="29" t="s">
        <v>265</v>
      </c>
      <c r="R32" s="27" t="s">
        <v>298</v>
      </c>
      <c r="S32" s="27"/>
    </row>
    <row r="33" spans="1:1022 1028:2046 2052:3070 3076:4094 4100:5118 5124:6142 6148:7166 7172:8190 8196:9214 9220:10238 10244:11262 11268:12286 12292:13310 13316:14334 14340:15358 15364:16382" s="27" customFormat="1"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EVT-2026-1362</v>
      </c>
      <c r="B33" s="30">
        <v>46352</v>
      </c>
      <c r="C33" s="27" t="s">
        <v>216</v>
      </c>
      <c r="D33" s="27" t="s">
        <v>1366</v>
      </c>
      <c r="E33" s="27" t="s">
        <v>208</v>
      </c>
      <c r="F33" s="27" t="s">
        <v>217</v>
      </c>
      <c r="G33" s="10">
        <v>50</v>
      </c>
      <c r="H33" s="36" t="s">
        <v>263</v>
      </c>
      <c r="I33" s="37" t="s">
        <v>309</v>
      </c>
      <c r="J33" s="37" t="s">
        <v>296</v>
      </c>
      <c r="M33" s="27" t="s">
        <v>2559</v>
      </c>
      <c r="N33" s="27" t="s">
        <v>2560</v>
      </c>
      <c r="P33" s="2" t="s">
        <v>1859</v>
      </c>
      <c r="Q33" s="29" t="s">
        <v>265</v>
      </c>
      <c r="R33" s="27" t="s">
        <v>2384</v>
      </c>
      <c r="S33" s="27" t="s">
        <v>1846</v>
      </c>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s="36"/>
      <c r="GP33" s="37"/>
      <c r="GQ33" s="37"/>
      <c r="GW33" s="2"/>
      <c r="GX33" s="29"/>
      <c r="HD33" s="10"/>
      <c r="HE33" s="36"/>
      <c r="HF33" s="37"/>
      <c r="HG33" s="37"/>
      <c r="HM33" s="2"/>
      <c r="HN33" s="29"/>
      <c r="HT33" s="10"/>
      <c r="HU33" s="36"/>
      <c r="HV33" s="37"/>
      <c r="HW33" s="37"/>
      <c r="IC33" s="2"/>
      <c r="ID33" s="29"/>
      <c r="IJ33" s="10"/>
      <c r="IK33" s="36"/>
      <c r="IL33" s="37"/>
      <c r="IM33" s="37"/>
      <c r="IS33" s="2"/>
      <c r="IT33" s="29"/>
      <c r="IZ33" s="10"/>
      <c r="JA33" s="36"/>
      <c r="JB33" s="37"/>
      <c r="JC33" s="37"/>
      <c r="JI33" s="2"/>
      <c r="JJ33" s="29"/>
      <c r="JP33" s="10"/>
      <c r="JQ33" s="36"/>
      <c r="JR33" s="37"/>
      <c r="JS33" s="37"/>
      <c r="JY33" s="2"/>
      <c r="JZ33" s="29"/>
      <c r="KF33" s="10"/>
      <c r="KG33" s="36"/>
      <c r="KH33" s="37"/>
      <c r="KI33" s="37"/>
      <c r="KO33" s="2"/>
      <c r="KP33" s="29"/>
      <c r="KV33" s="10"/>
      <c r="KW33" s="36"/>
      <c r="KX33" s="37"/>
      <c r="KY33" s="37"/>
      <c r="LE33" s="2"/>
      <c r="LF33" s="29"/>
      <c r="LL33" s="10"/>
      <c r="LM33" s="36"/>
      <c r="LN33" s="37"/>
      <c r="LO33" s="37"/>
      <c r="LU33" s="2"/>
      <c r="LV33" s="29"/>
      <c r="MB33" s="10"/>
      <c r="MC33" s="36"/>
      <c r="MD33" s="37"/>
      <c r="ME33" s="37"/>
      <c r="MK33" s="2"/>
      <c r="ML33" s="29"/>
      <c r="MR33" s="10"/>
      <c r="MS33" s="36"/>
      <c r="MT33" s="37"/>
      <c r="MU33" s="37"/>
      <c r="NA33" s="2"/>
      <c r="NB33" s="29"/>
      <c r="NH33" s="10"/>
      <c r="NI33" s="36"/>
      <c r="NJ33" s="37"/>
      <c r="NK33" s="37"/>
      <c r="NQ33" s="2"/>
      <c r="NR33" s="29"/>
      <c r="NX33" s="10"/>
      <c r="NY33" s="36"/>
      <c r="NZ33" s="37"/>
      <c r="OA33" s="37"/>
      <c r="OG33" s="2"/>
      <c r="OH33" s="29"/>
      <c r="ON33" s="10"/>
      <c r="OO33" s="36"/>
      <c r="OP33" s="37"/>
      <c r="OQ33" s="37"/>
      <c r="OW33" s="2"/>
      <c r="OX33" s="29"/>
      <c r="PD33" s="10"/>
      <c r="PE33" s="36"/>
      <c r="PF33" s="37"/>
      <c r="PG33" s="37"/>
      <c r="PM33" s="2"/>
      <c r="PN33" s="29"/>
      <c r="PT33" s="10"/>
      <c r="PU33" s="36"/>
      <c r="PV33" s="37"/>
      <c r="PW33" s="37"/>
      <c r="QC33" s="2"/>
      <c r="QD33" s="29"/>
      <c r="QJ33" s="10"/>
      <c r="QK33" s="36"/>
      <c r="QL33" s="37"/>
      <c r="QM33" s="37"/>
      <c r="QS33" s="2"/>
      <c r="QT33" s="29"/>
      <c r="QZ33" s="10"/>
      <c r="RA33" s="36"/>
      <c r="RB33" s="37"/>
      <c r="RC33" s="37"/>
      <c r="RI33" s="2"/>
      <c r="RJ33" s="29"/>
      <c r="RP33" s="10"/>
      <c r="RQ33" s="36"/>
      <c r="RR33" s="37"/>
      <c r="RS33" s="37"/>
      <c r="RY33" s="2"/>
      <c r="RZ33" s="29"/>
      <c r="SF33" s="10"/>
      <c r="SG33" s="36"/>
      <c r="SH33" s="37"/>
      <c r="SI33" s="37"/>
      <c r="SO33" s="2"/>
      <c r="SP33" s="29"/>
      <c r="SV33" s="10"/>
      <c r="SW33" s="36"/>
      <c r="SX33" s="37"/>
      <c r="SY33" s="37"/>
      <c r="TE33" s="2"/>
      <c r="TF33" s="29"/>
      <c r="TL33" s="10"/>
      <c r="TM33" s="36"/>
      <c r="TN33" s="37"/>
      <c r="TO33" s="37"/>
      <c r="TU33" s="2"/>
      <c r="TV33" s="29"/>
      <c r="UB33" s="10"/>
      <c r="UC33" s="36"/>
      <c r="UD33" s="37"/>
      <c r="UE33" s="37"/>
      <c r="UK33" s="2"/>
      <c r="UL33" s="29"/>
      <c r="UR33" s="10"/>
      <c r="US33" s="36"/>
      <c r="UT33" s="37"/>
      <c r="UU33" s="37"/>
      <c r="VA33" s="2"/>
      <c r="VB33" s="29"/>
      <c r="VH33" s="10"/>
      <c r="VI33" s="36"/>
      <c r="VJ33" s="37"/>
      <c r="VK33" s="37"/>
      <c r="VQ33" s="2"/>
      <c r="VR33" s="29"/>
      <c r="VX33" s="10"/>
      <c r="VY33" s="36"/>
      <c r="VZ33" s="37"/>
      <c r="WA33" s="37"/>
      <c r="WG33" s="2"/>
      <c r="WH33" s="29"/>
      <c r="WN33" s="10"/>
      <c r="WO33" s="36"/>
      <c r="WP33" s="37"/>
      <c r="WQ33" s="37"/>
      <c r="WW33" s="2"/>
      <c r="WX33" s="29"/>
      <c r="XD33" s="10"/>
      <c r="XE33" s="36"/>
      <c r="XF33" s="37"/>
      <c r="XG33" s="37"/>
      <c r="XM33" s="2"/>
      <c r="XN33" s="29"/>
      <c r="XT33" s="10"/>
      <c r="XU33" s="36"/>
      <c r="XV33" s="37"/>
      <c r="XW33" s="37"/>
      <c r="YC33" s="2"/>
      <c r="YD33" s="29"/>
      <c r="YJ33" s="10"/>
      <c r="YK33" s="36"/>
      <c r="YL33" s="37"/>
      <c r="YM33" s="37"/>
      <c r="YS33" s="2"/>
      <c r="YT33" s="29"/>
      <c r="YZ33" s="10"/>
      <c r="ZA33" s="36"/>
      <c r="ZB33" s="37"/>
      <c r="ZC33" s="37"/>
      <c r="ZI33" s="2"/>
      <c r="ZJ33" s="29"/>
      <c r="ZP33" s="10"/>
      <c r="ZQ33" s="36"/>
      <c r="ZR33" s="37"/>
      <c r="ZS33" s="37"/>
      <c r="ZY33" s="2"/>
      <c r="ZZ33" s="29"/>
      <c r="AAF33" s="10"/>
      <c r="AAG33" s="36"/>
      <c r="AAH33" s="37"/>
      <c r="AAI33" s="37"/>
      <c r="AAO33" s="2"/>
      <c r="AAP33" s="29"/>
      <c r="AAV33" s="10"/>
      <c r="AAW33" s="36"/>
      <c r="AAX33" s="37"/>
      <c r="AAY33" s="37"/>
      <c r="ABE33" s="2"/>
      <c r="ABF33" s="29"/>
      <c r="ABL33" s="10"/>
      <c r="ABM33" s="36"/>
      <c r="ABN33" s="37"/>
      <c r="ABO33" s="37"/>
      <c r="ABU33" s="2"/>
      <c r="ABV33" s="29"/>
      <c r="ACB33" s="10"/>
      <c r="ACC33" s="36"/>
      <c r="ACD33" s="37"/>
      <c r="ACE33" s="37"/>
      <c r="ACK33" s="2"/>
      <c r="ACL33" s="29"/>
      <c r="ACR33" s="10"/>
      <c r="ACS33" s="36"/>
      <c r="ACT33" s="37"/>
      <c r="ACU33" s="37"/>
      <c r="ADA33" s="2"/>
      <c r="ADB33" s="29"/>
      <c r="ADH33" s="10"/>
      <c r="ADI33" s="36"/>
      <c r="ADJ33" s="37"/>
      <c r="ADK33" s="37"/>
      <c r="ADQ33" s="2"/>
      <c r="ADR33" s="29"/>
      <c r="ADX33" s="10"/>
      <c r="ADY33" s="36"/>
      <c r="ADZ33" s="37"/>
      <c r="AEA33" s="37"/>
      <c r="AEG33" s="2"/>
      <c r="AEH33" s="29"/>
      <c r="AEN33" s="10"/>
      <c r="AEO33" s="36"/>
      <c r="AEP33" s="37"/>
      <c r="AEQ33" s="37"/>
      <c r="AEW33" s="2"/>
      <c r="AEX33" s="29"/>
      <c r="AFD33" s="10"/>
      <c r="AFE33" s="36"/>
      <c r="AFF33" s="37"/>
      <c r="AFG33" s="37"/>
      <c r="AFM33" s="2"/>
      <c r="AFN33" s="29"/>
      <c r="AFT33" s="10"/>
      <c r="AFU33" s="36"/>
      <c r="AFV33" s="37"/>
      <c r="AFW33" s="37"/>
      <c r="AGC33" s="2"/>
      <c r="AGD33" s="29"/>
      <c r="AGJ33" s="10"/>
      <c r="AGK33" s="36"/>
      <c r="AGL33" s="37"/>
      <c r="AGM33" s="37"/>
      <c r="AGS33" s="2"/>
      <c r="AGT33" s="29"/>
      <c r="AGZ33" s="10"/>
      <c r="AHA33" s="36"/>
      <c r="AHB33" s="37"/>
      <c r="AHC33" s="37"/>
      <c r="AHI33" s="2"/>
      <c r="AHJ33" s="29"/>
      <c r="AHP33" s="10"/>
      <c r="AHQ33" s="36"/>
      <c r="AHR33" s="37"/>
      <c r="AHS33" s="37"/>
      <c r="AHY33" s="2"/>
      <c r="AHZ33" s="29"/>
      <c r="AIF33" s="10"/>
      <c r="AIG33" s="36"/>
      <c r="AIH33" s="37"/>
      <c r="AII33" s="37"/>
      <c r="AIO33" s="2"/>
      <c r="AIP33" s="29"/>
      <c r="AIV33" s="10"/>
      <c r="AIW33" s="36"/>
      <c r="AIX33" s="37"/>
      <c r="AIY33" s="37"/>
      <c r="AJE33" s="2"/>
      <c r="AJF33" s="29"/>
      <c r="AJL33" s="10"/>
      <c r="AJM33" s="36"/>
      <c r="AJN33" s="37"/>
      <c r="AJO33" s="37"/>
      <c r="AJU33" s="2"/>
      <c r="AJV33" s="29"/>
      <c r="AKB33" s="10"/>
      <c r="AKC33" s="36"/>
      <c r="AKD33" s="37"/>
      <c r="AKE33" s="37"/>
      <c r="AKK33" s="2"/>
      <c r="AKL33" s="29"/>
      <c r="AKR33" s="10"/>
      <c r="AKS33" s="36"/>
      <c r="AKT33" s="37"/>
      <c r="AKU33" s="37"/>
      <c r="ALA33" s="2"/>
      <c r="ALB33" s="29"/>
      <c r="ALH33" s="10"/>
      <c r="ALI33" s="36"/>
      <c r="ALJ33" s="37"/>
      <c r="ALK33" s="37"/>
      <c r="ALQ33" s="2"/>
      <c r="ALR33" s="29"/>
      <c r="ALX33" s="10"/>
      <c r="ALY33" s="36"/>
      <c r="ALZ33" s="37"/>
      <c r="AMA33" s="37"/>
      <c r="AMG33" s="2"/>
      <c r="AMH33" s="29"/>
      <c r="AMN33" s="10"/>
      <c r="AMO33" s="36"/>
      <c r="AMP33" s="37"/>
      <c r="AMQ33" s="37"/>
      <c r="AMW33" s="2"/>
      <c r="AMX33" s="29"/>
      <c r="AND33" s="10"/>
      <c r="ANE33" s="36"/>
      <c r="ANF33" s="37"/>
      <c r="ANG33" s="37"/>
      <c r="ANM33" s="2"/>
      <c r="ANN33" s="29"/>
      <c r="ANT33" s="10"/>
      <c r="ANU33" s="36"/>
      <c r="ANV33" s="37"/>
      <c r="ANW33" s="37"/>
      <c r="AOC33" s="2"/>
      <c r="AOD33" s="29"/>
      <c r="AOJ33" s="10"/>
      <c r="AOK33" s="36"/>
      <c r="AOL33" s="37"/>
      <c r="AOM33" s="37"/>
      <c r="AOS33" s="2"/>
      <c r="AOT33" s="29"/>
      <c r="AOZ33" s="10"/>
      <c r="APA33" s="36"/>
      <c r="APB33" s="37"/>
      <c r="APC33" s="37"/>
      <c r="API33" s="2"/>
      <c r="APJ33" s="29"/>
      <c r="APP33" s="10"/>
      <c r="APQ33" s="36"/>
      <c r="APR33" s="37"/>
      <c r="APS33" s="37"/>
      <c r="APY33" s="2"/>
      <c r="APZ33" s="29"/>
      <c r="AQF33" s="10"/>
      <c r="AQG33" s="36"/>
      <c r="AQH33" s="37"/>
      <c r="AQI33" s="37"/>
      <c r="AQO33" s="2"/>
      <c r="AQP33" s="29"/>
      <c r="AQV33" s="10"/>
      <c r="AQW33" s="36"/>
      <c r="AQX33" s="37"/>
      <c r="AQY33" s="37"/>
      <c r="ARE33" s="2"/>
      <c r="ARF33" s="29"/>
      <c r="ARL33" s="10"/>
      <c r="ARM33" s="36"/>
      <c r="ARN33" s="37"/>
      <c r="ARO33" s="37"/>
      <c r="ARU33" s="2"/>
      <c r="ARV33" s="29"/>
      <c r="ASB33" s="10"/>
      <c r="ASC33" s="36"/>
      <c r="ASD33" s="37"/>
      <c r="ASE33" s="37"/>
      <c r="ASK33" s="2"/>
      <c r="ASL33" s="29"/>
      <c r="ASR33" s="10"/>
      <c r="ASS33" s="36"/>
      <c r="AST33" s="37"/>
      <c r="ASU33" s="37"/>
      <c r="ATA33" s="2"/>
      <c r="ATB33" s="29"/>
      <c r="ATH33" s="10"/>
      <c r="ATI33" s="36"/>
      <c r="ATJ33" s="37"/>
      <c r="ATK33" s="37"/>
      <c r="ATQ33" s="2"/>
      <c r="ATR33" s="29"/>
      <c r="ATX33" s="10"/>
      <c r="ATY33" s="36"/>
      <c r="ATZ33" s="37"/>
      <c r="AUA33" s="37"/>
      <c r="AUG33" s="2"/>
      <c r="AUH33" s="29"/>
      <c r="AUN33" s="10"/>
      <c r="AUO33" s="36"/>
      <c r="AUP33" s="37"/>
      <c r="AUQ33" s="37"/>
      <c r="AUW33" s="2"/>
      <c r="AUX33" s="29"/>
      <c r="AVD33" s="10"/>
      <c r="AVE33" s="36"/>
      <c r="AVF33" s="37"/>
      <c r="AVG33" s="37"/>
      <c r="AVM33" s="2"/>
      <c r="AVN33" s="29"/>
      <c r="AVT33" s="10"/>
      <c r="AVU33" s="36"/>
      <c r="AVV33" s="37"/>
      <c r="AVW33" s="37"/>
      <c r="AWC33" s="2"/>
      <c r="AWD33" s="29"/>
      <c r="AWJ33" s="10"/>
      <c r="AWK33" s="36"/>
      <c r="AWL33" s="37"/>
      <c r="AWM33" s="37"/>
      <c r="AWS33" s="2"/>
      <c r="AWT33" s="29"/>
      <c r="AWZ33" s="10"/>
      <c r="AXA33" s="36"/>
      <c r="AXB33" s="37"/>
      <c r="AXC33" s="37"/>
      <c r="AXI33" s="2"/>
      <c r="AXJ33" s="29"/>
      <c r="AXP33" s="10"/>
      <c r="AXQ33" s="36"/>
      <c r="AXR33" s="37"/>
      <c r="AXS33" s="37"/>
      <c r="AXY33" s="2"/>
      <c r="AXZ33" s="29"/>
      <c r="AYF33" s="10"/>
      <c r="AYG33" s="36"/>
      <c r="AYH33" s="37"/>
      <c r="AYI33" s="37"/>
      <c r="AYO33" s="2"/>
      <c r="AYP33" s="29"/>
      <c r="AYV33" s="10"/>
      <c r="AYW33" s="36"/>
      <c r="AYX33" s="37"/>
      <c r="AYY33" s="37"/>
      <c r="AZE33" s="2"/>
      <c r="AZF33" s="29"/>
      <c r="AZL33" s="10"/>
      <c r="AZM33" s="36"/>
      <c r="AZN33" s="37"/>
      <c r="AZO33" s="37"/>
      <c r="AZU33" s="2"/>
      <c r="AZV33" s="29"/>
      <c r="BAB33" s="10"/>
      <c r="BAC33" s="36"/>
      <c r="BAD33" s="37"/>
      <c r="BAE33" s="37"/>
      <c r="BAK33" s="2"/>
      <c r="BAL33" s="29"/>
      <c r="BAR33" s="10"/>
      <c r="BAS33" s="36"/>
      <c r="BAT33" s="37"/>
      <c r="BAU33" s="37"/>
      <c r="BBA33" s="2"/>
      <c r="BBB33" s="29"/>
      <c r="BBH33" s="10"/>
      <c r="BBI33" s="36"/>
      <c r="BBJ33" s="37"/>
      <c r="BBK33" s="37"/>
      <c r="BBQ33" s="2"/>
      <c r="BBR33" s="29"/>
      <c r="BBX33" s="10"/>
      <c r="BBY33" s="36"/>
      <c r="BBZ33" s="37"/>
      <c r="BCA33" s="37"/>
      <c r="BCG33" s="2"/>
      <c r="BCH33" s="29"/>
      <c r="BCN33" s="10"/>
      <c r="BCO33" s="36"/>
      <c r="BCP33" s="37"/>
      <c r="BCQ33" s="37"/>
      <c r="BCW33" s="2"/>
      <c r="BCX33" s="29"/>
      <c r="BDD33" s="10"/>
      <c r="BDE33" s="36"/>
      <c r="BDF33" s="37"/>
      <c r="BDG33" s="37"/>
      <c r="BDM33" s="2"/>
      <c r="BDN33" s="29"/>
      <c r="BDT33" s="10"/>
      <c r="BDU33" s="36"/>
      <c r="BDV33" s="37"/>
      <c r="BDW33" s="37"/>
      <c r="BEC33" s="2"/>
      <c r="BED33" s="29"/>
      <c r="BEJ33" s="10"/>
      <c r="BEK33" s="36"/>
      <c r="BEL33" s="37"/>
      <c r="BEM33" s="37"/>
      <c r="BES33" s="2"/>
      <c r="BET33" s="29"/>
      <c r="BEZ33" s="10"/>
      <c r="BFA33" s="36"/>
      <c r="BFB33" s="37"/>
      <c r="BFC33" s="37"/>
      <c r="BFI33" s="2"/>
      <c r="BFJ33" s="29"/>
      <c r="BFP33" s="10"/>
      <c r="BFQ33" s="36"/>
      <c r="BFR33" s="37"/>
      <c r="BFS33" s="37"/>
      <c r="BFY33" s="2"/>
      <c r="BFZ33" s="29"/>
      <c r="BGF33" s="10"/>
      <c r="BGG33" s="36"/>
      <c r="BGH33" s="37"/>
      <c r="BGI33" s="37"/>
      <c r="BGO33" s="2"/>
      <c r="BGP33" s="29"/>
      <c r="BGV33" s="10"/>
      <c r="BGW33" s="36"/>
      <c r="BGX33" s="37"/>
      <c r="BGY33" s="37"/>
      <c r="BHE33" s="2"/>
      <c r="BHF33" s="29"/>
      <c r="BHL33" s="10"/>
      <c r="BHM33" s="36"/>
      <c r="BHN33" s="37"/>
      <c r="BHO33" s="37"/>
      <c r="BHU33" s="2"/>
      <c r="BHV33" s="29"/>
      <c r="BIB33" s="10"/>
      <c r="BIC33" s="36"/>
      <c r="BID33" s="37"/>
      <c r="BIE33" s="37"/>
      <c r="BIK33" s="2"/>
      <c r="BIL33" s="29"/>
      <c r="BIR33" s="10"/>
      <c r="BIS33" s="36"/>
      <c r="BIT33" s="37"/>
      <c r="BIU33" s="37"/>
      <c r="BJA33" s="2"/>
      <c r="BJB33" s="29"/>
      <c r="BJH33" s="10"/>
      <c r="BJI33" s="36"/>
      <c r="BJJ33" s="37"/>
      <c r="BJK33" s="37"/>
      <c r="BJQ33" s="2"/>
      <c r="BJR33" s="29"/>
      <c r="BJX33" s="10"/>
      <c r="BJY33" s="36"/>
      <c r="BJZ33" s="37"/>
      <c r="BKA33" s="37"/>
      <c r="BKG33" s="2"/>
      <c r="BKH33" s="29"/>
      <c r="BKN33" s="10"/>
      <c r="BKO33" s="36"/>
      <c r="BKP33" s="37"/>
      <c r="BKQ33" s="37"/>
      <c r="BKW33" s="2"/>
      <c r="BKX33" s="29"/>
      <c r="BLD33" s="10"/>
      <c r="BLE33" s="36"/>
      <c r="BLF33" s="37"/>
      <c r="BLG33" s="37"/>
      <c r="BLM33" s="2"/>
      <c r="BLN33" s="29"/>
      <c r="BLT33" s="10"/>
      <c r="BLU33" s="36"/>
      <c r="BLV33" s="37"/>
      <c r="BLW33" s="37"/>
      <c r="BMC33" s="2"/>
      <c r="BMD33" s="29"/>
      <c r="BMJ33" s="10"/>
      <c r="BMK33" s="36"/>
      <c r="BML33" s="37"/>
      <c r="BMM33" s="37"/>
      <c r="BMS33" s="2"/>
      <c r="BMT33" s="29"/>
      <c r="BMZ33" s="10"/>
      <c r="BNA33" s="36"/>
      <c r="BNB33" s="37"/>
      <c r="BNC33" s="37"/>
      <c r="BNI33" s="2"/>
      <c r="BNJ33" s="29"/>
      <c r="BNP33" s="10"/>
      <c r="BNQ33" s="36"/>
      <c r="BNR33" s="37"/>
      <c r="BNS33" s="37"/>
      <c r="BNY33" s="2"/>
      <c r="BNZ33" s="29"/>
      <c r="BOF33" s="10"/>
      <c r="BOG33" s="36"/>
      <c r="BOH33" s="37"/>
      <c r="BOI33" s="37"/>
      <c r="BOO33" s="2"/>
      <c r="BOP33" s="29"/>
      <c r="BOV33" s="10"/>
      <c r="BOW33" s="36"/>
      <c r="BOX33" s="37"/>
      <c r="BOY33" s="37"/>
      <c r="BPE33" s="2"/>
      <c r="BPF33" s="29"/>
      <c r="BPL33" s="10"/>
      <c r="BPM33" s="36"/>
      <c r="BPN33" s="37"/>
      <c r="BPO33" s="37"/>
      <c r="BPU33" s="2"/>
      <c r="BPV33" s="29"/>
      <c r="BQB33" s="10"/>
      <c r="BQC33" s="36"/>
      <c r="BQD33" s="37"/>
      <c r="BQE33" s="37"/>
      <c r="BQK33" s="2"/>
      <c r="BQL33" s="29"/>
      <c r="BQR33" s="10"/>
      <c r="BQS33" s="36"/>
      <c r="BQT33" s="37"/>
      <c r="BQU33" s="37"/>
      <c r="BRA33" s="2"/>
      <c r="BRB33" s="29"/>
      <c r="BRH33" s="10"/>
      <c r="BRI33" s="36"/>
      <c r="BRJ33" s="37"/>
      <c r="BRK33" s="37"/>
      <c r="BRQ33" s="2"/>
      <c r="BRR33" s="29"/>
      <c r="BRX33" s="10"/>
      <c r="BRY33" s="36"/>
      <c r="BRZ33" s="37"/>
      <c r="BSA33" s="37"/>
      <c r="BSG33" s="2"/>
      <c r="BSH33" s="29"/>
      <c r="BSN33" s="10"/>
      <c r="BSO33" s="36"/>
      <c r="BSP33" s="37"/>
      <c r="BSQ33" s="37"/>
      <c r="BSW33" s="2"/>
      <c r="BSX33" s="29"/>
      <c r="BTD33" s="10"/>
      <c r="BTE33" s="36"/>
      <c r="BTF33" s="37"/>
      <c r="BTG33" s="37"/>
      <c r="BTM33" s="2"/>
      <c r="BTN33" s="29"/>
      <c r="BTT33" s="10"/>
      <c r="BTU33" s="36"/>
      <c r="BTV33" s="37"/>
      <c r="BTW33" s="37"/>
      <c r="BUC33" s="2"/>
      <c r="BUD33" s="29"/>
      <c r="BUJ33" s="10"/>
      <c r="BUK33" s="36"/>
      <c r="BUL33" s="37"/>
      <c r="BUM33" s="37"/>
      <c r="BUS33" s="2"/>
      <c r="BUT33" s="29"/>
      <c r="BUZ33" s="10"/>
      <c r="BVA33" s="36"/>
      <c r="BVB33" s="37"/>
      <c r="BVC33" s="37"/>
      <c r="BVI33" s="2"/>
      <c r="BVJ33" s="29"/>
      <c r="BVP33" s="10"/>
      <c r="BVQ33" s="36"/>
      <c r="BVR33" s="37"/>
      <c r="BVS33" s="37"/>
      <c r="BVY33" s="2"/>
      <c r="BVZ33" s="29"/>
      <c r="BWF33" s="10"/>
      <c r="BWG33" s="36"/>
      <c r="BWH33" s="37"/>
      <c r="BWI33" s="37"/>
      <c r="BWO33" s="2"/>
      <c r="BWP33" s="29"/>
      <c r="BWV33" s="10"/>
      <c r="BWW33" s="36"/>
      <c r="BWX33" s="37"/>
      <c r="BWY33" s="37"/>
      <c r="BXE33" s="2"/>
      <c r="BXF33" s="29"/>
      <c r="BXL33" s="10"/>
      <c r="BXM33" s="36"/>
      <c r="BXN33" s="37"/>
      <c r="BXO33" s="37"/>
      <c r="BXU33" s="2"/>
      <c r="BXV33" s="29"/>
      <c r="BYB33" s="10"/>
      <c r="BYC33" s="36"/>
      <c r="BYD33" s="37"/>
      <c r="BYE33" s="37"/>
      <c r="BYK33" s="2"/>
      <c r="BYL33" s="29"/>
      <c r="BYR33" s="10"/>
      <c r="BYS33" s="36"/>
      <c r="BYT33" s="37"/>
      <c r="BYU33" s="37"/>
      <c r="BZA33" s="2"/>
      <c r="BZB33" s="29"/>
      <c r="BZH33" s="10"/>
      <c r="BZI33" s="36"/>
      <c r="BZJ33" s="37"/>
      <c r="BZK33" s="37"/>
      <c r="BZQ33" s="2"/>
      <c r="BZR33" s="29"/>
      <c r="BZX33" s="10"/>
      <c r="BZY33" s="36"/>
      <c r="BZZ33" s="37"/>
      <c r="CAA33" s="37"/>
      <c r="CAG33" s="2"/>
      <c r="CAH33" s="29"/>
      <c r="CAN33" s="10"/>
      <c r="CAO33" s="36"/>
      <c r="CAP33" s="37"/>
      <c r="CAQ33" s="37"/>
      <c r="CAW33" s="2"/>
      <c r="CAX33" s="29"/>
      <c r="CBD33" s="10"/>
      <c r="CBE33" s="36"/>
      <c r="CBF33" s="37"/>
      <c r="CBG33" s="37"/>
      <c r="CBM33" s="2"/>
      <c r="CBN33" s="29"/>
      <c r="CBT33" s="10"/>
      <c r="CBU33" s="36"/>
      <c r="CBV33" s="37"/>
      <c r="CBW33" s="37"/>
      <c r="CCC33" s="2"/>
      <c r="CCD33" s="29"/>
      <c r="CCJ33" s="10"/>
      <c r="CCK33" s="36"/>
      <c r="CCL33" s="37"/>
      <c r="CCM33" s="37"/>
      <c r="CCS33" s="2"/>
      <c r="CCT33" s="29"/>
      <c r="CCZ33" s="10"/>
      <c r="CDA33" s="36"/>
      <c r="CDB33" s="37"/>
      <c r="CDC33" s="37"/>
      <c r="CDI33" s="2"/>
      <c r="CDJ33" s="29"/>
      <c r="CDP33" s="10"/>
      <c r="CDQ33" s="36"/>
      <c r="CDR33" s="37"/>
      <c r="CDS33" s="37"/>
      <c r="CDY33" s="2"/>
      <c r="CDZ33" s="29"/>
      <c r="CEF33" s="10"/>
      <c r="CEG33" s="36"/>
      <c r="CEH33" s="37"/>
      <c r="CEI33" s="37"/>
      <c r="CEO33" s="2"/>
      <c r="CEP33" s="29"/>
      <c r="CEV33" s="10"/>
      <c r="CEW33" s="36"/>
      <c r="CEX33" s="37"/>
      <c r="CEY33" s="37"/>
      <c r="CFE33" s="2"/>
      <c r="CFF33" s="29"/>
      <c r="CFL33" s="10"/>
      <c r="CFM33" s="36"/>
      <c r="CFN33" s="37"/>
      <c r="CFO33" s="37"/>
      <c r="CFU33" s="2"/>
      <c r="CFV33" s="29"/>
      <c r="CGB33" s="10"/>
      <c r="CGC33" s="36"/>
      <c r="CGD33" s="37"/>
      <c r="CGE33" s="37"/>
      <c r="CGK33" s="2"/>
      <c r="CGL33" s="29"/>
      <c r="CGR33" s="10"/>
      <c r="CGS33" s="36"/>
      <c r="CGT33" s="37"/>
      <c r="CGU33" s="37"/>
      <c r="CHA33" s="2"/>
      <c r="CHB33" s="29"/>
      <c r="CHH33" s="10"/>
      <c r="CHI33" s="36"/>
      <c r="CHJ33" s="37"/>
      <c r="CHK33" s="37"/>
      <c r="CHQ33" s="2"/>
      <c r="CHR33" s="29"/>
      <c r="CHX33" s="10"/>
      <c r="CHY33" s="36"/>
      <c r="CHZ33" s="37"/>
      <c r="CIA33" s="37"/>
      <c r="CIG33" s="2"/>
      <c r="CIH33" s="29"/>
      <c r="CIN33" s="10"/>
      <c r="CIO33" s="36"/>
      <c r="CIP33" s="37"/>
      <c r="CIQ33" s="37"/>
      <c r="CIW33" s="2"/>
      <c r="CIX33" s="29"/>
      <c r="CJD33" s="10"/>
      <c r="CJE33" s="36"/>
      <c r="CJF33" s="37"/>
      <c r="CJG33" s="37"/>
      <c r="CJM33" s="2"/>
      <c r="CJN33" s="29"/>
      <c r="CJT33" s="10"/>
      <c r="CJU33" s="36"/>
      <c r="CJV33" s="37"/>
      <c r="CJW33" s="37"/>
      <c r="CKC33" s="2"/>
      <c r="CKD33" s="29"/>
      <c r="CKJ33" s="10"/>
      <c r="CKK33" s="36"/>
      <c r="CKL33" s="37"/>
      <c r="CKM33" s="37"/>
      <c r="CKS33" s="2"/>
      <c r="CKT33" s="29"/>
      <c r="CKZ33" s="10"/>
      <c r="CLA33" s="36"/>
      <c r="CLB33" s="37"/>
      <c r="CLC33" s="37"/>
      <c r="CLI33" s="2"/>
      <c r="CLJ33" s="29"/>
      <c r="CLP33" s="10"/>
      <c r="CLQ33" s="36"/>
      <c r="CLR33" s="37"/>
      <c r="CLS33" s="37"/>
      <c r="CLY33" s="2"/>
      <c r="CLZ33" s="29"/>
      <c r="CMF33" s="10"/>
      <c r="CMG33" s="36"/>
      <c r="CMH33" s="37"/>
      <c r="CMI33" s="37"/>
      <c r="CMO33" s="2"/>
      <c r="CMP33" s="29"/>
      <c r="CMV33" s="10"/>
      <c r="CMW33" s="36"/>
      <c r="CMX33" s="37"/>
      <c r="CMY33" s="37"/>
      <c r="CNE33" s="2"/>
      <c r="CNF33" s="29"/>
      <c r="CNL33" s="10"/>
      <c r="CNM33" s="36"/>
      <c r="CNN33" s="37"/>
      <c r="CNO33" s="37"/>
      <c r="CNU33" s="2"/>
      <c r="CNV33" s="29"/>
      <c r="COB33" s="10"/>
      <c r="COC33" s="36"/>
      <c r="COD33" s="37"/>
      <c r="COE33" s="37"/>
      <c r="COK33" s="2"/>
      <c r="COL33" s="29"/>
      <c r="COR33" s="10"/>
      <c r="COS33" s="36"/>
      <c r="COT33" s="37"/>
      <c r="COU33" s="37"/>
      <c r="CPA33" s="2"/>
      <c r="CPB33" s="29"/>
      <c r="CPH33" s="10"/>
      <c r="CPI33" s="36"/>
      <c r="CPJ33" s="37"/>
      <c r="CPK33" s="37"/>
      <c r="CPQ33" s="2"/>
      <c r="CPR33" s="29"/>
      <c r="CPX33" s="10"/>
      <c r="CPY33" s="36"/>
      <c r="CPZ33" s="37"/>
      <c r="CQA33" s="37"/>
      <c r="CQG33" s="2"/>
      <c r="CQH33" s="29"/>
      <c r="CQN33" s="10"/>
      <c r="CQO33" s="36"/>
      <c r="CQP33" s="37"/>
      <c r="CQQ33" s="37"/>
      <c r="CQW33" s="2"/>
      <c r="CQX33" s="29"/>
      <c r="CRD33" s="10"/>
      <c r="CRE33" s="36"/>
      <c r="CRF33" s="37"/>
      <c r="CRG33" s="37"/>
      <c r="CRM33" s="2"/>
      <c r="CRN33" s="29"/>
      <c r="CRT33" s="10"/>
      <c r="CRU33" s="36"/>
      <c r="CRV33" s="37"/>
      <c r="CRW33" s="37"/>
      <c r="CSC33" s="2"/>
      <c r="CSD33" s="29"/>
      <c r="CSJ33" s="10"/>
      <c r="CSK33" s="36"/>
      <c r="CSL33" s="37"/>
      <c r="CSM33" s="37"/>
      <c r="CSS33" s="2"/>
      <c r="CST33" s="29"/>
      <c r="CSZ33" s="10"/>
      <c r="CTA33" s="36"/>
      <c r="CTB33" s="37"/>
      <c r="CTC33" s="37"/>
      <c r="CTI33" s="2"/>
      <c r="CTJ33" s="29"/>
      <c r="CTP33" s="10"/>
      <c r="CTQ33" s="36"/>
      <c r="CTR33" s="37"/>
      <c r="CTS33" s="37"/>
      <c r="CTY33" s="2"/>
      <c r="CTZ33" s="29"/>
      <c r="CUF33" s="10"/>
      <c r="CUG33" s="36"/>
      <c r="CUH33" s="37"/>
      <c r="CUI33" s="37"/>
      <c r="CUO33" s="2"/>
      <c r="CUP33" s="29"/>
      <c r="CUV33" s="10"/>
      <c r="CUW33" s="36"/>
      <c r="CUX33" s="37"/>
      <c r="CUY33" s="37"/>
      <c r="CVE33" s="2"/>
      <c r="CVF33" s="29"/>
      <c r="CVL33" s="10"/>
      <c r="CVM33" s="36"/>
      <c r="CVN33" s="37"/>
      <c r="CVO33" s="37"/>
      <c r="CVU33" s="2"/>
      <c r="CVV33" s="29"/>
      <c r="CWB33" s="10"/>
      <c r="CWC33" s="36"/>
      <c r="CWD33" s="37"/>
      <c r="CWE33" s="37"/>
      <c r="CWK33" s="2"/>
      <c r="CWL33" s="29"/>
      <c r="CWR33" s="10"/>
      <c r="CWS33" s="36"/>
      <c r="CWT33" s="37"/>
      <c r="CWU33" s="37"/>
      <c r="CXA33" s="2"/>
      <c r="CXB33" s="29"/>
      <c r="CXH33" s="10"/>
      <c r="CXI33" s="36"/>
      <c r="CXJ33" s="37"/>
      <c r="CXK33" s="37"/>
      <c r="CXQ33" s="2"/>
      <c r="CXR33" s="29"/>
      <c r="CXX33" s="10"/>
      <c r="CXY33" s="36"/>
      <c r="CXZ33" s="37"/>
      <c r="CYA33" s="37"/>
      <c r="CYG33" s="2"/>
      <c r="CYH33" s="29"/>
      <c r="CYN33" s="10"/>
      <c r="CYO33" s="36"/>
      <c r="CYP33" s="37"/>
      <c r="CYQ33" s="37"/>
      <c r="CYW33" s="2"/>
      <c r="CYX33" s="29"/>
      <c r="CZD33" s="10"/>
      <c r="CZE33" s="36"/>
      <c r="CZF33" s="37"/>
      <c r="CZG33" s="37"/>
      <c r="CZM33" s="2"/>
      <c r="CZN33" s="29"/>
      <c r="CZT33" s="10"/>
      <c r="CZU33" s="36"/>
      <c r="CZV33" s="37"/>
      <c r="CZW33" s="37"/>
      <c r="DAC33" s="2"/>
      <c r="DAD33" s="29"/>
      <c r="DAJ33" s="10"/>
      <c r="DAK33" s="36"/>
      <c r="DAL33" s="37"/>
      <c r="DAM33" s="37"/>
      <c r="DAS33" s="2"/>
      <c r="DAT33" s="29"/>
      <c r="DAZ33" s="10"/>
      <c r="DBA33" s="36"/>
      <c r="DBB33" s="37"/>
      <c r="DBC33" s="37"/>
      <c r="DBI33" s="2"/>
      <c r="DBJ33" s="29"/>
      <c r="DBP33" s="10"/>
      <c r="DBQ33" s="36"/>
      <c r="DBR33" s="37"/>
      <c r="DBS33" s="37"/>
      <c r="DBY33" s="2"/>
      <c r="DBZ33" s="29"/>
      <c r="DCF33" s="10"/>
      <c r="DCG33" s="36"/>
      <c r="DCH33" s="37"/>
      <c r="DCI33" s="37"/>
      <c r="DCO33" s="2"/>
      <c r="DCP33" s="29"/>
      <c r="DCV33" s="10"/>
      <c r="DCW33" s="36"/>
      <c r="DCX33" s="37"/>
      <c r="DCY33" s="37"/>
      <c r="DDE33" s="2"/>
      <c r="DDF33" s="29"/>
      <c r="DDL33" s="10"/>
      <c r="DDM33" s="36"/>
      <c r="DDN33" s="37"/>
      <c r="DDO33" s="37"/>
      <c r="DDU33" s="2"/>
      <c r="DDV33" s="29"/>
      <c r="DEB33" s="10"/>
      <c r="DEC33" s="36"/>
      <c r="DED33" s="37"/>
      <c r="DEE33" s="37"/>
      <c r="DEK33" s="2"/>
      <c r="DEL33" s="29"/>
      <c r="DER33" s="10"/>
      <c r="DES33" s="36"/>
      <c r="DET33" s="37"/>
      <c r="DEU33" s="37"/>
      <c r="DFA33" s="2"/>
      <c r="DFB33" s="29"/>
      <c r="DFH33" s="10"/>
      <c r="DFI33" s="36"/>
      <c r="DFJ33" s="37"/>
      <c r="DFK33" s="37"/>
      <c r="DFQ33" s="2"/>
      <c r="DFR33" s="29"/>
      <c r="DFX33" s="10"/>
      <c r="DFY33" s="36"/>
      <c r="DFZ33" s="37"/>
      <c r="DGA33" s="37"/>
      <c r="DGG33" s="2"/>
      <c r="DGH33" s="29"/>
      <c r="DGN33" s="10"/>
      <c r="DGO33" s="36"/>
      <c r="DGP33" s="37"/>
      <c r="DGQ33" s="37"/>
      <c r="DGW33" s="2"/>
      <c r="DGX33" s="29"/>
      <c r="DHD33" s="10"/>
      <c r="DHE33" s="36"/>
      <c r="DHF33" s="37"/>
      <c r="DHG33" s="37"/>
      <c r="DHM33" s="2"/>
      <c r="DHN33" s="29"/>
      <c r="DHT33" s="10"/>
      <c r="DHU33" s="36"/>
      <c r="DHV33" s="37"/>
      <c r="DHW33" s="37"/>
      <c r="DIC33" s="2"/>
      <c r="DID33" s="29"/>
      <c r="DIJ33" s="10"/>
      <c r="DIK33" s="36"/>
      <c r="DIL33" s="37"/>
      <c r="DIM33" s="37"/>
      <c r="DIS33" s="2"/>
      <c r="DIT33" s="29"/>
      <c r="DIZ33" s="10"/>
      <c r="DJA33" s="36"/>
      <c r="DJB33" s="37"/>
      <c r="DJC33" s="37"/>
      <c r="DJI33" s="2"/>
      <c r="DJJ33" s="29"/>
      <c r="DJP33" s="10"/>
      <c r="DJQ33" s="36"/>
      <c r="DJR33" s="37"/>
      <c r="DJS33" s="37"/>
      <c r="DJY33" s="2"/>
      <c r="DJZ33" s="29"/>
      <c r="DKF33" s="10"/>
      <c r="DKG33" s="36"/>
      <c r="DKH33" s="37"/>
      <c r="DKI33" s="37"/>
      <c r="DKO33" s="2"/>
      <c r="DKP33" s="29"/>
      <c r="DKV33" s="10"/>
      <c r="DKW33" s="36"/>
      <c r="DKX33" s="37"/>
      <c r="DKY33" s="37"/>
      <c r="DLE33" s="2"/>
      <c r="DLF33" s="29"/>
      <c r="DLL33" s="10"/>
      <c r="DLM33" s="36"/>
      <c r="DLN33" s="37"/>
      <c r="DLO33" s="37"/>
      <c r="DLU33" s="2"/>
      <c r="DLV33" s="29"/>
      <c r="DMB33" s="10"/>
      <c r="DMC33" s="36"/>
      <c r="DMD33" s="37"/>
      <c r="DME33" s="37"/>
      <c r="DMK33" s="2"/>
      <c r="DML33" s="29"/>
      <c r="DMR33" s="10"/>
      <c r="DMS33" s="36"/>
      <c r="DMT33" s="37"/>
      <c r="DMU33" s="37"/>
      <c r="DNA33" s="2"/>
      <c r="DNB33" s="29"/>
      <c r="DNH33" s="10"/>
      <c r="DNI33" s="36"/>
      <c r="DNJ33" s="37"/>
      <c r="DNK33" s="37"/>
      <c r="DNQ33" s="2"/>
      <c r="DNR33" s="29"/>
      <c r="DNX33" s="10"/>
      <c r="DNY33" s="36"/>
      <c r="DNZ33" s="37"/>
      <c r="DOA33" s="37"/>
      <c r="DOG33" s="2"/>
      <c r="DOH33" s="29"/>
      <c r="DON33" s="10"/>
      <c r="DOO33" s="36"/>
      <c r="DOP33" s="37"/>
      <c r="DOQ33" s="37"/>
      <c r="DOW33" s="2"/>
      <c r="DOX33" s="29"/>
      <c r="DPD33" s="10"/>
      <c r="DPE33" s="36"/>
      <c r="DPF33" s="37"/>
      <c r="DPG33" s="37"/>
      <c r="DPM33" s="2"/>
      <c r="DPN33" s="29"/>
      <c r="DPT33" s="10"/>
      <c r="DPU33" s="36"/>
      <c r="DPV33" s="37"/>
      <c r="DPW33" s="37"/>
      <c r="DQC33" s="2"/>
      <c r="DQD33" s="29"/>
      <c r="DQJ33" s="10"/>
      <c r="DQK33" s="36"/>
      <c r="DQL33" s="37"/>
      <c r="DQM33" s="37"/>
      <c r="DQS33" s="2"/>
      <c r="DQT33" s="29"/>
      <c r="DQZ33" s="10"/>
      <c r="DRA33" s="36"/>
      <c r="DRB33" s="37"/>
      <c r="DRC33" s="37"/>
      <c r="DRI33" s="2"/>
      <c r="DRJ33" s="29"/>
      <c r="DRP33" s="10"/>
      <c r="DRQ33" s="36"/>
      <c r="DRR33" s="37"/>
      <c r="DRS33" s="37"/>
      <c r="DRY33" s="2"/>
      <c r="DRZ33" s="29"/>
      <c r="DSF33" s="10"/>
      <c r="DSG33" s="36"/>
      <c r="DSH33" s="37"/>
      <c r="DSI33" s="37"/>
      <c r="DSO33" s="2"/>
      <c r="DSP33" s="29"/>
      <c r="DSV33" s="10"/>
      <c r="DSW33" s="36"/>
      <c r="DSX33" s="37"/>
      <c r="DSY33" s="37"/>
      <c r="DTE33" s="2"/>
      <c r="DTF33" s="29"/>
      <c r="DTL33" s="10"/>
      <c r="DTM33" s="36"/>
      <c r="DTN33" s="37"/>
      <c r="DTO33" s="37"/>
      <c r="DTU33" s="2"/>
      <c r="DTV33" s="29"/>
      <c r="DUB33" s="10"/>
      <c r="DUC33" s="36"/>
      <c r="DUD33" s="37"/>
      <c r="DUE33" s="37"/>
      <c r="DUK33" s="2"/>
      <c r="DUL33" s="29"/>
      <c r="DUR33" s="10"/>
      <c r="DUS33" s="36"/>
      <c r="DUT33" s="37"/>
      <c r="DUU33" s="37"/>
      <c r="DVA33" s="2"/>
      <c r="DVB33" s="29"/>
      <c r="DVH33" s="10"/>
      <c r="DVI33" s="36"/>
      <c r="DVJ33" s="37"/>
      <c r="DVK33" s="37"/>
      <c r="DVQ33" s="2"/>
      <c r="DVR33" s="29"/>
      <c r="DVX33" s="10"/>
      <c r="DVY33" s="36"/>
      <c r="DVZ33" s="37"/>
      <c r="DWA33" s="37"/>
      <c r="DWG33" s="2"/>
      <c r="DWH33" s="29"/>
      <c r="DWN33" s="10"/>
      <c r="DWO33" s="36"/>
      <c r="DWP33" s="37"/>
      <c r="DWQ33" s="37"/>
      <c r="DWW33" s="2"/>
      <c r="DWX33" s="29"/>
      <c r="DXD33" s="10"/>
      <c r="DXE33" s="36"/>
      <c r="DXF33" s="37"/>
      <c r="DXG33" s="37"/>
      <c r="DXM33" s="2"/>
      <c r="DXN33" s="29"/>
      <c r="DXT33" s="10"/>
      <c r="DXU33" s="36"/>
      <c r="DXV33" s="37"/>
      <c r="DXW33" s="37"/>
      <c r="DYC33" s="2"/>
      <c r="DYD33" s="29"/>
      <c r="DYJ33" s="10"/>
      <c r="DYK33" s="36"/>
      <c r="DYL33" s="37"/>
      <c r="DYM33" s="37"/>
      <c r="DYS33" s="2"/>
      <c r="DYT33" s="29"/>
      <c r="DYZ33" s="10"/>
      <c r="DZA33" s="36"/>
      <c r="DZB33" s="37"/>
      <c r="DZC33" s="37"/>
      <c r="DZI33" s="2"/>
      <c r="DZJ33" s="29"/>
      <c r="DZP33" s="10"/>
      <c r="DZQ33" s="36"/>
      <c r="DZR33" s="37"/>
      <c r="DZS33" s="37"/>
      <c r="DZY33" s="2"/>
      <c r="DZZ33" s="29"/>
      <c r="EAF33" s="10"/>
      <c r="EAG33" s="36"/>
      <c r="EAH33" s="37"/>
      <c r="EAI33" s="37"/>
      <c r="EAO33" s="2"/>
      <c r="EAP33" s="29"/>
      <c r="EAV33" s="10"/>
      <c r="EAW33" s="36"/>
      <c r="EAX33" s="37"/>
      <c r="EAY33" s="37"/>
      <c r="EBE33" s="2"/>
      <c r="EBF33" s="29"/>
      <c r="EBL33" s="10"/>
      <c r="EBM33" s="36"/>
      <c r="EBN33" s="37"/>
      <c r="EBO33" s="37"/>
      <c r="EBU33" s="2"/>
      <c r="EBV33" s="29"/>
      <c r="ECB33" s="10"/>
      <c r="ECC33" s="36"/>
      <c r="ECD33" s="37"/>
      <c r="ECE33" s="37"/>
      <c r="ECK33" s="2"/>
      <c r="ECL33" s="29"/>
      <c r="ECR33" s="10"/>
      <c r="ECS33" s="36"/>
      <c r="ECT33" s="37"/>
      <c r="ECU33" s="37"/>
      <c r="EDA33" s="2"/>
      <c r="EDB33" s="29"/>
      <c r="EDH33" s="10"/>
      <c r="EDI33" s="36"/>
      <c r="EDJ33" s="37"/>
      <c r="EDK33" s="37"/>
      <c r="EDQ33" s="2"/>
      <c r="EDR33" s="29"/>
      <c r="EDX33" s="10"/>
      <c r="EDY33" s="36"/>
      <c r="EDZ33" s="37"/>
      <c r="EEA33" s="37"/>
      <c r="EEG33" s="2"/>
      <c r="EEH33" s="29"/>
      <c r="EEN33" s="10"/>
      <c r="EEO33" s="36"/>
      <c r="EEP33" s="37"/>
      <c r="EEQ33" s="37"/>
      <c r="EEW33" s="2"/>
      <c r="EEX33" s="29"/>
      <c r="EFD33" s="10"/>
      <c r="EFE33" s="36"/>
      <c r="EFF33" s="37"/>
      <c r="EFG33" s="37"/>
      <c r="EFM33" s="2"/>
      <c r="EFN33" s="29"/>
      <c r="EFT33" s="10"/>
      <c r="EFU33" s="36"/>
      <c r="EFV33" s="37"/>
      <c r="EFW33" s="37"/>
      <c r="EGC33" s="2"/>
      <c r="EGD33" s="29"/>
      <c r="EGJ33" s="10"/>
      <c r="EGK33" s="36"/>
      <c r="EGL33" s="37"/>
      <c r="EGM33" s="37"/>
      <c r="EGS33" s="2"/>
      <c r="EGT33" s="29"/>
      <c r="EGZ33" s="10"/>
      <c r="EHA33" s="36"/>
      <c r="EHB33" s="37"/>
      <c r="EHC33" s="37"/>
      <c r="EHI33" s="2"/>
      <c r="EHJ33" s="29"/>
      <c r="EHP33" s="10"/>
      <c r="EHQ33" s="36"/>
      <c r="EHR33" s="37"/>
      <c r="EHS33" s="37"/>
      <c r="EHY33" s="2"/>
      <c r="EHZ33" s="29"/>
      <c r="EIF33" s="10"/>
      <c r="EIG33" s="36"/>
      <c r="EIH33" s="37"/>
      <c r="EII33" s="37"/>
      <c r="EIO33" s="2"/>
      <c r="EIP33" s="29"/>
      <c r="EIV33" s="10"/>
      <c r="EIW33" s="36"/>
      <c r="EIX33" s="37"/>
      <c r="EIY33" s="37"/>
      <c r="EJE33" s="2"/>
      <c r="EJF33" s="29"/>
      <c r="EJL33" s="10"/>
      <c r="EJM33" s="36"/>
      <c r="EJN33" s="37"/>
      <c r="EJO33" s="37"/>
      <c r="EJU33" s="2"/>
      <c r="EJV33" s="29"/>
      <c r="EKB33" s="10"/>
      <c r="EKC33" s="36"/>
      <c r="EKD33" s="37"/>
      <c r="EKE33" s="37"/>
      <c r="EKK33" s="2"/>
      <c r="EKL33" s="29"/>
      <c r="EKR33" s="10"/>
      <c r="EKS33" s="36"/>
      <c r="EKT33" s="37"/>
      <c r="EKU33" s="37"/>
      <c r="ELA33" s="2"/>
      <c r="ELB33" s="29"/>
      <c r="ELH33" s="10"/>
      <c r="ELI33" s="36"/>
      <c r="ELJ33" s="37"/>
      <c r="ELK33" s="37"/>
      <c r="ELQ33" s="2"/>
      <c r="ELR33" s="29"/>
      <c r="ELX33" s="10"/>
      <c r="ELY33" s="36"/>
      <c r="ELZ33" s="37"/>
      <c r="EMA33" s="37"/>
      <c r="EMG33" s="2"/>
      <c r="EMH33" s="29"/>
      <c r="EMN33" s="10"/>
      <c r="EMO33" s="36"/>
      <c r="EMP33" s="37"/>
      <c r="EMQ33" s="37"/>
      <c r="EMW33" s="2"/>
      <c r="EMX33" s="29"/>
      <c r="END33" s="10"/>
      <c r="ENE33" s="36"/>
      <c r="ENF33" s="37"/>
      <c r="ENG33" s="37"/>
      <c r="ENM33" s="2"/>
      <c r="ENN33" s="29"/>
      <c r="ENT33" s="10"/>
      <c r="ENU33" s="36"/>
      <c r="ENV33" s="37"/>
      <c r="ENW33" s="37"/>
      <c r="EOC33" s="2"/>
      <c r="EOD33" s="29"/>
      <c r="EOJ33" s="10"/>
      <c r="EOK33" s="36"/>
      <c r="EOL33" s="37"/>
      <c r="EOM33" s="37"/>
      <c r="EOS33" s="2"/>
      <c r="EOT33" s="29"/>
      <c r="EOZ33" s="10"/>
      <c r="EPA33" s="36"/>
      <c r="EPB33" s="37"/>
      <c r="EPC33" s="37"/>
      <c r="EPI33" s="2"/>
      <c r="EPJ33" s="29"/>
      <c r="EPP33" s="10"/>
      <c r="EPQ33" s="36"/>
      <c r="EPR33" s="37"/>
      <c r="EPS33" s="37"/>
      <c r="EPY33" s="2"/>
      <c r="EPZ33" s="29"/>
      <c r="EQF33" s="10"/>
      <c r="EQG33" s="36"/>
      <c r="EQH33" s="37"/>
      <c r="EQI33" s="37"/>
      <c r="EQO33" s="2"/>
      <c r="EQP33" s="29"/>
      <c r="EQV33" s="10"/>
      <c r="EQW33" s="36"/>
      <c r="EQX33" s="37"/>
      <c r="EQY33" s="37"/>
      <c r="ERE33" s="2"/>
      <c r="ERF33" s="29"/>
      <c r="ERL33" s="10"/>
      <c r="ERM33" s="36"/>
      <c r="ERN33" s="37"/>
      <c r="ERO33" s="37"/>
      <c r="ERU33" s="2"/>
      <c r="ERV33" s="29"/>
      <c r="ESB33" s="10"/>
      <c r="ESC33" s="36"/>
      <c r="ESD33" s="37"/>
      <c r="ESE33" s="37"/>
      <c r="ESK33" s="2"/>
      <c r="ESL33" s="29"/>
      <c r="ESR33" s="10"/>
      <c r="ESS33" s="36"/>
      <c r="EST33" s="37"/>
      <c r="ESU33" s="37"/>
      <c r="ETA33" s="2"/>
      <c r="ETB33" s="29"/>
      <c r="ETH33" s="10"/>
      <c r="ETI33" s="36"/>
      <c r="ETJ33" s="37"/>
      <c r="ETK33" s="37"/>
      <c r="ETQ33" s="2"/>
      <c r="ETR33" s="29"/>
      <c r="ETX33" s="10"/>
      <c r="ETY33" s="36"/>
      <c r="ETZ33" s="37"/>
      <c r="EUA33" s="37"/>
      <c r="EUG33" s="2"/>
      <c r="EUH33" s="29"/>
      <c r="EUN33" s="10"/>
      <c r="EUO33" s="36"/>
      <c r="EUP33" s="37"/>
      <c r="EUQ33" s="37"/>
      <c r="EUW33" s="2"/>
      <c r="EUX33" s="29"/>
      <c r="EVD33" s="10"/>
      <c r="EVE33" s="36"/>
      <c r="EVF33" s="37"/>
      <c r="EVG33" s="37"/>
      <c r="EVM33" s="2"/>
      <c r="EVN33" s="29"/>
      <c r="EVT33" s="10"/>
      <c r="EVU33" s="36"/>
      <c r="EVV33" s="37"/>
      <c r="EVW33" s="37"/>
      <c r="EWC33" s="2"/>
      <c r="EWD33" s="29"/>
      <c r="EWJ33" s="10"/>
      <c r="EWK33" s="36"/>
      <c r="EWL33" s="37"/>
      <c r="EWM33" s="37"/>
      <c r="EWS33" s="2"/>
      <c r="EWT33" s="29"/>
      <c r="EWZ33" s="10"/>
      <c r="EXA33" s="36"/>
      <c r="EXB33" s="37"/>
      <c r="EXC33" s="37"/>
      <c r="EXI33" s="2"/>
      <c r="EXJ33" s="29"/>
      <c r="EXP33" s="10"/>
      <c r="EXQ33" s="36"/>
      <c r="EXR33" s="37"/>
      <c r="EXS33" s="37"/>
      <c r="EXY33" s="2"/>
      <c r="EXZ33" s="29"/>
      <c r="EYF33" s="10"/>
      <c r="EYG33" s="36"/>
      <c r="EYH33" s="37"/>
      <c r="EYI33" s="37"/>
      <c r="EYO33" s="2"/>
      <c r="EYP33" s="29"/>
      <c r="EYV33" s="10"/>
      <c r="EYW33" s="36"/>
      <c r="EYX33" s="37"/>
      <c r="EYY33" s="37"/>
      <c r="EZE33" s="2"/>
      <c r="EZF33" s="29"/>
      <c r="EZL33" s="10"/>
      <c r="EZM33" s="36"/>
      <c r="EZN33" s="37"/>
      <c r="EZO33" s="37"/>
      <c r="EZU33" s="2"/>
      <c r="EZV33" s="29"/>
      <c r="FAB33" s="10"/>
      <c r="FAC33" s="36"/>
      <c r="FAD33" s="37"/>
      <c r="FAE33" s="37"/>
      <c r="FAK33" s="2"/>
      <c r="FAL33" s="29"/>
      <c r="FAR33" s="10"/>
      <c r="FAS33" s="36"/>
      <c r="FAT33" s="37"/>
      <c r="FAU33" s="37"/>
      <c r="FBA33" s="2"/>
      <c r="FBB33" s="29"/>
      <c r="FBH33" s="10"/>
      <c r="FBI33" s="36"/>
      <c r="FBJ33" s="37"/>
      <c r="FBK33" s="37"/>
      <c r="FBQ33" s="2"/>
      <c r="FBR33" s="29"/>
      <c r="FBX33" s="10"/>
      <c r="FBY33" s="36"/>
      <c r="FBZ33" s="37"/>
      <c r="FCA33" s="37"/>
      <c r="FCG33" s="2"/>
      <c r="FCH33" s="29"/>
      <c r="FCN33" s="10"/>
      <c r="FCO33" s="36"/>
      <c r="FCP33" s="37"/>
      <c r="FCQ33" s="37"/>
      <c r="FCW33" s="2"/>
      <c r="FCX33" s="29"/>
      <c r="FDD33" s="10"/>
      <c r="FDE33" s="36"/>
      <c r="FDF33" s="37"/>
      <c r="FDG33" s="37"/>
      <c r="FDM33" s="2"/>
      <c r="FDN33" s="29"/>
      <c r="FDT33" s="10"/>
      <c r="FDU33" s="36"/>
      <c r="FDV33" s="37"/>
      <c r="FDW33" s="37"/>
      <c r="FEC33" s="2"/>
      <c r="FED33" s="29"/>
      <c r="FEJ33" s="10"/>
      <c r="FEK33" s="36"/>
      <c r="FEL33" s="37"/>
      <c r="FEM33" s="37"/>
      <c r="FES33" s="2"/>
      <c r="FET33" s="29"/>
      <c r="FEZ33" s="10"/>
      <c r="FFA33" s="36"/>
      <c r="FFB33" s="37"/>
      <c r="FFC33" s="37"/>
      <c r="FFI33" s="2"/>
      <c r="FFJ33" s="29"/>
      <c r="FFP33" s="10"/>
      <c r="FFQ33" s="36"/>
      <c r="FFR33" s="37"/>
      <c r="FFS33" s="37"/>
      <c r="FFY33" s="2"/>
      <c r="FFZ33" s="29"/>
      <c r="FGF33" s="10"/>
      <c r="FGG33" s="36"/>
      <c r="FGH33" s="37"/>
      <c r="FGI33" s="37"/>
      <c r="FGO33" s="2"/>
      <c r="FGP33" s="29"/>
      <c r="FGV33" s="10"/>
      <c r="FGW33" s="36"/>
      <c r="FGX33" s="37"/>
      <c r="FGY33" s="37"/>
      <c r="FHE33" s="2"/>
      <c r="FHF33" s="29"/>
      <c r="FHL33" s="10"/>
      <c r="FHM33" s="36"/>
      <c r="FHN33" s="37"/>
      <c r="FHO33" s="37"/>
      <c r="FHU33" s="2"/>
      <c r="FHV33" s="29"/>
      <c r="FIB33" s="10"/>
      <c r="FIC33" s="36"/>
      <c r="FID33" s="37"/>
      <c r="FIE33" s="37"/>
      <c r="FIK33" s="2"/>
      <c r="FIL33" s="29"/>
      <c r="FIR33" s="10"/>
      <c r="FIS33" s="36"/>
      <c r="FIT33" s="37"/>
      <c r="FIU33" s="37"/>
      <c r="FJA33" s="2"/>
      <c r="FJB33" s="29"/>
      <c r="FJH33" s="10"/>
      <c r="FJI33" s="36"/>
      <c r="FJJ33" s="37"/>
      <c r="FJK33" s="37"/>
      <c r="FJQ33" s="2"/>
      <c r="FJR33" s="29"/>
      <c r="FJX33" s="10"/>
      <c r="FJY33" s="36"/>
      <c r="FJZ33" s="37"/>
      <c r="FKA33" s="37"/>
      <c r="FKG33" s="2"/>
      <c r="FKH33" s="29"/>
      <c r="FKN33" s="10"/>
      <c r="FKO33" s="36"/>
      <c r="FKP33" s="37"/>
      <c r="FKQ33" s="37"/>
      <c r="FKW33" s="2"/>
      <c r="FKX33" s="29"/>
      <c r="FLD33" s="10"/>
      <c r="FLE33" s="36"/>
      <c r="FLF33" s="37"/>
      <c r="FLG33" s="37"/>
      <c r="FLM33" s="2"/>
      <c r="FLN33" s="29"/>
      <c r="FLT33" s="10"/>
      <c r="FLU33" s="36"/>
      <c r="FLV33" s="37"/>
      <c r="FLW33" s="37"/>
      <c r="FMC33" s="2"/>
      <c r="FMD33" s="29"/>
      <c r="FMJ33" s="10"/>
      <c r="FMK33" s="36"/>
      <c r="FML33" s="37"/>
      <c r="FMM33" s="37"/>
      <c r="FMS33" s="2"/>
      <c r="FMT33" s="29"/>
      <c r="FMZ33" s="10"/>
      <c r="FNA33" s="36"/>
      <c r="FNB33" s="37"/>
      <c r="FNC33" s="37"/>
      <c r="FNI33" s="2"/>
      <c r="FNJ33" s="29"/>
      <c r="FNP33" s="10"/>
      <c r="FNQ33" s="36"/>
      <c r="FNR33" s="37"/>
      <c r="FNS33" s="37"/>
      <c r="FNY33" s="2"/>
      <c r="FNZ33" s="29"/>
      <c r="FOF33" s="10"/>
      <c r="FOG33" s="36"/>
      <c r="FOH33" s="37"/>
      <c r="FOI33" s="37"/>
      <c r="FOO33" s="2"/>
      <c r="FOP33" s="29"/>
      <c r="FOV33" s="10"/>
      <c r="FOW33" s="36"/>
      <c r="FOX33" s="37"/>
      <c r="FOY33" s="37"/>
      <c r="FPE33" s="2"/>
      <c r="FPF33" s="29"/>
      <c r="FPL33" s="10"/>
      <c r="FPM33" s="36"/>
      <c r="FPN33" s="37"/>
      <c r="FPO33" s="37"/>
      <c r="FPU33" s="2"/>
      <c r="FPV33" s="29"/>
      <c r="FQB33" s="10"/>
      <c r="FQC33" s="36"/>
      <c r="FQD33" s="37"/>
      <c r="FQE33" s="37"/>
      <c r="FQK33" s="2"/>
      <c r="FQL33" s="29"/>
      <c r="FQR33" s="10"/>
      <c r="FQS33" s="36"/>
      <c r="FQT33" s="37"/>
      <c r="FQU33" s="37"/>
      <c r="FRA33" s="2"/>
      <c r="FRB33" s="29"/>
      <c r="FRH33" s="10"/>
      <c r="FRI33" s="36"/>
      <c r="FRJ33" s="37"/>
      <c r="FRK33" s="37"/>
      <c r="FRQ33" s="2"/>
      <c r="FRR33" s="29"/>
      <c r="FRX33" s="10"/>
      <c r="FRY33" s="36"/>
      <c r="FRZ33" s="37"/>
      <c r="FSA33" s="37"/>
      <c r="FSG33" s="2"/>
      <c r="FSH33" s="29"/>
      <c r="FSN33" s="10"/>
      <c r="FSO33" s="36"/>
      <c r="FSP33" s="37"/>
      <c r="FSQ33" s="37"/>
      <c r="FSW33" s="2"/>
      <c r="FSX33" s="29"/>
      <c r="FTD33" s="10"/>
      <c r="FTE33" s="36"/>
      <c r="FTF33" s="37"/>
      <c r="FTG33" s="37"/>
      <c r="FTM33" s="2"/>
      <c r="FTN33" s="29"/>
      <c r="FTT33" s="10"/>
      <c r="FTU33" s="36"/>
      <c r="FTV33" s="37"/>
      <c r="FTW33" s="37"/>
      <c r="FUC33" s="2"/>
      <c r="FUD33" s="29"/>
      <c r="FUJ33" s="10"/>
      <c r="FUK33" s="36"/>
      <c r="FUL33" s="37"/>
      <c r="FUM33" s="37"/>
      <c r="FUS33" s="2"/>
      <c r="FUT33" s="29"/>
      <c r="FUZ33" s="10"/>
      <c r="FVA33" s="36"/>
      <c r="FVB33" s="37"/>
      <c r="FVC33" s="37"/>
      <c r="FVI33" s="2"/>
      <c r="FVJ33" s="29"/>
      <c r="FVP33" s="10"/>
      <c r="FVQ33" s="36"/>
      <c r="FVR33" s="37"/>
      <c r="FVS33" s="37"/>
      <c r="FVY33" s="2"/>
      <c r="FVZ33" s="29"/>
      <c r="FWF33" s="10"/>
      <c r="FWG33" s="36"/>
      <c r="FWH33" s="37"/>
      <c r="FWI33" s="37"/>
      <c r="FWO33" s="2"/>
      <c r="FWP33" s="29"/>
      <c r="FWV33" s="10"/>
      <c r="FWW33" s="36"/>
      <c r="FWX33" s="37"/>
      <c r="FWY33" s="37"/>
      <c r="FXE33" s="2"/>
      <c r="FXF33" s="29"/>
      <c r="FXL33" s="10"/>
      <c r="FXM33" s="36"/>
      <c r="FXN33" s="37"/>
      <c r="FXO33" s="37"/>
      <c r="FXU33" s="2"/>
      <c r="FXV33" s="29"/>
      <c r="FYB33" s="10"/>
      <c r="FYC33" s="36"/>
      <c r="FYD33" s="37"/>
      <c r="FYE33" s="37"/>
      <c r="FYK33" s="2"/>
      <c r="FYL33" s="29"/>
      <c r="FYR33" s="10"/>
      <c r="FYS33" s="36"/>
      <c r="FYT33" s="37"/>
      <c r="FYU33" s="37"/>
      <c r="FZA33" s="2"/>
      <c r="FZB33" s="29"/>
      <c r="FZH33" s="10"/>
      <c r="FZI33" s="36"/>
      <c r="FZJ33" s="37"/>
      <c r="FZK33" s="37"/>
      <c r="FZQ33" s="2"/>
      <c r="FZR33" s="29"/>
      <c r="FZX33" s="10"/>
      <c r="FZY33" s="36"/>
      <c r="FZZ33" s="37"/>
      <c r="GAA33" s="37"/>
      <c r="GAG33" s="2"/>
      <c r="GAH33" s="29"/>
      <c r="GAN33" s="10"/>
      <c r="GAO33" s="36"/>
      <c r="GAP33" s="37"/>
      <c r="GAQ33" s="37"/>
      <c r="GAW33" s="2"/>
      <c r="GAX33" s="29"/>
      <c r="GBD33" s="10"/>
      <c r="GBE33" s="36"/>
      <c r="GBF33" s="37"/>
      <c r="GBG33" s="37"/>
      <c r="GBM33" s="2"/>
      <c r="GBN33" s="29"/>
      <c r="GBT33" s="10"/>
      <c r="GBU33" s="36"/>
      <c r="GBV33" s="37"/>
      <c r="GBW33" s="37"/>
      <c r="GCC33" s="2"/>
      <c r="GCD33" s="29"/>
      <c r="GCJ33" s="10"/>
      <c r="GCK33" s="36"/>
      <c r="GCL33" s="37"/>
      <c r="GCM33" s="37"/>
      <c r="GCS33" s="2"/>
      <c r="GCT33" s="29"/>
      <c r="GCZ33" s="10"/>
      <c r="GDA33" s="36"/>
      <c r="GDB33" s="37"/>
      <c r="GDC33" s="37"/>
      <c r="GDI33" s="2"/>
      <c r="GDJ33" s="29"/>
      <c r="GDP33" s="10"/>
      <c r="GDQ33" s="36"/>
      <c r="GDR33" s="37"/>
      <c r="GDS33" s="37"/>
      <c r="GDY33" s="2"/>
      <c r="GDZ33" s="29"/>
      <c r="GEF33" s="10"/>
      <c r="GEG33" s="36"/>
      <c r="GEH33" s="37"/>
      <c r="GEI33" s="37"/>
      <c r="GEO33" s="2"/>
      <c r="GEP33" s="29"/>
      <c r="GEV33" s="10"/>
      <c r="GEW33" s="36"/>
      <c r="GEX33" s="37"/>
      <c r="GEY33" s="37"/>
      <c r="GFE33" s="2"/>
      <c r="GFF33" s="29"/>
      <c r="GFL33" s="10"/>
      <c r="GFM33" s="36"/>
      <c r="GFN33" s="37"/>
      <c r="GFO33" s="37"/>
      <c r="GFU33" s="2"/>
      <c r="GFV33" s="29"/>
      <c r="GGB33" s="10"/>
      <c r="GGC33" s="36"/>
      <c r="GGD33" s="37"/>
      <c r="GGE33" s="37"/>
      <c r="GGK33" s="2"/>
      <c r="GGL33" s="29"/>
      <c r="GGR33" s="10"/>
      <c r="GGS33" s="36"/>
      <c r="GGT33" s="37"/>
      <c r="GGU33" s="37"/>
      <c r="GHA33" s="2"/>
      <c r="GHB33" s="29"/>
      <c r="GHH33" s="10"/>
      <c r="GHI33" s="36"/>
      <c r="GHJ33" s="37"/>
      <c r="GHK33" s="37"/>
      <c r="GHQ33" s="2"/>
      <c r="GHR33" s="29"/>
      <c r="GHX33" s="10"/>
      <c r="GHY33" s="36"/>
      <c r="GHZ33" s="37"/>
      <c r="GIA33" s="37"/>
      <c r="GIG33" s="2"/>
      <c r="GIH33" s="29"/>
      <c r="GIN33" s="10"/>
      <c r="GIO33" s="36"/>
      <c r="GIP33" s="37"/>
      <c r="GIQ33" s="37"/>
      <c r="GIW33" s="2"/>
      <c r="GIX33" s="29"/>
      <c r="GJD33" s="10"/>
      <c r="GJE33" s="36"/>
      <c r="GJF33" s="37"/>
      <c r="GJG33" s="37"/>
      <c r="GJM33" s="2"/>
      <c r="GJN33" s="29"/>
      <c r="GJT33" s="10"/>
      <c r="GJU33" s="36"/>
      <c r="GJV33" s="37"/>
      <c r="GJW33" s="37"/>
      <c r="GKC33" s="2"/>
      <c r="GKD33" s="29"/>
      <c r="GKJ33" s="10"/>
      <c r="GKK33" s="36"/>
      <c r="GKL33" s="37"/>
      <c r="GKM33" s="37"/>
      <c r="GKS33" s="2"/>
      <c r="GKT33" s="29"/>
      <c r="GKZ33" s="10"/>
      <c r="GLA33" s="36"/>
      <c r="GLB33" s="37"/>
      <c r="GLC33" s="37"/>
      <c r="GLI33" s="2"/>
      <c r="GLJ33" s="29"/>
      <c r="GLP33" s="10"/>
      <c r="GLQ33" s="36"/>
      <c r="GLR33" s="37"/>
      <c r="GLS33" s="37"/>
      <c r="GLY33" s="2"/>
      <c r="GLZ33" s="29"/>
      <c r="GMF33" s="10"/>
      <c r="GMG33" s="36"/>
      <c r="GMH33" s="37"/>
      <c r="GMI33" s="37"/>
      <c r="GMO33" s="2"/>
      <c r="GMP33" s="29"/>
      <c r="GMV33" s="10"/>
      <c r="GMW33" s="36"/>
      <c r="GMX33" s="37"/>
      <c r="GMY33" s="37"/>
      <c r="GNE33" s="2"/>
      <c r="GNF33" s="29"/>
      <c r="GNL33" s="10"/>
      <c r="GNM33" s="36"/>
      <c r="GNN33" s="37"/>
      <c r="GNO33" s="37"/>
      <c r="GNU33" s="2"/>
      <c r="GNV33" s="29"/>
      <c r="GOB33" s="10"/>
      <c r="GOC33" s="36"/>
      <c r="GOD33" s="37"/>
      <c r="GOE33" s="37"/>
      <c r="GOK33" s="2"/>
      <c r="GOL33" s="29"/>
      <c r="GOR33" s="10"/>
      <c r="GOS33" s="36"/>
      <c r="GOT33" s="37"/>
      <c r="GOU33" s="37"/>
      <c r="GPA33" s="2"/>
      <c r="GPB33" s="29"/>
      <c r="GPH33" s="10"/>
      <c r="GPI33" s="36"/>
      <c r="GPJ33" s="37"/>
      <c r="GPK33" s="37"/>
      <c r="GPQ33" s="2"/>
      <c r="GPR33" s="29"/>
      <c r="GPX33" s="10"/>
      <c r="GPY33" s="36"/>
      <c r="GPZ33" s="37"/>
      <c r="GQA33" s="37"/>
      <c r="GQG33" s="2"/>
      <c r="GQH33" s="29"/>
      <c r="GQN33" s="10"/>
      <c r="GQO33" s="36"/>
      <c r="GQP33" s="37"/>
      <c r="GQQ33" s="37"/>
      <c r="GQW33" s="2"/>
      <c r="GQX33" s="29"/>
      <c r="GRD33" s="10"/>
      <c r="GRE33" s="36"/>
      <c r="GRF33" s="37"/>
      <c r="GRG33" s="37"/>
      <c r="GRM33" s="2"/>
      <c r="GRN33" s="29"/>
      <c r="GRT33" s="10"/>
      <c r="GRU33" s="36"/>
      <c r="GRV33" s="37"/>
      <c r="GRW33" s="37"/>
      <c r="GSC33" s="2"/>
      <c r="GSD33" s="29"/>
      <c r="GSJ33" s="10"/>
      <c r="GSK33" s="36"/>
      <c r="GSL33" s="37"/>
      <c r="GSM33" s="37"/>
      <c r="GSS33" s="2"/>
      <c r="GST33" s="29"/>
      <c r="GSZ33" s="10"/>
      <c r="GTA33" s="36"/>
      <c r="GTB33" s="37"/>
      <c r="GTC33" s="37"/>
      <c r="GTI33" s="2"/>
      <c r="GTJ33" s="29"/>
      <c r="GTP33" s="10"/>
      <c r="GTQ33" s="36"/>
      <c r="GTR33" s="37"/>
      <c r="GTS33" s="37"/>
      <c r="GTY33" s="2"/>
      <c r="GTZ33" s="29"/>
      <c r="GUF33" s="10"/>
      <c r="GUG33" s="36"/>
      <c r="GUH33" s="37"/>
      <c r="GUI33" s="37"/>
      <c r="GUO33" s="2"/>
      <c r="GUP33" s="29"/>
      <c r="GUV33" s="10"/>
      <c r="GUW33" s="36"/>
      <c r="GUX33" s="37"/>
      <c r="GUY33" s="37"/>
      <c r="GVE33" s="2"/>
      <c r="GVF33" s="29"/>
      <c r="GVL33" s="10"/>
      <c r="GVM33" s="36"/>
      <c r="GVN33" s="37"/>
      <c r="GVO33" s="37"/>
      <c r="GVU33" s="2"/>
      <c r="GVV33" s="29"/>
      <c r="GWB33" s="10"/>
      <c r="GWC33" s="36"/>
      <c r="GWD33" s="37"/>
      <c r="GWE33" s="37"/>
      <c r="GWK33" s="2"/>
      <c r="GWL33" s="29"/>
      <c r="GWR33" s="10"/>
      <c r="GWS33" s="36"/>
      <c r="GWT33" s="37"/>
      <c r="GWU33" s="37"/>
      <c r="GXA33" s="2"/>
      <c r="GXB33" s="29"/>
      <c r="GXH33" s="10"/>
      <c r="GXI33" s="36"/>
      <c r="GXJ33" s="37"/>
      <c r="GXK33" s="37"/>
      <c r="GXQ33" s="2"/>
      <c r="GXR33" s="29"/>
      <c r="GXX33" s="10"/>
      <c r="GXY33" s="36"/>
      <c r="GXZ33" s="37"/>
      <c r="GYA33" s="37"/>
      <c r="GYG33" s="2"/>
      <c r="GYH33" s="29"/>
      <c r="GYN33" s="10"/>
      <c r="GYO33" s="36"/>
      <c r="GYP33" s="37"/>
      <c r="GYQ33" s="37"/>
      <c r="GYW33" s="2"/>
      <c r="GYX33" s="29"/>
      <c r="GZD33" s="10"/>
      <c r="GZE33" s="36"/>
      <c r="GZF33" s="37"/>
      <c r="GZG33" s="37"/>
      <c r="GZM33" s="2"/>
      <c r="GZN33" s="29"/>
      <c r="GZT33" s="10"/>
      <c r="GZU33" s="36"/>
      <c r="GZV33" s="37"/>
      <c r="GZW33" s="37"/>
      <c r="HAC33" s="2"/>
      <c r="HAD33" s="29"/>
      <c r="HAJ33" s="10"/>
      <c r="HAK33" s="36"/>
      <c r="HAL33" s="37"/>
      <c r="HAM33" s="37"/>
      <c r="HAS33" s="2"/>
      <c r="HAT33" s="29"/>
      <c r="HAZ33" s="10"/>
      <c r="HBA33" s="36"/>
      <c r="HBB33" s="37"/>
      <c r="HBC33" s="37"/>
      <c r="HBI33" s="2"/>
      <c r="HBJ33" s="29"/>
      <c r="HBP33" s="10"/>
      <c r="HBQ33" s="36"/>
      <c r="HBR33" s="37"/>
      <c r="HBS33" s="37"/>
      <c r="HBY33" s="2"/>
      <c r="HBZ33" s="29"/>
      <c r="HCF33" s="10"/>
      <c r="HCG33" s="36"/>
      <c r="HCH33" s="37"/>
      <c r="HCI33" s="37"/>
      <c r="HCO33" s="2"/>
      <c r="HCP33" s="29"/>
      <c r="HCV33" s="10"/>
      <c r="HCW33" s="36"/>
      <c r="HCX33" s="37"/>
      <c r="HCY33" s="37"/>
      <c r="HDE33" s="2"/>
      <c r="HDF33" s="29"/>
      <c r="HDL33" s="10"/>
      <c r="HDM33" s="36"/>
      <c r="HDN33" s="37"/>
      <c r="HDO33" s="37"/>
      <c r="HDU33" s="2"/>
      <c r="HDV33" s="29"/>
      <c r="HEB33" s="10"/>
      <c r="HEC33" s="36"/>
      <c r="HED33" s="37"/>
      <c r="HEE33" s="37"/>
      <c r="HEK33" s="2"/>
      <c r="HEL33" s="29"/>
      <c r="HER33" s="10"/>
      <c r="HES33" s="36"/>
      <c r="HET33" s="37"/>
      <c r="HEU33" s="37"/>
      <c r="HFA33" s="2"/>
      <c r="HFB33" s="29"/>
      <c r="HFH33" s="10"/>
      <c r="HFI33" s="36"/>
      <c r="HFJ33" s="37"/>
      <c r="HFK33" s="37"/>
      <c r="HFQ33" s="2"/>
      <c r="HFR33" s="29"/>
      <c r="HFX33" s="10"/>
      <c r="HFY33" s="36"/>
      <c r="HFZ33" s="37"/>
      <c r="HGA33" s="37"/>
      <c r="HGG33" s="2"/>
      <c r="HGH33" s="29"/>
      <c r="HGN33" s="10"/>
      <c r="HGO33" s="36"/>
      <c r="HGP33" s="37"/>
      <c r="HGQ33" s="37"/>
      <c r="HGW33" s="2"/>
      <c r="HGX33" s="29"/>
      <c r="HHD33" s="10"/>
      <c r="HHE33" s="36"/>
      <c r="HHF33" s="37"/>
      <c r="HHG33" s="37"/>
      <c r="HHM33" s="2"/>
      <c r="HHN33" s="29"/>
      <c r="HHT33" s="10"/>
      <c r="HHU33" s="36"/>
      <c r="HHV33" s="37"/>
      <c r="HHW33" s="37"/>
      <c r="HIC33" s="2"/>
      <c r="HID33" s="29"/>
      <c r="HIJ33" s="10"/>
      <c r="HIK33" s="36"/>
      <c r="HIL33" s="37"/>
      <c r="HIM33" s="37"/>
      <c r="HIS33" s="2"/>
      <c r="HIT33" s="29"/>
      <c r="HIZ33" s="10"/>
      <c r="HJA33" s="36"/>
      <c r="HJB33" s="37"/>
      <c r="HJC33" s="37"/>
      <c r="HJI33" s="2"/>
      <c r="HJJ33" s="29"/>
      <c r="HJP33" s="10"/>
      <c r="HJQ33" s="36"/>
      <c r="HJR33" s="37"/>
      <c r="HJS33" s="37"/>
      <c r="HJY33" s="2"/>
      <c r="HJZ33" s="29"/>
      <c r="HKF33" s="10"/>
      <c r="HKG33" s="36"/>
      <c r="HKH33" s="37"/>
      <c r="HKI33" s="37"/>
      <c r="HKO33" s="2"/>
      <c r="HKP33" s="29"/>
      <c r="HKV33" s="10"/>
      <c r="HKW33" s="36"/>
      <c r="HKX33" s="37"/>
      <c r="HKY33" s="37"/>
      <c r="HLE33" s="2"/>
      <c r="HLF33" s="29"/>
      <c r="HLL33" s="10"/>
      <c r="HLM33" s="36"/>
      <c r="HLN33" s="37"/>
      <c r="HLO33" s="37"/>
      <c r="HLU33" s="2"/>
      <c r="HLV33" s="29"/>
      <c r="HMB33" s="10"/>
      <c r="HMC33" s="36"/>
      <c r="HMD33" s="37"/>
      <c r="HME33" s="37"/>
      <c r="HMK33" s="2"/>
      <c r="HML33" s="29"/>
      <c r="HMR33" s="10"/>
      <c r="HMS33" s="36"/>
      <c r="HMT33" s="37"/>
      <c r="HMU33" s="37"/>
      <c r="HNA33" s="2"/>
      <c r="HNB33" s="29"/>
      <c r="HNH33" s="10"/>
      <c r="HNI33" s="36"/>
      <c r="HNJ33" s="37"/>
      <c r="HNK33" s="37"/>
      <c r="HNQ33" s="2"/>
      <c r="HNR33" s="29"/>
      <c r="HNX33" s="10"/>
      <c r="HNY33" s="36"/>
      <c r="HNZ33" s="37"/>
      <c r="HOA33" s="37"/>
      <c r="HOG33" s="2"/>
      <c r="HOH33" s="29"/>
      <c r="HON33" s="10"/>
      <c r="HOO33" s="36"/>
      <c r="HOP33" s="37"/>
      <c r="HOQ33" s="37"/>
      <c r="HOW33" s="2"/>
      <c r="HOX33" s="29"/>
      <c r="HPD33" s="10"/>
      <c r="HPE33" s="36"/>
      <c r="HPF33" s="37"/>
      <c r="HPG33" s="37"/>
      <c r="HPM33" s="2"/>
      <c r="HPN33" s="29"/>
      <c r="HPT33" s="10"/>
      <c r="HPU33" s="36"/>
      <c r="HPV33" s="37"/>
      <c r="HPW33" s="37"/>
      <c r="HQC33" s="2"/>
      <c r="HQD33" s="29"/>
      <c r="HQJ33" s="10"/>
      <c r="HQK33" s="36"/>
      <c r="HQL33" s="37"/>
      <c r="HQM33" s="37"/>
      <c r="HQS33" s="2"/>
      <c r="HQT33" s="29"/>
      <c r="HQZ33" s="10"/>
      <c r="HRA33" s="36"/>
      <c r="HRB33" s="37"/>
      <c r="HRC33" s="37"/>
      <c r="HRI33" s="2"/>
      <c r="HRJ33" s="29"/>
      <c r="HRP33" s="10"/>
      <c r="HRQ33" s="36"/>
      <c r="HRR33" s="37"/>
      <c r="HRS33" s="37"/>
      <c r="HRY33" s="2"/>
      <c r="HRZ33" s="29"/>
      <c r="HSF33" s="10"/>
      <c r="HSG33" s="36"/>
      <c r="HSH33" s="37"/>
      <c r="HSI33" s="37"/>
      <c r="HSO33" s="2"/>
      <c r="HSP33" s="29"/>
      <c r="HSV33" s="10"/>
      <c r="HSW33" s="36"/>
      <c r="HSX33" s="37"/>
      <c r="HSY33" s="37"/>
      <c r="HTE33" s="2"/>
      <c r="HTF33" s="29"/>
      <c r="HTL33" s="10"/>
      <c r="HTM33" s="36"/>
      <c r="HTN33" s="37"/>
      <c r="HTO33" s="37"/>
      <c r="HTU33" s="2"/>
      <c r="HTV33" s="29"/>
      <c r="HUB33" s="10"/>
      <c r="HUC33" s="36"/>
      <c r="HUD33" s="37"/>
      <c r="HUE33" s="37"/>
      <c r="HUK33" s="2"/>
      <c r="HUL33" s="29"/>
      <c r="HUR33" s="10"/>
      <c r="HUS33" s="36"/>
      <c r="HUT33" s="37"/>
      <c r="HUU33" s="37"/>
      <c r="HVA33" s="2"/>
      <c r="HVB33" s="29"/>
      <c r="HVH33" s="10"/>
      <c r="HVI33" s="36"/>
      <c r="HVJ33" s="37"/>
      <c r="HVK33" s="37"/>
      <c r="HVQ33" s="2"/>
      <c r="HVR33" s="29"/>
      <c r="HVX33" s="10"/>
      <c r="HVY33" s="36"/>
      <c r="HVZ33" s="37"/>
      <c r="HWA33" s="37"/>
      <c r="HWG33" s="2"/>
      <c r="HWH33" s="29"/>
      <c r="HWN33" s="10"/>
      <c r="HWO33" s="36"/>
      <c r="HWP33" s="37"/>
      <c r="HWQ33" s="37"/>
      <c r="HWW33" s="2"/>
      <c r="HWX33" s="29"/>
      <c r="HXD33" s="10"/>
      <c r="HXE33" s="36"/>
      <c r="HXF33" s="37"/>
      <c r="HXG33" s="37"/>
      <c r="HXM33" s="2"/>
      <c r="HXN33" s="29"/>
      <c r="HXT33" s="10"/>
      <c r="HXU33" s="36"/>
      <c r="HXV33" s="37"/>
      <c r="HXW33" s="37"/>
      <c r="HYC33" s="2"/>
      <c r="HYD33" s="29"/>
      <c r="HYJ33" s="10"/>
      <c r="HYK33" s="36"/>
      <c r="HYL33" s="37"/>
      <c r="HYM33" s="37"/>
      <c r="HYS33" s="2"/>
      <c r="HYT33" s="29"/>
      <c r="HYZ33" s="10"/>
      <c r="HZA33" s="36"/>
      <c r="HZB33" s="37"/>
      <c r="HZC33" s="37"/>
      <c r="HZI33" s="2"/>
      <c r="HZJ33" s="29"/>
      <c r="HZP33" s="10"/>
      <c r="HZQ33" s="36"/>
      <c r="HZR33" s="37"/>
      <c r="HZS33" s="37"/>
      <c r="HZY33" s="2"/>
      <c r="HZZ33" s="29"/>
      <c r="IAF33" s="10"/>
      <c r="IAG33" s="36"/>
      <c r="IAH33" s="37"/>
      <c r="IAI33" s="37"/>
      <c r="IAO33" s="2"/>
      <c r="IAP33" s="29"/>
      <c r="IAV33" s="10"/>
      <c r="IAW33" s="36"/>
      <c r="IAX33" s="37"/>
      <c r="IAY33" s="37"/>
      <c r="IBE33" s="2"/>
      <c r="IBF33" s="29"/>
      <c r="IBL33" s="10"/>
      <c r="IBM33" s="36"/>
      <c r="IBN33" s="37"/>
      <c r="IBO33" s="37"/>
      <c r="IBU33" s="2"/>
      <c r="IBV33" s="29"/>
      <c r="ICB33" s="10"/>
      <c r="ICC33" s="36"/>
      <c r="ICD33" s="37"/>
      <c r="ICE33" s="37"/>
      <c r="ICK33" s="2"/>
      <c r="ICL33" s="29"/>
      <c r="ICR33" s="10"/>
      <c r="ICS33" s="36"/>
      <c r="ICT33" s="37"/>
      <c r="ICU33" s="37"/>
      <c r="IDA33" s="2"/>
      <c r="IDB33" s="29"/>
      <c r="IDH33" s="10"/>
      <c r="IDI33" s="36"/>
      <c r="IDJ33" s="37"/>
      <c r="IDK33" s="37"/>
      <c r="IDQ33" s="2"/>
      <c r="IDR33" s="29"/>
      <c r="IDX33" s="10"/>
      <c r="IDY33" s="36"/>
      <c r="IDZ33" s="37"/>
      <c r="IEA33" s="37"/>
      <c r="IEG33" s="2"/>
      <c r="IEH33" s="29"/>
      <c r="IEN33" s="10"/>
      <c r="IEO33" s="36"/>
      <c r="IEP33" s="37"/>
      <c r="IEQ33" s="37"/>
      <c r="IEW33" s="2"/>
      <c r="IEX33" s="29"/>
      <c r="IFD33" s="10"/>
      <c r="IFE33" s="36"/>
      <c r="IFF33" s="37"/>
      <c r="IFG33" s="37"/>
      <c r="IFM33" s="2"/>
      <c r="IFN33" s="29"/>
      <c r="IFT33" s="10"/>
      <c r="IFU33" s="36"/>
      <c r="IFV33" s="37"/>
      <c r="IFW33" s="37"/>
      <c r="IGC33" s="2"/>
      <c r="IGD33" s="29"/>
      <c r="IGJ33" s="10"/>
      <c r="IGK33" s="36"/>
      <c r="IGL33" s="37"/>
      <c r="IGM33" s="37"/>
      <c r="IGS33" s="2"/>
      <c r="IGT33" s="29"/>
      <c r="IGZ33" s="10"/>
      <c r="IHA33" s="36"/>
      <c r="IHB33" s="37"/>
      <c r="IHC33" s="37"/>
      <c r="IHI33" s="2"/>
      <c r="IHJ33" s="29"/>
      <c r="IHP33" s="10"/>
      <c r="IHQ33" s="36"/>
      <c r="IHR33" s="37"/>
      <c r="IHS33" s="37"/>
      <c r="IHY33" s="2"/>
      <c r="IHZ33" s="29"/>
      <c r="IIF33" s="10"/>
      <c r="IIG33" s="36"/>
      <c r="IIH33" s="37"/>
      <c r="III33" s="37"/>
      <c r="IIO33" s="2"/>
      <c r="IIP33" s="29"/>
      <c r="IIV33" s="10"/>
      <c r="IIW33" s="36"/>
      <c r="IIX33" s="37"/>
      <c r="IIY33" s="37"/>
      <c r="IJE33" s="2"/>
      <c r="IJF33" s="29"/>
      <c r="IJL33" s="10"/>
      <c r="IJM33" s="36"/>
      <c r="IJN33" s="37"/>
      <c r="IJO33" s="37"/>
      <c r="IJU33" s="2"/>
      <c r="IJV33" s="29"/>
      <c r="IKB33" s="10"/>
      <c r="IKC33" s="36"/>
      <c r="IKD33" s="37"/>
      <c r="IKE33" s="37"/>
      <c r="IKK33" s="2"/>
      <c r="IKL33" s="29"/>
      <c r="IKR33" s="10"/>
      <c r="IKS33" s="36"/>
      <c r="IKT33" s="37"/>
      <c r="IKU33" s="37"/>
      <c r="ILA33" s="2"/>
      <c r="ILB33" s="29"/>
      <c r="ILH33" s="10"/>
      <c r="ILI33" s="36"/>
      <c r="ILJ33" s="37"/>
      <c r="ILK33" s="37"/>
      <c r="ILQ33" s="2"/>
      <c r="ILR33" s="29"/>
      <c r="ILX33" s="10"/>
      <c r="ILY33" s="36"/>
      <c r="ILZ33" s="37"/>
      <c r="IMA33" s="37"/>
      <c r="IMG33" s="2"/>
      <c r="IMH33" s="29"/>
      <c r="IMN33" s="10"/>
      <c r="IMO33" s="36"/>
      <c r="IMP33" s="37"/>
      <c r="IMQ33" s="37"/>
      <c r="IMW33" s="2"/>
      <c r="IMX33" s="29"/>
      <c r="IND33" s="10"/>
      <c r="INE33" s="36"/>
      <c r="INF33" s="37"/>
      <c r="ING33" s="37"/>
      <c r="INM33" s="2"/>
      <c r="INN33" s="29"/>
      <c r="INT33" s="10"/>
      <c r="INU33" s="36"/>
      <c r="INV33" s="37"/>
      <c r="INW33" s="37"/>
      <c r="IOC33" s="2"/>
      <c r="IOD33" s="29"/>
      <c r="IOJ33" s="10"/>
      <c r="IOK33" s="36"/>
      <c r="IOL33" s="37"/>
      <c r="IOM33" s="37"/>
      <c r="IOS33" s="2"/>
      <c r="IOT33" s="29"/>
      <c r="IOZ33" s="10"/>
      <c r="IPA33" s="36"/>
      <c r="IPB33" s="37"/>
      <c r="IPC33" s="37"/>
      <c r="IPI33" s="2"/>
      <c r="IPJ33" s="29"/>
      <c r="IPP33" s="10"/>
      <c r="IPQ33" s="36"/>
      <c r="IPR33" s="37"/>
      <c r="IPS33" s="37"/>
      <c r="IPY33" s="2"/>
      <c r="IPZ33" s="29"/>
      <c r="IQF33" s="10"/>
      <c r="IQG33" s="36"/>
      <c r="IQH33" s="37"/>
      <c r="IQI33" s="37"/>
      <c r="IQO33" s="2"/>
      <c r="IQP33" s="29"/>
      <c r="IQV33" s="10"/>
      <c r="IQW33" s="36"/>
      <c r="IQX33" s="37"/>
      <c r="IQY33" s="37"/>
      <c r="IRE33" s="2"/>
      <c r="IRF33" s="29"/>
      <c r="IRL33" s="10"/>
      <c r="IRM33" s="36"/>
      <c r="IRN33" s="37"/>
      <c r="IRO33" s="37"/>
      <c r="IRU33" s="2"/>
      <c r="IRV33" s="29"/>
      <c r="ISB33" s="10"/>
      <c r="ISC33" s="36"/>
      <c r="ISD33" s="37"/>
      <c r="ISE33" s="37"/>
      <c r="ISK33" s="2"/>
      <c r="ISL33" s="29"/>
      <c r="ISR33" s="10"/>
      <c r="ISS33" s="36"/>
      <c r="IST33" s="37"/>
      <c r="ISU33" s="37"/>
      <c r="ITA33" s="2"/>
      <c r="ITB33" s="29"/>
      <c r="ITH33" s="10"/>
      <c r="ITI33" s="36"/>
      <c r="ITJ33" s="37"/>
      <c r="ITK33" s="37"/>
      <c r="ITQ33" s="2"/>
      <c r="ITR33" s="29"/>
      <c r="ITX33" s="10"/>
      <c r="ITY33" s="36"/>
      <c r="ITZ33" s="37"/>
      <c r="IUA33" s="37"/>
      <c r="IUG33" s="2"/>
      <c r="IUH33" s="29"/>
      <c r="IUN33" s="10"/>
      <c r="IUO33" s="36"/>
      <c r="IUP33" s="37"/>
      <c r="IUQ33" s="37"/>
      <c r="IUW33" s="2"/>
      <c r="IUX33" s="29"/>
      <c r="IVD33" s="10"/>
      <c r="IVE33" s="36"/>
      <c r="IVF33" s="37"/>
      <c r="IVG33" s="37"/>
      <c r="IVM33" s="2"/>
      <c r="IVN33" s="29"/>
      <c r="IVT33" s="10"/>
      <c r="IVU33" s="36"/>
      <c r="IVV33" s="37"/>
      <c r="IVW33" s="37"/>
      <c r="IWC33" s="2"/>
      <c r="IWD33" s="29"/>
      <c r="IWJ33" s="10"/>
      <c r="IWK33" s="36"/>
      <c r="IWL33" s="37"/>
      <c r="IWM33" s="37"/>
      <c r="IWS33" s="2"/>
      <c r="IWT33" s="29"/>
      <c r="IWZ33" s="10"/>
      <c r="IXA33" s="36"/>
      <c r="IXB33" s="37"/>
      <c r="IXC33" s="37"/>
      <c r="IXI33" s="2"/>
      <c r="IXJ33" s="29"/>
      <c r="IXP33" s="10"/>
      <c r="IXQ33" s="36"/>
      <c r="IXR33" s="37"/>
      <c r="IXS33" s="37"/>
      <c r="IXY33" s="2"/>
      <c r="IXZ33" s="29"/>
      <c r="IYF33" s="10"/>
      <c r="IYG33" s="36"/>
      <c r="IYH33" s="37"/>
      <c r="IYI33" s="37"/>
      <c r="IYO33" s="2"/>
      <c r="IYP33" s="29"/>
      <c r="IYV33" s="10"/>
      <c r="IYW33" s="36"/>
      <c r="IYX33" s="37"/>
      <c r="IYY33" s="37"/>
      <c r="IZE33" s="2"/>
      <c r="IZF33" s="29"/>
      <c r="IZL33" s="10"/>
      <c r="IZM33" s="36"/>
      <c r="IZN33" s="37"/>
      <c r="IZO33" s="37"/>
      <c r="IZU33" s="2"/>
      <c r="IZV33" s="29"/>
      <c r="JAB33" s="10"/>
      <c r="JAC33" s="36"/>
      <c r="JAD33" s="37"/>
      <c r="JAE33" s="37"/>
      <c r="JAK33" s="2"/>
      <c r="JAL33" s="29"/>
      <c r="JAR33" s="10"/>
      <c r="JAS33" s="36"/>
      <c r="JAT33" s="37"/>
      <c r="JAU33" s="37"/>
      <c r="JBA33" s="2"/>
      <c r="JBB33" s="29"/>
      <c r="JBH33" s="10"/>
      <c r="JBI33" s="36"/>
      <c r="JBJ33" s="37"/>
      <c r="JBK33" s="37"/>
      <c r="JBQ33" s="2"/>
      <c r="JBR33" s="29"/>
      <c r="JBX33" s="10"/>
      <c r="JBY33" s="36"/>
      <c r="JBZ33" s="37"/>
      <c r="JCA33" s="37"/>
      <c r="JCG33" s="2"/>
      <c r="JCH33" s="29"/>
      <c r="JCN33" s="10"/>
      <c r="JCO33" s="36"/>
      <c r="JCP33" s="37"/>
      <c r="JCQ33" s="37"/>
      <c r="JCW33" s="2"/>
      <c r="JCX33" s="29"/>
      <c r="JDD33" s="10"/>
      <c r="JDE33" s="36"/>
      <c r="JDF33" s="37"/>
      <c r="JDG33" s="37"/>
      <c r="JDM33" s="2"/>
      <c r="JDN33" s="29"/>
      <c r="JDT33" s="10"/>
      <c r="JDU33" s="36"/>
      <c r="JDV33" s="37"/>
      <c r="JDW33" s="37"/>
      <c r="JEC33" s="2"/>
      <c r="JED33" s="29"/>
      <c r="JEJ33" s="10"/>
      <c r="JEK33" s="36"/>
      <c r="JEL33" s="37"/>
      <c r="JEM33" s="37"/>
      <c r="JES33" s="2"/>
      <c r="JET33" s="29"/>
      <c r="JEZ33" s="10"/>
      <c r="JFA33" s="36"/>
      <c r="JFB33" s="37"/>
      <c r="JFC33" s="37"/>
      <c r="JFI33" s="2"/>
      <c r="JFJ33" s="29"/>
      <c r="JFP33" s="10"/>
      <c r="JFQ33" s="36"/>
      <c r="JFR33" s="37"/>
      <c r="JFS33" s="37"/>
      <c r="JFY33" s="2"/>
      <c r="JFZ33" s="29"/>
      <c r="JGF33" s="10"/>
      <c r="JGG33" s="36"/>
      <c r="JGH33" s="37"/>
      <c r="JGI33" s="37"/>
      <c r="JGO33" s="2"/>
      <c r="JGP33" s="29"/>
      <c r="JGV33" s="10"/>
      <c r="JGW33" s="36"/>
      <c r="JGX33" s="37"/>
      <c r="JGY33" s="37"/>
      <c r="JHE33" s="2"/>
      <c r="JHF33" s="29"/>
      <c r="JHL33" s="10"/>
      <c r="JHM33" s="36"/>
      <c r="JHN33" s="37"/>
      <c r="JHO33" s="37"/>
      <c r="JHU33" s="2"/>
      <c r="JHV33" s="29"/>
      <c r="JIB33" s="10"/>
      <c r="JIC33" s="36"/>
      <c r="JID33" s="37"/>
      <c r="JIE33" s="37"/>
      <c r="JIK33" s="2"/>
      <c r="JIL33" s="29"/>
      <c r="JIR33" s="10"/>
      <c r="JIS33" s="36"/>
      <c r="JIT33" s="37"/>
      <c r="JIU33" s="37"/>
      <c r="JJA33" s="2"/>
      <c r="JJB33" s="29"/>
      <c r="JJH33" s="10"/>
      <c r="JJI33" s="36"/>
      <c r="JJJ33" s="37"/>
      <c r="JJK33" s="37"/>
      <c r="JJQ33" s="2"/>
      <c r="JJR33" s="29"/>
      <c r="JJX33" s="10"/>
      <c r="JJY33" s="36"/>
      <c r="JJZ33" s="37"/>
      <c r="JKA33" s="37"/>
      <c r="JKG33" s="2"/>
      <c r="JKH33" s="29"/>
      <c r="JKN33" s="10"/>
      <c r="JKO33" s="36"/>
      <c r="JKP33" s="37"/>
      <c r="JKQ33" s="37"/>
      <c r="JKW33" s="2"/>
      <c r="JKX33" s="29"/>
      <c r="JLD33" s="10"/>
      <c r="JLE33" s="36"/>
      <c r="JLF33" s="37"/>
      <c r="JLG33" s="37"/>
      <c r="JLM33" s="2"/>
      <c r="JLN33" s="29"/>
      <c r="JLT33" s="10"/>
      <c r="JLU33" s="36"/>
      <c r="JLV33" s="37"/>
      <c r="JLW33" s="37"/>
      <c r="JMC33" s="2"/>
      <c r="JMD33" s="29"/>
      <c r="JMJ33" s="10"/>
      <c r="JMK33" s="36"/>
      <c r="JML33" s="37"/>
      <c r="JMM33" s="37"/>
      <c r="JMS33" s="2"/>
      <c r="JMT33" s="29"/>
      <c r="JMZ33" s="10"/>
      <c r="JNA33" s="36"/>
      <c r="JNB33" s="37"/>
      <c r="JNC33" s="37"/>
      <c r="JNI33" s="2"/>
      <c r="JNJ33" s="29"/>
      <c r="JNP33" s="10"/>
      <c r="JNQ33" s="36"/>
      <c r="JNR33" s="37"/>
      <c r="JNS33" s="37"/>
      <c r="JNY33" s="2"/>
      <c r="JNZ33" s="29"/>
      <c r="JOF33" s="10"/>
      <c r="JOG33" s="36"/>
      <c r="JOH33" s="37"/>
      <c r="JOI33" s="37"/>
      <c r="JOO33" s="2"/>
      <c r="JOP33" s="29"/>
      <c r="JOV33" s="10"/>
      <c r="JOW33" s="36"/>
      <c r="JOX33" s="37"/>
      <c r="JOY33" s="37"/>
      <c r="JPE33" s="2"/>
      <c r="JPF33" s="29"/>
      <c r="JPL33" s="10"/>
      <c r="JPM33" s="36"/>
      <c r="JPN33" s="37"/>
      <c r="JPO33" s="37"/>
      <c r="JPU33" s="2"/>
      <c r="JPV33" s="29"/>
      <c r="JQB33" s="10"/>
      <c r="JQC33" s="36"/>
      <c r="JQD33" s="37"/>
      <c r="JQE33" s="37"/>
      <c r="JQK33" s="2"/>
      <c r="JQL33" s="29"/>
      <c r="JQR33" s="10"/>
      <c r="JQS33" s="36"/>
      <c r="JQT33" s="37"/>
      <c r="JQU33" s="37"/>
      <c r="JRA33" s="2"/>
      <c r="JRB33" s="29"/>
      <c r="JRH33" s="10"/>
      <c r="JRI33" s="36"/>
      <c r="JRJ33" s="37"/>
      <c r="JRK33" s="37"/>
      <c r="JRQ33" s="2"/>
      <c r="JRR33" s="29"/>
      <c r="JRX33" s="10"/>
      <c r="JRY33" s="36"/>
      <c r="JRZ33" s="37"/>
      <c r="JSA33" s="37"/>
      <c r="JSG33" s="2"/>
      <c r="JSH33" s="29"/>
      <c r="JSN33" s="10"/>
      <c r="JSO33" s="36"/>
      <c r="JSP33" s="37"/>
      <c r="JSQ33" s="37"/>
      <c r="JSW33" s="2"/>
      <c r="JSX33" s="29"/>
      <c r="JTD33" s="10"/>
      <c r="JTE33" s="36"/>
      <c r="JTF33" s="37"/>
      <c r="JTG33" s="37"/>
      <c r="JTM33" s="2"/>
      <c r="JTN33" s="29"/>
      <c r="JTT33" s="10"/>
      <c r="JTU33" s="36"/>
      <c r="JTV33" s="37"/>
      <c r="JTW33" s="37"/>
      <c r="JUC33" s="2"/>
      <c r="JUD33" s="29"/>
      <c r="JUJ33" s="10"/>
      <c r="JUK33" s="36"/>
      <c r="JUL33" s="37"/>
      <c r="JUM33" s="37"/>
      <c r="JUS33" s="2"/>
      <c r="JUT33" s="29"/>
      <c r="JUZ33" s="10"/>
      <c r="JVA33" s="36"/>
      <c r="JVB33" s="37"/>
      <c r="JVC33" s="37"/>
      <c r="JVI33" s="2"/>
      <c r="JVJ33" s="29"/>
      <c r="JVP33" s="10"/>
      <c r="JVQ33" s="36"/>
      <c r="JVR33" s="37"/>
      <c r="JVS33" s="37"/>
      <c r="JVY33" s="2"/>
      <c r="JVZ33" s="29"/>
      <c r="JWF33" s="10"/>
      <c r="JWG33" s="36"/>
      <c r="JWH33" s="37"/>
      <c r="JWI33" s="37"/>
      <c r="JWO33" s="2"/>
      <c r="JWP33" s="29"/>
      <c r="JWV33" s="10"/>
      <c r="JWW33" s="36"/>
      <c r="JWX33" s="37"/>
      <c r="JWY33" s="37"/>
      <c r="JXE33" s="2"/>
      <c r="JXF33" s="29"/>
      <c r="JXL33" s="10"/>
      <c r="JXM33" s="36"/>
      <c r="JXN33" s="37"/>
      <c r="JXO33" s="37"/>
      <c r="JXU33" s="2"/>
      <c r="JXV33" s="29"/>
      <c r="JYB33" s="10"/>
      <c r="JYC33" s="36"/>
      <c r="JYD33" s="37"/>
      <c r="JYE33" s="37"/>
      <c r="JYK33" s="2"/>
      <c r="JYL33" s="29"/>
      <c r="JYR33" s="10"/>
      <c r="JYS33" s="36"/>
      <c r="JYT33" s="37"/>
      <c r="JYU33" s="37"/>
      <c r="JZA33" s="2"/>
      <c r="JZB33" s="29"/>
      <c r="JZH33" s="10"/>
      <c r="JZI33" s="36"/>
      <c r="JZJ33" s="37"/>
      <c r="JZK33" s="37"/>
      <c r="JZQ33" s="2"/>
      <c r="JZR33" s="29"/>
      <c r="JZX33" s="10"/>
      <c r="JZY33" s="36"/>
      <c r="JZZ33" s="37"/>
      <c r="KAA33" s="37"/>
      <c r="KAG33" s="2"/>
      <c r="KAH33" s="29"/>
      <c r="KAN33" s="10"/>
      <c r="KAO33" s="36"/>
      <c r="KAP33" s="37"/>
      <c r="KAQ33" s="37"/>
      <c r="KAW33" s="2"/>
      <c r="KAX33" s="29"/>
      <c r="KBD33" s="10"/>
      <c r="KBE33" s="36"/>
      <c r="KBF33" s="37"/>
      <c r="KBG33" s="37"/>
      <c r="KBM33" s="2"/>
      <c r="KBN33" s="29"/>
      <c r="KBT33" s="10"/>
      <c r="KBU33" s="36"/>
      <c r="KBV33" s="37"/>
      <c r="KBW33" s="37"/>
      <c r="KCC33" s="2"/>
      <c r="KCD33" s="29"/>
      <c r="KCJ33" s="10"/>
      <c r="KCK33" s="36"/>
      <c r="KCL33" s="37"/>
      <c r="KCM33" s="37"/>
      <c r="KCS33" s="2"/>
      <c r="KCT33" s="29"/>
      <c r="KCZ33" s="10"/>
      <c r="KDA33" s="36"/>
      <c r="KDB33" s="37"/>
      <c r="KDC33" s="37"/>
      <c r="KDI33" s="2"/>
      <c r="KDJ33" s="29"/>
      <c r="KDP33" s="10"/>
      <c r="KDQ33" s="36"/>
      <c r="KDR33" s="37"/>
      <c r="KDS33" s="37"/>
      <c r="KDY33" s="2"/>
      <c r="KDZ33" s="29"/>
      <c r="KEF33" s="10"/>
      <c r="KEG33" s="36"/>
      <c r="KEH33" s="37"/>
      <c r="KEI33" s="37"/>
      <c r="KEO33" s="2"/>
      <c r="KEP33" s="29"/>
      <c r="KEV33" s="10"/>
      <c r="KEW33" s="36"/>
      <c r="KEX33" s="37"/>
      <c r="KEY33" s="37"/>
      <c r="KFE33" s="2"/>
      <c r="KFF33" s="29"/>
      <c r="KFL33" s="10"/>
      <c r="KFM33" s="36"/>
      <c r="KFN33" s="37"/>
      <c r="KFO33" s="37"/>
      <c r="KFU33" s="2"/>
      <c r="KFV33" s="29"/>
      <c r="KGB33" s="10"/>
      <c r="KGC33" s="36"/>
      <c r="KGD33" s="37"/>
      <c r="KGE33" s="37"/>
      <c r="KGK33" s="2"/>
      <c r="KGL33" s="29"/>
      <c r="KGR33" s="10"/>
      <c r="KGS33" s="36"/>
      <c r="KGT33" s="37"/>
      <c r="KGU33" s="37"/>
      <c r="KHA33" s="2"/>
      <c r="KHB33" s="29"/>
      <c r="KHH33" s="10"/>
      <c r="KHI33" s="36"/>
      <c r="KHJ33" s="37"/>
      <c r="KHK33" s="37"/>
      <c r="KHQ33" s="2"/>
      <c r="KHR33" s="29"/>
      <c r="KHX33" s="10"/>
      <c r="KHY33" s="36"/>
      <c r="KHZ33" s="37"/>
      <c r="KIA33" s="37"/>
      <c r="KIG33" s="2"/>
      <c r="KIH33" s="29"/>
      <c r="KIN33" s="10"/>
      <c r="KIO33" s="36"/>
      <c r="KIP33" s="37"/>
      <c r="KIQ33" s="37"/>
      <c r="KIW33" s="2"/>
      <c r="KIX33" s="29"/>
      <c r="KJD33" s="10"/>
      <c r="KJE33" s="36"/>
      <c r="KJF33" s="37"/>
      <c r="KJG33" s="37"/>
      <c r="KJM33" s="2"/>
      <c r="KJN33" s="29"/>
      <c r="KJT33" s="10"/>
      <c r="KJU33" s="36"/>
      <c r="KJV33" s="37"/>
      <c r="KJW33" s="37"/>
      <c r="KKC33" s="2"/>
      <c r="KKD33" s="29"/>
      <c r="KKJ33" s="10"/>
      <c r="KKK33" s="36"/>
      <c r="KKL33" s="37"/>
      <c r="KKM33" s="37"/>
      <c r="KKS33" s="2"/>
      <c r="KKT33" s="29"/>
      <c r="KKZ33" s="10"/>
      <c r="KLA33" s="36"/>
      <c r="KLB33" s="37"/>
      <c r="KLC33" s="37"/>
      <c r="KLI33" s="2"/>
      <c r="KLJ33" s="29"/>
      <c r="KLP33" s="10"/>
      <c r="KLQ33" s="36"/>
      <c r="KLR33" s="37"/>
      <c r="KLS33" s="37"/>
      <c r="KLY33" s="2"/>
      <c r="KLZ33" s="29"/>
      <c r="KMF33" s="10"/>
      <c r="KMG33" s="36"/>
      <c r="KMH33" s="37"/>
      <c r="KMI33" s="37"/>
      <c r="KMO33" s="2"/>
      <c r="KMP33" s="29"/>
      <c r="KMV33" s="10"/>
      <c r="KMW33" s="36"/>
      <c r="KMX33" s="37"/>
      <c r="KMY33" s="37"/>
      <c r="KNE33" s="2"/>
      <c r="KNF33" s="29"/>
      <c r="KNL33" s="10"/>
      <c r="KNM33" s="36"/>
      <c r="KNN33" s="37"/>
      <c r="KNO33" s="37"/>
      <c r="KNU33" s="2"/>
      <c r="KNV33" s="29"/>
      <c r="KOB33" s="10"/>
      <c r="KOC33" s="36"/>
      <c r="KOD33" s="37"/>
      <c r="KOE33" s="37"/>
      <c r="KOK33" s="2"/>
      <c r="KOL33" s="29"/>
      <c r="KOR33" s="10"/>
      <c r="KOS33" s="36"/>
      <c r="KOT33" s="37"/>
      <c r="KOU33" s="37"/>
      <c r="KPA33" s="2"/>
      <c r="KPB33" s="29"/>
      <c r="KPH33" s="10"/>
      <c r="KPI33" s="36"/>
      <c r="KPJ33" s="37"/>
      <c r="KPK33" s="37"/>
      <c r="KPQ33" s="2"/>
      <c r="KPR33" s="29"/>
      <c r="KPX33" s="10"/>
      <c r="KPY33" s="36"/>
      <c r="KPZ33" s="37"/>
      <c r="KQA33" s="37"/>
      <c r="KQG33" s="2"/>
      <c r="KQH33" s="29"/>
      <c r="KQN33" s="10"/>
      <c r="KQO33" s="36"/>
      <c r="KQP33" s="37"/>
      <c r="KQQ33" s="37"/>
      <c r="KQW33" s="2"/>
      <c r="KQX33" s="29"/>
      <c r="KRD33" s="10"/>
      <c r="KRE33" s="36"/>
      <c r="KRF33" s="37"/>
      <c r="KRG33" s="37"/>
      <c r="KRM33" s="2"/>
      <c r="KRN33" s="29"/>
      <c r="KRT33" s="10"/>
      <c r="KRU33" s="36"/>
      <c r="KRV33" s="37"/>
      <c r="KRW33" s="37"/>
      <c r="KSC33" s="2"/>
      <c r="KSD33" s="29"/>
      <c r="KSJ33" s="10"/>
      <c r="KSK33" s="36"/>
      <c r="KSL33" s="37"/>
      <c r="KSM33" s="37"/>
      <c r="KSS33" s="2"/>
      <c r="KST33" s="29"/>
      <c r="KSZ33" s="10"/>
      <c r="KTA33" s="36"/>
      <c r="KTB33" s="37"/>
      <c r="KTC33" s="37"/>
      <c r="KTI33" s="2"/>
      <c r="KTJ33" s="29"/>
      <c r="KTP33" s="10"/>
      <c r="KTQ33" s="36"/>
      <c r="KTR33" s="37"/>
      <c r="KTS33" s="37"/>
      <c r="KTY33" s="2"/>
      <c r="KTZ33" s="29"/>
      <c r="KUF33" s="10"/>
      <c r="KUG33" s="36"/>
      <c r="KUH33" s="37"/>
      <c r="KUI33" s="37"/>
      <c r="KUO33" s="2"/>
      <c r="KUP33" s="29"/>
      <c r="KUV33" s="10"/>
      <c r="KUW33" s="36"/>
      <c r="KUX33" s="37"/>
      <c r="KUY33" s="37"/>
      <c r="KVE33" s="2"/>
      <c r="KVF33" s="29"/>
      <c r="KVL33" s="10"/>
      <c r="KVM33" s="36"/>
      <c r="KVN33" s="37"/>
      <c r="KVO33" s="37"/>
      <c r="KVU33" s="2"/>
      <c r="KVV33" s="29"/>
      <c r="KWB33" s="10"/>
      <c r="KWC33" s="36"/>
      <c r="KWD33" s="37"/>
      <c r="KWE33" s="37"/>
      <c r="KWK33" s="2"/>
      <c r="KWL33" s="29"/>
      <c r="KWR33" s="10"/>
      <c r="KWS33" s="36"/>
      <c r="KWT33" s="37"/>
      <c r="KWU33" s="37"/>
      <c r="KXA33" s="2"/>
      <c r="KXB33" s="29"/>
      <c r="KXH33" s="10"/>
      <c r="KXI33" s="36"/>
      <c r="KXJ33" s="37"/>
      <c r="KXK33" s="37"/>
      <c r="KXQ33" s="2"/>
      <c r="KXR33" s="29"/>
      <c r="KXX33" s="10"/>
      <c r="KXY33" s="36"/>
      <c r="KXZ33" s="37"/>
      <c r="KYA33" s="37"/>
      <c r="KYG33" s="2"/>
      <c r="KYH33" s="29"/>
      <c r="KYN33" s="10"/>
      <c r="KYO33" s="36"/>
      <c r="KYP33" s="37"/>
      <c r="KYQ33" s="37"/>
      <c r="KYW33" s="2"/>
      <c r="KYX33" s="29"/>
      <c r="KZD33" s="10"/>
      <c r="KZE33" s="36"/>
      <c r="KZF33" s="37"/>
      <c r="KZG33" s="37"/>
      <c r="KZM33" s="2"/>
      <c r="KZN33" s="29"/>
      <c r="KZT33" s="10"/>
      <c r="KZU33" s="36"/>
      <c r="KZV33" s="37"/>
      <c r="KZW33" s="37"/>
      <c r="LAC33" s="2"/>
      <c r="LAD33" s="29"/>
      <c r="LAJ33" s="10"/>
      <c r="LAK33" s="36"/>
      <c r="LAL33" s="37"/>
      <c r="LAM33" s="37"/>
      <c r="LAS33" s="2"/>
      <c r="LAT33" s="29"/>
      <c r="LAZ33" s="10"/>
      <c r="LBA33" s="36"/>
      <c r="LBB33" s="37"/>
      <c r="LBC33" s="37"/>
      <c r="LBI33" s="2"/>
      <c r="LBJ33" s="29"/>
      <c r="LBP33" s="10"/>
      <c r="LBQ33" s="36"/>
      <c r="LBR33" s="37"/>
      <c r="LBS33" s="37"/>
      <c r="LBY33" s="2"/>
      <c r="LBZ33" s="29"/>
      <c r="LCF33" s="10"/>
      <c r="LCG33" s="36"/>
      <c r="LCH33" s="37"/>
      <c r="LCI33" s="37"/>
      <c r="LCO33" s="2"/>
      <c r="LCP33" s="29"/>
      <c r="LCV33" s="10"/>
      <c r="LCW33" s="36"/>
      <c r="LCX33" s="37"/>
      <c r="LCY33" s="37"/>
      <c r="LDE33" s="2"/>
      <c r="LDF33" s="29"/>
      <c r="LDL33" s="10"/>
      <c r="LDM33" s="36"/>
      <c r="LDN33" s="37"/>
      <c r="LDO33" s="37"/>
      <c r="LDU33" s="2"/>
      <c r="LDV33" s="29"/>
      <c r="LEB33" s="10"/>
      <c r="LEC33" s="36"/>
      <c r="LED33" s="37"/>
      <c r="LEE33" s="37"/>
      <c r="LEK33" s="2"/>
      <c r="LEL33" s="29"/>
      <c r="LER33" s="10"/>
      <c r="LES33" s="36"/>
      <c r="LET33" s="37"/>
      <c r="LEU33" s="37"/>
      <c r="LFA33" s="2"/>
      <c r="LFB33" s="29"/>
      <c r="LFH33" s="10"/>
      <c r="LFI33" s="36"/>
      <c r="LFJ33" s="37"/>
      <c r="LFK33" s="37"/>
      <c r="LFQ33" s="2"/>
      <c r="LFR33" s="29"/>
      <c r="LFX33" s="10"/>
      <c r="LFY33" s="36"/>
      <c r="LFZ33" s="37"/>
      <c r="LGA33" s="37"/>
      <c r="LGG33" s="2"/>
      <c r="LGH33" s="29"/>
      <c r="LGN33" s="10"/>
      <c r="LGO33" s="36"/>
      <c r="LGP33" s="37"/>
      <c r="LGQ33" s="37"/>
      <c r="LGW33" s="2"/>
      <c r="LGX33" s="29"/>
      <c r="LHD33" s="10"/>
      <c r="LHE33" s="36"/>
      <c r="LHF33" s="37"/>
      <c r="LHG33" s="37"/>
      <c r="LHM33" s="2"/>
      <c r="LHN33" s="29"/>
      <c r="LHT33" s="10"/>
      <c r="LHU33" s="36"/>
      <c r="LHV33" s="37"/>
      <c r="LHW33" s="37"/>
      <c r="LIC33" s="2"/>
      <c r="LID33" s="29"/>
      <c r="LIJ33" s="10"/>
      <c r="LIK33" s="36"/>
      <c r="LIL33" s="37"/>
      <c r="LIM33" s="37"/>
      <c r="LIS33" s="2"/>
      <c r="LIT33" s="29"/>
      <c r="LIZ33" s="10"/>
      <c r="LJA33" s="36"/>
      <c r="LJB33" s="37"/>
      <c r="LJC33" s="37"/>
      <c r="LJI33" s="2"/>
      <c r="LJJ33" s="29"/>
      <c r="LJP33" s="10"/>
      <c r="LJQ33" s="36"/>
      <c r="LJR33" s="37"/>
      <c r="LJS33" s="37"/>
      <c r="LJY33" s="2"/>
      <c r="LJZ33" s="29"/>
      <c r="LKF33" s="10"/>
      <c r="LKG33" s="36"/>
      <c r="LKH33" s="37"/>
      <c r="LKI33" s="37"/>
      <c r="LKO33" s="2"/>
      <c r="LKP33" s="29"/>
      <c r="LKV33" s="10"/>
      <c r="LKW33" s="36"/>
      <c r="LKX33" s="37"/>
      <c r="LKY33" s="37"/>
      <c r="LLE33" s="2"/>
      <c r="LLF33" s="29"/>
      <c r="LLL33" s="10"/>
      <c r="LLM33" s="36"/>
      <c r="LLN33" s="37"/>
      <c r="LLO33" s="37"/>
      <c r="LLU33" s="2"/>
      <c r="LLV33" s="29"/>
      <c r="LMB33" s="10"/>
      <c r="LMC33" s="36"/>
      <c r="LMD33" s="37"/>
      <c r="LME33" s="37"/>
      <c r="LMK33" s="2"/>
      <c r="LML33" s="29"/>
      <c r="LMR33" s="10"/>
      <c r="LMS33" s="36"/>
      <c r="LMT33" s="37"/>
      <c r="LMU33" s="37"/>
      <c r="LNA33" s="2"/>
      <c r="LNB33" s="29"/>
      <c r="LNH33" s="10"/>
      <c r="LNI33" s="36"/>
      <c r="LNJ33" s="37"/>
      <c r="LNK33" s="37"/>
      <c r="LNQ33" s="2"/>
      <c r="LNR33" s="29"/>
      <c r="LNX33" s="10"/>
      <c r="LNY33" s="36"/>
      <c r="LNZ33" s="37"/>
      <c r="LOA33" s="37"/>
      <c r="LOG33" s="2"/>
      <c r="LOH33" s="29"/>
      <c r="LON33" s="10"/>
      <c r="LOO33" s="36"/>
      <c r="LOP33" s="37"/>
      <c r="LOQ33" s="37"/>
      <c r="LOW33" s="2"/>
      <c r="LOX33" s="29"/>
      <c r="LPD33" s="10"/>
      <c r="LPE33" s="36"/>
      <c r="LPF33" s="37"/>
      <c r="LPG33" s="37"/>
      <c r="LPM33" s="2"/>
      <c r="LPN33" s="29"/>
      <c r="LPT33" s="10"/>
      <c r="LPU33" s="36"/>
      <c r="LPV33" s="37"/>
      <c r="LPW33" s="37"/>
      <c r="LQC33" s="2"/>
      <c r="LQD33" s="29"/>
      <c r="LQJ33" s="10"/>
      <c r="LQK33" s="36"/>
      <c r="LQL33" s="37"/>
      <c r="LQM33" s="37"/>
      <c r="LQS33" s="2"/>
      <c r="LQT33" s="29"/>
      <c r="LQZ33" s="10"/>
      <c r="LRA33" s="36"/>
      <c r="LRB33" s="37"/>
      <c r="LRC33" s="37"/>
      <c r="LRI33" s="2"/>
      <c r="LRJ33" s="29"/>
      <c r="LRP33" s="10"/>
      <c r="LRQ33" s="36"/>
      <c r="LRR33" s="37"/>
      <c r="LRS33" s="37"/>
      <c r="LRY33" s="2"/>
      <c r="LRZ33" s="29"/>
      <c r="LSF33" s="10"/>
      <c r="LSG33" s="36"/>
      <c r="LSH33" s="37"/>
      <c r="LSI33" s="37"/>
      <c r="LSO33" s="2"/>
      <c r="LSP33" s="29"/>
      <c r="LSV33" s="10"/>
      <c r="LSW33" s="36"/>
      <c r="LSX33" s="37"/>
      <c r="LSY33" s="37"/>
      <c r="LTE33" s="2"/>
      <c r="LTF33" s="29"/>
      <c r="LTL33" s="10"/>
      <c r="LTM33" s="36"/>
      <c r="LTN33" s="37"/>
      <c r="LTO33" s="37"/>
      <c r="LTU33" s="2"/>
      <c r="LTV33" s="29"/>
      <c r="LUB33" s="10"/>
      <c r="LUC33" s="36"/>
      <c r="LUD33" s="37"/>
      <c r="LUE33" s="37"/>
      <c r="LUK33" s="2"/>
      <c r="LUL33" s="29"/>
      <c r="LUR33" s="10"/>
      <c r="LUS33" s="36"/>
      <c r="LUT33" s="37"/>
      <c r="LUU33" s="37"/>
      <c r="LVA33" s="2"/>
      <c r="LVB33" s="29"/>
      <c r="LVH33" s="10"/>
      <c r="LVI33" s="36"/>
      <c r="LVJ33" s="37"/>
      <c r="LVK33" s="37"/>
      <c r="LVQ33" s="2"/>
      <c r="LVR33" s="29"/>
      <c r="LVX33" s="10"/>
      <c r="LVY33" s="36"/>
      <c r="LVZ33" s="37"/>
      <c r="LWA33" s="37"/>
      <c r="LWG33" s="2"/>
      <c r="LWH33" s="29"/>
      <c r="LWN33" s="10"/>
      <c r="LWO33" s="36"/>
      <c r="LWP33" s="37"/>
      <c r="LWQ33" s="37"/>
      <c r="LWW33" s="2"/>
      <c r="LWX33" s="29"/>
      <c r="LXD33" s="10"/>
      <c r="LXE33" s="36"/>
      <c r="LXF33" s="37"/>
      <c r="LXG33" s="37"/>
      <c r="LXM33" s="2"/>
      <c r="LXN33" s="29"/>
      <c r="LXT33" s="10"/>
      <c r="LXU33" s="36"/>
      <c r="LXV33" s="37"/>
      <c r="LXW33" s="37"/>
      <c r="LYC33" s="2"/>
      <c r="LYD33" s="29"/>
      <c r="LYJ33" s="10"/>
      <c r="LYK33" s="36"/>
      <c r="LYL33" s="37"/>
      <c r="LYM33" s="37"/>
      <c r="LYS33" s="2"/>
      <c r="LYT33" s="29"/>
      <c r="LYZ33" s="10"/>
      <c r="LZA33" s="36"/>
      <c r="LZB33" s="37"/>
      <c r="LZC33" s="37"/>
      <c r="LZI33" s="2"/>
      <c r="LZJ33" s="29"/>
      <c r="LZP33" s="10"/>
      <c r="LZQ33" s="36"/>
      <c r="LZR33" s="37"/>
      <c r="LZS33" s="37"/>
      <c r="LZY33" s="2"/>
      <c r="LZZ33" s="29"/>
      <c r="MAF33" s="10"/>
      <c r="MAG33" s="36"/>
      <c r="MAH33" s="37"/>
      <c r="MAI33" s="37"/>
      <c r="MAO33" s="2"/>
      <c r="MAP33" s="29"/>
      <c r="MAV33" s="10"/>
      <c r="MAW33" s="36"/>
      <c r="MAX33" s="37"/>
      <c r="MAY33" s="37"/>
      <c r="MBE33" s="2"/>
      <c r="MBF33" s="29"/>
      <c r="MBL33" s="10"/>
      <c r="MBM33" s="36"/>
      <c r="MBN33" s="37"/>
      <c r="MBO33" s="37"/>
      <c r="MBU33" s="2"/>
      <c r="MBV33" s="29"/>
      <c r="MCB33" s="10"/>
      <c r="MCC33" s="36"/>
      <c r="MCD33" s="37"/>
      <c r="MCE33" s="37"/>
      <c r="MCK33" s="2"/>
      <c r="MCL33" s="29"/>
      <c r="MCR33" s="10"/>
      <c r="MCS33" s="36"/>
      <c r="MCT33" s="37"/>
      <c r="MCU33" s="37"/>
      <c r="MDA33" s="2"/>
      <c r="MDB33" s="29"/>
      <c r="MDH33" s="10"/>
      <c r="MDI33" s="36"/>
      <c r="MDJ33" s="37"/>
      <c r="MDK33" s="37"/>
      <c r="MDQ33" s="2"/>
      <c r="MDR33" s="29"/>
      <c r="MDX33" s="10"/>
      <c r="MDY33" s="36"/>
      <c r="MDZ33" s="37"/>
      <c r="MEA33" s="37"/>
      <c r="MEG33" s="2"/>
      <c r="MEH33" s="29"/>
      <c r="MEN33" s="10"/>
      <c r="MEO33" s="36"/>
      <c r="MEP33" s="37"/>
      <c r="MEQ33" s="37"/>
      <c r="MEW33" s="2"/>
      <c r="MEX33" s="29"/>
      <c r="MFD33" s="10"/>
      <c r="MFE33" s="36"/>
      <c r="MFF33" s="37"/>
      <c r="MFG33" s="37"/>
      <c r="MFM33" s="2"/>
      <c r="MFN33" s="29"/>
      <c r="MFT33" s="10"/>
      <c r="MFU33" s="36"/>
      <c r="MFV33" s="37"/>
      <c r="MFW33" s="37"/>
      <c r="MGC33" s="2"/>
      <c r="MGD33" s="29"/>
      <c r="MGJ33" s="10"/>
      <c r="MGK33" s="36"/>
      <c r="MGL33" s="37"/>
      <c r="MGM33" s="37"/>
      <c r="MGS33" s="2"/>
      <c r="MGT33" s="29"/>
      <c r="MGZ33" s="10"/>
      <c r="MHA33" s="36"/>
      <c r="MHB33" s="37"/>
      <c r="MHC33" s="37"/>
      <c r="MHI33" s="2"/>
      <c r="MHJ33" s="29"/>
      <c r="MHP33" s="10"/>
      <c r="MHQ33" s="36"/>
      <c r="MHR33" s="37"/>
      <c r="MHS33" s="37"/>
      <c r="MHY33" s="2"/>
      <c r="MHZ33" s="29"/>
      <c r="MIF33" s="10"/>
      <c r="MIG33" s="36"/>
      <c r="MIH33" s="37"/>
      <c r="MII33" s="37"/>
      <c r="MIO33" s="2"/>
      <c r="MIP33" s="29"/>
      <c r="MIV33" s="10"/>
      <c r="MIW33" s="36"/>
      <c r="MIX33" s="37"/>
      <c r="MIY33" s="37"/>
      <c r="MJE33" s="2"/>
      <c r="MJF33" s="29"/>
      <c r="MJL33" s="10"/>
      <c r="MJM33" s="36"/>
      <c r="MJN33" s="37"/>
      <c r="MJO33" s="37"/>
      <c r="MJU33" s="2"/>
      <c r="MJV33" s="29"/>
      <c r="MKB33" s="10"/>
      <c r="MKC33" s="36"/>
      <c r="MKD33" s="37"/>
      <c r="MKE33" s="37"/>
      <c r="MKK33" s="2"/>
      <c r="MKL33" s="29"/>
      <c r="MKR33" s="10"/>
      <c r="MKS33" s="36"/>
      <c r="MKT33" s="37"/>
      <c r="MKU33" s="37"/>
      <c r="MLA33" s="2"/>
      <c r="MLB33" s="29"/>
      <c r="MLH33" s="10"/>
      <c r="MLI33" s="36"/>
      <c r="MLJ33" s="37"/>
      <c r="MLK33" s="37"/>
      <c r="MLQ33" s="2"/>
      <c r="MLR33" s="29"/>
      <c r="MLX33" s="10"/>
      <c r="MLY33" s="36"/>
      <c r="MLZ33" s="37"/>
      <c r="MMA33" s="37"/>
      <c r="MMG33" s="2"/>
      <c r="MMH33" s="29"/>
      <c r="MMN33" s="10"/>
      <c r="MMO33" s="36"/>
      <c r="MMP33" s="37"/>
      <c r="MMQ33" s="37"/>
      <c r="MMW33" s="2"/>
      <c r="MMX33" s="29"/>
      <c r="MND33" s="10"/>
      <c r="MNE33" s="36"/>
      <c r="MNF33" s="37"/>
      <c r="MNG33" s="37"/>
      <c r="MNM33" s="2"/>
      <c r="MNN33" s="29"/>
      <c r="MNT33" s="10"/>
      <c r="MNU33" s="36"/>
      <c r="MNV33" s="37"/>
      <c r="MNW33" s="37"/>
      <c r="MOC33" s="2"/>
      <c r="MOD33" s="29"/>
      <c r="MOJ33" s="10"/>
      <c r="MOK33" s="36"/>
      <c r="MOL33" s="37"/>
      <c r="MOM33" s="37"/>
      <c r="MOS33" s="2"/>
      <c r="MOT33" s="29"/>
      <c r="MOZ33" s="10"/>
      <c r="MPA33" s="36"/>
      <c r="MPB33" s="37"/>
      <c r="MPC33" s="37"/>
      <c r="MPI33" s="2"/>
      <c r="MPJ33" s="29"/>
      <c r="MPP33" s="10"/>
      <c r="MPQ33" s="36"/>
      <c r="MPR33" s="37"/>
      <c r="MPS33" s="37"/>
      <c r="MPY33" s="2"/>
      <c r="MPZ33" s="29"/>
      <c r="MQF33" s="10"/>
      <c r="MQG33" s="36"/>
      <c r="MQH33" s="37"/>
      <c r="MQI33" s="37"/>
      <c r="MQO33" s="2"/>
      <c r="MQP33" s="29"/>
      <c r="MQV33" s="10"/>
      <c r="MQW33" s="36"/>
      <c r="MQX33" s="37"/>
      <c r="MQY33" s="37"/>
      <c r="MRE33" s="2"/>
      <c r="MRF33" s="29"/>
      <c r="MRL33" s="10"/>
      <c r="MRM33" s="36"/>
      <c r="MRN33" s="37"/>
      <c r="MRO33" s="37"/>
      <c r="MRU33" s="2"/>
      <c r="MRV33" s="29"/>
      <c r="MSB33" s="10"/>
      <c r="MSC33" s="36"/>
      <c r="MSD33" s="37"/>
      <c r="MSE33" s="37"/>
      <c r="MSK33" s="2"/>
      <c r="MSL33" s="29"/>
      <c r="MSR33" s="10"/>
      <c r="MSS33" s="36"/>
      <c r="MST33" s="37"/>
      <c r="MSU33" s="37"/>
      <c r="MTA33" s="2"/>
      <c r="MTB33" s="29"/>
      <c r="MTH33" s="10"/>
      <c r="MTI33" s="36"/>
      <c r="MTJ33" s="37"/>
      <c r="MTK33" s="37"/>
      <c r="MTQ33" s="2"/>
      <c r="MTR33" s="29"/>
      <c r="MTX33" s="10"/>
      <c r="MTY33" s="36"/>
      <c r="MTZ33" s="37"/>
      <c r="MUA33" s="37"/>
      <c r="MUG33" s="2"/>
      <c r="MUH33" s="29"/>
      <c r="MUN33" s="10"/>
      <c r="MUO33" s="36"/>
      <c r="MUP33" s="37"/>
      <c r="MUQ33" s="37"/>
      <c r="MUW33" s="2"/>
      <c r="MUX33" s="29"/>
      <c r="MVD33" s="10"/>
      <c r="MVE33" s="36"/>
      <c r="MVF33" s="37"/>
      <c r="MVG33" s="37"/>
      <c r="MVM33" s="2"/>
      <c r="MVN33" s="29"/>
      <c r="MVT33" s="10"/>
      <c r="MVU33" s="36"/>
      <c r="MVV33" s="37"/>
      <c r="MVW33" s="37"/>
      <c r="MWC33" s="2"/>
      <c r="MWD33" s="29"/>
      <c r="MWJ33" s="10"/>
      <c r="MWK33" s="36"/>
      <c r="MWL33" s="37"/>
      <c r="MWM33" s="37"/>
      <c r="MWS33" s="2"/>
      <c r="MWT33" s="29"/>
      <c r="MWZ33" s="10"/>
      <c r="MXA33" s="36"/>
      <c r="MXB33" s="37"/>
      <c r="MXC33" s="37"/>
      <c r="MXI33" s="2"/>
      <c r="MXJ33" s="29"/>
      <c r="MXP33" s="10"/>
      <c r="MXQ33" s="36"/>
      <c r="MXR33" s="37"/>
      <c r="MXS33" s="37"/>
      <c r="MXY33" s="2"/>
      <c r="MXZ33" s="29"/>
      <c r="MYF33" s="10"/>
      <c r="MYG33" s="36"/>
      <c r="MYH33" s="37"/>
      <c r="MYI33" s="37"/>
      <c r="MYO33" s="2"/>
      <c r="MYP33" s="29"/>
      <c r="MYV33" s="10"/>
      <c r="MYW33" s="36"/>
      <c r="MYX33" s="37"/>
      <c r="MYY33" s="37"/>
      <c r="MZE33" s="2"/>
      <c r="MZF33" s="29"/>
      <c r="MZL33" s="10"/>
      <c r="MZM33" s="36"/>
      <c r="MZN33" s="37"/>
      <c r="MZO33" s="37"/>
      <c r="MZU33" s="2"/>
      <c r="MZV33" s="29"/>
      <c r="NAB33" s="10"/>
      <c r="NAC33" s="36"/>
      <c r="NAD33" s="37"/>
      <c r="NAE33" s="37"/>
      <c r="NAK33" s="2"/>
      <c r="NAL33" s="29"/>
      <c r="NAR33" s="10"/>
      <c r="NAS33" s="36"/>
      <c r="NAT33" s="37"/>
      <c r="NAU33" s="37"/>
      <c r="NBA33" s="2"/>
      <c r="NBB33" s="29"/>
      <c r="NBH33" s="10"/>
      <c r="NBI33" s="36"/>
      <c r="NBJ33" s="37"/>
      <c r="NBK33" s="37"/>
      <c r="NBQ33" s="2"/>
      <c r="NBR33" s="29"/>
      <c r="NBX33" s="10"/>
      <c r="NBY33" s="36"/>
      <c r="NBZ33" s="37"/>
      <c r="NCA33" s="37"/>
      <c r="NCG33" s="2"/>
      <c r="NCH33" s="29"/>
      <c r="NCN33" s="10"/>
      <c r="NCO33" s="36"/>
      <c r="NCP33" s="37"/>
      <c r="NCQ33" s="37"/>
      <c r="NCW33" s="2"/>
      <c r="NCX33" s="29"/>
      <c r="NDD33" s="10"/>
      <c r="NDE33" s="36"/>
      <c r="NDF33" s="37"/>
      <c r="NDG33" s="37"/>
      <c r="NDM33" s="2"/>
      <c r="NDN33" s="29"/>
      <c r="NDT33" s="10"/>
      <c r="NDU33" s="36"/>
      <c r="NDV33" s="37"/>
      <c r="NDW33" s="37"/>
      <c r="NEC33" s="2"/>
      <c r="NED33" s="29"/>
      <c r="NEJ33" s="10"/>
      <c r="NEK33" s="36"/>
      <c r="NEL33" s="37"/>
      <c r="NEM33" s="37"/>
      <c r="NES33" s="2"/>
      <c r="NET33" s="29"/>
      <c r="NEZ33" s="10"/>
      <c r="NFA33" s="36"/>
      <c r="NFB33" s="37"/>
      <c r="NFC33" s="37"/>
      <c r="NFI33" s="2"/>
      <c r="NFJ33" s="29"/>
      <c r="NFP33" s="10"/>
      <c r="NFQ33" s="36"/>
      <c r="NFR33" s="37"/>
      <c r="NFS33" s="37"/>
      <c r="NFY33" s="2"/>
      <c r="NFZ33" s="29"/>
      <c r="NGF33" s="10"/>
      <c r="NGG33" s="36"/>
      <c r="NGH33" s="37"/>
      <c r="NGI33" s="37"/>
      <c r="NGO33" s="2"/>
      <c r="NGP33" s="29"/>
      <c r="NGV33" s="10"/>
      <c r="NGW33" s="36"/>
      <c r="NGX33" s="37"/>
      <c r="NGY33" s="37"/>
      <c r="NHE33" s="2"/>
      <c r="NHF33" s="29"/>
      <c r="NHL33" s="10"/>
      <c r="NHM33" s="36"/>
      <c r="NHN33" s="37"/>
      <c r="NHO33" s="37"/>
      <c r="NHU33" s="2"/>
      <c r="NHV33" s="29"/>
      <c r="NIB33" s="10"/>
      <c r="NIC33" s="36"/>
      <c r="NID33" s="37"/>
      <c r="NIE33" s="37"/>
      <c r="NIK33" s="2"/>
      <c r="NIL33" s="29"/>
      <c r="NIR33" s="10"/>
      <c r="NIS33" s="36"/>
      <c r="NIT33" s="37"/>
      <c r="NIU33" s="37"/>
      <c r="NJA33" s="2"/>
      <c r="NJB33" s="29"/>
      <c r="NJH33" s="10"/>
      <c r="NJI33" s="36"/>
      <c r="NJJ33" s="37"/>
      <c r="NJK33" s="37"/>
      <c r="NJQ33" s="2"/>
      <c r="NJR33" s="29"/>
      <c r="NJX33" s="10"/>
      <c r="NJY33" s="36"/>
      <c r="NJZ33" s="37"/>
      <c r="NKA33" s="37"/>
      <c r="NKG33" s="2"/>
      <c r="NKH33" s="29"/>
      <c r="NKN33" s="10"/>
      <c r="NKO33" s="36"/>
      <c r="NKP33" s="37"/>
      <c r="NKQ33" s="37"/>
      <c r="NKW33" s="2"/>
      <c r="NKX33" s="29"/>
      <c r="NLD33" s="10"/>
      <c r="NLE33" s="36"/>
      <c r="NLF33" s="37"/>
      <c r="NLG33" s="37"/>
      <c r="NLM33" s="2"/>
      <c r="NLN33" s="29"/>
      <c r="NLT33" s="10"/>
      <c r="NLU33" s="36"/>
      <c r="NLV33" s="37"/>
      <c r="NLW33" s="37"/>
      <c r="NMC33" s="2"/>
      <c r="NMD33" s="29"/>
      <c r="NMJ33" s="10"/>
      <c r="NMK33" s="36"/>
      <c r="NML33" s="37"/>
      <c r="NMM33" s="37"/>
      <c r="NMS33" s="2"/>
      <c r="NMT33" s="29"/>
      <c r="NMZ33" s="10"/>
      <c r="NNA33" s="36"/>
      <c r="NNB33" s="37"/>
      <c r="NNC33" s="37"/>
      <c r="NNI33" s="2"/>
      <c r="NNJ33" s="29"/>
      <c r="NNP33" s="10"/>
      <c r="NNQ33" s="36"/>
      <c r="NNR33" s="37"/>
      <c r="NNS33" s="37"/>
      <c r="NNY33" s="2"/>
      <c r="NNZ33" s="29"/>
      <c r="NOF33" s="10"/>
      <c r="NOG33" s="36"/>
      <c r="NOH33" s="37"/>
      <c r="NOI33" s="37"/>
      <c r="NOO33" s="2"/>
      <c r="NOP33" s="29"/>
      <c r="NOV33" s="10"/>
      <c r="NOW33" s="36"/>
      <c r="NOX33" s="37"/>
      <c r="NOY33" s="37"/>
      <c r="NPE33" s="2"/>
      <c r="NPF33" s="29"/>
      <c r="NPL33" s="10"/>
      <c r="NPM33" s="36"/>
      <c r="NPN33" s="37"/>
      <c r="NPO33" s="37"/>
      <c r="NPU33" s="2"/>
      <c r="NPV33" s="29"/>
      <c r="NQB33" s="10"/>
      <c r="NQC33" s="36"/>
      <c r="NQD33" s="37"/>
      <c r="NQE33" s="37"/>
      <c r="NQK33" s="2"/>
      <c r="NQL33" s="29"/>
      <c r="NQR33" s="10"/>
      <c r="NQS33" s="36"/>
      <c r="NQT33" s="37"/>
      <c r="NQU33" s="37"/>
      <c r="NRA33" s="2"/>
      <c r="NRB33" s="29"/>
      <c r="NRH33" s="10"/>
      <c r="NRI33" s="36"/>
      <c r="NRJ33" s="37"/>
      <c r="NRK33" s="37"/>
      <c r="NRQ33" s="2"/>
      <c r="NRR33" s="29"/>
      <c r="NRX33" s="10"/>
      <c r="NRY33" s="36"/>
      <c r="NRZ33" s="37"/>
      <c r="NSA33" s="37"/>
      <c r="NSG33" s="2"/>
      <c r="NSH33" s="29"/>
      <c r="NSN33" s="10"/>
      <c r="NSO33" s="36"/>
      <c r="NSP33" s="37"/>
      <c r="NSQ33" s="37"/>
      <c r="NSW33" s="2"/>
      <c r="NSX33" s="29"/>
      <c r="NTD33" s="10"/>
      <c r="NTE33" s="36"/>
      <c r="NTF33" s="37"/>
      <c r="NTG33" s="37"/>
      <c r="NTM33" s="2"/>
      <c r="NTN33" s="29"/>
      <c r="NTT33" s="10"/>
      <c r="NTU33" s="36"/>
      <c r="NTV33" s="37"/>
      <c r="NTW33" s="37"/>
      <c r="NUC33" s="2"/>
      <c r="NUD33" s="29"/>
      <c r="NUJ33" s="10"/>
      <c r="NUK33" s="36"/>
      <c r="NUL33" s="37"/>
      <c r="NUM33" s="37"/>
      <c r="NUS33" s="2"/>
      <c r="NUT33" s="29"/>
      <c r="NUZ33" s="10"/>
      <c r="NVA33" s="36"/>
      <c r="NVB33" s="37"/>
      <c r="NVC33" s="37"/>
      <c r="NVI33" s="2"/>
      <c r="NVJ33" s="29"/>
      <c r="NVP33" s="10"/>
      <c r="NVQ33" s="36"/>
      <c r="NVR33" s="37"/>
      <c r="NVS33" s="37"/>
      <c r="NVY33" s="2"/>
      <c r="NVZ33" s="29"/>
      <c r="NWF33" s="10"/>
      <c r="NWG33" s="36"/>
      <c r="NWH33" s="37"/>
      <c r="NWI33" s="37"/>
      <c r="NWO33" s="2"/>
      <c r="NWP33" s="29"/>
      <c r="NWV33" s="10"/>
      <c r="NWW33" s="36"/>
      <c r="NWX33" s="37"/>
      <c r="NWY33" s="37"/>
      <c r="NXE33" s="2"/>
      <c r="NXF33" s="29"/>
      <c r="NXL33" s="10"/>
      <c r="NXM33" s="36"/>
      <c r="NXN33" s="37"/>
      <c r="NXO33" s="37"/>
      <c r="NXU33" s="2"/>
      <c r="NXV33" s="29"/>
      <c r="NYB33" s="10"/>
      <c r="NYC33" s="36"/>
      <c r="NYD33" s="37"/>
      <c r="NYE33" s="37"/>
      <c r="NYK33" s="2"/>
      <c r="NYL33" s="29"/>
      <c r="NYR33" s="10"/>
      <c r="NYS33" s="36"/>
      <c r="NYT33" s="37"/>
      <c r="NYU33" s="37"/>
      <c r="NZA33" s="2"/>
      <c r="NZB33" s="29"/>
      <c r="NZH33" s="10"/>
      <c r="NZI33" s="36"/>
      <c r="NZJ33" s="37"/>
      <c r="NZK33" s="37"/>
      <c r="NZQ33" s="2"/>
      <c r="NZR33" s="29"/>
      <c r="NZX33" s="10"/>
      <c r="NZY33" s="36"/>
      <c r="NZZ33" s="37"/>
      <c r="OAA33" s="37"/>
      <c r="OAG33" s="2"/>
      <c r="OAH33" s="29"/>
      <c r="OAN33" s="10"/>
      <c r="OAO33" s="36"/>
      <c r="OAP33" s="37"/>
      <c r="OAQ33" s="37"/>
      <c r="OAW33" s="2"/>
      <c r="OAX33" s="29"/>
      <c r="OBD33" s="10"/>
      <c r="OBE33" s="36"/>
      <c r="OBF33" s="37"/>
      <c r="OBG33" s="37"/>
      <c r="OBM33" s="2"/>
      <c r="OBN33" s="29"/>
      <c r="OBT33" s="10"/>
      <c r="OBU33" s="36"/>
      <c r="OBV33" s="37"/>
      <c r="OBW33" s="37"/>
      <c r="OCC33" s="2"/>
      <c r="OCD33" s="29"/>
      <c r="OCJ33" s="10"/>
      <c r="OCK33" s="36"/>
      <c r="OCL33" s="37"/>
      <c r="OCM33" s="37"/>
      <c r="OCS33" s="2"/>
      <c r="OCT33" s="29"/>
      <c r="OCZ33" s="10"/>
      <c r="ODA33" s="36"/>
      <c r="ODB33" s="37"/>
      <c r="ODC33" s="37"/>
      <c r="ODI33" s="2"/>
      <c r="ODJ33" s="29"/>
      <c r="ODP33" s="10"/>
      <c r="ODQ33" s="36"/>
      <c r="ODR33" s="37"/>
      <c r="ODS33" s="37"/>
      <c r="ODY33" s="2"/>
      <c r="ODZ33" s="29"/>
      <c r="OEF33" s="10"/>
      <c r="OEG33" s="36"/>
      <c r="OEH33" s="37"/>
      <c r="OEI33" s="37"/>
      <c r="OEO33" s="2"/>
      <c r="OEP33" s="29"/>
      <c r="OEV33" s="10"/>
      <c r="OEW33" s="36"/>
      <c r="OEX33" s="37"/>
      <c r="OEY33" s="37"/>
      <c r="OFE33" s="2"/>
      <c r="OFF33" s="29"/>
      <c r="OFL33" s="10"/>
      <c r="OFM33" s="36"/>
      <c r="OFN33" s="37"/>
      <c r="OFO33" s="37"/>
      <c r="OFU33" s="2"/>
      <c r="OFV33" s="29"/>
      <c r="OGB33" s="10"/>
      <c r="OGC33" s="36"/>
      <c r="OGD33" s="37"/>
      <c r="OGE33" s="37"/>
      <c r="OGK33" s="2"/>
      <c r="OGL33" s="29"/>
      <c r="OGR33" s="10"/>
      <c r="OGS33" s="36"/>
      <c r="OGT33" s="37"/>
      <c r="OGU33" s="37"/>
      <c r="OHA33" s="2"/>
      <c r="OHB33" s="29"/>
      <c r="OHH33" s="10"/>
      <c r="OHI33" s="36"/>
      <c r="OHJ33" s="37"/>
      <c r="OHK33" s="37"/>
      <c r="OHQ33" s="2"/>
      <c r="OHR33" s="29"/>
      <c r="OHX33" s="10"/>
      <c r="OHY33" s="36"/>
      <c r="OHZ33" s="37"/>
      <c r="OIA33" s="37"/>
      <c r="OIG33" s="2"/>
      <c r="OIH33" s="29"/>
      <c r="OIN33" s="10"/>
      <c r="OIO33" s="36"/>
      <c r="OIP33" s="37"/>
      <c r="OIQ33" s="37"/>
      <c r="OIW33" s="2"/>
      <c r="OIX33" s="29"/>
      <c r="OJD33" s="10"/>
      <c r="OJE33" s="36"/>
      <c r="OJF33" s="37"/>
      <c r="OJG33" s="37"/>
      <c r="OJM33" s="2"/>
      <c r="OJN33" s="29"/>
      <c r="OJT33" s="10"/>
      <c r="OJU33" s="36"/>
      <c r="OJV33" s="37"/>
      <c r="OJW33" s="37"/>
      <c r="OKC33" s="2"/>
      <c r="OKD33" s="29"/>
      <c r="OKJ33" s="10"/>
      <c r="OKK33" s="36"/>
      <c r="OKL33" s="37"/>
      <c r="OKM33" s="37"/>
      <c r="OKS33" s="2"/>
      <c r="OKT33" s="29"/>
      <c r="OKZ33" s="10"/>
      <c r="OLA33" s="36"/>
      <c r="OLB33" s="37"/>
      <c r="OLC33" s="37"/>
      <c r="OLI33" s="2"/>
      <c r="OLJ33" s="29"/>
      <c r="OLP33" s="10"/>
      <c r="OLQ33" s="36"/>
      <c r="OLR33" s="37"/>
      <c r="OLS33" s="37"/>
      <c r="OLY33" s="2"/>
      <c r="OLZ33" s="29"/>
      <c r="OMF33" s="10"/>
      <c r="OMG33" s="36"/>
      <c r="OMH33" s="37"/>
      <c r="OMI33" s="37"/>
      <c r="OMO33" s="2"/>
      <c r="OMP33" s="29"/>
      <c r="OMV33" s="10"/>
      <c r="OMW33" s="36"/>
      <c r="OMX33" s="37"/>
      <c r="OMY33" s="37"/>
      <c r="ONE33" s="2"/>
      <c r="ONF33" s="29"/>
      <c r="ONL33" s="10"/>
      <c r="ONM33" s="36"/>
      <c r="ONN33" s="37"/>
      <c r="ONO33" s="37"/>
      <c r="ONU33" s="2"/>
      <c r="ONV33" s="29"/>
      <c r="OOB33" s="10"/>
      <c r="OOC33" s="36"/>
      <c r="OOD33" s="37"/>
      <c r="OOE33" s="37"/>
      <c r="OOK33" s="2"/>
      <c r="OOL33" s="29"/>
      <c r="OOR33" s="10"/>
      <c r="OOS33" s="36"/>
      <c r="OOT33" s="37"/>
      <c r="OOU33" s="37"/>
      <c r="OPA33" s="2"/>
      <c r="OPB33" s="29"/>
      <c r="OPH33" s="10"/>
      <c r="OPI33" s="36"/>
      <c r="OPJ33" s="37"/>
      <c r="OPK33" s="37"/>
      <c r="OPQ33" s="2"/>
      <c r="OPR33" s="29"/>
      <c r="OPX33" s="10"/>
      <c r="OPY33" s="36"/>
      <c r="OPZ33" s="37"/>
      <c r="OQA33" s="37"/>
      <c r="OQG33" s="2"/>
      <c r="OQH33" s="29"/>
      <c r="OQN33" s="10"/>
      <c r="OQO33" s="36"/>
      <c r="OQP33" s="37"/>
      <c r="OQQ33" s="37"/>
      <c r="OQW33" s="2"/>
      <c r="OQX33" s="29"/>
      <c r="ORD33" s="10"/>
      <c r="ORE33" s="36"/>
      <c r="ORF33" s="37"/>
      <c r="ORG33" s="37"/>
      <c r="ORM33" s="2"/>
      <c r="ORN33" s="29"/>
      <c r="ORT33" s="10"/>
      <c r="ORU33" s="36"/>
      <c r="ORV33" s="37"/>
      <c r="ORW33" s="37"/>
      <c r="OSC33" s="2"/>
      <c r="OSD33" s="29"/>
      <c r="OSJ33" s="10"/>
      <c r="OSK33" s="36"/>
      <c r="OSL33" s="37"/>
      <c r="OSM33" s="37"/>
      <c r="OSS33" s="2"/>
      <c r="OST33" s="29"/>
      <c r="OSZ33" s="10"/>
      <c r="OTA33" s="36"/>
      <c r="OTB33" s="37"/>
      <c r="OTC33" s="37"/>
      <c r="OTI33" s="2"/>
      <c r="OTJ33" s="29"/>
      <c r="OTP33" s="10"/>
      <c r="OTQ33" s="36"/>
      <c r="OTR33" s="37"/>
      <c r="OTS33" s="37"/>
      <c r="OTY33" s="2"/>
      <c r="OTZ33" s="29"/>
      <c r="OUF33" s="10"/>
      <c r="OUG33" s="36"/>
      <c r="OUH33" s="37"/>
      <c r="OUI33" s="37"/>
      <c r="OUO33" s="2"/>
      <c r="OUP33" s="29"/>
      <c r="OUV33" s="10"/>
      <c r="OUW33" s="36"/>
      <c r="OUX33" s="37"/>
      <c r="OUY33" s="37"/>
      <c r="OVE33" s="2"/>
      <c r="OVF33" s="29"/>
      <c r="OVL33" s="10"/>
      <c r="OVM33" s="36"/>
      <c r="OVN33" s="37"/>
      <c r="OVO33" s="37"/>
      <c r="OVU33" s="2"/>
      <c r="OVV33" s="29"/>
      <c r="OWB33" s="10"/>
      <c r="OWC33" s="36"/>
      <c r="OWD33" s="37"/>
      <c r="OWE33" s="37"/>
      <c r="OWK33" s="2"/>
      <c r="OWL33" s="29"/>
      <c r="OWR33" s="10"/>
      <c r="OWS33" s="36"/>
      <c r="OWT33" s="37"/>
      <c r="OWU33" s="37"/>
      <c r="OXA33" s="2"/>
      <c r="OXB33" s="29"/>
      <c r="OXH33" s="10"/>
      <c r="OXI33" s="36"/>
      <c r="OXJ33" s="37"/>
      <c r="OXK33" s="37"/>
      <c r="OXQ33" s="2"/>
      <c r="OXR33" s="29"/>
      <c r="OXX33" s="10"/>
      <c r="OXY33" s="36"/>
      <c r="OXZ33" s="37"/>
      <c r="OYA33" s="37"/>
      <c r="OYG33" s="2"/>
      <c r="OYH33" s="29"/>
      <c r="OYN33" s="10"/>
      <c r="OYO33" s="36"/>
      <c r="OYP33" s="37"/>
      <c r="OYQ33" s="37"/>
      <c r="OYW33" s="2"/>
      <c r="OYX33" s="29"/>
      <c r="OZD33" s="10"/>
      <c r="OZE33" s="36"/>
      <c r="OZF33" s="37"/>
      <c r="OZG33" s="37"/>
      <c r="OZM33" s="2"/>
      <c r="OZN33" s="29"/>
      <c r="OZT33" s="10"/>
      <c r="OZU33" s="36"/>
      <c r="OZV33" s="37"/>
      <c r="OZW33" s="37"/>
      <c r="PAC33" s="2"/>
      <c r="PAD33" s="29"/>
      <c r="PAJ33" s="10"/>
      <c r="PAK33" s="36"/>
      <c r="PAL33" s="37"/>
      <c r="PAM33" s="37"/>
      <c r="PAS33" s="2"/>
      <c r="PAT33" s="29"/>
      <c r="PAZ33" s="10"/>
      <c r="PBA33" s="36"/>
      <c r="PBB33" s="37"/>
      <c r="PBC33" s="37"/>
      <c r="PBI33" s="2"/>
      <c r="PBJ33" s="29"/>
      <c r="PBP33" s="10"/>
      <c r="PBQ33" s="36"/>
      <c r="PBR33" s="37"/>
      <c r="PBS33" s="37"/>
      <c r="PBY33" s="2"/>
      <c r="PBZ33" s="29"/>
      <c r="PCF33" s="10"/>
      <c r="PCG33" s="36"/>
      <c r="PCH33" s="37"/>
      <c r="PCI33" s="37"/>
      <c r="PCO33" s="2"/>
      <c r="PCP33" s="29"/>
      <c r="PCV33" s="10"/>
      <c r="PCW33" s="36"/>
      <c r="PCX33" s="37"/>
      <c r="PCY33" s="37"/>
      <c r="PDE33" s="2"/>
      <c r="PDF33" s="29"/>
      <c r="PDL33" s="10"/>
      <c r="PDM33" s="36"/>
      <c r="PDN33" s="37"/>
      <c r="PDO33" s="37"/>
      <c r="PDU33" s="2"/>
      <c r="PDV33" s="29"/>
      <c r="PEB33" s="10"/>
      <c r="PEC33" s="36"/>
      <c r="PED33" s="37"/>
      <c r="PEE33" s="37"/>
      <c r="PEK33" s="2"/>
      <c r="PEL33" s="29"/>
      <c r="PER33" s="10"/>
      <c r="PES33" s="36"/>
      <c r="PET33" s="37"/>
      <c r="PEU33" s="37"/>
      <c r="PFA33" s="2"/>
      <c r="PFB33" s="29"/>
      <c r="PFH33" s="10"/>
      <c r="PFI33" s="36"/>
      <c r="PFJ33" s="37"/>
      <c r="PFK33" s="37"/>
      <c r="PFQ33" s="2"/>
      <c r="PFR33" s="29"/>
      <c r="PFX33" s="10"/>
      <c r="PFY33" s="36"/>
      <c r="PFZ33" s="37"/>
      <c r="PGA33" s="37"/>
      <c r="PGG33" s="2"/>
      <c r="PGH33" s="29"/>
      <c r="PGN33" s="10"/>
      <c r="PGO33" s="36"/>
      <c r="PGP33" s="37"/>
      <c r="PGQ33" s="37"/>
      <c r="PGW33" s="2"/>
      <c r="PGX33" s="29"/>
      <c r="PHD33" s="10"/>
      <c r="PHE33" s="36"/>
      <c r="PHF33" s="37"/>
      <c r="PHG33" s="37"/>
      <c r="PHM33" s="2"/>
      <c r="PHN33" s="29"/>
      <c r="PHT33" s="10"/>
      <c r="PHU33" s="36"/>
      <c r="PHV33" s="37"/>
      <c r="PHW33" s="37"/>
      <c r="PIC33" s="2"/>
      <c r="PID33" s="29"/>
      <c r="PIJ33" s="10"/>
      <c r="PIK33" s="36"/>
      <c r="PIL33" s="37"/>
      <c r="PIM33" s="37"/>
      <c r="PIS33" s="2"/>
      <c r="PIT33" s="29"/>
      <c r="PIZ33" s="10"/>
      <c r="PJA33" s="36"/>
      <c r="PJB33" s="37"/>
      <c r="PJC33" s="37"/>
      <c r="PJI33" s="2"/>
      <c r="PJJ33" s="29"/>
      <c r="PJP33" s="10"/>
      <c r="PJQ33" s="36"/>
      <c r="PJR33" s="37"/>
      <c r="PJS33" s="37"/>
      <c r="PJY33" s="2"/>
      <c r="PJZ33" s="29"/>
      <c r="PKF33" s="10"/>
      <c r="PKG33" s="36"/>
      <c r="PKH33" s="37"/>
      <c r="PKI33" s="37"/>
      <c r="PKO33" s="2"/>
      <c r="PKP33" s="29"/>
      <c r="PKV33" s="10"/>
      <c r="PKW33" s="36"/>
      <c r="PKX33" s="37"/>
      <c r="PKY33" s="37"/>
      <c r="PLE33" s="2"/>
      <c r="PLF33" s="29"/>
      <c r="PLL33" s="10"/>
      <c r="PLM33" s="36"/>
      <c r="PLN33" s="37"/>
      <c r="PLO33" s="37"/>
      <c r="PLU33" s="2"/>
      <c r="PLV33" s="29"/>
      <c r="PMB33" s="10"/>
      <c r="PMC33" s="36"/>
      <c r="PMD33" s="37"/>
      <c r="PME33" s="37"/>
      <c r="PMK33" s="2"/>
      <c r="PML33" s="29"/>
      <c r="PMR33" s="10"/>
      <c r="PMS33" s="36"/>
      <c r="PMT33" s="37"/>
      <c r="PMU33" s="37"/>
      <c r="PNA33" s="2"/>
      <c r="PNB33" s="29"/>
      <c r="PNH33" s="10"/>
      <c r="PNI33" s="36"/>
      <c r="PNJ33" s="37"/>
      <c r="PNK33" s="37"/>
      <c r="PNQ33" s="2"/>
      <c r="PNR33" s="29"/>
      <c r="PNX33" s="10"/>
      <c r="PNY33" s="36"/>
      <c r="PNZ33" s="37"/>
      <c r="POA33" s="37"/>
      <c r="POG33" s="2"/>
      <c r="POH33" s="29"/>
      <c r="PON33" s="10"/>
      <c r="POO33" s="36"/>
      <c r="POP33" s="37"/>
      <c r="POQ33" s="37"/>
      <c r="POW33" s="2"/>
      <c r="POX33" s="29"/>
      <c r="PPD33" s="10"/>
      <c r="PPE33" s="36"/>
      <c r="PPF33" s="37"/>
      <c r="PPG33" s="37"/>
      <c r="PPM33" s="2"/>
      <c r="PPN33" s="29"/>
      <c r="PPT33" s="10"/>
      <c r="PPU33" s="36"/>
      <c r="PPV33" s="37"/>
      <c r="PPW33" s="37"/>
      <c r="PQC33" s="2"/>
      <c r="PQD33" s="29"/>
      <c r="PQJ33" s="10"/>
      <c r="PQK33" s="36"/>
      <c r="PQL33" s="37"/>
      <c r="PQM33" s="37"/>
      <c r="PQS33" s="2"/>
      <c r="PQT33" s="29"/>
      <c r="PQZ33" s="10"/>
      <c r="PRA33" s="36"/>
      <c r="PRB33" s="37"/>
      <c r="PRC33" s="37"/>
      <c r="PRI33" s="2"/>
      <c r="PRJ33" s="29"/>
      <c r="PRP33" s="10"/>
      <c r="PRQ33" s="36"/>
      <c r="PRR33" s="37"/>
      <c r="PRS33" s="37"/>
      <c r="PRY33" s="2"/>
      <c r="PRZ33" s="29"/>
      <c r="PSF33" s="10"/>
      <c r="PSG33" s="36"/>
      <c r="PSH33" s="37"/>
      <c r="PSI33" s="37"/>
      <c r="PSO33" s="2"/>
      <c r="PSP33" s="29"/>
      <c r="PSV33" s="10"/>
      <c r="PSW33" s="36"/>
      <c r="PSX33" s="37"/>
      <c r="PSY33" s="37"/>
      <c r="PTE33" s="2"/>
      <c r="PTF33" s="29"/>
      <c r="PTL33" s="10"/>
      <c r="PTM33" s="36"/>
      <c r="PTN33" s="37"/>
      <c r="PTO33" s="37"/>
      <c r="PTU33" s="2"/>
      <c r="PTV33" s="29"/>
      <c r="PUB33" s="10"/>
      <c r="PUC33" s="36"/>
      <c r="PUD33" s="37"/>
      <c r="PUE33" s="37"/>
      <c r="PUK33" s="2"/>
      <c r="PUL33" s="29"/>
      <c r="PUR33" s="10"/>
      <c r="PUS33" s="36"/>
      <c r="PUT33" s="37"/>
      <c r="PUU33" s="37"/>
      <c r="PVA33" s="2"/>
      <c r="PVB33" s="29"/>
      <c r="PVH33" s="10"/>
      <c r="PVI33" s="36"/>
      <c r="PVJ33" s="37"/>
      <c r="PVK33" s="37"/>
      <c r="PVQ33" s="2"/>
      <c r="PVR33" s="29"/>
      <c r="PVX33" s="10"/>
      <c r="PVY33" s="36"/>
      <c r="PVZ33" s="37"/>
      <c r="PWA33" s="37"/>
      <c r="PWG33" s="2"/>
      <c r="PWH33" s="29"/>
      <c r="PWN33" s="10"/>
      <c r="PWO33" s="36"/>
      <c r="PWP33" s="37"/>
      <c r="PWQ33" s="37"/>
      <c r="PWW33" s="2"/>
      <c r="PWX33" s="29"/>
      <c r="PXD33" s="10"/>
      <c r="PXE33" s="36"/>
      <c r="PXF33" s="37"/>
      <c r="PXG33" s="37"/>
      <c r="PXM33" s="2"/>
      <c r="PXN33" s="29"/>
      <c r="PXT33" s="10"/>
      <c r="PXU33" s="36"/>
      <c r="PXV33" s="37"/>
      <c r="PXW33" s="37"/>
      <c r="PYC33" s="2"/>
      <c r="PYD33" s="29"/>
      <c r="PYJ33" s="10"/>
      <c r="PYK33" s="36"/>
      <c r="PYL33" s="37"/>
      <c r="PYM33" s="37"/>
      <c r="PYS33" s="2"/>
      <c r="PYT33" s="29"/>
      <c r="PYZ33" s="10"/>
      <c r="PZA33" s="36"/>
      <c r="PZB33" s="37"/>
      <c r="PZC33" s="37"/>
      <c r="PZI33" s="2"/>
      <c r="PZJ33" s="29"/>
      <c r="PZP33" s="10"/>
      <c r="PZQ33" s="36"/>
      <c r="PZR33" s="37"/>
      <c r="PZS33" s="37"/>
      <c r="PZY33" s="2"/>
      <c r="PZZ33" s="29"/>
      <c r="QAF33" s="10"/>
      <c r="QAG33" s="36"/>
      <c r="QAH33" s="37"/>
      <c r="QAI33" s="37"/>
      <c r="QAO33" s="2"/>
      <c r="QAP33" s="29"/>
      <c r="QAV33" s="10"/>
      <c r="QAW33" s="36"/>
      <c r="QAX33" s="37"/>
      <c r="QAY33" s="37"/>
      <c r="QBE33" s="2"/>
      <c r="QBF33" s="29"/>
      <c r="QBL33" s="10"/>
      <c r="QBM33" s="36"/>
      <c r="QBN33" s="37"/>
      <c r="QBO33" s="37"/>
      <c r="QBU33" s="2"/>
      <c r="QBV33" s="29"/>
      <c r="QCB33" s="10"/>
      <c r="QCC33" s="36"/>
      <c r="QCD33" s="37"/>
      <c r="QCE33" s="37"/>
      <c r="QCK33" s="2"/>
      <c r="QCL33" s="29"/>
      <c r="QCR33" s="10"/>
      <c r="QCS33" s="36"/>
      <c r="QCT33" s="37"/>
      <c r="QCU33" s="37"/>
      <c r="QDA33" s="2"/>
      <c r="QDB33" s="29"/>
      <c r="QDH33" s="10"/>
      <c r="QDI33" s="36"/>
      <c r="QDJ33" s="37"/>
      <c r="QDK33" s="37"/>
      <c r="QDQ33" s="2"/>
      <c r="QDR33" s="29"/>
      <c r="QDX33" s="10"/>
      <c r="QDY33" s="36"/>
      <c r="QDZ33" s="37"/>
      <c r="QEA33" s="37"/>
      <c r="QEG33" s="2"/>
      <c r="QEH33" s="29"/>
      <c r="QEN33" s="10"/>
      <c r="QEO33" s="36"/>
      <c r="QEP33" s="37"/>
      <c r="QEQ33" s="37"/>
      <c r="QEW33" s="2"/>
      <c r="QEX33" s="29"/>
      <c r="QFD33" s="10"/>
      <c r="QFE33" s="36"/>
      <c r="QFF33" s="37"/>
      <c r="QFG33" s="37"/>
      <c r="QFM33" s="2"/>
      <c r="QFN33" s="29"/>
      <c r="QFT33" s="10"/>
      <c r="QFU33" s="36"/>
      <c r="QFV33" s="37"/>
      <c r="QFW33" s="37"/>
      <c r="QGC33" s="2"/>
      <c r="QGD33" s="29"/>
      <c r="QGJ33" s="10"/>
      <c r="QGK33" s="36"/>
      <c r="QGL33" s="37"/>
      <c r="QGM33" s="37"/>
      <c r="QGS33" s="2"/>
      <c r="QGT33" s="29"/>
      <c r="QGZ33" s="10"/>
      <c r="QHA33" s="36"/>
      <c r="QHB33" s="37"/>
      <c r="QHC33" s="37"/>
      <c r="QHI33" s="2"/>
      <c r="QHJ33" s="29"/>
      <c r="QHP33" s="10"/>
      <c r="QHQ33" s="36"/>
      <c r="QHR33" s="37"/>
      <c r="QHS33" s="37"/>
      <c r="QHY33" s="2"/>
      <c r="QHZ33" s="29"/>
      <c r="QIF33" s="10"/>
      <c r="QIG33" s="36"/>
      <c r="QIH33" s="37"/>
      <c r="QII33" s="37"/>
      <c r="QIO33" s="2"/>
      <c r="QIP33" s="29"/>
      <c r="QIV33" s="10"/>
      <c r="QIW33" s="36"/>
      <c r="QIX33" s="37"/>
      <c r="QIY33" s="37"/>
      <c r="QJE33" s="2"/>
      <c r="QJF33" s="29"/>
      <c r="QJL33" s="10"/>
      <c r="QJM33" s="36"/>
      <c r="QJN33" s="37"/>
      <c r="QJO33" s="37"/>
      <c r="QJU33" s="2"/>
      <c r="QJV33" s="29"/>
      <c r="QKB33" s="10"/>
      <c r="QKC33" s="36"/>
      <c r="QKD33" s="37"/>
      <c r="QKE33" s="37"/>
      <c r="QKK33" s="2"/>
      <c r="QKL33" s="29"/>
      <c r="QKR33" s="10"/>
      <c r="QKS33" s="36"/>
      <c r="QKT33" s="37"/>
      <c r="QKU33" s="37"/>
      <c r="QLA33" s="2"/>
      <c r="QLB33" s="29"/>
      <c r="QLH33" s="10"/>
      <c r="QLI33" s="36"/>
      <c r="QLJ33" s="37"/>
      <c r="QLK33" s="37"/>
      <c r="QLQ33" s="2"/>
      <c r="QLR33" s="29"/>
      <c r="QLX33" s="10"/>
      <c r="QLY33" s="36"/>
      <c r="QLZ33" s="37"/>
      <c r="QMA33" s="37"/>
      <c r="QMG33" s="2"/>
      <c r="QMH33" s="29"/>
      <c r="QMN33" s="10"/>
      <c r="QMO33" s="36"/>
      <c r="QMP33" s="37"/>
      <c r="QMQ33" s="37"/>
      <c r="QMW33" s="2"/>
      <c r="QMX33" s="29"/>
      <c r="QND33" s="10"/>
      <c r="QNE33" s="36"/>
      <c r="QNF33" s="37"/>
      <c r="QNG33" s="37"/>
      <c r="QNM33" s="2"/>
      <c r="QNN33" s="29"/>
      <c r="QNT33" s="10"/>
      <c r="QNU33" s="36"/>
      <c r="QNV33" s="37"/>
      <c r="QNW33" s="37"/>
      <c r="QOC33" s="2"/>
      <c r="QOD33" s="29"/>
      <c r="QOJ33" s="10"/>
      <c r="QOK33" s="36"/>
      <c r="QOL33" s="37"/>
      <c r="QOM33" s="37"/>
      <c r="QOS33" s="2"/>
      <c r="QOT33" s="29"/>
      <c r="QOZ33" s="10"/>
      <c r="QPA33" s="36"/>
      <c r="QPB33" s="37"/>
      <c r="QPC33" s="37"/>
      <c r="QPI33" s="2"/>
      <c r="QPJ33" s="29"/>
      <c r="QPP33" s="10"/>
      <c r="QPQ33" s="36"/>
      <c r="QPR33" s="37"/>
      <c r="QPS33" s="37"/>
      <c r="QPY33" s="2"/>
      <c r="QPZ33" s="29"/>
      <c r="QQF33" s="10"/>
      <c r="QQG33" s="36"/>
      <c r="QQH33" s="37"/>
      <c r="QQI33" s="37"/>
      <c r="QQO33" s="2"/>
      <c r="QQP33" s="29"/>
      <c r="QQV33" s="10"/>
      <c r="QQW33" s="36"/>
      <c r="QQX33" s="37"/>
      <c r="QQY33" s="37"/>
      <c r="QRE33" s="2"/>
      <c r="QRF33" s="29"/>
      <c r="QRL33" s="10"/>
      <c r="QRM33" s="36"/>
      <c r="QRN33" s="37"/>
      <c r="QRO33" s="37"/>
      <c r="QRU33" s="2"/>
      <c r="QRV33" s="29"/>
      <c r="QSB33" s="10"/>
      <c r="QSC33" s="36"/>
      <c r="QSD33" s="37"/>
      <c r="QSE33" s="37"/>
      <c r="QSK33" s="2"/>
      <c r="QSL33" s="29"/>
      <c r="QSR33" s="10"/>
      <c r="QSS33" s="36"/>
      <c r="QST33" s="37"/>
      <c r="QSU33" s="37"/>
      <c r="QTA33" s="2"/>
      <c r="QTB33" s="29"/>
      <c r="QTH33" s="10"/>
      <c r="QTI33" s="36"/>
      <c r="QTJ33" s="37"/>
      <c r="QTK33" s="37"/>
      <c r="QTQ33" s="2"/>
      <c r="QTR33" s="29"/>
      <c r="QTX33" s="10"/>
      <c r="QTY33" s="36"/>
      <c r="QTZ33" s="37"/>
      <c r="QUA33" s="37"/>
      <c r="QUG33" s="2"/>
      <c r="QUH33" s="29"/>
      <c r="QUN33" s="10"/>
      <c r="QUO33" s="36"/>
      <c r="QUP33" s="37"/>
      <c r="QUQ33" s="37"/>
      <c r="QUW33" s="2"/>
      <c r="QUX33" s="29"/>
      <c r="QVD33" s="10"/>
      <c r="QVE33" s="36"/>
      <c r="QVF33" s="37"/>
      <c r="QVG33" s="37"/>
      <c r="QVM33" s="2"/>
      <c r="QVN33" s="29"/>
      <c r="QVT33" s="10"/>
      <c r="QVU33" s="36"/>
      <c r="QVV33" s="37"/>
      <c r="QVW33" s="37"/>
      <c r="QWC33" s="2"/>
      <c r="QWD33" s="29"/>
      <c r="QWJ33" s="10"/>
      <c r="QWK33" s="36"/>
      <c r="QWL33" s="37"/>
      <c r="QWM33" s="37"/>
      <c r="QWS33" s="2"/>
      <c r="QWT33" s="29"/>
      <c r="QWZ33" s="10"/>
      <c r="QXA33" s="36"/>
      <c r="QXB33" s="37"/>
      <c r="QXC33" s="37"/>
      <c r="QXI33" s="2"/>
      <c r="QXJ33" s="29"/>
      <c r="QXP33" s="10"/>
      <c r="QXQ33" s="36"/>
      <c r="QXR33" s="37"/>
      <c r="QXS33" s="37"/>
      <c r="QXY33" s="2"/>
      <c r="QXZ33" s="29"/>
      <c r="QYF33" s="10"/>
      <c r="QYG33" s="36"/>
      <c r="QYH33" s="37"/>
      <c r="QYI33" s="37"/>
      <c r="QYO33" s="2"/>
      <c r="QYP33" s="29"/>
      <c r="QYV33" s="10"/>
      <c r="QYW33" s="36"/>
      <c r="QYX33" s="37"/>
      <c r="QYY33" s="37"/>
      <c r="QZE33" s="2"/>
      <c r="QZF33" s="29"/>
      <c r="QZL33" s="10"/>
      <c r="QZM33" s="36"/>
      <c r="QZN33" s="37"/>
      <c r="QZO33" s="37"/>
      <c r="QZU33" s="2"/>
      <c r="QZV33" s="29"/>
      <c r="RAB33" s="10"/>
      <c r="RAC33" s="36"/>
      <c r="RAD33" s="37"/>
      <c r="RAE33" s="37"/>
      <c r="RAK33" s="2"/>
      <c r="RAL33" s="29"/>
      <c r="RAR33" s="10"/>
      <c r="RAS33" s="36"/>
      <c r="RAT33" s="37"/>
      <c r="RAU33" s="37"/>
      <c r="RBA33" s="2"/>
      <c r="RBB33" s="29"/>
      <c r="RBH33" s="10"/>
      <c r="RBI33" s="36"/>
      <c r="RBJ33" s="37"/>
      <c r="RBK33" s="37"/>
      <c r="RBQ33" s="2"/>
      <c r="RBR33" s="29"/>
      <c r="RBX33" s="10"/>
      <c r="RBY33" s="36"/>
      <c r="RBZ33" s="37"/>
      <c r="RCA33" s="37"/>
      <c r="RCG33" s="2"/>
      <c r="RCH33" s="29"/>
      <c r="RCN33" s="10"/>
      <c r="RCO33" s="36"/>
      <c r="RCP33" s="37"/>
      <c r="RCQ33" s="37"/>
      <c r="RCW33" s="2"/>
      <c r="RCX33" s="29"/>
      <c r="RDD33" s="10"/>
      <c r="RDE33" s="36"/>
      <c r="RDF33" s="37"/>
      <c r="RDG33" s="37"/>
      <c r="RDM33" s="2"/>
      <c r="RDN33" s="29"/>
      <c r="RDT33" s="10"/>
      <c r="RDU33" s="36"/>
      <c r="RDV33" s="37"/>
      <c r="RDW33" s="37"/>
      <c r="REC33" s="2"/>
      <c r="RED33" s="29"/>
      <c r="REJ33" s="10"/>
      <c r="REK33" s="36"/>
      <c r="REL33" s="37"/>
      <c r="REM33" s="37"/>
      <c r="RES33" s="2"/>
      <c r="RET33" s="29"/>
      <c r="REZ33" s="10"/>
      <c r="RFA33" s="36"/>
      <c r="RFB33" s="37"/>
      <c r="RFC33" s="37"/>
      <c r="RFI33" s="2"/>
      <c r="RFJ33" s="29"/>
      <c r="RFP33" s="10"/>
      <c r="RFQ33" s="36"/>
      <c r="RFR33" s="37"/>
      <c r="RFS33" s="37"/>
      <c r="RFY33" s="2"/>
      <c r="RFZ33" s="29"/>
      <c r="RGF33" s="10"/>
      <c r="RGG33" s="36"/>
      <c r="RGH33" s="37"/>
      <c r="RGI33" s="37"/>
      <c r="RGO33" s="2"/>
      <c r="RGP33" s="29"/>
      <c r="RGV33" s="10"/>
      <c r="RGW33" s="36"/>
      <c r="RGX33" s="37"/>
      <c r="RGY33" s="37"/>
      <c r="RHE33" s="2"/>
      <c r="RHF33" s="29"/>
      <c r="RHL33" s="10"/>
      <c r="RHM33" s="36"/>
      <c r="RHN33" s="37"/>
      <c r="RHO33" s="37"/>
      <c r="RHU33" s="2"/>
      <c r="RHV33" s="29"/>
      <c r="RIB33" s="10"/>
      <c r="RIC33" s="36"/>
      <c r="RID33" s="37"/>
      <c r="RIE33" s="37"/>
      <c r="RIK33" s="2"/>
      <c r="RIL33" s="29"/>
      <c r="RIR33" s="10"/>
      <c r="RIS33" s="36"/>
      <c r="RIT33" s="37"/>
      <c r="RIU33" s="37"/>
      <c r="RJA33" s="2"/>
      <c r="RJB33" s="29"/>
      <c r="RJH33" s="10"/>
      <c r="RJI33" s="36"/>
      <c r="RJJ33" s="37"/>
      <c r="RJK33" s="37"/>
      <c r="RJQ33" s="2"/>
      <c r="RJR33" s="29"/>
      <c r="RJX33" s="10"/>
      <c r="RJY33" s="36"/>
      <c r="RJZ33" s="37"/>
      <c r="RKA33" s="37"/>
      <c r="RKG33" s="2"/>
      <c r="RKH33" s="29"/>
      <c r="RKN33" s="10"/>
      <c r="RKO33" s="36"/>
      <c r="RKP33" s="37"/>
      <c r="RKQ33" s="37"/>
      <c r="RKW33" s="2"/>
      <c r="RKX33" s="29"/>
      <c r="RLD33" s="10"/>
      <c r="RLE33" s="36"/>
      <c r="RLF33" s="37"/>
      <c r="RLG33" s="37"/>
      <c r="RLM33" s="2"/>
      <c r="RLN33" s="29"/>
      <c r="RLT33" s="10"/>
      <c r="RLU33" s="36"/>
      <c r="RLV33" s="37"/>
      <c r="RLW33" s="37"/>
      <c r="RMC33" s="2"/>
      <c r="RMD33" s="29"/>
      <c r="RMJ33" s="10"/>
      <c r="RMK33" s="36"/>
      <c r="RML33" s="37"/>
      <c r="RMM33" s="37"/>
      <c r="RMS33" s="2"/>
      <c r="RMT33" s="29"/>
      <c r="RMZ33" s="10"/>
      <c r="RNA33" s="36"/>
      <c r="RNB33" s="37"/>
      <c r="RNC33" s="37"/>
      <c r="RNI33" s="2"/>
      <c r="RNJ33" s="29"/>
      <c r="RNP33" s="10"/>
      <c r="RNQ33" s="36"/>
      <c r="RNR33" s="37"/>
      <c r="RNS33" s="37"/>
      <c r="RNY33" s="2"/>
      <c r="RNZ33" s="29"/>
      <c r="ROF33" s="10"/>
      <c r="ROG33" s="36"/>
      <c r="ROH33" s="37"/>
      <c r="ROI33" s="37"/>
      <c r="ROO33" s="2"/>
      <c r="ROP33" s="29"/>
      <c r="ROV33" s="10"/>
      <c r="ROW33" s="36"/>
      <c r="ROX33" s="37"/>
      <c r="ROY33" s="37"/>
      <c r="RPE33" s="2"/>
      <c r="RPF33" s="29"/>
      <c r="RPL33" s="10"/>
      <c r="RPM33" s="36"/>
      <c r="RPN33" s="37"/>
      <c r="RPO33" s="37"/>
      <c r="RPU33" s="2"/>
      <c r="RPV33" s="29"/>
      <c r="RQB33" s="10"/>
      <c r="RQC33" s="36"/>
      <c r="RQD33" s="37"/>
      <c r="RQE33" s="37"/>
      <c r="RQK33" s="2"/>
      <c r="RQL33" s="29"/>
      <c r="RQR33" s="10"/>
      <c r="RQS33" s="36"/>
      <c r="RQT33" s="37"/>
      <c r="RQU33" s="37"/>
      <c r="RRA33" s="2"/>
      <c r="RRB33" s="29"/>
      <c r="RRH33" s="10"/>
      <c r="RRI33" s="36"/>
      <c r="RRJ33" s="37"/>
      <c r="RRK33" s="37"/>
      <c r="RRQ33" s="2"/>
      <c r="RRR33" s="29"/>
      <c r="RRX33" s="10"/>
      <c r="RRY33" s="36"/>
      <c r="RRZ33" s="37"/>
      <c r="RSA33" s="37"/>
      <c r="RSG33" s="2"/>
      <c r="RSH33" s="29"/>
      <c r="RSN33" s="10"/>
      <c r="RSO33" s="36"/>
      <c r="RSP33" s="37"/>
      <c r="RSQ33" s="37"/>
      <c r="RSW33" s="2"/>
      <c r="RSX33" s="29"/>
      <c r="RTD33" s="10"/>
      <c r="RTE33" s="36"/>
      <c r="RTF33" s="37"/>
      <c r="RTG33" s="37"/>
      <c r="RTM33" s="2"/>
      <c r="RTN33" s="29"/>
      <c r="RTT33" s="10"/>
      <c r="RTU33" s="36"/>
      <c r="RTV33" s="37"/>
      <c r="RTW33" s="37"/>
      <c r="RUC33" s="2"/>
      <c r="RUD33" s="29"/>
      <c r="RUJ33" s="10"/>
      <c r="RUK33" s="36"/>
      <c r="RUL33" s="37"/>
      <c r="RUM33" s="37"/>
      <c r="RUS33" s="2"/>
      <c r="RUT33" s="29"/>
      <c r="RUZ33" s="10"/>
      <c r="RVA33" s="36"/>
      <c r="RVB33" s="37"/>
      <c r="RVC33" s="37"/>
      <c r="RVI33" s="2"/>
      <c r="RVJ33" s="29"/>
      <c r="RVP33" s="10"/>
      <c r="RVQ33" s="36"/>
      <c r="RVR33" s="37"/>
      <c r="RVS33" s="37"/>
      <c r="RVY33" s="2"/>
      <c r="RVZ33" s="29"/>
      <c r="RWF33" s="10"/>
      <c r="RWG33" s="36"/>
      <c r="RWH33" s="37"/>
      <c r="RWI33" s="37"/>
      <c r="RWO33" s="2"/>
      <c r="RWP33" s="29"/>
      <c r="RWV33" s="10"/>
      <c r="RWW33" s="36"/>
      <c r="RWX33" s="37"/>
      <c r="RWY33" s="37"/>
      <c r="RXE33" s="2"/>
      <c r="RXF33" s="29"/>
      <c r="RXL33" s="10"/>
      <c r="RXM33" s="36"/>
      <c r="RXN33" s="37"/>
      <c r="RXO33" s="37"/>
      <c r="RXU33" s="2"/>
      <c r="RXV33" s="29"/>
      <c r="RYB33" s="10"/>
      <c r="RYC33" s="36"/>
      <c r="RYD33" s="37"/>
      <c r="RYE33" s="37"/>
      <c r="RYK33" s="2"/>
      <c r="RYL33" s="29"/>
      <c r="RYR33" s="10"/>
      <c r="RYS33" s="36"/>
      <c r="RYT33" s="37"/>
      <c r="RYU33" s="37"/>
      <c r="RZA33" s="2"/>
      <c r="RZB33" s="29"/>
      <c r="RZH33" s="10"/>
      <c r="RZI33" s="36"/>
      <c r="RZJ33" s="37"/>
      <c r="RZK33" s="37"/>
      <c r="RZQ33" s="2"/>
      <c r="RZR33" s="29"/>
      <c r="RZX33" s="10"/>
      <c r="RZY33" s="36"/>
      <c r="RZZ33" s="37"/>
      <c r="SAA33" s="37"/>
      <c r="SAG33" s="2"/>
      <c r="SAH33" s="29"/>
      <c r="SAN33" s="10"/>
      <c r="SAO33" s="36"/>
      <c r="SAP33" s="37"/>
      <c r="SAQ33" s="37"/>
      <c r="SAW33" s="2"/>
      <c r="SAX33" s="29"/>
      <c r="SBD33" s="10"/>
      <c r="SBE33" s="36"/>
      <c r="SBF33" s="37"/>
      <c r="SBG33" s="37"/>
      <c r="SBM33" s="2"/>
      <c r="SBN33" s="29"/>
      <c r="SBT33" s="10"/>
      <c r="SBU33" s="36"/>
      <c r="SBV33" s="37"/>
      <c r="SBW33" s="37"/>
      <c r="SCC33" s="2"/>
      <c r="SCD33" s="29"/>
      <c r="SCJ33" s="10"/>
      <c r="SCK33" s="36"/>
      <c r="SCL33" s="37"/>
      <c r="SCM33" s="37"/>
      <c r="SCS33" s="2"/>
      <c r="SCT33" s="29"/>
      <c r="SCZ33" s="10"/>
      <c r="SDA33" s="36"/>
      <c r="SDB33" s="37"/>
      <c r="SDC33" s="37"/>
      <c r="SDI33" s="2"/>
      <c r="SDJ33" s="29"/>
      <c r="SDP33" s="10"/>
      <c r="SDQ33" s="36"/>
      <c r="SDR33" s="37"/>
      <c r="SDS33" s="37"/>
      <c r="SDY33" s="2"/>
      <c r="SDZ33" s="29"/>
      <c r="SEF33" s="10"/>
      <c r="SEG33" s="36"/>
      <c r="SEH33" s="37"/>
      <c r="SEI33" s="37"/>
      <c r="SEO33" s="2"/>
      <c r="SEP33" s="29"/>
      <c r="SEV33" s="10"/>
      <c r="SEW33" s="36"/>
      <c r="SEX33" s="37"/>
      <c r="SEY33" s="37"/>
      <c r="SFE33" s="2"/>
      <c r="SFF33" s="29"/>
      <c r="SFL33" s="10"/>
      <c r="SFM33" s="36"/>
      <c r="SFN33" s="37"/>
      <c r="SFO33" s="37"/>
      <c r="SFU33" s="2"/>
      <c r="SFV33" s="29"/>
      <c r="SGB33" s="10"/>
      <c r="SGC33" s="36"/>
      <c r="SGD33" s="37"/>
      <c r="SGE33" s="37"/>
      <c r="SGK33" s="2"/>
      <c r="SGL33" s="29"/>
      <c r="SGR33" s="10"/>
      <c r="SGS33" s="36"/>
      <c r="SGT33" s="37"/>
      <c r="SGU33" s="37"/>
      <c r="SHA33" s="2"/>
      <c r="SHB33" s="29"/>
      <c r="SHH33" s="10"/>
      <c r="SHI33" s="36"/>
      <c r="SHJ33" s="37"/>
      <c r="SHK33" s="37"/>
      <c r="SHQ33" s="2"/>
      <c r="SHR33" s="29"/>
      <c r="SHX33" s="10"/>
      <c r="SHY33" s="36"/>
      <c r="SHZ33" s="37"/>
      <c r="SIA33" s="37"/>
      <c r="SIG33" s="2"/>
      <c r="SIH33" s="29"/>
      <c r="SIN33" s="10"/>
      <c r="SIO33" s="36"/>
      <c r="SIP33" s="37"/>
      <c r="SIQ33" s="37"/>
      <c r="SIW33" s="2"/>
      <c r="SIX33" s="29"/>
      <c r="SJD33" s="10"/>
      <c r="SJE33" s="36"/>
      <c r="SJF33" s="37"/>
      <c r="SJG33" s="37"/>
      <c r="SJM33" s="2"/>
      <c r="SJN33" s="29"/>
      <c r="SJT33" s="10"/>
      <c r="SJU33" s="36"/>
      <c r="SJV33" s="37"/>
      <c r="SJW33" s="37"/>
      <c r="SKC33" s="2"/>
      <c r="SKD33" s="29"/>
      <c r="SKJ33" s="10"/>
      <c r="SKK33" s="36"/>
      <c r="SKL33" s="37"/>
      <c r="SKM33" s="37"/>
      <c r="SKS33" s="2"/>
      <c r="SKT33" s="29"/>
      <c r="SKZ33" s="10"/>
      <c r="SLA33" s="36"/>
      <c r="SLB33" s="37"/>
      <c r="SLC33" s="37"/>
      <c r="SLI33" s="2"/>
      <c r="SLJ33" s="29"/>
      <c r="SLP33" s="10"/>
      <c r="SLQ33" s="36"/>
      <c r="SLR33" s="37"/>
      <c r="SLS33" s="37"/>
      <c r="SLY33" s="2"/>
      <c r="SLZ33" s="29"/>
      <c r="SMF33" s="10"/>
      <c r="SMG33" s="36"/>
      <c r="SMH33" s="37"/>
      <c r="SMI33" s="37"/>
      <c r="SMO33" s="2"/>
      <c r="SMP33" s="29"/>
      <c r="SMV33" s="10"/>
      <c r="SMW33" s="36"/>
      <c r="SMX33" s="37"/>
      <c r="SMY33" s="37"/>
      <c r="SNE33" s="2"/>
      <c r="SNF33" s="29"/>
      <c r="SNL33" s="10"/>
      <c r="SNM33" s="36"/>
      <c r="SNN33" s="37"/>
      <c r="SNO33" s="37"/>
      <c r="SNU33" s="2"/>
      <c r="SNV33" s="29"/>
      <c r="SOB33" s="10"/>
      <c r="SOC33" s="36"/>
      <c r="SOD33" s="37"/>
      <c r="SOE33" s="37"/>
      <c r="SOK33" s="2"/>
      <c r="SOL33" s="29"/>
      <c r="SOR33" s="10"/>
      <c r="SOS33" s="36"/>
      <c r="SOT33" s="37"/>
      <c r="SOU33" s="37"/>
      <c r="SPA33" s="2"/>
      <c r="SPB33" s="29"/>
      <c r="SPH33" s="10"/>
      <c r="SPI33" s="36"/>
      <c r="SPJ33" s="37"/>
      <c r="SPK33" s="37"/>
      <c r="SPQ33" s="2"/>
      <c r="SPR33" s="29"/>
      <c r="SPX33" s="10"/>
      <c r="SPY33" s="36"/>
      <c r="SPZ33" s="37"/>
      <c r="SQA33" s="37"/>
      <c r="SQG33" s="2"/>
      <c r="SQH33" s="29"/>
      <c r="SQN33" s="10"/>
      <c r="SQO33" s="36"/>
      <c r="SQP33" s="37"/>
      <c r="SQQ33" s="37"/>
      <c r="SQW33" s="2"/>
      <c r="SQX33" s="29"/>
      <c r="SRD33" s="10"/>
      <c r="SRE33" s="36"/>
      <c r="SRF33" s="37"/>
      <c r="SRG33" s="37"/>
      <c r="SRM33" s="2"/>
      <c r="SRN33" s="29"/>
      <c r="SRT33" s="10"/>
      <c r="SRU33" s="36"/>
      <c r="SRV33" s="37"/>
      <c r="SRW33" s="37"/>
      <c r="SSC33" s="2"/>
      <c r="SSD33" s="29"/>
      <c r="SSJ33" s="10"/>
      <c r="SSK33" s="36"/>
      <c r="SSL33" s="37"/>
      <c r="SSM33" s="37"/>
      <c r="SSS33" s="2"/>
      <c r="SST33" s="29"/>
      <c r="SSZ33" s="10"/>
      <c r="STA33" s="36"/>
      <c r="STB33" s="37"/>
      <c r="STC33" s="37"/>
      <c r="STI33" s="2"/>
      <c r="STJ33" s="29"/>
      <c r="STP33" s="10"/>
      <c r="STQ33" s="36"/>
      <c r="STR33" s="37"/>
      <c r="STS33" s="37"/>
      <c r="STY33" s="2"/>
      <c r="STZ33" s="29"/>
      <c r="SUF33" s="10"/>
      <c r="SUG33" s="36"/>
      <c r="SUH33" s="37"/>
      <c r="SUI33" s="37"/>
      <c r="SUO33" s="2"/>
      <c r="SUP33" s="29"/>
      <c r="SUV33" s="10"/>
      <c r="SUW33" s="36"/>
      <c r="SUX33" s="37"/>
      <c r="SUY33" s="37"/>
      <c r="SVE33" s="2"/>
      <c r="SVF33" s="29"/>
      <c r="SVL33" s="10"/>
      <c r="SVM33" s="36"/>
      <c r="SVN33" s="37"/>
      <c r="SVO33" s="37"/>
      <c r="SVU33" s="2"/>
      <c r="SVV33" s="29"/>
      <c r="SWB33" s="10"/>
      <c r="SWC33" s="36"/>
      <c r="SWD33" s="37"/>
      <c r="SWE33" s="37"/>
      <c r="SWK33" s="2"/>
      <c r="SWL33" s="29"/>
      <c r="SWR33" s="10"/>
      <c r="SWS33" s="36"/>
      <c r="SWT33" s="37"/>
      <c r="SWU33" s="37"/>
      <c r="SXA33" s="2"/>
      <c r="SXB33" s="29"/>
      <c r="SXH33" s="10"/>
      <c r="SXI33" s="36"/>
      <c r="SXJ33" s="37"/>
      <c r="SXK33" s="37"/>
      <c r="SXQ33" s="2"/>
      <c r="SXR33" s="29"/>
      <c r="SXX33" s="10"/>
      <c r="SXY33" s="36"/>
      <c r="SXZ33" s="37"/>
      <c r="SYA33" s="37"/>
      <c r="SYG33" s="2"/>
      <c r="SYH33" s="29"/>
      <c r="SYN33" s="10"/>
      <c r="SYO33" s="36"/>
      <c r="SYP33" s="37"/>
      <c r="SYQ33" s="37"/>
      <c r="SYW33" s="2"/>
      <c r="SYX33" s="29"/>
      <c r="SZD33" s="10"/>
      <c r="SZE33" s="36"/>
      <c r="SZF33" s="37"/>
      <c r="SZG33" s="37"/>
      <c r="SZM33" s="2"/>
      <c r="SZN33" s="29"/>
      <c r="SZT33" s="10"/>
      <c r="SZU33" s="36"/>
      <c r="SZV33" s="37"/>
      <c r="SZW33" s="37"/>
      <c r="TAC33" s="2"/>
      <c r="TAD33" s="29"/>
      <c r="TAJ33" s="10"/>
      <c r="TAK33" s="36"/>
      <c r="TAL33" s="37"/>
      <c r="TAM33" s="37"/>
      <c r="TAS33" s="2"/>
      <c r="TAT33" s="29"/>
      <c r="TAZ33" s="10"/>
      <c r="TBA33" s="36"/>
      <c r="TBB33" s="37"/>
      <c r="TBC33" s="37"/>
      <c r="TBI33" s="2"/>
      <c r="TBJ33" s="29"/>
      <c r="TBP33" s="10"/>
      <c r="TBQ33" s="36"/>
      <c r="TBR33" s="37"/>
      <c r="TBS33" s="37"/>
      <c r="TBY33" s="2"/>
      <c r="TBZ33" s="29"/>
      <c r="TCF33" s="10"/>
      <c r="TCG33" s="36"/>
      <c r="TCH33" s="37"/>
      <c r="TCI33" s="37"/>
      <c r="TCO33" s="2"/>
      <c r="TCP33" s="29"/>
      <c r="TCV33" s="10"/>
      <c r="TCW33" s="36"/>
      <c r="TCX33" s="37"/>
      <c r="TCY33" s="37"/>
      <c r="TDE33" s="2"/>
      <c r="TDF33" s="29"/>
      <c r="TDL33" s="10"/>
      <c r="TDM33" s="36"/>
      <c r="TDN33" s="37"/>
      <c r="TDO33" s="37"/>
      <c r="TDU33" s="2"/>
      <c r="TDV33" s="29"/>
      <c r="TEB33" s="10"/>
      <c r="TEC33" s="36"/>
      <c r="TED33" s="37"/>
      <c r="TEE33" s="37"/>
      <c r="TEK33" s="2"/>
      <c r="TEL33" s="29"/>
      <c r="TER33" s="10"/>
      <c r="TES33" s="36"/>
      <c r="TET33" s="37"/>
      <c r="TEU33" s="37"/>
      <c r="TFA33" s="2"/>
      <c r="TFB33" s="29"/>
      <c r="TFH33" s="10"/>
      <c r="TFI33" s="36"/>
      <c r="TFJ33" s="37"/>
      <c r="TFK33" s="37"/>
      <c r="TFQ33" s="2"/>
      <c r="TFR33" s="29"/>
      <c r="TFX33" s="10"/>
      <c r="TFY33" s="36"/>
      <c r="TFZ33" s="37"/>
      <c r="TGA33" s="37"/>
      <c r="TGG33" s="2"/>
      <c r="TGH33" s="29"/>
      <c r="TGN33" s="10"/>
      <c r="TGO33" s="36"/>
      <c r="TGP33" s="37"/>
      <c r="TGQ33" s="37"/>
      <c r="TGW33" s="2"/>
      <c r="TGX33" s="29"/>
      <c r="THD33" s="10"/>
      <c r="THE33" s="36"/>
      <c r="THF33" s="37"/>
      <c r="THG33" s="37"/>
      <c r="THM33" s="2"/>
      <c r="THN33" s="29"/>
      <c r="THT33" s="10"/>
      <c r="THU33" s="36"/>
      <c r="THV33" s="37"/>
      <c r="THW33" s="37"/>
      <c r="TIC33" s="2"/>
      <c r="TID33" s="29"/>
      <c r="TIJ33" s="10"/>
      <c r="TIK33" s="36"/>
      <c r="TIL33" s="37"/>
      <c r="TIM33" s="37"/>
      <c r="TIS33" s="2"/>
      <c r="TIT33" s="29"/>
      <c r="TIZ33" s="10"/>
      <c r="TJA33" s="36"/>
      <c r="TJB33" s="37"/>
      <c r="TJC33" s="37"/>
      <c r="TJI33" s="2"/>
      <c r="TJJ33" s="29"/>
      <c r="TJP33" s="10"/>
      <c r="TJQ33" s="36"/>
      <c r="TJR33" s="37"/>
      <c r="TJS33" s="37"/>
      <c r="TJY33" s="2"/>
      <c r="TJZ33" s="29"/>
      <c r="TKF33" s="10"/>
      <c r="TKG33" s="36"/>
      <c r="TKH33" s="37"/>
      <c r="TKI33" s="37"/>
      <c r="TKO33" s="2"/>
      <c r="TKP33" s="29"/>
      <c r="TKV33" s="10"/>
      <c r="TKW33" s="36"/>
      <c r="TKX33" s="37"/>
      <c r="TKY33" s="37"/>
      <c r="TLE33" s="2"/>
      <c r="TLF33" s="29"/>
      <c r="TLL33" s="10"/>
      <c r="TLM33" s="36"/>
      <c r="TLN33" s="37"/>
      <c r="TLO33" s="37"/>
      <c r="TLU33" s="2"/>
      <c r="TLV33" s="29"/>
      <c r="TMB33" s="10"/>
      <c r="TMC33" s="36"/>
      <c r="TMD33" s="37"/>
      <c r="TME33" s="37"/>
      <c r="TMK33" s="2"/>
      <c r="TML33" s="29"/>
      <c r="TMR33" s="10"/>
      <c r="TMS33" s="36"/>
      <c r="TMT33" s="37"/>
      <c r="TMU33" s="37"/>
      <c r="TNA33" s="2"/>
      <c r="TNB33" s="29"/>
      <c r="TNH33" s="10"/>
      <c r="TNI33" s="36"/>
      <c r="TNJ33" s="37"/>
      <c r="TNK33" s="37"/>
      <c r="TNQ33" s="2"/>
      <c r="TNR33" s="29"/>
      <c r="TNX33" s="10"/>
      <c r="TNY33" s="36"/>
      <c r="TNZ33" s="37"/>
      <c r="TOA33" s="37"/>
      <c r="TOG33" s="2"/>
      <c r="TOH33" s="29"/>
      <c r="TON33" s="10"/>
      <c r="TOO33" s="36"/>
      <c r="TOP33" s="37"/>
      <c r="TOQ33" s="37"/>
      <c r="TOW33" s="2"/>
      <c r="TOX33" s="29"/>
      <c r="TPD33" s="10"/>
      <c r="TPE33" s="36"/>
      <c r="TPF33" s="37"/>
      <c r="TPG33" s="37"/>
      <c r="TPM33" s="2"/>
      <c r="TPN33" s="29"/>
      <c r="TPT33" s="10"/>
      <c r="TPU33" s="36"/>
      <c r="TPV33" s="37"/>
      <c r="TPW33" s="37"/>
      <c r="TQC33" s="2"/>
      <c r="TQD33" s="29"/>
      <c r="TQJ33" s="10"/>
      <c r="TQK33" s="36"/>
      <c r="TQL33" s="37"/>
      <c r="TQM33" s="37"/>
      <c r="TQS33" s="2"/>
      <c r="TQT33" s="29"/>
      <c r="TQZ33" s="10"/>
      <c r="TRA33" s="36"/>
      <c r="TRB33" s="37"/>
      <c r="TRC33" s="37"/>
      <c r="TRI33" s="2"/>
      <c r="TRJ33" s="29"/>
      <c r="TRP33" s="10"/>
      <c r="TRQ33" s="36"/>
      <c r="TRR33" s="37"/>
      <c r="TRS33" s="37"/>
      <c r="TRY33" s="2"/>
      <c r="TRZ33" s="29"/>
      <c r="TSF33" s="10"/>
      <c r="TSG33" s="36"/>
      <c r="TSH33" s="37"/>
      <c r="TSI33" s="37"/>
      <c r="TSO33" s="2"/>
      <c r="TSP33" s="29"/>
      <c r="TSV33" s="10"/>
      <c r="TSW33" s="36"/>
      <c r="TSX33" s="37"/>
      <c r="TSY33" s="37"/>
      <c r="TTE33" s="2"/>
      <c r="TTF33" s="29"/>
      <c r="TTL33" s="10"/>
      <c r="TTM33" s="36"/>
      <c r="TTN33" s="37"/>
      <c r="TTO33" s="37"/>
      <c r="TTU33" s="2"/>
      <c r="TTV33" s="29"/>
      <c r="TUB33" s="10"/>
      <c r="TUC33" s="36"/>
      <c r="TUD33" s="37"/>
      <c r="TUE33" s="37"/>
      <c r="TUK33" s="2"/>
      <c r="TUL33" s="29"/>
      <c r="TUR33" s="10"/>
      <c r="TUS33" s="36"/>
      <c r="TUT33" s="37"/>
      <c r="TUU33" s="37"/>
      <c r="TVA33" s="2"/>
      <c r="TVB33" s="29"/>
      <c r="TVH33" s="10"/>
      <c r="TVI33" s="36"/>
      <c r="TVJ33" s="37"/>
      <c r="TVK33" s="37"/>
      <c r="TVQ33" s="2"/>
      <c r="TVR33" s="29"/>
      <c r="TVX33" s="10"/>
      <c r="TVY33" s="36"/>
      <c r="TVZ33" s="37"/>
      <c r="TWA33" s="37"/>
      <c r="TWG33" s="2"/>
      <c r="TWH33" s="29"/>
      <c r="TWN33" s="10"/>
      <c r="TWO33" s="36"/>
      <c r="TWP33" s="37"/>
      <c r="TWQ33" s="37"/>
      <c r="TWW33" s="2"/>
      <c r="TWX33" s="29"/>
      <c r="TXD33" s="10"/>
      <c r="TXE33" s="36"/>
      <c r="TXF33" s="37"/>
      <c r="TXG33" s="37"/>
      <c r="TXM33" s="2"/>
      <c r="TXN33" s="29"/>
      <c r="TXT33" s="10"/>
      <c r="TXU33" s="36"/>
      <c r="TXV33" s="37"/>
      <c r="TXW33" s="37"/>
      <c r="TYC33" s="2"/>
      <c r="TYD33" s="29"/>
      <c r="TYJ33" s="10"/>
      <c r="TYK33" s="36"/>
      <c r="TYL33" s="37"/>
      <c r="TYM33" s="37"/>
      <c r="TYS33" s="2"/>
      <c r="TYT33" s="29"/>
      <c r="TYZ33" s="10"/>
      <c r="TZA33" s="36"/>
      <c r="TZB33" s="37"/>
      <c r="TZC33" s="37"/>
      <c r="TZI33" s="2"/>
      <c r="TZJ33" s="29"/>
      <c r="TZP33" s="10"/>
      <c r="TZQ33" s="36"/>
      <c r="TZR33" s="37"/>
      <c r="TZS33" s="37"/>
      <c r="TZY33" s="2"/>
      <c r="TZZ33" s="29"/>
      <c r="UAF33" s="10"/>
      <c r="UAG33" s="36"/>
      <c r="UAH33" s="37"/>
      <c r="UAI33" s="37"/>
      <c r="UAO33" s="2"/>
      <c r="UAP33" s="29"/>
      <c r="UAV33" s="10"/>
      <c r="UAW33" s="36"/>
      <c r="UAX33" s="37"/>
      <c r="UAY33" s="37"/>
      <c r="UBE33" s="2"/>
      <c r="UBF33" s="29"/>
      <c r="UBL33" s="10"/>
      <c r="UBM33" s="36"/>
      <c r="UBN33" s="37"/>
      <c r="UBO33" s="37"/>
      <c r="UBU33" s="2"/>
      <c r="UBV33" s="29"/>
      <c r="UCB33" s="10"/>
      <c r="UCC33" s="36"/>
      <c r="UCD33" s="37"/>
      <c r="UCE33" s="37"/>
      <c r="UCK33" s="2"/>
      <c r="UCL33" s="29"/>
      <c r="UCR33" s="10"/>
      <c r="UCS33" s="36"/>
      <c r="UCT33" s="37"/>
      <c r="UCU33" s="37"/>
      <c r="UDA33" s="2"/>
      <c r="UDB33" s="29"/>
      <c r="UDH33" s="10"/>
      <c r="UDI33" s="36"/>
      <c r="UDJ33" s="37"/>
      <c r="UDK33" s="37"/>
      <c r="UDQ33" s="2"/>
      <c r="UDR33" s="29"/>
      <c r="UDX33" s="10"/>
      <c r="UDY33" s="36"/>
      <c r="UDZ33" s="37"/>
      <c r="UEA33" s="37"/>
      <c r="UEG33" s="2"/>
      <c r="UEH33" s="29"/>
      <c r="UEN33" s="10"/>
      <c r="UEO33" s="36"/>
      <c r="UEP33" s="37"/>
      <c r="UEQ33" s="37"/>
      <c r="UEW33" s="2"/>
      <c r="UEX33" s="29"/>
      <c r="UFD33" s="10"/>
      <c r="UFE33" s="36"/>
      <c r="UFF33" s="37"/>
      <c r="UFG33" s="37"/>
      <c r="UFM33" s="2"/>
      <c r="UFN33" s="29"/>
      <c r="UFT33" s="10"/>
      <c r="UFU33" s="36"/>
      <c r="UFV33" s="37"/>
      <c r="UFW33" s="37"/>
      <c r="UGC33" s="2"/>
      <c r="UGD33" s="29"/>
      <c r="UGJ33" s="10"/>
      <c r="UGK33" s="36"/>
      <c r="UGL33" s="37"/>
      <c r="UGM33" s="37"/>
      <c r="UGS33" s="2"/>
      <c r="UGT33" s="29"/>
      <c r="UGZ33" s="10"/>
      <c r="UHA33" s="36"/>
      <c r="UHB33" s="37"/>
      <c r="UHC33" s="37"/>
      <c r="UHI33" s="2"/>
      <c r="UHJ33" s="29"/>
      <c r="UHP33" s="10"/>
      <c r="UHQ33" s="36"/>
      <c r="UHR33" s="37"/>
      <c r="UHS33" s="37"/>
      <c r="UHY33" s="2"/>
      <c r="UHZ33" s="29"/>
      <c r="UIF33" s="10"/>
      <c r="UIG33" s="36"/>
      <c r="UIH33" s="37"/>
      <c r="UII33" s="37"/>
      <c r="UIO33" s="2"/>
      <c r="UIP33" s="29"/>
      <c r="UIV33" s="10"/>
      <c r="UIW33" s="36"/>
      <c r="UIX33" s="37"/>
      <c r="UIY33" s="37"/>
      <c r="UJE33" s="2"/>
      <c r="UJF33" s="29"/>
      <c r="UJL33" s="10"/>
      <c r="UJM33" s="36"/>
      <c r="UJN33" s="37"/>
      <c r="UJO33" s="37"/>
      <c r="UJU33" s="2"/>
      <c r="UJV33" s="29"/>
      <c r="UKB33" s="10"/>
      <c r="UKC33" s="36"/>
      <c r="UKD33" s="37"/>
      <c r="UKE33" s="37"/>
      <c r="UKK33" s="2"/>
      <c r="UKL33" s="29"/>
      <c r="UKR33" s="10"/>
      <c r="UKS33" s="36"/>
      <c r="UKT33" s="37"/>
      <c r="UKU33" s="37"/>
      <c r="ULA33" s="2"/>
      <c r="ULB33" s="29"/>
      <c r="ULH33" s="10"/>
      <c r="ULI33" s="36"/>
      <c r="ULJ33" s="37"/>
      <c r="ULK33" s="37"/>
      <c r="ULQ33" s="2"/>
      <c r="ULR33" s="29"/>
      <c r="ULX33" s="10"/>
      <c r="ULY33" s="36"/>
      <c r="ULZ33" s="37"/>
      <c r="UMA33" s="37"/>
      <c r="UMG33" s="2"/>
      <c r="UMH33" s="29"/>
      <c r="UMN33" s="10"/>
      <c r="UMO33" s="36"/>
      <c r="UMP33" s="37"/>
      <c r="UMQ33" s="37"/>
      <c r="UMW33" s="2"/>
      <c r="UMX33" s="29"/>
      <c r="UND33" s="10"/>
      <c r="UNE33" s="36"/>
      <c r="UNF33" s="37"/>
      <c r="UNG33" s="37"/>
      <c r="UNM33" s="2"/>
      <c r="UNN33" s="29"/>
      <c r="UNT33" s="10"/>
      <c r="UNU33" s="36"/>
      <c r="UNV33" s="37"/>
      <c r="UNW33" s="37"/>
      <c r="UOC33" s="2"/>
      <c r="UOD33" s="29"/>
      <c r="UOJ33" s="10"/>
      <c r="UOK33" s="36"/>
      <c r="UOL33" s="37"/>
      <c r="UOM33" s="37"/>
      <c r="UOS33" s="2"/>
      <c r="UOT33" s="29"/>
      <c r="UOZ33" s="10"/>
      <c r="UPA33" s="36"/>
      <c r="UPB33" s="37"/>
      <c r="UPC33" s="37"/>
      <c r="UPI33" s="2"/>
      <c r="UPJ33" s="29"/>
      <c r="UPP33" s="10"/>
      <c r="UPQ33" s="36"/>
      <c r="UPR33" s="37"/>
      <c r="UPS33" s="37"/>
      <c r="UPY33" s="2"/>
      <c r="UPZ33" s="29"/>
      <c r="UQF33" s="10"/>
      <c r="UQG33" s="36"/>
      <c r="UQH33" s="37"/>
      <c r="UQI33" s="37"/>
      <c r="UQO33" s="2"/>
      <c r="UQP33" s="29"/>
      <c r="UQV33" s="10"/>
      <c r="UQW33" s="36"/>
      <c r="UQX33" s="37"/>
      <c r="UQY33" s="37"/>
      <c r="URE33" s="2"/>
      <c r="URF33" s="29"/>
      <c r="URL33" s="10"/>
      <c r="URM33" s="36"/>
      <c r="URN33" s="37"/>
      <c r="URO33" s="37"/>
      <c r="URU33" s="2"/>
      <c r="URV33" s="29"/>
      <c r="USB33" s="10"/>
      <c r="USC33" s="36"/>
      <c r="USD33" s="37"/>
      <c r="USE33" s="37"/>
      <c r="USK33" s="2"/>
      <c r="USL33" s="29"/>
      <c r="USR33" s="10"/>
      <c r="USS33" s="36"/>
      <c r="UST33" s="37"/>
      <c r="USU33" s="37"/>
      <c r="UTA33" s="2"/>
      <c r="UTB33" s="29"/>
      <c r="UTH33" s="10"/>
      <c r="UTI33" s="36"/>
      <c r="UTJ33" s="37"/>
      <c r="UTK33" s="37"/>
      <c r="UTQ33" s="2"/>
      <c r="UTR33" s="29"/>
      <c r="UTX33" s="10"/>
      <c r="UTY33" s="36"/>
      <c r="UTZ33" s="37"/>
      <c r="UUA33" s="37"/>
      <c r="UUG33" s="2"/>
      <c r="UUH33" s="29"/>
      <c r="UUN33" s="10"/>
      <c r="UUO33" s="36"/>
      <c r="UUP33" s="37"/>
      <c r="UUQ33" s="37"/>
      <c r="UUW33" s="2"/>
      <c r="UUX33" s="29"/>
      <c r="UVD33" s="10"/>
      <c r="UVE33" s="36"/>
      <c r="UVF33" s="37"/>
      <c r="UVG33" s="37"/>
      <c r="UVM33" s="2"/>
      <c r="UVN33" s="29"/>
      <c r="UVT33" s="10"/>
      <c r="UVU33" s="36"/>
      <c r="UVV33" s="37"/>
      <c r="UVW33" s="37"/>
      <c r="UWC33" s="2"/>
      <c r="UWD33" s="29"/>
      <c r="UWJ33" s="10"/>
      <c r="UWK33" s="36"/>
      <c r="UWL33" s="37"/>
      <c r="UWM33" s="37"/>
      <c r="UWS33" s="2"/>
      <c r="UWT33" s="29"/>
      <c r="UWZ33" s="10"/>
      <c r="UXA33" s="36"/>
      <c r="UXB33" s="37"/>
      <c r="UXC33" s="37"/>
      <c r="UXI33" s="2"/>
      <c r="UXJ33" s="29"/>
      <c r="UXP33" s="10"/>
      <c r="UXQ33" s="36"/>
      <c r="UXR33" s="37"/>
      <c r="UXS33" s="37"/>
      <c r="UXY33" s="2"/>
      <c r="UXZ33" s="29"/>
      <c r="UYF33" s="10"/>
      <c r="UYG33" s="36"/>
      <c r="UYH33" s="37"/>
      <c r="UYI33" s="37"/>
      <c r="UYO33" s="2"/>
      <c r="UYP33" s="29"/>
      <c r="UYV33" s="10"/>
      <c r="UYW33" s="36"/>
      <c r="UYX33" s="37"/>
      <c r="UYY33" s="37"/>
      <c r="UZE33" s="2"/>
      <c r="UZF33" s="29"/>
      <c r="UZL33" s="10"/>
      <c r="UZM33" s="36"/>
      <c r="UZN33" s="37"/>
      <c r="UZO33" s="37"/>
      <c r="UZU33" s="2"/>
      <c r="UZV33" s="29"/>
      <c r="VAB33" s="10"/>
      <c r="VAC33" s="36"/>
      <c r="VAD33" s="37"/>
      <c r="VAE33" s="37"/>
      <c r="VAK33" s="2"/>
      <c r="VAL33" s="29"/>
      <c r="VAR33" s="10"/>
      <c r="VAS33" s="36"/>
      <c r="VAT33" s="37"/>
      <c r="VAU33" s="37"/>
      <c r="VBA33" s="2"/>
      <c r="VBB33" s="29"/>
      <c r="VBH33" s="10"/>
      <c r="VBI33" s="36"/>
      <c r="VBJ33" s="37"/>
      <c r="VBK33" s="37"/>
      <c r="VBQ33" s="2"/>
      <c r="VBR33" s="29"/>
      <c r="VBX33" s="10"/>
      <c r="VBY33" s="36"/>
      <c r="VBZ33" s="37"/>
      <c r="VCA33" s="37"/>
      <c r="VCG33" s="2"/>
      <c r="VCH33" s="29"/>
      <c r="VCN33" s="10"/>
      <c r="VCO33" s="36"/>
      <c r="VCP33" s="37"/>
      <c r="VCQ33" s="37"/>
      <c r="VCW33" s="2"/>
      <c r="VCX33" s="29"/>
      <c r="VDD33" s="10"/>
      <c r="VDE33" s="36"/>
      <c r="VDF33" s="37"/>
      <c r="VDG33" s="37"/>
      <c r="VDM33" s="2"/>
      <c r="VDN33" s="29"/>
      <c r="VDT33" s="10"/>
      <c r="VDU33" s="36"/>
      <c r="VDV33" s="37"/>
      <c r="VDW33" s="37"/>
      <c r="VEC33" s="2"/>
      <c r="VED33" s="29"/>
      <c r="VEJ33" s="10"/>
      <c r="VEK33" s="36"/>
      <c r="VEL33" s="37"/>
      <c r="VEM33" s="37"/>
      <c r="VES33" s="2"/>
      <c r="VET33" s="29"/>
      <c r="VEZ33" s="10"/>
      <c r="VFA33" s="36"/>
      <c r="VFB33" s="37"/>
      <c r="VFC33" s="37"/>
      <c r="VFI33" s="2"/>
      <c r="VFJ33" s="29"/>
      <c r="VFP33" s="10"/>
      <c r="VFQ33" s="36"/>
      <c r="VFR33" s="37"/>
      <c r="VFS33" s="37"/>
      <c r="VFY33" s="2"/>
      <c r="VFZ33" s="29"/>
      <c r="VGF33" s="10"/>
      <c r="VGG33" s="36"/>
      <c r="VGH33" s="37"/>
      <c r="VGI33" s="37"/>
      <c r="VGO33" s="2"/>
      <c r="VGP33" s="29"/>
      <c r="VGV33" s="10"/>
      <c r="VGW33" s="36"/>
      <c r="VGX33" s="37"/>
      <c r="VGY33" s="37"/>
      <c r="VHE33" s="2"/>
      <c r="VHF33" s="29"/>
      <c r="VHL33" s="10"/>
      <c r="VHM33" s="36"/>
      <c r="VHN33" s="37"/>
      <c r="VHO33" s="37"/>
      <c r="VHU33" s="2"/>
      <c r="VHV33" s="29"/>
      <c r="VIB33" s="10"/>
      <c r="VIC33" s="36"/>
      <c r="VID33" s="37"/>
      <c r="VIE33" s="37"/>
      <c r="VIK33" s="2"/>
      <c r="VIL33" s="29"/>
      <c r="VIR33" s="10"/>
      <c r="VIS33" s="36"/>
      <c r="VIT33" s="37"/>
      <c r="VIU33" s="37"/>
      <c r="VJA33" s="2"/>
      <c r="VJB33" s="29"/>
      <c r="VJH33" s="10"/>
      <c r="VJI33" s="36"/>
      <c r="VJJ33" s="37"/>
      <c r="VJK33" s="37"/>
      <c r="VJQ33" s="2"/>
      <c r="VJR33" s="29"/>
      <c r="VJX33" s="10"/>
      <c r="VJY33" s="36"/>
      <c r="VJZ33" s="37"/>
      <c r="VKA33" s="37"/>
      <c r="VKG33" s="2"/>
      <c r="VKH33" s="29"/>
      <c r="VKN33" s="10"/>
      <c r="VKO33" s="36"/>
      <c r="VKP33" s="37"/>
      <c r="VKQ33" s="37"/>
      <c r="VKW33" s="2"/>
      <c r="VKX33" s="29"/>
      <c r="VLD33" s="10"/>
      <c r="VLE33" s="36"/>
      <c r="VLF33" s="37"/>
      <c r="VLG33" s="37"/>
      <c r="VLM33" s="2"/>
      <c r="VLN33" s="29"/>
      <c r="VLT33" s="10"/>
      <c r="VLU33" s="36"/>
      <c r="VLV33" s="37"/>
      <c r="VLW33" s="37"/>
      <c r="VMC33" s="2"/>
      <c r="VMD33" s="29"/>
      <c r="VMJ33" s="10"/>
      <c r="VMK33" s="36"/>
      <c r="VML33" s="37"/>
      <c r="VMM33" s="37"/>
      <c r="VMS33" s="2"/>
      <c r="VMT33" s="29"/>
      <c r="VMZ33" s="10"/>
      <c r="VNA33" s="36"/>
      <c r="VNB33" s="37"/>
      <c r="VNC33" s="37"/>
      <c r="VNI33" s="2"/>
      <c r="VNJ33" s="29"/>
      <c r="VNP33" s="10"/>
      <c r="VNQ33" s="36"/>
      <c r="VNR33" s="37"/>
      <c r="VNS33" s="37"/>
      <c r="VNY33" s="2"/>
      <c r="VNZ33" s="29"/>
      <c r="VOF33" s="10"/>
      <c r="VOG33" s="36"/>
      <c r="VOH33" s="37"/>
      <c r="VOI33" s="37"/>
      <c r="VOO33" s="2"/>
      <c r="VOP33" s="29"/>
      <c r="VOV33" s="10"/>
      <c r="VOW33" s="36"/>
      <c r="VOX33" s="37"/>
      <c r="VOY33" s="37"/>
      <c r="VPE33" s="2"/>
      <c r="VPF33" s="29"/>
      <c r="VPL33" s="10"/>
      <c r="VPM33" s="36"/>
      <c r="VPN33" s="37"/>
      <c r="VPO33" s="37"/>
      <c r="VPU33" s="2"/>
      <c r="VPV33" s="29"/>
      <c r="VQB33" s="10"/>
      <c r="VQC33" s="36"/>
      <c r="VQD33" s="37"/>
      <c r="VQE33" s="37"/>
      <c r="VQK33" s="2"/>
      <c r="VQL33" s="29"/>
      <c r="VQR33" s="10"/>
      <c r="VQS33" s="36"/>
      <c r="VQT33" s="37"/>
      <c r="VQU33" s="37"/>
      <c r="VRA33" s="2"/>
      <c r="VRB33" s="29"/>
      <c r="VRH33" s="10"/>
      <c r="VRI33" s="36"/>
      <c r="VRJ33" s="37"/>
      <c r="VRK33" s="37"/>
      <c r="VRQ33" s="2"/>
      <c r="VRR33" s="29"/>
      <c r="VRX33" s="10"/>
      <c r="VRY33" s="36"/>
      <c r="VRZ33" s="37"/>
      <c r="VSA33" s="37"/>
      <c r="VSG33" s="2"/>
      <c r="VSH33" s="29"/>
      <c r="VSN33" s="10"/>
      <c r="VSO33" s="36"/>
      <c r="VSP33" s="37"/>
      <c r="VSQ33" s="37"/>
      <c r="VSW33" s="2"/>
      <c r="VSX33" s="29"/>
      <c r="VTD33" s="10"/>
      <c r="VTE33" s="36"/>
      <c r="VTF33" s="37"/>
      <c r="VTG33" s="37"/>
      <c r="VTM33" s="2"/>
      <c r="VTN33" s="29"/>
      <c r="VTT33" s="10"/>
      <c r="VTU33" s="36"/>
      <c r="VTV33" s="37"/>
      <c r="VTW33" s="37"/>
      <c r="VUC33" s="2"/>
      <c r="VUD33" s="29"/>
      <c r="VUJ33" s="10"/>
      <c r="VUK33" s="36"/>
      <c r="VUL33" s="37"/>
      <c r="VUM33" s="37"/>
      <c r="VUS33" s="2"/>
      <c r="VUT33" s="29"/>
      <c r="VUZ33" s="10"/>
      <c r="VVA33" s="36"/>
      <c r="VVB33" s="37"/>
      <c r="VVC33" s="37"/>
      <c r="VVI33" s="2"/>
      <c r="VVJ33" s="29"/>
      <c r="VVP33" s="10"/>
      <c r="VVQ33" s="36"/>
      <c r="VVR33" s="37"/>
      <c r="VVS33" s="37"/>
      <c r="VVY33" s="2"/>
      <c r="VVZ33" s="29"/>
      <c r="VWF33" s="10"/>
      <c r="VWG33" s="36"/>
      <c r="VWH33" s="37"/>
      <c r="VWI33" s="37"/>
      <c r="VWO33" s="2"/>
      <c r="VWP33" s="29"/>
      <c r="VWV33" s="10"/>
      <c r="VWW33" s="36"/>
      <c r="VWX33" s="37"/>
      <c r="VWY33" s="37"/>
      <c r="VXE33" s="2"/>
      <c r="VXF33" s="29"/>
      <c r="VXL33" s="10"/>
      <c r="VXM33" s="36"/>
      <c r="VXN33" s="37"/>
      <c r="VXO33" s="37"/>
      <c r="VXU33" s="2"/>
      <c r="VXV33" s="29"/>
      <c r="VYB33" s="10"/>
      <c r="VYC33" s="36"/>
      <c r="VYD33" s="37"/>
      <c r="VYE33" s="37"/>
      <c r="VYK33" s="2"/>
      <c r="VYL33" s="29"/>
      <c r="VYR33" s="10"/>
      <c r="VYS33" s="36"/>
      <c r="VYT33" s="37"/>
      <c r="VYU33" s="37"/>
      <c r="VZA33" s="2"/>
      <c r="VZB33" s="29"/>
      <c r="VZH33" s="10"/>
      <c r="VZI33" s="36"/>
      <c r="VZJ33" s="37"/>
      <c r="VZK33" s="37"/>
      <c r="VZQ33" s="2"/>
      <c r="VZR33" s="29"/>
      <c r="VZX33" s="10"/>
      <c r="VZY33" s="36"/>
      <c r="VZZ33" s="37"/>
      <c r="WAA33" s="37"/>
      <c r="WAG33" s="2"/>
      <c r="WAH33" s="29"/>
      <c r="WAN33" s="10"/>
      <c r="WAO33" s="36"/>
      <c r="WAP33" s="37"/>
      <c r="WAQ33" s="37"/>
      <c r="WAW33" s="2"/>
      <c r="WAX33" s="29"/>
      <c r="WBD33" s="10"/>
      <c r="WBE33" s="36"/>
      <c r="WBF33" s="37"/>
      <c r="WBG33" s="37"/>
      <c r="WBM33" s="2"/>
      <c r="WBN33" s="29"/>
      <c r="WBT33" s="10"/>
      <c r="WBU33" s="36"/>
      <c r="WBV33" s="37"/>
      <c r="WBW33" s="37"/>
      <c r="WCC33" s="2"/>
      <c r="WCD33" s="29"/>
      <c r="WCJ33" s="10"/>
      <c r="WCK33" s="36"/>
      <c r="WCL33" s="37"/>
      <c r="WCM33" s="37"/>
      <c r="WCS33" s="2"/>
      <c r="WCT33" s="29"/>
      <c r="WCZ33" s="10"/>
      <c r="WDA33" s="36"/>
      <c r="WDB33" s="37"/>
      <c r="WDC33" s="37"/>
      <c r="WDI33" s="2"/>
      <c r="WDJ33" s="29"/>
      <c r="WDP33" s="10"/>
      <c r="WDQ33" s="36"/>
      <c r="WDR33" s="37"/>
      <c r="WDS33" s="37"/>
      <c r="WDY33" s="2"/>
      <c r="WDZ33" s="29"/>
      <c r="WEF33" s="10"/>
      <c r="WEG33" s="36"/>
      <c r="WEH33" s="37"/>
      <c r="WEI33" s="37"/>
      <c r="WEO33" s="2"/>
      <c r="WEP33" s="29"/>
      <c r="WEV33" s="10"/>
      <c r="WEW33" s="36"/>
      <c r="WEX33" s="37"/>
      <c r="WEY33" s="37"/>
      <c r="WFE33" s="2"/>
      <c r="WFF33" s="29"/>
      <c r="WFL33" s="10"/>
      <c r="WFM33" s="36"/>
      <c r="WFN33" s="37"/>
      <c r="WFO33" s="37"/>
      <c r="WFU33" s="2"/>
      <c r="WFV33" s="29"/>
      <c r="WGB33" s="10"/>
      <c r="WGC33" s="36"/>
      <c r="WGD33" s="37"/>
      <c r="WGE33" s="37"/>
      <c r="WGK33" s="2"/>
      <c r="WGL33" s="29"/>
      <c r="WGR33" s="10"/>
      <c r="WGS33" s="36"/>
      <c r="WGT33" s="37"/>
      <c r="WGU33" s="37"/>
      <c r="WHA33" s="2"/>
      <c r="WHB33" s="29"/>
      <c r="WHH33" s="10"/>
      <c r="WHI33" s="36"/>
      <c r="WHJ33" s="37"/>
      <c r="WHK33" s="37"/>
      <c r="WHQ33" s="2"/>
      <c r="WHR33" s="29"/>
      <c r="WHX33" s="10"/>
      <c r="WHY33" s="36"/>
      <c r="WHZ33" s="37"/>
      <c r="WIA33" s="37"/>
      <c r="WIG33" s="2"/>
      <c r="WIH33" s="29"/>
      <c r="WIN33" s="10"/>
      <c r="WIO33" s="36"/>
      <c r="WIP33" s="37"/>
      <c r="WIQ33" s="37"/>
      <c r="WIW33" s="2"/>
      <c r="WIX33" s="29"/>
      <c r="WJD33" s="10"/>
      <c r="WJE33" s="36"/>
      <c r="WJF33" s="37"/>
      <c r="WJG33" s="37"/>
      <c r="WJM33" s="2"/>
      <c r="WJN33" s="29"/>
      <c r="WJT33" s="10"/>
      <c r="WJU33" s="36"/>
      <c r="WJV33" s="37"/>
      <c r="WJW33" s="37"/>
      <c r="WKC33" s="2"/>
      <c r="WKD33" s="29"/>
      <c r="WKJ33" s="10"/>
      <c r="WKK33" s="36"/>
      <c r="WKL33" s="37"/>
      <c r="WKM33" s="37"/>
      <c r="WKS33" s="2"/>
      <c r="WKT33" s="29"/>
      <c r="WKZ33" s="10"/>
      <c r="WLA33" s="36"/>
      <c r="WLB33" s="37"/>
      <c r="WLC33" s="37"/>
      <c r="WLI33" s="2"/>
      <c r="WLJ33" s="29"/>
      <c r="WLP33" s="10"/>
      <c r="WLQ33" s="36"/>
      <c r="WLR33" s="37"/>
      <c r="WLS33" s="37"/>
      <c r="WLY33" s="2"/>
      <c r="WLZ33" s="29"/>
      <c r="WMF33" s="10"/>
      <c r="WMG33" s="36"/>
      <c r="WMH33" s="37"/>
      <c r="WMI33" s="37"/>
      <c r="WMO33" s="2"/>
      <c r="WMP33" s="29"/>
      <c r="WMV33" s="10"/>
      <c r="WMW33" s="36"/>
      <c r="WMX33" s="37"/>
      <c r="WMY33" s="37"/>
      <c r="WNE33" s="2"/>
      <c r="WNF33" s="29"/>
      <c r="WNL33" s="10"/>
      <c r="WNM33" s="36"/>
      <c r="WNN33" s="37"/>
      <c r="WNO33" s="37"/>
      <c r="WNU33" s="2"/>
      <c r="WNV33" s="29"/>
      <c r="WOB33" s="10"/>
      <c r="WOC33" s="36"/>
      <c r="WOD33" s="37"/>
      <c r="WOE33" s="37"/>
      <c r="WOK33" s="2"/>
      <c r="WOL33" s="29"/>
      <c r="WOR33" s="10"/>
      <c r="WOS33" s="36"/>
      <c r="WOT33" s="37"/>
      <c r="WOU33" s="37"/>
      <c r="WPA33" s="2"/>
      <c r="WPB33" s="29"/>
      <c r="WPH33" s="10"/>
      <c r="WPI33" s="36"/>
      <c r="WPJ33" s="37"/>
      <c r="WPK33" s="37"/>
      <c r="WPQ33" s="2"/>
      <c r="WPR33" s="29"/>
      <c r="WPX33" s="10"/>
      <c r="WPY33" s="36"/>
      <c r="WPZ33" s="37"/>
      <c r="WQA33" s="37"/>
      <c r="WQG33" s="2"/>
      <c r="WQH33" s="29"/>
      <c r="WQN33" s="10"/>
      <c r="WQO33" s="36"/>
      <c r="WQP33" s="37"/>
      <c r="WQQ33" s="37"/>
      <c r="WQW33" s="2"/>
      <c r="WQX33" s="29"/>
      <c r="WRD33" s="10"/>
      <c r="WRE33" s="36"/>
      <c r="WRF33" s="37"/>
      <c r="WRG33" s="37"/>
      <c r="WRM33" s="2"/>
      <c r="WRN33" s="29"/>
      <c r="WRT33" s="10"/>
      <c r="WRU33" s="36"/>
      <c r="WRV33" s="37"/>
      <c r="WRW33" s="37"/>
      <c r="WSC33" s="2"/>
      <c r="WSD33" s="29"/>
      <c r="WSJ33" s="10"/>
      <c r="WSK33" s="36"/>
      <c r="WSL33" s="37"/>
      <c r="WSM33" s="37"/>
      <c r="WSS33" s="2"/>
      <c r="WST33" s="29"/>
      <c r="WSZ33" s="10"/>
      <c r="WTA33" s="36"/>
      <c r="WTB33" s="37"/>
      <c r="WTC33" s="37"/>
      <c r="WTI33" s="2"/>
      <c r="WTJ33" s="29"/>
      <c r="WTP33" s="10"/>
      <c r="WTQ33" s="36"/>
      <c r="WTR33" s="37"/>
      <c r="WTS33" s="37"/>
      <c r="WTY33" s="2"/>
      <c r="WTZ33" s="29"/>
      <c r="WUF33" s="10"/>
      <c r="WUG33" s="36"/>
      <c r="WUH33" s="37"/>
      <c r="WUI33" s="37"/>
      <c r="WUO33" s="2"/>
      <c r="WUP33" s="29"/>
      <c r="WUV33" s="10"/>
      <c r="WUW33" s="36"/>
      <c r="WUX33" s="37"/>
      <c r="WUY33" s="37"/>
      <c r="WVE33" s="2"/>
      <c r="WVF33" s="29"/>
      <c r="WVL33" s="10"/>
      <c r="WVM33" s="36"/>
      <c r="WVN33" s="37"/>
      <c r="WVO33" s="37"/>
      <c r="WVU33" s="2"/>
      <c r="WVV33" s="29"/>
      <c r="WWB33" s="10"/>
      <c r="WWC33" s="36"/>
      <c r="WWD33" s="37"/>
      <c r="WWE33" s="37"/>
      <c r="WWK33" s="2"/>
      <c r="WWL33" s="29"/>
      <c r="WWR33" s="10"/>
      <c r="WWS33" s="36"/>
      <c r="WWT33" s="37"/>
      <c r="WWU33" s="37"/>
      <c r="WXA33" s="2"/>
      <c r="WXB33" s="29"/>
      <c r="WXH33" s="10"/>
      <c r="WXI33" s="36"/>
      <c r="WXJ33" s="37"/>
      <c r="WXK33" s="37"/>
      <c r="WXQ33" s="2"/>
      <c r="WXR33" s="29"/>
      <c r="WXX33" s="10"/>
      <c r="WXY33" s="36"/>
      <c r="WXZ33" s="37"/>
      <c r="WYA33" s="37"/>
      <c r="WYG33" s="2"/>
      <c r="WYH33" s="29"/>
      <c r="WYN33" s="10"/>
      <c r="WYO33" s="36"/>
      <c r="WYP33" s="37"/>
      <c r="WYQ33" s="37"/>
      <c r="WYW33" s="2"/>
      <c r="WYX33" s="29"/>
      <c r="WZD33" s="10"/>
      <c r="WZE33" s="36"/>
      <c r="WZF33" s="37"/>
      <c r="WZG33" s="37"/>
      <c r="WZM33" s="2"/>
      <c r="WZN33" s="29"/>
      <c r="WZT33" s="10"/>
      <c r="WZU33" s="36"/>
      <c r="WZV33" s="37"/>
      <c r="WZW33" s="37"/>
      <c r="XAC33" s="2"/>
      <c r="XAD33" s="29"/>
      <c r="XAJ33" s="10"/>
      <c r="XAK33" s="36"/>
      <c r="XAL33" s="37"/>
      <c r="XAM33" s="37"/>
      <c r="XAS33" s="2"/>
      <c r="XAT33" s="29"/>
      <c r="XAZ33" s="10"/>
      <c r="XBA33" s="36"/>
      <c r="XBB33" s="37"/>
      <c r="XBC33" s="37"/>
      <c r="XBI33" s="2"/>
      <c r="XBJ33" s="29"/>
      <c r="XBP33" s="10"/>
      <c r="XBQ33" s="36"/>
      <c r="XBR33" s="37"/>
      <c r="XBS33" s="37"/>
      <c r="XBY33" s="2"/>
      <c r="XBZ33" s="29"/>
      <c r="XCF33" s="10"/>
      <c r="XCG33" s="36"/>
      <c r="XCH33" s="37"/>
      <c r="XCI33" s="37"/>
      <c r="XCO33" s="2"/>
      <c r="XCP33" s="29"/>
      <c r="XCV33" s="10"/>
      <c r="XCW33" s="36"/>
      <c r="XCX33" s="37"/>
      <c r="XCY33" s="37"/>
      <c r="XDE33" s="2"/>
      <c r="XDF33" s="29"/>
      <c r="XDL33" s="10"/>
      <c r="XDM33" s="36"/>
      <c r="XDN33" s="37"/>
      <c r="XDO33" s="37"/>
      <c r="XDU33" s="2"/>
      <c r="XDV33" s="29"/>
      <c r="XEB33" s="10"/>
      <c r="XEC33" s="36"/>
      <c r="XED33" s="37"/>
      <c r="XEE33" s="37"/>
      <c r="XEK33" s="2"/>
      <c r="XEL33" s="29"/>
      <c r="XER33" s="10"/>
      <c r="XES33" s="36"/>
      <c r="XET33" s="37"/>
      <c r="XEU33" s="37"/>
      <c r="XFA33" s="2"/>
      <c r="XFB33" s="29"/>
    </row>
    <row r="34" spans="1:1022 1028:2046 2052:3070 3076:4094 4100:5118 5124:6142 6148:7166 7172:8190 8196:9214 9220:10238 10244:11262 11268:12286 12292:13310 13316:14334 14340:15358 15364:16382"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34" s="30">
        <v>46353</v>
      </c>
      <c r="C34" s="27" t="s">
        <v>220</v>
      </c>
      <c r="D34" s="27"/>
      <c r="E34" s="27"/>
      <c r="F34" s="27"/>
      <c r="G34" s="10"/>
      <c r="H34" s="36" t="s">
        <v>263</v>
      </c>
      <c r="I34" s="37"/>
      <c r="J34" s="37"/>
      <c r="K34" s="27"/>
      <c r="L34" s="27"/>
      <c r="M34" s="27"/>
      <c r="N34" s="27"/>
      <c r="O34" s="27"/>
      <c r="P34" s="2" t="s">
        <v>1859</v>
      </c>
      <c r="Q34" s="29" t="s">
        <v>265</v>
      </c>
      <c r="R34" s="27"/>
      <c r="S34" s="27"/>
    </row>
    <row r="35" spans="1:1022 1028:2046 2052:3070 3076:4094 4100:5118 5124:6142 6148:7166 7172:8190 8196:9214 9220:10238 10244:11262 11268:12286 12292:13310 13316:14334 14340:15358 15364:16382"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EVT-2026-1363</v>
      </c>
      <c r="B35" s="30">
        <v>46353</v>
      </c>
      <c r="C35" s="27" t="s">
        <v>220</v>
      </c>
      <c r="D35" s="27" t="s">
        <v>228</v>
      </c>
      <c r="E35" s="27" t="s">
        <v>1512</v>
      </c>
      <c r="F35" s="27" t="s">
        <v>1801</v>
      </c>
      <c r="G35" s="10">
        <v>50</v>
      </c>
      <c r="H35" s="36" t="s">
        <v>263</v>
      </c>
      <c r="I35" s="37" t="s">
        <v>295</v>
      </c>
      <c r="J35" s="37" t="s">
        <v>270</v>
      </c>
      <c r="K35" s="27" t="s">
        <v>382</v>
      </c>
      <c r="L35" s="27"/>
      <c r="M35" s="27" t="s">
        <v>916</v>
      </c>
      <c r="N35" s="27"/>
      <c r="O35" s="27"/>
      <c r="P35" s="2" t="s">
        <v>1859</v>
      </c>
      <c r="Q35" s="29" t="s">
        <v>265</v>
      </c>
      <c r="R35" s="27" t="s">
        <v>1803</v>
      </c>
      <c r="S35" s="27" t="s">
        <v>1177</v>
      </c>
    </row>
    <row r="36" spans="1:1022 1028:2046 2052:3070 3076:4094 4100:5118 5124:6142 6148:7166 7172:8190 8196:9214 9220:10238 10244:11262 11268:12286 12292:13310 13316:14334 14340:15358 15364:16382"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36" s="30">
        <v>46354</v>
      </c>
      <c r="C36" s="27" t="s">
        <v>266</v>
      </c>
      <c r="D36" s="27"/>
      <c r="E36" s="27"/>
      <c r="F36" s="27"/>
      <c r="G36" s="10"/>
      <c r="H36" s="36" t="s">
        <v>263</v>
      </c>
      <c r="I36" s="37"/>
      <c r="J36" s="37"/>
      <c r="K36" s="27"/>
      <c r="L36" s="27"/>
      <c r="M36" s="27"/>
      <c r="N36" s="27"/>
      <c r="O36" s="27"/>
      <c r="P36" s="2" t="s">
        <v>1859</v>
      </c>
      <c r="Q36" s="29" t="s">
        <v>265</v>
      </c>
      <c r="R36" s="27"/>
      <c r="S36" s="27"/>
    </row>
    <row r="37" spans="1:1022 1028:2046 2052:3070 3076:4094 4100:5118 5124:6142 6148:7166 7172:8190 8196:9214 9220:10238 10244:11262 11268:12286 12292:13310 13316:14334 14340:15358 15364:16382"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37" s="30">
        <v>46355</v>
      </c>
      <c r="C37" s="27" t="s">
        <v>267</v>
      </c>
      <c r="D37" s="27"/>
      <c r="E37" s="27"/>
      <c r="F37" s="27"/>
      <c r="G37" s="10"/>
      <c r="H37" s="36" t="s">
        <v>263</v>
      </c>
      <c r="I37" s="37"/>
      <c r="J37" s="37"/>
      <c r="K37" s="27"/>
      <c r="L37" s="27"/>
      <c r="M37" s="27"/>
      <c r="N37" s="27"/>
      <c r="O37" s="27"/>
      <c r="P37" s="2" t="s">
        <v>1859</v>
      </c>
      <c r="Q37" s="29" t="s">
        <v>265</v>
      </c>
      <c r="R37" s="27"/>
      <c r="S37" s="27"/>
    </row>
    <row r="38" spans="1:1022 1028:2046 2052:3070 3076:4094 4100:5118 5124:6142 6148:7166 7172:8190 8196:9214 9220:10238 10244:11262 11268:12286 12292:13310 13316:14334 14340:15358 15364:16382"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EVT-2026-1364</v>
      </c>
      <c r="B38" s="30">
        <v>46356</v>
      </c>
      <c r="C38" s="27" t="s">
        <v>224</v>
      </c>
      <c r="D38" s="27" t="s">
        <v>228</v>
      </c>
      <c r="E38" s="27" t="s">
        <v>1512</v>
      </c>
      <c r="F38" s="27" t="s">
        <v>337</v>
      </c>
      <c r="G38" s="10">
        <v>190</v>
      </c>
      <c r="H38" s="38" t="s">
        <v>294</v>
      </c>
      <c r="I38" s="37" t="s">
        <v>338</v>
      </c>
      <c r="J38" s="37" t="s">
        <v>330</v>
      </c>
      <c r="K38" s="27"/>
      <c r="L38" s="27"/>
      <c r="M38" s="27" t="s">
        <v>811</v>
      </c>
      <c r="N38" s="27"/>
      <c r="O38" s="27"/>
      <c r="P38" s="2" t="s">
        <v>1859</v>
      </c>
      <c r="Q38" s="29" t="s">
        <v>265</v>
      </c>
      <c r="R38" s="27" t="s">
        <v>1858</v>
      </c>
      <c r="S38" s="27"/>
    </row>
    <row r="39" spans="1:1022 1028:2046 2052:3070 3076:4094 4100:5118 5124:6142 6148:7166 7172:8190 8196:9214 9220:10238 10244:11262 11268:12286 12292:13310 13316:14334 14340:15358 15364:16382"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EVT-2026-1365</v>
      </c>
      <c r="B39" s="30">
        <v>46356</v>
      </c>
      <c r="C39" s="27" t="s">
        <v>224</v>
      </c>
      <c r="D39" s="27" t="s">
        <v>202</v>
      </c>
      <c r="E39" s="27" t="s">
        <v>1134</v>
      </c>
      <c r="F39" s="27" t="s">
        <v>337</v>
      </c>
      <c r="G39" s="10">
        <v>190</v>
      </c>
      <c r="H39" s="38" t="s">
        <v>294</v>
      </c>
      <c r="I39" s="37" t="s">
        <v>338</v>
      </c>
      <c r="J39" s="37" t="s">
        <v>330</v>
      </c>
      <c r="K39" s="27"/>
      <c r="L39" s="27"/>
      <c r="M39" s="27" t="s">
        <v>811</v>
      </c>
      <c r="N39" s="27"/>
      <c r="O39" s="27"/>
      <c r="P39" s="2" t="s">
        <v>1859</v>
      </c>
      <c r="Q39" s="29" t="s">
        <v>265</v>
      </c>
      <c r="R39" s="27" t="s">
        <v>1858</v>
      </c>
      <c r="S39" s="27"/>
    </row>
    <row r="40" spans="1:1022 1028:2046 2052:3070 3076:4094 4100:5118 5124:6142 6148:7166 7172:8190 8196:9214 9220:10238 10244:11262 11268:12286 12292:13310 13316:14334 14340:15358 15364:16382"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0" s="27"/>
      <c r="C40" s="27"/>
      <c r="D40" s="27"/>
      <c r="E40" s="27"/>
      <c r="F40" s="27"/>
      <c r="G40" s="10"/>
      <c r="H40" s="36" t="s">
        <v>263</v>
      </c>
      <c r="I40" s="37"/>
      <c r="J40" s="37"/>
      <c r="K40" s="27"/>
      <c r="L40" s="27"/>
      <c r="M40" s="27"/>
      <c r="N40" s="27"/>
      <c r="O40" s="27"/>
      <c r="P40" s="2" t="s">
        <v>1859</v>
      </c>
      <c r="Q40" s="29" t="s">
        <v>265</v>
      </c>
      <c r="R40" s="27"/>
      <c r="S40" s="27"/>
    </row>
    <row r="41" spans="1:1022 1028:2046 2052:3070 3076:4094 4100:5118 5124:6142 6148:7166 7172:8190 8196:9214 9220:10238 10244:11262 11268:12286 12292:13310 13316:14334 14340:15358 15364:16382"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1" s="27"/>
      <c r="C41" s="27"/>
      <c r="D41" s="27"/>
      <c r="E41" s="27"/>
      <c r="F41" s="27"/>
      <c r="G41" s="10"/>
      <c r="H41" s="36" t="s">
        <v>263</v>
      </c>
      <c r="I41" s="37"/>
      <c r="J41" s="37"/>
      <c r="K41" s="27"/>
      <c r="L41" s="27"/>
      <c r="M41" s="27"/>
      <c r="N41" s="27"/>
      <c r="O41" s="27"/>
      <c r="P41" s="2" t="s">
        <v>1859</v>
      </c>
      <c r="Q41" s="29" t="s">
        <v>265</v>
      </c>
      <c r="R41" s="27"/>
      <c r="S41" s="27"/>
    </row>
    <row r="42" spans="1:1022 1028:2046 2052:3070 3076:4094 4100:5118 5124:6142 6148:7166 7172:8190 8196:9214 9220:10238 10244:11262 11268:12286 12292:13310 13316:14334 14340:15358 15364:16382"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2" s="27"/>
      <c r="C42" s="27"/>
      <c r="D42" s="27"/>
      <c r="E42" s="27"/>
      <c r="F42" s="27"/>
      <c r="G42" s="10"/>
      <c r="H42" s="36" t="s">
        <v>263</v>
      </c>
      <c r="I42" s="37"/>
      <c r="J42" s="37"/>
      <c r="K42" s="27"/>
      <c r="L42" s="27"/>
      <c r="M42" s="27"/>
      <c r="N42" s="27"/>
      <c r="O42" s="27"/>
      <c r="P42" s="2" t="s">
        <v>1859</v>
      </c>
      <c r="Q42" s="29" t="s">
        <v>265</v>
      </c>
      <c r="R42" s="27"/>
      <c r="S42" s="27"/>
    </row>
    <row r="43" spans="1:1022 1028:2046 2052:3070 3076:4094 4100:5118 5124:6142 6148:7166 7172:8190 8196:9214 9220:10238 10244:11262 11268:12286 12292:13310 13316:14334 14340:15358 15364:16382"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3" s="27"/>
      <c r="C43" s="27"/>
      <c r="D43" s="27"/>
      <c r="E43" s="27"/>
      <c r="F43" s="27"/>
      <c r="G43" s="10"/>
      <c r="H43" s="36" t="s">
        <v>263</v>
      </c>
      <c r="I43" s="37"/>
      <c r="J43" s="37"/>
      <c r="K43" s="27"/>
      <c r="L43" s="27"/>
      <c r="M43" s="27"/>
      <c r="N43" s="27"/>
      <c r="O43" s="27"/>
      <c r="P43" s="2" t="s">
        <v>1859</v>
      </c>
      <c r="Q43" s="29" t="s">
        <v>265</v>
      </c>
      <c r="R43" s="27"/>
      <c r="S43" s="27"/>
    </row>
    <row r="44" spans="1:1022 1028:2046 2052:3070 3076:4094 4100:5118 5124:6142 6148:7166 7172:8190 8196:9214 9220:10238 10244:11262 11268:12286 12292:13310 13316:14334 14340:15358 15364:16382"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4" s="27"/>
      <c r="C44" s="27"/>
      <c r="D44" s="27"/>
      <c r="E44" s="27"/>
      <c r="F44" s="27"/>
      <c r="G44" s="10"/>
      <c r="H44" s="36" t="s">
        <v>263</v>
      </c>
      <c r="I44" s="37"/>
      <c r="J44" s="37"/>
      <c r="K44" s="27"/>
      <c r="L44" s="27"/>
      <c r="M44" s="27"/>
      <c r="N44" s="27"/>
      <c r="O44" s="27"/>
      <c r="P44" s="2" t="s">
        <v>1859</v>
      </c>
      <c r="Q44" s="29" t="s">
        <v>265</v>
      </c>
      <c r="R44" s="27"/>
      <c r="S44" s="27"/>
    </row>
    <row r="45" spans="1:1022 1028:2046 2052:3070 3076:4094 4100:5118 5124:6142 6148:7166 7172:8190 8196:9214 9220:10238 10244:11262 11268:12286 12292:13310 13316:14334 14340:15358 15364:16382"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5" s="27"/>
      <c r="C45" s="27"/>
      <c r="D45" s="27"/>
      <c r="E45" s="27"/>
      <c r="F45" s="27"/>
      <c r="G45" s="10"/>
      <c r="H45" s="36" t="s">
        <v>263</v>
      </c>
      <c r="I45" s="37"/>
      <c r="J45" s="37"/>
      <c r="K45" s="27"/>
      <c r="L45" s="27"/>
      <c r="M45" s="27"/>
      <c r="N45" s="27"/>
      <c r="O45" s="27"/>
      <c r="P45" s="2" t="s">
        <v>1859</v>
      </c>
      <c r="Q45" s="29" t="s">
        <v>265</v>
      </c>
      <c r="R45" s="27"/>
      <c r="S45" s="27"/>
    </row>
    <row r="46" spans="1:1022 1028:2046 2052:3070 3076:4094 4100:5118 5124:6142 6148:7166 7172:8190 8196:9214 9220:10238 10244:11262 11268:12286 12292:13310 13316:14334 14340:15358 15364:16382"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6" s="27"/>
      <c r="C46" s="27"/>
      <c r="D46" s="27"/>
      <c r="E46" s="27"/>
      <c r="F46" s="27"/>
      <c r="G46" s="10"/>
      <c r="H46" s="36" t="s">
        <v>263</v>
      </c>
      <c r="I46" s="37"/>
      <c r="J46" s="37"/>
      <c r="K46" s="27"/>
      <c r="L46" s="27"/>
      <c r="M46" s="27"/>
      <c r="N46" s="27"/>
      <c r="O46" s="27"/>
      <c r="P46" s="2" t="s">
        <v>1859</v>
      </c>
      <c r="Q46" s="29" t="s">
        <v>265</v>
      </c>
      <c r="R46" s="27"/>
      <c r="S46" s="27"/>
    </row>
    <row r="47" spans="1:1022 1028:2046 2052:3070 3076:4094 4100:5118 5124:6142 6148:7166 7172:8190 8196:9214 9220:10238 10244:11262 11268:12286 12292:13310 13316:14334 14340:15358 15364:16382"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7" s="27"/>
      <c r="C47" s="27"/>
      <c r="D47" s="27"/>
      <c r="E47" s="27"/>
      <c r="F47" s="27"/>
      <c r="G47" s="10"/>
      <c r="H47" s="36" t="s">
        <v>263</v>
      </c>
      <c r="I47" s="37"/>
      <c r="J47" s="37"/>
      <c r="K47" s="27"/>
      <c r="L47" s="27"/>
      <c r="M47" s="27"/>
      <c r="N47" s="27"/>
      <c r="O47" s="27"/>
      <c r="P47" s="2" t="s">
        <v>1859</v>
      </c>
      <c r="Q47" s="29" t="s">
        <v>265</v>
      </c>
      <c r="R47" s="27"/>
      <c r="S47" s="27"/>
    </row>
    <row r="48" spans="1:1022 1028:2046 2052:3070 3076:4094 4100:5118 5124:6142 6148:7166 7172:8190 8196:9214 9220:10238 10244:11262 11268:12286 12292:13310 13316:14334 14340:15358 15364:16382"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8" s="27"/>
      <c r="C48" s="27"/>
      <c r="D48" s="27"/>
      <c r="E48" s="27"/>
      <c r="F48" s="27"/>
      <c r="G48" s="10"/>
      <c r="H48" s="36" t="s">
        <v>263</v>
      </c>
      <c r="I48" s="37"/>
      <c r="J48" s="37"/>
      <c r="K48" s="27"/>
      <c r="L48" s="27"/>
      <c r="M48" s="27"/>
      <c r="N48" s="27"/>
      <c r="O48" s="27"/>
      <c r="P48" s="2" t="s">
        <v>1859</v>
      </c>
      <c r="Q48" s="29" t="s">
        <v>265</v>
      </c>
      <c r="R48" s="27"/>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49" s="27"/>
      <c r="C49" s="27"/>
      <c r="D49" s="27"/>
      <c r="E49" s="27"/>
      <c r="F49" s="27"/>
      <c r="G49" s="10"/>
      <c r="H49" s="36" t="s">
        <v>263</v>
      </c>
      <c r="I49" s="37"/>
      <c r="J49" s="37"/>
      <c r="K49" s="27"/>
      <c r="L49" s="27"/>
      <c r="M49" s="27"/>
      <c r="N49" s="27"/>
      <c r="O49" s="27"/>
      <c r="P49" s="2" t="s">
        <v>1859</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0" s="27"/>
      <c r="C50" s="27"/>
      <c r="D50" s="27"/>
      <c r="E50" s="27"/>
      <c r="F50" s="27"/>
      <c r="G50" s="10"/>
      <c r="H50" s="36" t="s">
        <v>263</v>
      </c>
      <c r="I50" s="37"/>
      <c r="J50" s="37"/>
      <c r="K50" s="27"/>
      <c r="L50" s="27"/>
      <c r="M50" s="27"/>
      <c r="N50" s="27"/>
      <c r="O50" s="27"/>
      <c r="P50" s="2" t="s">
        <v>1859</v>
      </c>
      <c r="Q50" s="29" t="s">
        <v>265</v>
      </c>
      <c r="R50" s="27"/>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1" s="27"/>
      <c r="C51" s="27"/>
      <c r="D51" s="27"/>
      <c r="E51" s="27"/>
      <c r="F51" s="27"/>
      <c r="G51" s="10"/>
      <c r="H51" s="36" t="s">
        <v>263</v>
      </c>
      <c r="I51" s="37"/>
      <c r="J51" s="37"/>
      <c r="K51" s="27"/>
      <c r="L51" s="27"/>
      <c r="M51" s="27"/>
      <c r="N51" s="27"/>
      <c r="O51" s="27"/>
      <c r="P51" s="2" t="s">
        <v>1859</v>
      </c>
      <c r="Q51" s="29" t="s">
        <v>265</v>
      </c>
      <c r="R51" s="27"/>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2" s="27"/>
      <c r="C52" s="27"/>
      <c r="D52" s="27"/>
      <c r="E52" s="27"/>
      <c r="F52" s="27"/>
      <c r="G52" s="10"/>
      <c r="H52" s="36" t="s">
        <v>263</v>
      </c>
      <c r="I52" s="37"/>
      <c r="J52" s="37"/>
      <c r="K52" s="27"/>
      <c r="L52" s="27"/>
      <c r="M52" s="27"/>
      <c r="N52" s="27"/>
      <c r="O52" s="27"/>
      <c r="P52" s="2" t="s">
        <v>1859</v>
      </c>
      <c r="Q52" s="29" t="s">
        <v>265</v>
      </c>
      <c r="R52" s="27"/>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3" s="27"/>
      <c r="C53" s="27"/>
      <c r="D53" s="27"/>
      <c r="E53" s="27"/>
      <c r="F53" s="27"/>
      <c r="G53" s="10"/>
      <c r="H53" s="36" t="s">
        <v>263</v>
      </c>
      <c r="I53" s="37"/>
      <c r="J53" s="37"/>
      <c r="K53" s="27"/>
      <c r="L53" s="27"/>
      <c r="M53" s="27"/>
      <c r="N53" s="27"/>
      <c r="O53" s="27"/>
      <c r="P53" s="2" t="s">
        <v>1859</v>
      </c>
      <c r="Q53" s="29" t="s">
        <v>265</v>
      </c>
      <c r="R53" s="27"/>
      <c r="S53" s="27"/>
    </row>
    <row r="54" spans="1:19" ht="24" customHeight="1">
      <c r="A54" s="27"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4" s="27"/>
      <c r="C54" s="27"/>
      <c r="D54" s="27"/>
      <c r="E54" s="27"/>
      <c r="F54" s="27"/>
      <c r="G54" s="10"/>
      <c r="H54" s="36" t="s">
        <v>263</v>
      </c>
      <c r="I54" s="37"/>
      <c r="J54" s="37"/>
      <c r="K54" s="27"/>
      <c r="L54" s="27"/>
      <c r="M54" s="27"/>
      <c r="N54" s="27"/>
      <c r="O54" s="27"/>
      <c r="P54" s="2" t="s">
        <v>1859</v>
      </c>
      <c r="Q54" s="29" t="s">
        <v>265</v>
      </c>
      <c r="R54" s="27"/>
      <c r="S54" s="27"/>
    </row>
    <row r="55" spans="1:19" ht="24" customHeight="1">
      <c r="A55" s="27"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COUNTIF(OFFSET($A$1, 1, 0, ROW()-2, 1), "EVT*") + 1, "0000"), "")</f>
        <v/>
      </c>
      <c r="B55" s="27"/>
      <c r="C55" s="27"/>
      <c r="D55" s="27"/>
      <c r="E55" s="27"/>
      <c r="F55" s="27"/>
      <c r="G55" s="10"/>
      <c r="H55" s="36" t="s">
        <v>263</v>
      </c>
      <c r="I55" s="37"/>
      <c r="J55" s="37"/>
      <c r="K55" s="27"/>
      <c r="L55" s="27"/>
      <c r="M55" s="27"/>
      <c r="N55" s="27"/>
      <c r="O55" s="27"/>
      <c r="P55" s="2" t="s">
        <v>1859</v>
      </c>
      <c r="Q55" s="29" t="s">
        <v>265</v>
      </c>
      <c r="R55" s="27"/>
      <c r="S55" s="27"/>
    </row>
  </sheetData>
  <mergeCells count="3">
    <mergeCell ref="O1:S1"/>
    <mergeCell ref="A1:C1"/>
    <mergeCell ref="D1:N1"/>
  </mergeCells>
  <dataValidations count="4">
    <dataValidation type="list" allowBlank="1" sqref="P34:P55 XEZ6:XFA7 AB6:AC7 AR6:AS7 BH6:BI7 BX6:BY7 CN6:CO7 DD6:DE7 DT6:DU7 EJ6:EK7 EZ6:FA7 FP6:FQ7 GF6:GG7 GV6:GW7 HL6:HM7 IB6:IC7 IR6:IS7 JH6:JI7 JX6:JY7 KN6:KO7 LD6:LE7 LT6:LU7 MJ6:MK7 MZ6:NA7 NP6:NQ7 OF6:OG7 OV6:OW7 PL6:PM7 QB6:QC7 QR6:QS7 RH6:RI7 RX6:RY7 SN6:SO7 TD6:TE7 TT6:TU7 UJ6:UK7 UZ6:VA7 VP6:VQ7 WF6:WG7 WV6:WW7 XL6:XM7 YB6:YC7 YR6:YS7 ZH6:ZI7 ZX6:ZY7 AAN6:AAO7 ABD6:ABE7 ABT6:ABU7 ACJ6:ACK7 ACZ6:ADA7 ADP6:ADQ7 AEF6:AEG7 AEV6:AEW7 AFL6:AFM7 AGB6:AGC7 AGR6:AGS7 AHH6:AHI7 AHX6:AHY7 AIN6:AIO7 AJD6:AJE7 AJT6:AJU7 AKJ6:AKK7 AKZ6:ALA7 ALP6:ALQ7 AMF6:AMG7 AMV6:AMW7 ANL6:ANM7 AOB6:AOC7 AOR6:AOS7 APH6:API7 APX6:APY7 AQN6:AQO7 ARD6:ARE7 ART6:ARU7 ASJ6:ASK7 ASZ6:ATA7 ATP6:ATQ7 AUF6:AUG7 AUV6:AUW7 AVL6:AVM7 AWB6:AWC7 AWR6:AWS7 AXH6:AXI7 AXX6:AXY7 AYN6:AYO7 AZD6:AZE7 AZT6:AZU7 BAJ6:BAK7 BAZ6:BBA7 BBP6:BBQ7 BCF6:BCG7 BCV6:BCW7 BDL6:BDM7 BEB6:BEC7 BER6:BES7 BFH6:BFI7 BFX6:BFY7 BGN6:BGO7 BHD6:BHE7 BHT6:BHU7 BIJ6:BIK7 BIZ6:BJA7 BJP6:BJQ7 BKF6:BKG7 BKV6:BKW7 BLL6:BLM7 BMB6:BMC7 BMR6:BMS7 BNH6:BNI7 BNX6:BNY7 BON6:BOO7 BPD6:BPE7 BPT6:BPU7 BQJ6:BQK7 BQZ6:BRA7 BRP6:BRQ7 BSF6:BSG7 BSV6:BSW7 BTL6:BTM7 BUB6:BUC7 BUR6:BUS7 BVH6:BVI7 BVX6:BVY7 BWN6:BWO7 BXD6:BXE7 BXT6:BXU7 BYJ6:BYK7 BYZ6:BZA7 BZP6:BZQ7 CAF6:CAG7 CAV6:CAW7 CBL6:CBM7 CCB6:CCC7 CCR6:CCS7 CDH6:CDI7 CDX6:CDY7 CEN6:CEO7 CFD6:CFE7 CFT6:CFU7 CGJ6:CGK7 CGZ6:CHA7 CHP6:CHQ7 CIF6:CIG7 CIV6:CIW7 CJL6:CJM7 CKB6:CKC7 CKR6:CKS7 CLH6:CLI7 CLX6:CLY7 CMN6:CMO7 CND6:CNE7 CNT6:CNU7 COJ6:COK7 COZ6:CPA7 CPP6:CPQ7 CQF6:CQG7 CQV6:CQW7 CRL6:CRM7 CSB6:CSC7 CSR6:CSS7 CTH6:CTI7 CTX6:CTY7 CUN6:CUO7 CVD6:CVE7 CVT6:CVU7 CWJ6:CWK7 CWZ6:CXA7 CXP6:CXQ7 CYF6:CYG7 CYV6:CYW7 CZL6:CZM7 DAB6:DAC7 DAR6:DAS7 DBH6:DBI7 DBX6:DBY7 DCN6:DCO7 DDD6:DDE7 DDT6:DDU7 DEJ6:DEK7 DEZ6:DFA7 DFP6:DFQ7 DGF6:DGG7 DGV6:DGW7 DHL6:DHM7 DIB6:DIC7 DIR6:DIS7 DJH6:DJI7 DJX6:DJY7 DKN6:DKO7 DLD6:DLE7 DLT6:DLU7 DMJ6:DMK7 DMZ6:DNA7 DNP6:DNQ7 DOF6:DOG7 DOV6:DOW7 DPL6:DPM7 DQB6:DQC7 DQR6:DQS7 DRH6:DRI7 DRX6:DRY7 DSN6:DSO7 DTD6:DTE7 DTT6:DTU7 DUJ6:DUK7 DUZ6:DVA7 DVP6:DVQ7 DWF6:DWG7 DWV6:DWW7 DXL6:DXM7 DYB6:DYC7 DYR6:DYS7 DZH6:DZI7 DZX6:DZY7 EAN6:EAO7 EBD6:EBE7 EBT6:EBU7 ECJ6:ECK7 ECZ6:EDA7 EDP6:EDQ7 EEF6:EEG7 EEV6:EEW7 EFL6:EFM7 EGB6:EGC7 EGR6:EGS7 EHH6:EHI7 EHX6:EHY7 EIN6:EIO7 EJD6:EJE7 EJT6:EJU7 EKJ6:EKK7 EKZ6:ELA7 ELP6:ELQ7 EMF6:EMG7 EMV6:EMW7 ENL6:ENM7 EOB6:EOC7 EOR6:EOS7 EPH6:EPI7 EPX6:EPY7 EQN6:EQO7 ERD6:ERE7 ERT6:ERU7 ESJ6:ESK7 ESZ6:ETA7 ETP6:ETQ7 EUF6:EUG7 EUV6:EUW7 EVL6:EVM7 EWB6:EWC7 EWR6:EWS7 EXH6:EXI7 EXX6:EXY7 EYN6:EYO7 EZD6:EZE7 EZT6:EZU7 FAJ6:FAK7 FAZ6:FBA7 FBP6:FBQ7 FCF6:FCG7 FCV6:FCW7 FDL6:FDM7 FEB6:FEC7 FER6:FES7 FFH6:FFI7 FFX6:FFY7 FGN6:FGO7 FHD6:FHE7 FHT6:FHU7 FIJ6:FIK7 FIZ6:FJA7 FJP6:FJQ7 FKF6:FKG7 FKV6:FKW7 FLL6:FLM7 FMB6:FMC7 FMR6:FMS7 FNH6:FNI7 FNX6:FNY7 FON6:FOO7 FPD6:FPE7 FPT6:FPU7 FQJ6:FQK7 FQZ6:FRA7 FRP6:FRQ7 FSF6:FSG7 FSV6:FSW7 FTL6:FTM7 FUB6:FUC7 FUR6:FUS7 FVH6:FVI7 FVX6:FVY7 FWN6:FWO7 FXD6:FXE7 FXT6:FXU7 FYJ6:FYK7 FYZ6:FZA7 FZP6:FZQ7 GAF6:GAG7 GAV6:GAW7 GBL6:GBM7 GCB6:GCC7 GCR6:GCS7 GDH6:GDI7 GDX6:GDY7 GEN6:GEO7 GFD6:GFE7 GFT6:GFU7 GGJ6:GGK7 GGZ6:GHA7 GHP6:GHQ7 GIF6:GIG7 GIV6:GIW7 GJL6:GJM7 GKB6:GKC7 GKR6:GKS7 GLH6:GLI7 GLX6:GLY7 GMN6:GMO7 GND6:GNE7 GNT6:GNU7 GOJ6:GOK7 GOZ6:GPA7 GPP6:GPQ7 GQF6:GQG7 GQV6:GQW7 GRL6:GRM7 GSB6:GSC7 GSR6:GSS7 GTH6:GTI7 GTX6:GTY7 GUN6:GUO7 GVD6:GVE7 GVT6:GVU7 GWJ6:GWK7 GWZ6:GXA7 GXP6:GXQ7 GYF6:GYG7 GYV6:GYW7 GZL6:GZM7 HAB6:HAC7 HAR6:HAS7 HBH6:HBI7 HBX6:HBY7 HCN6:HCO7 HDD6:HDE7 HDT6:HDU7 HEJ6:HEK7 HEZ6:HFA7 HFP6:HFQ7 HGF6:HGG7 HGV6:HGW7 HHL6:HHM7 HIB6:HIC7 HIR6:HIS7 HJH6:HJI7 HJX6:HJY7 HKN6:HKO7 HLD6:HLE7 HLT6:HLU7 HMJ6:HMK7 HMZ6:HNA7 HNP6:HNQ7 HOF6:HOG7 HOV6:HOW7 HPL6:HPM7 HQB6:HQC7 HQR6:HQS7 HRH6:HRI7 HRX6:HRY7 HSN6:HSO7 HTD6:HTE7 HTT6:HTU7 HUJ6:HUK7 HUZ6:HVA7 HVP6:HVQ7 HWF6:HWG7 HWV6:HWW7 HXL6:HXM7 HYB6:HYC7 HYR6:HYS7 HZH6:HZI7 HZX6:HZY7 IAN6:IAO7 IBD6:IBE7 IBT6:IBU7 ICJ6:ICK7 ICZ6:IDA7 IDP6:IDQ7 IEF6:IEG7 IEV6:IEW7 IFL6:IFM7 IGB6:IGC7 IGR6:IGS7 IHH6:IHI7 IHX6:IHY7 IIN6:IIO7 IJD6:IJE7 IJT6:IJU7 IKJ6:IKK7 IKZ6:ILA7 ILP6:ILQ7 IMF6:IMG7 IMV6:IMW7 INL6:INM7 IOB6:IOC7 IOR6:IOS7 IPH6:IPI7 IPX6:IPY7 IQN6:IQO7 IRD6:IRE7 IRT6:IRU7 ISJ6:ISK7 ISZ6:ITA7 ITP6:ITQ7 IUF6:IUG7 IUV6:IUW7 IVL6:IVM7 IWB6:IWC7 IWR6:IWS7 IXH6:IXI7 IXX6:IXY7 IYN6:IYO7 IZD6:IZE7 IZT6:IZU7 JAJ6:JAK7 JAZ6:JBA7 JBP6:JBQ7 JCF6:JCG7 JCV6:JCW7 JDL6:JDM7 JEB6:JEC7 JER6:JES7 JFH6:JFI7 JFX6:JFY7 JGN6:JGO7 JHD6:JHE7 JHT6:JHU7 JIJ6:JIK7 JIZ6:JJA7 JJP6:JJQ7 JKF6:JKG7 JKV6:JKW7 JLL6:JLM7 JMB6:JMC7 JMR6:JMS7 JNH6:JNI7 JNX6:JNY7 JON6:JOO7 JPD6:JPE7 JPT6:JPU7 JQJ6:JQK7 JQZ6:JRA7 JRP6:JRQ7 JSF6:JSG7 JSV6:JSW7 JTL6:JTM7 JUB6:JUC7 JUR6:JUS7 JVH6:JVI7 JVX6:JVY7 JWN6:JWO7 JXD6:JXE7 JXT6:JXU7 JYJ6:JYK7 JYZ6:JZA7 JZP6:JZQ7 KAF6:KAG7 KAV6:KAW7 KBL6:KBM7 KCB6:KCC7 KCR6:KCS7 KDH6:KDI7 KDX6:KDY7 KEN6:KEO7 KFD6:KFE7 KFT6:KFU7 KGJ6:KGK7 KGZ6:KHA7 KHP6:KHQ7 KIF6:KIG7 KIV6:KIW7 KJL6:KJM7 KKB6:KKC7 KKR6:KKS7 KLH6:KLI7 KLX6:KLY7 KMN6:KMO7 KND6:KNE7 KNT6:KNU7 KOJ6:KOK7 KOZ6:KPA7 KPP6:KPQ7 KQF6:KQG7 KQV6:KQW7 KRL6:KRM7 KSB6:KSC7 KSR6:KSS7 KTH6:KTI7 KTX6:KTY7 KUN6:KUO7 KVD6:KVE7 KVT6:KVU7 KWJ6:KWK7 KWZ6:KXA7 KXP6:KXQ7 KYF6:KYG7 KYV6:KYW7 KZL6:KZM7 LAB6:LAC7 LAR6:LAS7 LBH6:LBI7 LBX6:LBY7 LCN6:LCO7 LDD6:LDE7 LDT6:LDU7 LEJ6:LEK7 LEZ6:LFA7 LFP6:LFQ7 LGF6:LGG7 LGV6:LGW7 LHL6:LHM7 LIB6:LIC7 LIR6:LIS7 LJH6:LJI7 LJX6:LJY7 LKN6:LKO7 LLD6:LLE7 LLT6:LLU7 LMJ6:LMK7 LMZ6:LNA7 LNP6:LNQ7 LOF6:LOG7 LOV6:LOW7 LPL6:LPM7 LQB6:LQC7 LQR6:LQS7 LRH6:LRI7 LRX6:LRY7 LSN6:LSO7 LTD6:LTE7 LTT6:LTU7 LUJ6:LUK7 LUZ6:LVA7 LVP6:LVQ7 LWF6:LWG7 LWV6:LWW7 LXL6:LXM7 LYB6:LYC7 LYR6:LYS7 LZH6:LZI7 LZX6:LZY7 MAN6:MAO7 MBD6:MBE7 MBT6:MBU7 MCJ6:MCK7 MCZ6:MDA7 MDP6:MDQ7 MEF6:MEG7 MEV6:MEW7 MFL6:MFM7 MGB6:MGC7 MGR6:MGS7 MHH6:MHI7 MHX6:MHY7 MIN6:MIO7 MJD6:MJE7 MJT6:MJU7 MKJ6:MKK7 MKZ6:MLA7 MLP6:MLQ7 MMF6:MMG7 MMV6:MMW7 MNL6:MNM7 MOB6:MOC7 MOR6:MOS7 MPH6:MPI7 MPX6:MPY7 MQN6:MQO7 MRD6:MRE7 MRT6:MRU7 MSJ6:MSK7 MSZ6:MTA7 MTP6:MTQ7 MUF6:MUG7 MUV6:MUW7 MVL6:MVM7 MWB6:MWC7 MWR6:MWS7 MXH6:MXI7 MXX6:MXY7 MYN6:MYO7 MZD6:MZE7 MZT6:MZU7 NAJ6:NAK7 NAZ6:NBA7 NBP6:NBQ7 NCF6:NCG7 NCV6:NCW7 NDL6:NDM7 NEB6:NEC7 NER6:NES7 NFH6:NFI7 NFX6:NFY7 NGN6:NGO7 NHD6:NHE7 NHT6:NHU7 NIJ6:NIK7 NIZ6:NJA7 NJP6:NJQ7 NKF6:NKG7 NKV6:NKW7 NLL6:NLM7 NMB6:NMC7 NMR6:NMS7 NNH6:NNI7 NNX6:NNY7 NON6:NOO7 NPD6:NPE7 NPT6:NPU7 NQJ6:NQK7 NQZ6:NRA7 NRP6:NRQ7 NSF6:NSG7 NSV6:NSW7 NTL6:NTM7 NUB6:NUC7 NUR6:NUS7 NVH6:NVI7 NVX6:NVY7 NWN6:NWO7 NXD6:NXE7 NXT6:NXU7 NYJ6:NYK7 NYZ6:NZA7 NZP6:NZQ7 OAF6:OAG7 OAV6:OAW7 OBL6:OBM7 OCB6:OCC7 OCR6:OCS7 ODH6:ODI7 ODX6:ODY7 OEN6:OEO7 OFD6:OFE7 OFT6:OFU7 OGJ6:OGK7 OGZ6:OHA7 OHP6:OHQ7 OIF6:OIG7 OIV6:OIW7 OJL6:OJM7 OKB6:OKC7 OKR6:OKS7 OLH6:OLI7 OLX6:OLY7 OMN6:OMO7 OND6:ONE7 ONT6:ONU7 OOJ6:OOK7 OOZ6:OPA7 OPP6:OPQ7 OQF6:OQG7 OQV6:OQW7 ORL6:ORM7 OSB6:OSC7 OSR6:OSS7 OTH6:OTI7 OTX6:OTY7 OUN6:OUO7 OVD6:OVE7 OVT6:OVU7 OWJ6:OWK7 OWZ6:OXA7 OXP6:OXQ7 OYF6:OYG7 OYV6:OYW7 OZL6:OZM7 PAB6:PAC7 PAR6:PAS7 PBH6:PBI7 PBX6:PBY7 PCN6:PCO7 PDD6:PDE7 PDT6:PDU7 PEJ6:PEK7 PEZ6:PFA7 PFP6:PFQ7 PGF6:PGG7 PGV6:PGW7 PHL6:PHM7 PIB6:PIC7 PIR6:PIS7 PJH6:PJI7 PJX6:PJY7 PKN6:PKO7 PLD6:PLE7 PLT6:PLU7 PMJ6:PMK7 PMZ6:PNA7 PNP6:PNQ7 POF6:POG7 POV6:POW7 PPL6:PPM7 PQB6:PQC7 PQR6:PQS7 PRH6:PRI7 PRX6:PRY7 PSN6:PSO7 PTD6:PTE7 PTT6:PTU7 PUJ6:PUK7 PUZ6:PVA7 PVP6:PVQ7 PWF6:PWG7 PWV6:PWW7 PXL6:PXM7 PYB6:PYC7 PYR6:PYS7 PZH6:PZI7 PZX6:PZY7 QAN6:QAO7 QBD6:QBE7 QBT6:QBU7 QCJ6:QCK7 QCZ6:QDA7 QDP6:QDQ7 QEF6:QEG7 QEV6:QEW7 QFL6:QFM7 QGB6:QGC7 QGR6:QGS7 QHH6:QHI7 QHX6:QHY7 QIN6:QIO7 QJD6:QJE7 QJT6:QJU7 QKJ6:QKK7 QKZ6:QLA7 QLP6:QLQ7 QMF6:QMG7 QMV6:QMW7 QNL6:QNM7 QOB6:QOC7 QOR6:QOS7 QPH6:QPI7 QPX6:QPY7 QQN6:QQO7 QRD6:QRE7 QRT6:QRU7 QSJ6:QSK7 QSZ6:QTA7 QTP6:QTQ7 QUF6:QUG7 QUV6:QUW7 QVL6:QVM7 QWB6:QWC7 QWR6:QWS7 QXH6:QXI7 QXX6:QXY7 QYN6:QYO7 QZD6:QZE7 QZT6:QZU7 RAJ6:RAK7 RAZ6:RBA7 RBP6:RBQ7 RCF6:RCG7 RCV6:RCW7 RDL6:RDM7 REB6:REC7 RER6:RES7 RFH6:RFI7 RFX6:RFY7 RGN6:RGO7 RHD6:RHE7 RHT6:RHU7 RIJ6:RIK7 RIZ6:RJA7 RJP6:RJQ7 RKF6:RKG7 RKV6:RKW7 RLL6:RLM7 RMB6:RMC7 RMR6:RMS7 RNH6:RNI7 RNX6:RNY7 RON6:ROO7 RPD6:RPE7 RPT6:RPU7 RQJ6:RQK7 RQZ6:RRA7 RRP6:RRQ7 RSF6:RSG7 RSV6:RSW7 RTL6:RTM7 RUB6:RUC7 RUR6:RUS7 RVH6:RVI7 RVX6:RVY7 RWN6:RWO7 RXD6:RXE7 RXT6:RXU7 RYJ6:RYK7 RYZ6:RZA7 RZP6:RZQ7 SAF6:SAG7 SAV6:SAW7 SBL6:SBM7 SCB6:SCC7 SCR6:SCS7 SDH6:SDI7 SDX6:SDY7 SEN6:SEO7 SFD6:SFE7 SFT6:SFU7 SGJ6:SGK7 SGZ6:SHA7 SHP6:SHQ7 SIF6:SIG7 SIV6:SIW7 SJL6:SJM7 SKB6:SKC7 SKR6:SKS7 SLH6:SLI7 SLX6:SLY7 SMN6:SMO7 SND6:SNE7 SNT6:SNU7 SOJ6:SOK7 SOZ6:SPA7 SPP6:SPQ7 SQF6:SQG7 SQV6:SQW7 SRL6:SRM7 SSB6:SSC7 SSR6:SSS7 STH6:STI7 STX6:STY7 SUN6:SUO7 SVD6:SVE7 SVT6:SVU7 SWJ6:SWK7 SWZ6:SXA7 SXP6:SXQ7 SYF6:SYG7 SYV6:SYW7 SZL6:SZM7 TAB6:TAC7 TAR6:TAS7 TBH6:TBI7 TBX6:TBY7 TCN6:TCO7 TDD6:TDE7 TDT6:TDU7 TEJ6:TEK7 TEZ6:TFA7 TFP6:TFQ7 TGF6:TGG7 TGV6:TGW7 THL6:THM7 TIB6:TIC7 TIR6:TIS7 TJH6:TJI7 TJX6:TJY7 TKN6:TKO7 TLD6:TLE7 TLT6:TLU7 TMJ6:TMK7 TMZ6:TNA7 TNP6:TNQ7 TOF6:TOG7 TOV6:TOW7 TPL6:TPM7 TQB6:TQC7 TQR6:TQS7 TRH6:TRI7 TRX6:TRY7 TSN6:TSO7 TTD6:TTE7 TTT6:TTU7 TUJ6:TUK7 TUZ6:TVA7 TVP6:TVQ7 TWF6:TWG7 TWV6:TWW7 TXL6:TXM7 TYB6:TYC7 TYR6:TYS7 TZH6:TZI7 TZX6:TZY7 UAN6:UAO7 UBD6:UBE7 UBT6:UBU7 UCJ6:UCK7 UCZ6:UDA7 UDP6:UDQ7 UEF6:UEG7 UEV6:UEW7 UFL6:UFM7 UGB6:UGC7 UGR6:UGS7 UHH6:UHI7 UHX6:UHY7 UIN6:UIO7 UJD6:UJE7 UJT6:UJU7 UKJ6:UKK7 UKZ6:ULA7 ULP6:ULQ7 UMF6:UMG7 UMV6:UMW7 UNL6:UNM7 UOB6:UOC7 UOR6:UOS7 UPH6:UPI7 UPX6:UPY7 UQN6:UQO7 URD6:URE7 URT6:URU7 USJ6:USK7 USZ6:UTA7 UTP6:UTQ7 UUF6:UUG7 UUV6:UUW7 UVL6:UVM7 UWB6:UWC7 UWR6:UWS7 UXH6:UXI7 UXX6:UXY7 UYN6:UYO7 UZD6:UZE7 UZT6:UZU7 VAJ6:VAK7 VAZ6:VBA7 VBP6:VBQ7 VCF6:VCG7 VCV6:VCW7 VDL6:VDM7 VEB6:VEC7 VER6:VES7 VFH6:VFI7 VFX6:VFY7 VGN6:VGO7 VHD6:VHE7 VHT6:VHU7 VIJ6:VIK7 VIZ6:VJA7 VJP6:VJQ7 VKF6:VKG7 VKV6:VKW7 VLL6:VLM7 VMB6:VMC7 VMR6:VMS7 VNH6:VNI7 VNX6:VNY7 VON6:VOO7 VPD6:VPE7 VPT6:VPU7 VQJ6:VQK7 VQZ6:VRA7 VRP6:VRQ7 VSF6:VSG7 VSV6:VSW7 VTL6:VTM7 VUB6:VUC7 VUR6:VUS7 VVH6:VVI7 VVX6:VVY7 VWN6:VWO7 VXD6:VXE7 VXT6:VXU7 VYJ6:VYK7 VYZ6:VZA7 VZP6:VZQ7 WAF6:WAG7 WAV6:WAW7 WBL6:WBM7 WCB6:WCC7 WCR6:WCS7 WDH6:WDI7 WDX6:WDY7 WEN6:WEO7 WFD6:WFE7 WFT6:WFU7 WGJ6:WGK7 WGZ6:WHA7 WHP6:WHQ7 WIF6:WIG7 WIV6:WIW7 WJL6:WJM7 WKB6:WKC7 WKR6:WKS7 WLH6:WLI7 WLX6:WLY7 WMN6:WMO7 WND6:WNE7 WNT6:WNU7 WOJ6:WOK7 WOZ6:WPA7 WPP6:WPQ7 WQF6:WQG7 WQV6:WQW7 WRL6:WRM7 WSB6:WSC7 WSR6:WSS7 WTH6:WTI7 WTX6:WTY7 WUN6:WUO7 WVD6:WVE7 WVT6:WVU7 WWJ6:WWK7 WWZ6:WXA7 WXP6:WXQ7 WYF6:WYG7 WYV6:WYW7 WZL6:WZM7 XAB6:XAC7 XAR6:XAS7 XBH6:XBI7 XBX6:XBY7 XCN6:XCO7 XDD6:XDE7 XDT6:XDU7 XEJ6:XEK7 O3:P33 O34:O505 XEZ33:XFA33 AB33:AC33 AR33:AS33 BH33:BI33 BX33:BY33 CN33:CO33 DD33:DE33 DT33:DU33 EJ33:EK33 EZ33:FA33 FP33:FQ33 GF33:GG33 GV33:GW33 HL33:HM33 IB33:IC33 IR33:IS33 JH33:JI33 JX33:JY33 KN33:KO33 LD33:LE33 LT33:LU33 MJ33:MK33 MZ33:NA33 NP33:NQ33 OF33:OG33 OV33:OW33 PL33:PM33 QB33:QC33 QR33:QS33 RH33:RI33 RX33:RY33 SN33:SO33 TD33:TE33 TT33:TU33 UJ33:UK33 UZ33:VA33 VP33:VQ33 WF33:WG33 WV33:WW33 XL33:XM33 YB33:YC33 YR33:YS33 ZH33:ZI33 ZX33:ZY33 AAN33:AAO33 ABD33:ABE33 ABT33:ABU33 ACJ33:ACK33 ACZ33:ADA33 ADP33:ADQ33 AEF33:AEG33 AEV33:AEW33 AFL33:AFM33 AGB33:AGC33 AGR33:AGS33 AHH33:AHI33 AHX33:AHY33 AIN33:AIO33 AJD33:AJE33 AJT33:AJU33 AKJ33:AKK33 AKZ33:ALA33 ALP33:ALQ33 AMF33:AMG33 AMV33:AMW33 ANL33:ANM33 AOB33:AOC33 AOR33:AOS33 APH33:API33 APX33:APY33 AQN33:AQO33 ARD33:ARE33 ART33:ARU33 ASJ33:ASK33 ASZ33:ATA33 ATP33:ATQ33 AUF33:AUG33 AUV33:AUW33 AVL33:AVM33 AWB33:AWC33 AWR33:AWS33 AXH33:AXI33 AXX33:AXY33 AYN33:AYO33 AZD33:AZE33 AZT33:AZU33 BAJ33:BAK33 BAZ33:BBA33 BBP33:BBQ33 BCF33:BCG33 BCV33:BCW33 BDL33:BDM33 BEB33:BEC33 BER33:BES33 BFH33:BFI33 BFX33:BFY33 BGN33:BGO33 BHD33:BHE33 BHT33:BHU33 BIJ33:BIK33 BIZ33:BJA33 BJP33:BJQ33 BKF33:BKG33 BKV33:BKW33 BLL33:BLM33 BMB33:BMC33 BMR33:BMS33 BNH33:BNI33 BNX33:BNY33 BON33:BOO33 BPD33:BPE33 BPT33:BPU33 BQJ33:BQK33 BQZ33:BRA33 BRP33:BRQ33 BSF33:BSG33 BSV33:BSW33 BTL33:BTM33 BUB33:BUC33 BUR33:BUS33 BVH33:BVI33 BVX33:BVY33 BWN33:BWO33 BXD33:BXE33 BXT33:BXU33 BYJ33:BYK33 BYZ33:BZA33 BZP33:BZQ33 CAF33:CAG33 CAV33:CAW33 CBL33:CBM33 CCB33:CCC33 CCR33:CCS33 CDH33:CDI33 CDX33:CDY33 CEN33:CEO33 CFD33:CFE33 CFT33:CFU33 CGJ33:CGK33 CGZ33:CHA33 CHP33:CHQ33 CIF33:CIG33 CIV33:CIW33 CJL33:CJM33 CKB33:CKC33 CKR33:CKS33 CLH33:CLI33 CLX33:CLY33 CMN33:CMO33 CND33:CNE33 CNT33:CNU33 COJ33:COK33 COZ33:CPA33 CPP33:CPQ33 CQF33:CQG33 CQV33:CQW33 CRL33:CRM33 CSB33:CSC33 CSR33:CSS33 CTH33:CTI33 CTX33:CTY33 CUN33:CUO33 CVD33:CVE33 CVT33:CVU33 CWJ33:CWK33 CWZ33:CXA33 CXP33:CXQ33 CYF33:CYG33 CYV33:CYW33 CZL33:CZM33 DAB33:DAC33 DAR33:DAS33 DBH33:DBI33 DBX33:DBY33 DCN33:DCO33 DDD33:DDE33 DDT33:DDU33 DEJ33:DEK33 DEZ33:DFA33 DFP33:DFQ33 DGF33:DGG33 DGV33:DGW33 DHL33:DHM33 DIB33:DIC33 DIR33:DIS33 DJH33:DJI33 DJX33:DJY33 DKN33:DKO33 DLD33:DLE33 DLT33:DLU33 DMJ33:DMK33 DMZ33:DNA33 DNP33:DNQ33 DOF33:DOG33 DOV33:DOW33 DPL33:DPM33 DQB33:DQC33 DQR33:DQS33 DRH33:DRI33 DRX33:DRY33 DSN33:DSO33 DTD33:DTE33 DTT33:DTU33 DUJ33:DUK33 DUZ33:DVA33 DVP33:DVQ33 DWF33:DWG33 DWV33:DWW33 DXL33:DXM33 DYB33:DYC33 DYR33:DYS33 DZH33:DZI33 DZX33:DZY33 EAN33:EAO33 EBD33:EBE33 EBT33:EBU33 ECJ33:ECK33 ECZ33:EDA33 EDP33:EDQ33 EEF33:EEG33 EEV33:EEW33 EFL33:EFM33 EGB33:EGC33 EGR33:EGS33 EHH33:EHI33 EHX33:EHY33 EIN33:EIO33 EJD33:EJE33 EJT33:EJU33 EKJ33:EKK33 EKZ33:ELA33 ELP33:ELQ33 EMF33:EMG33 EMV33:EMW33 ENL33:ENM33 EOB33:EOC33 EOR33:EOS33 EPH33:EPI33 EPX33:EPY33 EQN33:EQO33 ERD33:ERE33 ERT33:ERU33 ESJ33:ESK33 ESZ33:ETA33 ETP33:ETQ33 EUF33:EUG33 EUV33:EUW33 EVL33:EVM33 EWB33:EWC33 EWR33:EWS33 EXH33:EXI33 EXX33:EXY33 EYN33:EYO33 EZD33:EZE33 EZT33:EZU33 FAJ33:FAK33 FAZ33:FBA33 FBP33:FBQ33 FCF33:FCG33 FCV33:FCW33 FDL33:FDM33 FEB33:FEC33 FER33:FES33 FFH33:FFI33 FFX33:FFY33 FGN33:FGO33 FHD33:FHE33 FHT33:FHU33 FIJ33:FIK33 FIZ33:FJA33 FJP33:FJQ33 FKF33:FKG33 FKV33:FKW33 FLL33:FLM33 FMB33:FMC33 FMR33:FMS33 FNH33:FNI33 FNX33:FNY33 FON33:FOO33 FPD33:FPE33 FPT33:FPU33 FQJ33:FQK33 FQZ33:FRA33 FRP33:FRQ33 FSF33:FSG33 FSV33:FSW33 FTL33:FTM33 FUB33:FUC33 FUR33:FUS33 FVH33:FVI33 FVX33:FVY33 FWN33:FWO33 FXD33:FXE33 FXT33:FXU33 FYJ33:FYK33 FYZ33:FZA33 FZP33:FZQ33 GAF33:GAG33 GAV33:GAW33 GBL33:GBM33 GCB33:GCC33 GCR33:GCS33 GDH33:GDI33 GDX33:GDY33 GEN33:GEO33 GFD33:GFE33 GFT33:GFU33 GGJ33:GGK33 GGZ33:GHA33 GHP33:GHQ33 GIF33:GIG33 GIV33:GIW33 GJL33:GJM33 GKB33:GKC33 GKR33:GKS33 GLH33:GLI33 GLX33:GLY33 GMN33:GMO33 GND33:GNE33 GNT33:GNU33 GOJ33:GOK33 GOZ33:GPA33 GPP33:GPQ33 GQF33:GQG33 GQV33:GQW33 GRL33:GRM33 GSB33:GSC33 GSR33:GSS33 GTH33:GTI33 GTX33:GTY33 GUN33:GUO33 GVD33:GVE33 GVT33:GVU33 GWJ33:GWK33 GWZ33:GXA33 GXP33:GXQ33 GYF33:GYG33 GYV33:GYW33 GZL33:GZM33 HAB33:HAC33 HAR33:HAS33 HBH33:HBI33 HBX33:HBY33 HCN33:HCO33 HDD33:HDE33 HDT33:HDU33 HEJ33:HEK33 HEZ33:HFA33 HFP33:HFQ33 HGF33:HGG33 HGV33:HGW33 HHL33:HHM33 HIB33:HIC33 HIR33:HIS33 HJH33:HJI33 HJX33:HJY33 HKN33:HKO33 HLD33:HLE33 HLT33:HLU33 HMJ33:HMK33 HMZ33:HNA33 HNP33:HNQ33 HOF33:HOG33 HOV33:HOW33 HPL33:HPM33 HQB33:HQC33 HQR33:HQS33 HRH33:HRI33 HRX33:HRY33 HSN33:HSO33 HTD33:HTE33 HTT33:HTU33 HUJ33:HUK33 HUZ33:HVA33 HVP33:HVQ33 HWF33:HWG33 HWV33:HWW33 HXL33:HXM33 HYB33:HYC33 HYR33:HYS33 HZH33:HZI33 HZX33:HZY33 IAN33:IAO33 IBD33:IBE33 IBT33:IBU33 ICJ33:ICK33 ICZ33:IDA33 IDP33:IDQ33 IEF33:IEG33 IEV33:IEW33 IFL33:IFM33 IGB33:IGC33 IGR33:IGS33 IHH33:IHI33 IHX33:IHY33 IIN33:IIO33 IJD33:IJE33 IJT33:IJU33 IKJ33:IKK33 IKZ33:ILA33 ILP33:ILQ33 IMF33:IMG33 IMV33:IMW33 INL33:INM33 IOB33:IOC33 IOR33:IOS33 IPH33:IPI33 IPX33:IPY33 IQN33:IQO33 IRD33:IRE33 IRT33:IRU33 ISJ33:ISK33 ISZ33:ITA33 ITP33:ITQ33 IUF33:IUG33 IUV33:IUW33 IVL33:IVM33 IWB33:IWC33 IWR33:IWS33 IXH33:IXI33 IXX33:IXY33 IYN33:IYO33 IZD33:IZE33 IZT33:IZU33 JAJ33:JAK33 JAZ33:JBA33 JBP33:JBQ33 JCF33:JCG33 JCV33:JCW33 JDL33:JDM33 JEB33:JEC33 JER33:JES33 JFH33:JFI33 JFX33:JFY33 JGN33:JGO33 JHD33:JHE33 JHT33:JHU33 JIJ33:JIK33 JIZ33:JJA33 JJP33:JJQ33 JKF33:JKG33 JKV33:JKW33 JLL33:JLM33 JMB33:JMC33 JMR33:JMS33 JNH33:JNI33 JNX33:JNY33 JON33:JOO33 JPD33:JPE33 JPT33:JPU33 JQJ33:JQK33 JQZ33:JRA33 JRP33:JRQ33 JSF33:JSG33 JSV33:JSW33 JTL33:JTM33 JUB33:JUC33 JUR33:JUS33 JVH33:JVI33 JVX33:JVY33 JWN33:JWO33 JXD33:JXE33 JXT33:JXU33 JYJ33:JYK33 JYZ33:JZA33 JZP33:JZQ33 KAF33:KAG33 KAV33:KAW33 KBL33:KBM33 KCB33:KCC33 KCR33:KCS33 KDH33:KDI33 KDX33:KDY33 KEN33:KEO33 KFD33:KFE33 KFT33:KFU33 KGJ33:KGK33 KGZ33:KHA33 KHP33:KHQ33 KIF33:KIG33 KIV33:KIW33 KJL33:KJM33 KKB33:KKC33 KKR33:KKS33 KLH33:KLI33 KLX33:KLY33 KMN33:KMO33 KND33:KNE33 KNT33:KNU33 KOJ33:KOK33 KOZ33:KPA33 KPP33:KPQ33 KQF33:KQG33 KQV33:KQW33 KRL33:KRM33 KSB33:KSC33 KSR33:KSS33 KTH33:KTI33 KTX33:KTY33 KUN33:KUO33 KVD33:KVE33 KVT33:KVU33 KWJ33:KWK33 KWZ33:KXA33 KXP33:KXQ33 KYF33:KYG33 KYV33:KYW33 KZL33:KZM33 LAB33:LAC33 LAR33:LAS33 LBH33:LBI33 LBX33:LBY33 LCN33:LCO33 LDD33:LDE33 LDT33:LDU33 LEJ33:LEK33 LEZ33:LFA33 LFP33:LFQ33 LGF33:LGG33 LGV33:LGW33 LHL33:LHM33 LIB33:LIC33 LIR33:LIS33 LJH33:LJI33 LJX33:LJY33 LKN33:LKO33 LLD33:LLE33 LLT33:LLU33 LMJ33:LMK33 LMZ33:LNA33 LNP33:LNQ33 LOF33:LOG33 LOV33:LOW33 LPL33:LPM33 LQB33:LQC33 LQR33:LQS33 LRH33:LRI33 LRX33:LRY33 LSN33:LSO33 LTD33:LTE33 LTT33:LTU33 LUJ33:LUK33 LUZ33:LVA33 LVP33:LVQ33 LWF33:LWG33 LWV33:LWW33 LXL33:LXM33 LYB33:LYC33 LYR33:LYS33 LZH33:LZI33 LZX33:LZY33 MAN33:MAO33 MBD33:MBE33 MBT33:MBU33 MCJ33:MCK33 MCZ33:MDA33 MDP33:MDQ33 MEF33:MEG33 MEV33:MEW33 MFL33:MFM33 MGB33:MGC33 MGR33:MGS33 MHH33:MHI33 MHX33:MHY33 MIN33:MIO33 MJD33:MJE33 MJT33:MJU33 MKJ33:MKK33 MKZ33:MLA33 MLP33:MLQ33 MMF33:MMG33 MMV33:MMW33 MNL33:MNM33 MOB33:MOC33 MOR33:MOS33 MPH33:MPI33 MPX33:MPY33 MQN33:MQO33 MRD33:MRE33 MRT33:MRU33 MSJ33:MSK33 MSZ33:MTA33 MTP33:MTQ33 MUF33:MUG33 MUV33:MUW33 MVL33:MVM33 MWB33:MWC33 MWR33:MWS33 MXH33:MXI33 MXX33:MXY33 MYN33:MYO33 MZD33:MZE33 MZT33:MZU33 NAJ33:NAK33 NAZ33:NBA33 NBP33:NBQ33 NCF33:NCG33 NCV33:NCW33 NDL33:NDM33 NEB33:NEC33 NER33:NES33 NFH33:NFI33 NFX33:NFY33 NGN33:NGO33 NHD33:NHE33 NHT33:NHU33 NIJ33:NIK33 NIZ33:NJA33 NJP33:NJQ33 NKF33:NKG33 NKV33:NKW33 NLL33:NLM33 NMB33:NMC33 NMR33:NMS33 NNH33:NNI33 NNX33:NNY33 NON33:NOO33 NPD33:NPE33 NPT33:NPU33 NQJ33:NQK33 NQZ33:NRA33 NRP33:NRQ33 NSF33:NSG33 NSV33:NSW33 NTL33:NTM33 NUB33:NUC33 NUR33:NUS33 NVH33:NVI33 NVX33:NVY33 NWN33:NWO33 NXD33:NXE33 NXT33:NXU33 NYJ33:NYK33 NYZ33:NZA33 NZP33:NZQ33 OAF33:OAG33 OAV33:OAW33 OBL33:OBM33 OCB33:OCC33 OCR33:OCS33 ODH33:ODI33 ODX33:ODY33 OEN33:OEO33 OFD33:OFE33 OFT33:OFU33 OGJ33:OGK33 OGZ33:OHA33 OHP33:OHQ33 OIF33:OIG33 OIV33:OIW33 OJL33:OJM33 OKB33:OKC33 OKR33:OKS33 OLH33:OLI33 OLX33:OLY33 OMN33:OMO33 OND33:ONE33 ONT33:ONU33 OOJ33:OOK33 OOZ33:OPA33 OPP33:OPQ33 OQF33:OQG33 OQV33:OQW33 ORL33:ORM33 OSB33:OSC33 OSR33:OSS33 OTH33:OTI33 OTX33:OTY33 OUN33:OUO33 OVD33:OVE33 OVT33:OVU33 OWJ33:OWK33 OWZ33:OXA33 OXP33:OXQ33 OYF33:OYG33 OYV33:OYW33 OZL33:OZM33 PAB33:PAC33 PAR33:PAS33 PBH33:PBI33 PBX33:PBY33 PCN33:PCO33 PDD33:PDE33 PDT33:PDU33 PEJ33:PEK33 PEZ33:PFA33 PFP33:PFQ33 PGF33:PGG33 PGV33:PGW33 PHL33:PHM33 PIB33:PIC33 PIR33:PIS33 PJH33:PJI33 PJX33:PJY33 PKN33:PKO33 PLD33:PLE33 PLT33:PLU33 PMJ33:PMK33 PMZ33:PNA33 PNP33:PNQ33 POF33:POG33 POV33:POW33 PPL33:PPM33 PQB33:PQC33 PQR33:PQS33 PRH33:PRI33 PRX33:PRY33 PSN33:PSO33 PTD33:PTE33 PTT33:PTU33 PUJ33:PUK33 PUZ33:PVA33 PVP33:PVQ33 PWF33:PWG33 PWV33:PWW33 PXL33:PXM33 PYB33:PYC33 PYR33:PYS33 PZH33:PZI33 PZX33:PZY33 QAN33:QAO33 QBD33:QBE33 QBT33:QBU33 QCJ33:QCK33 QCZ33:QDA33 QDP33:QDQ33 QEF33:QEG33 QEV33:QEW33 QFL33:QFM33 QGB33:QGC33 QGR33:QGS33 QHH33:QHI33 QHX33:QHY33 QIN33:QIO33 QJD33:QJE33 QJT33:QJU33 QKJ33:QKK33 QKZ33:QLA33 QLP33:QLQ33 QMF33:QMG33 QMV33:QMW33 QNL33:QNM33 QOB33:QOC33 QOR33:QOS33 QPH33:QPI33 QPX33:QPY33 QQN33:QQO33 QRD33:QRE33 QRT33:QRU33 QSJ33:QSK33 QSZ33:QTA33 QTP33:QTQ33 QUF33:QUG33 QUV33:QUW33 QVL33:QVM33 QWB33:QWC33 QWR33:QWS33 QXH33:QXI33 QXX33:QXY33 QYN33:QYO33 QZD33:QZE33 QZT33:QZU33 RAJ33:RAK33 RAZ33:RBA33 RBP33:RBQ33 RCF33:RCG33 RCV33:RCW33 RDL33:RDM33 REB33:REC33 RER33:RES33 RFH33:RFI33 RFX33:RFY33 RGN33:RGO33 RHD33:RHE33 RHT33:RHU33 RIJ33:RIK33 RIZ33:RJA33 RJP33:RJQ33 RKF33:RKG33 RKV33:RKW33 RLL33:RLM33 RMB33:RMC33 RMR33:RMS33 RNH33:RNI33 RNX33:RNY33 RON33:ROO33 RPD33:RPE33 RPT33:RPU33 RQJ33:RQK33 RQZ33:RRA33 RRP33:RRQ33 RSF33:RSG33 RSV33:RSW33 RTL33:RTM33 RUB33:RUC33 RUR33:RUS33 RVH33:RVI33 RVX33:RVY33 RWN33:RWO33 RXD33:RXE33 RXT33:RXU33 RYJ33:RYK33 RYZ33:RZA33 RZP33:RZQ33 SAF33:SAG33 SAV33:SAW33 SBL33:SBM33 SCB33:SCC33 SCR33:SCS33 SDH33:SDI33 SDX33:SDY33 SEN33:SEO33 SFD33:SFE33 SFT33:SFU33 SGJ33:SGK33 SGZ33:SHA33 SHP33:SHQ33 SIF33:SIG33 SIV33:SIW33 SJL33:SJM33 SKB33:SKC33 SKR33:SKS33 SLH33:SLI33 SLX33:SLY33 SMN33:SMO33 SND33:SNE33 SNT33:SNU33 SOJ33:SOK33 SOZ33:SPA33 SPP33:SPQ33 SQF33:SQG33 SQV33:SQW33 SRL33:SRM33 SSB33:SSC33 SSR33:SSS33 STH33:STI33 STX33:STY33 SUN33:SUO33 SVD33:SVE33 SVT33:SVU33 SWJ33:SWK33 SWZ33:SXA33 SXP33:SXQ33 SYF33:SYG33 SYV33:SYW33 SZL33:SZM33 TAB33:TAC33 TAR33:TAS33 TBH33:TBI33 TBX33:TBY33 TCN33:TCO33 TDD33:TDE33 TDT33:TDU33 TEJ33:TEK33 TEZ33:TFA33 TFP33:TFQ33 TGF33:TGG33 TGV33:TGW33 THL33:THM33 TIB33:TIC33 TIR33:TIS33 TJH33:TJI33 TJX33:TJY33 TKN33:TKO33 TLD33:TLE33 TLT33:TLU33 TMJ33:TMK33 TMZ33:TNA33 TNP33:TNQ33 TOF33:TOG33 TOV33:TOW33 TPL33:TPM33 TQB33:TQC33 TQR33:TQS33 TRH33:TRI33 TRX33:TRY33 TSN33:TSO33 TTD33:TTE33 TTT33:TTU33 TUJ33:TUK33 TUZ33:TVA33 TVP33:TVQ33 TWF33:TWG33 TWV33:TWW33 TXL33:TXM33 TYB33:TYC33 TYR33:TYS33 TZH33:TZI33 TZX33:TZY33 UAN33:UAO33 UBD33:UBE33 UBT33:UBU33 UCJ33:UCK33 UCZ33:UDA33 UDP33:UDQ33 UEF33:UEG33 UEV33:UEW33 UFL33:UFM33 UGB33:UGC33 UGR33:UGS33 UHH33:UHI33 UHX33:UHY33 UIN33:UIO33 UJD33:UJE33 UJT33:UJU33 UKJ33:UKK33 UKZ33:ULA33 ULP33:ULQ33 UMF33:UMG33 UMV33:UMW33 UNL33:UNM33 UOB33:UOC33 UOR33:UOS33 UPH33:UPI33 UPX33:UPY33 UQN33:UQO33 URD33:URE33 URT33:URU33 USJ33:USK33 USZ33:UTA33 UTP33:UTQ33 UUF33:UUG33 UUV33:UUW33 UVL33:UVM33 UWB33:UWC33 UWR33:UWS33 UXH33:UXI33 UXX33:UXY33 UYN33:UYO33 UZD33:UZE33 UZT33:UZU33 VAJ33:VAK33 VAZ33:VBA33 VBP33:VBQ33 VCF33:VCG33 VCV33:VCW33 VDL33:VDM33 VEB33:VEC33 VER33:VES33 VFH33:VFI33 VFX33:VFY33 VGN33:VGO33 VHD33:VHE33 VHT33:VHU33 VIJ33:VIK33 VIZ33:VJA33 VJP33:VJQ33 VKF33:VKG33 VKV33:VKW33 VLL33:VLM33 VMB33:VMC33 VMR33:VMS33 VNH33:VNI33 VNX33:VNY33 VON33:VOO33 VPD33:VPE33 VPT33:VPU33 VQJ33:VQK33 VQZ33:VRA33 VRP33:VRQ33 VSF33:VSG33 VSV33:VSW33 VTL33:VTM33 VUB33:VUC33 VUR33:VUS33 VVH33:VVI33 VVX33:VVY33 VWN33:VWO33 VXD33:VXE33 VXT33:VXU33 VYJ33:VYK33 VYZ33:VZA33 VZP33:VZQ33 WAF33:WAG33 WAV33:WAW33 WBL33:WBM33 WCB33:WCC33 WCR33:WCS33 WDH33:WDI33 WDX33:WDY33 WEN33:WEO33 WFD33:WFE33 WFT33:WFU33 WGJ33:WGK33 WGZ33:WHA33 WHP33:WHQ33 WIF33:WIG33 WIV33:WIW33 WJL33:WJM33 WKB33:WKC33 WKR33:WKS33 WLH33:WLI33 WLX33:WLY33 WMN33:WMO33 WND33:WNE33 WNT33:WNU33 WOJ33:WOK33 WOZ33:WPA33 WPP33:WPQ33 WQF33:WQG33 WQV33:WQW33 WRL33:WRM33 WSB33:WSC33 WSR33:WSS33 WTH33:WTI33 WTX33:WTY33 WUN33:WUO33 WVD33:WVE33 WVT33:WVU33 WWJ33:WWK33 WWZ33:WXA33 WXP33:WXQ33 WYF33:WYG33 WYV33:WYW33 WZL33:WZM33 XAB33:XAC33 XAR33:XAS33 XBH33:XBI33 XBX33:XBY33 XCN33:XCO33 XDD33:XDE33 XDT33:XDU33 XEJ33:XEK33" xr:uid="{00000000-0002-0000-1700-000000000000}">
      <formula1>"Confirmed (Done),Pending Calendar Booking,Canceled"</formula1>
    </dataValidation>
    <dataValidation type="list" allowBlank="1" sqref="XFA6:XFA7 AC6:AC7 AS6:AS7 BI6:BI7 BY6:BY7 CO6:CO7 DE6:DE7 DU6:DU7 EK6:EK7 FA6:FA7 FQ6:FQ7 GG6:GG7 GW6:GW7 HM6:HM7 IC6:IC7 IS6:IS7 JI6:JI7 JY6:JY7 KO6:KO7 LE6:LE7 LU6:LU7 MK6:MK7 NA6:NA7 NQ6:NQ7 OG6:OG7 OW6:OW7 PM6:PM7 QC6:QC7 QS6:QS7 RI6:RI7 RY6:RY7 SO6:SO7 TE6:TE7 TU6:TU7 UK6:UK7 VA6:VA7 VQ6:VQ7 WG6:WG7 WW6:WW7 XM6:XM7 YC6:YC7 YS6:YS7 ZI6:ZI7 ZY6:ZY7 AAO6:AAO7 ABE6:ABE7 ABU6:ABU7 ACK6:ACK7 ADA6:ADA7 ADQ6:ADQ7 AEG6:AEG7 AEW6:AEW7 AFM6:AFM7 AGC6:AGC7 AGS6:AGS7 AHI6:AHI7 AHY6:AHY7 AIO6:AIO7 AJE6:AJE7 AJU6:AJU7 AKK6:AKK7 ALA6:ALA7 ALQ6:ALQ7 AMG6:AMG7 AMW6:AMW7 ANM6:ANM7 AOC6:AOC7 AOS6:AOS7 API6:API7 APY6:APY7 AQO6:AQO7 ARE6:ARE7 ARU6:ARU7 ASK6:ASK7 ATA6:ATA7 ATQ6:ATQ7 AUG6:AUG7 AUW6:AUW7 AVM6:AVM7 AWC6:AWC7 AWS6:AWS7 AXI6:AXI7 AXY6:AXY7 AYO6:AYO7 AZE6:AZE7 AZU6:AZU7 BAK6:BAK7 BBA6:BBA7 BBQ6:BBQ7 BCG6:BCG7 BCW6:BCW7 BDM6:BDM7 BEC6:BEC7 BES6:BES7 BFI6:BFI7 BFY6:BFY7 BGO6:BGO7 BHE6:BHE7 BHU6:BHU7 BIK6:BIK7 BJA6:BJA7 BJQ6:BJQ7 BKG6:BKG7 BKW6:BKW7 BLM6:BLM7 BMC6:BMC7 BMS6:BMS7 BNI6:BNI7 BNY6:BNY7 BOO6:BOO7 BPE6:BPE7 BPU6:BPU7 BQK6:BQK7 BRA6:BRA7 BRQ6:BRQ7 BSG6:BSG7 BSW6:BSW7 BTM6:BTM7 BUC6:BUC7 BUS6:BUS7 BVI6:BVI7 BVY6:BVY7 BWO6:BWO7 BXE6:BXE7 BXU6:BXU7 BYK6:BYK7 BZA6:BZA7 BZQ6:BZQ7 CAG6:CAG7 CAW6:CAW7 CBM6:CBM7 CCC6:CCC7 CCS6:CCS7 CDI6:CDI7 CDY6:CDY7 CEO6:CEO7 CFE6:CFE7 CFU6:CFU7 CGK6:CGK7 CHA6:CHA7 CHQ6:CHQ7 CIG6:CIG7 CIW6:CIW7 CJM6:CJM7 CKC6:CKC7 CKS6:CKS7 CLI6:CLI7 CLY6:CLY7 CMO6:CMO7 CNE6:CNE7 CNU6:CNU7 COK6:COK7 CPA6:CPA7 CPQ6:CPQ7 CQG6:CQG7 CQW6:CQW7 CRM6:CRM7 CSC6:CSC7 CSS6:CSS7 CTI6:CTI7 CTY6:CTY7 CUO6:CUO7 CVE6:CVE7 CVU6:CVU7 CWK6:CWK7 CXA6:CXA7 CXQ6:CXQ7 CYG6:CYG7 CYW6:CYW7 CZM6:CZM7 DAC6:DAC7 DAS6:DAS7 DBI6:DBI7 DBY6:DBY7 DCO6:DCO7 DDE6:DDE7 DDU6:DDU7 DEK6:DEK7 DFA6:DFA7 DFQ6:DFQ7 DGG6:DGG7 DGW6:DGW7 DHM6:DHM7 DIC6:DIC7 DIS6:DIS7 DJI6:DJI7 DJY6:DJY7 DKO6:DKO7 DLE6:DLE7 DLU6:DLU7 DMK6:DMK7 DNA6:DNA7 DNQ6:DNQ7 DOG6:DOG7 DOW6:DOW7 DPM6:DPM7 DQC6:DQC7 DQS6:DQS7 DRI6:DRI7 DRY6:DRY7 DSO6:DSO7 DTE6:DTE7 DTU6:DTU7 DUK6:DUK7 DVA6:DVA7 DVQ6:DVQ7 DWG6:DWG7 DWW6:DWW7 DXM6:DXM7 DYC6:DYC7 DYS6:DYS7 DZI6:DZI7 DZY6:DZY7 EAO6:EAO7 EBE6:EBE7 EBU6:EBU7 ECK6:ECK7 EDA6:EDA7 EDQ6:EDQ7 EEG6:EEG7 EEW6:EEW7 EFM6:EFM7 EGC6:EGC7 EGS6:EGS7 EHI6:EHI7 EHY6:EHY7 EIO6:EIO7 EJE6:EJE7 EJU6:EJU7 EKK6:EKK7 ELA6:ELA7 ELQ6:ELQ7 EMG6:EMG7 EMW6:EMW7 ENM6:ENM7 EOC6:EOC7 EOS6:EOS7 EPI6:EPI7 EPY6:EPY7 EQO6:EQO7 ERE6:ERE7 ERU6:ERU7 ESK6:ESK7 ETA6:ETA7 ETQ6:ETQ7 EUG6:EUG7 EUW6:EUW7 EVM6:EVM7 EWC6:EWC7 EWS6:EWS7 EXI6:EXI7 EXY6:EXY7 EYO6:EYO7 EZE6:EZE7 EZU6:EZU7 FAK6:FAK7 FBA6:FBA7 FBQ6:FBQ7 FCG6:FCG7 FCW6:FCW7 FDM6:FDM7 FEC6:FEC7 FES6:FES7 FFI6:FFI7 FFY6:FFY7 FGO6:FGO7 FHE6:FHE7 FHU6:FHU7 FIK6:FIK7 FJA6:FJA7 FJQ6:FJQ7 FKG6:FKG7 FKW6:FKW7 FLM6:FLM7 FMC6:FMC7 FMS6:FMS7 FNI6:FNI7 FNY6:FNY7 FOO6:FOO7 FPE6:FPE7 FPU6:FPU7 FQK6:FQK7 FRA6:FRA7 FRQ6:FRQ7 FSG6:FSG7 FSW6:FSW7 FTM6:FTM7 FUC6:FUC7 FUS6:FUS7 FVI6:FVI7 FVY6:FVY7 FWO6:FWO7 FXE6:FXE7 FXU6:FXU7 FYK6:FYK7 FZA6:FZA7 FZQ6:FZQ7 GAG6:GAG7 GAW6:GAW7 GBM6:GBM7 GCC6:GCC7 GCS6:GCS7 GDI6:GDI7 GDY6:GDY7 GEO6:GEO7 GFE6:GFE7 GFU6:GFU7 GGK6:GGK7 GHA6:GHA7 GHQ6:GHQ7 GIG6:GIG7 GIW6:GIW7 GJM6:GJM7 GKC6:GKC7 GKS6:GKS7 GLI6:GLI7 GLY6:GLY7 GMO6:GMO7 GNE6:GNE7 GNU6:GNU7 GOK6:GOK7 GPA6:GPA7 GPQ6:GPQ7 GQG6:GQG7 GQW6:GQW7 GRM6:GRM7 GSC6:GSC7 GSS6:GSS7 GTI6:GTI7 GTY6:GTY7 GUO6:GUO7 GVE6:GVE7 GVU6:GVU7 GWK6:GWK7 GXA6:GXA7 GXQ6:GXQ7 GYG6:GYG7 GYW6:GYW7 GZM6:GZM7 HAC6:HAC7 HAS6:HAS7 HBI6:HBI7 HBY6:HBY7 HCO6:HCO7 HDE6:HDE7 HDU6:HDU7 HEK6:HEK7 HFA6:HFA7 HFQ6:HFQ7 HGG6:HGG7 HGW6:HGW7 HHM6:HHM7 HIC6:HIC7 HIS6:HIS7 HJI6:HJI7 HJY6:HJY7 HKO6:HKO7 HLE6:HLE7 HLU6:HLU7 HMK6:HMK7 HNA6:HNA7 HNQ6:HNQ7 HOG6:HOG7 HOW6:HOW7 HPM6:HPM7 HQC6:HQC7 HQS6:HQS7 HRI6:HRI7 HRY6:HRY7 HSO6:HSO7 HTE6:HTE7 HTU6:HTU7 HUK6:HUK7 HVA6:HVA7 HVQ6:HVQ7 HWG6:HWG7 HWW6:HWW7 HXM6:HXM7 HYC6:HYC7 HYS6:HYS7 HZI6:HZI7 HZY6:HZY7 IAO6:IAO7 IBE6:IBE7 IBU6:IBU7 ICK6:ICK7 IDA6:IDA7 IDQ6:IDQ7 IEG6:IEG7 IEW6:IEW7 IFM6:IFM7 IGC6:IGC7 IGS6:IGS7 IHI6:IHI7 IHY6:IHY7 IIO6:IIO7 IJE6:IJE7 IJU6:IJU7 IKK6:IKK7 ILA6:ILA7 ILQ6:ILQ7 IMG6:IMG7 IMW6:IMW7 INM6:INM7 IOC6:IOC7 IOS6:IOS7 IPI6:IPI7 IPY6:IPY7 IQO6:IQO7 IRE6:IRE7 IRU6:IRU7 ISK6:ISK7 ITA6:ITA7 ITQ6:ITQ7 IUG6:IUG7 IUW6:IUW7 IVM6:IVM7 IWC6:IWC7 IWS6:IWS7 IXI6:IXI7 IXY6:IXY7 IYO6:IYO7 IZE6:IZE7 IZU6:IZU7 JAK6:JAK7 JBA6:JBA7 JBQ6:JBQ7 JCG6:JCG7 JCW6:JCW7 JDM6:JDM7 JEC6:JEC7 JES6:JES7 JFI6:JFI7 JFY6:JFY7 JGO6:JGO7 JHE6:JHE7 JHU6:JHU7 JIK6:JIK7 JJA6:JJA7 JJQ6:JJQ7 JKG6:JKG7 JKW6:JKW7 JLM6:JLM7 JMC6:JMC7 JMS6:JMS7 JNI6:JNI7 JNY6:JNY7 JOO6:JOO7 JPE6:JPE7 JPU6:JPU7 JQK6:JQK7 JRA6:JRA7 JRQ6:JRQ7 JSG6:JSG7 JSW6:JSW7 JTM6:JTM7 JUC6:JUC7 JUS6:JUS7 JVI6:JVI7 JVY6:JVY7 JWO6:JWO7 JXE6:JXE7 JXU6:JXU7 JYK6:JYK7 JZA6:JZA7 JZQ6:JZQ7 KAG6:KAG7 KAW6:KAW7 KBM6:KBM7 KCC6:KCC7 KCS6:KCS7 KDI6:KDI7 KDY6:KDY7 KEO6:KEO7 KFE6:KFE7 KFU6:KFU7 KGK6:KGK7 KHA6:KHA7 KHQ6:KHQ7 KIG6:KIG7 KIW6:KIW7 KJM6:KJM7 KKC6:KKC7 KKS6:KKS7 KLI6:KLI7 KLY6:KLY7 KMO6:KMO7 KNE6:KNE7 KNU6:KNU7 KOK6:KOK7 KPA6:KPA7 KPQ6:KPQ7 KQG6:KQG7 KQW6:KQW7 KRM6:KRM7 KSC6:KSC7 KSS6:KSS7 KTI6:KTI7 KTY6:KTY7 KUO6:KUO7 KVE6:KVE7 KVU6:KVU7 KWK6:KWK7 KXA6:KXA7 KXQ6:KXQ7 KYG6:KYG7 KYW6:KYW7 KZM6:KZM7 LAC6:LAC7 LAS6:LAS7 LBI6:LBI7 LBY6:LBY7 LCO6:LCO7 LDE6:LDE7 LDU6:LDU7 LEK6:LEK7 LFA6:LFA7 LFQ6:LFQ7 LGG6:LGG7 LGW6:LGW7 LHM6:LHM7 LIC6:LIC7 LIS6:LIS7 LJI6:LJI7 LJY6:LJY7 LKO6:LKO7 LLE6:LLE7 LLU6:LLU7 LMK6:LMK7 LNA6:LNA7 LNQ6:LNQ7 LOG6:LOG7 LOW6:LOW7 LPM6:LPM7 LQC6:LQC7 LQS6:LQS7 LRI6:LRI7 LRY6:LRY7 LSO6:LSO7 LTE6:LTE7 LTU6:LTU7 LUK6:LUK7 LVA6:LVA7 LVQ6:LVQ7 LWG6:LWG7 LWW6:LWW7 LXM6:LXM7 LYC6:LYC7 LYS6:LYS7 LZI6:LZI7 LZY6:LZY7 MAO6:MAO7 MBE6:MBE7 MBU6:MBU7 MCK6:MCK7 MDA6:MDA7 MDQ6:MDQ7 MEG6:MEG7 MEW6:MEW7 MFM6:MFM7 MGC6:MGC7 MGS6:MGS7 MHI6:MHI7 MHY6:MHY7 MIO6:MIO7 MJE6:MJE7 MJU6:MJU7 MKK6:MKK7 MLA6:MLA7 MLQ6:MLQ7 MMG6:MMG7 MMW6:MMW7 MNM6:MNM7 MOC6:MOC7 MOS6:MOS7 MPI6:MPI7 MPY6:MPY7 MQO6:MQO7 MRE6:MRE7 MRU6:MRU7 MSK6:MSK7 MTA6:MTA7 MTQ6:MTQ7 MUG6:MUG7 MUW6:MUW7 MVM6:MVM7 MWC6:MWC7 MWS6:MWS7 MXI6:MXI7 MXY6:MXY7 MYO6:MYO7 MZE6:MZE7 MZU6:MZU7 NAK6:NAK7 NBA6:NBA7 NBQ6:NBQ7 NCG6:NCG7 NCW6:NCW7 NDM6:NDM7 NEC6:NEC7 NES6:NES7 NFI6:NFI7 NFY6:NFY7 NGO6:NGO7 NHE6:NHE7 NHU6:NHU7 NIK6:NIK7 NJA6:NJA7 NJQ6:NJQ7 NKG6:NKG7 NKW6:NKW7 NLM6:NLM7 NMC6:NMC7 NMS6:NMS7 NNI6:NNI7 NNY6:NNY7 NOO6:NOO7 NPE6:NPE7 NPU6:NPU7 NQK6:NQK7 NRA6:NRA7 NRQ6:NRQ7 NSG6:NSG7 NSW6:NSW7 NTM6:NTM7 NUC6:NUC7 NUS6:NUS7 NVI6:NVI7 NVY6:NVY7 NWO6:NWO7 NXE6:NXE7 NXU6:NXU7 NYK6:NYK7 NZA6:NZA7 NZQ6:NZQ7 OAG6:OAG7 OAW6:OAW7 OBM6:OBM7 OCC6:OCC7 OCS6:OCS7 ODI6:ODI7 ODY6:ODY7 OEO6:OEO7 OFE6:OFE7 OFU6:OFU7 OGK6:OGK7 OHA6:OHA7 OHQ6:OHQ7 OIG6:OIG7 OIW6:OIW7 OJM6:OJM7 OKC6:OKC7 OKS6:OKS7 OLI6:OLI7 OLY6:OLY7 OMO6:OMO7 ONE6:ONE7 ONU6:ONU7 OOK6:OOK7 OPA6:OPA7 OPQ6:OPQ7 OQG6:OQG7 OQW6:OQW7 ORM6:ORM7 OSC6:OSC7 OSS6:OSS7 OTI6:OTI7 OTY6:OTY7 OUO6:OUO7 OVE6:OVE7 OVU6:OVU7 OWK6:OWK7 OXA6:OXA7 OXQ6:OXQ7 OYG6:OYG7 OYW6:OYW7 OZM6:OZM7 PAC6:PAC7 PAS6:PAS7 PBI6:PBI7 PBY6:PBY7 PCO6:PCO7 PDE6:PDE7 PDU6:PDU7 PEK6:PEK7 PFA6:PFA7 PFQ6:PFQ7 PGG6:PGG7 PGW6:PGW7 PHM6:PHM7 PIC6:PIC7 PIS6:PIS7 PJI6:PJI7 PJY6:PJY7 PKO6:PKO7 PLE6:PLE7 PLU6:PLU7 PMK6:PMK7 PNA6:PNA7 PNQ6:PNQ7 POG6:POG7 POW6:POW7 PPM6:PPM7 PQC6:PQC7 PQS6:PQS7 PRI6:PRI7 PRY6:PRY7 PSO6:PSO7 PTE6:PTE7 PTU6:PTU7 PUK6:PUK7 PVA6:PVA7 PVQ6:PVQ7 PWG6:PWG7 PWW6:PWW7 PXM6:PXM7 PYC6:PYC7 PYS6:PYS7 PZI6:PZI7 PZY6:PZY7 QAO6:QAO7 QBE6:QBE7 QBU6:QBU7 QCK6:QCK7 QDA6:QDA7 QDQ6:QDQ7 QEG6:QEG7 QEW6:QEW7 QFM6:QFM7 QGC6:QGC7 QGS6:QGS7 QHI6:QHI7 QHY6:QHY7 QIO6:QIO7 QJE6:QJE7 QJU6:QJU7 QKK6:QKK7 QLA6:QLA7 QLQ6:QLQ7 QMG6:QMG7 QMW6:QMW7 QNM6:QNM7 QOC6:QOC7 QOS6:QOS7 QPI6:QPI7 QPY6:QPY7 QQO6:QQO7 QRE6:QRE7 QRU6:QRU7 QSK6:QSK7 QTA6:QTA7 QTQ6:QTQ7 QUG6:QUG7 QUW6:QUW7 QVM6:QVM7 QWC6:QWC7 QWS6:QWS7 QXI6:QXI7 QXY6:QXY7 QYO6:QYO7 QZE6:QZE7 QZU6:QZU7 RAK6:RAK7 RBA6:RBA7 RBQ6:RBQ7 RCG6:RCG7 RCW6:RCW7 RDM6:RDM7 REC6:REC7 RES6:RES7 RFI6:RFI7 RFY6:RFY7 RGO6:RGO7 RHE6:RHE7 RHU6:RHU7 RIK6:RIK7 RJA6:RJA7 RJQ6:RJQ7 RKG6:RKG7 RKW6:RKW7 RLM6:RLM7 RMC6:RMC7 RMS6:RMS7 RNI6:RNI7 RNY6:RNY7 ROO6:ROO7 RPE6:RPE7 RPU6:RPU7 RQK6:RQK7 RRA6:RRA7 RRQ6:RRQ7 RSG6:RSG7 RSW6:RSW7 RTM6:RTM7 RUC6:RUC7 RUS6:RUS7 RVI6:RVI7 RVY6:RVY7 RWO6:RWO7 RXE6:RXE7 RXU6:RXU7 RYK6:RYK7 RZA6:RZA7 RZQ6:RZQ7 SAG6:SAG7 SAW6:SAW7 SBM6:SBM7 SCC6:SCC7 SCS6:SCS7 SDI6:SDI7 SDY6:SDY7 SEO6:SEO7 SFE6:SFE7 SFU6:SFU7 SGK6:SGK7 SHA6:SHA7 SHQ6:SHQ7 SIG6:SIG7 SIW6:SIW7 SJM6:SJM7 SKC6:SKC7 SKS6:SKS7 SLI6:SLI7 SLY6:SLY7 SMO6:SMO7 SNE6:SNE7 SNU6:SNU7 SOK6:SOK7 SPA6:SPA7 SPQ6:SPQ7 SQG6:SQG7 SQW6:SQW7 SRM6:SRM7 SSC6:SSC7 SSS6:SSS7 STI6:STI7 STY6:STY7 SUO6:SUO7 SVE6:SVE7 SVU6:SVU7 SWK6:SWK7 SXA6:SXA7 SXQ6:SXQ7 SYG6:SYG7 SYW6:SYW7 SZM6:SZM7 TAC6:TAC7 TAS6:TAS7 TBI6:TBI7 TBY6:TBY7 TCO6:TCO7 TDE6:TDE7 TDU6:TDU7 TEK6:TEK7 TFA6:TFA7 TFQ6:TFQ7 TGG6:TGG7 TGW6:TGW7 THM6:THM7 TIC6:TIC7 TIS6:TIS7 TJI6:TJI7 TJY6:TJY7 TKO6:TKO7 TLE6:TLE7 TLU6:TLU7 TMK6:TMK7 TNA6:TNA7 TNQ6:TNQ7 TOG6:TOG7 TOW6:TOW7 TPM6:TPM7 TQC6:TQC7 TQS6:TQS7 TRI6:TRI7 TRY6:TRY7 TSO6:TSO7 TTE6:TTE7 TTU6:TTU7 TUK6:TUK7 TVA6:TVA7 TVQ6:TVQ7 TWG6:TWG7 TWW6:TWW7 TXM6:TXM7 TYC6:TYC7 TYS6:TYS7 TZI6:TZI7 TZY6:TZY7 UAO6:UAO7 UBE6:UBE7 UBU6:UBU7 UCK6:UCK7 UDA6:UDA7 UDQ6:UDQ7 UEG6:UEG7 UEW6:UEW7 UFM6:UFM7 UGC6:UGC7 UGS6:UGS7 UHI6:UHI7 UHY6:UHY7 UIO6:UIO7 UJE6:UJE7 UJU6:UJU7 UKK6:UKK7 ULA6:ULA7 ULQ6:ULQ7 UMG6:UMG7 UMW6:UMW7 UNM6:UNM7 UOC6:UOC7 UOS6:UOS7 UPI6:UPI7 UPY6:UPY7 UQO6:UQO7 URE6:URE7 URU6:URU7 USK6:USK7 UTA6:UTA7 UTQ6:UTQ7 UUG6:UUG7 UUW6:UUW7 UVM6:UVM7 UWC6:UWC7 UWS6:UWS7 UXI6:UXI7 UXY6:UXY7 UYO6:UYO7 UZE6:UZE7 UZU6:UZU7 VAK6:VAK7 VBA6:VBA7 VBQ6:VBQ7 VCG6:VCG7 VCW6:VCW7 VDM6:VDM7 VEC6:VEC7 VES6:VES7 VFI6:VFI7 VFY6:VFY7 VGO6:VGO7 VHE6:VHE7 VHU6:VHU7 VIK6:VIK7 VJA6:VJA7 VJQ6:VJQ7 VKG6:VKG7 VKW6:VKW7 VLM6:VLM7 VMC6:VMC7 VMS6:VMS7 VNI6:VNI7 VNY6:VNY7 VOO6:VOO7 VPE6:VPE7 VPU6:VPU7 VQK6:VQK7 VRA6:VRA7 VRQ6:VRQ7 VSG6:VSG7 VSW6:VSW7 VTM6:VTM7 VUC6:VUC7 VUS6:VUS7 VVI6:VVI7 VVY6:VVY7 VWO6:VWO7 VXE6:VXE7 VXU6:VXU7 VYK6:VYK7 VZA6:VZA7 VZQ6:VZQ7 WAG6:WAG7 WAW6:WAW7 WBM6:WBM7 WCC6:WCC7 WCS6:WCS7 WDI6:WDI7 WDY6:WDY7 WEO6:WEO7 WFE6:WFE7 WFU6:WFU7 WGK6:WGK7 WHA6:WHA7 WHQ6:WHQ7 WIG6:WIG7 WIW6:WIW7 WJM6:WJM7 WKC6:WKC7 WKS6:WKS7 WLI6:WLI7 WLY6:WLY7 WMO6:WMO7 WNE6:WNE7 WNU6:WNU7 WOK6:WOK7 WPA6:WPA7 WPQ6:WPQ7 WQG6:WQG7 WQW6:WQW7 WRM6:WRM7 WSC6:WSC7 WSS6:WSS7 WTI6:WTI7 WTY6:WTY7 WUO6:WUO7 WVE6:WVE7 WVU6:WVU7 WWK6:WWK7 WXA6:WXA7 WXQ6:WXQ7 WYG6:WYG7 WYW6:WYW7 WZM6:WZM7 XAC6:XAC7 XAS6:XAS7 XBI6:XBI7 XBY6:XBY7 XCO6:XCO7 XDE6:XDE7 XDU6:XDU7 XEK6:XEK7 P3:P105 XFA33 AC33 AS33 BI33 BY33 CO33 DE33 DU33 EK33 FA33 FQ33 GG33 GW33 HM33 IC33 IS33 JI33 JY33 KO33 LE33 LU33 MK33 NA33 NQ33 OG33 OW33 PM33 QC33 QS33 RI33 RY33 SO33 TE33 TU33 UK33 VA33 VQ33 WG33 WW33 XM33 YC33 YS33 ZI33 ZY33 AAO33 ABE33 ABU33 ACK33 ADA33 ADQ33 AEG33 AEW33 AFM33 AGC33 AGS33 AHI33 AHY33 AIO33 AJE33 AJU33 AKK33 ALA33 ALQ33 AMG33 AMW33 ANM33 AOC33 AOS33 API33 APY33 AQO33 ARE33 ARU33 ASK33 ATA33 ATQ33 AUG33 AUW33 AVM33 AWC33 AWS33 AXI33 AXY33 AYO33 AZE33 AZU33 BAK33 BBA33 BBQ33 BCG33 BCW33 BDM33 BEC33 BES33 BFI33 BFY33 BGO33 BHE33 BHU33 BIK33 BJA33 BJQ33 BKG33 BKW33 BLM33 BMC33 BMS33 BNI33 BNY33 BOO33 BPE33 BPU33 BQK33 BRA33 BRQ33 BSG33 BSW33 BTM33 BUC33 BUS33 BVI33 BVY33 BWO33 BXE33 BXU33 BYK33 BZA33 BZQ33 CAG33 CAW33 CBM33 CCC33 CCS33 CDI33 CDY33 CEO33 CFE33 CFU33 CGK33 CHA33 CHQ33 CIG33 CIW33 CJM33 CKC33 CKS33 CLI33 CLY33 CMO33 CNE33 CNU33 COK33 CPA33 CPQ33 CQG33 CQW33 CRM33 CSC33 CSS33 CTI33 CTY33 CUO33 CVE33 CVU33 CWK33 CXA33 CXQ33 CYG33 CYW33 CZM33 DAC33 DAS33 DBI33 DBY33 DCO33 DDE33 DDU33 DEK33 DFA33 DFQ33 DGG33 DGW33 DHM33 DIC33 DIS33 DJI33 DJY33 DKO33 DLE33 DLU33 DMK33 DNA33 DNQ33 DOG33 DOW33 DPM33 DQC33 DQS33 DRI33 DRY33 DSO33 DTE33 DTU33 DUK33 DVA33 DVQ33 DWG33 DWW33 DXM33 DYC33 DYS33 DZI33 DZY33 EAO33 EBE33 EBU33 ECK33 EDA33 EDQ33 EEG33 EEW33 EFM33 EGC33 EGS33 EHI33 EHY33 EIO33 EJE33 EJU33 EKK33 ELA33 ELQ33 EMG33 EMW33 ENM33 EOC33 EOS33 EPI33 EPY33 EQO33 ERE33 ERU33 ESK33 ETA33 ETQ33 EUG33 EUW33 EVM33 EWC33 EWS33 EXI33 EXY33 EYO33 EZE33 EZU33 FAK33 FBA33 FBQ33 FCG33 FCW33 FDM33 FEC33 FES33 FFI33 FFY33 FGO33 FHE33 FHU33 FIK33 FJA33 FJQ33 FKG33 FKW33 FLM33 FMC33 FMS33 FNI33 FNY33 FOO33 FPE33 FPU33 FQK33 FRA33 FRQ33 FSG33 FSW33 FTM33 FUC33 FUS33 FVI33 FVY33 FWO33 FXE33 FXU33 FYK33 FZA33 FZQ33 GAG33 GAW33 GBM33 GCC33 GCS33 GDI33 GDY33 GEO33 GFE33 GFU33 GGK33 GHA33 GHQ33 GIG33 GIW33 GJM33 GKC33 GKS33 GLI33 GLY33 GMO33 GNE33 GNU33 GOK33 GPA33 GPQ33 GQG33 GQW33 GRM33 GSC33 GSS33 GTI33 GTY33 GUO33 GVE33 GVU33 GWK33 GXA33 GXQ33 GYG33 GYW33 GZM33 HAC33 HAS33 HBI33 HBY33 HCO33 HDE33 HDU33 HEK33 HFA33 HFQ33 HGG33 HGW33 HHM33 HIC33 HIS33 HJI33 HJY33 HKO33 HLE33 HLU33 HMK33 HNA33 HNQ33 HOG33 HOW33 HPM33 HQC33 HQS33 HRI33 HRY33 HSO33 HTE33 HTU33 HUK33 HVA33 HVQ33 HWG33 HWW33 HXM33 HYC33 HYS33 HZI33 HZY33 IAO33 IBE33 IBU33 ICK33 IDA33 IDQ33 IEG33 IEW33 IFM33 IGC33 IGS33 IHI33 IHY33 IIO33 IJE33 IJU33 IKK33 ILA33 ILQ33 IMG33 IMW33 INM33 IOC33 IOS33 IPI33 IPY33 IQO33 IRE33 IRU33 ISK33 ITA33 ITQ33 IUG33 IUW33 IVM33 IWC33 IWS33 IXI33 IXY33 IYO33 IZE33 IZU33 JAK33 JBA33 JBQ33 JCG33 JCW33 JDM33 JEC33 JES33 JFI33 JFY33 JGO33 JHE33 JHU33 JIK33 JJA33 JJQ33 JKG33 JKW33 JLM33 JMC33 JMS33 JNI33 JNY33 JOO33 JPE33 JPU33 JQK33 JRA33 JRQ33 JSG33 JSW33 JTM33 JUC33 JUS33 JVI33 JVY33 JWO33 JXE33 JXU33 JYK33 JZA33 JZQ33 KAG33 KAW33 KBM33 KCC33 KCS33 KDI33 KDY33 KEO33 KFE33 KFU33 KGK33 KHA33 KHQ33 KIG33 KIW33 KJM33 KKC33 KKS33 KLI33 KLY33 KMO33 KNE33 KNU33 KOK33 KPA33 KPQ33 KQG33 KQW33 KRM33 KSC33 KSS33 KTI33 KTY33 KUO33 KVE33 KVU33 KWK33 KXA33 KXQ33 KYG33 KYW33 KZM33 LAC33 LAS33 LBI33 LBY33 LCO33 LDE33 LDU33 LEK33 LFA33 LFQ33 LGG33 LGW33 LHM33 LIC33 LIS33 LJI33 LJY33 LKO33 LLE33 LLU33 LMK33 LNA33 LNQ33 LOG33 LOW33 LPM33 LQC33 LQS33 LRI33 LRY33 LSO33 LTE33 LTU33 LUK33 LVA33 LVQ33 LWG33 LWW33 LXM33 LYC33 LYS33 LZI33 LZY33 MAO33 MBE33 MBU33 MCK33 MDA33 MDQ33 MEG33 MEW33 MFM33 MGC33 MGS33 MHI33 MHY33 MIO33 MJE33 MJU33 MKK33 MLA33 MLQ33 MMG33 MMW33 MNM33 MOC33 MOS33 MPI33 MPY33 MQO33 MRE33 MRU33 MSK33 MTA33 MTQ33 MUG33 MUW33 MVM33 MWC33 MWS33 MXI33 MXY33 MYO33 MZE33 MZU33 NAK33 NBA33 NBQ33 NCG33 NCW33 NDM33 NEC33 NES33 NFI33 NFY33 NGO33 NHE33 NHU33 NIK33 NJA33 NJQ33 NKG33 NKW33 NLM33 NMC33 NMS33 NNI33 NNY33 NOO33 NPE33 NPU33 NQK33 NRA33 NRQ33 NSG33 NSW33 NTM33 NUC33 NUS33 NVI33 NVY33 NWO33 NXE33 NXU33 NYK33 NZA33 NZQ33 OAG33 OAW33 OBM33 OCC33 OCS33 ODI33 ODY33 OEO33 OFE33 OFU33 OGK33 OHA33 OHQ33 OIG33 OIW33 OJM33 OKC33 OKS33 OLI33 OLY33 OMO33 ONE33 ONU33 OOK33 OPA33 OPQ33 OQG33 OQW33 ORM33 OSC33 OSS33 OTI33 OTY33 OUO33 OVE33 OVU33 OWK33 OXA33 OXQ33 OYG33 OYW33 OZM33 PAC33 PAS33 PBI33 PBY33 PCO33 PDE33 PDU33 PEK33 PFA33 PFQ33 PGG33 PGW33 PHM33 PIC33 PIS33 PJI33 PJY33 PKO33 PLE33 PLU33 PMK33 PNA33 PNQ33 POG33 POW33 PPM33 PQC33 PQS33 PRI33 PRY33 PSO33 PTE33 PTU33 PUK33 PVA33 PVQ33 PWG33 PWW33 PXM33 PYC33 PYS33 PZI33 PZY33 QAO33 QBE33 QBU33 QCK33 QDA33 QDQ33 QEG33 QEW33 QFM33 QGC33 QGS33 QHI33 QHY33 QIO33 QJE33 QJU33 QKK33 QLA33 QLQ33 QMG33 QMW33 QNM33 QOC33 QOS33 QPI33 QPY33 QQO33 QRE33 QRU33 QSK33 QTA33 QTQ33 QUG33 QUW33 QVM33 QWC33 QWS33 QXI33 QXY33 QYO33 QZE33 QZU33 RAK33 RBA33 RBQ33 RCG33 RCW33 RDM33 REC33 RES33 RFI33 RFY33 RGO33 RHE33 RHU33 RIK33 RJA33 RJQ33 RKG33 RKW33 RLM33 RMC33 RMS33 RNI33 RNY33 ROO33 RPE33 RPU33 RQK33 RRA33 RRQ33 RSG33 RSW33 RTM33 RUC33 RUS33 RVI33 RVY33 RWO33 RXE33 RXU33 RYK33 RZA33 RZQ33 SAG33 SAW33 SBM33 SCC33 SCS33 SDI33 SDY33 SEO33 SFE33 SFU33 SGK33 SHA33 SHQ33 SIG33 SIW33 SJM33 SKC33 SKS33 SLI33 SLY33 SMO33 SNE33 SNU33 SOK33 SPA33 SPQ33 SQG33 SQW33 SRM33 SSC33 SSS33 STI33 STY33 SUO33 SVE33 SVU33 SWK33 SXA33 SXQ33 SYG33 SYW33 SZM33 TAC33 TAS33 TBI33 TBY33 TCO33 TDE33 TDU33 TEK33 TFA33 TFQ33 TGG33 TGW33 THM33 TIC33 TIS33 TJI33 TJY33 TKO33 TLE33 TLU33 TMK33 TNA33 TNQ33 TOG33 TOW33 TPM33 TQC33 TQS33 TRI33 TRY33 TSO33 TTE33 TTU33 TUK33 TVA33 TVQ33 TWG33 TWW33 TXM33 TYC33 TYS33 TZI33 TZY33 UAO33 UBE33 UBU33 UCK33 UDA33 UDQ33 UEG33 UEW33 UFM33 UGC33 UGS33 UHI33 UHY33 UIO33 UJE33 UJU33 UKK33 ULA33 ULQ33 UMG33 UMW33 UNM33 UOC33 UOS33 UPI33 UPY33 UQO33 URE33 URU33 USK33 UTA33 UTQ33 UUG33 UUW33 UVM33 UWC33 UWS33 UXI33 UXY33 UYO33 UZE33 UZU33 VAK33 VBA33 VBQ33 VCG33 VCW33 VDM33 VEC33 VES33 VFI33 VFY33 VGO33 VHE33 VHU33 VIK33 VJA33 VJQ33 VKG33 VKW33 VLM33 VMC33 VMS33 VNI33 VNY33 VOO33 VPE33 VPU33 VQK33 VRA33 VRQ33 VSG33 VSW33 VTM33 VUC33 VUS33 VVI33 VVY33 VWO33 VXE33 VXU33 VYK33 VZA33 VZQ33 WAG33 WAW33 WBM33 WCC33 WCS33 WDI33 WDY33 WEO33 WFE33 WFU33 WGK33 WHA33 WHQ33 WIG33 WIW33 WJM33 WKC33 WKS33 WLI33 WLY33 WMO33 WNE33 WNU33 WOK33 WPA33 WPQ33 WQG33 WQW33 WRM33 WSC33 WSS33 WTI33 WTY33 WUO33 WVE33 WVU33 WWK33 WXA33 WXQ33 WYG33 WYW33 WZM33 XAC33 XAS33 XBI33 XBY33 XCO33 XDE33 XDU33 XEK33" xr:uid="{00000000-0002-0000-1700-000001000000}">
      <formula1>"Form sent,NA"</formula1>
    </dataValidation>
    <dataValidation type="list" allowBlank="1" sqref="XFB6:XFB7 AD6:AD7 AT6:AT7 BJ6:BJ7 BZ6:BZ7 CP6:CP7 DF6:DF7 DV6:DV7 EL6:EL7 FB6:FB7 FR6:FR7 GH6:GH7 GX6:GX7 HN6:HN7 ID6:ID7 IT6:IT7 JJ6:JJ7 JZ6:JZ7 KP6:KP7 LF6:LF7 LV6:LV7 ML6:ML7 NB6:NB7 NR6:NR7 OH6:OH7 OX6:OX7 PN6:PN7 QD6:QD7 QT6:QT7 RJ6:RJ7 RZ6:RZ7 SP6:SP7 TF6:TF7 TV6:TV7 UL6:UL7 VB6:VB7 VR6:VR7 WH6:WH7 WX6:WX7 XN6:XN7 YD6:YD7 YT6:YT7 ZJ6:ZJ7 ZZ6:ZZ7 AAP6:AAP7 ABF6:ABF7 ABV6:ABV7 ACL6:ACL7 ADB6:ADB7 ADR6:ADR7 AEH6:AEH7 AEX6:AEX7 AFN6:AFN7 AGD6:AGD7 AGT6:AGT7 AHJ6:AHJ7 AHZ6:AHZ7 AIP6:AIP7 AJF6:AJF7 AJV6:AJV7 AKL6:AKL7 ALB6:ALB7 ALR6:ALR7 AMH6:AMH7 AMX6:AMX7 ANN6:ANN7 AOD6:AOD7 AOT6:AOT7 APJ6:APJ7 APZ6:APZ7 AQP6:AQP7 ARF6:ARF7 ARV6:ARV7 ASL6:ASL7 ATB6:ATB7 ATR6:ATR7 AUH6:AUH7 AUX6:AUX7 AVN6:AVN7 AWD6:AWD7 AWT6:AWT7 AXJ6:AXJ7 AXZ6:AXZ7 AYP6:AYP7 AZF6:AZF7 AZV6:AZV7 BAL6:BAL7 BBB6:BBB7 BBR6:BBR7 BCH6:BCH7 BCX6:BCX7 BDN6:BDN7 BED6:BED7 BET6:BET7 BFJ6:BFJ7 BFZ6:BFZ7 BGP6:BGP7 BHF6:BHF7 BHV6:BHV7 BIL6:BIL7 BJB6:BJB7 BJR6:BJR7 BKH6:BKH7 BKX6:BKX7 BLN6:BLN7 BMD6:BMD7 BMT6:BMT7 BNJ6:BNJ7 BNZ6:BNZ7 BOP6:BOP7 BPF6:BPF7 BPV6:BPV7 BQL6:BQL7 BRB6:BRB7 BRR6:BRR7 BSH6:BSH7 BSX6:BSX7 BTN6:BTN7 BUD6:BUD7 BUT6:BUT7 BVJ6:BVJ7 BVZ6:BVZ7 BWP6:BWP7 BXF6:BXF7 BXV6:BXV7 BYL6:BYL7 BZB6:BZB7 BZR6:BZR7 CAH6:CAH7 CAX6:CAX7 CBN6:CBN7 CCD6:CCD7 CCT6:CCT7 CDJ6:CDJ7 CDZ6:CDZ7 CEP6:CEP7 CFF6:CFF7 CFV6:CFV7 CGL6:CGL7 CHB6:CHB7 CHR6:CHR7 CIH6:CIH7 CIX6:CIX7 CJN6:CJN7 CKD6:CKD7 CKT6:CKT7 CLJ6:CLJ7 CLZ6:CLZ7 CMP6:CMP7 CNF6:CNF7 CNV6:CNV7 COL6:COL7 CPB6:CPB7 CPR6:CPR7 CQH6:CQH7 CQX6:CQX7 CRN6:CRN7 CSD6:CSD7 CST6:CST7 CTJ6:CTJ7 CTZ6:CTZ7 CUP6:CUP7 CVF6:CVF7 CVV6:CVV7 CWL6:CWL7 CXB6:CXB7 CXR6:CXR7 CYH6:CYH7 CYX6:CYX7 CZN6:CZN7 DAD6:DAD7 DAT6:DAT7 DBJ6:DBJ7 DBZ6:DBZ7 DCP6:DCP7 DDF6:DDF7 DDV6:DDV7 DEL6:DEL7 DFB6:DFB7 DFR6:DFR7 DGH6:DGH7 DGX6:DGX7 DHN6:DHN7 DID6:DID7 DIT6:DIT7 DJJ6:DJJ7 DJZ6:DJZ7 DKP6:DKP7 DLF6:DLF7 DLV6:DLV7 DML6:DML7 DNB6:DNB7 DNR6:DNR7 DOH6:DOH7 DOX6:DOX7 DPN6:DPN7 DQD6:DQD7 DQT6:DQT7 DRJ6:DRJ7 DRZ6:DRZ7 DSP6:DSP7 DTF6:DTF7 DTV6:DTV7 DUL6:DUL7 DVB6:DVB7 DVR6:DVR7 DWH6:DWH7 DWX6:DWX7 DXN6:DXN7 DYD6:DYD7 DYT6:DYT7 DZJ6:DZJ7 DZZ6:DZZ7 EAP6:EAP7 EBF6:EBF7 EBV6:EBV7 ECL6:ECL7 EDB6:EDB7 EDR6:EDR7 EEH6:EEH7 EEX6:EEX7 EFN6:EFN7 EGD6:EGD7 EGT6:EGT7 EHJ6:EHJ7 EHZ6:EHZ7 EIP6:EIP7 EJF6:EJF7 EJV6:EJV7 EKL6:EKL7 ELB6:ELB7 ELR6:ELR7 EMH6:EMH7 EMX6:EMX7 ENN6:ENN7 EOD6:EOD7 EOT6:EOT7 EPJ6:EPJ7 EPZ6:EPZ7 EQP6:EQP7 ERF6:ERF7 ERV6:ERV7 ESL6:ESL7 ETB6:ETB7 ETR6:ETR7 EUH6:EUH7 EUX6:EUX7 EVN6:EVN7 EWD6:EWD7 EWT6:EWT7 EXJ6:EXJ7 EXZ6:EXZ7 EYP6:EYP7 EZF6:EZF7 EZV6:EZV7 FAL6:FAL7 FBB6:FBB7 FBR6:FBR7 FCH6:FCH7 FCX6:FCX7 FDN6:FDN7 FED6:FED7 FET6:FET7 FFJ6:FFJ7 FFZ6:FFZ7 FGP6:FGP7 FHF6:FHF7 FHV6:FHV7 FIL6:FIL7 FJB6:FJB7 FJR6:FJR7 FKH6:FKH7 FKX6:FKX7 FLN6:FLN7 FMD6:FMD7 FMT6:FMT7 FNJ6:FNJ7 FNZ6:FNZ7 FOP6:FOP7 FPF6:FPF7 FPV6:FPV7 FQL6:FQL7 FRB6:FRB7 FRR6:FRR7 FSH6:FSH7 FSX6:FSX7 FTN6:FTN7 FUD6:FUD7 FUT6:FUT7 FVJ6:FVJ7 FVZ6:FVZ7 FWP6:FWP7 FXF6:FXF7 FXV6:FXV7 FYL6:FYL7 FZB6:FZB7 FZR6:FZR7 GAH6:GAH7 GAX6:GAX7 GBN6:GBN7 GCD6:GCD7 GCT6:GCT7 GDJ6:GDJ7 GDZ6:GDZ7 GEP6:GEP7 GFF6:GFF7 GFV6:GFV7 GGL6:GGL7 GHB6:GHB7 GHR6:GHR7 GIH6:GIH7 GIX6:GIX7 GJN6:GJN7 GKD6:GKD7 GKT6:GKT7 GLJ6:GLJ7 GLZ6:GLZ7 GMP6:GMP7 GNF6:GNF7 GNV6:GNV7 GOL6:GOL7 GPB6:GPB7 GPR6:GPR7 GQH6:GQH7 GQX6:GQX7 GRN6:GRN7 GSD6:GSD7 GST6:GST7 GTJ6:GTJ7 GTZ6:GTZ7 GUP6:GUP7 GVF6:GVF7 GVV6:GVV7 GWL6:GWL7 GXB6:GXB7 GXR6:GXR7 GYH6:GYH7 GYX6:GYX7 GZN6:GZN7 HAD6:HAD7 HAT6:HAT7 HBJ6:HBJ7 HBZ6:HBZ7 HCP6:HCP7 HDF6:HDF7 HDV6:HDV7 HEL6:HEL7 HFB6:HFB7 HFR6:HFR7 HGH6:HGH7 HGX6:HGX7 HHN6:HHN7 HID6:HID7 HIT6:HIT7 HJJ6:HJJ7 HJZ6:HJZ7 HKP6:HKP7 HLF6:HLF7 HLV6:HLV7 HML6:HML7 HNB6:HNB7 HNR6:HNR7 HOH6:HOH7 HOX6:HOX7 HPN6:HPN7 HQD6:HQD7 HQT6:HQT7 HRJ6:HRJ7 HRZ6:HRZ7 HSP6:HSP7 HTF6:HTF7 HTV6:HTV7 HUL6:HUL7 HVB6:HVB7 HVR6:HVR7 HWH6:HWH7 HWX6:HWX7 HXN6:HXN7 HYD6:HYD7 HYT6:HYT7 HZJ6:HZJ7 HZZ6:HZZ7 IAP6:IAP7 IBF6:IBF7 IBV6:IBV7 ICL6:ICL7 IDB6:IDB7 IDR6:IDR7 IEH6:IEH7 IEX6:IEX7 IFN6:IFN7 IGD6:IGD7 IGT6:IGT7 IHJ6:IHJ7 IHZ6:IHZ7 IIP6:IIP7 IJF6:IJF7 IJV6:IJV7 IKL6:IKL7 ILB6:ILB7 ILR6:ILR7 IMH6:IMH7 IMX6:IMX7 INN6:INN7 IOD6:IOD7 IOT6:IOT7 IPJ6:IPJ7 IPZ6:IPZ7 IQP6:IQP7 IRF6:IRF7 IRV6:IRV7 ISL6:ISL7 ITB6:ITB7 ITR6:ITR7 IUH6:IUH7 IUX6:IUX7 IVN6:IVN7 IWD6:IWD7 IWT6:IWT7 IXJ6:IXJ7 IXZ6:IXZ7 IYP6:IYP7 IZF6:IZF7 IZV6:IZV7 JAL6:JAL7 JBB6:JBB7 JBR6:JBR7 JCH6:JCH7 JCX6:JCX7 JDN6:JDN7 JED6:JED7 JET6:JET7 JFJ6:JFJ7 JFZ6:JFZ7 JGP6:JGP7 JHF6:JHF7 JHV6:JHV7 JIL6:JIL7 JJB6:JJB7 JJR6:JJR7 JKH6:JKH7 JKX6:JKX7 JLN6:JLN7 JMD6:JMD7 JMT6:JMT7 JNJ6:JNJ7 JNZ6:JNZ7 JOP6:JOP7 JPF6:JPF7 JPV6:JPV7 JQL6:JQL7 JRB6:JRB7 JRR6:JRR7 JSH6:JSH7 JSX6:JSX7 JTN6:JTN7 JUD6:JUD7 JUT6:JUT7 JVJ6:JVJ7 JVZ6:JVZ7 JWP6:JWP7 JXF6:JXF7 JXV6:JXV7 JYL6:JYL7 JZB6:JZB7 JZR6:JZR7 KAH6:KAH7 KAX6:KAX7 KBN6:KBN7 KCD6:KCD7 KCT6:KCT7 KDJ6:KDJ7 KDZ6:KDZ7 KEP6:KEP7 KFF6:KFF7 KFV6:KFV7 KGL6:KGL7 KHB6:KHB7 KHR6:KHR7 KIH6:KIH7 KIX6:KIX7 KJN6:KJN7 KKD6:KKD7 KKT6:KKT7 KLJ6:KLJ7 KLZ6:KLZ7 KMP6:KMP7 KNF6:KNF7 KNV6:KNV7 KOL6:KOL7 KPB6:KPB7 KPR6:KPR7 KQH6:KQH7 KQX6:KQX7 KRN6:KRN7 KSD6:KSD7 KST6:KST7 KTJ6:KTJ7 KTZ6:KTZ7 KUP6:KUP7 KVF6:KVF7 KVV6:KVV7 KWL6:KWL7 KXB6:KXB7 KXR6:KXR7 KYH6:KYH7 KYX6:KYX7 KZN6:KZN7 LAD6:LAD7 LAT6:LAT7 LBJ6:LBJ7 LBZ6:LBZ7 LCP6:LCP7 LDF6:LDF7 LDV6:LDV7 LEL6:LEL7 LFB6:LFB7 LFR6:LFR7 LGH6:LGH7 LGX6:LGX7 LHN6:LHN7 LID6:LID7 LIT6:LIT7 LJJ6:LJJ7 LJZ6:LJZ7 LKP6:LKP7 LLF6:LLF7 LLV6:LLV7 LML6:LML7 LNB6:LNB7 LNR6:LNR7 LOH6:LOH7 LOX6:LOX7 LPN6:LPN7 LQD6:LQD7 LQT6:LQT7 LRJ6:LRJ7 LRZ6:LRZ7 LSP6:LSP7 LTF6:LTF7 LTV6:LTV7 LUL6:LUL7 LVB6:LVB7 LVR6:LVR7 LWH6:LWH7 LWX6:LWX7 LXN6:LXN7 LYD6:LYD7 LYT6:LYT7 LZJ6:LZJ7 LZZ6:LZZ7 MAP6:MAP7 MBF6:MBF7 MBV6:MBV7 MCL6:MCL7 MDB6:MDB7 MDR6:MDR7 MEH6:MEH7 MEX6:MEX7 MFN6:MFN7 MGD6:MGD7 MGT6:MGT7 MHJ6:MHJ7 MHZ6:MHZ7 MIP6:MIP7 MJF6:MJF7 MJV6:MJV7 MKL6:MKL7 MLB6:MLB7 MLR6:MLR7 MMH6:MMH7 MMX6:MMX7 MNN6:MNN7 MOD6:MOD7 MOT6:MOT7 MPJ6:MPJ7 MPZ6:MPZ7 MQP6:MQP7 MRF6:MRF7 MRV6:MRV7 MSL6:MSL7 MTB6:MTB7 MTR6:MTR7 MUH6:MUH7 MUX6:MUX7 MVN6:MVN7 MWD6:MWD7 MWT6:MWT7 MXJ6:MXJ7 MXZ6:MXZ7 MYP6:MYP7 MZF6:MZF7 MZV6:MZV7 NAL6:NAL7 NBB6:NBB7 NBR6:NBR7 NCH6:NCH7 NCX6:NCX7 NDN6:NDN7 NED6:NED7 NET6:NET7 NFJ6:NFJ7 NFZ6:NFZ7 NGP6:NGP7 NHF6:NHF7 NHV6:NHV7 NIL6:NIL7 NJB6:NJB7 NJR6:NJR7 NKH6:NKH7 NKX6:NKX7 NLN6:NLN7 NMD6:NMD7 NMT6:NMT7 NNJ6:NNJ7 NNZ6:NNZ7 NOP6:NOP7 NPF6:NPF7 NPV6:NPV7 NQL6:NQL7 NRB6:NRB7 NRR6:NRR7 NSH6:NSH7 NSX6:NSX7 NTN6:NTN7 NUD6:NUD7 NUT6:NUT7 NVJ6:NVJ7 NVZ6:NVZ7 NWP6:NWP7 NXF6:NXF7 NXV6:NXV7 NYL6:NYL7 NZB6:NZB7 NZR6:NZR7 OAH6:OAH7 OAX6:OAX7 OBN6:OBN7 OCD6:OCD7 OCT6:OCT7 ODJ6:ODJ7 ODZ6:ODZ7 OEP6:OEP7 OFF6:OFF7 OFV6:OFV7 OGL6:OGL7 OHB6:OHB7 OHR6:OHR7 OIH6:OIH7 OIX6:OIX7 OJN6:OJN7 OKD6:OKD7 OKT6:OKT7 OLJ6:OLJ7 OLZ6:OLZ7 OMP6:OMP7 ONF6:ONF7 ONV6:ONV7 OOL6:OOL7 OPB6:OPB7 OPR6:OPR7 OQH6:OQH7 OQX6:OQX7 ORN6:ORN7 OSD6:OSD7 OST6:OST7 OTJ6:OTJ7 OTZ6:OTZ7 OUP6:OUP7 OVF6:OVF7 OVV6:OVV7 OWL6:OWL7 OXB6:OXB7 OXR6:OXR7 OYH6:OYH7 OYX6:OYX7 OZN6:OZN7 PAD6:PAD7 PAT6:PAT7 PBJ6:PBJ7 PBZ6:PBZ7 PCP6:PCP7 PDF6:PDF7 PDV6:PDV7 PEL6:PEL7 PFB6:PFB7 PFR6:PFR7 PGH6:PGH7 PGX6:PGX7 PHN6:PHN7 PID6:PID7 PIT6:PIT7 PJJ6:PJJ7 PJZ6:PJZ7 PKP6:PKP7 PLF6:PLF7 PLV6:PLV7 PML6:PML7 PNB6:PNB7 PNR6:PNR7 POH6:POH7 POX6:POX7 PPN6:PPN7 PQD6:PQD7 PQT6:PQT7 PRJ6:PRJ7 PRZ6:PRZ7 PSP6:PSP7 PTF6:PTF7 PTV6:PTV7 PUL6:PUL7 PVB6:PVB7 PVR6:PVR7 PWH6:PWH7 PWX6:PWX7 PXN6:PXN7 PYD6:PYD7 PYT6:PYT7 PZJ6:PZJ7 PZZ6:PZZ7 QAP6:QAP7 QBF6:QBF7 QBV6:QBV7 QCL6:QCL7 QDB6:QDB7 QDR6:QDR7 QEH6:QEH7 QEX6:QEX7 QFN6:QFN7 QGD6:QGD7 QGT6:QGT7 QHJ6:QHJ7 QHZ6:QHZ7 QIP6:QIP7 QJF6:QJF7 QJV6:QJV7 QKL6:QKL7 QLB6:QLB7 QLR6:QLR7 QMH6:QMH7 QMX6:QMX7 QNN6:QNN7 QOD6:QOD7 QOT6:QOT7 QPJ6:QPJ7 QPZ6:QPZ7 QQP6:QQP7 QRF6:QRF7 QRV6:QRV7 QSL6:QSL7 QTB6:QTB7 QTR6:QTR7 QUH6:QUH7 QUX6:QUX7 QVN6:QVN7 QWD6:QWD7 QWT6:QWT7 QXJ6:QXJ7 QXZ6:QXZ7 QYP6:QYP7 QZF6:QZF7 QZV6:QZV7 RAL6:RAL7 RBB6:RBB7 RBR6:RBR7 RCH6:RCH7 RCX6:RCX7 RDN6:RDN7 RED6:RED7 RET6:RET7 RFJ6:RFJ7 RFZ6:RFZ7 RGP6:RGP7 RHF6:RHF7 RHV6:RHV7 RIL6:RIL7 RJB6:RJB7 RJR6:RJR7 RKH6:RKH7 RKX6:RKX7 RLN6:RLN7 RMD6:RMD7 RMT6:RMT7 RNJ6:RNJ7 RNZ6:RNZ7 ROP6:ROP7 RPF6:RPF7 RPV6:RPV7 RQL6:RQL7 RRB6:RRB7 RRR6:RRR7 RSH6:RSH7 RSX6:RSX7 RTN6:RTN7 RUD6:RUD7 RUT6:RUT7 RVJ6:RVJ7 RVZ6:RVZ7 RWP6:RWP7 RXF6:RXF7 RXV6:RXV7 RYL6:RYL7 RZB6:RZB7 RZR6:RZR7 SAH6:SAH7 SAX6:SAX7 SBN6:SBN7 SCD6:SCD7 SCT6:SCT7 SDJ6:SDJ7 SDZ6:SDZ7 SEP6:SEP7 SFF6:SFF7 SFV6:SFV7 SGL6:SGL7 SHB6:SHB7 SHR6:SHR7 SIH6:SIH7 SIX6:SIX7 SJN6:SJN7 SKD6:SKD7 SKT6:SKT7 SLJ6:SLJ7 SLZ6:SLZ7 SMP6:SMP7 SNF6:SNF7 SNV6:SNV7 SOL6:SOL7 SPB6:SPB7 SPR6:SPR7 SQH6:SQH7 SQX6:SQX7 SRN6:SRN7 SSD6:SSD7 SST6:SST7 STJ6:STJ7 STZ6:STZ7 SUP6:SUP7 SVF6:SVF7 SVV6:SVV7 SWL6:SWL7 SXB6:SXB7 SXR6:SXR7 SYH6:SYH7 SYX6:SYX7 SZN6:SZN7 TAD6:TAD7 TAT6:TAT7 TBJ6:TBJ7 TBZ6:TBZ7 TCP6:TCP7 TDF6:TDF7 TDV6:TDV7 TEL6:TEL7 TFB6:TFB7 TFR6:TFR7 TGH6:TGH7 TGX6:TGX7 THN6:THN7 TID6:TID7 TIT6:TIT7 TJJ6:TJJ7 TJZ6:TJZ7 TKP6:TKP7 TLF6:TLF7 TLV6:TLV7 TML6:TML7 TNB6:TNB7 TNR6:TNR7 TOH6:TOH7 TOX6:TOX7 TPN6:TPN7 TQD6:TQD7 TQT6:TQT7 TRJ6:TRJ7 TRZ6:TRZ7 TSP6:TSP7 TTF6:TTF7 TTV6:TTV7 TUL6:TUL7 TVB6:TVB7 TVR6:TVR7 TWH6:TWH7 TWX6:TWX7 TXN6:TXN7 TYD6:TYD7 TYT6:TYT7 TZJ6:TZJ7 TZZ6:TZZ7 UAP6:UAP7 UBF6:UBF7 UBV6:UBV7 UCL6:UCL7 UDB6:UDB7 UDR6:UDR7 UEH6:UEH7 UEX6:UEX7 UFN6:UFN7 UGD6:UGD7 UGT6:UGT7 UHJ6:UHJ7 UHZ6:UHZ7 UIP6:UIP7 UJF6:UJF7 UJV6:UJV7 UKL6:UKL7 ULB6:ULB7 ULR6:ULR7 UMH6:UMH7 UMX6:UMX7 UNN6:UNN7 UOD6:UOD7 UOT6:UOT7 UPJ6:UPJ7 UPZ6:UPZ7 UQP6:UQP7 URF6:URF7 URV6:URV7 USL6:USL7 UTB6:UTB7 UTR6:UTR7 UUH6:UUH7 UUX6:UUX7 UVN6:UVN7 UWD6:UWD7 UWT6:UWT7 UXJ6:UXJ7 UXZ6:UXZ7 UYP6:UYP7 UZF6:UZF7 UZV6:UZV7 VAL6:VAL7 VBB6:VBB7 VBR6:VBR7 VCH6:VCH7 VCX6:VCX7 VDN6:VDN7 VED6:VED7 VET6:VET7 VFJ6:VFJ7 VFZ6:VFZ7 VGP6:VGP7 VHF6:VHF7 VHV6:VHV7 VIL6:VIL7 VJB6:VJB7 VJR6:VJR7 VKH6:VKH7 VKX6:VKX7 VLN6:VLN7 VMD6:VMD7 VMT6:VMT7 VNJ6:VNJ7 VNZ6:VNZ7 VOP6:VOP7 VPF6:VPF7 VPV6:VPV7 VQL6:VQL7 VRB6:VRB7 VRR6:VRR7 VSH6:VSH7 VSX6:VSX7 VTN6:VTN7 VUD6:VUD7 VUT6:VUT7 VVJ6:VVJ7 VVZ6:VVZ7 VWP6:VWP7 VXF6:VXF7 VXV6:VXV7 VYL6:VYL7 VZB6:VZB7 VZR6:VZR7 WAH6:WAH7 WAX6:WAX7 WBN6:WBN7 WCD6:WCD7 WCT6:WCT7 WDJ6:WDJ7 WDZ6:WDZ7 WEP6:WEP7 WFF6:WFF7 WFV6:WFV7 WGL6:WGL7 WHB6:WHB7 WHR6:WHR7 WIH6:WIH7 WIX6:WIX7 WJN6:WJN7 WKD6:WKD7 WKT6:WKT7 WLJ6:WLJ7 WLZ6:WLZ7 WMP6:WMP7 WNF6:WNF7 WNV6:WNV7 WOL6:WOL7 WPB6:WPB7 WPR6:WPR7 WQH6:WQH7 WQX6:WQX7 WRN6:WRN7 WSD6:WSD7 WST6:WST7 WTJ6:WTJ7 WTZ6:WTZ7 WUP6:WUP7 WVF6:WVF7 WVV6:WVV7 WWL6:WWL7 WXB6:WXB7 WXR6:WXR7 WYH6:WYH7 WYX6:WYX7 WZN6:WZN7 XAD6:XAD7 XAT6:XAT7 XBJ6:XBJ7 XBZ6:XBZ7 XCP6:XCP7 XDF6:XDF7 XDV6:XDV7 XEL6:XEL7 Q3:Q55 XFB33 AD33 AT33 BJ33 BZ33 CP33 DF33 DV33 EL33 FB33 FR33 GH33 GX33 HN33 ID33 IT33 JJ33 JZ33 KP33 LF33 LV33 ML33 NB33 NR33 OH33 OX33 PN33 QD33 QT33 RJ33 RZ33 SP33 TF33 TV33 UL33 VB33 VR33 WH33 WX33 XN33 YD33 YT33 ZJ33 ZZ33 AAP33 ABF33 ABV33 ACL33 ADB33 ADR33 AEH33 AEX33 AFN33 AGD33 AGT33 AHJ33 AHZ33 AIP33 AJF33 AJV33 AKL33 ALB33 ALR33 AMH33 AMX33 ANN33 AOD33 AOT33 APJ33 APZ33 AQP33 ARF33 ARV33 ASL33 ATB33 ATR33 AUH33 AUX33 AVN33 AWD33 AWT33 AXJ33 AXZ33 AYP33 AZF33 AZV33 BAL33 BBB33 BBR33 BCH33 BCX33 BDN33 BED33 BET33 BFJ33 BFZ33 BGP33 BHF33 BHV33 BIL33 BJB33 BJR33 BKH33 BKX33 BLN33 BMD33 BMT33 BNJ33 BNZ33 BOP33 BPF33 BPV33 BQL33 BRB33 BRR33 BSH33 BSX33 BTN33 BUD33 BUT33 BVJ33 BVZ33 BWP33 BXF33 BXV33 BYL33 BZB33 BZR33 CAH33 CAX33 CBN33 CCD33 CCT33 CDJ33 CDZ33 CEP33 CFF33 CFV33 CGL33 CHB33 CHR33 CIH33 CIX33 CJN33 CKD33 CKT33 CLJ33 CLZ33 CMP33 CNF33 CNV33 COL33 CPB33 CPR33 CQH33 CQX33 CRN33 CSD33 CST33 CTJ33 CTZ33 CUP33 CVF33 CVV33 CWL33 CXB33 CXR33 CYH33 CYX33 CZN33 DAD33 DAT33 DBJ33 DBZ33 DCP33 DDF33 DDV33 DEL33 DFB33 DFR33 DGH33 DGX33 DHN33 DID33 DIT33 DJJ33 DJZ33 DKP33 DLF33 DLV33 DML33 DNB33 DNR33 DOH33 DOX33 DPN33 DQD33 DQT33 DRJ33 DRZ33 DSP33 DTF33 DTV33 DUL33 DVB33 DVR33 DWH33 DWX33 DXN33 DYD33 DYT33 DZJ33 DZZ33 EAP33 EBF33 EBV33 ECL33 EDB33 EDR33 EEH33 EEX33 EFN33 EGD33 EGT33 EHJ33 EHZ33 EIP33 EJF33 EJV33 EKL33 ELB33 ELR33 EMH33 EMX33 ENN33 EOD33 EOT33 EPJ33 EPZ33 EQP33 ERF33 ERV33 ESL33 ETB33 ETR33 EUH33 EUX33 EVN33 EWD33 EWT33 EXJ33 EXZ33 EYP33 EZF33 EZV33 FAL33 FBB33 FBR33 FCH33 FCX33 FDN33 FED33 FET33 FFJ33 FFZ33 FGP33 FHF33 FHV33 FIL33 FJB33 FJR33 FKH33 FKX33 FLN33 FMD33 FMT33 FNJ33 FNZ33 FOP33 FPF33 FPV33 FQL33 FRB33 FRR33 FSH33 FSX33 FTN33 FUD33 FUT33 FVJ33 FVZ33 FWP33 FXF33 FXV33 FYL33 FZB33 FZR33 GAH33 GAX33 GBN33 GCD33 GCT33 GDJ33 GDZ33 GEP33 GFF33 GFV33 GGL33 GHB33 GHR33 GIH33 GIX33 GJN33 GKD33 GKT33 GLJ33 GLZ33 GMP33 GNF33 GNV33 GOL33 GPB33 GPR33 GQH33 GQX33 GRN33 GSD33 GST33 GTJ33 GTZ33 GUP33 GVF33 GVV33 GWL33 GXB33 GXR33 GYH33 GYX33 GZN33 HAD33 HAT33 HBJ33 HBZ33 HCP33 HDF33 HDV33 HEL33 HFB33 HFR33 HGH33 HGX33 HHN33 HID33 HIT33 HJJ33 HJZ33 HKP33 HLF33 HLV33 HML33 HNB33 HNR33 HOH33 HOX33 HPN33 HQD33 HQT33 HRJ33 HRZ33 HSP33 HTF33 HTV33 HUL33 HVB33 HVR33 HWH33 HWX33 HXN33 HYD33 HYT33 HZJ33 HZZ33 IAP33 IBF33 IBV33 ICL33 IDB33 IDR33 IEH33 IEX33 IFN33 IGD33 IGT33 IHJ33 IHZ33 IIP33 IJF33 IJV33 IKL33 ILB33 ILR33 IMH33 IMX33 INN33 IOD33 IOT33 IPJ33 IPZ33 IQP33 IRF33 IRV33 ISL33 ITB33 ITR33 IUH33 IUX33 IVN33 IWD33 IWT33 IXJ33 IXZ33 IYP33 IZF33 IZV33 JAL33 JBB33 JBR33 JCH33 JCX33 JDN33 JED33 JET33 JFJ33 JFZ33 JGP33 JHF33 JHV33 JIL33 JJB33 JJR33 JKH33 JKX33 JLN33 JMD33 JMT33 JNJ33 JNZ33 JOP33 JPF33 JPV33 JQL33 JRB33 JRR33 JSH33 JSX33 JTN33 JUD33 JUT33 JVJ33 JVZ33 JWP33 JXF33 JXV33 JYL33 JZB33 JZR33 KAH33 KAX33 KBN33 KCD33 KCT33 KDJ33 KDZ33 KEP33 KFF33 KFV33 KGL33 KHB33 KHR33 KIH33 KIX33 KJN33 KKD33 KKT33 KLJ33 KLZ33 KMP33 KNF33 KNV33 KOL33 KPB33 KPR33 KQH33 KQX33 KRN33 KSD33 KST33 KTJ33 KTZ33 KUP33 KVF33 KVV33 KWL33 KXB33 KXR33 KYH33 KYX33 KZN33 LAD33 LAT33 LBJ33 LBZ33 LCP33 LDF33 LDV33 LEL33 LFB33 LFR33 LGH33 LGX33 LHN33 LID33 LIT33 LJJ33 LJZ33 LKP33 LLF33 LLV33 LML33 LNB33 LNR33 LOH33 LOX33 LPN33 LQD33 LQT33 LRJ33 LRZ33 LSP33 LTF33 LTV33 LUL33 LVB33 LVR33 LWH33 LWX33 LXN33 LYD33 LYT33 LZJ33 LZZ33 MAP33 MBF33 MBV33 MCL33 MDB33 MDR33 MEH33 MEX33 MFN33 MGD33 MGT33 MHJ33 MHZ33 MIP33 MJF33 MJV33 MKL33 MLB33 MLR33 MMH33 MMX33 MNN33 MOD33 MOT33 MPJ33 MPZ33 MQP33 MRF33 MRV33 MSL33 MTB33 MTR33 MUH33 MUX33 MVN33 MWD33 MWT33 MXJ33 MXZ33 MYP33 MZF33 MZV33 NAL33 NBB33 NBR33 NCH33 NCX33 NDN33 NED33 NET33 NFJ33 NFZ33 NGP33 NHF33 NHV33 NIL33 NJB33 NJR33 NKH33 NKX33 NLN33 NMD33 NMT33 NNJ33 NNZ33 NOP33 NPF33 NPV33 NQL33 NRB33 NRR33 NSH33 NSX33 NTN33 NUD33 NUT33 NVJ33 NVZ33 NWP33 NXF33 NXV33 NYL33 NZB33 NZR33 OAH33 OAX33 OBN33 OCD33 OCT33 ODJ33 ODZ33 OEP33 OFF33 OFV33 OGL33 OHB33 OHR33 OIH33 OIX33 OJN33 OKD33 OKT33 OLJ33 OLZ33 OMP33 ONF33 ONV33 OOL33 OPB33 OPR33 OQH33 OQX33 ORN33 OSD33 OST33 OTJ33 OTZ33 OUP33 OVF33 OVV33 OWL33 OXB33 OXR33 OYH33 OYX33 OZN33 PAD33 PAT33 PBJ33 PBZ33 PCP33 PDF33 PDV33 PEL33 PFB33 PFR33 PGH33 PGX33 PHN33 PID33 PIT33 PJJ33 PJZ33 PKP33 PLF33 PLV33 PML33 PNB33 PNR33 POH33 POX33 PPN33 PQD33 PQT33 PRJ33 PRZ33 PSP33 PTF33 PTV33 PUL33 PVB33 PVR33 PWH33 PWX33 PXN33 PYD33 PYT33 PZJ33 PZZ33 QAP33 QBF33 QBV33 QCL33 QDB33 QDR33 QEH33 QEX33 QFN33 QGD33 QGT33 QHJ33 QHZ33 QIP33 QJF33 QJV33 QKL33 QLB33 QLR33 QMH33 QMX33 QNN33 QOD33 QOT33 QPJ33 QPZ33 QQP33 QRF33 QRV33 QSL33 QTB33 QTR33 QUH33 QUX33 QVN33 QWD33 QWT33 QXJ33 QXZ33 QYP33 QZF33 QZV33 RAL33 RBB33 RBR33 RCH33 RCX33 RDN33 RED33 RET33 RFJ33 RFZ33 RGP33 RHF33 RHV33 RIL33 RJB33 RJR33 RKH33 RKX33 RLN33 RMD33 RMT33 RNJ33 RNZ33 ROP33 RPF33 RPV33 RQL33 RRB33 RRR33 RSH33 RSX33 RTN33 RUD33 RUT33 RVJ33 RVZ33 RWP33 RXF33 RXV33 RYL33 RZB33 RZR33 SAH33 SAX33 SBN33 SCD33 SCT33 SDJ33 SDZ33 SEP33 SFF33 SFV33 SGL33 SHB33 SHR33 SIH33 SIX33 SJN33 SKD33 SKT33 SLJ33 SLZ33 SMP33 SNF33 SNV33 SOL33 SPB33 SPR33 SQH33 SQX33 SRN33 SSD33 SST33 STJ33 STZ33 SUP33 SVF33 SVV33 SWL33 SXB33 SXR33 SYH33 SYX33 SZN33 TAD33 TAT33 TBJ33 TBZ33 TCP33 TDF33 TDV33 TEL33 TFB33 TFR33 TGH33 TGX33 THN33 TID33 TIT33 TJJ33 TJZ33 TKP33 TLF33 TLV33 TML33 TNB33 TNR33 TOH33 TOX33 TPN33 TQD33 TQT33 TRJ33 TRZ33 TSP33 TTF33 TTV33 TUL33 TVB33 TVR33 TWH33 TWX33 TXN33 TYD33 TYT33 TZJ33 TZZ33 UAP33 UBF33 UBV33 UCL33 UDB33 UDR33 UEH33 UEX33 UFN33 UGD33 UGT33 UHJ33 UHZ33 UIP33 UJF33 UJV33 UKL33 ULB33 ULR33 UMH33 UMX33 UNN33 UOD33 UOT33 UPJ33 UPZ33 UQP33 URF33 URV33 USL33 UTB33 UTR33 UUH33 UUX33 UVN33 UWD33 UWT33 UXJ33 UXZ33 UYP33 UZF33 UZV33 VAL33 VBB33 VBR33 VCH33 VCX33 VDN33 VED33 VET33 VFJ33 VFZ33 VGP33 VHF33 VHV33 VIL33 VJB33 VJR33 VKH33 VKX33 VLN33 VMD33 VMT33 VNJ33 VNZ33 VOP33 VPF33 VPV33 VQL33 VRB33 VRR33 VSH33 VSX33 VTN33 VUD33 VUT33 VVJ33 VVZ33 VWP33 VXF33 VXV33 VYL33 VZB33 VZR33 WAH33 WAX33 WBN33 WCD33 WCT33 WDJ33 WDZ33 WEP33 WFF33 WFV33 WGL33 WHB33 WHR33 WIH33 WIX33 WJN33 WKD33 WKT33 WLJ33 WLZ33 WMP33 WNF33 WNV33 WOL33 WPB33 WPR33 WQH33 WQX33 WRN33 WSD33 WST33 WTJ33 WTZ33 WUP33 WVF33 WVV33 WWL33 WXB33 WXR33 WYH33 WYX33 WZN33 XAD33 XAT33 XBJ33 XBZ33 XCP33 XDF33 XDV33 XEL33" xr:uid="{00000000-0002-0000-1700-000002000000}">
      <formula1>"Form sent,Not Required,NA"</formula1>
    </dataValidation>
    <dataValidation type="list" allowBlank="1" sqref="XES6:XES7 U6:U7 AK6:AK7 BA6:BA7 BQ6:BQ7 CG6:CG7 CW6:CW7 DM6:DM7 EC6:EC7 ES6:ES7 FI6:FI7 FY6:FY7 GO6:GO7 HE6:HE7 HU6:HU7 IK6:IK7 JA6:JA7 JQ6:JQ7 KG6:KG7 KW6:KW7 LM6:LM7 MC6:MC7 MS6:MS7 NI6:NI7 NY6:NY7 OO6:OO7 PE6:PE7 PU6:PU7 QK6:QK7 RA6:RA7 RQ6:RQ7 SG6:SG7 SW6:SW7 TM6:TM7 UC6:UC7 US6:US7 VI6:VI7 VY6:VY7 WO6:WO7 XE6:XE7 XU6:XU7 YK6:YK7 ZA6:ZA7 ZQ6:ZQ7 AAG6:AAG7 AAW6:AAW7 ABM6:ABM7 ACC6:ACC7 ACS6:ACS7 ADI6:ADI7 ADY6:ADY7 AEO6:AEO7 AFE6:AFE7 AFU6:AFU7 AGK6:AGK7 AHA6:AHA7 AHQ6:AHQ7 AIG6:AIG7 AIW6:AIW7 AJM6:AJM7 AKC6:AKC7 AKS6:AKS7 ALI6:ALI7 ALY6:ALY7 AMO6:AMO7 ANE6:ANE7 ANU6:ANU7 AOK6:AOK7 APA6:APA7 APQ6:APQ7 AQG6:AQG7 AQW6:AQW7 ARM6:ARM7 ASC6:ASC7 ASS6:ASS7 ATI6:ATI7 ATY6:ATY7 AUO6:AUO7 AVE6:AVE7 AVU6:AVU7 AWK6:AWK7 AXA6:AXA7 AXQ6:AXQ7 AYG6:AYG7 AYW6:AYW7 AZM6:AZM7 BAC6:BAC7 BAS6:BAS7 BBI6:BBI7 BBY6:BBY7 BCO6:BCO7 BDE6:BDE7 BDU6:BDU7 BEK6:BEK7 BFA6:BFA7 BFQ6:BFQ7 BGG6:BGG7 BGW6:BGW7 BHM6:BHM7 BIC6:BIC7 BIS6:BIS7 BJI6:BJI7 BJY6:BJY7 BKO6:BKO7 BLE6:BLE7 BLU6:BLU7 BMK6:BMK7 BNA6:BNA7 BNQ6:BNQ7 BOG6:BOG7 BOW6:BOW7 BPM6:BPM7 BQC6:BQC7 BQS6:BQS7 BRI6:BRI7 BRY6:BRY7 BSO6:BSO7 BTE6:BTE7 BTU6:BTU7 BUK6:BUK7 BVA6:BVA7 BVQ6:BVQ7 BWG6:BWG7 BWW6:BWW7 BXM6:BXM7 BYC6:BYC7 BYS6:BYS7 BZI6:BZI7 BZY6:BZY7 CAO6:CAO7 CBE6:CBE7 CBU6:CBU7 CCK6:CCK7 CDA6:CDA7 CDQ6:CDQ7 CEG6:CEG7 CEW6:CEW7 CFM6:CFM7 CGC6:CGC7 CGS6:CGS7 CHI6:CHI7 CHY6:CHY7 CIO6:CIO7 CJE6:CJE7 CJU6:CJU7 CKK6:CKK7 CLA6:CLA7 CLQ6:CLQ7 CMG6:CMG7 CMW6:CMW7 CNM6:CNM7 COC6:COC7 COS6:COS7 CPI6:CPI7 CPY6:CPY7 CQO6:CQO7 CRE6:CRE7 CRU6:CRU7 CSK6:CSK7 CTA6:CTA7 CTQ6:CTQ7 CUG6:CUG7 CUW6:CUW7 CVM6:CVM7 CWC6:CWC7 CWS6:CWS7 CXI6:CXI7 CXY6:CXY7 CYO6:CYO7 CZE6:CZE7 CZU6:CZU7 DAK6:DAK7 DBA6:DBA7 DBQ6:DBQ7 DCG6:DCG7 DCW6:DCW7 DDM6:DDM7 DEC6:DEC7 DES6:DES7 DFI6:DFI7 DFY6:DFY7 DGO6:DGO7 DHE6:DHE7 DHU6:DHU7 DIK6:DIK7 DJA6:DJA7 DJQ6:DJQ7 DKG6:DKG7 DKW6:DKW7 DLM6:DLM7 DMC6:DMC7 DMS6:DMS7 DNI6:DNI7 DNY6:DNY7 DOO6:DOO7 DPE6:DPE7 DPU6:DPU7 DQK6:DQK7 DRA6:DRA7 DRQ6:DRQ7 DSG6:DSG7 DSW6:DSW7 DTM6:DTM7 DUC6:DUC7 DUS6:DUS7 DVI6:DVI7 DVY6:DVY7 DWO6:DWO7 DXE6:DXE7 DXU6:DXU7 DYK6:DYK7 DZA6:DZA7 DZQ6:DZQ7 EAG6:EAG7 EAW6:EAW7 EBM6:EBM7 ECC6:ECC7 ECS6:ECS7 EDI6:EDI7 EDY6:EDY7 EEO6:EEO7 EFE6:EFE7 EFU6:EFU7 EGK6:EGK7 EHA6:EHA7 EHQ6:EHQ7 EIG6:EIG7 EIW6:EIW7 EJM6:EJM7 EKC6:EKC7 EKS6:EKS7 ELI6:ELI7 ELY6:ELY7 EMO6:EMO7 ENE6:ENE7 ENU6:ENU7 EOK6:EOK7 EPA6:EPA7 EPQ6:EPQ7 EQG6:EQG7 EQW6:EQW7 ERM6:ERM7 ESC6:ESC7 ESS6:ESS7 ETI6:ETI7 ETY6:ETY7 EUO6:EUO7 EVE6:EVE7 EVU6:EVU7 EWK6:EWK7 EXA6:EXA7 EXQ6:EXQ7 EYG6:EYG7 EYW6:EYW7 EZM6:EZM7 FAC6:FAC7 FAS6:FAS7 FBI6:FBI7 FBY6:FBY7 FCO6:FCO7 FDE6:FDE7 FDU6:FDU7 FEK6:FEK7 FFA6:FFA7 FFQ6:FFQ7 FGG6:FGG7 FGW6:FGW7 FHM6:FHM7 FIC6:FIC7 FIS6:FIS7 FJI6:FJI7 FJY6:FJY7 FKO6:FKO7 FLE6:FLE7 FLU6:FLU7 FMK6:FMK7 FNA6:FNA7 FNQ6:FNQ7 FOG6:FOG7 FOW6:FOW7 FPM6:FPM7 FQC6:FQC7 FQS6:FQS7 FRI6:FRI7 FRY6:FRY7 FSO6:FSO7 FTE6:FTE7 FTU6:FTU7 FUK6:FUK7 FVA6:FVA7 FVQ6:FVQ7 FWG6:FWG7 FWW6:FWW7 FXM6:FXM7 FYC6:FYC7 FYS6:FYS7 FZI6:FZI7 FZY6:FZY7 GAO6:GAO7 GBE6:GBE7 GBU6:GBU7 GCK6:GCK7 GDA6:GDA7 GDQ6:GDQ7 GEG6:GEG7 GEW6:GEW7 GFM6:GFM7 GGC6:GGC7 GGS6:GGS7 GHI6:GHI7 GHY6:GHY7 GIO6:GIO7 GJE6:GJE7 GJU6:GJU7 GKK6:GKK7 GLA6:GLA7 GLQ6:GLQ7 GMG6:GMG7 GMW6:GMW7 GNM6:GNM7 GOC6:GOC7 GOS6:GOS7 GPI6:GPI7 GPY6:GPY7 GQO6:GQO7 GRE6:GRE7 GRU6:GRU7 GSK6:GSK7 GTA6:GTA7 GTQ6:GTQ7 GUG6:GUG7 GUW6:GUW7 GVM6:GVM7 GWC6:GWC7 GWS6:GWS7 GXI6:GXI7 GXY6:GXY7 GYO6:GYO7 GZE6:GZE7 GZU6:GZU7 HAK6:HAK7 HBA6:HBA7 HBQ6:HBQ7 HCG6:HCG7 HCW6:HCW7 HDM6:HDM7 HEC6:HEC7 HES6:HES7 HFI6:HFI7 HFY6:HFY7 HGO6:HGO7 HHE6:HHE7 HHU6:HHU7 HIK6:HIK7 HJA6:HJA7 HJQ6:HJQ7 HKG6:HKG7 HKW6:HKW7 HLM6:HLM7 HMC6:HMC7 HMS6:HMS7 HNI6:HNI7 HNY6:HNY7 HOO6:HOO7 HPE6:HPE7 HPU6:HPU7 HQK6:HQK7 HRA6:HRA7 HRQ6:HRQ7 HSG6:HSG7 HSW6:HSW7 HTM6:HTM7 HUC6:HUC7 HUS6:HUS7 HVI6:HVI7 HVY6:HVY7 HWO6:HWO7 HXE6:HXE7 HXU6:HXU7 HYK6:HYK7 HZA6:HZA7 HZQ6:HZQ7 IAG6:IAG7 IAW6:IAW7 IBM6:IBM7 ICC6:ICC7 ICS6:ICS7 IDI6:IDI7 IDY6:IDY7 IEO6:IEO7 IFE6:IFE7 IFU6:IFU7 IGK6:IGK7 IHA6:IHA7 IHQ6:IHQ7 IIG6:IIG7 IIW6:IIW7 IJM6:IJM7 IKC6:IKC7 IKS6:IKS7 ILI6:ILI7 ILY6:ILY7 IMO6:IMO7 INE6:INE7 INU6:INU7 IOK6:IOK7 IPA6:IPA7 IPQ6:IPQ7 IQG6:IQG7 IQW6:IQW7 IRM6:IRM7 ISC6:ISC7 ISS6:ISS7 ITI6:ITI7 ITY6:ITY7 IUO6:IUO7 IVE6:IVE7 IVU6:IVU7 IWK6:IWK7 IXA6:IXA7 IXQ6:IXQ7 IYG6:IYG7 IYW6:IYW7 IZM6:IZM7 JAC6:JAC7 JAS6:JAS7 JBI6:JBI7 JBY6:JBY7 JCO6:JCO7 JDE6:JDE7 JDU6:JDU7 JEK6:JEK7 JFA6:JFA7 JFQ6:JFQ7 JGG6:JGG7 JGW6:JGW7 JHM6:JHM7 JIC6:JIC7 JIS6:JIS7 JJI6:JJI7 JJY6:JJY7 JKO6:JKO7 JLE6:JLE7 JLU6:JLU7 JMK6:JMK7 JNA6:JNA7 JNQ6:JNQ7 JOG6:JOG7 JOW6:JOW7 JPM6:JPM7 JQC6:JQC7 JQS6:JQS7 JRI6:JRI7 JRY6:JRY7 JSO6:JSO7 JTE6:JTE7 JTU6:JTU7 JUK6:JUK7 JVA6:JVA7 JVQ6:JVQ7 JWG6:JWG7 JWW6:JWW7 JXM6:JXM7 JYC6:JYC7 JYS6:JYS7 JZI6:JZI7 JZY6:JZY7 KAO6:KAO7 KBE6:KBE7 KBU6:KBU7 KCK6:KCK7 KDA6:KDA7 KDQ6:KDQ7 KEG6:KEG7 KEW6:KEW7 KFM6:KFM7 KGC6:KGC7 KGS6:KGS7 KHI6:KHI7 KHY6:KHY7 KIO6:KIO7 KJE6:KJE7 KJU6:KJU7 KKK6:KKK7 KLA6:KLA7 KLQ6:KLQ7 KMG6:KMG7 KMW6:KMW7 KNM6:KNM7 KOC6:KOC7 KOS6:KOS7 KPI6:KPI7 KPY6:KPY7 KQO6:KQO7 KRE6:KRE7 KRU6:KRU7 KSK6:KSK7 KTA6:KTA7 KTQ6:KTQ7 KUG6:KUG7 KUW6:KUW7 KVM6:KVM7 KWC6:KWC7 KWS6:KWS7 KXI6:KXI7 KXY6:KXY7 KYO6:KYO7 KZE6:KZE7 KZU6:KZU7 LAK6:LAK7 LBA6:LBA7 LBQ6:LBQ7 LCG6:LCG7 LCW6:LCW7 LDM6:LDM7 LEC6:LEC7 LES6:LES7 LFI6:LFI7 LFY6:LFY7 LGO6:LGO7 LHE6:LHE7 LHU6:LHU7 LIK6:LIK7 LJA6:LJA7 LJQ6:LJQ7 LKG6:LKG7 LKW6:LKW7 LLM6:LLM7 LMC6:LMC7 LMS6:LMS7 LNI6:LNI7 LNY6:LNY7 LOO6:LOO7 LPE6:LPE7 LPU6:LPU7 LQK6:LQK7 LRA6:LRA7 LRQ6:LRQ7 LSG6:LSG7 LSW6:LSW7 LTM6:LTM7 LUC6:LUC7 LUS6:LUS7 LVI6:LVI7 LVY6:LVY7 LWO6:LWO7 LXE6:LXE7 LXU6:LXU7 LYK6:LYK7 LZA6:LZA7 LZQ6:LZQ7 MAG6:MAG7 MAW6:MAW7 MBM6:MBM7 MCC6:MCC7 MCS6:MCS7 MDI6:MDI7 MDY6:MDY7 MEO6:MEO7 MFE6:MFE7 MFU6:MFU7 MGK6:MGK7 MHA6:MHA7 MHQ6:MHQ7 MIG6:MIG7 MIW6:MIW7 MJM6:MJM7 MKC6:MKC7 MKS6:MKS7 MLI6:MLI7 MLY6:MLY7 MMO6:MMO7 MNE6:MNE7 MNU6:MNU7 MOK6:MOK7 MPA6:MPA7 MPQ6:MPQ7 MQG6:MQG7 MQW6:MQW7 MRM6:MRM7 MSC6:MSC7 MSS6:MSS7 MTI6:MTI7 MTY6:MTY7 MUO6:MUO7 MVE6:MVE7 MVU6:MVU7 MWK6:MWK7 MXA6:MXA7 MXQ6:MXQ7 MYG6:MYG7 MYW6:MYW7 MZM6:MZM7 NAC6:NAC7 NAS6:NAS7 NBI6:NBI7 NBY6:NBY7 NCO6:NCO7 NDE6:NDE7 NDU6:NDU7 NEK6:NEK7 NFA6:NFA7 NFQ6:NFQ7 NGG6:NGG7 NGW6:NGW7 NHM6:NHM7 NIC6:NIC7 NIS6:NIS7 NJI6:NJI7 NJY6:NJY7 NKO6:NKO7 NLE6:NLE7 NLU6:NLU7 NMK6:NMK7 NNA6:NNA7 NNQ6:NNQ7 NOG6:NOG7 NOW6:NOW7 NPM6:NPM7 NQC6:NQC7 NQS6:NQS7 NRI6:NRI7 NRY6:NRY7 NSO6:NSO7 NTE6:NTE7 NTU6:NTU7 NUK6:NUK7 NVA6:NVA7 NVQ6:NVQ7 NWG6:NWG7 NWW6:NWW7 NXM6:NXM7 NYC6:NYC7 NYS6:NYS7 NZI6:NZI7 NZY6:NZY7 OAO6:OAO7 OBE6:OBE7 OBU6:OBU7 OCK6:OCK7 ODA6:ODA7 ODQ6:ODQ7 OEG6:OEG7 OEW6:OEW7 OFM6:OFM7 OGC6:OGC7 OGS6:OGS7 OHI6:OHI7 OHY6:OHY7 OIO6:OIO7 OJE6:OJE7 OJU6:OJU7 OKK6:OKK7 OLA6:OLA7 OLQ6:OLQ7 OMG6:OMG7 OMW6:OMW7 ONM6:ONM7 OOC6:OOC7 OOS6:OOS7 OPI6:OPI7 OPY6:OPY7 OQO6:OQO7 ORE6:ORE7 ORU6:ORU7 OSK6:OSK7 OTA6:OTA7 OTQ6:OTQ7 OUG6:OUG7 OUW6:OUW7 OVM6:OVM7 OWC6:OWC7 OWS6:OWS7 OXI6:OXI7 OXY6:OXY7 OYO6:OYO7 OZE6:OZE7 OZU6:OZU7 PAK6:PAK7 PBA6:PBA7 PBQ6:PBQ7 PCG6:PCG7 PCW6:PCW7 PDM6:PDM7 PEC6:PEC7 PES6:PES7 PFI6:PFI7 PFY6:PFY7 PGO6:PGO7 PHE6:PHE7 PHU6:PHU7 PIK6:PIK7 PJA6:PJA7 PJQ6:PJQ7 PKG6:PKG7 PKW6:PKW7 PLM6:PLM7 PMC6:PMC7 PMS6:PMS7 PNI6:PNI7 PNY6:PNY7 POO6:POO7 PPE6:PPE7 PPU6:PPU7 PQK6:PQK7 PRA6:PRA7 PRQ6:PRQ7 PSG6:PSG7 PSW6:PSW7 PTM6:PTM7 PUC6:PUC7 PUS6:PUS7 PVI6:PVI7 PVY6:PVY7 PWO6:PWO7 PXE6:PXE7 PXU6:PXU7 PYK6:PYK7 PZA6:PZA7 PZQ6:PZQ7 QAG6:QAG7 QAW6:QAW7 QBM6:QBM7 QCC6:QCC7 QCS6:QCS7 QDI6:QDI7 QDY6:QDY7 QEO6:QEO7 QFE6:QFE7 QFU6:QFU7 QGK6:QGK7 QHA6:QHA7 QHQ6:QHQ7 QIG6:QIG7 QIW6:QIW7 QJM6:QJM7 QKC6:QKC7 QKS6:QKS7 QLI6:QLI7 QLY6:QLY7 QMO6:QMO7 QNE6:QNE7 QNU6:QNU7 QOK6:QOK7 QPA6:QPA7 QPQ6:QPQ7 QQG6:QQG7 QQW6:QQW7 QRM6:QRM7 QSC6:QSC7 QSS6:QSS7 QTI6:QTI7 QTY6:QTY7 QUO6:QUO7 QVE6:QVE7 QVU6:QVU7 QWK6:QWK7 QXA6:QXA7 QXQ6:QXQ7 QYG6:QYG7 QYW6:QYW7 QZM6:QZM7 RAC6:RAC7 RAS6:RAS7 RBI6:RBI7 RBY6:RBY7 RCO6:RCO7 RDE6:RDE7 RDU6:RDU7 REK6:REK7 RFA6:RFA7 RFQ6:RFQ7 RGG6:RGG7 RGW6:RGW7 RHM6:RHM7 RIC6:RIC7 RIS6:RIS7 RJI6:RJI7 RJY6:RJY7 RKO6:RKO7 RLE6:RLE7 RLU6:RLU7 RMK6:RMK7 RNA6:RNA7 RNQ6:RNQ7 ROG6:ROG7 ROW6:ROW7 RPM6:RPM7 RQC6:RQC7 RQS6:RQS7 RRI6:RRI7 RRY6:RRY7 RSO6:RSO7 RTE6:RTE7 RTU6:RTU7 RUK6:RUK7 RVA6:RVA7 RVQ6:RVQ7 RWG6:RWG7 RWW6:RWW7 RXM6:RXM7 RYC6:RYC7 RYS6:RYS7 RZI6:RZI7 RZY6:RZY7 SAO6:SAO7 SBE6:SBE7 SBU6:SBU7 SCK6:SCK7 SDA6:SDA7 SDQ6:SDQ7 SEG6:SEG7 SEW6:SEW7 SFM6:SFM7 SGC6:SGC7 SGS6:SGS7 SHI6:SHI7 SHY6:SHY7 SIO6:SIO7 SJE6:SJE7 SJU6:SJU7 SKK6:SKK7 SLA6:SLA7 SLQ6:SLQ7 SMG6:SMG7 SMW6:SMW7 SNM6:SNM7 SOC6:SOC7 SOS6:SOS7 SPI6:SPI7 SPY6:SPY7 SQO6:SQO7 SRE6:SRE7 SRU6:SRU7 SSK6:SSK7 STA6:STA7 STQ6:STQ7 SUG6:SUG7 SUW6:SUW7 SVM6:SVM7 SWC6:SWC7 SWS6:SWS7 SXI6:SXI7 SXY6:SXY7 SYO6:SYO7 SZE6:SZE7 SZU6:SZU7 TAK6:TAK7 TBA6:TBA7 TBQ6:TBQ7 TCG6:TCG7 TCW6:TCW7 TDM6:TDM7 TEC6:TEC7 TES6:TES7 TFI6:TFI7 TFY6:TFY7 TGO6:TGO7 THE6:THE7 THU6:THU7 TIK6:TIK7 TJA6:TJA7 TJQ6:TJQ7 TKG6:TKG7 TKW6:TKW7 TLM6:TLM7 TMC6:TMC7 TMS6:TMS7 TNI6:TNI7 TNY6:TNY7 TOO6:TOO7 TPE6:TPE7 TPU6:TPU7 TQK6:TQK7 TRA6:TRA7 TRQ6:TRQ7 TSG6:TSG7 TSW6:TSW7 TTM6:TTM7 TUC6:TUC7 TUS6:TUS7 TVI6:TVI7 TVY6:TVY7 TWO6:TWO7 TXE6:TXE7 TXU6:TXU7 TYK6:TYK7 TZA6:TZA7 TZQ6:TZQ7 UAG6:UAG7 UAW6:UAW7 UBM6:UBM7 UCC6:UCC7 UCS6:UCS7 UDI6:UDI7 UDY6:UDY7 UEO6:UEO7 UFE6:UFE7 UFU6:UFU7 UGK6:UGK7 UHA6:UHA7 UHQ6:UHQ7 UIG6:UIG7 UIW6:UIW7 UJM6:UJM7 UKC6:UKC7 UKS6:UKS7 ULI6:ULI7 ULY6:ULY7 UMO6:UMO7 UNE6:UNE7 UNU6:UNU7 UOK6:UOK7 UPA6:UPA7 UPQ6:UPQ7 UQG6:UQG7 UQW6:UQW7 URM6:URM7 USC6:USC7 USS6:USS7 UTI6:UTI7 UTY6:UTY7 UUO6:UUO7 UVE6:UVE7 UVU6:UVU7 UWK6:UWK7 UXA6:UXA7 UXQ6:UXQ7 UYG6:UYG7 UYW6:UYW7 UZM6:UZM7 VAC6:VAC7 VAS6:VAS7 VBI6:VBI7 VBY6:VBY7 VCO6:VCO7 VDE6:VDE7 VDU6:VDU7 VEK6:VEK7 VFA6:VFA7 VFQ6:VFQ7 VGG6:VGG7 VGW6:VGW7 VHM6:VHM7 VIC6:VIC7 VIS6:VIS7 VJI6:VJI7 VJY6:VJY7 VKO6:VKO7 VLE6:VLE7 VLU6:VLU7 VMK6:VMK7 VNA6:VNA7 VNQ6:VNQ7 VOG6:VOG7 VOW6:VOW7 VPM6:VPM7 VQC6:VQC7 VQS6:VQS7 VRI6:VRI7 VRY6:VRY7 VSO6:VSO7 VTE6:VTE7 VTU6:VTU7 VUK6:VUK7 VVA6:VVA7 VVQ6:VVQ7 VWG6:VWG7 VWW6:VWW7 VXM6:VXM7 VYC6:VYC7 VYS6:VYS7 VZI6:VZI7 VZY6:VZY7 WAO6:WAO7 WBE6:WBE7 WBU6:WBU7 WCK6:WCK7 WDA6:WDA7 WDQ6:WDQ7 WEG6:WEG7 WEW6:WEW7 WFM6:WFM7 WGC6:WGC7 WGS6:WGS7 WHI6:WHI7 WHY6:WHY7 WIO6:WIO7 WJE6:WJE7 WJU6:WJU7 WKK6:WKK7 WLA6:WLA7 WLQ6:WLQ7 WMG6:WMG7 WMW6:WMW7 WNM6:WNM7 WOC6:WOC7 WOS6:WOS7 WPI6:WPI7 WPY6:WPY7 WQO6:WQO7 WRE6:WRE7 WRU6:WRU7 WSK6:WSK7 WTA6:WTA7 WTQ6:WTQ7 WUG6:WUG7 WUW6:WUW7 WVM6:WVM7 WWC6:WWC7 WWS6:WWS7 WXI6:WXI7 WXY6:WXY7 WYO6:WYO7 WZE6:WZE7 WZU6:WZU7 XAK6:XAK7 XBA6:XBA7 XBQ6:XBQ7 XCG6:XCG7 XCW6:XCW7 XDM6:XDM7 XEC6:XEC7 H3:H55 XES33 U33 AK33 BA33 BQ33 CG33 CW33 DM33 EC33 ES33 FI33 FY33 GO33 HE33 HU33 IK33 JA33 JQ33 KG33 KW33 LM33 MC33 MS33 NI33 NY33 OO33 PE33 PU33 QK33 RA33 RQ33 SG33 SW33 TM33 UC33 US33 VI33 VY33 WO33 XE33 XU33 YK33 ZA33 ZQ33 AAG33 AAW33 ABM33 ACC33 ACS33 ADI33 ADY33 AEO33 AFE33 AFU33 AGK33 AHA33 AHQ33 AIG33 AIW33 AJM33 AKC33 AKS33 ALI33 ALY33 AMO33 ANE33 ANU33 AOK33 APA33 APQ33 AQG33 AQW33 ARM33 ASC33 ASS33 ATI33 ATY33 AUO33 AVE33 AVU33 AWK33 AXA33 AXQ33 AYG33 AYW33 AZM33 BAC33 BAS33 BBI33 BBY33 BCO33 BDE33 BDU33 BEK33 BFA33 BFQ33 BGG33 BGW33 BHM33 BIC33 BIS33 BJI33 BJY33 BKO33 BLE33 BLU33 BMK33 BNA33 BNQ33 BOG33 BOW33 BPM33 BQC33 BQS33 BRI33 BRY33 BSO33 BTE33 BTU33 BUK33 BVA33 BVQ33 BWG33 BWW33 BXM33 BYC33 BYS33 BZI33 BZY33 CAO33 CBE33 CBU33 CCK33 CDA33 CDQ33 CEG33 CEW33 CFM33 CGC33 CGS33 CHI33 CHY33 CIO33 CJE33 CJU33 CKK33 CLA33 CLQ33 CMG33 CMW33 CNM33 COC33 COS33 CPI33 CPY33 CQO33 CRE33 CRU33 CSK33 CTA33 CTQ33 CUG33 CUW33 CVM33 CWC33 CWS33 CXI33 CXY33 CYO33 CZE33 CZU33 DAK33 DBA33 DBQ33 DCG33 DCW33 DDM33 DEC33 DES33 DFI33 DFY33 DGO33 DHE33 DHU33 DIK33 DJA33 DJQ33 DKG33 DKW33 DLM33 DMC33 DMS33 DNI33 DNY33 DOO33 DPE33 DPU33 DQK33 DRA33 DRQ33 DSG33 DSW33 DTM33 DUC33 DUS33 DVI33 DVY33 DWO33 DXE33 DXU33 DYK33 DZA33 DZQ33 EAG33 EAW33 EBM33 ECC33 ECS33 EDI33 EDY33 EEO33 EFE33 EFU33 EGK33 EHA33 EHQ33 EIG33 EIW33 EJM33 EKC33 EKS33 ELI33 ELY33 EMO33 ENE33 ENU33 EOK33 EPA33 EPQ33 EQG33 EQW33 ERM33 ESC33 ESS33 ETI33 ETY33 EUO33 EVE33 EVU33 EWK33 EXA33 EXQ33 EYG33 EYW33 EZM33 FAC33 FAS33 FBI33 FBY33 FCO33 FDE33 FDU33 FEK33 FFA33 FFQ33 FGG33 FGW33 FHM33 FIC33 FIS33 FJI33 FJY33 FKO33 FLE33 FLU33 FMK33 FNA33 FNQ33 FOG33 FOW33 FPM33 FQC33 FQS33 FRI33 FRY33 FSO33 FTE33 FTU33 FUK33 FVA33 FVQ33 FWG33 FWW33 FXM33 FYC33 FYS33 FZI33 FZY33 GAO33 GBE33 GBU33 GCK33 GDA33 GDQ33 GEG33 GEW33 GFM33 GGC33 GGS33 GHI33 GHY33 GIO33 GJE33 GJU33 GKK33 GLA33 GLQ33 GMG33 GMW33 GNM33 GOC33 GOS33 GPI33 GPY33 GQO33 GRE33 GRU33 GSK33 GTA33 GTQ33 GUG33 GUW33 GVM33 GWC33 GWS33 GXI33 GXY33 GYO33 GZE33 GZU33 HAK33 HBA33 HBQ33 HCG33 HCW33 HDM33 HEC33 HES33 HFI33 HFY33 HGO33 HHE33 HHU33 HIK33 HJA33 HJQ33 HKG33 HKW33 HLM33 HMC33 HMS33 HNI33 HNY33 HOO33 HPE33 HPU33 HQK33 HRA33 HRQ33 HSG33 HSW33 HTM33 HUC33 HUS33 HVI33 HVY33 HWO33 HXE33 HXU33 HYK33 HZA33 HZQ33 IAG33 IAW33 IBM33 ICC33 ICS33 IDI33 IDY33 IEO33 IFE33 IFU33 IGK33 IHA33 IHQ33 IIG33 IIW33 IJM33 IKC33 IKS33 ILI33 ILY33 IMO33 INE33 INU33 IOK33 IPA33 IPQ33 IQG33 IQW33 IRM33 ISC33 ISS33 ITI33 ITY33 IUO33 IVE33 IVU33 IWK33 IXA33 IXQ33 IYG33 IYW33 IZM33 JAC33 JAS33 JBI33 JBY33 JCO33 JDE33 JDU33 JEK33 JFA33 JFQ33 JGG33 JGW33 JHM33 JIC33 JIS33 JJI33 JJY33 JKO33 JLE33 JLU33 JMK33 JNA33 JNQ33 JOG33 JOW33 JPM33 JQC33 JQS33 JRI33 JRY33 JSO33 JTE33 JTU33 JUK33 JVA33 JVQ33 JWG33 JWW33 JXM33 JYC33 JYS33 JZI33 JZY33 KAO33 KBE33 KBU33 KCK33 KDA33 KDQ33 KEG33 KEW33 KFM33 KGC33 KGS33 KHI33 KHY33 KIO33 KJE33 KJU33 KKK33 KLA33 KLQ33 KMG33 KMW33 KNM33 KOC33 KOS33 KPI33 KPY33 KQO33 KRE33 KRU33 KSK33 KTA33 KTQ33 KUG33 KUW33 KVM33 KWC33 KWS33 KXI33 KXY33 KYO33 KZE33 KZU33 LAK33 LBA33 LBQ33 LCG33 LCW33 LDM33 LEC33 LES33 LFI33 LFY33 LGO33 LHE33 LHU33 LIK33 LJA33 LJQ33 LKG33 LKW33 LLM33 LMC33 LMS33 LNI33 LNY33 LOO33 LPE33 LPU33 LQK33 LRA33 LRQ33 LSG33 LSW33 LTM33 LUC33 LUS33 LVI33 LVY33 LWO33 LXE33 LXU33 LYK33 LZA33 LZQ33 MAG33 MAW33 MBM33 MCC33 MCS33 MDI33 MDY33 MEO33 MFE33 MFU33 MGK33 MHA33 MHQ33 MIG33 MIW33 MJM33 MKC33 MKS33 MLI33 MLY33 MMO33 MNE33 MNU33 MOK33 MPA33 MPQ33 MQG33 MQW33 MRM33 MSC33 MSS33 MTI33 MTY33 MUO33 MVE33 MVU33 MWK33 MXA33 MXQ33 MYG33 MYW33 MZM33 NAC33 NAS33 NBI33 NBY33 NCO33 NDE33 NDU33 NEK33 NFA33 NFQ33 NGG33 NGW33 NHM33 NIC33 NIS33 NJI33 NJY33 NKO33 NLE33 NLU33 NMK33 NNA33 NNQ33 NOG33 NOW33 NPM33 NQC33 NQS33 NRI33 NRY33 NSO33 NTE33 NTU33 NUK33 NVA33 NVQ33 NWG33 NWW33 NXM33 NYC33 NYS33 NZI33 NZY33 OAO33 OBE33 OBU33 OCK33 ODA33 ODQ33 OEG33 OEW33 OFM33 OGC33 OGS33 OHI33 OHY33 OIO33 OJE33 OJU33 OKK33 OLA33 OLQ33 OMG33 OMW33 ONM33 OOC33 OOS33 OPI33 OPY33 OQO33 ORE33 ORU33 OSK33 OTA33 OTQ33 OUG33 OUW33 OVM33 OWC33 OWS33 OXI33 OXY33 OYO33 OZE33 OZU33 PAK33 PBA33 PBQ33 PCG33 PCW33 PDM33 PEC33 PES33 PFI33 PFY33 PGO33 PHE33 PHU33 PIK33 PJA33 PJQ33 PKG33 PKW33 PLM33 PMC33 PMS33 PNI33 PNY33 POO33 PPE33 PPU33 PQK33 PRA33 PRQ33 PSG33 PSW33 PTM33 PUC33 PUS33 PVI33 PVY33 PWO33 PXE33 PXU33 PYK33 PZA33 PZQ33 QAG33 QAW33 QBM33 QCC33 QCS33 QDI33 QDY33 QEO33 QFE33 QFU33 QGK33 QHA33 QHQ33 QIG33 QIW33 QJM33 QKC33 QKS33 QLI33 QLY33 QMO33 QNE33 QNU33 QOK33 QPA33 QPQ33 QQG33 QQW33 QRM33 QSC33 QSS33 QTI33 QTY33 QUO33 QVE33 QVU33 QWK33 QXA33 QXQ33 QYG33 QYW33 QZM33 RAC33 RAS33 RBI33 RBY33 RCO33 RDE33 RDU33 REK33 RFA33 RFQ33 RGG33 RGW33 RHM33 RIC33 RIS33 RJI33 RJY33 RKO33 RLE33 RLU33 RMK33 RNA33 RNQ33 ROG33 ROW33 RPM33 RQC33 RQS33 RRI33 RRY33 RSO33 RTE33 RTU33 RUK33 RVA33 RVQ33 RWG33 RWW33 RXM33 RYC33 RYS33 RZI33 RZY33 SAO33 SBE33 SBU33 SCK33 SDA33 SDQ33 SEG33 SEW33 SFM33 SGC33 SGS33 SHI33 SHY33 SIO33 SJE33 SJU33 SKK33 SLA33 SLQ33 SMG33 SMW33 SNM33 SOC33 SOS33 SPI33 SPY33 SQO33 SRE33 SRU33 SSK33 STA33 STQ33 SUG33 SUW33 SVM33 SWC33 SWS33 SXI33 SXY33 SYO33 SZE33 SZU33 TAK33 TBA33 TBQ33 TCG33 TCW33 TDM33 TEC33 TES33 TFI33 TFY33 TGO33 THE33 THU33 TIK33 TJA33 TJQ33 TKG33 TKW33 TLM33 TMC33 TMS33 TNI33 TNY33 TOO33 TPE33 TPU33 TQK33 TRA33 TRQ33 TSG33 TSW33 TTM33 TUC33 TUS33 TVI33 TVY33 TWO33 TXE33 TXU33 TYK33 TZA33 TZQ33 UAG33 UAW33 UBM33 UCC33 UCS33 UDI33 UDY33 UEO33 UFE33 UFU33 UGK33 UHA33 UHQ33 UIG33 UIW33 UJM33 UKC33 UKS33 ULI33 ULY33 UMO33 UNE33 UNU33 UOK33 UPA33 UPQ33 UQG33 UQW33 URM33 USC33 USS33 UTI33 UTY33 UUO33 UVE33 UVU33 UWK33 UXA33 UXQ33 UYG33 UYW33 UZM33 VAC33 VAS33 VBI33 VBY33 VCO33 VDE33 VDU33 VEK33 VFA33 VFQ33 VGG33 VGW33 VHM33 VIC33 VIS33 VJI33 VJY33 VKO33 VLE33 VLU33 VMK33 VNA33 VNQ33 VOG33 VOW33 VPM33 VQC33 VQS33 VRI33 VRY33 VSO33 VTE33 VTU33 VUK33 VVA33 VVQ33 VWG33 VWW33 VXM33 VYC33 VYS33 VZI33 VZY33 WAO33 WBE33 WBU33 WCK33 WDA33 WDQ33 WEG33 WEW33 WFM33 WGC33 WGS33 WHI33 WHY33 WIO33 WJE33 WJU33 WKK33 WLA33 WLQ33 WMG33 WMW33 WNM33 WOC33 WOS33 WPI33 WPY33 WQO33 WRE33 WRU33 WSK33 WTA33 WTQ33 WUG33 WUW33 WVM33 WWC33 WWS33 WXI33 WXY33 WYO33 WZE33 WZU33 XAK33 XBA33 XBQ33 XCG33 XCW33 XDM33 XEC33" xr:uid="{00000000-0002-0000-1700-000003000000}">
      <formula1>"Big Event,Small Event"</formula1>
    </dataValidation>
  </dataValidations>
  <hyperlinks>
    <hyperlink ref="A1" location="'Dashboard'!A1" display="🏠 ⮌ RETURN TO DASHBOARD" xr:uid="{00000000-0004-0000-1700-000000000000}"/>
    <hyperlink ref="N4" r:id="rId1" xr:uid="{ACB21B01-120E-45BF-AC01-6AD697FE0A5F}"/>
    <hyperlink ref="N5" r:id="rId2" xr:uid="{28957A68-B9EE-42FE-B759-5B0F5710354C}"/>
    <hyperlink ref="N8" r:id="rId3" xr:uid="{216BA690-B76C-4A4C-9B0E-0012EDDDFE3C}"/>
    <hyperlink ref="N10" r:id="rId4" xr:uid="{75FD4CD8-F717-4415-8302-42F4DA111AA6}"/>
    <hyperlink ref="N6" r:id="rId5" xr:uid="{3D7E4367-C8E0-4BAC-A785-DB01CF8DDDC8}"/>
    <hyperlink ref="N7" r:id="rId6" xr:uid="{5E960331-61FF-47EC-9BF8-A8D00BCF6ACA}"/>
    <hyperlink ref="N9" r:id="rId7" xr:uid="{91C3F476-77E4-4617-B8A0-DE656E33611C}"/>
    <hyperlink ref="N16" r:id="rId8" xr:uid="{74E1C7FF-6E8B-48D1-97A1-EAE0F595F760}"/>
    <hyperlink ref="N17" r:id="rId9" xr:uid="{2CCFD662-A11D-4F93-A5A6-2FB6CB140FD7}"/>
    <hyperlink ref="N18" r:id="rId10" xr:uid="{1C1BDBD8-B4BB-4B78-9E09-A5B826954D3C}"/>
    <hyperlink ref="N23" r:id="rId11" xr:uid="{526E271B-22CD-47A9-8EC0-E9FF702F63CE}"/>
    <hyperlink ref="N24" r:id="rId12" xr:uid="{5302DF99-8CF7-4D58-80BA-A8C23CEA2C53}"/>
    <hyperlink ref="N25" r:id="rId13" xr:uid="{B3BF19C1-E644-4B16-A5BE-683F97470B20}"/>
    <hyperlink ref="N30" r:id="rId14" xr:uid="{E208C33D-40ED-47CA-9075-470C493D5CDA}"/>
    <hyperlink ref="N31" r:id="rId15" xr:uid="{331D777C-8A6F-4C67-BAA6-5F91F56BD986}"/>
    <hyperlink ref="N33" r:id="rId16" xr:uid="{CB0A154C-1317-4438-9396-852320508BAD}"/>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50"/>
  <sheetViews>
    <sheetView workbookViewId="0">
      <pane ySplit="2" topLeftCell="A3" activePane="bottomLeft" state="frozen"/>
      <selection pane="bottomLeft"/>
    </sheetView>
  </sheetViews>
  <sheetFormatPr defaultRowHeight="14.45"/>
  <cols>
    <col min="1" max="1" width="18" customWidth="1"/>
    <col min="2" max="2" width="15" customWidth="1"/>
    <col min="3" max="3" width="12" customWidth="1"/>
    <col min="4" max="4" width="22" customWidth="1"/>
    <col min="5" max="5" width="35" customWidth="1"/>
    <col min="6" max="6" width="12" customWidth="1"/>
    <col min="7" max="7" width="15" customWidth="1"/>
    <col min="8" max="8" width="19" customWidth="1"/>
    <col min="9" max="9" width="17" customWidth="1"/>
    <col min="10" max="10" width="18" customWidth="1"/>
    <col min="11" max="11" width="22" customWidth="1"/>
    <col min="12" max="12" width="20" customWidth="1"/>
    <col min="13" max="13" width="25" customWidth="1"/>
    <col min="14" max="14" width="15" customWidth="1"/>
    <col min="15" max="15" width="27" customWidth="1"/>
    <col min="16" max="16" width="18" customWidth="1"/>
    <col min="17" max="17" width="32" customWidth="1"/>
    <col min="18" max="18" width="19" customWidth="1"/>
  </cols>
  <sheetData>
    <row r="1" spans="1:18" ht="27.95" customHeight="1">
      <c r="A1" s="62" t="s">
        <v>2138</v>
      </c>
      <c r="B1" s="134"/>
      <c r="C1" s="135"/>
      <c r="D1" s="63" t="s">
        <v>2574</v>
      </c>
      <c r="E1" s="134"/>
      <c r="F1" s="134"/>
      <c r="G1" s="134"/>
      <c r="H1" s="134"/>
      <c r="I1" s="134"/>
      <c r="J1" s="134"/>
      <c r="K1" s="134"/>
      <c r="L1" s="134"/>
      <c r="M1" s="135"/>
      <c r="N1" s="61" t="s">
        <v>244</v>
      </c>
      <c r="O1" s="134"/>
      <c r="P1" s="134"/>
      <c r="Q1" s="134"/>
      <c r="R1" s="135"/>
    </row>
    <row r="2" spans="1:18" ht="27.95" customHeight="1">
      <c r="A2" s="35" t="s">
        <v>187</v>
      </c>
      <c r="B2" s="35" t="s">
        <v>246</v>
      </c>
      <c r="C2" s="35" t="s">
        <v>189</v>
      </c>
      <c r="D2" s="35" t="s">
        <v>190</v>
      </c>
      <c r="E2" s="35" t="s">
        <v>2140</v>
      </c>
      <c r="F2" s="35" t="s">
        <v>2141</v>
      </c>
      <c r="G2" s="35" t="s">
        <v>251</v>
      </c>
      <c r="H2" s="35" t="s">
        <v>2142</v>
      </c>
      <c r="I2" s="35" t="s">
        <v>2143</v>
      </c>
      <c r="J2" s="35" t="s">
        <v>2144</v>
      </c>
      <c r="K2" s="35" t="s">
        <v>255</v>
      </c>
      <c r="L2" s="35" t="s">
        <v>193</v>
      </c>
      <c r="M2" s="35" t="s">
        <v>256</v>
      </c>
      <c r="N2" s="35" t="s">
        <v>259</v>
      </c>
      <c r="O2" s="35" t="s">
        <v>194</v>
      </c>
      <c r="P2" s="35" t="s">
        <v>258</v>
      </c>
      <c r="Q2" s="35" t="s">
        <v>260</v>
      </c>
      <c r="R2" s="35" t="s">
        <v>261</v>
      </c>
    </row>
    <row r="3" spans="1:18" ht="24" customHeight="1">
      <c r="A3" s="27"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 s="30">
        <v>46357</v>
      </c>
      <c r="C3" s="27" t="s">
        <v>227</v>
      </c>
      <c r="D3" s="27"/>
      <c r="E3" s="27"/>
      <c r="F3" s="10"/>
      <c r="G3" s="36" t="s">
        <v>263</v>
      </c>
      <c r="H3" s="37"/>
      <c r="I3" s="37"/>
      <c r="J3" s="27"/>
      <c r="K3" s="27"/>
      <c r="L3" s="27"/>
      <c r="M3" s="27"/>
      <c r="N3" s="27"/>
      <c r="O3" s="2" t="s">
        <v>1859</v>
      </c>
      <c r="P3" s="29" t="s">
        <v>265</v>
      </c>
      <c r="Q3" s="27"/>
      <c r="R3" s="27"/>
    </row>
    <row r="4" spans="1:18" ht="24" customHeight="1">
      <c r="A4" s="27"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 s="30">
        <v>46358</v>
      </c>
      <c r="C4" s="27" t="s">
        <v>201</v>
      </c>
      <c r="D4" s="27"/>
      <c r="E4" s="27"/>
      <c r="F4" s="10"/>
      <c r="G4" s="36" t="s">
        <v>263</v>
      </c>
      <c r="H4" s="37"/>
      <c r="I4" s="37"/>
      <c r="J4" s="27"/>
      <c r="K4" s="27"/>
      <c r="L4" s="27"/>
      <c r="M4" s="27"/>
      <c r="N4" s="27"/>
      <c r="O4" s="2" t="s">
        <v>1859</v>
      </c>
      <c r="P4" s="29" t="s">
        <v>265</v>
      </c>
      <c r="Q4" s="27"/>
      <c r="R4" s="27"/>
    </row>
    <row r="5" spans="1:18" ht="24" customHeight="1">
      <c r="A5" s="27"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5" s="30">
        <v>46359</v>
      </c>
      <c r="C5" s="27" t="s">
        <v>216</v>
      </c>
      <c r="D5" s="27"/>
      <c r="E5" s="27"/>
      <c r="F5" s="10"/>
      <c r="G5" s="36" t="s">
        <v>263</v>
      </c>
      <c r="H5" s="37"/>
      <c r="I5" s="37"/>
      <c r="J5" s="27"/>
      <c r="K5" s="27"/>
      <c r="L5" s="27"/>
      <c r="M5" s="27"/>
      <c r="N5" s="27"/>
      <c r="O5" s="2" t="s">
        <v>1859</v>
      </c>
      <c r="P5" s="29" t="s">
        <v>265</v>
      </c>
      <c r="Q5" s="27"/>
      <c r="R5" s="27"/>
    </row>
    <row r="6" spans="1:18" ht="24" customHeight="1">
      <c r="A6" s="27"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6" s="30">
        <v>46360</v>
      </c>
      <c r="C6" s="27" t="s">
        <v>220</v>
      </c>
      <c r="D6" s="27"/>
      <c r="E6" s="27"/>
      <c r="F6" s="10"/>
      <c r="G6" s="36" t="s">
        <v>263</v>
      </c>
      <c r="H6" s="37"/>
      <c r="I6" s="37"/>
      <c r="J6" s="27"/>
      <c r="K6" s="27"/>
      <c r="L6" s="27"/>
      <c r="M6" s="27"/>
      <c r="N6" s="27"/>
      <c r="O6" s="2" t="s">
        <v>1859</v>
      </c>
      <c r="P6" s="29" t="s">
        <v>265</v>
      </c>
      <c r="Q6" s="27"/>
      <c r="R6" s="27"/>
    </row>
    <row r="7" spans="1:18" ht="24" customHeight="1">
      <c r="A7" s="27"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7" s="30">
        <v>46361</v>
      </c>
      <c r="C7" s="27" t="s">
        <v>266</v>
      </c>
      <c r="D7" s="27"/>
      <c r="E7" s="27"/>
      <c r="F7" s="10"/>
      <c r="G7" s="36" t="s">
        <v>263</v>
      </c>
      <c r="H7" s="37"/>
      <c r="I7" s="37"/>
      <c r="J7" s="27"/>
      <c r="K7" s="27"/>
      <c r="L7" s="27"/>
      <c r="M7" s="27"/>
      <c r="N7" s="27"/>
      <c r="O7" s="2" t="s">
        <v>1859</v>
      </c>
      <c r="P7" s="29" t="s">
        <v>265</v>
      </c>
      <c r="Q7" s="27"/>
      <c r="R7" s="27"/>
    </row>
    <row r="8" spans="1:18" ht="24" customHeight="1">
      <c r="A8" s="27"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8" s="30">
        <v>46362</v>
      </c>
      <c r="C8" s="27" t="s">
        <v>267</v>
      </c>
      <c r="D8" s="27"/>
      <c r="E8" s="27"/>
      <c r="F8" s="10"/>
      <c r="G8" s="36" t="s">
        <v>263</v>
      </c>
      <c r="H8" s="37"/>
      <c r="I8" s="37"/>
      <c r="J8" s="27"/>
      <c r="K8" s="27"/>
      <c r="L8" s="27"/>
      <c r="M8" s="27"/>
      <c r="N8" s="27"/>
      <c r="O8" s="2" t="s">
        <v>1859</v>
      </c>
      <c r="P8" s="29" t="s">
        <v>265</v>
      </c>
      <c r="Q8" s="27"/>
      <c r="R8" s="27"/>
    </row>
    <row r="9" spans="1:18" ht="24" customHeight="1">
      <c r="A9" s="27"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9" s="30">
        <v>46363</v>
      </c>
      <c r="C9" s="27" t="s">
        <v>224</v>
      </c>
      <c r="D9" s="27"/>
      <c r="E9" s="27"/>
      <c r="F9" s="10"/>
      <c r="G9" s="36" t="s">
        <v>263</v>
      </c>
      <c r="H9" s="37"/>
      <c r="I9" s="37"/>
      <c r="J9" s="27"/>
      <c r="K9" s="27"/>
      <c r="L9" s="27"/>
      <c r="M9" s="27"/>
      <c r="N9" s="27"/>
      <c r="O9" s="2" t="s">
        <v>1859</v>
      </c>
      <c r="P9" s="29" t="s">
        <v>265</v>
      </c>
      <c r="Q9" s="27"/>
      <c r="R9" s="27"/>
    </row>
    <row r="10" spans="1:18" ht="24" customHeight="1">
      <c r="A10" s="27"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0" s="30">
        <v>46364</v>
      </c>
      <c r="C10" s="27" t="s">
        <v>227</v>
      </c>
      <c r="D10" s="27"/>
      <c r="E10" s="27"/>
      <c r="F10" s="10"/>
      <c r="G10" s="36" t="s">
        <v>263</v>
      </c>
      <c r="H10" s="37"/>
      <c r="I10" s="37"/>
      <c r="J10" s="27"/>
      <c r="K10" s="27"/>
      <c r="L10" s="27"/>
      <c r="M10" s="27"/>
      <c r="N10" s="27"/>
      <c r="O10" s="2" t="s">
        <v>1859</v>
      </c>
      <c r="P10" s="29" t="s">
        <v>265</v>
      </c>
      <c r="Q10" s="27"/>
      <c r="R10" s="27"/>
    </row>
    <row r="11" spans="1:18" ht="24" customHeight="1">
      <c r="A11" s="27"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1" s="30">
        <v>46365</v>
      </c>
      <c r="C11" s="27" t="s">
        <v>201</v>
      </c>
      <c r="D11" s="27"/>
      <c r="E11" s="27"/>
      <c r="F11" s="10"/>
      <c r="G11" s="36" t="s">
        <v>263</v>
      </c>
      <c r="H11" s="37"/>
      <c r="I11" s="37"/>
      <c r="J11" s="27"/>
      <c r="K11" s="27"/>
      <c r="L11" s="27"/>
      <c r="M11" s="27"/>
      <c r="N11" s="27"/>
      <c r="O11" s="2" t="s">
        <v>1859</v>
      </c>
      <c r="P11" s="29" t="s">
        <v>265</v>
      </c>
      <c r="Q11" s="27"/>
      <c r="R11" s="27"/>
    </row>
    <row r="12" spans="1:18" ht="24" customHeight="1">
      <c r="A12" s="27"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2" s="30">
        <v>46366</v>
      </c>
      <c r="C12" s="27" t="s">
        <v>216</v>
      </c>
      <c r="D12" s="27"/>
      <c r="E12" s="27"/>
      <c r="F12" s="10"/>
      <c r="G12" s="36" t="s">
        <v>263</v>
      </c>
      <c r="H12" s="37"/>
      <c r="I12" s="37"/>
      <c r="J12" s="27"/>
      <c r="K12" s="27"/>
      <c r="L12" s="27"/>
      <c r="M12" s="27"/>
      <c r="N12" s="27"/>
      <c r="O12" s="2" t="s">
        <v>1859</v>
      </c>
      <c r="P12" s="29" t="s">
        <v>265</v>
      </c>
      <c r="Q12" s="27"/>
      <c r="R12" s="27"/>
    </row>
    <row r="13" spans="1:18" ht="24" customHeight="1">
      <c r="A13" s="27"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3" s="30">
        <v>46367</v>
      </c>
      <c r="C13" s="27" t="s">
        <v>220</v>
      </c>
      <c r="D13" s="27"/>
      <c r="E13" s="27"/>
      <c r="F13" s="10"/>
      <c r="G13" s="36" t="s">
        <v>263</v>
      </c>
      <c r="H13" s="37"/>
      <c r="I13" s="37"/>
      <c r="J13" s="27"/>
      <c r="K13" s="27"/>
      <c r="L13" s="27"/>
      <c r="M13" s="27"/>
      <c r="N13" s="27"/>
      <c r="O13" s="2" t="s">
        <v>1859</v>
      </c>
      <c r="P13" s="29" t="s">
        <v>265</v>
      </c>
      <c r="Q13" s="27"/>
      <c r="R13" s="27"/>
    </row>
    <row r="14" spans="1:18" ht="24" customHeight="1">
      <c r="A14" s="27"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4" s="30">
        <v>46368</v>
      </c>
      <c r="C14" s="27" t="s">
        <v>266</v>
      </c>
      <c r="D14" s="27"/>
      <c r="E14" s="27"/>
      <c r="F14" s="10"/>
      <c r="G14" s="36" t="s">
        <v>263</v>
      </c>
      <c r="H14" s="37"/>
      <c r="I14" s="37"/>
      <c r="J14" s="27"/>
      <c r="K14" s="27"/>
      <c r="L14" s="27"/>
      <c r="M14" s="27"/>
      <c r="N14" s="27"/>
      <c r="O14" s="2" t="s">
        <v>1859</v>
      </c>
      <c r="P14" s="29" t="s">
        <v>265</v>
      </c>
      <c r="Q14" s="27"/>
      <c r="R14" s="27"/>
    </row>
    <row r="15" spans="1:18" ht="24" customHeight="1">
      <c r="A15" s="27"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5" s="30">
        <v>46369</v>
      </c>
      <c r="C15" s="27" t="s">
        <v>267</v>
      </c>
      <c r="D15" s="27"/>
      <c r="E15" s="27"/>
      <c r="F15" s="10"/>
      <c r="G15" s="36" t="s">
        <v>263</v>
      </c>
      <c r="H15" s="37"/>
      <c r="I15" s="37"/>
      <c r="J15" s="27"/>
      <c r="K15" s="27"/>
      <c r="L15" s="27"/>
      <c r="M15" s="27"/>
      <c r="N15" s="27"/>
      <c r="O15" s="2" t="s">
        <v>1859</v>
      </c>
      <c r="P15" s="29" t="s">
        <v>265</v>
      </c>
      <c r="Q15" s="27"/>
      <c r="R15" s="27"/>
    </row>
    <row r="16" spans="1:18" ht="24" customHeight="1">
      <c r="A16" s="27"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6" s="30">
        <v>46370</v>
      </c>
      <c r="C16" s="27" t="s">
        <v>224</v>
      </c>
      <c r="D16" s="27"/>
      <c r="E16" s="27"/>
      <c r="F16" s="10"/>
      <c r="G16" s="36" t="s">
        <v>263</v>
      </c>
      <c r="H16" s="37"/>
      <c r="I16" s="37"/>
      <c r="J16" s="27"/>
      <c r="K16" s="27"/>
      <c r="L16" s="27"/>
      <c r="M16" s="27"/>
      <c r="N16" s="27"/>
      <c r="O16" s="2" t="s">
        <v>1859</v>
      </c>
      <c r="P16" s="29" t="s">
        <v>265</v>
      </c>
      <c r="Q16" s="27"/>
      <c r="R16" s="27"/>
    </row>
    <row r="17" spans="1:18" ht="24" customHeight="1">
      <c r="A17" s="27"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7" s="30">
        <v>46371</v>
      </c>
      <c r="C17" s="27" t="s">
        <v>227</v>
      </c>
      <c r="D17" s="27"/>
      <c r="E17" s="27"/>
      <c r="F17" s="10"/>
      <c r="G17" s="36" t="s">
        <v>263</v>
      </c>
      <c r="H17" s="37"/>
      <c r="I17" s="37"/>
      <c r="J17" s="27"/>
      <c r="K17" s="27"/>
      <c r="L17" s="27"/>
      <c r="M17" s="27"/>
      <c r="N17" s="27"/>
      <c r="O17" s="2" t="s">
        <v>1859</v>
      </c>
      <c r="P17" s="29" t="s">
        <v>265</v>
      </c>
      <c r="Q17" s="27"/>
      <c r="R17" s="27"/>
    </row>
    <row r="18" spans="1:18" ht="24" customHeight="1">
      <c r="A18" s="27"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8" s="30">
        <v>46372</v>
      </c>
      <c r="C18" s="27" t="s">
        <v>201</v>
      </c>
      <c r="D18" s="27"/>
      <c r="E18" s="27"/>
      <c r="F18" s="10"/>
      <c r="G18" s="36" t="s">
        <v>263</v>
      </c>
      <c r="H18" s="37"/>
      <c r="I18" s="37"/>
      <c r="J18" s="27"/>
      <c r="K18" s="27"/>
      <c r="L18" s="27"/>
      <c r="M18" s="27"/>
      <c r="N18" s="27"/>
      <c r="O18" s="2" t="s">
        <v>1859</v>
      </c>
      <c r="P18" s="29" t="s">
        <v>265</v>
      </c>
      <c r="Q18" s="27"/>
      <c r="R18" s="27"/>
    </row>
    <row r="19" spans="1:18" ht="24" customHeight="1">
      <c r="A19" s="27"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19" s="30">
        <v>46373</v>
      </c>
      <c r="C19" s="27" t="s">
        <v>216</v>
      </c>
      <c r="D19" s="27"/>
      <c r="E19" s="27"/>
      <c r="F19" s="10"/>
      <c r="G19" s="36" t="s">
        <v>263</v>
      </c>
      <c r="H19" s="37"/>
      <c r="I19" s="37"/>
      <c r="J19" s="27"/>
      <c r="K19" s="27"/>
      <c r="L19" s="27"/>
      <c r="M19" s="27"/>
      <c r="N19" s="27"/>
      <c r="O19" s="2" t="s">
        <v>1859</v>
      </c>
      <c r="P19" s="29" t="s">
        <v>265</v>
      </c>
      <c r="Q19" s="27"/>
      <c r="R19" s="27"/>
    </row>
    <row r="20" spans="1:18" ht="24" customHeight="1">
      <c r="A20" s="27"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0" s="30">
        <v>46374</v>
      </c>
      <c r="C20" s="27" t="s">
        <v>220</v>
      </c>
      <c r="D20" s="27"/>
      <c r="E20" s="27"/>
      <c r="F20" s="10"/>
      <c r="G20" s="36" t="s">
        <v>263</v>
      </c>
      <c r="H20" s="37"/>
      <c r="I20" s="37"/>
      <c r="J20" s="27"/>
      <c r="K20" s="27"/>
      <c r="L20" s="27"/>
      <c r="M20" s="27"/>
      <c r="N20" s="27"/>
      <c r="O20" s="2" t="s">
        <v>1859</v>
      </c>
      <c r="P20" s="29" t="s">
        <v>265</v>
      </c>
      <c r="Q20" s="27"/>
      <c r="R20" s="27"/>
    </row>
    <row r="21" spans="1:18" ht="24" customHeight="1">
      <c r="A21" s="27"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1" s="30">
        <v>46375</v>
      </c>
      <c r="C21" s="27" t="s">
        <v>266</v>
      </c>
      <c r="D21" s="27"/>
      <c r="E21" s="27"/>
      <c r="F21" s="10"/>
      <c r="G21" s="36" t="s">
        <v>263</v>
      </c>
      <c r="H21" s="37"/>
      <c r="I21" s="37"/>
      <c r="J21" s="27"/>
      <c r="K21" s="27"/>
      <c r="L21" s="27"/>
      <c r="M21" s="27"/>
      <c r="N21" s="27"/>
      <c r="O21" s="2" t="s">
        <v>1859</v>
      </c>
      <c r="P21" s="29" t="s">
        <v>265</v>
      </c>
      <c r="Q21" s="27"/>
      <c r="R21" s="27"/>
    </row>
    <row r="22" spans="1:18" ht="24" customHeight="1">
      <c r="A22" s="27"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2" s="30">
        <v>46376</v>
      </c>
      <c r="C22" s="27" t="s">
        <v>267</v>
      </c>
      <c r="D22" s="27"/>
      <c r="E22" s="27"/>
      <c r="F22" s="10"/>
      <c r="G22" s="36" t="s">
        <v>263</v>
      </c>
      <c r="H22" s="37"/>
      <c r="I22" s="37"/>
      <c r="J22" s="27"/>
      <c r="K22" s="27"/>
      <c r="L22" s="27"/>
      <c r="M22" s="27"/>
      <c r="N22" s="27"/>
      <c r="O22" s="2" t="s">
        <v>1859</v>
      </c>
      <c r="P22" s="29" t="s">
        <v>265</v>
      </c>
      <c r="Q22" s="27"/>
      <c r="R22" s="27"/>
    </row>
    <row r="23" spans="1:18" ht="24" customHeight="1">
      <c r="A23" s="27"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3" s="30">
        <v>46377</v>
      </c>
      <c r="C23" s="27" t="s">
        <v>224</v>
      </c>
      <c r="D23" s="27"/>
      <c r="E23" s="27"/>
      <c r="F23" s="10"/>
      <c r="G23" s="36" t="s">
        <v>263</v>
      </c>
      <c r="H23" s="37"/>
      <c r="I23" s="37"/>
      <c r="J23" s="27"/>
      <c r="K23" s="27"/>
      <c r="L23" s="27"/>
      <c r="M23" s="27"/>
      <c r="N23" s="27"/>
      <c r="O23" s="2" t="s">
        <v>1859</v>
      </c>
      <c r="P23" s="29" t="s">
        <v>265</v>
      </c>
      <c r="Q23" s="27"/>
      <c r="R23" s="27"/>
    </row>
    <row r="24" spans="1:18" ht="24" customHeight="1">
      <c r="A24" s="27"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4" s="30">
        <v>46378</v>
      </c>
      <c r="C24" s="27" t="s">
        <v>227</v>
      </c>
      <c r="D24" s="27"/>
      <c r="E24" s="27"/>
      <c r="F24" s="10"/>
      <c r="G24" s="36" t="s">
        <v>263</v>
      </c>
      <c r="H24" s="37"/>
      <c r="I24" s="37"/>
      <c r="J24" s="27"/>
      <c r="K24" s="27"/>
      <c r="L24" s="27"/>
      <c r="M24" s="27"/>
      <c r="N24" s="27"/>
      <c r="O24" s="2" t="s">
        <v>1859</v>
      </c>
      <c r="P24" s="29" t="s">
        <v>265</v>
      </c>
      <c r="Q24" s="27"/>
      <c r="R24" s="27"/>
    </row>
    <row r="25" spans="1:18" ht="24" customHeight="1">
      <c r="A25" s="27"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5" s="30">
        <v>46379</v>
      </c>
      <c r="C25" s="27" t="s">
        <v>201</v>
      </c>
      <c r="D25" s="27"/>
      <c r="E25" s="27"/>
      <c r="F25" s="10"/>
      <c r="G25" s="36" t="s">
        <v>263</v>
      </c>
      <c r="H25" s="37"/>
      <c r="I25" s="37"/>
      <c r="J25" s="27"/>
      <c r="K25" s="27"/>
      <c r="L25" s="27"/>
      <c r="M25" s="27"/>
      <c r="N25" s="27"/>
      <c r="O25" s="2" t="s">
        <v>1859</v>
      </c>
      <c r="P25" s="29" t="s">
        <v>265</v>
      </c>
      <c r="Q25" s="27"/>
      <c r="R25" s="27"/>
    </row>
    <row r="26" spans="1:18" ht="24" customHeight="1">
      <c r="A26" s="27"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6" s="30">
        <v>46380</v>
      </c>
      <c r="C26" s="27" t="s">
        <v>216</v>
      </c>
      <c r="D26" s="27"/>
      <c r="E26" s="27"/>
      <c r="F26" s="10"/>
      <c r="G26" s="36" t="s">
        <v>263</v>
      </c>
      <c r="H26" s="37"/>
      <c r="I26" s="37"/>
      <c r="J26" s="27"/>
      <c r="K26" s="27"/>
      <c r="L26" s="27"/>
      <c r="M26" s="27"/>
      <c r="N26" s="27"/>
      <c r="O26" s="2" t="s">
        <v>1859</v>
      </c>
      <c r="P26" s="29" t="s">
        <v>265</v>
      </c>
      <c r="Q26" s="27"/>
      <c r="R26" s="27"/>
    </row>
    <row r="27" spans="1:18" ht="24" customHeight="1">
      <c r="A27" s="27"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EVT-2026-1366</v>
      </c>
      <c r="B27" s="30">
        <v>46381</v>
      </c>
      <c r="C27" s="27" t="s">
        <v>220</v>
      </c>
      <c r="D27" s="27" t="s">
        <v>125</v>
      </c>
      <c r="E27" s="27" t="s">
        <v>2137</v>
      </c>
      <c r="F27" s="10">
        <v>50</v>
      </c>
      <c r="G27" s="36" t="s">
        <v>263</v>
      </c>
      <c r="H27" s="37" t="s">
        <v>295</v>
      </c>
      <c r="I27" s="37" t="s">
        <v>270</v>
      </c>
      <c r="J27" s="27" t="s">
        <v>382</v>
      </c>
      <c r="K27" s="27" t="s">
        <v>382</v>
      </c>
      <c r="L27" s="27" t="s">
        <v>916</v>
      </c>
      <c r="M27" s="27"/>
      <c r="N27" s="30">
        <v>46226</v>
      </c>
      <c r="O27" s="2" t="s">
        <v>1859</v>
      </c>
      <c r="P27" s="29" t="s">
        <v>265</v>
      </c>
      <c r="Q27" s="27"/>
      <c r="R27" s="27" t="s">
        <v>1803</v>
      </c>
    </row>
    <row r="28" spans="1:18" ht="24" customHeight="1">
      <c r="A28" s="27"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8" s="30">
        <v>46382</v>
      </c>
      <c r="C28" s="27" t="s">
        <v>266</v>
      </c>
      <c r="D28" s="27"/>
      <c r="E28" s="27"/>
      <c r="F28" s="10"/>
      <c r="G28" s="36" t="s">
        <v>263</v>
      </c>
      <c r="H28" s="37"/>
      <c r="I28" s="37"/>
      <c r="J28" s="27"/>
      <c r="K28" s="27"/>
      <c r="L28" s="27"/>
      <c r="M28" s="27"/>
      <c r="N28" s="27"/>
      <c r="O28" s="2" t="s">
        <v>1859</v>
      </c>
      <c r="P28" s="29" t="s">
        <v>265</v>
      </c>
      <c r="Q28" s="27"/>
      <c r="R28" s="27"/>
    </row>
    <row r="29" spans="1:18" ht="24" customHeight="1">
      <c r="A29" s="27"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29" s="30">
        <v>46383</v>
      </c>
      <c r="C29" s="27" t="s">
        <v>267</v>
      </c>
      <c r="D29" s="27"/>
      <c r="E29" s="27"/>
      <c r="F29" s="10"/>
      <c r="G29" s="36" t="s">
        <v>263</v>
      </c>
      <c r="H29" s="37"/>
      <c r="I29" s="37"/>
      <c r="J29" s="27"/>
      <c r="K29" s="27"/>
      <c r="L29" s="27"/>
      <c r="M29" s="27"/>
      <c r="N29" s="27"/>
      <c r="O29" s="2" t="s">
        <v>1859</v>
      </c>
      <c r="P29" s="29" t="s">
        <v>265</v>
      </c>
      <c r="Q29" s="27"/>
      <c r="R29" s="27"/>
    </row>
    <row r="30" spans="1:18" ht="24" customHeight="1">
      <c r="A30" s="27"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0" s="30">
        <v>46384</v>
      </c>
      <c r="C30" s="27" t="s">
        <v>224</v>
      </c>
      <c r="D30" s="27"/>
      <c r="E30" s="27"/>
      <c r="F30" s="10"/>
      <c r="G30" s="36" t="s">
        <v>263</v>
      </c>
      <c r="H30" s="37"/>
      <c r="I30" s="37"/>
      <c r="J30" s="27"/>
      <c r="K30" s="27"/>
      <c r="L30" s="27"/>
      <c r="M30" s="27"/>
      <c r="N30" s="27"/>
      <c r="O30" s="2" t="s">
        <v>1859</v>
      </c>
      <c r="P30" s="29" t="s">
        <v>265</v>
      </c>
      <c r="Q30" s="27"/>
      <c r="R30" s="27"/>
    </row>
    <row r="31" spans="1:18" ht="24" customHeight="1">
      <c r="A31" s="27"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1" s="30">
        <v>46385</v>
      </c>
      <c r="C31" s="27" t="s">
        <v>227</v>
      </c>
      <c r="D31" s="27"/>
      <c r="E31" s="27"/>
      <c r="F31" s="10"/>
      <c r="G31" s="36" t="s">
        <v>263</v>
      </c>
      <c r="H31" s="37"/>
      <c r="I31" s="37"/>
      <c r="J31" s="27"/>
      <c r="K31" s="27"/>
      <c r="L31" s="27"/>
      <c r="M31" s="27"/>
      <c r="N31" s="27"/>
      <c r="O31" s="2" t="s">
        <v>1859</v>
      </c>
      <c r="P31" s="29" t="s">
        <v>265</v>
      </c>
      <c r="Q31" s="27"/>
      <c r="R31" s="27"/>
    </row>
    <row r="32" spans="1:18" ht="24" customHeight="1">
      <c r="A32" s="27"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2" s="30">
        <v>46386</v>
      </c>
      <c r="C32" s="27" t="s">
        <v>201</v>
      </c>
      <c r="D32" s="27"/>
      <c r="E32" s="27"/>
      <c r="F32" s="10"/>
      <c r="G32" s="36" t="s">
        <v>263</v>
      </c>
      <c r="H32" s="37"/>
      <c r="I32" s="37"/>
      <c r="J32" s="27"/>
      <c r="K32" s="27"/>
      <c r="L32" s="27"/>
      <c r="M32" s="27"/>
      <c r="N32" s="27"/>
      <c r="O32" s="2" t="s">
        <v>1859</v>
      </c>
      <c r="P32" s="29" t="s">
        <v>265</v>
      </c>
      <c r="Q32" s="27"/>
      <c r="R32" s="27"/>
    </row>
    <row r="33" spans="1:18" ht="24" customHeight="1">
      <c r="A33" s="27"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3" s="30">
        <v>46387</v>
      </c>
      <c r="C33" s="27" t="s">
        <v>216</v>
      </c>
      <c r="D33" s="27"/>
      <c r="E33" s="27"/>
      <c r="F33" s="10"/>
      <c r="G33" s="36" t="s">
        <v>263</v>
      </c>
      <c r="H33" s="37"/>
      <c r="I33" s="37"/>
      <c r="J33" s="27"/>
      <c r="K33" s="27"/>
      <c r="L33" s="27"/>
      <c r="M33" s="27"/>
      <c r="N33" s="27"/>
      <c r="O33" s="2" t="s">
        <v>1859</v>
      </c>
      <c r="P33" s="29" t="s">
        <v>265</v>
      </c>
      <c r="Q33" s="27"/>
      <c r="R33" s="27"/>
    </row>
    <row r="34" spans="1:18" ht="24" customHeight="1">
      <c r="A34" s="27"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4" s="27"/>
      <c r="C34" s="27"/>
      <c r="D34" s="27"/>
      <c r="E34" s="27"/>
      <c r="F34" s="10"/>
      <c r="G34" s="36" t="s">
        <v>263</v>
      </c>
      <c r="H34" s="37"/>
      <c r="I34" s="37"/>
      <c r="J34" s="27"/>
      <c r="K34" s="27"/>
      <c r="L34" s="27"/>
      <c r="M34" s="27"/>
      <c r="N34" s="27"/>
      <c r="O34" s="2" t="s">
        <v>1859</v>
      </c>
      <c r="P34" s="29" t="s">
        <v>265</v>
      </c>
      <c r="Q34" s="27"/>
      <c r="R34" s="27"/>
    </row>
    <row r="35" spans="1:18" ht="24" customHeight="1">
      <c r="A35" s="27"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5" s="27"/>
      <c r="C35" s="27"/>
      <c r="D35" s="27"/>
      <c r="E35" s="27"/>
      <c r="F35" s="10"/>
      <c r="G35" s="36" t="s">
        <v>263</v>
      </c>
      <c r="H35" s="37"/>
      <c r="I35" s="37"/>
      <c r="J35" s="27"/>
      <c r="K35" s="27"/>
      <c r="L35" s="27"/>
      <c r="M35" s="27"/>
      <c r="N35" s="27"/>
      <c r="O35" s="2" t="s">
        <v>1859</v>
      </c>
      <c r="P35" s="29" t="s">
        <v>265</v>
      </c>
      <c r="Q35" s="27"/>
      <c r="R35" s="27"/>
    </row>
    <row r="36" spans="1:18" ht="24" customHeight="1">
      <c r="A36" s="27"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6" s="27"/>
      <c r="C36" s="27"/>
      <c r="D36" s="27"/>
      <c r="E36" s="27"/>
      <c r="F36" s="10"/>
      <c r="G36" s="36" t="s">
        <v>263</v>
      </c>
      <c r="H36" s="37"/>
      <c r="I36" s="37"/>
      <c r="J36" s="27"/>
      <c r="K36" s="27"/>
      <c r="L36" s="27"/>
      <c r="M36" s="27"/>
      <c r="N36" s="27"/>
      <c r="O36" s="2" t="s">
        <v>1859</v>
      </c>
      <c r="P36" s="29" t="s">
        <v>265</v>
      </c>
      <c r="Q36" s="27"/>
      <c r="R36" s="27"/>
    </row>
    <row r="37" spans="1:18" ht="24" customHeight="1">
      <c r="A37" s="27"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7" s="27"/>
      <c r="C37" s="27"/>
      <c r="D37" s="27"/>
      <c r="E37" s="27"/>
      <c r="F37" s="10"/>
      <c r="G37" s="36" t="s">
        <v>263</v>
      </c>
      <c r="H37" s="37"/>
      <c r="I37" s="37"/>
      <c r="J37" s="27"/>
      <c r="K37" s="27"/>
      <c r="L37" s="27"/>
      <c r="M37" s="27"/>
      <c r="N37" s="27"/>
      <c r="O37" s="2" t="s">
        <v>1859</v>
      </c>
      <c r="P37" s="29" t="s">
        <v>265</v>
      </c>
      <c r="Q37" s="27"/>
      <c r="R37" s="27"/>
    </row>
    <row r="38" spans="1:18" ht="24" customHeight="1">
      <c r="A38" s="27"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8" s="27"/>
      <c r="C38" s="27"/>
      <c r="D38" s="27"/>
      <c r="E38" s="27"/>
      <c r="F38" s="10"/>
      <c r="G38" s="36" t="s">
        <v>263</v>
      </c>
      <c r="H38" s="37"/>
      <c r="I38" s="37"/>
      <c r="J38" s="27"/>
      <c r="K38" s="27"/>
      <c r="L38" s="27"/>
      <c r="M38" s="27"/>
      <c r="N38" s="27"/>
      <c r="O38" s="2" t="s">
        <v>1859</v>
      </c>
      <c r="P38" s="29" t="s">
        <v>265</v>
      </c>
      <c r="Q38" s="27"/>
      <c r="R38" s="27"/>
    </row>
    <row r="39" spans="1:18" ht="24" customHeight="1">
      <c r="A39" s="27"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39" s="27"/>
      <c r="C39" s="27"/>
      <c r="D39" s="27"/>
      <c r="E39" s="27"/>
      <c r="F39" s="10"/>
      <c r="G39" s="36" t="s">
        <v>263</v>
      </c>
      <c r="H39" s="37"/>
      <c r="I39" s="37"/>
      <c r="J39" s="27"/>
      <c r="K39" s="27"/>
      <c r="L39" s="27"/>
      <c r="M39" s="27"/>
      <c r="N39" s="27"/>
      <c r="O39" s="2" t="s">
        <v>1859</v>
      </c>
      <c r="P39" s="29" t="s">
        <v>265</v>
      </c>
      <c r="Q39" s="27"/>
      <c r="R39" s="27"/>
    </row>
    <row r="40" spans="1:18" ht="24" customHeight="1">
      <c r="A40" s="27"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0" s="27"/>
      <c r="C40" s="27"/>
      <c r="D40" s="27"/>
      <c r="E40" s="27"/>
      <c r="F40" s="10"/>
      <c r="G40" s="36" t="s">
        <v>263</v>
      </c>
      <c r="H40" s="37"/>
      <c r="I40" s="37"/>
      <c r="J40" s="27"/>
      <c r="K40" s="27"/>
      <c r="L40" s="27"/>
      <c r="M40" s="27"/>
      <c r="N40" s="27"/>
      <c r="O40" s="2" t="s">
        <v>1859</v>
      </c>
      <c r="P40" s="29" t="s">
        <v>265</v>
      </c>
      <c r="Q40" s="27"/>
      <c r="R40" s="27"/>
    </row>
    <row r="41" spans="1:18" ht="24" customHeight="1">
      <c r="A41" s="27"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1" s="27"/>
      <c r="C41" s="27"/>
      <c r="D41" s="27"/>
      <c r="E41" s="27"/>
      <c r="F41" s="10"/>
      <c r="G41" s="36" t="s">
        <v>263</v>
      </c>
      <c r="H41" s="37"/>
      <c r="I41" s="37"/>
      <c r="J41" s="27"/>
      <c r="K41" s="27"/>
      <c r="L41" s="27"/>
      <c r="M41" s="27"/>
      <c r="N41" s="27"/>
      <c r="O41" s="2" t="s">
        <v>1859</v>
      </c>
      <c r="P41" s="29" t="s">
        <v>265</v>
      </c>
      <c r="Q41" s="27"/>
      <c r="R41" s="27"/>
    </row>
    <row r="42" spans="1:18" ht="24" customHeight="1">
      <c r="A42" s="27"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2" s="27"/>
      <c r="C42" s="27"/>
      <c r="D42" s="27"/>
      <c r="E42" s="27"/>
      <c r="F42" s="10"/>
      <c r="G42" s="36" t="s">
        <v>263</v>
      </c>
      <c r="H42" s="37"/>
      <c r="I42" s="37"/>
      <c r="J42" s="27"/>
      <c r="K42" s="27"/>
      <c r="L42" s="27"/>
      <c r="M42" s="27"/>
      <c r="N42" s="27"/>
      <c r="O42" s="2" t="s">
        <v>1859</v>
      </c>
      <c r="P42" s="29" t="s">
        <v>265</v>
      </c>
      <c r="Q42" s="27"/>
      <c r="R42" s="27"/>
    </row>
    <row r="43" spans="1:18" ht="24" customHeight="1">
      <c r="A43" s="27"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3" s="27"/>
      <c r="C43" s="27"/>
      <c r="D43" s="27"/>
      <c r="E43" s="27"/>
      <c r="F43" s="10"/>
      <c r="G43" s="36" t="s">
        <v>263</v>
      </c>
      <c r="H43" s="37"/>
      <c r="I43" s="37"/>
      <c r="J43" s="27"/>
      <c r="K43" s="27"/>
      <c r="L43" s="27"/>
      <c r="M43" s="27"/>
      <c r="N43" s="27"/>
      <c r="O43" s="2" t="s">
        <v>1859</v>
      </c>
      <c r="P43" s="29" t="s">
        <v>265</v>
      </c>
      <c r="Q43" s="27"/>
      <c r="R43" s="27"/>
    </row>
    <row r="44" spans="1:18" ht="24" customHeight="1">
      <c r="A44" s="27"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4" s="27"/>
      <c r="C44" s="27"/>
      <c r="D44" s="27"/>
      <c r="E44" s="27"/>
      <c r="F44" s="10"/>
      <c r="G44" s="36" t="s">
        <v>263</v>
      </c>
      <c r="H44" s="37"/>
      <c r="I44" s="37"/>
      <c r="J44" s="27"/>
      <c r="K44" s="27"/>
      <c r="L44" s="27"/>
      <c r="M44" s="27"/>
      <c r="N44" s="27"/>
      <c r="O44" s="2" t="s">
        <v>1859</v>
      </c>
      <c r="P44" s="29" t="s">
        <v>265</v>
      </c>
      <c r="Q44" s="27"/>
      <c r="R44" s="27"/>
    </row>
    <row r="45" spans="1:18" ht="24" customHeight="1">
      <c r="A45" s="27"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5" s="27"/>
      <c r="C45" s="27"/>
      <c r="D45" s="27"/>
      <c r="E45" s="27"/>
      <c r="F45" s="10"/>
      <c r="G45" s="36" t="s">
        <v>263</v>
      </c>
      <c r="H45" s="37"/>
      <c r="I45" s="37"/>
      <c r="J45" s="27"/>
      <c r="K45" s="27"/>
      <c r="L45" s="27"/>
      <c r="M45" s="27"/>
      <c r="N45" s="27"/>
      <c r="O45" s="2" t="s">
        <v>1859</v>
      </c>
      <c r="P45" s="29" t="s">
        <v>265</v>
      </c>
      <c r="Q45" s="27"/>
      <c r="R45" s="27"/>
    </row>
    <row r="46" spans="1:18" ht="24" customHeight="1">
      <c r="A46" s="27"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6" s="27"/>
      <c r="C46" s="27"/>
      <c r="D46" s="27"/>
      <c r="E46" s="27"/>
      <c r="F46" s="10"/>
      <c r="G46" s="36" t="s">
        <v>263</v>
      </c>
      <c r="H46" s="37"/>
      <c r="I46" s="37"/>
      <c r="J46" s="27"/>
      <c r="K46" s="27"/>
      <c r="L46" s="27"/>
      <c r="M46" s="27"/>
      <c r="N46" s="27"/>
      <c r="O46" s="2" t="s">
        <v>1859</v>
      </c>
      <c r="P46" s="29" t="s">
        <v>265</v>
      </c>
      <c r="Q46" s="27"/>
      <c r="R46" s="27"/>
    </row>
    <row r="47" spans="1:18" ht="24" customHeight="1">
      <c r="A47" s="27"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7" s="27"/>
      <c r="C47" s="27"/>
      <c r="D47" s="27"/>
      <c r="E47" s="27"/>
      <c r="F47" s="10"/>
      <c r="G47" s="36" t="s">
        <v>263</v>
      </c>
      <c r="H47" s="37"/>
      <c r="I47" s="37"/>
      <c r="J47" s="27"/>
      <c r="K47" s="27"/>
      <c r="L47" s="27"/>
      <c r="M47" s="27"/>
      <c r="N47" s="27"/>
      <c r="O47" s="2" t="s">
        <v>1859</v>
      </c>
      <c r="P47" s="29" t="s">
        <v>265</v>
      </c>
      <c r="Q47" s="27"/>
      <c r="R47" s="27"/>
    </row>
    <row r="48" spans="1:18" ht="24" customHeight="1">
      <c r="A48" s="27"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8" s="27"/>
      <c r="C48" s="27"/>
      <c r="D48" s="27"/>
      <c r="E48" s="27"/>
      <c r="F48" s="10"/>
      <c r="G48" s="36" t="s">
        <v>263</v>
      </c>
      <c r="H48" s="37"/>
      <c r="I48" s="37"/>
      <c r="J48" s="27"/>
      <c r="K48" s="27"/>
      <c r="L48" s="27"/>
      <c r="M48" s="27"/>
      <c r="N48" s="27"/>
      <c r="O48" s="2" t="s">
        <v>1859</v>
      </c>
      <c r="P48" s="29" t="s">
        <v>265</v>
      </c>
      <c r="Q48" s="27"/>
      <c r="R48" s="27"/>
    </row>
    <row r="49" spans="1:18" ht="24" customHeight="1">
      <c r="A49" s="27"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49" s="27"/>
      <c r="C49" s="27"/>
      <c r="D49" s="27"/>
      <c r="E49" s="27"/>
      <c r="F49" s="10"/>
      <c r="G49" s="36" t="s">
        <v>263</v>
      </c>
      <c r="H49" s="37"/>
      <c r="I49" s="37"/>
      <c r="J49" s="27"/>
      <c r="K49" s="27"/>
      <c r="L49" s="27"/>
      <c r="M49" s="27"/>
      <c r="N49" s="27"/>
      <c r="O49" s="2" t="s">
        <v>1859</v>
      </c>
      <c r="P49" s="29" t="s">
        <v>265</v>
      </c>
      <c r="Q49" s="27"/>
      <c r="R49" s="27"/>
    </row>
    <row r="50" spans="1:18" ht="24" customHeight="1">
      <c r="A50" s="27"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COUNTIF(OFFSET($A$1, 1, 0, ROW()-2, 1), "EVT*") + 1, "0000"), "")</f>
        <v/>
      </c>
      <c r="B50" s="27"/>
      <c r="C50" s="27"/>
      <c r="D50" s="27"/>
      <c r="E50" s="27"/>
      <c r="F50" s="10"/>
      <c r="G50" s="36" t="s">
        <v>263</v>
      </c>
      <c r="H50" s="37"/>
      <c r="I50" s="37"/>
      <c r="J50" s="27"/>
      <c r="K50" s="27"/>
      <c r="L50" s="27"/>
      <c r="M50" s="27"/>
      <c r="N50" s="27"/>
      <c r="O50" s="2" t="s">
        <v>1859</v>
      </c>
      <c r="P50" s="29" t="s">
        <v>265</v>
      </c>
      <c r="Q50" s="27"/>
      <c r="R50" s="27"/>
    </row>
  </sheetData>
  <mergeCells count="3">
    <mergeCell ref="A1:C1"/>
    <mergeCell ref="N1:R1"/>
    <mergeCell ref="D1:M1"/>
  </mergeCells>
  <dataValidations count="4">
    <dataValidation type="list" allowBlank="1" sqref="N3:N500 O3:O50" xr:uid="{00000000-0002-0000-1800-000000000000}">
      <formula1>"Confirmed (Done),Pending Calendar Booking,Canceled"</formula1>
    </dataValidation>
    <dataValidation type="list" allowBlank="1" sqref="O3:O100" xr:uid="{00000000-0002-0000-1800-000001000000}">
      <formula1>"Form sent,NA"</formula1>
    </dataValidation>
    <dataValidation type="list" allowBlank="1" sqref="P3:P50" xr:uid="{00000000-0002-0000-1800-000002000000}">
      <formula1>"Form sent,Not Required,NA"</formula1>
    </dataValidation>
    <dataValidation type="list" allowBlank="1" sqref="G3:G50" xr:uid="{00000000-0002-0000-1800-000003000000}">
      <formula1>"Big Event,Small Event"</formula1>
    </dataValidation>
  </dataValidations>
  <hyperlinks>
    <hyperlink ref="A1" location="'Dashboard'!A1" display="🏠 ⮌ RETURN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54"/>
  <sheetViews>
    <sheetView workbookViewId="0">
      <pane ySplit="2" topLeftCell="A28" activePane="bottomLeft" state="frozen"/>
      <selection pane="bottomLeft" activeCell="D34" sqref="D34:S36"/>
    </sheetView>
  </sheetViews>
  <sheetFormatPr defaultRowHeight="14.45"/>
  <cols>
    <col min="1" max="1" width="18" customWidth="1"/>
    <col min="2" max="2" width="15" customWidth="1"/>
    <col min="3" max="3" width="12" customWidth="1"/>
    <col min="4" max="4" width="22" customWidth="1"/>
    <col min="5" max="5" width="17" customWidth="1"/>
    <col min="6" max="6" width="28" customWidth="1"/>
    <col min="7" max="7" width="12" customWidth="1"/>
    <col min="8" max="8" width="15" customWidth="1"/>
    <col min="9" max="9" width="19" customWidth="1"/>
    <col min="10" max="10" width="17" customWidth="1"/>
    <col min="11" max="11" width="48" customWidth="1"/>
    <col min="12" max="12" width="22" customWidth="1"/>
    <col min="13" max="13" width="27.28515625" customWidth="1"/>
    <col min="14" max="14" width="31.5703125" customWidth="1"/>
    <col min="15" max="15" width="15" customWidth="1"/>
    <col min="16" max="16" width="27" customWidth="1"/>
    <col min="17" max="17" width="18" customWidth="1"/>
    <col min="18" max="18" width="32" customWidth="1"/>
    <col min="19" max="19" width="19" customWidth="1"/>
  </cols>
  <sheetData>
    <row r="1" spans="1:19" ht="27.95" customHeight="1">
      <c r="A1" s="62" t="s">
        <v>2138</v>
      </c>
      <c r="B1" s="134"/>
      <c r="C1" s="135"/>
      <c r="D1" s="63" t="s">
        <v>2575</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EVT-2026-1367</v>
      </c>
      <c r="B3" s="30">
        <v>46357</v>
      </c>
      <c r="C3" s="27" t="s">
        <v>227</v>
      </c>
      <c r="D3" s="27" t="s">
        <v>125</v>
      </c>
      <c r="E3" s="27" t="s">
        <v>228</v>
      </c>
      <c r="F3" s="27" t="s">
        <v>874</v>
      </c>
      <c r="G3" s="10">
        <v>50</v>
      </c>
      <c r="H3" s="36" t="s">
        <v>263</v>
      </c>
      <c r="I3" s="37">
        <v>0.58333333333333337</v>
      </c>
      <c r="J3" s="37">
        <v>0.70833333333333337</v>
      </c>
      <c r="K3" s="27" t="s">
        <v>1445</v>
      </c>
      <c r="L3" s="27" t="s">
        <v>1445</v>
      </c>
      <c r="M3" s="27" t="s">
        <v>2559</v>
      </c>
      <c r="N3" s="27" t="s">
        <v>2560</v>
      </c>
      <c r="O3" s="27"/>
      <c r="P3" s="2" t="s">
        <v>1859</v>
      </c>
      <c r="Q3" s="29" t="s">
        <v>265</v>
      </c>
      <c r="R3" s="27" t="s">
        <v>1673</v>
      </c>
      <c r="S3" s="27" t="s">
        <v>1846</v>
      </c>
    </row>
    <row r="4" spans="1:19" ht="24" customHeight="1">
      <c r="A4" s="27"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EVT-2026-1368</v>
      </c>
      <c r="B4" s="30">
        <v>46357</v>
      </c>
      <c r="C4" s="27" t="s">
        <v>227</v>
      </c>
      <c r="D4" s="27" t="s">
        <v>1366</v>
      </c>
      <c r="E4" s="27" t="s">
        <v>208</v>
      </c>
      <c r="F4" s="27" t="s">
        <v>217</v>
      </c>
      <c r="G4" s="10">
        <v>50</v>
      </c>
      <c r="H4" s="36" t="s">
        <v>263</v>
      </c>
      <c r="I4" s="37" t="s">
        <v>309</v>
      </c>
      <c r="J4" s="37" t="s">
        <v>296</v>
      </c>
      <c r="K4" s="27"/>
      <c r="L4" s="27"/>
      <c r="M4" s="27" t="s">
        <v>2559</v>
      </c>
      <c r="N4" s="27" t="s">
        <v>2560</v>
      </c>
      <c r="O4" s="27"/>
      <c r="P4" s="2" t="s">
        <v>1859</v>
      </c>
      <c r="Q4" s="29" t="s">
        <v>265</v>
      </c>
      <c r="R4" s="27" t="s">
        <v>2384</v>
      </c>
      <c r="S4" s="27" t="s">
        <v>1846</v>
      </c>
    </row>
    <row r="5" spans="1:19" ht="24" customHeight="1">
      <c r="A5" s="27"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EVT-2026-1369</v>
      </c>
      <c r="B5" s="30">
        <v>46358</v>
      </c>
      <c r="C5" s="27" t="s">
        <v>201</v>
      </c>
      <c r="D5" s="27" t="s">
        <v>1366</v>
      </c>
      <c r="E5" s="27" t="s">
        <v>208</v>
      </c>
      <c r="F5" s="27" t="s">
        <v>217</v>
      </c>
      <c r="G5" s="10">
        <v>50</v>
      </c>
      <c r="H5" s="36" t="s">
        <v>263</v>
      </c>
      <c r="I5" s="37" t="s">
        <v>309</v>
      </c>
      <c r="J5" s="37" t="s">
        <v>296</v>
      </c>
      <c r="K5" s="27"/>
      <c r="L5" s="27"/>
      <c r="M5" s="27" t="s">
        <v>2559</v>
      </c>
      <c r="N5" s="27" t="s">
        <v>2560</v>
      </c>
      <c r="O5" s="27"/>
      <c r="P5" s="2" t="s">
        <v>1859</v>
      </c>
      <c r="Q5" s="29" t="s">
        <v>265</v>
      </c>
      <c r="R5" s="27" t="s">
        <v>2384</v>
      </c>
      <c r="S5" s="27" t="s">
        <v>1846</v>
      </c>
    </row>
    <row r="6" spans="1:19" ht="24" customHeight="1">
      <c r="A6" s="27"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EVT-2026-1370</v>
      </c>
      <c r="B6" s="30">
        <v>46358</v>
      </c>
      <c r="C6" s="27" t="s">
        <v>201</v>
      </c>
      <c r="D6" s="27" t="s">
        <v>125</v>
      </c>
      <c r="E6" s="27" t="s">
        <v>228</v>
      </c>
      <c r="F6" s="27" t="s">
        <v>874</v>
      </c>
      <c r="G6" s="10">
        <v>50</v>
      </c>
      <c r="H6" s="36" t="s">
        <v>263</v>
      </c>
      <c r="I6" s="37">
        <v>0.58333333333333337</v>
      </c>
      <c r="J6" s="37">
        <v>0.70833333333333337</v>
      </c>
      <c r="K6" s="27" t="s">
        <v>1445</v>
      </c>
      <c r="L6" s="27" t="s">
        <v>1445</v>
      </c>
      <c r="M6" s="27" t="s">
        <v>2559</v>
      </c>
      <c r="N6" s="27" t="s">
        <v>2560</v>
      </c>
      <c r="O6" s="27"/>
      <c r="P6" s="2" t="s">
        <v>1859</v>
      </c>
      <c r="Q6" s="29" t="s">
        <v>265</v>
      </c>
      <c r="R6" s="27" t="s">
        <v>1673</v>
      </c>
      <c r="S6" s="27" t="s">
        <v>1846</v>
      </c>
    </row>
    <row r="7" spans="1:19" ht="24" customHeight="1">
      <c r="A7" s="27"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EVT-2026-1371</v>
      </c>
      <c r="B7" s="30">
        <v>46359</v>
      </c>
      <c r="C7" s="27" t="s">
        <v>216</v>
      </c>
      <c r="D7" s="27" t="s">
        <v>1366</v>
      </c>
      <c r="E7" s="27" t="s">
        <v>208</v>
      </c>
      <c r="F7" s="27" t="s">
        <v>217</v>
      </c>
      <c r="G7" s="10">
        <v>50</v>
      </c>
      <c r="H7" s="36" t="s">
        <v>263</v>
      </c>
      <c r="I7" s="37" t="s">
        <v>309</v>
      </c>
      <c r="J7" s="37" t="s">
        <v>296</v>
      </c>
      <c r="K7" s="27"/>
      <c r="L7" s="27"/>
      <c r="M7" s="27" t="s">
        <v>2559</v>
      </c>
      <c r="N7" s="27" t="s">
        <v>2560</v>
      </c>
      <c r="O7" s="27"/>
      <c r="P7" s="2" t="s">
        <v>1859</v>
      </c>
      <c r="Q7" s="29" t="s">
        <v>265</v>
      </c>
      <c r="R7" s="27" t="s">
        <v>2384</v>
      </c>
      <c r="S7" s="27" t="s">
        <v>1846</v>
      </c>
    </row>
    <row r="8" spans="1:19" ht="24" customHeight="1">
      <c r="A8" s="27"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EVT-2026-1372</v>
      </c>
      <c r="B8" s="30">
        <v>46359</v>
      </c>
      <c r="C8" s="27" t="s">
        <v>216</v>
      </c>
      <c r="D8" s="27" t="s">
        <v>125</v>
      </c>
      <c r="E8" s="27" t="s">
        <v>228</v>
      </c>
      <c r="F8" s="27" t="s">
        <v>874</v>
      </c>
      <c r="G8" s="10">
        <v>50</v>
      </c>
      <c r="H8" s="36" t="s">
        <v>263</v>
      </c>
      <c r="I8" s="37">
        <v>0.58333333333333337</v>
      </c>
      <c r="J8" s="37">
        <v>0.70833333333333337</v>
      </c>
      <c r="K8" s="27" t="s">
        <v>1445</v>
      </c>
      <c r="L8" s="27" t="s">
        <v>1445</v>
      </c>
      <c r="M8" s="27" t="s">
        <v>2559</v>
      </c>
      <c r="N8" s="27" t="s">
        <v>2560</v>
      </c>
      <c r="O8" s="27"/>
      <c r="P8" s="2" t="s">
        <v>1859</v>
      </c>
      <c r="Q8" s="29" t="s">
        <v>265</v>
      </c>
      <c r="R8" s="27" t="s">
        <v>1673</v>
      </c>
      <c r="S8" s="27" t="s">
        <v>1846</v>
      </c>
    </row>
    <row r="9" spans="1:19" ht="24" customHeight="1">
      <c r="A9" s="27"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EVT-2026-1373</v>
      </c>
      <c r="B9" s="30">
        <v>46360</v>
      </c>
      <c r="C9" s="27" t="s">
        <v>220</v>
      </c>
      <c r="D9" s="27" t="s">
        <v>125</v>
      </c>
      <c r="E9" s="27" t="s">
        <v>228</v>
      </c>
      <c r="F9" s="27" t="s">
        <v>874</v>
      </c>
      <c r="G9" s="10">
        <v>50</v>
      </c>
      <c r="H9" s="36" t="s">
        <v>263</v>
      </c>
      <c r="I9" s="37">
        <v>0.58333333333333337</v>
      </c>
      <c r="J9" s="37">
        <v>0.70833333333333337</v>
      </c>
      <c r="K9" s="27" t="s">
        <v>1445</v>
      </c>
      <c r="L9" s="27" t="s">
        <v>1445</v>
      </c>
      <c r="M9" s="27" t="s">
        <v>2559</v>
      </c>
      <c r="N9" s="27" t="s">
        <v>2560</v>
      </c>
      <c r="O9" s="27"/>
      <c r="P9" s="2" t="s">
        <v>1859</v>
      </c>
      <c r="Q9" s="29" t="s">
        <v>265</v>
      </c>
      <c r="R9" s="27" t="s">
        <v>1673</v>
      </c>
      <c r="S9" s="27" t="s">
        <v>1846</v>
      </c>
    </row>
    <row r="10" spans="1:19" ht="24" customHeight="1">
      <c r="A10" s="27"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0" s="30">
        <v>46361</v>
      </c>
      <c r="C10" s="27" t="s">
        <v>266</v>
      </c>
      <c r="D10" s="27"/>
      <c r="E10" s="27"/>
      <c r="F10" s="27"/>
      <c r="G10" s="10"/>
      <c r="H10" s="36" t="s">
        <v>263</v>
      </c>
      <c r="I10" s="37"/>
      <c r="J10" s="37"/>
      <c r="K10" s="27"/>
      <c r="L10" s="27"/>
      <c r="M10" s="27"/>
      <c r="N10" s="27"/>
      <c r="O10" s="27"/>
      <c r="P10" s="2" t="s">
        <v>1859</v>
      </c>
      <c r="Q10" s="29" t="s">
        <v>265</v>
      </c>
      <c r="R10" s="27"/>
      <c r="S10" s="27"/>
    </row>
    <row r="11" spans="1:19" ht="24" customHeight="1">
      <c r="A11" s="27"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1" s="30">
        <v>46362</v>
      </c>
      <c r="C11" s="27" t="s">
        <v>267</v>
      </c>
      <c r="D11" s="27"/>
      <c r="E11" s="27"/>
      <c r="F11" s="27"/>
      <c r="G11" s="10"/>
      <c r="H11" s="36" t="s">
        <v>263</v>
      </c>
      <c r="I11" s="37"/>
      <c r="J11" s="37"/>
      <c r="K11" s="27"/>
      <c r="L11" s="27"/>
      <c r="M11" s="27"/>
      <c r="N11" s="27"/>
      <c r="O11" s="27"/>
      <c r="P11" s="2" t="s">
        <v>1859</v>
      </c>
      <c r="Q11" s="29" t="s">
        <v>265</v>
      </c>
      <c r="R11" s="27"/>
      <c r="S11" s="27"/>
    </row>
    <row r="12" spans="1:19" ht="24" customHeight="1">
      <c r="A12" s="27"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2" s="30">
        <v>46363</v>
      </c>
      <c r="C12" s="27" t="s">
        <v>224</v>
      </c>
      <c r="D12" s="27"/>
      <c r="E12" s="27"/>
      <c r="F12" s="27"/>
      <c r="G12" s="10"/>
      <c r="H12" s="36" t="s">
        <v>263</v>
      </c>
      <c r="I12" s="37"/>
      <c r="J12" s="37"/>
      <c r="K12" s="27"/>
      <c r="L12" s="27"/>
      <c r="M12" s="27"/>
      <c r="N12" s="27"/>
      <c r="O12" s="27"/>
      <c r="P12" s="2" t="s">
        <v>1859</v>
      </c>
      <c r="Q12" s="29" t="s">
        <v>265</v>
      </c>
      <c r="R12" s="27"/>
      <c r="S12" s="27"/>
    </row>
    <row r="13" spans="1:19" ht="24" customHeight="1">
      <c r="A13" s="27"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EVT-2026-1374</v>
      </c>
      <c r="B13" s="30">
        <v>46364</v>
      </c>
      <c r="C13" s="27" t="s">
        <v>227</v>
      </c>
      <c r="D13" s="27" t="s">
        <v>1366</v>
      </c>
      <c r="E13" s="27" t="s">
        <v>208</v>
      </c>
      <c r="F13" s="27" t="s">
        <v>217</v>
      </c>
      <c r="G13" s="10">
        <v>50</v>
      </c>
      <c r="H13" s="36" t="s">
        <v>263</v>
      </c>
      <c r="I13" s="37" t="s">
        <v>309</v>
      </c>
      <c r="J13" s="37" t="s">
        <v>296</v>
      </c>
      <c r="K13" s="27"/>
      <c r="L13" s="27"/>
      <c r="M13" s="27" t="s">
        <v>2559</v>
      </c>
      <c r="N13" s="27" t="s">
        <v>2560</v>
      </c>
      <c r="O13" s="27"/>
      <c r="P13" s="2" t="s">
        <v>1859</v>
      </c>
      <c r="Q13" s="29" t="s">
        <v>265</v>
      </c>
      <c r="R13" s="27" t="s">
        <v>2384</v>
      </c>
      <c r="S13" s="27" t="s">
        <v>1846</v>
      </c>
    </row>
    <row r="14" spans="1:19" ht="24" customHeight="1">
      <c r="A14" s="27"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EVT-2026-1375</v>
      </c>
      <c r="B14" s="30">
        <v>46365</v>
      </c>
      <c r="C14" s="27" t="s">
        <v>201</v>
      </c>
      <c r="D14" s="27" t="s">
        <v>1366</v>
      </c>
      <c r="E14" s="27" t="s">
        <v>208</v>
      </c>
      <c r="F14" s="27" t="s">
        <v>217</v>
      </c>
      <c r="G14" s="10">
        <v>50</v>
      </c>
      <c r="H14" s="36" t="s">
        <v>263</v>
      </c>
      <c r="I14" s="37" t="s">
        <v>309</v>
      </c>
      <c r="J14" s="37" t="s">
        <v>296</v>
      </c>
      <c r="K14" s="27"/>
      <c r="L14" s="27"/>
      <c r="M14" s="27" t="s">
        <v>2559</v>
      </c>
      <c r="N14" s="27" t="s">
        <v>2560</v>
      </c>
      <c r="O14" s="27"/>
      <c r="P14" s="2" t="s">
        <v>1859</v>
      </c>
      <c r="Q14" s="29" t="s">
        <v>265</v>
      </c>
      <c r="R14" s="27" t="s">
        <v>2384</v>
      </c>
      <c r="S14" s="27" t="s">
        <v>1846</v>
      </c>
    </row>
    <row r="15" spans="1:19" ht="24" customHeight="1">
      <c r="A15" s="27"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EVT-2026-1376</v>
      </c>
      <c r="B15" s="30">
        <v>46366</v>
      </c>
      <c r="C15" s="27" t="s">
        <v>216</v>
      </c>
      <c r="D15" s="27" t="s">
        <v>1366</v>
      </c>
      <c r="E15" s="27" t="s">
        <v>208</v>
      </c>
      <c r="F15" s="27" t="s">
        <v>217</v>
      </c>
      <c r="G15" s="10">
        <v>50</v>
      </c>
      <c r="H15" s="36" t="s">
        <v>263</v>
      </c>
      <c r="I15" s="37" t="s">
        <v>309</v>
      </c>
      <c r="J15" s="37" t="s">
        <v>296</v>
      </c>
      <c r="K15" s="27"/>
      <c r="L15" s="27"/>
      <c r="M15" s="27" t="s">
        <v>2559</v>
      </c>
      <c r="N15" s="27" t="s">
        <v>2560</v>
      </c>
      <c r="O15" s="27"/>
      <c r="P15" s="2" t="s">
        <v>1859</v>
      </c>
      <c r="Q15" s="29" t="s">
        <v>265</v>
      </c>
      <c r="R15" s="27" t="s">
        <v>2384</v>
      </c>
      <c r="S15" s="27" t="s">
        <v>1846</v>
      </c>
    </row>
    <row r="16" spans="1:19" ht="24" customHeight="1">
      <c r="A16" s="27"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6" s="30">
        <v>46367</v>
      </c>
      <c r="C16" s="27" t="s">
        <v>220</v>
      </c>
      <c r="D16" s="27"/>
      <c r="E16" s="27"/>
      <c r="F16" s="27"/>
      <c r="G16" s="10"/>
      <c r="H16" s="36" t="s">
        <v>263</v>
      </c>
      <c r="I16" s="37"/>
      <c r="J16" s="37"/>
      <c r="K16" s="27"/>
      <c r="L16" s="27"/>
      <c r="M16" s="27"/>
      <c r="N16" s="27"/>
      <c r="O16" s="27"/>
      <c r="P16" s="2" t="s">
        <v>1859</v>
      </c>
      <c r="Q16" s="29" t="s">
        <v>265</v>
      </c>
      <c r="R16" s="27"/>
      <c r="S16" s="27"/>
    </row>
    <row r="17" spans="1:19" ht="24" customHeight="1">
      <c r="A17" s="27"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7" s="30">
        <v>46368</v>
      </c>
      <c r="C17" s="27" t="s">
        <v>266</v>
      </c>
      <c r="D17" s="27"/>
      <c r="E17" s="27"/>
      <c r="F17" s="27"/>
      <c r="G17" s="10"/>
      <c r="H17" s="36" t="s">
        <v>263</v>
      </c>
      <c r="I17" s="37"/>
      <c r="J17" s="37"/>
      <c r="K17" s="27"/>
      <c r="L17" s="27"/>
      <c r="M17" s="27"/>
      <c r="N17" s="27"/>
      <c r="O17" s="27"/>
      <c r="P17" s="2" t="s">
        <v>1859</v>
      </c>
      <c r="Q17" s="29" t="s">
        <v>265</v>
      </c>
      <c r="R17" s="27"/>
      <c r="S17" s="27"/>
    </row>
    <row r="18" spans="1:19" ht="24" customHeight="1">
      <c r="A18" s="27"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8" s="30">
        <v>46369</v>
      </c>
      <c r="C18" s="27" t="s">
        <v>267</v>
      </c>
      <c r="D18" s="27"/>
      <c r="E18" s="27"/>
      <c r="F18" s="27"/>
      <c r="G18" s="10"/>
      <c r="H18" s="36" t="s">
        <v>263</v>
      </c>
      <c r="I18" s="37"/>
      <c r="J18" s="37"/>
      <c r="K18" s="27"/>
      <c r="L18" s="27"/>
      <c r="M18" s="27"/>
      <c r="N18" s="27"/>
      <c r="O18" s="27"/>
      <c r="P18" s="2" t="s">
        <v>1859</v>
      </c>
      <c r="Q18" s="29" t="s">
        <v>265</v>
      </c>
      <c r="R18" s="27"/>
      <c r="S18" s="27"/>
    </row>
    <row r="19" spans="1:19" ht="24" customHeight="1">
      <c r="A19" s="27"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19" s="30">
        <v>46370</v>
      </c>
      <c r="C19" s="27" t="s">
        <v>224</v>
      </c>
      <c r="D19" s="27"/>
      <c r="E19" s="27"/>
      <c r="F19" s="27"/>
      <c r="G19" s="10"/>
      <c r="H19" s="36" t="s">
        <v>263</v>
      </c>
      <c r="I19" s="37"/>
      <c r="J19" s="37"/>
      <c r="K19" s="27"/>
      <c r="L19" s="27"/>
      <c r="M19" s="27"/>
      <c r="N19" s="27"/>
      <c r="O19" s="27"/>
      <c r="P19" s="2" t="s">
        <v>1859</v>
      </c>
      <c r="Q19" s="29" t="s">
        <v>265</v>
      </c>
      <c r="R19" s="27"/>
      <c r="S19" s="27"/>
    </row>
    <row r="20" spans="1:19" ht="24" customHeight="1">
      <c r="A20" s="27"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EVT-2026-1377</v>
      </c>
      <c r="B20" s="30">
        <v>46371</v>
      </c>
      <c r="C20" s="27" t="s">
        <v>227</v>
      </c>
      <c r="D20" s="27" t="s">
        <v>1366</v>
      </c>
      <c r="E20" s="27" t="s">
        <v>208</v>
      </c>
      <c r="F20" s="27" t="s">
        <v>217</v>
      </c>
      <c r="G20" s="10">
        <v>50</v>
      </c>
      <c r="H20" s="36" t="s">
        <v>263</v>
      </c>
      <c r="I20" s="37" t="s">
        <v>309</v>
      </c>
      <c r="J20" s="37" t="s">
        <v>296</v>
      </c>
      <c r="K20" s="27"/>
      <c r="L20" s="27"/>
      <c r="M20" s="27" t="s">
        <v>2559</v>
      </c>
      <c r="N20" s="27" t="s">
        <v>2560</v>
      </c>
      <c r="O20" s="27"/>
      <c r="P20" s="2" t="s">
        <v>1859</v>
      </c>
      <c r="Q20" s="29" t="s">
        <v>265</v>
      </c>
      <c r="R20" s="27" t="s">
        <v>2384</v>
      </c>
      <c r="S20" s="27" t="s">
        <v>1846</v>
      </c>
    </row>
    <row r="21" spans="1:19" ht="24" customHeight="1">
      <c r="A21" s="27"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EVT-2026-1378</v>
      </c>
      <c r="B21" s="30">
        <v>46372</v>
      </c>
      <c r="C21" s="27" t="s">
        <v>201</v>
      </c>
      <c r="D21" s="27" t="s">
        <v>1366</v>
      </c>
      <c r="E21" s="27" t="s">
        <v>208</v>
      </c>
      <c r="F21" s="27" t="s">
        <v>217</v>
      </c>
      <c r="G21" s="10">
        <v>50</v>
      </c>
      <c r="H21" s="36" t="s">
        <v>263</v>
      </c>
      <c r="I21" s="37" t="s">
        <v>309</v>
      </c>
      <c r="J21" s="37" t="s">
        <v>296</v>
      </c>
      <c r="K21" s="27"/>
      <c r="L21" s="27"/>
      <c r="M21" s="27" t="s">
        <v>2559</v>
      </c>
      <c r="N21" s="27" t="s">
        <v>2560</v>
      </c>
      <c r="O21" s="27"/>
      <c r="P21" s="2" t="s">
        <v>1859</v>
      </c>
      <c r="Q21" s="29" t="s">
        <v>265</v>
      </c>
      <c r="R21" s="27" t="s">
        <v>2384</v>
      </c>
      <c r="S21" s="27" t="s">
        <v>1846</v>
      </c>
    </row>
    <row r="22" spans="1:19" ht="24" customHeight="1">
      <c r="A22" s="27"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EVT-2026-1379</v>
      </c>
      <c r="B22" s="30">
        <v>46373</v>
      </c>
      <c r="C22" s="27" t="s">
        <v>216</v>
      </c>
      <c r="D22" s="27" t="s">
        <v>1366</v>
      </c>
      <c r="E22" s="27" t="s">
        <v>208</v>
      </c>
      <c r="F22" s="27" t="s">
        <v>217</v>
      </c>
      <c r="G22" s="10">
        <v>50</v>
      </c>
      <c r="H22" s="36" t="s">
        <v>263</v>
      </c>
      <c r="I22" s="37" t="s">
        <v>309</v>
      </c>
      <c r="J22" s="37" t="s">
        <v>296</v>
      </c>
      <c r="K22" s="27"/>
      <c r="L22" s="27"/>
      <c r="M22" s="27" t="s">
        <v>2559</v>
      </c>
      <c r="N22" s="27" t="s">
        <v>2560</v>
      </c>
      <c r="O22" s="27"/>
      <c r="P22" s="2" t="s">
        <v>1859</v>
      </c>
      <c r="Q22" s="29" t="s">
        <v>265</v>
      </c>
      <c r="R22" s="27" t="s">
        <v>2384</v>
      </c>
      <c r="S22" s="27" t="s">
        <v>1846</v>
      </c>
    </row>
    <row r="23" spans="1:19" ht="24" customHeight="1">
      <c r="A23" s="27"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23" s="30">
        <v>46374</v>
      </c>
      <c r="C23" s="27" t="s">
        <v>220</v>
      </c>
      <c r="D23" s="27"/>
      <c r="E23" s="27"/>
      <c r="F23" s="27"/>
      <c r="G23" s="10"/>
      <c r="H23" s="36" t="s">
        <v>263</v>
      </c>
      <c r="I23" s="37"/>
      <c r="J23" s="37"/>
      <c r="K23" s="27"/>
      <c r="L23" s="27"/>
      <c r="M23" s="27"/>
      <c r="N23" s="27"/>
      <c r="O23" s="27"/>
      <c r="P23" s="2" t="s">
        <v>1859</v>
      </c>
      <c r="Q23" s="29" t="s">
        <v>265</v>
      </c>
      <c r="R23" s="27"/>
      <c r="S23" s="27"/>
    </row>
    <row r="24" spans="1:19" ht="24" customHeight="1">
      <c r="A24" s="27"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24" s="30">
        <v>46375</v>
      </c>
      <c r="C24" s="27" t="s">
        <v>266</v>
      </c>
      <c r="D24" s="27"/>
      <c r="E24" s="27"/>
      <c r="F24" s="27"/>
      <c r="G24" s="10"/>
      <c r="H24" s="36" t="s">
        <v>263</v>
      </c>
      <c r="I24" s="37"/>
      <c r="J24" s="37"/>
      <c r="K24" s="27"/>
      <c r="L24" s="27"/>
      <c r="M24" s="27"/>
      <c r="N24" s="27"/>
      <c r="O24" s="27"/>
      <c r="P24" s="2" t="s">
        <v>1859</v>
      </c>
      <c r="Q24" s="29" t="s">
        <v>265</v>
      </c>
      <c r="R24" s="27"/>
      <c r="S24" s="27"/>
    </row>
    <row r="25" spans="1:19" ht="24" customHeight="1">
      <c r="A25" s="27"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25" s="30">
        <v>46376</v>
      </c>
      <c r="C25" s="27" t="s">
        <v>267</v>
      </c>
      <c r="D25" s="27"/>
      <c r="E25" s="27"/>
      <c r="F25" s="27"/>
      <c r="G25" s="10"/>
      <c r="H25" s="36" t="s">
        <v>263</v>
      </c>
      <c r="I25" s="37"/>
      <c r="J25" s="37"/>
      <c r="K25" s="27"/>
      <c r="L25" s="27"/>
      <c r="M25" s="27"/>
      <c r="N25" s="27"/>
      <c r="O25" s="27"/>
      <c r="P25" s="2" t="s">
        <v>1859</v>
      </c>
      <c r="Q25" s="29" t="s">
        <v>265</v>
      </c>
      <c r="R25" s="27"/>
      <c r="S25" s="27"/>
    </row>
    <row r="26" spans="1:19" ht="24" customHeight="1">
      <c r="A26" s="27"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26" s="30">
        <v>46377</v>
      </c>
      <c r="C26" s="27" t="s">
        <v>224</v>
      </c>
      <c r="D26" s="27"/>
      <c r="E26" s="27"/>
      <c r="F26" s="27"/>
      <c r="G26" s="10"/>
      <c r="H26" s="36" t="s">
        <v>263</v>
      </c>
      <c r="I26" s="37"/>
      <c r="J26" s="37"/>
      <c r="K26" s="27"/>
      <c r="L26" s="27"/>
      <c r="M26" s="27"/>
      <c r="N26" s="27"/>
      <c r="O26" s="27"/>
      <c r="P26" s="2" t="s">
        <v>1859</v>
      </c>
      <c r="Q26" s="29" t="s">
        <v>265</v>
      </c>
      <c r="R26" s="27"/>
      <c r="S26" s="27"/>
    </row>
    <row r="27" spans="1:19" ht="24" customHeight="1">
      <c r="A27" s="27"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EVT-2026-1380</v>
      </c>
      <c r="B27" s="30">
        <v>46378</v>
      </c>
      <c r="C27" s="27" t="s">
        <v>227</v>
      </c>
      <c r="D27" s="27" t="s">
        <v>1366</v>
      </c>
      <c r="E27" s="27" t="s">
        <v>208</v>
      </c>
      <c r="F27" s="27" t="s">
        <v>217</v>
      </c>
      <c r="G27" s="10">
        <v>50</v>
      </c>
      <c r="H27" s="36" t="s">
        <v>263</v>
      </c>
      <c r="I27" s="37" t="s">
        <v>309</v>
      </c>
      <c r="J27" s="37" t="s">
        <v>296</v>
      </c>
      <c r="K27" s="27"/>
      <c r="L27" s="27"/>
      <c r="M27" s="27" t="s">
        <v>2559</v>
      </c>
      <c r="N27" s="27" t="s">
        <v>2560</v>
      </c>
      <c r="O27" s="27"/>
      <c r="P27" s="2" t="s">
        <v>1859</v>
      </c>
      <c r="Q27" s="29" t="s">
        <v>265</v>
      </c>
      <c r="R27" s="27" t="s">
        <v>2384</v>
      </c>
      <c r="S27" s="27" t="s">
        <v>1846</v>
      </c>
    </row>
    <row r="28" spans="1:19" ht="24" customHeight="1">
      <c r="A28" s="27"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EVT-2026-1381</v>
      </c>
      <c r="B28" s="30">
        <v>46379</v>
      </c>
      <c r="C28" s="27" t="s">
        <v>201</v>
      </c>
      <c r="D28" s="27" t="s">
        <v>1366</v>
      </c>
      <c r="E28" s="27" t="s">
        <v>208</v>
      </c>
      <c r="F28" s="27" t="s">
        <v>217</v>
      </c>
      <c r="G28" s="10">
        <v>50</v>
      </c>
      <c r="H28" s="36" t="s">
        <v>263</v>
      </c>
      <c r="I28" s="37" t="s">
        <v>309</v>
      </c>
      <c r="J28" s="37" t="s">
        <v>296</v>
      </c>
      <c r="K28" s="27"/>
      <c r="L28" s="27"/>
      <c r="M28" s="27" t="s">
        <v>2559</v>
      </c>
      <c r="N28" s="27" t="s">
        <v>2560</v>
      </c>
      <c r="O28" s="27"/>
      <c r="P28" s="2" t="s">
        <v>1859</v>
      </c>
      <c r="Q28" s="29" t="s">
        <v>265</v>
      </c>
      <c r="R28" s="27" t="s">
        <v>2384</v>
      </c>
      <c r="S28" s="27" t="s">
        <v>1846</v>
      </c>
    </row>
    <row r="29" spans="1:19" ht="24" customHeight="1">
      <c r="A29" s="27"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EVT-2026-1382</v>
      </c>
      <c r="B29" s="30">
        <v>46380</v>
      </c>
      <c r="C29" s="27" t="s">
        <v>216</v>
      </c>
      <c r="D29" s="27" t="s">
        <v>1366</v>
      </c>
      <c r="E29" s="27" t="s">
        <v>208</v>
      </c>
      <c r="F29" s="27" t="s">
        <v>217</v>
      </c>
      <c r="G29" s="10">
        <v>50</v>
      </c>
      <c r="H29" s="36" t="s">
        <v>263</v>
      </c>
      <c r="I29" s="37" t="s">
        <v>309</v>
      </c>
      <c r="J29" s="37" t="s">
        <v>296</v>
      </c>
      <c r="K29" s="27"/>
      <c r="L29" s="27"/>
      <c r="M29" s="27" t="s">
        <v>2559</v>
      </c>
      <c r="N29" s="27" t="s">
        <v>2560</v>
      </c>
      <c r="O29" s="27"/>
      <c r="P29" s="2" t="s">
        <v>1859</v>
      </c>
      <c r="Q29" s="29" t="s">
        <v>265</v>
      </c>
      <c r="R29" s="27" t="s">
        <v>2384</v>
      </c>
      <c r="S29" s="27" t="s">
        <v>1846</v>
      </c>
    </row>
    <row r="30" spans="1:19" ht="24" customHeight="1">
      <c r="A30" s="27"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EVT-2026-1383</v>
      </c>
      <c r="B30" s="30">
        <v>46381</v>
      </c>
      <c r="C30" s="27" t="s">
        <v>220</v>
      </c>
      <c r="D30" s="27" t="s">
        <v>228</v>
      </c>
      <c r="E30" s="27" t="s">
        <v>125</v>
      </c>
      <c r="F30" s="27" t="s">
        <v>658</v>
      </c>
      <c r="G30" s="10">
        <v>60</v>
      </c>
      <c r="H30" s="36" t="s">
        <v>263</v>
      </c>
      <c r="I30" s="37" t="s">
        <v>295</v>
      </c>
      <c r="J30" s="37" t="s">
        <v>270</v>
      </c>
      <c r="K30" s="27" t="s">
        <v>2131</v>
      </c>
      <c r="L30" s="27"/>
      <c r="M30" s="27" t="s">
        <v>1163</v>
      </c>
      <c r="N30" s="27"/>
      <c r="O30" s="27"/>
      <c r="P30" s="2" t="s">
        <v>1859</v>
      </c>
      <c r="Q30" s="29" t="s">
        <v>265</v>
      </c>
      <c r="R30" s="27" t="s">
        <v>298</v>
      </c>
      <c r="S30" s="27"/>
    </row>
    <row r="31" spans="1:19" ht="24" customHeight="1">
      <c r="A31" s="27"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1" s="30">
        <v>46382</v>
      </c>
      <c r="C31" s="27" t="s">
        <v>266</v>
      </c>
      <c r="D31" s="27"/>
      <c r="E31" s="27"/>
      <c r="F31" s="27"/>
      <c r="G31" s="10"/>
      <c r="H31" s="36" t="s">
        <v>263</v>
      </c>
      <c r="I31" s="37"/>
      <c r="J31" s="37"/>
      <c r="K31" s="27"/>
      <c r="L31" s="27"/>
      <c r="M31" s="27"/>
      <c r="N31" s="27"/>
      <c r="O31" s="27"/>
      <c r="P31" s="2" t="s">
        <v>1859</v>
      </c>
      <c r="Q31" s="29" t="s">
        <v>265</v>
      </c>
      <c r="R31" s="27"/>
      <c r="S31" s="27"/>
    </row>
    <row r="32" spans="1:19" ht="24" customHeight="1">
      <c r="A32" s="27"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2" s="30">
        <v>46383</v>
      </c>
      <c r="C32" s="27" t="s">
        <v>267</v>
      </c>
      <c r="D32" s="27"/>
      <c r="E32" s="27"/>
      <c r="F32" s="27"/>
      <c r="G32" s="10"/>
      <c r="H32" s="36" t="s">
        <v>263</v>
      </c>
      <c r="I32" s="37"/>
      <c r="J32" s="37"/>
      <c r="K32" s="27"/>
      <c r="L32" s="27"/>
      <c r="M32" s="27"/>
      <c r="N32" s="27"/>
      <c r="O32" s="27"/>
      <c r="P32" s="2" t="s">
        <v>1859</v>
      </c>
      <c r="Q32" s="29" t="s">
        <v>265</v>
      </c>
      <c r="R32" s="27"/>
      <c r="S32" s="27"/>
    </row>
    <row r="33" spans="1:19" ht="24" customHeight="1">
      <c r="A33" s="27"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3" s="30">
        <v>46384</v>
      </c>
      <c r="C33" s="27" t="s">
        <v>224</v>
      </c>
      <c r="D33" s="27"/>
      <c r="E33" s="27"/>
      <c r="F33" s="27"/>
      <c r="G33" s="10"/>
      <c r="H33" s="36" t="s">
        <v>263</v>
      </c>
      <c r="I33" s="37"/>
      <c r="J33" s="37"/>
      <c r="K33" s="27"/>
      <c r="L33" s="27"/>
      <c r="M33" s="27"/>
      <c r="N33" s="27"/>
      <c r="O33" s="27"/>
      <c r="P33" s="2" t="s">
        <v>1859</v>
      </c>
      <c r="Q33" s="29" t="s">
        <v>265</v>
      </c>
      <c r="R33" s="27"/>
      <c r="S33" s="27"/>
    </row>
    <row r="34" spans="1:19" ht="24" customHeight="1">
      <c r="A34" s="27"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EVT-2026-1384</v>
      </c>
      <c r="B34" s="30">
        <v>46385</v>
      </c>
      <c r="C34" s="27" t="s">
        <v>227</v>
      </c>
      <c r="D34" s="27" t="s">
        <v>1366</v>
      </c>
      <c r="E34" s="27" t="s">
        <v>208</v>
      </c>
      <c r="F34" s="27" t="s">
        <v>217</v>
      </c>
      <c r="G34" s="10">
        <v>50</v>
      </c>
      <c r="H34" s="36" t="s">
        <v>263</v>
      </c>
      <c r="I34" s="37" t="s">
        <v>309</v>
      </c>
      <c r="J34" s="37" t="s">
        <v>296</v>
      </c>
      <c r="K34" s="27"/>
      <c r="L34" s="27"/>
      <c r="M34" s="27" t="s">
        <v>2559</v>
      </c>
      <c r="N34" s="27" t="s">
        <v>2560</v>
      </c>
      <c r="O34" s="27"/>
      <c r="P34" s="2" t="s">
        <v>1859</v>
      </c>
      <c r="Q34" s="29" t="s">
        <v>265</v>
      </c>
      <c r="R34" s="27" t="s">
        <v>2384</v>
      </c>
      <c r="S34" s="27" t="s">
        <v>1846</v>
      </c>
    </row>
    <row r="35" spans="1:19" ht="24" customHeight="1">
      <c r="A35" s="27"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EVT-2026-1385</v>
      </c>
      <c r="B35" s="30">
        <v>46386</v>
      </c>
      <c r="C35" s="27" t="s">
        <v>201</v>
      </c>
      <c r="D35" s="27" t="s">
        <v>1366</v>
      </c>
      <c r="E35" s="27" t="s">
        <v>208</v>
      </c>
      <c r="F35" s="27" t="s">
        <v>217</v>
      </c>
      <c r="G35" s="10">
        <v>50</v>
      </c>
      <c r="H35" s="36" t="s">
        <v>263</v>
      </c>
      <c r="I35" s="37" t="s">
        <v>309</v>
      </c>
      <c r="J35" s="37" t="s">
        <v>296</v>
      </c>
      <c r="K35" s="27"/>
      <c r="L35" s="27"/>
      <c r="M35" s="27" t="s">
        <v>2559</v>
      </c>
      <c r="N35" s="27" t="s">
        <v>2560</v>
      </c>
      <c r="O35" s="27"/>
      <c r="P35" s="2" t="s">
        <v>1859</v>
      </c>
      <c r="Q35" s="29" t="s">
        <v>265</v>
      </c>
      <c r="R35" s="27" t="s">
        <v>2384</v>
      </c>
      <c r="S35" s="27" t="s">
        <v>1846</v>
      </c>
    </row>
    <row r="36" spans="1:19" ht="24" customHeight="1">
      <c r="A36" s="27"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EVT-2026-1386</v>
      </c>
      <c r="B36" s="30">
        <v>46387</v>
      </c>
      <c r="C36" s="27" t="s">
        <v>216</v>
      </c>
      <c r="D36" s="27" t="s">
        <v>1366</v>
      </c>
      <c r="E36" s="27" t="s">
        <v>208</v>
      </c>
      <c r="F36" s="27" t="s">
        <v>217</v>
      </c>
      <c r="G36" s="10">
        <v>50</v>
      </c>
      <c r="H36" s="36" t="s">
        <v>263</v>
      </c>
      <c r="I36" s="37" t="s">
        <v>309</v>
      </c>
      <c r="J36" s="37" t="s">
        <v>296</v>
      </c>
      <c r="K36" s="27"/>
      <c r="L36" s="27"/>
      <c r="M36" s="27" t="s">
        <v>2559</v>
      </c>
      <c r="N36" s="27" t="s">
        <v>2560</v>
      </c>
      <c r="O36" s="27"/>
      <c r="P36" s="2" t="s">
        <v>1859</v>
      </c>
      <c r="Q36" s="29" t="s">
        <v>265</v>
      </c>
      <c r="R36" s="27" t="s">
        <v>2384</v>
      </c>
      <c r="S36" s="27" t="s">
        <v>1846</v>
      </c>
    </row>
    <row r="37" spans="1:19" ht="24" customHeight="1">
      <c r="A37" s="27"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7" s="27"/>
      <c r="C37" s="27"/>
      <c r="D37" s="27"/>
      <c r="E37" s="27"/>
      <c r="F37" s="27"/>
      <c r="G37" s="10"/>
      <c r="H37" s="36" t="s">
        <v>263</v>
      </c>
      <c r="I37" s="37"/>
      <c r="J37" s="37"/>
      <c r="K37" s="27"/>
      <c r="L37" s="27"/>
      <c r="M37" s="27"/>
      <c r="N37" s="27"/>
      <c r="O37" s="27"/>
      <c r="P37" s="2" t="s">
        <v>1859</v>
      </c>
      <c r="Q37" s="29" t="s">
        <v>265</v>
      </c>
      <c r="R37" s="27"/>
      <c r="S37" s="27"/>
    </row>
    <row r="38" spans="1:19" ht="24" customHeight="1">
      <c r="A38" s="27"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8" s="27"/>
      <c r="C38" s="27"/>
      <c r="D38" s="27"/>
      <c r="E38" s="27"/>
      <c r="F38" s="27"/>
      <c r="G38" s="10"/>
      <c r="H38" s="36" t="s">
        <v>263</v>
      </c>
      <c r="I38" s="37"/>
      <c r="J38" s="37"/>
      <c r="K38" s="27"/>
      <c r="L38" s="27"/>
      <c r="M38" s="27"/>
      <c r="N38" s="27"/>
      <c r="O38" s="27"/>
      <c r="P38" s="2" t="s">
        <v>1859</v>
      </c>
      <c r="Q38" s="29" t="s">
        <v>265</v>
      </c>
      <c r="R38" s="27"/>
      <c r="S38" s="27"/>
    </row>
    <row r="39" spans="1:19" ht="24" customHeight="1">
      <c r="A39" s="27"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39" s="27"/>
      <c r="C39" s="27"/>
      <c r="D39" s="27"/>
      <c r="E39" s="27"/>
      <c r="F39" s="27"/>
      <c r="G39" s="10"/>
      <c r="H39" s="36" t="s">
        <v>263</v>
      </c>
      <c r="I39" s="37"/>
      <c r="J39" s="37"/>
      <c r="K39" s="27"/>
      <c r="L39" s="27"/>
      <c r="M39" s="27"/>
      <c r="N39" s="27"/>
      <c r="O39" s="27"/>
      <c r="P39" s="2" t="s">
        <v>1859</v>
      </c>
      <c r="Q39" s="29" t="s">
        <v>265</v>
      </c>
      <c r="R39" s="27"/>
      <c r="S39" s="27"/>
    </row>
    <row r="40" spans="1:19" ht="24" customHeight="1">
      <c r="A40" s="27"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0" s="27"/>
      <c r="C40" s="27"/>
      <c r="D40" s="27"/>
      <c r="E40" s="27"/>
      <c r="F40" s="27"/>
      <c r="G40" s="10"/>
      <c r="H40" s="36" t="s">
        <v>263</v>
      </c>
      <c r="I40" s="37"/>
      <c r="J40" s="37"/>
      <c r="K40" s="27"/>
      <c r="L40" s="27"/>
      <c r="M40" s="27"/>
      <c r="N40" s="27"/>
      <c r="O40" s="27"/>
      <c r="P40" s="2" t="s">
        <v>1859</v>
      </c>
      <c r="Q40" s="29" t="s">
        <v>265</v>
      </c>
      <c r="R40" s="27"/>
      <c r="S40" s="27"/>
    </row>
    <row r="41" spans="1:19" ht="24" customHeight="1">
      <c r="A41" s="27"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1" s="27"/>
      <c r="C41" s="27"/>
      <c r="D41" s="27"/>
      <c r="E41" s="27"/>
      <c r="F41" s="27"/>
      <c r="G41" s="10"/>
      <c r="H41" s="36" t="s">
        <v>263</v>
      </c>
      <c r="I41" s="37"/>
      <c r="J41" s="37"/>
      <c r="K41" s="27"/>
      <c r="L41" s="27"/>
      <c r="M41" s="27"/>
      <c r="N41" s="27"/>
      <c r="O41" s="27"/>
      <c r="P41" s="2" t="s">
        <v>1859</v>
      </c>
      <c r="Q41" s="29" t="s">
        <v>265</v>
      </c>
      <c r="R41" s="27"/>
      <c r="S41" s="27"/>
    </row>
    <row r="42" spans="1:19" ht="24" customHeight="1">
      <c r="A42" s="27"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2" s="27"/>
      <c r="C42" s="27"/>
      <c r="D42" s="27"/>
      <c r="E42" s="27"/>
      <c r="F42" s="27"/>
      <c r="G42" s="10"/>
      <c r="H42" s="36" t="s">
        <v>263</v>
      </c>
      <c r="I42" s="37"/>
      <c r="J42" s="37"/>
      <c r="K42" s="27"/>
      <c r="L42" s="27"/>
      <c r="M42" s="27"/>
      <c r="N42" s="27"/>
      <c r="O42" s="27"/>
      <c r="P42" s="2" t="s">
        <v>1859</v>
      </c>
      <c r="Q42" s="29" t="s">
        <v>265</v>
      </c>
      <c r="R42" s="27"/>
      <c r="S42" s="27"/>
    </row>
    <row r="43" spans="1:19" ht="24" customHeight="1">
      <c r="A43" s="27"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3" s="27"/>
      <c r="C43" s="27"/>
      <c r="D43" s="27"/>
      <c r="E43" s="27"/>
      <c r="F43" s="27"/>
      <c r="G43" s="10"/>
      <c r="H43" s="36" t="s">
        <v>263</v>
      </c>
      <c r="I43" s="37"/>
      <c r="J43" s="37"/>
      <c r="K43" s="27"/>
      <c r="L43" s="27"/>
      <c r="M43" s="27"/>
      <c r="N43" s="27"/>
      <c r="O43" s="27"/>
      <c r="P43" s="2" t="s">
        <v>1859</v>
      </c>
      <c r="Q43" s="29" t="s">
        <v>265</v>
      </c>
      <c r="R43" s="27"/>
      <c r="S43" s="27"/>
    </row>
    <row r="44" spans="1:19" ht="24" customHeight="1">
      <c r="A44" s="27"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4" s="27"/>
      <c r="C44" s="27"/>
      <c r="D44" s="27"/>
      <c r="E44" s="27"/>
      <c r="F44" s="27"/>
      <c r="G44" s="10"/>
      <c r="H44" s="36" t="s">
        <v>263</v>
      </c>
      <c r="I44" s="37"/>
      <c r="J44" s="37"/>
      <c r="K44" s="27"/>
      <c r="L44" s="27"/>
      <c r="M44" s="27"/>
      <c r="N44" s="27"/>
      <c r="O44" s="27"/>
      <c r="P44" s="2" t="s">
        <v>1859</v>
      </c>
      <c r="Q44" s="29" t="s">
        <v>265</v>
      </c>
      <c r="R44" s="27"/>
      <c r="S44" s="27"/>
    </row>
    <row r="45" spans="1:19" ht="24" customHeight="1">
      <c r="A45" s="27"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5" s="27"/>
      <c r="C45" s="27"/>
      <c r="D45" s="27"/>
      <c r="E45" s="27"/>
      <c r="F45" s="27"/>
      <c r="G45" s="10"/>
      <c r="H45" s="36" t="s">
        <v>263</v>
      </c>
      <c r="I45" s="37"/>
      <c r="J45" s="37"/>
      <c r="K45" s="27"/>
      <c r="L45" s="27"/>
      <c r="M45" s="27"/>
      <c r="N45" s="27"/>
      <c r="O45" s="27"/>
      <c r="P45" s="2" t="s">
        <v>1859</v>
      </c>
      <c r="Q45" s="29" t="s">
        <v>265</v>
      </c>
      <c r="R45" s="27"/>
      <c r="S45" s="27"/>
    </row>
    <row r="46" spans="1:19" ht="24" customHeight="1">
      <c r="A46" s="27"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6" s="27"/>
      <c r="C46" s="27"/>
      <c r="D46" s="27"/>
      <c r="E46" s="27"/>
      <c r="F46" s="27"/>
      <c r="G46" s="10"/>
      <c r="H46" s="36" t="s">
        <v>263</v>
      </c>
      <c r="I46" s="37"/>
      <c r="J46" s="37"/>
      <c r="K46" s="27"/>
      <c r="L46" s="27"/>
      <c r="M46" s="27"/>
      <c r="N46" s="27"/>
      <c r="O46" s="27"/>
      <c r="P46" s="2" t="s">
        <v>1859</v>
      </c>
      <c r="Q46" s="29" t="s">
        <v>265</v>
      </c>
      <c r="R46" s="27"/>
      <c r="S46" s="27"/>
    </row>
    <row r="47" spans="1:19" ht="24" customHeight="1">
      <c r="A47" s="27"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7" s="27"/>
      <c r="C47" s="27"/>
      <c r="D47" s="27"/>
      <c r="E47" s="27"/>
      <c r="F47" s="27"/>
      <c r="G47" s="10"/>
      <c r="H47" s="36" t="s">
        <v>263</v>
      </c>
      <c r="I47" s="37"/>
      <c r="J47" s="37"/>
      <c r="K47" s="27"/>
      <c r="L47" s="27"/>
      <c r="M47" s="27"/>
      <c r="N47" s="27"/>
      <c r="O47" s="27"/>
      <c r="P47" s="2" t="s">
        <v>1859</v>
      </c>
      <c r="Q47" s="29" t="s">
        <v>265</v>
      </c>
      <c r="R47" s="27"/>
      <c r="S47" s="27"/>
    </row>
    <row r="48" spans="1:19" ht="24" customHeight="1">
      <c r="A48" s="27"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8" s="27"/>
      <c r="C48" s="27"/>
      <c r="D48" s="27"/>
      <c r="E48" s="27"/>
      <c r="F48" s="27"/>
      <c r="G48" s="10"/>
      <c r="H48" s="36" t="s">
        <v>263</v>
      </c>
      <c r="I48" s="37"/>
      <c r="J48" s="37"/>
      <c r="K48" s="27"/>
      <c r="L48" s="27"/>
      <c r="M48" s="27"/>
      <c r="N48" s="27"/>
      <c r="O48" s="27"/>
      <c r="P48" s="2" t="s">
        <v>1859</v>
      </c>
      <c r="Q48" s="29" t="s">
        <v>265</v>
      </c>
      <c r="R48" s="27"/>
      <c r="S48" s="27"/>
    </row>
    <row r="49" spans="1:19" ht="24" customHeight="1">
      <c r="A49" s="27"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49" s="27"/>
      <c r="C49" s="27"/>
      <c r="D49" s="27"/>
      <c r="E49" s="27"/>
      <c r="F49" s="27"/>
      <c r="G49" s="10"/>
      <c r="H49" s="36" t="s">
        <v>263</v>
      </c>
      <c r="I49" s="37"/>
      <c r="J49" s="37"/>
      <c r="K49" s="27"/>
      <c r="L49" s="27"/>
      <c r="M49" s="27"/>
      <c r="N49" s="27"/>
      <c r="O49" s="27"/>
      <c r="P49" s="2" t="s">
        <v>1859</v>
      </c>
      <c r="Q49" s="29" t="s">
        <v>265</v>
      </c>
      <c r="R49" s="27"/>
      <c r="S49" s="27"/>
    </row>
    <row r="50" spans="1:19" ht="24" customHeight="1">
      <c r="A50" s="27"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50" s="27"/>
      <c r="C50" s="27"/>
      <c r="D50" s="27"/>
      <c r="E50" s="27"/>
      <c r="F50" s="27"/>
      <c r="G50" s="10"/>
      <c r="H50" s="36" t="s">
        <v>263</v>
      </c>
      <c r="I50" s="37"/>
      <c r="J50" s="37"/>
      <c r="K50" s="27"/>
      <c r="L50" s="27"/>
      <c r="M50" s="27"/>
      <c r="N50" s="27"/>
      <c r="O50" s="27"/>
      <c r="P50" s="2" t="s">
        <v>1859</v>
      </c>
      <c r="Q50" s="29" t="s">
        <v>265</v>
      </c>
      <c r="R50" s="27"/>
      <c r="S50" s="27"/>
    </row>
    <row r="51" spans="1:19" ht="24" customHeight="1">
      <c r="A51" s="27"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51" s="27"/>
      <c r="C51" s="27"/>
      <c r="D51" s="27"/>
      <c r="E51" s="27"/>
      <c r="F51" s="27"/>
      <c r="G51" s="10"/>
      <c r="H51" s="36" t="s">
        <v>263</v>
      </c>
      <c r="I51" s="37"/>
      <c r="J51" s="37"/>
      <c r="K51" s="27"/>
      <c r="L51" s="27"/>
      <c r="M51" s="27"/>
      <c r="N51" s="27"/>
      <c r="O51" s="27"/>
      <c r="P51" s="2" t="s">
        <v>1859</v>
      </c>
      <c r="Q51" s="29" t="s">
        <v>265</v>
      </c>
      <c r="R51" s="27"/>
      <c r="S51" s="27"/>
    </row>
    <row r="52" spans="1:19" ht="24" customHeight="1">
      <c r="A52" s="27"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52" s="27"/>
      <c r="C52" s="27"/>
      <c r="D52" s="27"/>
      <c r="E52" s="27"/>
      <c r="F52" s="27"/>
      <c r="G52" s="10"/>
      <c r="H52" s="36" t="s">
        <v>263</v>
      </c>
      <c r="I52" s="37"/>
      <c r="J52" s="37"/>
      <c r="K52" s="27"/>
      <c r="L52" s="27"/>
      <c r="M52" s="27"/>
      <c r="N52" s="27"/>
      <c r="O52" s="27"/>
      <c r="P52" s="2" t="s">
        <v>1859</v>
      </c>
      <c r="Q52" s="29" t="s">
        <v>265</v>
      </c>
      <c r="R52" s="27"/>
      <c r="S52" s="27"/>
    </row>
    <row r="53" spans="1:19" ht="24" customHeight="1">
      <c r="A53" s="27"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Aug26'!$A$3:$A$505, "EVT*") + COUNTIF('DT-4 Aug26'!$A$3:$A$525, "EVT*") + COUNTIF('DT-3 Sep26'!$A$3:$A$522, "EVT*") + COUNTIF('DT-4 Sep26'!$A$3:$A$571, "EVT*") + COUNTIF('DT-3 Oct26'!$A$3:$A$500, "EVT*") + COUNTIF('DT-4 Oct26'!$A$3:$A$507, "EVT*") + COUNTIF('DT-3 Nov26'!$A$3:$A$500, "EVT*") + COUNTIF('DT-4 Nov26'!$A$3:$A$505, "EVT*") + COUNTIF('DT-3 Dec26'!$A$3:$A$500, "EVT*") + COUNTIF(OFFSET($A$1, 1, 0, ROW()-2, 1), "EVT*") + 1, "0000"), "")</f>
        <v/>
      </c>
      <c r="B53" s="27"/>
      <c r="C53" s="27"/>
      <c r="D53" s="27"/>
      <c r="E53" s="27"/>
      <c r="F53" s="27"/>
      <c r="G53" s="10"/>
      <c r="H53" s="36" t="s">
        <v>263</v>
      </c>
      <c r="I53" s="37"/>
      <c r="J53" s="37"/>
      <c r="K53" s="27"/>
      <c r="L53" s="27"/>
      <c r="M53" s="27"/>
      <c r="N53" s="27"/>
      <c r="O53" s="27"/>
      <c r="P53" s="2" t="s">
        <v>1859</v>
      </c>
      <c r="Q53" s="29" t="s">
        <v>265</v>
      </c>
      <c r="R53" s="27"/>
      <c r="S53" s="27"/>
    </row>
    <row r="54" spans="1:19" ht="15"/>
  </sheetData>
  <mergeCells count="3">
    <mergeCell ref="O1:S1"/>
    <mergeCell ref="A1:C1"/>
    <mergeCell ref="D1:N1"/>
  </mergeCells>
  <dataValidations count="4">
    <dataValidation type="list" allowBlank="1" sqref="O37:O503 O3:P36 P37:P53" xr:uid="{00000000-0002-0000-1900-000000000000}">
      <formula1>"Confirmed (Done),Pending Calendar Booking,Canceled"</formula1>
    </dataValidation>
    <dataValidation type="list" allowBlank="1" sqref="P3:P103" xr:uid="{00000000-0002-0000-1900-000001000000}">
      <formula1>"Form sent,NA"</formula1>
    </dataValidation>
    <dataValidation type="list" allowBlank="1" sqref="Q3:Q53" xr:uid="{00000000-0002-0000-1900-000002000000}">
      <formula1>"Form sent,Not Required,NA"</formula1>
    </dataValidation>
    <dataValidation type="list" allowBlank="1" sqref="H3:H53" xr:uid="{00000000-0002-0000-1900-000003000000}">
      <formula1>"Big Event,Small Event"</formula1>
    </dataValidation>
  </dataValidations>
  <hyperlinks>
    <hyperlink ref="A1" location="'Dashboard'!A1" display="🏠 ⮌ RETURN TO DASHBOARD" xr:uid="{00000000-0004-0000-1900-000000000000}"/>
    <hyperlink ref="N3" r:id="rId1" xr:uid="{9F79D9D3-EF3E-4CEF-8BAE-4E6DE39AD48A}"/>
    <hyperlink ref="N6" r:id="rId2" xr:uid="{49BC9811-F11E-47A8-B412-FCA0193BF37A}"/>
    <hyperlink ref="N8" r:id="rId3" xr:uid="{D973E5A9-EC92-4789-9840-243052160B95}"/>
    <hyperlink ref="N9" r:id="rId4" xr:uid="{81F86ACD-16B1-4A86-A8EF-84072D5E71D8}"/>
    <hyperlink ref="N4" r:id="rId5" xr:uid="{F3541CBE-DCFA-4E80-959B-55E3E3269EA6}"/>
    <hyperlink ref="N5" r:id="rId6" xr:uid="{C97E514E-B803-4B0C-AB08-643C88C01338}"/>
    <hyperlink ref="N7" r:id="rId7" xr:uid="{831CB683-378F-432E-A2CE-DB2F970721A4}"/>
    <hyperlink ref="N13" r:id="rId8" xr:uid="{391C270D-BD30-4962-8650-8B519E369E47}"/>
    <hyperlink ref="N14" r:id="rId9" xr:uid="{F6A64D66-14FD-47CF-B414-1757D0F2B5E3}"/>
    <hyperlink ref="N15" r:id="rId10" xr:uid="{02DBAE32-972E-4352-9293-0386A042251E}"/>
    <hyperlink ref="N20" r:id="rId11" xr:uid="{EF8A7ECB-CC96-446E-B90E-BC69F14A72FE}"/>
    <hyperlink ref="N21" r:id="rId12" xr:uid="{F8E02242-B839-4C55-8086-69DA81E8DCF7}"/>
    <hyperlink ref="N22" r:id="rId13" xr:uid="{19157C51-445F-4494-93F2-8643234E7B85}"/>
    <hyperlink ref="N27" r:id="rId14" xr:uid="{67BCCA47-C49B-4F10-93A5-E7440A7F4439}"/>
    <hyperlink ref="N28" r:id="rId15" xr:uid="{465145E3-1C35-4D8F-8D84-779DDC24CAD2}"/>
    <hyperlink ref="N29" r:id="rId16" xr:uid="{C34D7F3C-7292-4678-A00F-09AE93AE4DEF}"/>
    <hyperlink ref="N34" r:id="rId17" xr:uid="{A230CEFC-861C-456E-8204-1784E864A8A8}"/>
    <hyperlink ref="N35" r:id="rId18" xr:uid="{4161F3CB-1E85-49A3-ABAB-1C30ED57B411}"/>
    <hyperlink ref="N36" r:id="rId19" xr:uid="{294A6F40-972A-4D34-ABDC-5D29B06FE663}"/>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43"/>
  <sheetViews>
    <sheetView workbookViewId="0">
      <pane ySplit="2" topLeftCell="O29" activePane="bottomLeft" state="frozen"/>
      <selection pane="bottomLeft" activeCell="D32" sqref="D32:S32"/>
    </sheetView>
  </sheetViews>
  <sheetFormatPr defaultRowHeight="14.45"/>
  <cols>
    <col min="1" max="1" width="18" customWidth="1"/>
    <col min="2" max="2" width="15" customWidth="1"/>
    <col min="3" max="3" width="12" customWidth="1"/>
    <col min="4" max="4" width="22" customWidth="1"/>
    <col min="5" max="5" width="12" customWidth="1"/>
    <col min="6" max="6" width="31" customWidth="1"/>
    <col min="7" max="7" width="12" customWidth="1"/>
    <col min="8" max="8" width="15" customWidth="1"/>
    <col min="9" max="9" width="19" customWidth="1"/>
    <col min="10" max="10" width="17" customWidth="1"/>
    <col min="11" max="11" width="18" customWidth="1"/>
    <col min="12" max="12" width="22" customWidth="1"/>
    <col min="13" max="13" width="20" customWidth="1"/>
    <col min="14" max="14" width="37.140625" customWidth="1"/>
    <col min="15" max="15" width="15" customWidth="1"/>
    <col min="16" max="16" width="27" customWidth="1"/>
    <col min="17" max="17" width="18" customWidth="1"/>
    <col min="18" max="18" width="32" customWidth="1"/>
    <col min="19" max="19" width="19" customWidth="1"/>
  </cols>
  <sheetData>
    <row r="1" spans="1:19" ht="27.95" customHeight="1">
      <c r="A1" s="62" t="s">
        <v>2138</v>
      </c>
      <c r="B1" s="134"/>
      <c r="C1" s="135"/>
      <c r="D1" s="63" t="s">
        <v>2576</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t="shared" ref="A3:A43" ca="1" si="0">IF(OR(D3&lt;&gt;"", F3&lt;&gt;"", L3&lt;&gt;"", O3&lt;&gt;""), "EVT-2027-" &amp; TEXT(COUNTIF(OFFSET($A$1, 1, 0, ROW()-2, 1), "EVT*") + 1, "0000"), "")</f>
        <v/>
      </c>
      <c r="B3" s="30">
        <v>46388</v>
      </c>
      <c r="C3" s="27" t="s">
        <v>220</v>
      </c>
      <c r="D3" s="27"/>
      <c r="E3" s="27"/>
      <c r="F3" s="27"/>
      <c r="G3" s="10"/>
      <c r="H3" s="36" t="s">
        <v>263</v>
      </c>
      <c r="I3" s="37"/>
      <c r="J3" s="37"/>
      <c r="K3" s="27"/>
      <c r="L3" s="27"/>
      <c r="M3" s="27"/>
      <c r="N3" s="27"/>
      <c r="O3" s="27"/>
      <c r="P3" s="2" t="s">
        <v>1859</v>
      </c>
      <c r="Q3" s="29" t="s">
        <v>265</v>
      </c>
      <c r="R3" s="27"/>
      <c r="S3" s="27"/>
    </row>
    <row r="4" spans="1:19" ht="24" customHeight="1">
      <c r="A4" s="27" t="str">
        <f t="shared" ca="1" si="0"/>
        <v/>
      </c>
      <c r="B4" s="30">
        <v>46389</v>
      </c>
      <c r="C4" s="27" t="s">
        <v>266</v>
      </c>
      <c r="D4" s="27"/>
      <c r="E4" s="27"/>
      <c r="F4" s="27"/>
      <c r="G4" s="10"/>
      <c r="H4" s="36" t="s">
        <v>263</v>
      </c>
      <c r="I4" s="37"/>
      <c r="J4" s="37"/>
      <c r="K4" s="27"/>
      <c r="L4" s="27"/>
      <c r="M4" s="27"/>
      <c r="N4" s="27"/>
      <c r="O4" s="27"/>
      <c r="P4" s="2" t="s">
        <v>1859</v>
      </c>
      <c r="Q4" s="29" t="s">
        <v>265</v>
      </c>
      <c r="R4" s="27"/>
      <c r="S4" s="27"/>
    </row>
    <row r="5" spans="1:19" ht="24" customHeight="1">
      <c r="A5" s="27" t="str">
        <f t="shared" ca="1" si="0"/>
        <v/>
      </c>
      <c r="B5" s="30">
        <v>46390</v>
      </c>
      <c r="C5" s="27" t="s">
        <v>267</v>
      </c>
      <c r="D5" s="27"/>
      <c r="E5" s="27"/>
      <c r="F5" s="27"/>
      <c r="G5" s="10"/>
      <c r="H5" s="36" t="s">
        <v>263</v>
      </c>
      <c r="I5" s="37"/>
      <c r="J5" s="37"/>
      <c r="K5" s="27"/>
      <c r="L5" s="27"/>
      <c r="M5" s="27"/>
      <c r="N5" s="27"/>
      <c r="O5" s="27"/>
      <c r="P5" s="2" t="s">
        <v>1859</v>
      </c>
      <c r="Q5" s="29" t="s">
        <v>265</v>
      </c>
      <c r="R5" s="27"/>
      <c r="S5" s="27"/>
    </row>
    <row r="6" spans="1:19" ht="24" customHeight="1">
      <c r="A6" s="27" t="str">
        <f t="shared" ca="1" si="0"/>
        <v>EVT-2027-0001</v>
      </c>
      <c r="B6" s="30">
        <v>46391</v>
      </c>
      <c r="C6" s="27" t="s">
        <v>224</v>
      </c>
      <c r="D6" s="27" t="s">
        <v>125</v>
      </c>
      <c r="E6" s="27" t="s">
        <v>228</v>
      </c>
      <c r="F6" s="27" t="s">
        <v>874</v>
      </c>
      <c r="G6" s="10">
        <v>50</v>
      </c>
      <c r="H6" s="36" t="s">
        <v>263</v>
      </c>
      <c r="I6" s="37">
        <v>0.58333333333333337</v>
      </c>
      <c r="J6" s="37">
        <v>0.70833333333333337</v>
      </c>
      <c r="K6" s="27" t="s">
        <v>1445</v>
      </c>
      <c r="L6" s="27" t="s">
        <v>1445</v>
      </c>
      <c r="M6" s="27" t="s">
        <v>2559</v>
      </c>
      <c r="N6" s="27" t="s">
        <v>2560</v>
      </c>
      <c r="O6" s="27"/>
      <c r="P6" s="2" t="s">
        <v>1859</v>
      </c>
      <c r="Q6" s="29" t="s">
        <v>265</v>
      </c>
      <c r="R6" s="27" t="s">
        <v>1673</v>
      </c>
      <c r="S6" s="27" t="s">
        <v>1846</v>
      </c>
    </row>
    <row r="7" spans="1:19" ht="24" customHeight="1">
      <c r="A7" s="27" t="str">
        <f t="shared" ca="1" si="0"/>
        <v>EVT-2027-0002</v>
      </c>
      <c r="B7" s="30">
        <v>46392</v>
      </c>
      <c r="C7" s="27" t="s">
        <v>227</v>
      </c>
      <c r="D7" s="27" t="s">
        <v>1366</v>
      </c>
      <c r="E7" s="27" t="s">
        <v>208</v>
      </c>
      <c r="F7" s="27" t="s">
        <v>217</v>
      </c>
      <c r="G7" s="10">
        <v>50</v>
      </c>
      <c r="H7" s="36" t="s">
        <v>263</v>
      </c>
      <c r="I7" s="37" t="s">
        <v>309</v>
      </c>
      <c r="J7" s="37" t="s">
        <v>296</v>
      </c>
      <c r="K7" s="27"/>
      <c r="L7" s="27"/>
      <c r="M7" s="27" t="s">
        <v>2559</v>
      </c>
      <c r="N7" s="27" t="s">
        <v>2560</v>
      </c>
      <c r="O7" s="27"/>
      <c r="P7" s="2" t="s">
        <v>1859</v>
      </c>
      <c r="Q7" s="29" t="s">
        <v>265</v>
      </c>
      <c r="R7" s="27" t="s">
        <v>2384</v>
      </c>
      <c r="S7" s="27" t="s">
        <v>1846</v>
      </c>
    </row>
    <row r="8" spans="1:19" ht="24" customHeight="1">
      <c r="A8" s="27" t="str">
        <f t="shared" ca="1" si="0"/>
        <v>EVT-2027-0003</v>
      </c>
      <c r="B8" s="30">
        <v>46392</v>
      </c>
      <c r="C8" s="27" t="s">
        <v>227</v>
      </c>
      <c r="D8" s="27" t="s">
        <v>125</v>
      </c>
      <c r="E8" s="27" t="s">
        <v>228</v>
      </c>
      <c r="F8" s="27" t="s">
        <v>874</v>
      </c>
      <c r="G8" s="10">
        <v>50</v>
      </c>
      <c r="H8" s="36" t="s">
        <v>263</v>
      </c>
      <c r="I8" s="37">
        <v>0.58333333333333337</v>
      </c>
      <c r="J8" s="37">
        <v>0.70833333333333337</v>
      </c>
      <c r="K8" s="27" t="s">
        <v>1445</v>
      </c>
      <c r="L8" s="27" t="s">
        <v>1445</v>
      </c>
      <c r="M8" s="27" t="s">
        <v>2559</v>
      </c>
      <c r="N8" s="27" t="s">
        <v>2560</v>
      </c>
      <c r="O8" s="27"/>
      <c r="P8" s="2" t="s">
        <v>1859</v>
      </c>
      <c r="Q8" s="29" t="s">
        <v>265</v>
      </c>
      <c r="R8" s="27" t="s">
        <v>1673</v>
      </c>
      <c r="S8" s="27" t="s">
        <v>1846</v>
      </c>
    </row>
    <row r="9" spans="1:19" ht="24" customHeight="1">
      <c r="A9" s="27" t="str">
        <f t="shared" ca="1" si="0"/>
        <v>EVT-2027-0004</v>
      </c>
      <c r="B9" s="30">
        <v>46393</v>
      </c>
      <c r="C9" s="27" t="s">
        <v>201</v>
      </c>
      <c r="D9" s="27" t="s">
        <v>1366</v>
      </c>
      <c r="E9" s="27" t="s">
        <v>208</v>
      </c>
      <c r="F9" s="27" t="s">
        <v>217</v>
      </c>
      <c r="G9" s="10">
        <v>50</v>
      </c>
      <c r="H9" s="36" t="s">
        <v>263</v>
      </c>
      <c r="I9" s="37" t="s">
        <v>309</v>
      </c>
      <c r="J9" s="37" t="s">
        <v>296</v>
      </c>
      <c r="K9" s="27"/>
      <c r="L9" s="27"/>
      <c r="M9" s="27" t="s">
        <v>2559</v>
      </c>
      <c r="N9" s="27" t="s">
        <v>2560</v>
      </c>
      <c r="O9" s="27"/>
      <c r="P9" s="2" t="s">
        <v>1859</v>
      </c>
      <c r="Q9" s="29" t="s">
        <v>265</v>
      </c>
      <c r="R9" s="27" t="s">
        <v>2384</v>
      </c>
      <c r="S9" s="27" t="s">
        <v>1846</v>
      </c>
    </row>
    <row r="10" spans="1:19" ht="24" customHeight="1">
      <c r="A10" s="27" t="str">
        <f t="shared" ca="1" si="0"/>
        <v>EVT-2027-0005</v>
      </c>
      <c r="B10" s="30">
        <v>46393</v>
      </c>
      <c r="C10" s="27" t="s">
        <v>201</v>
      </c>
      <c r="D10" s="27" t="s">
        <v>125</v>
      </c>
      <c r="E10" s="27" t="s">
        <v>228</v>
      </c>
      <c r="F10" s="27" t="s">
        <v>874</v>
      </c>
      <c r="G10" s="10">
        <v>50</v>
      </c>
      <c r="H10" s="36" t="s">
        <v>263</v>
      </c>
      <c r="I10" s="37">
        <v>0.58333333333333337</v>
      </c>
      <c r="J10" s="37">
        <v>0.70833333333333337</v>
      </c>
      <c r="K10" s="27" t="s">
        <v>1445</v>
      </c>
      <c r="L10" s="27" t="s">
        <v>1445</v>
      </c>
      <c r="M10" s="27" t="s">
        <v>2559</v>
      </c>
      <c r="N10" s="27" t="s">
        <v>2560</v>
      </c>
      <c r="O10" s="27"/>
      <c r="P10" s="2" t="s">
        <v>1859</v>
      </c>
      <c r="Q10" s="29" t="s">
        <v>265</v>
      </c>
      <c r="R10" s="27" t="s">
        <v>1673</v>
      </c>
      <c r="S10" s="27" t="s">
        <v>1846</v>
      </c>
    </row>
    <row r="11" spans="1:19" ht="24" customHeight="1">
      <c r="A11" s="27" t="str">
        <f t="shared" ca="1" si="0"/>
        <v>EVT-2027-0006</v>
      </c>
      <c r="B11" s="30">
        <v>46394</v>
      </c>
      <c r="C11" s="27" t="s">
        <v>216</v>
      </c>
      <c r="D11" s="27" t="s">
        <v>1366</v>
      </c>
      <c r="E11" s="27" t="s">
        <v>208</v>
      </c>
      <c r="F11" s="27" t="s">
        <v>217</v>
      </c>
      <c r="G11" s="10">
        <v>50</v>
      </c>
      <c r="H11" s="36" t="s">
        <v>263</v>
      </c>
      <c r="I11" s="37" t="s">
        <v>309</v>
      </c>
      <c r="J11" s="37" t="s">
        <v>296</v>
      </c>
      <c r="K11" s="27"/>
      <c r="L11" s="27"/>
      <c r="M11" s="27" t="s">
        <v>2559</v>
      </c>
      <c r="N11" s="27" t="s">
        <v>2560</v>
      </c>
      <c r="O11" s="27"/>
      <c r="P11" s="2" t="s">
        <v>1859</v>
      </c>
      <c r="Q11" s="29" t="s">
        <v>265</v>
      </c>
      <c r="R11" s="27" t="s">
        <v>2384</v>
      </c>
      <c r="S11" s="27" t="s">
        <v>1846</v>
      </c>
    </row>
    <row r="12" spans="1:19" ht="24" customHeight="1">
      <c r="A12" s="27" t="str">
        <f t="shared" ca="1" si="0"/>
        <v>EVT-2027-0007</v>
      </c>
      <c r="B12" s="30">
        <v>46394</v>
      </c>
      <c r="C12" s="27" t="s">
        <v>216</v>
      </c>
      <c r="D12" s="27" t="s">
        <v>125</v>
      </c>
      <c r="E12" s="27" t="s">
        <v>228</v>
      </c>
      <c r="F12" s="27" t="s">
        <v>874</v>
      </c>
      <c r="G12" s="10">
        <v>50</v>
      </c>
      <c r="H12" s="36" t="s">
        <v>263</v>
      </c>
      <c r="I12" s="37">
        <v>0.58333333333333337</v>
      </c>
      <c r="J12" s="37">
        <v>0.70833333333333337</v>
      </c>
      <c r="K12" s="27" t="s">
        <v>1445</v>
      </c>
      <c r="L12" s="27" t="s">
        <v>1445</v>
      </c>
      <c r="M12" s="27" t="s">
        <v>2559</v>
      </c>
      <c r="N12" s="27" t="s">
        <v>2560</v>
      </c>
      <c r="O12" s="27"/>
      <c r="P12" s="2" t="s">
        <v>1859</v>
      </c>
      <c r="Q12" s="29" t="s">
        <v>265</v>
      </c>
      <c r="R12" s="27" t="s">
        <v>1673</v>
      </c>
      <c r="S12" s="27" t="s">
        <v>1846</v>
      </c>
    </row>
    <row r="13" spans="1:19" ht="24" customHeight="1">
      <c r="A13" s="27" t="str">
        <f t="shared" ca="1" si="0"/>
        <v/>
      </c>
      <c r="B13" s="30">
        <v>46395</v>
      </c>
      <c r="C13" s="27" t="s">
        <v>220</v>
      </c>
      <c r="D13" s="27"/>
      <c r="E13" s="27"/>
      <c r="F13" s="27"/>
      <c r="G13" s="10"/>
      <c r="H13" s="36" t="s">
        <v>263</v>
      </c>
      <c r="I13" s="37"/>
      <c r="J13" s="37"/>
      <c r="K13" s="27"/>
      <c r="L13" s="27"/>
      <c r="M13" s="27"/>
      <c r="N13" s="27"/>
      <c r="O13" s="27"/>
      <c r="P13" s="2" t="s">
        <v>1859</v>
      </c>
      <c r="Q13" s="29" t="s">
        <v>265</v>
      </c>
      <c r="R13" s="27"/>
      <c r="S13" s="27"/>
    </row>
    <row r="14" spans="1:19" ht="24" customHeight="1">
      <c r="A14" s="27" t="str">
        <f t="shared" ca="1" si="0"/>
        <v/>
      </c>
      <c r="B14" s="30">
        <v>46396</v>
      </c>
      <c r="C14" s="27" t="s">
        <v>266</v>
      </c>
      <c r="D14" s="27"/>
      <c r="E14" s="27"/>
      <c r="F14" s="27"/>
      <c r="G14" s="10"/>
      <c r="H14" s="36" t="s">
        <v>263</v>
      </c>
      <c r="I14" s="37"/>
      <c r="J14" s="37"/>
      <c r="K14" s="27"/>
      <c r="L14" s="27"/>
      <c r="M14" s="27"/>
      <c r="N14" s="27"/>
      <c r="O14" s="27"/>
      <c r="P14" s="2" t="s">
        <v>1859</v>
      </c>
      <c r="Q14" s="29" t="s">
        <v>265</v>
      </c>
      <c r="R14" s="27"/>
      <c r="S14" s="27"/>
    </row>
    <row r="15" spans="1:19" ht="24" customHeight="1">
      <c r="A15" s="27" t="str">
        <f t="shared" ca="1" si="0"/>
        <v/>
      </c>
      <c r="B15" s="30">
        <v>46397</v>
      </c>
      <c r="C15" s="27" t="s">
        <v>267</v>
      </c>
      <c r="D15" s="27"/>
      <c r="E15" s="27"/>
      <c r="F15" s="27"/>
      <c r="G15" s="10"/>
      <c r="H15" s="36" t="s">
        <v>263</v>
      </c>
      <c r="I15" s="37"/>
      <c r="J15" s="37"/>
      <c r="K15" s="27"/>
      <c r="L15" s="27"/>
      <c r="M15" s="27"/>
      <c r="N15" s="27"/>
      <c r="O15" s="27"/>
      <c r="P15" s="2" t="s">
        <v>1859</v>
      </c>
      <c r="Q15" s="29" t="s">
        <v>265</v>
      </c>
      <c r="R15" s="27"/>
      <c r="S15" s="27"/>
    </row>
    <row r="16" spans="1:19" ht="24" customHeight="1">
      <c r="A16" s="27" t="str">
        <f t="shared" ca="1" si="0"/>
        <v/>
      </c>
      <c r="B16" s="30">
        <v>46398</v>
      </c>
      <c r="C16" s="27" t="s">
        <v>224</v>
      </c>
      <c r="D16" s="27"/>
      <c r="E16" s="27"/>
      <c r="F16" s="27"/>
      <c r="G16" s="10"/>
      <c r="H16" s="36" t="s">
        <v>263</v>
      </c>
      <c r="I16" s="37"/>
      <c r="J16" s="37"/>
      <c r="K16" s="27"/>
      <c r="L16" s="27"/>
      <c r="M16" s="27"/>
      <c r="N16" s="27"/>
      <c r="O16" s="27"/>
      <c r="P16" s="2" t="s">
        <v>1859</v>
      </c>
      <c r="Q16" s="29" t="s">
        <v>265</v>
      </c>
      <c r="R16" s="27"/>
      <c r="S16" s="27"/>
    </row>
    <row r="17" spans="1:19" ht="24" customHeight="1">
      <c r="A17" s="27" t="str">
        <f t="shared" ca="1" si="0"/>
        <v>EVT-2027-0008</v>
      </c>
      <c r="B17" s="30">
        <v>46399</v>
      </c>
      <c r="C17" s="27" t="s">
        <v>227</v>
      </c>
      <c r="D17" s="27" t="s">
        <v>1366</v>
      </c>
      <c r="E17" s="27" t="s">
        <v>208</v>
      </c>
      <c r="F17" s="27" t="s">
        <v>217</v>
      </c>
      <c r="G17" s="10">
        <v>50</v>
      </c>
      <c r="H17" s="36" t="s">
        <v>263</v>
      </c>
      <c r="I17" s="37" t="s">
        <v>309</v>
      </c>
      <c r="J17" s="37" t="s">
        <v>296</v>
      </c>
      <c r="K17" s="27"/>
      <c r="L17" s="27"/>
      <c r="M17" s="27" t="s">
        <v>2559</v>
      </c>
      <c r="N17" s="27" t="s">
        <v>2560</v>
      </c>
      <c r="O17" s="27"/>
      <c r="P17" s="2" t="s">
        <v>1859</v>
      </c>
      <c r="Q17" s="29" t="s">
        <v>265</v>
      </c>
      <c r="R17" s="27" t="s">
        <v>2384</v>
      </c>
      <c r="S17" s="27" t="s">
        <v>1846</v>
      </c>
    </row>
    <row r="18" spans="1:19" ht="24" customHeight="1">
      <c r="A18" s="27" t="str">
        <f t="shared" ca="1" si="0"/>
        <v>EVT-2027-0009</v>
      </c>
      <c r="B18" s="30">
        <v>46400</v>
      </c>
      <c r="C18" s="27" t="s">
        <v>201</v>
      </c>
      <c r="D18" s="27" t="s">
        <v>1366</v>
      </c>
      <c r="E18" s="27" t="s">
        <v>208</v>
      </c>
      <c r="F18" s="27" t="s">
        <v>217</v>
      </c>
      <c r="G18" s="10">
        <v>50</v>
      </c>
      <c r="H18" s="36" t="s">
        <v>263</v>
      </c>
      <c r="I18" s="37" t="s">
        <v>309</v>
      </c>
      <c r="J18" s="37" t="s">
        <v>296</v>
      </c>
      <c r="K18" s="27"/>
      <c r="L18" s="27"/>
      <c r="M18" s="27" t="s">
        <v>2559</v>
      </c>
      <c r="N18" s="27" t="s">
        <v>2560</v>
      </c>
      <c r="O18" s="27"/>
      <c r="P18" s="2" t="s">
        <v>1859</v>
      </c>
      <c r="Q18" s="29" t="s">
        <v>265</v>
      </c>
      <c r="R18" s="27" t="s">
        <v>2384</v>
      </c>
      <c r="S18" s="27" t="s">
        <v>1846</v>
      </c>
    </row>
    <row r="19" spans="1:19" ht="24" customHeight="1">
      <c r="A19" s="27" t="str">
        <f t="shared" ca="1" si="0"/>
        <v>EVT-2027-0010</v>
      </c>
      <c r="B19" s="30">
        <v>46401</v>
      </c>
      <c r="C19" s="27" t="s">
        <v>216</v>
      </c>
      <c r="D19" s="27" t="s">
        <v>1366</v>
      </c>
      <c r="E19" s="27" t="s">
        <v>208</v>
      </c>
      <c r="F19" s="27" t="s">
        <v>217</v>
      </c>
      <c r="G19" s="10">
        <v>50</v>
      </c>
      <c r="H19" s="36" t="s">
        <v>263</v>
      </c>
      <c r="I19" s="37" t="s">
        <v>309</v>
      </c>
      <c r="J19" s="37" t="s">
        <v>296</v>
      </c>
      <c r="K19" s="27"/>
      <c r="L19" s="27"/>
      <c r="M19" s="27" t="s">
        <v>2559</v>
      </c>
      <c r="N19" s="27" t="s">
        <v>2560</v>
      </c>
      <c r="O19" s="27"/>
      <c r="P19" s="2" t="s">
        <v>1859</v>
      </c>
      <c r="Q19" s="29" t="s">
        <v>265</v>
      </c>
      <c r="R19" s="27" t="s">
        <v>2384</v>
      </c>
      <c r="S19" s="27" t="s">
        <v>1846</v>
      </c>
    </row>
    <row r="20" spans="1:19" ht="24" customHeight="1">
      <c r="A20" s="27" t="str">
        <f t="shared" ca="1" si="0"/>
        <v/>
      </c>
      <c r="B20" s="30">
        <v>46402</v>
      </c>
      <c r="C20" s="27" t="s">
        <v>220</v>
      </c>
      <c r="D20" s="27"/>
      <c r="E20" s="27"/>
      <c r="F20" s="27"/>
      <c r="G20" s="10"/>
      <c r="H20" s="36" t="s">
        <v>263</v>
      </c>
      <c r="I20" s="37"/>
      <c r="J20" s="37"/>
      <c r="K20" s="27"/>
      <c r="L20" s="27"/>
      <c r="M20" s="27"/>
      <c r="N20" s="27"/>
      <c r="O20" s="27"/>
      <c r="P20" s="2" t="s">
        <v>1859</v>
      </c>
      <c r="Q20" s="29" t="s">
        <v>265</v>
      </c>
      <c r="R20" s="27"/>
      <c r="S20" s="27"/>
    </row>
    <row r="21" spans="1:19" ht="24" customHeight="1">
      <c r="A21" s="27" t="str">
        <f t="shared" ca="1" si="0"/>
        <v/>
      </c>
      <c r="B21" s="30">
        <v>46403</v>
      </c>
      <c r="C21" s="27" t="s">
        <v>266</v>
      </c>
      <c r="D21" s="27"/>
      <c r="E21" s="27"/>
      <c r="F21" s="27"/>
      <c r="G21" s="10"/>
      <c r="H21" s="36" t="s">
        <v>263</v>
      </c>
      <c r="I21" s="37"/>
      <c r="J21" s="37"/>
      <c r="K21" s="27"/>
      <c r="L21" s="27"/>
      <c r="M21" s="27"/>
      <c r="N21" s="27"/>
      <c r="O21" s="27"/>
      <c r="P21" s="2" t="s">
        <v>1859</v>
      </c>
      <c r="Q21" s="29" t="s">
        <v>265</v>
      </c>
      <c r="R21" s="27"/>
      <c r="S21" s="27"/>
    </row>
    <row r="22" spans="1:19" ht="24" customHeight="1">
      <c r="A22" s="27" t="str">
        <f t="shared" ca="1" si="0"/>
        <v/>
      </c>
      <c r="B22" s="30">
        <v>46404</v>
      </c>
      <c r="C22" s="27" t="s">
        <v>267</v>
      </c>
      <c r="D22" s="27"/>
      <c r="E22" s="27"/>
      <c r="F22" s="27"/>
      <c r="G22" s="10"/>
      <c r="H22" s="36" t="s">
        <v>263</v>
      </c>
      <c r="I22" s="37"/>
      <c r="J22" s="37"/>
      <c r="K22" s="27"/>
      <c r="L22" s="27"/>
      <c r="M22" s="27"/>
      <c r="N22" s="27"/>
      <c r="O22" s="27"/>
      <c r="P22" s="2" t="s">
        <v>1859</v>
      </c>
      <c r="Q22" s="29" t="s">
        <v>265</v>
      </c>
      <c r="R22" s="27"/>
      <c r="S22" s="27"/>
    </row>
    <row r="23" spans="1:19" ht="24" customHeight="1">
      <c r="A23" s="27" t="str">
        <f t="shared" ca="1" si="0"/>
        <v/>
      </c>
      <c r="B23" s="30">
        <v>46405</v>
      </c>
      <c r="C23" s="27" t="s">
        <v>224</v>
      </c>
      <c r="D23" s="27"/>
      <c r="E23" s="27"/>
      <c r="F23" s="27"/>
      <c r="G23" s="10"/>
      <c r="H23" s="36" t="s">
        <v>263</v>
      </c>
      <c r="I23" s="37"/>
      <c r="J23" s="37"/>
      <c r="K23" s="27"/>
      <c r="L23" s="27"/>
      <c r="M23" s="27"/>
      <c r="N23" s="27"/>
      <c r="O23" s="27"/>
      <c r="P23" s="2" t="s">
        <v>1859</v>
      </c>
      <c r="Q23" s="29" t="s">
        <v>265</v>
      </c>
      <c r="R23" s="27"/>
      <c r="S23" s="27"/>
    </row>
    <row r="24" spans="1:19" ht="24" customHeight="1">
      <c r="A24" s="27" t="str">
        <f t="shared" ca="1" si="0"/>
        <v>EVT-2027-0011</v>
      </c>
      <c r="B24" s="30">
        <v>46406</v>
      </c>
      <c r="C24" s="27" t="s">
        <v>227</v>
      </c>
      <c r="D24" s="27" t="s">
        <v>1366</v>
      </c>
      <c r="E24" s="27" t="s">
        <v>208</v>
      </c>
      <c r="F24" s="27" t="s">
        <v>217</v>
      </c>
      <c r="G24" s="10">
        <v>50</v>
      </c>
      <c r="H24" s="36" t="s">
        <v>263</v>
      </c>
      <c r="I24" s="37" t="s">
        <v>309</v>
      </c>
      <c r="J24" s="37" t="s">
        <v>296</v>
      </c>
      <c r="K24" s="27"/>
      <c r="L24" s="27"/>
      <c r="M24" s="27" t="s">
        <v>2559</v>
      </c>
      <c r="N24" s="27" t="s">
        <v>2560</v>
      </c>
      <c r="O24" s="27"/>
      <c r="P24" s="2" t="s">
        <v>1859</v>
      </c>
      <c r="Q24" s="29" t="s">
        <v>265</v>
      </c>
      <c r="R24" s="27" t="s">
        <v>2384</v>
      </c>
      <c r="S24" s="27" t="s">
        <v>1846</v>
      </c>
    </row>
    <row r="25" spans="1:19" ht="24" customHeight="1">
      <c r="A25" s="27" t="str">
        <f t="shared" ca="1" si="0"/>
        <v>EVT-2027-0012</v>
      </c>
      <c r="B25" s="30">
        <v>46407</v>
      </c>
      <c r="C25" s="27" t="s">
        <v>201</v>
      </c>
      <c r="D25" s="27" t="s">
        <v>1366</v>
      </c>
      <c r="E25" s="27" t="s">
        <v>208</v>
      </c>
      <c r="F25" s="27" t="s">
        <v>217</v>
      </c>
      <c r="G25" s="10">
        <v>50</v>
      </c>
      <c r="H25" s="36" t="s">
        <v>263</v>
      </c>
      <c r="I25" s="37" t="s">
        <v>309</v>
      </c>
      <c r="J25" s="37" t="s">
        <v>296</v>
      </c>
      <c r="K25" s="27"/>
      <c r="L25" s="27"/>
      <c r="M25" s="27" t="s">
        <v>2559</v>
      </c>
      <c r="N25" s="27" t="s">
        <v>2560</v>
      </c>
      <c r="O25" s="27"/>
      <c r="P25" s="2" t="s">
        <v>1859</v>
      </c>
      <c r="Q25" s="29" t="s">
        <v>265</v>
      </c>
      <c r="R25" s="27" t="s">
        <v>2384</v>
      </c>
      <c r="S25" s="27" t="s">
        <v>1846</v>
      </c>
    </row>
    <row r="26" spans="1:19" ht="24" customHeight="1">
      <c r="A26" s="27" t="str">
        <f t="shared" ca="1" si="0"/>
        <v>EVT-2027-0013</v>
      </c>
      <c r="B26" s="30">
        <v>46408</v>
      </c>
      <c r="C26" s="27" t="s">
        <v>216</v>
      </c>
      <c r="D26" s="27" t="s">
        <v>1366</v>
      </c>
      <c r="E26" s="27" t="s">
        <v>208</v>
      </c>
      <c r="F26" s="27" t="s">
        <v>217</v>
      </c>
      <c r="G26" s="10">
        <v>50</v>
      </c>
      <c r="H26" s="36" t="s">
        <v>263</v>
      </c>
      <c r="I26" s="37" t="s">
        <v>309</v>
      </c>
      <c r="J26" s="37" t="s">
        <v>296</v>
      </c>
      <c r="K26" s="27"/>
      <c r="L26" s="27"/>
      <c r="M26" s="27" t="s">
        <v>2559</v>
      </c>
      <c r="N26" s="27" t="s">
        <v>2560</v>
      </c>
      <c r="O26" s="27"/>
      <c r="P26" s="2" t="s">
        <v>1859</v>
      </c>
      <c r="Q26" s="29" t="s">
        <v>265</v>
      </c>
      <c r="R26" s="27" t="s">
        <v>2384</v>
      </c>
      <c r="S26" s="27" t="s">
        <v>1846</v>
      </c>
    </row>
    <row r="27" spans="1:19" ht="24" customHeight="1">
      <c r="A27" s="27" t="str">
        <f t="shared" ca="1" si="0"/>
        <v/>
      </c>
      <c r="B27" s="30">
        <v>46409</v>
      </c>
      <c r="C27" s="27" t="s">
        <v>220</v>
      </c>
      <c r="D27" s="27"/>
      <c r="E27" s="27"/>
      <c r="F27" s="27"/>
      <c r="G27" s="10"/>
      <c r="H27" s="36" t="s">
        <v>263</v>
      </c>
      <c r="I27" s="37"/>
      <c r="J27" s="37"/>
      <c r="K27" s="27"/>
      <c r="L27" s="27"/>
      <c r="M27" s="27"/>
      <c r="N27" s="27"/>
      <c r="O27" s="27"/>
      <c r="P27" s="2" t="s">
        <v>1859</v>
      </c>
      <c r="Q27" s="29" t="s">
        <v>265</v>
      </c>
      <c r="R27" s="27"/>
      <c r="S27" s="27"/>
    </row>
    <row r="28" spans="1:19" ht="24" customHeight="1">
      <c r="A28" s="27" t="str">
        <f t="shared" ca="1" si="0"/>
        <v/>
      </c>
      <c r="B28" s="30">
        <v>46410</v>
      </c>
      <c r="C28" s="27" t="s">
        <v>266</v>
      </c>
      <c r="D28" s="27"/>
      <c r="E28" s="27"/>
      <c r="F28" s="27"/>
      <c r="G28" s="10"/>
      <c r="H28" s="36" t="s">
        <v>263</v>
      </c>
      <c r="I28" s="37"/>
      <c r="J28" s="37"/>
      <c r="K28" s="27"/>
      <c r="L28" s="27"/>
      <c r="M28" s="27"/>
      <c r="N28" s="27"/>
      <c r="O28" s="27"/>
      <c r="P28" s="2" t="s">
        <v>1859</v>
      </c>
      <c r="Q28" s="29" t="s">
        <v>265</v>
      </c>
      <c r="R28" s="27"/>
      <c r="S28" s="27"/>
    </row>
    <row r="29" spans="1:19" ht="24" customHeight="1">
      <c r="A29" s="27" t="str">
        <f t="shared" ca="1" si="0"/>
        <v/>
      </c>
      <c r="B29" s="30">
        <v>46411</v>
      </c>
      <c r="C29" s="27" t="s">
        <v>267</v>
      </c>
      <c r="D29" s="27"/>
      <c r="E29" s="27"/>
      <c r="F29" s="27"/>
      <c r="G29" s="10"/>
      <c r="H29" s="36" t="s">
        <v>263</v>
      </c>
      <c r="I29" s="37"/>
      <c r="J29" s="37"/>
      <c r="K29" s="27"/>
      <c r="L29" s="27"/>
      <c r="M29" s="27"/>
      <c r="N29" s="27"/>
      <c r="O29" s="27"/>
      <c r="P29" s="2" t="s">
        <v>1859</v>
      </c>
      <c r="Q29" s="29" t="s">
        <v>265</v>
      </c>
      <c r="R29" s="27"/>
      <c r="S29" s="27"/>
    </row>
    <row r="30" spans="1:19" ht="24" customHeight="1">
      <c r="A30" s="27" t="str">
        <f t="shared" ca="1" si="0"/>
        <v/>
      </c>
      <c r="B30" s="30">
        <v>46413</v>
      </c>
      <c r="C30" s="27" t="s">
        <v>227</v>
      </c>
      <c r="D30" s="27"/>
      <c r="E30" s="27"/>
      <c r="F30" s="27"/>
      <c r="G30" s="10"/>
      <c r="H30" s="36" t="s">
        <v>263</v>
      </c>
      <c r="I30" s="37"/>
      <c r="J30" s="37"/>
      <c r="K30" s="27"/>
      <c r="L30" s="27"/>
      <c r="M30" s="27"/>
      <c r="N30" s="27"/>
      <c r="O30" s="27"/>
      <c r="P30" s="2" t="s">
        <v>1859</v>
      </c>
      <c r="Q30" s="29" t="s">
        <v>265</v>
      </c>
      <c r="R30" s="27"/>
      <c r="S30" s="27"/>
    </row>
    <row r="31" spans="1:19" ht="24" customHeight="1">
      <c r="A31" s="27" t="str">
        <f t="shared" ca="1" si="0"/>
        <v>EVT-2027-0014</v>
      </c>
      <c r="B31" s="30">
        <v>46414</v>
      </c>
      <c r="C31" s="27" t="s">
        <v>201</v>
      </c>
      <c r="D31" s="27" t="s">
        <v>1366</v>
      </c>
      <c r="E31" s="27" t="s">
        <v>208</v>
      </c>
      <c r="F31" s="27" t="s">
        <v>217</v>
      </c>
      <c r="G31" s="10">
        <v>50</v>
      </c>
      <c r="H31" s="36" t="s">
        <v>263</v>
      </c>
      <c r="I31" s="37" t="s">
        <v>309</v>
      </c>
      <c r="J31" s="37" t="s">
        <v>296</v>
      </c>
      <c r="K31" s="27"/>
      <c r="L31" s="27"/>
      <c r="M31" s="27" t="s">
        <v>2559</v>
      </c>
      <c r="N31" s="27" t="s">
        <v>2560</v>
      </c>
      <c r="O31" s="27"/>
      <c r="P31" s="2" t="s">
        <v>1859</v>
      </c>
      <c r="Q31" s="29" t="s">
        <v>265</v>
      </c>
      <c r="R31" s="27" t="s">
        <v>2384</v>
      </c>
      <c r="S31" s="27" t="s">
        <v>1846</v>
      </c>
    </row>
    <row r="32" spans="1:19" ht="24" customHeight="1">
      <c r="A32" s="27" t="str">
        <f t="shared" ca="1" si="0"/>
        <v>EVT-2027-0015</v>
      </c>
      <c r="B32" s="30">
        <v>46415</v>
      </c>
      <c r="C32" s="27" t="s">
        <v>216</v>
      </c>
      <c r="D32" s="27" t="s">
        <v>1366</v>
      </c>
      <c r="E32" s="27" t="s">
        <v>208</v>
      </c>
      <c r="F32" s="27" t="s">
        <v>217</v>
      </c>
      <c r="G32" s="10">
        <v>50</v>
      </c>
      <c r="H32" s="36" t="s">
        <v>263</v>
      </c>
      <c r="I32" s="37" t="s">
        <v>309</v>
      </c>
      <c r="J32" s="37" t="s">
        <v>296</v>
      </c>
      <c r="K32" s="27"/>
      <c r="L32" s="27"/>
      <c r="M32" s="27" t="s">
        <v>2559</v>
      </c>
      <c r="N32" s="27" t="s">
        <v>2560</v>
      </c>
      <c r="O32" s="27"/>
      <c r="P32" s="2" t="s">
        <v>1859</v>
      </c>
      <c r="Q32" s="29" t="s">
        <v>265</v>
      </c>
      <c r="R32" s="27" t="s">
        <v>2384</v>
      </c>
      <c r="S32" s="27" t="s">
        <v>1846</v>
      </c>
    </row>
    <row r="33" spans="1:19" ht="24" customHeight="1">
      <c r="A33" s="27" t="str">
        <f t="shared" ca="1" si="0"/>
        <v>EVT-2027-0016</v>
      </c>
      <c r="B33" s="30">
        <v>46416</v>
      </c>
      <c r="C33" s="27" t="s">
        <v>220</v>
      </c>
      <c r="D33" s="27" t="s">
        <v>1512</v>
      </c>
      <c r="E33" s="27" t="s">
        <v>228</v>
      </c>
      <c r="F33" s="27" t="s">
        <v>1801</v>
      </c>
      <c r="G33" s="10">
        <v>50</v>
      </c>
      <c r="H33" s="36" t="s">
        <v>263</v>
      </c>
      <c r="I33" s="37" t="s">
        <v>295</v>
      </c>
      <c r="J33" s="37" t="s">
        <v>270</v>
      </c>
      <c r="K33" s="27" t="s">
        <v>382</v>
      </c>
      <c r="L33" s="27"/>
      <c r="M33" s="27" t="s">
        <v>916</v>
      </c>
      <c r="N33" s="27"/>
      <c r="O33" s="27"/>
      <c r="P33" s="2" t="s">
        <v>1859</v>
      </c>
      <c r="Q33" s="29" t="s">
        <v>265</v>
      </c>
      <c r="R33" s="27" t="s">
        <v>1803</v>
      </c>
      <c r="S33" s="27" t="s">
        <v>1177</v>
      </c>
    </row>
    <row r="34" spans="1:19" ht="24" customHeight="1">
      <c r="A34" s="27" t="str">
        <f t="shared" ca="1" si="0"/>
        <v/>
      </c>
      <c r="B34" s="30">
        <v>46417</v>
      </c>
      <c r="C34" s="27" t="s">
        <v>266</v>
      </c>
      <c r="D34" s="27"/>
      <c r="E34" s="27"/>
      <c r="F34" s="27"/>
      <c r="G34" s="10"/>
      <c r="H34" s="36" t="s">
        <v>263</v>
      </c>
      <c r="I34" s="37"/>
      <c r="J34" s="37"/>
      <c r="K34" s="27"/>
      <c r="L34" s="27"/>
      <c r="M34" s="27"/>
      <c r="N34" s="27"/>
      <c r="O34" s="27"/>
      <c r="P34" s="2" t="s">
        <v>1859</v>
      </c>
      <c r="Q34" s="29" t="s">
        <v>265</v>
      </c>
      <c r="R34" s="27"/>
      <c r="S34" s="27"/>
    </row>
    <row r="35" spans="1:19" ht="24" customHeight="1">
      <c r="A35" s="27" t="str">
        <f t="shared" ca="1" si="0"/>
        <v/>
      </c>
      <c r="B35" s="30">
        <v>46418</v>
      </c>
      <c r="C35" s="27" t="s">
        <v>267</v>
      </c>
      <c r="D35" s="27"/>
      <c r="E35" s="27"/>
      <c r="F35" s="27"/>
      <c r="G35" s="10"/>
      <c r="H35" s="36" t="s">
        <v>263</v>
      </c>
      <c r="I35" s="37"/>
      <c r="J35" s="37"/>
      <c r="K35" s="27"/>
      <c r="L35" s="27"/>
      <c r="M35" s="27"/>
      <c r="N35" s="27"/>
      <c r="O35" s="27"/>
      <c r="P35" s="2" t="s">
        <v>1859</v>
      </c>
      <c r="Q35" s="29" t="s">
        <v>265</v>
      </c>
      <c r="R35" s="27"/>
      <c r="S35" s="27"/>
    </row>
    <row r="36" spans="1:19" ht="24" customHeight="1">
      <c r="A36" s="27" t="str">
        <f t="shared" ca="1" si="0"/>
        <v/>
      </c>
      <c r="B36" s="27"/>
      <c r="C36" s="27"/>
      <c r="D36" s="27"/>
      <c r="E36" s="27"/>
      <c r="F36" s="27"/>
      <c r="G36" s="10"/>
      <c r="H36" s="36" t="s">
        <v>263</v>
      </c>
      <c r="I36" s="37"/>
      <c r="J36" s="37"/>
      <c r="K36" s="27"/>
      <c r="L36" s="27"/>
      <c r="M36" s="27"/>
      <c r="N36" s="27"/>
      <c r="O36" s="27"/>
      <c r="P36" s="1" t="s">
        <v>264</v>
      </c>
      <c r="Q36" s="29" t="s">
        <v>265</v>
      </c>
      <c r="R36" s="27"/>
      <c r="S36" s="27"/>
    </row>
    <row r="37" spans="1:19" ht="24" customHeight="1">
      <c r="A37" s="27" t="str">
        <f t="shared" ca="1" si="0"/>
        <v/>
      </c>
      <c r="B37" s="27"/>
      <c r="C37" s="27"/>
      <c r="D37" s="27"/>
      <c r="E37" s="27"/>
      <c r="F37" s="27"/>
      <c r="G37" s="10"/>
      <c r="H37" s="36" t="s">
        <v>263</v>
      </c>
      <c r="I37" s="37"/>
      <c r="J37" s="37"/>
      <c r="K37" s="27"/>
      <c r="L37" s="27"/>
      <c r="M37" s="27"/>
      <c r="N37" s="27"/>
      <c r="O37" s="27"/>
      <c r="P37" s="1" t="s">
        <v>264</v>
      </c>
      <c r="Q37" s="29" t="s">
        <v>265</v>
      </c>
      <c r="R37" s="27"/>
      <c r="S37" s="27"/>
    </row>
    <row r="38" spans="1:19" ht="24" customHeight="1">
      <c r="A38" s="27" t="str">
        <f t="shared" ca="1" si="0"/>
        <v/>
      </c>
      <c r="B38" s="27"/>
      <c r="C38" s="27"/>
      <c r="D38" s="27"/>
      <c r="E38" s="27"/>
      <c r="F38" s="27"/>
      <c r="G38" s="10"/>
      <c r="H38" s="36" t="s">
        <v>263</v>
      </c>
      <c r="I38" s="37"/>
      <c r="J38" s="37"/>
      <c r="K38" s="27"/>
      <c r="L38" s="27"/>
      <c r="M38" s="27"/>
      <c r="N38" s="27"/>
      <c r="O38" s="27"/>
      <c r="P38" s="1" t="s">
        <v>264</v>
      </c>
      <c r="Q38" s="29" t="s">
        <v>265</v>
      </c>
      <c r="R38" s="27"/>
      <c r="S38" s="27"/>
    </row>
    <row r="39" spans="1:19" ht="24" customHeight="1">
      <c r="A39" s="27" t="str">
        <f t="shared" ca="1" si="0"/>
        <v/>
      </c>
      <c r="B39" s="27"/>
      <c r="C39" s="27"/>
      <c r="D39" s="27"/>
      <c r="E39" s="27"/>
      <c r="F39" s="27"/>
      <c r="G39" s="10"/>
      <c r="H39" s="36" t="s">
        <v>263</v>
      </c>
      <c r="I39" s="37"/>
      <c r="J39" s="37"/>
      <c r="K39" s="27"/>
      <c r="L39" s="27"/>
      <c r="M39" s="27"/>
      <c r="N39" s="27"/>
      <c r="O39" s="27"/>
      <c r="P39" s="1" t="s">
        <v>264</v>
      </c>
      <c r="Q39" s="29" t="s">
        <v>265</v>
      </c>
      <c r="R39" s="27"/>
      <c r="S39" s="27"/>
    </row>
    <row r="40" spans="1:19" ht="24" customHeight="1">
      <c r="A40" s="27" t="str">
        <f t="shared" ca="1" si="0"/>
        <v/>
      </c>
      <c r="B40" s="27"/>
      <c r="C40" s="27"/>
      <c r="D40" s="27"/>
      <c r="E40" s="27"/>
      <c r="F40" s="27"/>
      <c r="G40" s="10"/>
      <c r="H40" s="36" t="s">
        <v>263</v>
      </c>
      <c r="I40" s="37"/>
      <c r="J40" s="37"/>
      <c r="K40" s="27"/>
      <c r="L40" s="27"/>
      <c r="M40" s="27"/>
      <c r="N40" s="27"/>
      <c r="O40" s="27"/>
      <c r="P40" s="1" t="s">
        <v>264</v>
      </c>
      <c r="Q40" s="29" t="s">
        <v>265</v>
      </c>
      <c r="R40" s="27"/>
      <c r="S40" s="27"/>
    </row>
    <row r="41" spans="1:19" ht="24" customHeight="1">
      <c r="A41" s="27" t="str">
        <f t="shared" ca="1" si="0"/>
        <v/>
      </c>
      <c r="B41" s="27"/>
      <c r="C41" s="27"/>
      <c r="D41" s="27"/>
      <c r="E41" s="27"/>
      <c r="F41" s="27"/>
      <c r="G41" s="10"/>
      <c r="H41" s="36" t="s">
        <v>263</v>
      </c>
      <c r="I41" s="37"/>
      <c r="J41" s="37"/>
      <c r="K41" s="27"/>
      <c r="L41" s="27"/>
      <c r="M41" s="27"/>
      <c r="N41" s="27"/>
      <c r="O41" s="27"/>
      <c r="P41" s="1" t="s">
        <v>264</v>
      </c>
      <c r="Q41" s="29" t="s">
        <v>265</v>
      </c>
      <c r="R41" s="27"/>
      <c r="S41" s="27"/>
    </row>
    <row r="42" spans="1:19" ht="24" customHeight="1">
      <c r="A42" s="27" t="str">
        <f t="shared" ca="1" si="0"/>
        <v/>
      </c>
      <c r="B42" s="27"/>
      <c r="C42" s="27"/>
      <c r="D42" s="27"/>
      <c r="E42" s="27"/>
      <c r="F42" s="27"/>
      <c r="G42" s="10"/>
      <c r="H42" s="36" t="s">
        <v>263</v>
      </c>
      <c r="I42" s="37"/>
      <c r="J42" s="37"/>
      <c r="K42" s="27"/>
      <c r="L42" s="27"/>
      <c r="M42" s="27"/>
      <c r="N42" s="27"/>
      <c r="O42" s="27"/>
      <c r="P42" s="1" t="s">
        <v>264</v>
      </c>
      <c r="Q42" s="29" t="s">
        <v>265</v>
      </c>
      <c r="R42" s="27"/>
      <c r="S42" s="27"/>
    </row>
    <row r="43" spans="1:19" ht="24" customHeight="1">
      <c r="A43" s="27" t="str">
        <f t="shared" ca="1" si="0"/>
        <v/>
      </c>
      <c r="B43" s="27"/>
      <c r="C43" s="27"/>
      <c r="D43" s="27"/>
      <c r="E43" s="27"/>
      <c r="F43" s="27"/>
      <c r="G43" s="10"/>
      <c r="H43" s="36" t="s">
        <v>263</v>
      </c>
      <c r="I43" s="37"/>
      <c r="J43" s="37"/>
      <c r="K43" s="27"/>
      <c r="L43" s="27"/>
      <c r="M43" s="27"/>
      <c r="N43" s="27"/>
      <c r="O43" s="27"/>
      <c r="P43" s="1" t="s">
        <v>264</v>
      </c>
      <c r="Q43" s="29" t="s">
        <v>265</v>
      </c>
      <c r="R43" s="27"/>
      <c r="S43" s="27"/>
    </row>
  </sheetData>
  <mergeCells count="3">
    <mergeCell ref="O1:S1"/>
    <mergeCell ref="A1:C1"/>
    <mergeCell ref="D1:N1"/>
  </mergeCells>
  <dataValidations count="4">
    <dataValidation type="list" allowBlank="1" sqref="O33:O503 O3:P32 P33:P43" xr:uid="{00000000-0002-0000-1A00-000000000000}">
      <formula1>"Confirmed (Done),Pending Calendar Booking,Canceled"</formula1>
    </dataValidation>
    <dataValidation type="list" allowBlank="1" sqref="P3:P93" xr:uid="{00000000-0002-0000-1A00-000001000000}">
      <formula1>"Form sent,NA"</formula1>
    </dataValidation>
    <dataValidation type="list" allowBlank="1" sqref="Q3:Q43" xr:uid="{00000000-0002-0000-1A00-000002000000}">
      <formula1>"Form sent,Not Required,NA"</formula1>
    </dataValidation>
    <dataValidation type="list" allowBlank="1" sqref="H3:H43" xr:uid="{00000000-0002-0000-1A00-000003000000}">
      <formula1>"Big Event,Small Event"</formula1>
    </dataValidation>
  </dataValidations>
  <hyperlinks>
    <hyperlink ref="A1" location="'Dashboard'!A1" display="🏠 ⮌ RETURN TO DASHBOARD" xr:uid="{00000000-0004-0000-1A00-000000000000}"/>
    <hyperlink ref="N6" r:id="rId1" xr:uid="{DB6D367E-9FD3-410E-A3DA-EA6814EE2B95}"/>
    <hyperlink ref="N8" r:id="rId2" xr:uid="{394E3FF2-996C-4A10-80D2-353353CCD58E}"/>
    <hyperlink ref="N10" r:id="rId3" xr:uid="{3DCC3C2D-6285-42BC-9C29-1177FCFF8702}"/>
    <hyperlink ref="N12" r:id="rId4" xr:uid="{93E832A6-2A90-4AAA-92FA-42B52D9A99A6}"/>
    <hyperlink ref="N7" r:id="rId5" xr:uid="{70D3C043-2D55-4E84-99A7-DB6AAFDE9839}"/>
    <hyperlink ref="N9" r:id="rId6" xr:uid="{FD1B6467-42D8-4A58-A90E-9034E4F8BE76}"/>
    <hyperlink ref="N11" r:id="rId7" xr:uid="{C20EFC08-159A-4DBF-BE6D-1F2971A294B5}"/>
    <hyperlink ref="N17" r:id="rId8" xr:uid="{256D3149-4D79-43BB-AEE8-572883EAE776}"/>
    <hyperlink ref="N18" r:id="rId9" xr:uid="{8D857E6C-B023-4C76-8E46-4785D10953E4}"/>
    <hyperlink ref="N19" r:id="rId10" xr:uid="{CCBFB781-F37B-4F1F-AC10-E1102EFA8C73}"/>
    <hyperlink ref="N24" r:id="rId11" xr:uid="{5AA9FA53-1AA9-4F9F-99B7-FE7F8CC0A583}"/>
    <hyperlink ref="N25" r:id="rId12" xr:uid="{3DC926EB-4C61-4E04-8322-8BF34C04AB41}"/>
    <hyperlink ref="N26" r:id="rId13" xr:uid="{CAF49C3B-8AA8-496C-90FB-0D751D07599C}"/>
    <hyperlink ref="N31" r:id="rId14" xr:uid="{17E9EBFB-FDE2-473A-8CD6-E68728E4AA44}"/>
    <hyperlink ref="N32" r:id="rId15" xr:uid="{A037B753-A042-4250-A154-B2821B2C5EC3}"/>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44"/>
  <sheetViews>
    <sheetView workbookViewId="0">
      <pane ySplit="2" topLeftCell="O26" activePane="bottomLeft" state="frozen"/>
      <selection pane="bottomLeft" activeCell="D28" sqref="D28:S28"/>
    </sheetView>
  </sheetViews>
  <sheetFormatPr defaultRowHeight="14.45"/>
  <cols>
    <col min="1" max="1" width="18" customWidth="1"/>
    <col min="2" max="2" width="15" customWidth="1"/>
    <col min="3" max="3" width="12" customWidth="1"/>
    <col min="4" max="4" width="22" customWidth="1"/>
    <col min="5" max="5" width="12" customWidth="1"/>
    <col min="6" max="6" width="31" customWidth="1"/>
    <col min="7" max="7" width="12" customWidth="1"/>
    <col min="8" max="8" width="15" customWidth="1"/>
    <col min="9" max="9" width="19" customWidth="1"/>
    <col min="10" max="10" width="17" customWidth="1"/>
    <col min="11" max="11" width="18" customWidth="1"/>
    <col min="12" max="12" width="22" customWidth="1"/>
    <col min="13" max="13" width="20" customWidth="1"/>
    <col min="14" max="14" width="34.28515625" customWidth="1"/>
    <col min="15" max="15" width="15" customWidth="1"/>
    <col min="16" max="16" width="27" customWidth="1"/>
    <col min="17" max="17" width="18" customWidth="1"/>
    <col min="18" max="18" width="32" customWidth="1"/>
    <col min="19" max="19" width="19" customWidth="1"/>
  </cols>
  <sheetData>
    <row r="1" spans="1:19" ht="27.95" customHeight="1">
      <c r="A1" s="62" t="s">
        <v>2138</v>
      </c>
      <c r="B1" s="134"/>
      <c r="C1" s="135"/>
      <c r="D1" s="63" t="s">
        <v>2577</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"EVT-2027-" &amp; TEXT(COUNTIF('DT-4 Jan27'!$A$3:$A$503, "EVT*") + COUNTIF(OFFSET($A$1, 1, 0, ROW()-2, 1), "EVT*") + 1, "0000"), "")</f>
        <v>EVT-2027-0017</v>
      </c>
      <c r="B3" s="30">
        <v>46419</v>
      </c>
      <c r="C3" s="27" t="s">
        <v>224</v>
      </c>
      <c r="D3" s="27" t="s">
        <v>125</v>
      </c>
      <c r="E3" s="27" t="s">
        <v>228</v>
      </c>
      <c r="F3" s="27" t="s">
        <v>874</v>
      </c>
      <c r="G3" s="10">
        <v>50</v>
      </c>
      <c r="H3" s="36" t="s">
        <v>263</v>
      </c>
      <c r="I3" s="37">
        <v>0.58333333333333337</v>
      </c>
      <c r="J3" s="37">
        <v>0.70833333333333337</v>
      </c>
      <c r="K3" s="27" t="s">
        <v>1445</v>
      </c>
      <c r="L3" s="27" t="s">
        <v>1445</v>
      </c>
      <c r="M3" s="27" t="s">
        <v>2559</v>
      </c>
      <c r="N3" s="27" t="s">
        <v>2560</v>
      </c>
      <c r="O3" s="27"/>
      <c r="P3" s="2" t="s">
        <v>1859</v>
      </c>
      <c r="Q3" s="29" t="s">
        <v>265</v>
      </c>
      <c r="R3" s="27" t="s">
        <v>1673</v>
      </c>
      <c r="S3" s="27" t="s">
        <v>1846</v>
      </c>
    </row>
    <row r="4" spans="1:19" ht="24" customHeight="1">
      <c r="A4" s="27"/>
      <c r="B4" s="30">
        <v>46420</v>
      </c>
      <c r="C4" s="27" t="s">
        <v>227</v>
      </c>
      <c r="D4" s="27" t="s">
        <v>1366</v>
      </c>
      <c r="E4" s="27" t="s">
        <v>208</v>
      </c>
      <c r="F4" s="27" t="s">
        <v>217</v>
      </c>
      <c r="G4" s="10">
        <v>50</v>
      </c>
      <c r="H4" s="36" t="s">
        <v>263</v>
      </c>
      <c r="I4" s="37" t="s">
        <v>309</v>
      </c>
      <c r="J4" s="37" t="s">
        <v>296</v>
      </c>
      <c r="K4" s="27"/>
      <c r="L4" s="27"/>
      <c r="M4" s="27" t="s">
        <v>2559</v>
      </c>
      <c r="N4" s="27" t="s">
        <v>2560</v>
      </c>
      <c r="O4" s="27"/>
      <c r="P4" s="2" t="s">
        <v>1859</v>
      </c>
      <c r="Q4" s="29" t="s">
        <v>265</v>
      </c>
      <c r="R4" s="27" t="s">
        <v>2384</v>
      </c>
      <c r="S4" s="27" t="s">
        <v>1846</v>
      </c>
    </row>
    <row r="5" spans="1:19" ht="24" customHeight="1">
      <c r="A5" s="27" t="str">
        <f ca="1">IF(OR(D5&lt;&gt;"", F5&lt;&gt;"", L5&lt;&gt;"", O5&lt;&gt;""), "EVT-2027-" &amp; TEXT(COUNTIF('DT-4 Jan27'!$A$3:$A$503, "EVT*") + COUNTIF(OFFSET($A$1, 1, 0, ROW()-2, 1), "EVT*") + 1, "0000"), "")</f>
        <v>EVT-2027-0018</v>
      </c>
      <c r="B5" s="30">
        <v>46420</v>
      </c>
      <c r="C5" s="27" t="s">
        <v>227</v>
      </c>
      <c r="D5" s="27" t="s">
        <v>125</v>
      </c>
      <c r="E5" s="27" t="s">
        <v>228</v>
      </c>
      <c r="F5" s="27" t="s">
        <v>874</v>
      </c>
      <c r="G5" s="10">
        <v>50</v>
      </c>
      <c r="H5" s="36" t="s">
        <v>263</v>
      </c>
      <c r="I5" s="37">
        <v>0.58333333333333337</v>
      </c>
      <c r="J5" s="37">
        <v>0.70833333333333337</v>
      </c>
      <c r="K5" s="27" t="s">
        <v>1445</v>
      </c>
      <c r="L5" s="27" t="s">
        <v>1445</v>
      </c>
      <c r="M5" s="27" t="s">
        <v>2559</v>
      </c>
      <c r="N5" s="27" t="s">
        <v>2560</v>
      </c>
      <c r="O5" s="27"/>
      <c r="P5" s="2" t="s">
        <v>1859</v>
      </c>
      <c r="Q5" s="29" t="s">
        <v>265</v>
      </c>
      <c r="R5" s="27" t="s">
        <v>1673</v>
      </c>
      <c r="S5" s="27" t="s">
        <v>1846</v>
      </c>
    </row>
    <row r="6" spans="1:19" ht="24" customHeight="1">
      <c r="A6" s="27" t="str">
        <f ca="1">IF(OR(D6&lt;&gt;"", F6&lt;&gt;"", L6&lt;&gt;"", O6&lt;&gt;""), "EVT-2027-" &amp; TEXT(COUNTIF('DT-4 Jan27'!$A$3:$A$503, "EVT*") + COUNTIF(OFFSET($A$1, 1, 0, ROW()-2, 1), "EVT*") + 1, "0000"), "")</f>
        <v>EVT-2027-0019</v>
      </c>
      <c r="B6" s="30">
        <v>46421</v>
      </c>
      <c r="C6" s="27" t="s">
        <v>201</v>
      </c>
      <c r="D6" s="27" t="s">
        <v>1366</v>
      </c>
      <c r="E6" s="27" t="s">
        <v>208</v>
      </c>
      <c r="F6" s="27" t="s">
        <v>217</v>
      </c>
      <c r="G6" s="10">
        <v>50</v>
      </c>
      <c r="H6" s="36" t="s">
        <v>263</v>
      </c>
      <c r="I6" s="37" t="s">
        <v>309</v>
      </c>
      <c r="J6" s="37" t="s">
        <v>296</v>
      </c>
      <c r="K6" s="27"/>
      <c r="L6" s="27"/>
      <c r="M6" s="27" t="s">
        <v>2559</v>
      </c>
      <c r="N6" s="27" t="s">
        <v>2560</v>
      </c>
      <c r="O6" s="27"/>
      <c r="P6" s="2" t="s">
        <v>1859</v>
      </c>
      <c r="Q6" s="29" t="s">
        <v>265</v>
      </c>
      <c r="R6" s="27" t="s">
        <v>2384</v>
      </c>
      <c r="S6" s="27" t="s">
        <v>1846</v>
      </c>
    </row>
    <row r="7" spans="1:19" ht="24" customHeight="1">
      <c r="A7" s="27" t="str">
        <f ca="1">IF(OR(D7&lt;&gt;"", F7&lt;&gt;"", L7&lt;&gt;"", O7&lt;&gt;""), "EVT-2027-" &amp; TEXT(COUNTIF('DT-4 Jan27'!$A$3:$A$503, "EVT*") + COUNTIF(OFFSET($A$1, 1, 0, ROW()-2, 1), "EVT*") + 1, "0000"), "")</f>
        <v>EVT-2027-0020</v>
      </c>
      <c r="B7" s="30">
        <v>46421</v>
      </c>
      <c r="C7" s="27" t="s">
        <v>201</v>
      </c>
      <c r="D7" s="27" t="s">
        <v>125</v>
      </c>
      <c r="E7" s="27" t="s">
        <v>228</v>
      </c>
      <c r="F7" s="27" t="s">
        <v>874</v>
      </c>
      <c r="G7" s="10">
        <v>50</v>
      </c>
      <c r="H7" s="36" t="s">
        <v>263</v>
      </c>
      <c r="I7" s="37">
        <v>0.58333333333333337</v>
      </c>
      <c r="J7" s="37">
        <v>0.70833333333333337</v>
      </c>
      <c r="K7" s="27" t="s">
        <v>1445</v>
      </c>
      <c r="L7" s="27" t="s">
        <v>1445</v>
      </c>
      <c r="M7" s="27" t="s">
        <v>2559</v>
      </c>
      <c r="N7" s="27" t="s">
        <v>2560</v>
      </c>
      <c r="O7" s="27"/>
      <c r="P7" s="2" t="s">
        <v>1859</v>
      </c>
      <c r="Q7" s="29" t="s">
        <v>265</v>
      </c>
      <c r="R7" s="27" t="s">
        <v>1673</v>
      </c>
      <c r="S7" s="27" t="s">
        <v>1846</v>
      </c>
    </row>
    <row r="8" spans="1:19" ht="24" customHeight="1">
      <c r="A8" s="27" t="str">
        <f ca="1">IF(OR(D8&lt;&gt;"", F8&lt;&gt;"", L8&lt;&gt;"", O8&lt;&gt;""), "EVT-2027-" &amp; TEXT(COUNTIF('DT-4 Jan27'!$A$3:$A$503, "EVT*") + COUNTIF(OFFSET($A$1, 1, 0, ROW()-2, 1), "EVT*") + 1, "0000"), "")</f>
        <v>EVT-2027-0021</v>
      </c>
      <c r="B8" s="30">
        <v>46422</v>
      </c>
      <c r="C8" s="27" t="s">
        <v>216</v>
      </c>
      <c r="D8" s="27" t="s">
        <v>125</v>
      </c>
      <c r="E8" s="27" t="s">
        <v>228</v>
      </c>
      <c r="F8" s="27" t="s">
        <v>874</v>
      </c>
      <c r="G8" s="10">
        <v>50</v>
      </c>
      <c r="H8" s="36" t="s">
        <v>263</v>
      </c>
      <c r="I8" s="37">
        <v>0.58333333333333337</v>
      </c>
      <c r="J8" s="37">
        <v>0.70833333333333337</v>
      </c>
      <c r="K8" s="27" t="s">
        <v>1445</v>
      </c>
      <c r="L8" s="27" t="s">
        <v>1445</v>
      </c>
      <c r="M8" s="27" t="s">
        <v>2559</v>
      </c>
      <c r="N8" s="27" t="s">
        <v>2560</v>
      </c>
      <c r="O8" s="27"/>
      <c r="P8" s="2" t="s">
        <v>1859</v>
      </c>
      <c r="Q8" s="29" t="s">
        <v>265</v>
      </c>
      <c r="R8" s="27" t="s">
        <v>1673</v>
      </c>
      <c r="S8" s="27" t="s">
        <v>1846</v>
      </c>
    </row>
    <row r="9" spans="1:19" ht="24" customHeight="1">
      <c r="A9" s="27" t="str">
        <f ca="1">IF(OR(D9&lt;&gt;"", F9&lt;&gt;"", L9&lt;&gt;"", O9&lt;&gt;""), "EVT-2027-" &amp; TEXT(COUNTIF('DT-4 Jan27'!$A$3:$A$503, "EVT*") + COUNTIF(OFFSET($A$1, 1, 0, ROW()-2, 1), "EVT*") + 1, "0000"), "")</f>
        <v>EVT-2027-0022</v>
      </c>
      <c r="B9" s="30">
        <v>46422</v>
      </c>
      <c r="C9" s="27" t="s">
        <v>216</v>
      </c>
      <c r="D9" s="27" t="s">
        <v>1366</v>
      </c>
      <c r="E9" s="27" t="s">
        <v>208</v>
      </c>
      <c r="F9" s="27" t="s">
        <v>217</v>
      </c>
      <c r="G9" s="10">
        <v>50</v>
      </c>
      <c r="H9" s="36" t="s">
        <v>263</v>
      </c>
      <c r="I9" s="37" t="s">
        <v>309</v>
      </c>
      <c r="J9" s="37" t="s">
        <v>296</v>
      </c>
      <c r="K9" s="27"/>
      <c r="L9" s="27"/>
      <c r="M9" s="27" t="s">
        <v>2559</v>
      </c>
      <c r="N9" s="27" t="s">
        <v>2560</v>
      </c>
      <c r="O9" s="27"/>
      <c r="P9" s="2" t="s">
        <v>1859</v>
      </c>
      <c r="Q9" s="29" t="s">
        <v>265</v>
      </c>
      <c r="R9" s="27" t="s">
        <v>2384</v>
      </c>
      <c r="S9" s="27" t="s">
        <v>1846</v>
      </c>
    </row>
    <row r="10" spans="1:19" ht="24" customHeight="1">
      <c r="A10" s="27" t="str">
        <f ca="1">IF(OR(D10&lt;&gt;"", F10&lt;&gt;"", L10&lt;&gt;"", O10&lt;&gt;""), "EVT-2027-" &amp; TEXT(COUNTIF('DT-4 Jan27'!$A$3:$A$503, "EVT*") + COUNTIF(OFFSET($A$1, 1, 0, ROW()-2, 1), "EVT*") + 1, "0000"), "")</f>
        <v/>
      </c>
      <c r="B10" s="30">
        <v>46423</v>
      </c>
      <c r="C10" s="27" t="s">
        <v>220</v>
      </c>
      <c r="D10" s="27"/>
      <c r="E10" s="27"/>
      <c r="F10" s="27"/>
      <c r="G10" s="10"/>
      <c r="H10" s="36" t="s">
        <v>263</v>
      </c>
      <c r="I10" s="37"/>
      <c r="J10" s="37"/>
      <c r="K10" s="27"/>
      <c r="L10" s="27"/>
      <c r="M10" s="27" t="s">
        <v>2559</v>
      </c>
      <c r="N10" s="27" t="s">
        <v>2560</v>
      </c>
      <c r="O10" s="27"/>
      <c r="P10" s="2" t="s">
        <v>1859</v>
      </c>
      <c r="Q10" s="29" t="s">
        <v>265</v>
      </c>
      <c r="R10" s="27"/>
      <c r="S10" s="27"/>
    </row>
    <row r="11" spans="1:19" ht="24" customHeight="1">
      <c r="A11" s="27" t="str">
        <f ca="1">IF(OR(D11&lt;&gt;"", F11&lt;&gt;"", L11&lt;&gt;"", O11&lt;&gt;""), "EVT-2027-" &amp; TEXT(COUNTIF('DT-4 Jan27'!$A$3:$A$503, "EVT*") + COUNTIF(OFFSET($A$1, 1, 0, ROW()-2, 1), "EVT*") + 1, "0000"), "")</f>
        <v/>
      </c>
      <c r="B11" s="30">
        <v>46424</v>
      </c>
      <c r="C11" s="27" t="s">
        <v>266</v>
      </c>
      <c r="D11" s="27"/>
      <c r="E11" s="27"/>
      <c r="F11" s="27"/>
      <c r="G11" s="10"/>
      <c r="H11" s="36" t="s">
        <v>263</v>
      </c>
      <c r="I11" s="37"/>
      <c r="J11" s="37"/>
      <c r="K11" s="27"/>
      <c r="L11" s="27"/>
      <c r="M11" s="27"/>
      <c r="N11" s="27"/>
      <c r="O11" s="27"/>
      <c r="P11" s="2" t="s">
        <v>1859</v>
      </c>
      <c r="Q11" s="29" t="s">
        <v>265</v>
      </c>
      <c r="R11" s="27"/>
      <c r="S11" s="27"/>
    </row>
    <row r="12" spans="1:19" ht="24" customHeight="1">
      <c r="A12" s="27" t="str">
        <f ca="1">IF(OR(D12&lt;&gt;"", F12&lt;&gt;"", L12&lt;&gt;"", O12&lt;&gt;""), "EVT-2027-" &amp; TEXT(COUNTIF('DT-4 Jan27'!$A$3:$A$503, "EVT*") + COUNTIF(OFFSET($A$1, 1, 0, ROW()-2, 1), "EVT*") + 1, "0000"), "")</f>
        <v/>
      </c>
      <c r="B12" s="30">
        <v>46425</v>
      </c>
      <c r="C12" s="27" t="s">
        <v>267</v>
      </c>
      <c r="D12" s="27"/>
      <c r="E12" s="27"/>
      <c r="F12" s="27"/>
      <c r="G12" s="10"/>
      <c r="H12" s="36" t="s">
        <v>263</v>
      </c>
      <c r="I12" s="37"/>
      <c r="J12" s="37"/>
      <c r="K12" s="27"/>
      <c r="L12" s="27"/>
      <c r="M12" s="27"/>
      <c r="N12" s="27"/>
      <c r="O12" s="27"/>
      <c r="P12" s="2" t="s">
        <v>1859</v>
      </c>
      <c r="Q12" s="29" t="s">
        <v>265</v>
      </c>
      <c r="R12" s="27"/>
      <c r="S12" s="27"/>
    </row>
    <row r="13" spans="1:19" ht="24" customHeight="1">
      <c r="A13" s="27" t="str">
        <f ca="1">IF(OR(D13&lt;&gt;"", F13&lt;&gt;"", L13&lt;&gt;"", O13&lt;&gt;""), "EVT-2027-" &amp; TEXT(COUNTIF('DT-4 Jan27'!$A$3:$A$503, "EVT*") + COUNTIF(OFFSET($A$1, 1, 0, ROW()-2, 1), "EVT*") + 1, "0000"), "")</f>
        <v/>
      </c>
      <c r="B13" s="30">
        <v>46426</v>
      </c>
      <c r="C13" s="27" t="s">
        <v>224</v>
      </c>
      <c r="D13" s="27"/>
      <c r="E13" s="27"/>
      <c r="F13" s="27"/>
      <c r="G13" s="10"/>
      <c r="H13" s="36" t="s">
        <v>263</v>
      </c>
      <c r="I13" s="37"/>
      <c r="J13" s="37"/>
      <c r="K13" s="27"/>
      <c r="L13" s="27"/>
      <c r="M13" s="27"/>
      <c r="N13" s="27"/>
      <c r="O13" s="27"/>
      <c r="P13" s="2" t="s">
        <v>1859</v>
      </c>
      <c r="Q13" s="29" t="s">
        <v>265</v>
      </c>
      <c r="R13" s="27"/>
      <c r="S13" s="27"/>
    </row>
    <row r="14" spans="1:19" ht="24" customHeight="1">
      <c r="A14" s="27" t="str">
        <f ca="1">IF(OR(D14&lt;&gt;"", F14&lt;&gt;"", L14&lt;&gt;"", O14&lt;&gt;""), "EVT-2027-" &amp; TEXT(COUNTIF('DT-4 Jan27'!$A$3:$A$503, "EVT*") + COUNTIF(OFFSET($A$1, 1, 0, ROW()-2, 1), "EVT*") + 1, "0000"), "")</f>
        <v>EVT-2027-0023</v>
      </c>
      <c r="B14" s="30">
        <v>46427</v>
      </c>
      <c r="C14" s="27" t="s">
        <v>227</v>
      </c>
      <c r="D14" s="27" t="s">
        <v>1366</v>
      </c>
      <c r="E14" s="27" t="s">
        <v>208</v>
      </c>
      <c r="F14" s="27" t="s">
        <v>217</v>
      </c>
      <c r="G14" s="10">
        <v>50</v>
      </c>
      <c r="H14" s="36" t="s">
        <v>263</v>
      </c>
      <c r="I14" s="37" t="s">
        <v>309</v>
      </c>
      <c r="J14" s="37" t="s">
        <v>296</v>
      </c>
      <c r="K14" s="27"/>
      <c r="L14" s="27"/>
      <c r="M14" s="27" t="s">
        <v>2559</v>
      </c>
      <c r="N14" s="27" t="s">
        <v>2560</v>
      </c>
      <c r="O14" s="27"/>
      <c r="P14" s="2" t="s">
        <v>1859</v>
      </c>
      <c r="Q14" s="29" t="s">
        <v>265</v>
      </c>
      <c r="R14" s="27" t="s">
        <v>2384</v>
      </c>
      <c r="S14" s="27" t="s">
        <v>1846</v>
      </c>
    </row>
    <row r="15" spans="1:19" ht="24" customHeight="1">
      <c r="A15" s="27" t="str">
        <f ca="1">IF(OR(D15&lt;&gt;"", F15&lt;&gt;"", L15&lt;&gt;"", O15&lt;&gt;""), "EVT-2027-" &amp; TEXT(COUNTIF('DT-4 Jan27'!$A$3:$A$503, "EVT*") + COUNTIF(OFFSET($A$1, 1, 0, ROW()-2, 1), "EVT*") + 1, "0000"), "")</f>
        <v>EVT-2027-0024</v>
      </c>
      <c r="B15" s="30">
        <v>46428</v>
      </c>
      <c r="C15" s="27" t="s">
        <v>201</v>
      </c>
      <c r="D15" s="27" t="s">
        <v>1366</v>
      </c>
      <c r="E15" s="27" t="s">
        <v>208</v>
      </c>
      <c r="F15" s="27" t="s">
        <v>217</v>
      </c>
      <c r="G15" s="10">
        <v>50</v>
      </c>
      <c r="H15" s="36" t="s">
        <v>263</v>
      </c>
      <c r="I15" s="37" t="s">
        <v>309</v>
      </c>
      <c r="J15" s="37" t="s">
        <v>296</v>
      </c>
      <c r="K15" s="27"/>
      <c r="L15" s="27"/>
      <c r="M15" s="27" t="s">
        <v>2559</v>
      </c>
      <c r="N15" s="27" t="s">
        <v>2560</v>
      </c>
      <c r="O15" s="27"/>
      <c r="P15" s="2" t="s">
        <v>1859</v>
      </c>
      <c r="Q15" s="29" t="s">
        <v>265</v>
      </c>
      <c r="R15" s="27" t="s">
        <v>2384</v>
      </c>
      <c r="S15" s="27" t="s">
        <v>1846</v>
      </c>
    </row>
    <row r="16" spans="1:19" ht="24" customHeight="1">
      <c r="A16" s="27" t="str">
        <f ca="1">IF(OR(D16&lt;&gt;"", F16&lt;&gt;"", L16&lt;&gt;"", O16&lt;&gt;""), "EVT-2027-" &amp; TEXT(COUNTIF('DT-4 Jan27'!$A$3:$A$503, "EVT*") + COUNTIF(OFFSET($A$1, 1, 0, ROW()-2, 1), "EVT*") + 1, "0000"), "")</f>
        <v>EVT-2027-0025</v>
      </c>
      <c r="B16" s="30">
        <v>46429</v>
      </c>
      <c r="C16" s="27" t="s">
        <v>216</v>
      </c>
      <c r="D16" s="27" t="s">
        <v>1366</v>
      </c>
      <c r="E16" s="27" t="s">
        <v>208</v>
      </c>
      <c r="F16" s="27" t="s">
        <v>217</v>
      </c>
      <c r="G16" s="10">
        <v>50</v>
      </c>
      <c r="H16" s="36" t="s">
        <v>263</v>
      </c>
      <c r="I16" s="37" t="s">
        <v>309</v>
      </c>
      <c r="J16" s="37" t="s">
        <v>296</v>
      </c>
      <c r="K16" s="27"/>
      <c r="L16" s="27"/>
      <c r="M16" s="27" t="s">
        <v>2559</v>
      </c>
      <c r="N16" s="27" t="s">
        <v>2560</v>
      </c>
      <c r="O16" s="27"/>
      <c r="P16" s="2" t="s">
        <v>1859</v>
      </c>
      <c r="Q16" s="29" t="s">
        <v>265</v>
      </c>
      <c r="R16" s="27" t="s">
        <v>2384</v>
      </c>
      <c r="S16" s="27" t="s">
        <v>1846</v>
      </c>
    </row>
    <row r="17" spans="1:19" ht="24" customHeight="1">
      <c r="A17" s="27" t="str">
        <f ca="1">IF(OR(D17&lt;&gt;"", F17&lt;&gt;"", L17&lt;&gt;"", O17&lt;&gt;""), "EVT-2027-" &amp; TEXT(COUNTIF('DT-4 Jan27'!$A$3:$A$503, "EVT*") + COUNTIF(OFFSET($A$1, 1, 0, ROW()-2, 1), "EVT*") + 1, "0000"), "")</f>
        <v/>
      </c>
      <c r="B17" s="30">
        <v>46430</v>
      </c>
      <c r="C17" s="27" t="s">
        <v>220</v>
      </c>
      <c r="D17" s="27"/>
      <c r="E17" s="27"/>
      <c r="F17" s="27"/>
      <c r="G17" s="10"/>
      <c r="H17" s="36" t="s">
        <v>263</v>
      </c>
      <c r="I17" s="37"/>
      <c r="J17" s="37"/>
      <c r="K17" s="27"/>
      <c r="L17" s="27"/>
      <c r="M17" s="27"/>
      <c r="N17" s="27"/>
      <c r="O17" s="27"/>
      <c r="P17" s="2" t="s">
        <v>1859</v>
      </c>
      <c r="Q17" s="29" t="s">
        <v>265</v>
      </c>
      <c r="R17" s="27"/>
      <c r="S17" s="27"/>
    </row>
    <row r="18" spans="1:19" ht="24" customHeight="1">
      <c r="A18" s="27" t="str">
        <f ca="1">IF(OR(D18&lt;&gt;"", F18&lt;&gt;"", L18&lt;&gt;"", O18&lt;&gt;""), "EVT-2027-" &amp; TEXT(COUNTIF('DT-4 Jan27'!$A$3:$A$503, "EVT*") + COUNTIF(OFFSET($A$1, 1, 0, ROW()-2, 1), "EVT*") + 1, "0000"), "")</f>
        <v/>
      </c>
      <c r="B18" s="30">
        <v>46431</v>
      </c>
      <c r="C18" s="27" t="s">
        <v>266</v>
      </c>
      <c r="D18" s="27"/>
      <c r="E18" s="27"/>
      <c r="F18" s="27"/>
      <c r="G18" s="10"/>
      <c r="H18" s="36" t="s">
        <v>263</v>
      </c>
      <c r="I18" s="37"/>
      <c r="J18" s="37"/>
      <c r="K18" s="27"/>
      <c r="L18" s="27"/>
      <c r="M18" s="27"/>
      <c r="N18" s="27"/>
      <c r="O18" s="27"/>
      <c r="P18" s="2" t="s">
        <v>1859</v>
      </c>
      <c r="Q18" s="29" t="s">
        <v>265</v>
      </c>
      <c r="R18" s="27"/>
      <c r="S18" s="27"/>
    </row>
    <row r="19" spans="1:19" ht="24" customHeight="1">
      <c r="A19" s="27" t="str">
        <f ca="1">IF(OR(D19&lt;&gt;"", F19&lt;&gt;"", L19&lt;&gt;"", O19&lt;&gt;""), "EVT-2027-" &amp; TEXT(COUNTIF('DT-4 Jan27'!$A$3:$A$503, "EVT*") + COUNTIF(OFFSET($A$1, 1, 0, ROW()-2, 1), "EVT*") + 1, "0000"), "")</f>
        <v/>
      </c>
      <c r="B19" s="30">
        <v>46432</v>
      </c>
      <c r="C19" s="27" t="s">
        <v>267</v>
      </c>
      <c r="D19" s="27"/>
      <c r="E19" s="27"/>
      <c r="F19" s="27"/>
      <c r="G19" s="10"/>
      <c r="H19" s="36" t="s">
        <v>263</v>
      </c>
      <c r="I19" s="37"/>
      <c r="J19" s="37"/>
      <c r="K19" s="27"/>
      <c r="L19" s="27"/>
      <c r="M19" s="27"/>
      <c r="N19" s="27"/>
      <c r="O19" s="27"/>
      <c r="P19" s="2" t="s">
        <v>1859</v>
      </c>
      <c r="Q19" s="29" t="s">
        <v>265</v>
      </c>
      <c r="R19" s="27"/>
      <c r="S19" s="27"/>
    </row>
    <row r="20" spans="1:19" ht="24" customHeight="1">
      <c r="A20" s="27" t="str">
        <f ca="1">IF(OR(D20&lt;&gt;"", F20&lt;&gt;"", L20&lt;&gt;"", O20&lt;&gt;""), "EVT-2027-" &amp; TEXT(COUNTIF('DT-4 Jan27'!$A$3:$A$503, "EVT*") + COUNTIF(OFFSET($A$1, 1, 0, ROW()-2, 1), "EVT*") + 1, "0000"), "")</f>
        <v/>
      </c>
      <c r="B20" s="30">
        <v>46433</v>
      </c>
      <c r="C20" s="27" t="s">
        <v>224</v>
      </c>
      <c r="D20" s="27"/>
      <c r="E20" s="27"/>
      <c r="F20" s="27"/>
      <c r="G20" s="10"/>
      <c r="H20" s="36" t="s">
        <v>263</v>
      </c>
      <c r="I20" s="37"/>
      <c r="J20" s="37"/>
      <c r="K20" s="27"/>
      <c r="L20" s="27"/>
      <c r="M20" s="27"/>
      <c r="N20" s="27"/>
      <c r="O20" s="27"/>
      <c r="P20" s="2" t="s">
        <v>1859</v>
      </c>
      <c r="Q20" s="29" t="s">
        <v>265</v>
      </c>
      <c r="R20" s="27"/>
      <c r="S20" s="27"/>
    </row>
    <row r="21" spans="1:19" ht="24" customHeight="1">
      <c r="A21" s="27" t="str">
        <f ca="1">IF(OR(D21&lt;&gt;"", F21&lt;&gt;"", L21&lt;&gt;"", O21&lt;&gt;""), "EVT-2027-" &amp; TEXT(COUNTIF('DT-4 Jan27'!$A$3:$A$503, "EVT*") + COUNTIF(OFFSET($A$1, 1, 0, ROW()-2, 1), "EVT*") + 1, "0000"), "")</f>
        <v>EVT-2027-0026</v>
      </c>
      <c r="B21" s="30">
        <v>46434</v>
      </c>
      <c r="C21" s="27" t="s">
        <v>227</v>
      </c>
      <c r="D21" s="27" t="s">
        <v>1366</v>
      </c>
      <c r="E21" s="27" t="s">
        <v>208</v>
      </c>
      <c r="F21" s="27" t="s">
        <v>217</v>
      </c>
      <c r="G21" s="10">
        <v>50</v>
      </c>
      <c r="H21" s="36" t="s">
        <v>263</v>
      </c>
      <c r="I21" s="37" t="s">
        <v>309</v>
      </c>
      <c r="J21" s="37" t="s">
        <v>296</v>
      </c>
      <c r="K21" s="27"/>
      <c r="L21" s="27"/>
      <c r="M21" s="27" t="s">
        <v>2559</v>
      </c>
      <c r="N21" s="27" t="s">
        <v>2560</v>
      </c>
      <c r="O21" s="27"/>
      <c r="P21" s="2" t="s">
        <v>1859</v>
      </c>
      <c r="Q21" s="29" t="s">
        <v>265</v>
      </c>
      <c r="R21" s="27" t="s">
        <v>2384</v>
      </c>
      <c r="S21" s="27" t="s">
        <v>1846</v>
      </c>
    </row>
    <row r="22" spans="1:19" ht="24" customHeight="1">
      <c r="A22" s="27" t="str">
        <f ca="1">IF(OR(D22&lt;&gt;"", F22&lt;&gt;"", L22&lt;&gt;"", O22&lt;&gt;""), "EVT-2027-" &amp; TEXT(COUNTIF('DT-4 Jan27'!$A$3:$A$503, "EVT*") + COUNTIF(OFFSET($A$1, 1, 0, ROW()-2, 1), "EVT*") + 1, "0000"), "")</f>
        <v>EVT-2027-0027</v>
      </c>
      <c r="B22" s="30">
        <v>46435</v>
      </c>
      <c r="C22" s="27" t="s">
        <v>201</v>
      </c>
      <c r="D22" s="27" t="s">
        <v>1366</v>
      </c>
      <c r="E22" s="27" t="s">
        <v>208</v>
      </c>
      <c r="F22" s="27" t="s">
        <v>217</v>
      </c>
      <c r="G22" s="10">
        <v>50</v>
      </c>
      <c r="H22" s="36" t="s">
        <v>263</v>
      </c>
      <c r="I22" s="37" t="s">
        <v>309</v>
      </c>
      <c r="J22" s="37" t="s">
        <v>296</v>
      </c>
      <c r="K22" s="27"/>
      <c r="L22" s="27"/>
      <c r="M22" s="27" t="s">
        <v>2559</v>
      </c>
      <c r="N22" s="27" t="s">
        <v>2560</v>
      </c>
      <c r="O22" s="27"/>
      <c r="P22" s="2" t="s">
        <v>1859</v>
      </c>
      <c r="Q22" s="29" t="s">
        <v>265</v>
      </c>
      <c r="R22" s="27" t="s">
        <v>2384</v>
      </c>
      <c r="S22" s="27" t="s">
        <v>1846</v>
      </c>
    </row>
    <row r="23" spans="1:19" ht="24" customHeight="1">
      <c r="A23" s="27" t="str">
        <f ca="1">IF(OR(D23&lt;&gt;"", F23&lt;&gt;"", L23&lt;&gt;"", O23&lt;&gt;""), "EVT-2027-" &amp; TEXT(COUNTIF('DT-4 Jan27'!$A$3:$A$503, "EVT*") + COUNTIF(OFFSET($A$1, 1, 0, ROW()-2, 1), "EVT*") + 1, "0000"), "")</f>
        <v>EVT-2027-0028</v>
      </c>
      <c r="B23" s="30">
        <v>46436</v>
      </c>
      <c r="C23" s="27" t="s">
        <v>216</v>
      </c>
      <c r="D23" s="27" t="s">
        <v>1366</v>
      </c>
      <c r="E23" s="27" t="s">
        <v>208</v>
      </c>
      <c r="F23" s="27" t="s">
        <v>217</v>
      </c>
      <c r="G23" s="10">
        <v>50</v>
      </c>
      <c r="H23" s="36" t="s">
        <v>263</v>
      </c>
      <c r="I23" s="37" t="s">
        <v>309</v>
      </c>
      <c r="J23" s="37" t="s">
        <v>296</v>
      </c>
      <c r="K23" s="27"/>
      <c r="L23" s="27"/>
      <c r="M23" s="27" t="s">
        <v>2559</v>
      </c>
      <c r="N23" s="27" t="s">
        <v>2560</v>
      </c>
      <c r="O23" s="27"/>
      <c r="P23" s="2" t="s">
        <v>1859</v>
      </c>
      <c r="Q23" s="29" t="s">
        <v>265</v>
      </c>
      <c r="R23" s="27" t="s">
        <v>2384</v>
      </c>
      <c r="S23" s="27" t="s">
        <v>1846</v>
      </c>
    </row>
    <row r="24" spans="1:19" ht="24" customHeight="1">
      <c r="A24" s="27" t="str">
        <f ca="1">IF(OR(D24&lt;&gt;"", F24&lt;&gt;"", L24&lt;&gt;"", O24&lt;&gt;""), "EVT-2027-" &amp; TEXT(COUNTIF('DT-4 Jan27'!$A$3:$A$503, "EVT*") + COUNTIF(OFFSET($A$1, 1, 0, ROW()-2, 1), "EVT*") + 1, "0000"), "")</f>
        <v/>
      </c>
      <c r="B24" s="30">
        <v>46437</v>
      </c>
      <c r="C24" s="27" t="s">
        <v>220</v>
      </c>
      <c r="D24" s="27"/>
      <c r="E24" s="27"/>
      <c r="F24" s="27"/>
      <c r="G24" s="10"/>
      <c r="H24" s="36" t="s">
        <v>263</v>
      </c>
      <c r="I24" s="37"/>
      <c r="J24" s="37"/>
      <c r="K24" s="27"/>
      <c r="L24" s="27"/>
      <c r="M24" s="27"/>
      <c r="N24" s="27"/>
      <c r="O24" s="27"/>
      <c r="P24" s="2" t="s">
        <v>1859</v>
      </c>
      <c r="Q24" s="29" t="s">
        <v>265</v>
      </c>
      <c r="R24" s="27"/>
      <c r="S24" s="27"/>
    </row>
    <row r="25" spans="1:19" ht="24" customHeight="1">
      <c r="A25" s="27" t="str">
        <f ca="1">IF(OR(D25&lt;&gt;"", F25&lt;&gt;"", L25&lt;&gt;"", O25&lt;&gt;""), "EVT-2027-" &amp; TEXT(COUNTIF('DT-4 Jan27'!$A$3:$A$503, "EVT*") + COUNTIF(OFFSET($A$1, 1, 0, ROW()-2, 1), "EVT*") + 1, "0000"), "")</f>
        <v/>
      </c>
      <c r="B25" s="30">
        <v>46438</v>
      </c>
      <c r="C25" s="27" t="s">
        <v>266</v>
      </c>
      <c r="D25" s="27"/>
      <c r="E25" s="27"/>
      <c r="F25" s="27"/>
      <c r="G25" s="10"/>
      <c r="H25" s="36" t="s">
        <v>263</v>
      </c>
      <c r="I25" s="37"/>
      <c r="J25" s="37"/>
      <c r="K25" s="27"/>
      <c r="L25" s="27"/>
      <c r="M25" s="27"/>
      <c r="N25" s="27"/>
      <c r="O25" s="27"/>
      <c r="P25" s="2" t="s">
        <v>1859</v>
      </c>
      <c r="Q25" s="29" t="s">
        <v>265</v>
      </c>
      <c r="R25" s="27"/>
      <c r="S25" s="27"/>
    </row>
    <row r="26" spans="1:19" ht="24" customHeight="1">
      <c r="A26" s="27" t="str">
        <f ca="1">IF(OR(D26&lt;&gt;"", F26&lt;&gt;"", L26&lt;&gt;"", O26&lt;&gt;""), "EVT-2027-" &amp; TEXT(COUNTIF('DT-4 Jan27'!$A$3:$A$503, "EVT*") + COUNTIF(OFFSET($A$1, 1, 0, ROW()-2, 1), "EVT*") + 1, "0000"), "")</f>
        <v/>
      </c>
      <c r="B26" s="30">
        <v>46439</v>
      </c>
      <c r="C26" s="27" t="s">
        <v>267</v>
      </c>
      <c r="D26" s="27"/>
      <c r="E26" s="27"/>
      <c r="F26" s="27"/>
      <c r="G26" s="10"/>
      <c r="H26" s="36" t="s">
        <v>263</v>
      </c>
      <c r="I26" s="37"/>
      <c r="J26" s="37"/>
      <c r="K26" s="27"/>
      <c r="L26" s="27"/>
      <c r="M26" s="27"/>
      <c r="N26" s="27"/>
      <c r="O26" s="27"/>
      <c r="P26" s="2" t="s">
        <v>1859</v>
      </c>
      <c r="Q26" s="29" t="s">
        <v>265</v>
      </c>
      <c r="R26" s="27"/>
      <c r="S26" s="27"/>
    </row>
    <row r="27" spans="1:19" ht="24" customHeight="1">
      <c r="A27" s="27" t="str">
        <f ca="1">IF(OR(D27&lt;&gt;"", F27&lt;&gt;"", L27&lt;&gt;"", O27&lt;&gt;""), "EVT-2027-" &amp; TEXT(COUNTIF('DT-4 Jan27'!$A$3:$A$503, "EVT*") + COUNTIF(OFFSET($A$1, 1, 0, ROW()-2, 1), "EVT*") + 1, "0000"), "")</f>
        <v/>
      </c>
      <c r="B27" s="30">
        <v>46440</v>
      </c>
      <c r="C27" s="27" t="s">
        <v>224</v>
      </c>
      <c r="D27" s="27"/>
      <c r="E27" s="27"/>
      <c r="F27" s="27"/>
      <c r="G27" s="10"/>
      <c r="H27" s="36" t="s">
        <v>263</v>
      </c>
      <c r="I27" s="37"/>
      <c r="J27" s="37"/>
      <c r="K27" s="27"/>
      <c r="L27" s="27"/>
      <c r="M27" s="27"/>
      <c r="N27" s="27"/>
      <c r="O27" s="27"/>
      <c r="P27" s="2" t="s">
        <v>1859</v>
      </c>
      <c r="Q27" s="29" t="s">
        <v>265</v>
      </c>
      <c r="R27" s="27"/>
      <c r="S27" s="27"/>
    </row>
    <row r="28" spans="1:19" ht="24" customHeight="1">
      <c r="A28" s="27" t="str">
        <f ca="1">IF(OR(D28&lt;&gt;"", F28&lt;&gt;"", L28&lt;&gt;"", O28&lt;&gt;""), "EVT-2027-" &amp; TEXT(COUNTIF('DT-4 Jan27'!$A$3:$A$503, "EVT*") + COUNTIF(OFFSET($A$1, 1, 0, ROW()-2, 1), "EVT*") + 1, "0000"), "")</f>
        <v>EVT-2027-0029</v>
      </c>
      <c r="B28" s="30">
        <v>46441</v>
      </c>
      <c r="C28" s="27" t="s">
        <v>227</v>
      </c>
      <c r="D28" s="27" t="s">
        <v>1366</v>
      </c>
      <c r="E28" s="27" t="s">
        <v>208</v>
      </c>
      <c r="F28" s="27" t="s">
        <v>217</v>
      </c>
      <c r="G28" s="10">
        <v>50</v>
      </c>
      <c r="H28" s="36" t="s">
        <v>263</v>
      </c>
      <c r="I28" s="37" t="s">
        <v>309</v>
      </c>
      <c r="J28" s="37" t="s">
        <v>296</v>
      </c>
      <c r="K28" s="27"/>
      <c r="L28" s="27"/>
      <c r="M28" s="27" t="s">
        <v>2559</v>
      </c>
      <c r="N28" s="27" t="s">
        <v>2560</v>
      </c>
      <c r="O28" s="27"/>
      <c r="P28" s="2" t="s">
        <v>1859</v>
      </c>
      <c r="Q28" s="29" t="s">
        <v>265</v>
      </c>
      <c r="R28" s="27" t="s">
        <v>2384</v>
      </c>
      <c r="S28" s="27" t="s">
        <v>1846</v>
      </c>
    </row>
    <row r="29" spans="1:19" ht="24" customHeight="1">
      <c r="A29" s="27" t="str">
        <f ca="1">IF(OR(D29&lt;&gt;"", F29&lt;&gt;"", L29&lt;&gt;"", O29&lt;&gt;""), "EVT-2027-" &amp; TEXT(COUNTIF('DT-4 Jan27'!$A$3:$A$503, "EVT*") + COUNTIF(OFFSET($A$1, 1, 0, ROW()-2, 1), "EVT*") + 1, "0000"), "")</f>
        <v>EVT-2027-0030</v>
      </c>
      <c r="B29" s="30">
        <v>46442</v>
      </c>
      <c r="C29" s="27" t="s">
        <v>201</v>
      </c>
      <c r="D29" s="27" t="s">
        <v>1366</v>
      </c>
      <c r="E29" s="27" t="s">
        <v>208</v>
      </c>
      <c r="F29" s="27" t="s">
        <v>217</v>
      </c>
      <c r="G29" s="10">
        <v>50</v>
      </c>
      <c r="H29" s="36" t="s">
        <v>263</v>
      </c>
      <c r="I29" s="37" t="s">
        <v>309</v>
      </c>
      <c r="J29" s="37" t="s">
        <v>296</v>
      </c>
      <c r="K29" s="27"/>
      <c r="L29" s="27"/>
      <c r="M29" s="27" t="s">
        <v>2559</v>
      </c>
      <c r="N29" s="27" t="s">
        <v>2560</v>
      </c>
      <c r="O29" s="27"/>
      <c r="P29" s="2" t="s">
        <v>1859</v>
      </c>
      <c r="Q29" s="29" t="s">
        <v>265</v>
      </c>
      <c r="R29" s="27" t="s">
        <v>2384</v>
      </c>
      <c r="S29" s="27" t="s">
        <v>1846</v>
      </c>
    </row>
    <row r="30" spans="1:19" ht="24" customHeight="1">
      <c r="A30" s="27" t="str">
        <f ca="1">IF(OR(D30&lt;&gt;"", F30&lt;&gt;"", L30&lt;&gt;"", O30&lt;&gt;""), "EVT-2027-" &amp; TEXT(COUNTIF('DT-4 Jan27'!$A$3:$A$503, "EVT*") + COUNTIF(OFFSET($A$1, 1, 0, ROW()-2, 1), "EVT*") + 1, "0000"), "")</f>
        <v>EVT-2027-0031</v>
      </c>
      <c r="B30" s="30">
        <v>46443</v>
      </c>
      <c r="C30" s="27" t="s">
        <v>216</v>
      </c>
      <c r="D30" s="27" t="s">
        <v>1366</v>
      </c>
      <c r="E30" s="27" t="s">
        <v>208</v>
      </c>
      <c r="F30" s="27" t="s">
        <v>217</v>
      </c>
      <c r="G30" s="10">
        <v>50</v>
      </c>
      <c r="H30" s="36" t="s">
        <v>263</v>
      </c>
      <c r="I30" s="37" t="s">
        <v>309</v>
      </c>
      <c r="J30" s="37" t="s">
        <v>296</v>
      </c>
      <c r="K30" s="27"/>
      <c r="L30" s="27"/>
      <c r="M30" s="27" t="s">
        <v>2559</v>
      </c>
      <c r="N30" s="27" t="s">
        <v>2560</v>
      </c>
      <c r="O30" s="27"/>
      <c r="P30" s="2" t="s">
        <v>1859</v>
      </c>
      <c r="Q30" s="29" t="s">
        <v>265</v>
      </c>
      <c r="R30" s="27" t="s">
        <v>2384</v>
      </c>
      <c r="S30" s="27" t="s">
        <v>1846</v>
      </c>
    </row>
    <row r="31" spans="1:19" ht="24" customHeight="1">
      <c r="A31" s="27" t="str">
        <f ca="1">IF(OR(D31&lt;&gt;"", F31&lt;&gt;"", L31&lt;&gt;"", O31&lt;&gt;""), "EVT-2027-" &amp; TEXT(COUNTIF('DT-4 Jan27'!$A$3:$A$503, "EVT*") + COUNTIF(OFFSET($A$1, 1, 0, ROW()-2, 1), "EVT*") + 1, "0000"), "")</f>
        <v>EVT-2027-0032</v>
      </c>
      <c r="B31" s="30">
        <v>46444</v>
      </c>
      <c r="C31" s="27" t="s">
        <v>220</v>
      </c>
      <c r="D31" s="27" t="s">
        <v>1512</v>
      </c>
      <c r="E31" s="27" t="s">
        <v>228</v>
      </c>
      <c r="F31" s="27" t="s">
        <v>1801</v>
      </c>
      <c r="G31" s="10">
        <v>50</v>
      </c>
      <c r="H31" s="36" t="s">
        <v>263</v>
      </c>
      <c r="I31" s="37" t="s">
        <v>295</v>
      </c>
      <c r="J31" s="37" t="s">
        <v>270</v>
      </c>
      <c r="K31" s="27" t="s">
        <v>382</v>
      </c>
      <c r="L31" s="27"/>
      <c r="M31" s="27" t="s">
        <v>916</v>
      </c>
      <c r="N31" s="27"/>
      <c r="O31" s="27"/>
      <c r="P31" s="2" t="s">
        <v>1859</v>
      </c>
      <c r="Q31" s="29" t="s">
        <v>265</v>
      </c>
      <c r="R31" s="27" t="s">
        <v>1803</v>
      </c>
      <c r="S31" s="27" t="s">
        <v>1177</v>
      </c>
    </row>
    <row r="32" spans="1:19" ht="24" customHeight="1">
      <c r="A32" s="27" t="str">
        <f ca="1">IF(OR(D32&lt;&gt;"", F32&lt;&gt;"", L32&lt;&gt;"", O32&lt;&gt;""), "EVT-2027-" &amp; TEXT(COUNTIF('DT-4 Jan27'!$A$3:$A$503, "EVT*") + COUNTIF(OFFSET($A$1, 1, 0, ROW()-2, 1), "EVT*") + 1, "0000"), "")</f>
        <v/>
      </c>
      <c r="B32" s="30">
        <v>46445</v>
      </c>
      <c r="C32" s="27" t="s">
        <v>266</v>
      </c>
      <c r="D32" s="27"/>
      <c r="E32" s="27"/>
      <c r="F32" s="27"/>
      <c r="G32" s="10"/>
      <c r="H32" s="36" t="s">
        <v>263</v>
      </c>
      <c r="I32" s="37"/>
      <c r="J32" s="37"/>
      <c r="K32" s="27"/>
      <c r="L32" s="27"/>
      <c r="M32" s="27"/>
      <c r="N32" s="27"/>
      <c r="O32" s="27"/>
      <c r="P32" s="2" t="s">
        <v>1859</v>
      </c>
      <c r="Q32" s="29" t="s">
        <v>265</v>
      </c>
      <c r="R32" s="27"/>
      <c r="S32" s="27"/>
    </row>
    <row r="33" spans="1:19" ht="24" customHeight="1">
      <c r="A33" s="27" t="str">
        <f ca="1">IF(OR(D33&lt;&gt;"", F33&lt;&gt;"", L33&lt;&gt;"", O33&lt;&gt;""), "EVT-2027-" &amp; TEXT(COUNTIF('DT-4 Jan27'!$A$3:$A$503, "EVT*") + COUNTIF(OFFSET($A$1, 1, 0, ROW()-2, 1), "EVT*") + 1, "0000"), "")</f>
        <v/>
      </c>
      <c r="B33" s="30">
        <v>46446</v>
      </c>
      <c r="C33" s="27" t="s">
        <v>267</v>
      </c>
      <c r="D33" s="27"/>
      <c r="E33" s="27"/>
      <c r="F33" s="27"/>
      <c r="G33" s="10"/>
      <c r="H33" s="36" t="s">
        <v>263</v>
      </c>
      <c r="I33" s="37"/>
      <c r="J33" s="37"/>
      <c r="K33" s="27"/>
      <c r="L33" s="27"/>
      <c r="M33" s="27"/>
      <c r="N33" s="27"/>
      <c r="O33" s="27"/>
      <c r="P33" s="2" t="s">
        <v>1859</v>
      </c>
      <c r="Q33" s="29" t="s">
        <v>265</v>
      </c>
      <c r="R33" s="27"/>
      <c r="S33" s="27"/>
    </row>
    <row r="34" spans="1:19" ht="24" customHeight="1">
      <c r="A34" s="27" t="str">
        <f ca="1">IF(OR(D34&lt;&gt;"", F34&lt;&gt;"", L34&lt;&gt;"", O34&lt;&gt;""), "EVT-2027-" &amp; TEXT(COUNTIF('DT-4 Jan27'!$A$3:$A$503, "EVT*") + COUNTIF(OFFSET($A$1, 1, 0, ROW()-2, 1), "EVT*") + 1, "0000"), "")</f>
        <v/>
      </c>
      <c r="B34" s="30">
        <v>46446</v>
      </c>
      <c r="C34" s="27" t="s">
        <v>267</v>
      </c>
      <c r="D34" s="27"/>
      <c r="E34" s="27"/>
      <c r="F34" s="27"/>
      <c r="G34" s="10"/>
      <c r="H34" s="36" t="s">
        <v>263</v>
      </c>
      <c r="I34" s="37"/>
      <c r="J34" s="37"/>
      <c r="K34" s="27"/>
      <c r="L34" s="27"/>
      <c r="M34" s="27"/>
      <c r="N34" s="27"/>
      <c r="O34" s="27"/>
      <c r="P34" s="2" t="s">
        <v>1859</v>
      </c>
      <c r="Q34" s="29" t="s">
        <v>265</v>
      </c>
      <c r="R34" s="27"/>
      <c r="S34" s="27"/>
    </row>
    <row r="35" spans="1:19" ht="24" customHeight="1">
      <c r="A35" s="27" t="str">
        <f ca="1">IF(OR(D35&lt;&gt;"", F35&lt;&gt;"", L35&lt;&gt;"", O35&lt;&gt;""), "EVT-2027-" &amp; TEXT(COUNTIF('DT-4 Jan27'!$A$3:$A$503, "EVT*") + COUNTIF(OFFSET($A$1, 1, 0, ROW()-2, 1), "EVT*") + 1, "0000"), "")</f>
        <v/>
      </c>
      <c r="B35" s="30">
        <v>46446</v>
      </c>
      <c r="C35" s="27" t="s">
        <v>267</v>
      </c>
      <c r="D35" s="27"/>
      <c r="E35" s="27"/>
      <c r="F35" s="27"/>
      <c r="G35" s="10"/>
      <c r="H35" s="36" t="s">
        <v>263</v>
      </c>
      <c r="I35" s="37"/>
      <c r="J35" s="37"/>
      <c r="K35" s="27"/>
      <c r="L35" s="27"/>
      <c r="M35" s="27"/>
      <c r="N35" s="27"/>
      <c r="O35" s="27"/>
      <c r="P35" s="2" t="s">
        <v>1859</v>
      </c>
      <c r="Q35" s="29" t="s">
        <v>265</v>
      </c>
      <c r="R35" s="27"/>
      <c r="S35" s="27"/>
    </row>
    <row r="36" spans="1:19" ht="24" customHeight="1">
      <c r="A36" s="27" t="str">
        <f ca="1">IF(OR(D36&lt;&gt;"", F36&lt;&gt;"", L36&lt;&gt;"", O36&lt;&gt;""), "EVT-2027-" &amp; TEXT(COUNTIF('DT-4 Jan27'!$A$3:$A$503, "EVT*") + COUNTIF(OFFSET($A$1, 1, 0, ROW()-2, 1), "EVT*") + 1, "0000"), "")</f>
        <v/>
      </c>
      <c r="B36" s="30">
        <v>46446</v>
      </c>
      <c r="C36" s="27" t="s">
        <v>267</v>
      </c>
      <c r="D36" s="27"/>
      <c r="E36" s="27"/>
      <c r="F36" s="27"/>
      <c r="G36" s="10"/>
      <c r="H36" s="36" t="s">
        <v>263</v>
      </c>
      <c r="I36" s="37"/>
      <c r="J36" s="37"/>
      <c r="K36" s="27"/>
      <c r="L36" s="27"/>
      <c r="M36" s="27"/>
      <c r="N36" s="27"/>
      <c r="O36" s="27"/>
      <c r="P36" s="2" t="s">
        <v>1859</v>
      </c>
      <c r="Q36" s="29" t="s">
        <v>265</v>
      </c>
      <c r="R36" s="27"/>
      <c r="S36" s="27"/>
    </row>
    <row r="37" spans="1:19" ht="24" customHeight="1">
      <c r="A37" s="27" t="str">
        <f ca="1">IF(OR(D37&lt;&gt;"", F37&lt;&gt;"", L37&lt;&gt;"", O37&lt;&gt;""), "EVT-2027-" &amp; TEXT(COUNTIF('DT-4 Jan27'!$A$3:$A$503, "EVT*") + COUNTIF(OFFSET($A$1, 1, 0, ROW()-2, 1), "EVT*") + 1, "0000"), "")</f>
        <v/>
      </c>
      <c r="B37" s="27"/>
      <c r="C37" s="27"/>
      <c r="D37" s="27"/>
      <c r="E37" s="27"/>
      <c r="F37" s="27"/>
      <c r="G37" s="10"/>
      <c r="H37" s="36" t="s">
        <v>263</v>
      </c>
      <c r="I37" s="37"/>
      <c r="J37" s="37"/>
      <c r="K37" s="27"/>
      <c r="L37" s="27"/>
      <c r="M37" s="27"/>
      <c r="N37" s="27"/>
      <c r="O37" s="27"/>
      <c r="P37" s="1" t="s">
        <v>264</v>
      </c>
      <c r="Q37" s="29" t="s">
        <v>265</v>
      </c>
      <c r="R37" s="27"/>
      <c r="S37" s="27"/>
    </row>
    <row r="38" spans="1:19" ht="24" customHeight="1">
      <c r="A38" s="27" t="str">
        <f ca="1">IF(OR(D38&lt;&gt;"", F38&lt;&gt;"", L38&lt;&gt;"", O38&lt;&gt;""), "EVT-2027-" &amp; TEXT(COUNTIF('DT-4 Jan27'!$A$3:$A$503, "EVT*") + COUNTIF(OFFSET($A$1, 1, 0, ROW()-2, 1), "EVT*") + 1, "0000"), "")</f>
        <v/>
      </c>
      <c r="B38" s="27"/>
      <c r="C38" s="27"/>
      <c r="D38" s="27"/>
      <c r="E38" s="27"/>
      <c r="F38" s="27"/>
      <c r="G38" s="10"/>
      <c r="H38" s="36" t="s">
        <v>263</v>
      </c>
      <c r="I38" s="37"/>
      <c r="J38" s="37"/>
      <c r="K38" s="27"/>
      <c r="L38" s="27"/>
      <c r="M38" s="27"/>
      <c r="N38" s="27"/>
      <c r="O38" s="27"/>
      <c r="P38" s="1" t="s">
        <v>264</v>
      </c>
      <c r="Q38" s="29" t="s">
        <v>265</v>
      </c>
      <c r="R38" s="27"/>
      <c r="S38" s="27"/>
    </row>
    <row r="39" spans="1:19" ht="24" customHeight="1">
      <c r="A39" s="27" t="str">
        <f ca="1">IF(OR(D39&lt;&gt;"", F39&lt;&gt;"", L39&lt;&gt;"", O39&lt;&gt;""), "EVT-2027-" &amp; TEXT(COUNTIF('DT-4 Jan27'!$A$3:$A$503, "EVT*") + COUNTIF(OFFSET($A$1, 1, 0, ROW()-2, 1), "EVT*") + 1, "0000"), "")</f>
        <v/>
      </c>
      <c r="B39" s="27"/>
      <c r="C39" s="27"/>
      <c r="D39" s="27"/>
      <c r="E39" s="27"/>
      <c r="F39" s="27"/>
      <c r="G39" s="10"/>
      <c r="H39" s="36" t="s">
        <v>263</v>
      </c>
      <c r="I39" s="37"/>
      <c r="J39" s="37"/>
      <c r="K39" s="27"/>
      <c r="L39" s="27"/>
      <c r="M39" s="27"/>
      <c r="N39" s="27"/>
      <c r="O39" s="27"/>
      <c r="P39" s="1" t="s">
        <v>264</v>
      </c>
      <c r="Q39" s="29" t="s">
        <v>265</v>
      </c>
      <c r="R39" s="27"/>
      <c r="S39" s="27"/>
    </row>
    <row r="40" spans="1:19" ht="24" customHeight="1">
      <c r="A40" s="27" t="str">
        <f ca="1">IF(OR(D40&lt;&gt;"", F40&lt;&gt;"", L40&lt;&gt;"", O40&lt;&gt;""), "EVT-2027-" &amp; TEXT(COUNTIF('DT-4 Jan27'!$A$3:$A$503, "EVT*") + COUNTIF(OFFSET($A$1, 1, 0, ROW()-2, 1), "EVT*") + 1, "0000"), "")</f>
        <v/>
      </c>
      <c r="B40" s="27"/>
      <c r="C40" s="27"/>
      <c r="D40" s="27"/>
      <c r="E40" s="27"/>
      <c r="F40" s="27"/>
      <c r="G40" s="10"/>
      <c r="H40" s="36" t="s">
        <v>263</v>
      </c>
      <c r="I40" s="37"/>
      <c r="J40" s="37"/>
      <c r="K40" s="27"/>
      <c r="L40" s="27"/>
      <c r="M40" s="27"/>
      <c r="N40" s="27"/>
      <c r="O40" s="27"/>
      <c r="P40" s="1" t="s">
        <v>264</v>
      </c>
      <c r="Q40" s="29" t="s">
        <v>265</v>
      </c>
      <c r="R40" s="27"/>
      <c r="S40" s="27"/>
    </row>
    <row r="41" spans="1:19" ht="24" customHeight="1">
      <c r="A41" s="27" t="str">
        <f ca="1">IF(OR(D41&lt;&gt;"", F41&lt;&gt;"", L41&lt;&gt;"", O41&lt;&gt;""), "EVT-2027-" &amp; TEXT(COUNTIF('DT-4 Jan27'!$A$3:$A$503, "EVT*") + COUNTIF(OFFSET($A$1, 1, 0, ROW()-2, 1), "EVT*") + 1, "0000"), "")</f>
        <v/>
      </c>
      <c r="B41" s="27"/>
      <c r="C41" s="27"/>
      <c r="D41" s="27"/>
      <c r="E41" s="27"/>
      <c r="F41" s="27"/>
      <c r="G41" s="10"/>
      <c r="H41" s="36" t="s">
        <v>263</v>
      </c>
      <c r="I41" s="37"/>
      <c r="J41" s="37"/>
      <c r="K41" s="27"/>
      <c r="L41" s="27"/>
      <c r="M41" s="27"/>
      <c r="N41" s="27"/>
      <c r="O41" s="27"/>
      <c r="P41" s="1" t="s">
        <v>264</v>
      </c>
      <c r="Q41" s="29" t="s">
        <v>265</v>
      </c>
      <c r="R41" s="27"/>
      <c r="S41" s="27"/>
    </row>
    <row r="42" spans="1:19" ht="24" customHeight="1">
      <c r="A42" s="27" t="str">
        <f ca="1">IF(OR(D42&lt;&gt;"", F42&lt;&gt;"", L42&lt;&gt;"", O42&lt;&gt;""), "EVT-2027-" &amp; TEXT(COUNTIF('DT-4 Jan27'!$A$3:$A$503, "EVT*") + COUNTIF(OFFSET($A$1, 1, 0, ROW()-2, 1), "EVT*") + 1, "0000"), "")</f>
        <v/>
      </c>
      <c r="B42" s="27"/>
      <c r="C42" s="27"/>
      <c r="D42" s="27"/>
      <c r="E42" s="27"/>
      <c r="F42" s="27"/>
      <c r="G42" s="10"/>
      <c r="H42" s="36" t="s">
        <v>263</v>
      </c>
      <c r="I42" s="37"/>
      <c r="J42" s="37"/>
      <c r="K42" s="27"/>
      <c r="L42" s="27"/>
      <c r="M42" s="27"/>
      <c r="N42" s="27"/>
      <c r="O42" s="27"/>
      <c r="P42" s="1" t="s">
        <v>264</v>
      </c>
      <c r="Q42" s="29" t="s">
        <v>265</v>
      </c>
      <c r="R42" s="27"/>
      <c r="S42" s="27"/>
    </row>
    <row r="43" spans="1:19" ht="24" customHeight="1">
      <c r="A43" s="27" t="str">
        <f ca="1">IF(OR(D43&lt;&gt;"", F43&lt;&gt;"", L43&lt;&gt;"", O43&lt;&gt;""), "EVT-2027-" &amp; TEXT(COUNTIF('DT-4 Jan27'!$A$3:$A$503, "EVT*") + COUNTIF(OFFSET($A$1, 1, 0, ROW()-2, 1), "EVT*") + 1, "0000"), "")</f>
        <v/>
      </c>
      <c r="B43" s="27"/>
      <c r="C43" s="27"/>
      <c r="D43" s="27"/>
      <c r="E43" s="27"/>
      <c r="F43" s="27"/>
      <c r="G43" s="10"/>
      <c r="H43" s="36" t="s">
        <v>263</v>
      </c>
      <c r="I43" s="37"/>
      <c r="J43" s="37"/>
      <c r="K43" s="27"/>
      <c r="L43" s="27"/>
      <c r="M43" s="27"/>
      <c r="N43" s="27"/>
      <c r="O43" s="27"/>
      <c r="P43" s="1" t="s">
        <v>264</v>
      </c>
      <c r="Q43" s="29" t="s">
        <v>265</v>
      </c>
      <c r="R43" s="27"/>
      <c r="S43" s="27"/>
    </row>
    <row r="44" spans="1:19" ht="24" customHeight="1">
      <c r="A44" s="27" t="str">
        <f ca="1">IF(OR(D44&lt;&gt;"", F44&lt;&gt;"", L44&lt;&gt;"", O44&lt;&gt;""), "EVT-2027-" &amp; TEXT(COUNTIF('DT-4 Jan27'!$A$3:$A$503, "EVT*") + COUNTIF(OFFSET($A$1, 1, 0, ROW()-2, 1), "EVT*") + 1, "0000"), "")</f>
        <v/>
      </c>
      <c r="B44" s="27"/>
      <c r="C44" s="27"/>
      <c r="D44" s="27"/>
      <c r="E44" s="27"/>
      <c r="F44" s="27"/>
      <c r="G44" s="10"/>
      <c r="H44" s="36" t="s">
        <v>263</v>
      </c>
      <c r="I44" s="37"/>
      <c r="J44" s="37"/>
      <c r="K44" s="27"/>
      <c r="L44" s="27"/>
      <c r="M44" s="27"/>
      <c r="N44" s="27"/>
      <c r="O44" s="27"/>
      <c r="P44" s="1" t="s">
        <v>264</v>
      </c>
      <c r="Q44" s="29" t="s">
        <v>265</v>
      </c>
      <c r="R44" s="27"/>
      <c r="S44" s="27"/>
    </row>
  </sheetData>
  <mergeCells count="3">
    <mergeCell ref="O1:S1"/>
    <mergeCell ref="A1:C1"/>
    <mergeCell ref="D1:N1"/>
  </mergeCells>
  <dataValidations count="4">
    <dataValidation type="list" allowBlank="1" sqref="O31:O504 P31:P44 O3:P30" xr:uid="{00000000-0002-0000-1B00-000000000000}">
      <formula1>"Confirmed (Done),Pending Calendar Booking,Canceled"</formula1>
    </dataValidation>
    <dataValidation type="list" allowBlank="1" sqref="P3:P94" xr:uid="{00000000-0002-0000-1B00-000001000000}">
      <formula1>"Form sent,NA"</formula1>
    </dataValidation>
    <dataValidation type="list" allowBlank="1" sqref="Q3:Q44" xr:uid="{00000000-0002-0000-1B00-000002000000}">
      <formula1>"Form sent,Not Required,NA"</formula1>
    </dataValidation>
    <dataValidation type="list" allowBlank="1" sqref="H3:H44" xr:uid="{00000000-0002-0000-1B00-000003000000}">
      <formula1>"Big Event,Small Event"</formula1>
    </dataValidation>
  </dataValidations>
  <hyperlinks>
    <hyperlink ref="A1" location="'Dashboard'!A1" display="🏠 ⮌ RETURN TO DASHBOARD" xr:uid="{00000000-0004-0000-1B00-000000000000}"/>
    <hyperlink ref="N3" r:id="rId1" xr:uid="{8326A489-569F-44B9-B2A8-3BB25EA99161}"/>
    <hyperlink ref="N5" r:id="rId2" xr:uid="{42A8AF9E-35B3-440B-BD44-61EB9D5AFB2B}"/>
    <hyperlink ref="N7" r:id="rId3" xr:uid="{03E00F4D-CEF5-4918-99E2-B91DA2786736}"/>
    <hyperlink ref="N8" r:id="rId4" xr:uid="{26F27B73-C11A-4938-A647-E235E98C25EE}"/>
    <hyperlink ref="N10" r:id="rId5" xr:uid="{05F6FFEA-2586-4F09-ABF1-A5517FA4CE07}"/>
    <hyperlink ref="N4" r:id="rId6" xr:uid="{32C64F3D-710A-4DE9-BBA4-1FCB063DA6A4}"/>
    <hyperlink ref="N6" r:id="rId7" xr:uid="{CACD8F6C-D367-47CA-AA59-FDB33D3FB3F7}"/>
    <hyperlink ref="N9" r:id="rId8" xr:uid="{9A842BAD-EF99-481D-A417-008960F7E5E0}"/>
    <hyperlink ref="N14" r:id="rId9" xr:uid="{989ABA02-86FE-4EEC-88ED-E1A509757E67}"/>
    <hyperlink ref="N15" r:id="rId10" xr:uid="{EC240ED6-E08D-44CC-A3A1-6BBEAA395ED1}"/>
    <hyperlink ref="N16" r:id="rId11" xr:uid="{AE1F911E-8BE2-49C9-B5DB-7EA10FA597B9}"/>
    <hyperlink ref="N21" r:id="rId12" xr:uid="{7B06D260-5782-41FD-A117-6CDDF1B76F9B}"/>
    <hyperlink ref="N22" r:id="rId13" xr:uid="{E935DCAD-9D52-4C76-9E74-01A69469BCBF}"/>
    <hyperlink ref="N23" r:id="rId14" xr:uid="{F2C75184-65E6-44D2-B8C9-EDBAE266D128}"/>
    <hyperlink ref="N28" r:id="rId15" xr:uid="{63D89A90-2495-41CC-ACE6-A5BAC625BF5E}"/>
    <hyperlink ref="N29" r:id="rId16" xr:uid="{E97DED2F-9605-43BB-BAF3-EEC1C9CC7625}"/>
    <hyperlink ref="N30" r:id="rId17" xr:uid="{39ABA316-F14D-4219-A20E-FCB68B37BB8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43"/>
  <sheetViews>
    <sheetView workbookViewId="0">
      <pane ySplit="2" topLeftCell="A3" activePane="bottomLeft" state="frozen"/>
      <selection pane="bottomLeft" activeCell="D6" sqref="D6:S6"/>
    </sheetView>
  </sheetViews>
  <sheetFormatPr defaultRowHeight="14.45"/>
  <cols>
    <col min="1" max="1" width="18" customWidth="1"/>
    <col min="2" max="2" width="15" customWidth="1"/>
    <col min="3" max="3" width="12" customWidth="1"/>
    <col min="4" max="4" width="22" customWidth="1"/>
    <col min="5" max="5" width="12" customWidth="1"/>
    <col min="6" max="6" width="31" customWidth="1"/>
    <col min="7" max="7" width="12" customWidth="1"/>
    <col min="8" max="8" width="15" customWidth="1"/>
    <col min="9" max="9" width="19" customWidth="1"/>
    <col min="10" max="10" width="17" customWidth="1"/>
    <col min="11" max="11" width="18" customWidth="1"/>
    <col min="12" max="12" width="22" customWidth="1"/>
    <col min="13" max="13" width="20" customWidth="1"/>
    <col min="14" max="14" width="43" customWidth="1"/>
    <col min="15" max="15" width="15" customWidth="1"/>
    <col min="16" max="16" width="27" customWidth="1"/>
    <col min="17" max="17" width="18" customWidth="1"/>
    <col min="18" max="18" width="32" customWidth="1"/>
    <col min="19" max="19" width="19" customWidth="1"/>
  </cols>
  <sheetData>
    <row r="1" spans="1:19" ht="27.95" customHeight="1">
      <c r="A1" s="62" t="s">
        <v>2138</v>
      </c>
      <c r="B1" s="134"/>
      <c r="C1" s="135"/>
      <c r="D1" s="63" t="s">
        <v>2578</v>
      </c>
      <c r="E1" s="134"/>
      <c r="F1" s="134"/>
      <c r="G1" s="134"/>
      <c r="H1" s="134"/>
      <c r="I1" s="134"/>
      <c r="J1" s="134"/>
      <c r="K1" s="134"/>
      <c r="L1" s="134"/>
      <c r="M1" s="134"/>
      <c r="N1" s="135"/>
      <c r="O1" s="61" t="s">
        <v>244</v>
      </c>
      <c r="P1" s="134"/>
      <c r="Q1" s="134"/>
      <c r="R1" s="134"/>
      <c r="S1" s="135"/>
    </row>
    <row r="2" spans="1:19" ht="27.95" customHeight="1">
      <c r="A2" s="35" t="s">
        <v>187</v>
      </c>
      <c r="B2" s="35" t="s">
        <v>246</v>
      </c>
      <c r="C2" s="35" t="s">
        <v>189</v>
      </c>
      <c r="D2" s="35" t="s">
        <v>190</v>
      </c>
      <c r="E2" s="35" t="s">
        <v>247</v>
      </c>
      <c r="F2" s="35" t="s">
        <v>2140</v>
      </c>
      <c r="G2" s="35" t="s">
        <v>2141</v>
      </c>
      <c r="H2" s="35" t="s">
        <v>251</v>
      </c>
      <c r="I2" s="35" t="s">
        <v>2142</v>
      </c>
      <c r="J2" s="35" t="s">
        <v>2143</v>
      </c>
      <c r="K2" s="35" t="s">
        <v>2144</v>
      </c>
      <c r="L2" s="35" t="s">
        <v>255</v>
      </c>
      <c r="M2" s="35" t="s">
        <v>193</v>
      </c>
      <c r="N2" s="35" t="s">
        <v>256</v>
      </c>
      <c r="O2" s="35" t="s">
        <v>259</v>
      </c>
      <c r="P2" s="35" t="s">
        <v>194</v>
      </c>
      <c r="Q2" s="35" t="s">
        <v>258</v>
      </c>
      <c r="R2" s="35" t="s">
        <v>260</v>
      </c>
      <c r="S2" s="35" t="s">
        <v>261</v>
      </c>
    </row>
    <row r="3" spans="1:19" ht="24" customHeight="1">
      <c r="A3" s="27" t="str">
        <f ca="1">IF(OR(D3&lt;&gt;"", F3&lt;&gt;"", L3&lt;&gt;"", O3&lt;&gt;""), "EVT-2027-" &amp; TEXT(COUNTIF('DT-4 Jan27'!$A$3:$A$503, "EVT*") + COUNTIF('DT-4 Feb27'!$A$3:$A$504, "EVT*") + COUNTIF(OFFSET($A$1, 1, 0, ROW()-2, 1), "EVT*") + 1, "0000"), "")</f>
        <v>EVT-2027-0033</v>
      </c>
      <c r="B3" s="30">
        <v>46447</v>
      </c>
      <c r="C3" s="27" t="s">
        <v>224</v>
      </c>
      <c r="D3" s="27" t="s">
        <v>125</v>
      </c>
      <c r="E3" s="27" t="s">
        <v>228</v>
      </c>
      <c r="F3" s="27" t="s">
        <v>874</v>
      </c>
      <c r="G3" s="10">
        <v>50</v>
      </c>
      <c r="H3" s="36" t="s">
        <v>263</v>
      </c>
      <c r="I3" s="37">
        <v>0.58333333333333337</v>
      </c>
      <c r="J3" s="37">
        <v>0.70833333333333337</v>
      </c>
      <c r="K3" s="27" t="s">
        <v>1445</v>
      </c>
      <c r="L3" s="27" t="s">
        <v>1445</v>
      </c>
      <c r="M3" s="27" t="s">
        <v>2559</v>
      </c>
      <c r="N3" s="27" t="s">
        <v>2560</v>
      </c>
      <c r="O3" s="27"/>
      <c r="P3" s="2" t="s">
        <v>1859</v>
      </c>
      <c r="Q3" s="29" t="s">
        <v>265</v>
      </c>
      <c r="R3" s="27" t="s">
        <v>1673</v>
      </c>
      <c r="S3" s="27" t="s">
        <v>1846</v>
      </c>
    </row>
    <row r="4" spans="1:19" ht="24" customHeight="1">
      <c r="A4" s="27" t="str">
        <f ca="1">IF(OR(D4&lt;&gt;"", F4&lt;&gt;"", L4&lt;&gt;"", O4&lt;&gt;""), "EVT-2027-" &amp; TEXT(COUNTIF('DT-4 Jan27'!$A$3:$A$503, "EVT*") + COUNTIF('DT-4 Feb27'!$A$3:$A$504, "EVT*") + COUNTIF(OFFSET($A$1, 1, 0, ROW()-2, 1), "EVT*") + 1, "0000"), "")</f>
        <v>EVT-2027-0034</v>
      </c>
      <c r="B4" s="30">
        <v>46448</v>
      </c>
      <c r="C4" s="27" t="s">
        <v>227</v>
      </c>
      <c r="D4" s="27" t="s">
        <v>125</v>
      </c>
      <c r="E4" s="27" t="s">
        <v>228</v>
      </c>
      <c r="F4" s="27" t="s">
        <v>874</v>
      </c>
      <c r="G4" s="10">
        <v>50</v>
      </c>
      <c r="H4" s="36" t="s">
        <v>263</v>
      </c>
      <c r="I4" s="37">
        <v>0.58333333333333337</v>
      </c>
      <c r="J4" s="37">
        <v>0.70833333333333337</v>
      </c>
      <c r="K4" s="27" t="s">
        <v>1445</v>
      </c>
      <c r="L4" s="27" t="s">
        <v>1445</v>
      </c>
      <c r="M4" s="27" t="s">
        <v>2559</v>
      </c>
      <c r="N4" s="27" t="s">
        <v>2560</v>
      </c>
      <c r="O4" s="27"/>
      <c r="P4" s="2" t="s">
        <v>1859</v>
      </c>
      <c r="Q4" s="29" t="s">
        <v>265</v>
      </c>
      <c r="R4" s="27" t="s">
        <v>1673</v>
      </c>
      <c r="S4" s="27" t="s">
        <v>1846</v>
      </c>
    </row>
    <row r="5" spans="1:19" ht="24" customHeight="1">
      <c r="A5" s="27" t="str">
        <f ca="1">IF(OR(D5&lt;&gt;"", F5&lt;&gt;"", L5&lt;&gt;"", O5&lt;&gt;""), "EVT-2027-" &amp; TEXT(COUNTIF('DT-4 Jan27'!$A$3:$A$503, "EVT*") + COUNTIF('DT-4 Feb27'!$A$3:$A$504, "EVT*") + COUNTIF(OFFSET($A$1, 1, 0, ROW()-2, 1), "EVT*") + 1, "0000"), "")</f>
        <v>EVT-2027-0035</v>
      </c>
      <c r="B5" s="30">
        <v>46448</v>
      </c>
      <c r="C5" s="27" t="s">
        <v>227</v>
      </c>
      <c r="D5" s="27" t="s">
        <v>1366</v>
      </c>
      <c r="E5" s="27" t="s">
        <v>208</v>
      </c>
      <c r="F5" s="27" t="s">
        <v>217</v>
      </c>
      <c r="G5" s="10">
        <v>50</v>
      </c>
      <c r="H5" s="36" t="s">
        <v>263</v>
      </c>
      <c r="I5" s="37" t="s">
        <v>309</v>
      </c>
      <c r="J5" s="37" t="s">
        <v>296</v>
      </c>
      <c r="K5" s="27"/>
      <c r="L5" s="27"/>
      <c r="M5" s="27" t="s">
        <v>2559</v>
      </c>
      <c r="N5" s="27" t="s">
        <v>2560</v>
      </c>
      <c r="O5" s="27"/>
      <c r="P5" s="2" t="s">
        <v>1859</v>
      </c>
      <c r="Q5" s="29" t="s">
        <v>265</v>
      </c>
      <c r="R5" s="27" t="s">
        <v>2384</v>
      </c>
      <c r="S5" s="27" t="s">
        <v>1846</v>
      </c>
    </row>
    <row r="6" spans="1:19" ht="24" customHeight="1">
      <c r="A6" s="27" t="str">
        <f ca="1">IF(OR(D6&lt;&gt;"", F6&lt;&gt;"", L6&lt;&gt;"", O6&lt;&gt;""), "EVT-2027-" &amp; TEXT(COUNTIF('DT-4 Jan27'!$A$3:$A$503, "EVT*") + COUNTIF('DT-4 Feb27'!$A$3:$A$504, "EVT*") + COUNTIF(OFFSET($A$1, 1, 0, ROW()-2, 1), "EVT*") + 1, "0000"), "")</f>
        <v>EVT-2027-0036</v>
      </c>
      <c r="B6" s="30">
        <v>46449</v>
      </c>
      <c r="C6" s="27" t="s">
        <v>201</v>
      </c>
      <c r="D6" s="27" t="s">
        <v>1366</v>
      </c>
      <c r="E6" s="27" t="s">
        <v>208</v>
      </c>
      <c r="F6" s="27" t="s">
        <v>217</v>
      </c>
      <c r="G6" s="10">
        <v>50</v>
      </c>
      <c r="H6" s="36" t="s">
        <v>263</v>
      </c>
      <c r="I6" s="37" t="s">
        <v>309</v>
      </c>
      <c r="J6" s="37" t="s">
        <v>296</v>
      </c>
      <c r="K6" s="27"/>
      <c r="L6" s="27"/>
      <c r="M6" s="27" t="s">
        <v>2559</v>
      </c>
      <c r="N6" s="27" t="s">
        <v>2560</v>
      </c>
      <c r="O6" s="27"/>
      <c r="P6" s="2" t="s">
        <v>1859</v>
      </c>
      <c r="Q6" s="29" t="s">
        <v>265</v>
      </c>
      <c r="R6" s="27" t="s">
        <v>2384</v>
      </c>
      <c r="S6" s="27" t="s">
        <v>1846</v>
      </c>
    </row>
    <row r="7" spans="1:19" ht="24" customHeight="1">
      <c r="A7" s="27" t="str">
        <f ca="1">IF(OR(D7&lt;&gt;"", F7&lt;&gt;"", L7&lt;&gt;"", O7&lt;&gt;""), "EVT-2027-" &amp; TEXT(COUNTIF('DT-4 Jan27'!$A$3:$A$503, "EVT*") + COUNTIF('DT-4 Feb27'!$A$3:$A$504, "EVT*") + COUNTIF(OFFSET($A$1, 1, 0, ROW()-2, 1), "EVT*") + 1, "0000"), "")</f>
        <v>EVT-2027-0037</v>
      </c>
      <c r="B7" s="30">
        <v>46449</v>
      </c>
      <c r="C7" s="27" t="s">
        <v>201</v>
      </c>
      <c r="D7" s="27" t="s">
        <v>125</v>
      </c>
      <c r="E7" s="27" t="s">
        <v>228</v>
      </c>
      <c r="F7" s="27" t="s">
        <v>874</v>
      </c>
      <c r="G7" s="10">
        <v>50</v>
      </c>
      <c r="H7" s="36" t="s">
        <v>263</v>
      </c>
      <c r="I7" s="37">
        <v>0.58333333333333337</v>
      </c>
      <c r="J7" s="37">
        <v>0.70833333333333337</v>
      </c>
      <c r="K7" s="27" t="s">
        <v>1445</v>
      </c>
      <c r="L7" s="27" t="s">
        <v>1445</v>
      </c>
      <c r="M7" s="27" t="s">
        <v>2559</v>
      </c>
      <c r="N7" s="27" t="s">
        <v>2560</v>
      </c>
      <c r="O7" s="27"/>
      <c r="P7" s="2" t="s">
        <v>1859</v>
      </c>
      <c r="Q7" s="29" t="s">
        <v>265</v>
      </c>
      <c r="R7" s="27" t="s">
        <v>1673</v>
      </c>
      <c r="S7" s="27" t="s">
        <v>1846</v>
      </c>
    </row>
    <row r="8" spans="1:19" ht="24" customHeight="1">
      <c r="A8" s="27" t="str">
        <f ca="1">IF(OR(D8&lt;&gt;"", F8&lt;&gt;"", L8&lt;&gt;"", O8&lt;&gt;""), "EVT-2027-" &amp; TEXT(COUNTIF('DT-4 Jan27'!$A$3:$A$503, "EVT*") + COUNTIF('DT-4 Feb27'!$A$3:$A$504, "EVT*") + COUNTIF(OFFSET($A$1, 1, 0, ROW()-2, 1), "EVT*") + 1, "0000"), "")</f>
        <v>EVT-2027-0038</v>
      </c>
      <c r="B8" s="30">
        <v>46450</v>
      </c>
      <c r="C8" s="27" t="s">
        <v>216</v>
      </c>
      <c r="D8" s="27" t="s">
        <v>125</v>
      </c>
      <c r="E8" s="27" t="s">
        <v>228</v>
      </c>
      <c r="F8" s="27" t="s">
        <v>874</v>
      </c>
      <c r="G8" s="10">
        <v>50</v>
      </c>
      <c r="H8" s="36" t="s">
        <v>263</v>
      </c>
      <c r="I8" s="37">
        <v>0.58333333333333337</v>
      </c>
      <c r="J8" s="37">
        <v>0.70833333333333337</v>
      </c>
      <c r="K8" s="27" t="s">
        <v>1445</v>
      </c>
      <c r="L8" s="27" t="s">
        <v>1445</v>
      </c>
      <c r="M8" s="27" t="s">
        <v>2559</v>
      </c>
      <c r="N8" s="27" t="s">
        <v>2560</v>
      </c>
      <c r="O8" s="27"/>
      <c r="P8" s="2" t="s">
        <v>1859</v>
      </c>
      <c r="Q8" s="29" t="s">
        <v>265</v>
      </c>
      <c r="R8" s="27" t="s">
        <v>1673</v>
      </c>
      <c r="S8" s="27" t="s">
        <v>1846</v>
      </c>
    </row>
    <row r="9" spans="1:19" ht="24" customHeight="1">
      <c r="A9" s="27" t="str">
        <f ca="1">IF(OR(D9&lt;&gt;"", F9&lt;&gt;"", L9&lt;&gt;"", O9&lt;&gt;""), "EVT-2027-" &amp; TEXT(COUNTIF('DT-4 Jan27'!$A$3:$A$503, "EVT*") + COUNTIF('DT-4 Feb27'!$A$3:$A$504, "EVT*") + COUNTIF(OFFSET($A$1, 1, 0, ROW()-2, 1), "EVT*") + 1, "0000"), "")</f>
        <v>EVT-2027-0039</v>
      </c>
      <c r="B9" s="30">
        <v>46450</v>
      </c>
      <c r="C9" s="27" t="s">
        <v>216</v>
      </c>
      <c r="D9" s="27" t="s">
        <v>1366</v>
      </c>
      <c r="E9" s="27" t="s">
        <v>208</v>
      </c>
      <c r="F9" s="27" t="s">
        <v>217</v>
      </c>
      <c r="G9" s="10">
        <v>50</v>
      </c>
      <c r="H9" s="36" t="s">
        <v>263</v>
      </c>
      <c r="I9" s="37" t="s">
        <v>309</v>
      </c>
      <c r="J9" s="37" t="s">
        <v>296</v>
      </c>
      <c r="K9" s="27"/>
      <c r="L9" s="27"/>
      <c r="M9" s="27" t="s">
        <v>2559</v>
      </c>
      <c r="N9" s="27" t="s">
        <v>2560</v>
      </c>
      <c r="O9" s="27"/>
      <c r="P9" s="2" t="s">
        <v>1859</v>
      </c>
      <c r="Q9" s="29" t="s">
        <v>265</v>
      </c>
      <c r="R9" s="27" t="s">
        <v>2384</v>
      </c>
      <c r="S9" s="27" t="s">
        <v>1846</v>
      </c>
    </row>
    <row r="10" spans="1:19" ht="24" customHeight="1">
      <c r="A10" s="27" t="str">
        <f ca="1">IF(OR(D10&lt;&gt;"", F10&lt;&gt;"", L10&lt;&gt;"", O10&lt;&gt;""), "EVT-2027-" &amp; TEXT(COUNTIF('DT-4 Jan27'!$A$3:$A$503, "EVT*") + COUNTIF('DT-4 Feb27'!$A$3:$A$504, "EVT*") + COUNTIF(OFFSET($A$1, 1, 0, ROW()-2, 1), "EVT*") + 1, "0000"), "")</f>
        <v/>
      </c>
      <c r="B10" s="30">
        <v>46452</v>
      </c>
      <c r="C10" s="27" t="s">
        <v>266</v>
      </c>
      <c r="D10" s="27"/>
      <c r="E10" s="27"/>
      <c r="F10" s="27"/>
      <c r="G10" s="10"/>
      <c r="H10" s="36" t="s">
        <v>263</v>
      </c>
      <c r="I10" s="37"/>
      <c r="J10" s="37"/>
      <c r="K10" s="27"/>
      <c r="L10" s="27"/>
      <c r="M10" s="27"/>
      <c r="N10" s="27"/>
      <c r="O10" s="27"/>
      <c r="P10" s="2" t="s">
        <v>1859</v>
      </c>
      <c r="Q10" s="29" t="s">
        <v>265</v>
      </c>
      <c r="R10" s="27"/>
      <c r="S10" s="27"/>
    </row>
    <row r="11" spans="1:19" ht="24" customHeight="1">
      <c r="A11" s="27" t="str">
        <f ca="1">IF(OR(D11&lt;&gt;"", F11&lt;&gt;"", L11&lt;&gt;"", O11&lt;&gt;""), "EVT-2027-" &amp; TEXT(COUNTIF('DT-4 Jan27'!$A$3:$A$503, "EVT*") + COUNTIF('DT-4 Feb27'!$A$3:$A$504, "EVT*") + COUNTIF(OFFSET($A$1, 1, 0, ROW()-2, 1), "EVT*") + 1, "0000"), "")</f>
        <v/>
      </c>
      <c r="B11" s="30">
        <v>46453</v>
      </c>
      <c r="C11" s="27" t="s">
        <v>267</v>
      </c>
      <c r="D11" s="27"/>
      <c r="E11" s="27"/>
      <c r="F11" s="27"/>
      <c r="G11" s="10"/>
      <c r="H11" s="36" t="s">
        <v>263</v>
      </c>
      <c r="I11" s="37"/>
      <c r="J11" s="37"/>
      <c r="K11" s="27"/>
      <c r="L11" s="27"/>
      <c r="M11" s="27"/>
      <c r="N11" s="27"/>
      <c r="O11" s="27"/>
      <c r="P11" s="2" t="s">
        <v>1859</v>
      </c>
      <c r="Q11" s="29" t="s">
        <v>265</v>
      </c>
      <c r="R11" s="27"/>
      <c r="S11" s="27"/>
    </row>
    <row r="12" spans="1:19" ht="24" customHeight="1">
      <c r="A12" s="27" t="str">
        <f ca="1">IF(OR(D12&lt;&gt;"", F12&lt;&gt;"", L12&lt;&gt;"", O12&lt;&gt;""), "EVT-2027-" &amp; TEXT(COUNTIF('DT-4 Jan27'!$A$3:$A$503, "EVT*") + COUNTIF('DT-4 Feb27'!$A$3:$A$504, "EVT*") + COUNTIF(OFFSET($A$1, 1, 0, ROW()-2, 1), "EVT*") + 1, "0000"), "")</f>
        <v/>
      </c>
      <c r="B12" s="30">
        <v>46454</v>
      </c>
      <c r="C12" s="27" t="s">
        <v>224</v>
      </c>
      <c r="D12" s="27"/>
      <c r="E12" s="27"/>
      <c r="F12" s="27"/>
      <c r="G12" s="10"/>
      <c r="H12" s="36" t="s">
        <v>263</v>
      </c>
      <c r="I12" s="37"/>
      <c r="J12" s="37"/>
      <c r="K12" s="27"/>
      <c r="L12" s="27"/>
      <c r="M12" s="27"/>
      <c r="N12" s="27"/>
      <c r="O12" s="27"/>
      <c r="P12" s="2" t="s">
        <v>1859</v>
      </c>
      <c r="Q12" s="29" t="s">
        <v>265</v>
      </c>
      <c r="R12" s="27"/>
      <c r="S12" s="27"/>
    </row>
    <row r="13" spans="1:19" ht="24" customHeight="1">
      <c r="A13" s="27" t="str">
        <f ca="1">IF(OR(D13&lt;&gt;"", F13&lt;&gt;"", L13&lt;&gt;"", O13&lt;&gt;""), "EVT-2027-" &amp; TEXT(COUNTIF('DT-4 Jan27'!$A$3:$A$503, "EVT*") + COUNTIF('DT-4 Feb27'!$A$3:$A$504, "EVT*") + COUNTIF(OFFSET($A$1, 1, 0, ROW()-2, 1), "EVT*") + 1, "0000"), "")</f>
        <v>EVT-2027-0040</v>
      </c>
      <c r="B13" s="30">
        <v>46455</v>
      </c>
      <c r="C13" s="27" t="s">
        <v>227</v>
      </c>
      <c r="D13" s="27" t="s">
        <v>1366</v>
      </c>
      <c r="E13" s="27" t="s">
        <v>208</v>
      </c>
      <c r="F13" s="27" t="s">
        <v>217</v>
      </c>
      <c r="G13" s="10">
        <v>50</v>
      </c>
      <c r="H13" s="36" t="s">
        <v>263</v>
      </c>
      <c r="I13" s="37" t="s">
        <v>309</v>
      </c>
      <c r="J13" s="37" t="s">
        <v>296</v>
      </c>
      <c r="K13" s="27"/>
      <c r="L13" s="27"/>
      <c r="M13" s="27" t="s">
        <v>2559</v>
      </c>
      <c r="N13" s="27" t="s">
        <v>2560</v>
      </c>
      <c r="O13" s="27"/>
      <c r="P13" s="2" t="s">
        <v>1859</v>
      </c>
      <c r="Q13" s="29" t="s">
        <v>265</v>
      </c>
      <c r="R13" s="27" t="s">
        <v>2384</v>
      </c>
      <c r="S13" s="27" t="s">
        <v>1846</v>
      </c>
    </row>
    <row r="14" spans="1:19" ht="24" customHeight="1">
      <c r="A14" s="27" t="str">
        <f ca="1">IF(OR(D14&lt;&gt;"", F14&lt;&gt;"", L14&lt;&gt;"", O14&lt;&gt;""), "EVT-2027-" &amp; TEXT(COUNTIF('DT-4 Jan27'!$A$3:$A$503, "EVT*") + COUNTIF('DT-4 Feb27'!$A$3:$A$504, "EVT*") + COUNTIF(OFFSET($A$1, 1, 0, ROW()-2, 1), "EVT*") + 1, "0000"), "")</f>
        <v>EVT-2027-0041</v>
      </c>
      <c r="B14" s="30">
        <v>46456</v>
      </c>
      <c r="C14" s="27" t="s">
        <v>201</v>
      </c>
      <c r="D14" s="27" t="s">
        <v>1366</v>
      </c>
      <c r="E14" s="27" t="s">
        <v>208</v>
      </c>
      <c r="F14" s="27" t="s">
        <v>217</v>
      </c>
      <c r="G14" s="10">
        <v>50</v>
      </c>
      <c r="H14" s="36" t="s">
        <v>263</v>
      </c>
      <c r="I14" s="37" t="s">
        <v>309</v>
      </c>
      <c r="J14" s="37" t="s">
        <v>296</v>
      </c>
      <c r="K14" s="27"/>
      <c r="L14" s="27"/>
      <c r="M14" s="27" t="s">
        <v>2559</v>
      </c>
      <c r="N14" s="27" t="s">
        <v>2560</v>
      </c>
      <c r="O14" s="27"/>
      <c r="P14" s="2" t="s">
        <v>1859</v>
      </c>
      <c r="Q14" s="29" t="s">
        <v>265</v>
      </c>
      <c r="R14" s="27" t="s">
        <v>2384</v>
      </c>
      <c r="S14" s="27" t="s">
        <v>1846</v>
      </c>
    </row>
    <row r="15" spans="1:19" ht="24" customHeight="1">
      <c r="A15" s="27" t="str">
        <f ca="1">IF(OR(D15&lt;&gt;"", F15&lt;&gt;"", L15&lt;&gt;"", O15&lt;&gt;""), "EVT-2027-" &amp; TEXT(COUNTIF('DT-4 Jan27'!$A$3:$A$503, "EVT*") + COUNTIF('DT-4 Feb27'!$A$3:$A$504, "EVT*") + COUNTIF(OFFSET($A$1, 1, 0, ROW()-2, 1), "EVT*") + 1, "0000"), "")</f>
        <v>EVT-2027-0042</v>
      </c>
      <c r="B15" s="30">
        <v>46457</v>
      </c>
      <c r="C15" s="27" t="s">
        <v>216</v>
      </c>
      <c r="D15" s="27" t="s">
        <v>1366</v>
      </c>
      <c r="E15" s="27" t="s">
        <v>208</v>
      </c>
      <c r="F15" s="27" t="s">
        <v>217</v>
      </c>
      <c r="G15" s="10">
        <v>50</v>
      </c>
      <c r="H15" s="36" t="s">
        <v>263</v>
      </c>
      <c r="I15" s="37" t="s">
        <v>309</v>
      </c>
      <c r="J15" s="37" t="s">
        <v>296</v>
      </c>
      <c r="K15" s="27"/>
      <c r="L15" s="27"/>
      <c r="M15" s="27" t="s">
        <v>2559</v>
      </c>
      <c r="N15" s="27" t="s">
        <v>2560</v>
      </c>
      <c r="O15" s="27"/>
      <c r="P15" s="2" t="s">
        <v>1859</v>
      </c>
      <c r="Q15" s="29" t="s">
        <v>265</v>
      </c>
      <c r="R15" s="27" t="s">
        <v>2384</v>
      </c>
      <c r="S15" s="27" t="s">
        <v>1846</v>
      </c>
    </row>
    <row r="16" spans="1:19" ht="24" customHeight="1">
      <c r="A16" s="27" t="str">
        <f ca="1">IF(OR(D16&lt;&gt;"", F16&lt;&gt;"", L16&lt;&gt;"", O16&lt;&gt;""), "EVT-2027-" &amp; TEXT(COUNTIF('DT-4 Jan27'!$A$3:$A$503, "EVT*") + COUNTIF('DT-4 Feb27'!$A$3:$A$504, "EVT*") + COUNTIF(OFFSET($A$1, 1, 0, ROW()-2, 1), "EVT*") + 1, "0000"), "")</f>
        <v/>
      </c>
      <c r="B16" s="30">
        <v>46458</v>
      </c>
      <c r="C16" s="27" t="s">
        <v>220</v>
      </c>
      <c r="D16" s="27"/>
      <c r="E16" s="27"/>
      <c r="F16" s="27"/>
      <c r="G16" s="10"/>
      <c r="H16" s="36" t="s">
        <v>263</v>
      </c>
      <c r="I16" s="37"/>
      <c r="J16" s="37"/>
      <c r="K16" s="27"/>
      <c r="L16" s="27"/>
      <c r="M16" s="27"/>
      <c r="N16" s="27"/>
      <c r="O16" s="27"/>
      <c r="P16" s="2" t="s">
        <v>1859</v>
      </c>
      <c r="Q16" s="29" t="s">
        <v>265</v>
      </c>
      <c r="R16" s="27"/>
      <c r="S16" s="27"/>
    </row>
    <row r="17" spans="1:19" ht="24" customHeight="1">
      <c r="A17" s="27" t="str">
        <f ca="1">IF(OR(D17&lt;&gt;"", F17&lt;&gt;"", L17&lt;&gt;"", O17&lt;&gt;""), "EVT-2027-" &amp; TEXT(COUNTIF('DT-4 Jan27'!$A$3:$A$503, "EVT*") + COUNTIF('DT-4 Feb27'!$A$3:$A$504, "EVT*") + COUNTIF(OFFSET($A$1, 1, 0, ROW()-2, 1), "EVT*") + 1, "0000"), "")</f>
        <v/>
      </c>
      <c r="B17" s="30">
        <v>46459</v>
      </c>
      <c r="C17" s="27" t="s">
        <v>266</v>
      </c>
      <c r="D17" s="27"/>
      <c r="E17" s="27"/>
      <c r="F17" s="27"/>
      <c r="G17" s="10"/>
      <c r="H17" s="36" t="s">
        <v>263</v>
      </c>
      <c r="I17" s="37"/>
      <c r="J17" s="37"/>
      <c r="K17" s="27"/>
      <c r="L17" s="27"/>
      <c r="M17" s="27"/>
      <c r="N17" s="27"/>
      <c r="O17" s="27"/>
      <c r="P17" s="2" t="s">
        <v>1859</v>
      </c>
      <c r="Q17" s="29" t="s">
        <v>265</v>
      </c>
      <c r="R17" s="27"/>
      <c r="S17" s="27"/>
    </row>
    <row r="18" spans="1:19" ht="24" customHeight="1">
      <c r="A18" s="27" t="str">
        <f ca="1">IF(OR(D18&lt;&gt;"", F18&lt;&gt;"", L18&lt;&gt;"", O18&lt;&gt;""), "EVT-2027-" &amp; TEXT(COUNTIF('DT-4 Jan27'!$A$3:$A$503, "EVT*") + COUNTIF('DT-4 Feb27'!$A$3:$A$504, "EVT*") + COUNTIF(OFFSET($A$1, 1, 0, ROW()-2, 1), "EVT*") + 1, "0000"), "")</f>
        <v/>
      </c>
      <c r="B18" s="30">
        <v>46460</v>
      </c>
      <c r="C18" s="27" t="s">
        <v>267</v>
      </c>
      <c r="D18" s="27"/>
      <c r="E18" s="27"/>
      <c r="F18" s="27"/>
      <c r="G18" s="10"/>
      <c r="H18" s="36" t="s">
        <v>263</v>
      </c>
      <c r="I18" s="37"/>
      <c r="J18" s="37"/>
      <c r="K18" s="27"/>
      <c r="L18" s="27"/>
      <c r="M18" s="27"/>
      <c r="N18" s="27"/>
      <c r="O18" s="27"/>
      <c r="P18" s="2" t="s">
        <v>1859</v>
      </c>
      <c r="Q18" s="29" t="s">
        <v>265</v>
      </c>
      <c r="R18" s="27"/>
      <c r="S18" s="27"/>
    </row>
    <row r="19" spans="1:19" ht="24" customHeight="1">
      <c r="A19" s="27" t="str">
        <f ca="1">IF(OR(D19&lt;&gt;"", F19&lt;&gt;"", L19&lt;&gt;"", O19&lt;&gt;""), "EVT-2027-" &amp; TEXT(COUNTIF('DT-4 Jan27'!$A$3:$A$503, "EVT*") + COUNTIF('DT-4 Feb27'!$A$3:$A$504, "EVT*") + COUNTIF(OFFSET($A$1, 1, 0, ROW()-2, 1), "EVT*") + 1, "0000"), "")</f>
        <v/>
      </c>
      <c r="B19" s="30">
        <v>46461</v>
      </c>
      <c r="C19" s="27" t="s">
        <v>224</v>
      </c>
      <c r="D19" s="27"/>
      <c r="E19" s="27"/>
      <c r="F19" s="27"/>
      <c r="G19" s="10"/>
      <c r="H19" s="36" t="s">
        <v>263</v>
      </c>
      <c r="I19" s="37"/>
      <c r="J19" s="37"/>
      <c r="K19" s="27"/>
      <c r="L19" s="27"/>
      <c r="M19" s="27"/>
      <c r="N19" s="27"/>
      <c r="O19" s="27"/>
      <c r="P19" s="2" t="s">
        <v>1859</v>
      </c>
      <c r="Q19" s="29" t="s">
        <v>265</v>
      </c>
      <c r="R19" s="27"/>
      <c r="S19" s="27"/>
    </row>
    <row r="20" spans="1:19" ht="24" customHeight="1">
      <c r="A20" s="27" t="str">
        <f ca="1">IF(OR(D20&lt;&gt;"", F20&lt;&gt;"", L20&lt;&gt;"", O20&lt;&gt;""), "EVT-2027-" &amp; TEXT(COUNTIF('DT-4 Jan27'!$A$3:$A$503, "EVT*") + COUNTIF('DT-4 Feb27'!$A$3:$A$504, "EVT*") + COUNTIF(OFFSET($A$1, 1, 0, ROW()-2, 1), "EVT*") + 1, "0000"), "")</f>
        <v>EVT-2027-0043</v>
      </c>
      <c r="B20" s="30">
        <v>46462</v>
      </c>
      <c r="C20" s="27" t="s">
        <v>227</v>
      </c>
      <c r="D20" s="27" t="s">
        <v>1366</v>
      </c>
      <c r="E20" s="27" t="s">
        <v>208</v>
      </c>
      <c r="F20" s="27" t="s">
        <v>217</v>
      </c>
      <c r="G20" s="10">
        <v>50</v>
      </c>
      <c r="H20" s="36" t="s">
        <v>263</v>
      </c>
      <c r="I20" s="37" t="s">
        <v>309</v>
      </c>
      <c r="J20" s="37" t="s">
        <v>296</v>
      </c>
      <c r="K20" s="27"/>
      <c r="L20" s="27"/>
      <c r="M20" s="27" t="s">
        <v>2559</v>
      </c>
      <c r="N20" s="27" t="s">
        <v>2560</v>
      </c>
      <c r="O20" s="27"/>
      <c r="P20" s="2" t="s">
        <v>1859</v>
      </c>
      <c r="Q20" s="29" t="s">
        <v>265</v>
      </c>
      <c r="R20" s="27" t="s">
        <v>2384</v>
      </c>
      <c r="S20" s="27" t="s">
        <v>1846</v>
      </c>
    </row>
    <row r="21" spans="1:19" ht="24" customHeight="1">
      <c r="A21" s="27" t="str">
        <f ca="1">IF(OR(D21&lt;&gt;"", F21&lt;&gt;"", L21&lt;&gt;"", O21&lt;&gt;""), "EVT-2027-" &amp; TEXT(COUNTIF('DT-4 Jan27'!$A$3:$A$503, "EVT*") + COUNTIF('DT-4 Feb27'!$A$3:$A$504, "EVT*") + COUNTIF(OFFSET($A$1, 1, 0, ROW()-2, 1), "EVT*") + 1, "0000"), "")</f>
        <v>EVT-2027-0044</v>
      </c>
      <c r="B21" s="30">
        <v>46463</v>
      </c>
      <c r="C21" s="27" t="s">
        <v>201</v>
      </c>
      <c r="D21" s="27" t="s">
        <v>1366</v>
      </c>
      <c r="E21" s="27" t="s">
        <v>208</v>
      </c>
      <c r="F21" s="27" t="s">
        <v>217</v>
      </c>
      <c r="G21" s="10">
        <v>50</v>
      </c>
      <c r="H21" s="36" t="s">
        <v>263</v>
      </c>
      <c r="I21" s="37" t="s">
        <v>309</v>
      </c>
      <c r="J21" s="37" t="s">
        <v>296</v>
      </c>
      <c r="K21" s="27"/>
      <c r="L21" s="27"/>
      <c r="M21" s="27" t="s">
        <v>2559</v>
      </c>
      <c r="N21" s="27" t="s">
        <v>2560</v>
      </c>
      <c r="O21" s="27"/>
      <c r="P21" s="2" t="s">
        <v>1859</v>
      </c>
      <c r="Q21" s="29" t="s">
        <v>265</v>
      </c>
      <c r="R21" s="27" t="s">
        <v>2384</v>
      </c>
      <c r="S21" s="27" t="s">
        <v>1846</v>
      </c>
    </row>
    <row r="22" spans="1:19" ht="24" customHeight="1">
      <c r="A22" s="27" t="str">
        <f ca="1">IF(OR(D22&lt;&gt;"", F22&lt;&gt;"", L22&lt;&gt;"", O22&lt;&gt;""), "EVT-2027-" &amp; TEXT(COUNTIF('DT-4 Jan27'!$A$3:$A$503, "EVT*") + COUNTIF('DT-4 Feb27'!$A$3:$A$504, "EVT*") + COUNTIF(OFFSET($A$1, 1, 0, ROW()-2, 1), "EVT*") + 1, "0000"), "")</f>
        <v>EVT-2027-0045</v>
      </c>
      <c r="B22" s="30">
        <v>46464</v>
      </c>
      <c r="C22" s="27" t="s">
        <v>216</v>
      </c>
      <c r="D22" s="27" t="s">
        <v>1366</v>
      </c>
      <c r="E22" s="27" t="s">
        <v>208</v>
      </c>
      <c r="F22" s="27" t="s">
        <v>217</v>
      </c>
      <c r="G22" s="10">
        <v>50</v>
      </c>
      <c r="H22" s="36" t="s">
        <v>263</v>
      </c>
      <c r="I22" s="37" t="s">
        <v>309</v>
      </c>
      <c r="J22" s="37" t="s">
        <v>296</v>
      </c>
      <c r="K22" s="27"/>
      <c r="L22" s="27"/>
      <c r="M22" s="27" t="s">
        <v>2559</v>
      </c>
      <c r="N22" s="27" t="s">
        <v>2560</v>
      </c>
      <c r="O22" s="27"/>
      <c r="P22" s="2" t="s">
        <v>1859</v>
      </c>
      <c r="Q22" s="29" t="s">
        <v>265</v>
      </c>
      <c r="R22" s="27" t="s">
        <v>2384</v>
      </c>
      <c r="S22" s="27" t="s">
        <v>1846</v>
      </c>
    </row>
    <row r="23" spans="1:19" ht="24" customHeight="1">
      <c r="A23" s="27" t="str">
        <f ca="1">IF(OR(D23&lt;&gt;"", F23&lt;&gt;"", L23&lt;&gt;"", O23&lt;&gt;""), "EVT-2027-" &amp; TEXT(COUNTIF('DT-4 Jan27'!$A$3:$A$503, "EVT*") + COUNTIF('DT-4 Feb27'!$A$3:$A$504, "EVT*") + COUNTIF(OFFSET($A$1, 1, 0, ROW()-2, 1), "EVT*") + 1, "0000"), "")</f>
        <v/>
      </c>
      <c r="B23" s="30">
        <v>46465</v>
      </c>
      <c r="C23" s="27" t="s">
        <v>220</v>
      </c>
      <c r="D23" s="27"/>
      <c r="E23" s="27"/>
      <c r="F23" s="27"/>
      <c r="G23" s="10"/>
      <c r="H23" s="36" t="s">
        <v>263</v>
      </c>
      <c r="I23" s="37"/>
      <c r="J23" s="37"/>
      <c r="K23" s="27"/>
      <c r="L23" s="27"/>
      <c r="M23" s="27"/>
      <c r="N23" s="27"/>
      <c r="O23" s="27"/>
      <c r="P23" s="2" t="s">
        <v>1859</v>
      </c>
      <c r="Q23" s="29" t="s">
        <v>265</v>
      </c>
      <c r="R23" s="27"/>
      <c r="S23" s="27"/>
    </row>
    <row r="24" spans="1:19" ht="24" customHeight="1">
      <c r="A24" s="27" t="str">
        <f ca="1">IF(OR(D24&lt;&gt;"", F24&lt;&gt;"", L24&lt;&gt;"", O24&lt;&gt;""), "EVT-2027-" &amp; TEXT(COUNTIF('DT-4 Jan27'!$A$3:$A$503, "EVT*") + COUNTIF('DT-4 Feb27'!$A$3:$A$504, "EVT*") + COUNTIF(OFFSET($A$1, 1, 0, ROW()-2, 1), "EVT*") + 1, "0000"), "")</f>
        <v/>
      </c>
      <c r="B24" s="30">
        <v>46466</v>
      </c>
      <c r="C24" s="27" t="s">
        <v>266</v>
      </c>
      <c r="D24" s="27"/>
      <c r="E24" s="27"/>
      <c r="F24" s="27"/>
      <c r="G24" s="10"/>
      <c r="H24" s="36" t="s">
        <v>263</v>
      </c>
      <c r="I24" s="37"/>
      <c r="J24" s="37"/>
      <c r="K24" s="27"/>
      <c r="L24" s="27"/>
      <c r="M24" s="27"/>
      <c r="N24" s="27"/>
      <c r="O24" s="27"/>
      <c r="P24" s="2" t="s">
        <v>1859</v>
      </c>
      <c r="Q24" s="29" t="s">
        <v>265</v>
      </c>
      <c r="R24" s="27"/>
      <c r="S24" s="27"/>
    </row>
    <row r="25" spans="1:19" ht="24" customHeight="1">
      <c r="A25" s="27" t="str">
        <f ca="1">IF(OR(D25&lt;&gt;"", F25&lt;&gt;"", L25&lt;&gt;"", O25&lt;&gt;""), "EVT-2027-" &amp; TEXT(COUNTIF('DT-4 Jan27'!$A$3:$A$503, "EVT*") + COUNTIF('DT-4 Feb27'!$A$3:$A$504, "EVT*") + COUNTIF(OFFSET($A$1, 1, 0, ROW()-2, 1), "EVT*") + 1, "0000"), "")</f>
        <v/>
      </c>
      <c r="B25" s="30">
        <v>46467</v>
      </c>
      <c r="C25" s="27" t="s">
        <v>267</v>
      </c>
      <c r="D25" s="27"/>
      <c r="E25" s="27"/>
      <c r="F25" s="27"/>
      <c r="G25" s="10"/>
      <c r="H25" s="36" t="s">
        <v>263</v>
      </c>
      <c r="I25" s="37"/>
      <c r="J25" s="37"/>
      <c r="K25" s="27"/>
      <c r="L25" s="27"/>
      <c r="M25" s="27"/>
      <c r="N25" s="27"/>
      <c r="O25" s="27"/>
      <c r="P25" s="2" t="s">
        <v>1859</v>
      </c>
      <c r="Q25" s="29" t="s">
        <v>265</v>
      </c>
      <c r="R25" s="27"/>
      <c r="S25" s="27"/>
    </row>
    <row r="26" spans="1:19" ht="24" customHeight="1">
      <c r="A26" s="27" t="str">
        <f ca="1">IF(OR(D26&lt;&gt;"", F26&lt;&gt;"", L26&lt;&gt;"", O26&lt;&gt;""), "EVT-2027-" &amp; TEXT(COUNTIF('DT-4 Jan27'!$A$3:$A$503, "EVT*") + COUNTIF('DT-4 Feb27'!$A$3:$A$504, "EVT*") + COUNTIF(OFFSET($A$1, 1, 0, ROW()-2, 1), "EVT*") + 1, "0000"), "")</f>
        <v/>
      </c>
      <c r="B26" s="30">
        <v>46468</v>
      </c>
      <c r="C26" s="27" t="s">
        <v>224</v>
      </c>
      <c r="D26" s="27"/>
      <c r="E26" s="27"/>
      <c r="F26" s="27"/>
      <c r="G26" s="10"/>
      <c r="H26" s="36" t="s">
        <v>263</v>
      </c>
      <c r="I26" s="37"/>
      <c r="J26" s="37"/>
      <c r="K26" s="27"/>
      <c r="L26" s="27"/>
      <c r="M26" s="27"/>
      <c r="N26" s="27"/>
      <c r="O26" s="27"/>
      <c r="P26" s="2" t="s">
        <v>1859</v>
      </c>
      <c r="Q26" s="29" t="s">
        <v>265</v>
      </c>
      <c r="R26" s="27"/>
      <c r="S26" s="27"/>
    </row>
    <row r="27" spans="1:19" ht="24" customHeight="1">
      <c r="A27" s="27" t="str">
        <f ca="1">IF(OR(D27&lt;&gt;"", F27&lt;&gt;"", L27&lt;&gt;"", O27&lt;&gt;""), "EVT-2027-" &amp; TEXT(COUNTIF('DT-4 Jan27'!$A$3:$A$503, "EVT*") + COUNTIF('DT-4 Feb27'!$A$3:$A$504, "EVT*") + COUNTIF(OFFSET($A$1, 1, 0, ROW()-2, 1), "EVT*") + 1, "0000"), "")</f>
        <v>EVT-2027-0046</v>
      </c>
      <c r="B27" s="30">
        <v>46469</v>
      </c>
      <c r="C27" s="27" t="s">
        <v>227</v>
      </c>
      <c r="D27" s="27" t="s">
        <v>1366</v>
      </c>
      <c r="E27" s="27" t="s">
        <v>208</v>
      </c>
      <c r="F27" s="27" t="s">
        <v>217</v>
      </c>
      <c r="G27" s="10">
        <v>50</v>
      </c>
      <c r="H27" s="36" t="s">
        <v>263</v>
      </c>
      <c r="I27" s="37" t="s">
        <v>309</v>
      </c>
      <c r="J27" s="37" t="s">
        <v>296</v>
      </c>
      <c r="K27" s="27"/>
      <c r="L27" s="27"/>
      <c r="M27" s="27" t="s">
        <v>2559</v>
      </c>
      <c r="N27" s="27" t="s">
        <v>2560</v>
      </c>
      <c r="O27" s="27"/>
      <c r="P27" s="2" t="s">
        <v>1859</v>
      </c>
      <c r="Q27" s="29" t="s">
        <v>265</v>
      </c>
      <c r="R27" s="27" t="s">
        <v>2384</v>
      </c>
      <c r="S27" s="27" t="s">
        <v>1846</v>
      </c>
    </row>
    <row r="28" spans="1:19" ht="24" customHeight="1">
      <c r="A28" s="27" t="str">
        <f ca="1">IF(OR(D28&lt;&gt;"", F28&lt;&gt;"", L28&lt;&gt;"", O28&lt;&gt;""), "EVT-2027-" &amp; TEXT(COUNTIF('DT-4 Jan27'!$A$3:$A$503, "EVT*") + COUNTIF('DT-4 Feb27'!$A$3:$A$504, "EVT*") + COUNTIF(OFFSET($A$1, 1, 0, ROW()-2, 1), "EVT*") + 1, "0000"), "")</f>
        <v>EVT-2027-0047</v>
      </c>
      <c r="B28" s="30">
        <v>46470</v>
      </c>
      <c r="C28" s="27" t="s">
        <v>201</v>
      </c>
      <c r="D28" s="27" t="s">
        <v>1366</v>
      </c>
      <c r="E28" s="27" t="s">
        <v>208</v>
      </c>
      <c r="F28" s="27" t="s">
        <v>217</v>
      </c>
      <c r="G28" s="10">
        <v>50</v>
      </c>
      <c r="H28" s="36" t="s">
        <v>263</v>
      </c>
      <c r="I28" s="37" t="s">
        <v>309</v>
      </c>
      <c r="J28" s="37" t="s">
        <v>296</v>
      </c>
      <c r="K28" s="27"/>
      <c r="L28" s="27"/>
      <c r="M28" s="27" t="s">
        <v>2559</v>
      </c>
      <c r="N28" s="27" t="s">
        <v>2560</v>
      </c>
      <c r="O28" s="27"/>
      <c r="P28" s="2" t="s">
        <v>1859</v>
      </c>
      <c r="Q28" s="29" t="s">
        <v>265</v>
      </c>
      <c r="R28" s="27" t="s">
        <v>2384</v>
      </c>
      <c r="S28" s="27" t="s">
        <v>1846</v>
      </c>
    </row>
    <row r="29" spans="1:19" ht="24" customHeight="1">
      <c r="A29" s="27" t="str">
        <f ca="1">IF(OR(D29&lt;&gt;"", F29&lt;&gt;"", L29&lt;&gt;"", O29&lt;&gt;""), "EVT-2027-" &amp; TEXT(COUNTIF('DT-4 Jan27'!$A$3:$A$503, "EVT*") + COUNTIF('DT-4 Feb27'!$A$3:$A$504, "EVT*") + COUNTIF(OFFSET($A$1, 1, 0, ROW()-2, 1), "EVT*") + 1, "0000"), "")</f>
        <v>EVT-2027-0048</v>
      </c>
      <c r="B29" s="30">
        <v>46471</v>
      </c>
      <c r="C29" s="27" t="s">
        <v>216</v>
      </c>
      <c r="D29" s="27" t="s">
        <v>1366</v>
      </c>
      <c r="E29" s="27" t="s">
        <v>208</v>
      </c>
      <c r="F29" s="27" t="s">
        <v>217</v>
      </c>
      <c r="G29" s="10">
        <v>50</v>
      </c>
      <c r="H29" s="36" t="s">
        <v>263</v>
      </c>
      <c r="I29" s="37" t="s">
        <v>309</v>
      </c>
      <c r="J29" s="37" t="s">
        <v>296</v>
      </c>
      <c r="K29" s="27"/>
      <c r="L29" s="27"/>
      <c r="M29" s="27" t="s">
        <v>2559</v>
      </c>
      <c r="N29" s="27" t="s">
        <v>2560</v>
      </c>
      <c r="O29" s="27"/>
      <c r="P29" s="2" t="s">
        <v>1859</v>
      </c>
      <c r="Q29" s="29" t="s">
        <v>265</v>
      </c>
      <c r="R29" s="27" t="s">
        <v>2384</v>
      </c>
      <c r="S29" s="27" t="s">
        <v>1846</v>
      </c>
    </row>
    <row r="30" spans="1:19" ht="24" customHeight="1">
      <c r="A30" s="27" t="str">
        <f ca="1">IF(OR(D30&lt;&gt;"", F30&lt;&gt;"", L30&lt;&gt;"", O30&lt;&gt;""), "EVT-2027-" &amp; TEXT(COUNTIF('DT-4 Jan27'!$A$3:$A$503, "EVT*") + COUNTIF('DT-4 Feb27'!$A$3:$A$504, "EVT*") + COUNTIF(OFFSET($A$1, 1, 0, ROW()-2, 1), "EVT*") + 1, "0000"), "")</f>
        <v>EVT-2027-0049</v>
      </c>
      <c r="B30" s="30">
        <v>46472</v>
      </c>
      <c r="C30" s="27" t="s">
        <v>220</v>
      </c>
      <c r="D30" s="27" t="s">
        <v>1512</v>
      </c>
      <c r="E30" s="27" t="s">
        <v>228</v>
      </c>
      <c r="F30" s="27" t="s">
        <v>1801</v>
      </c>
      <c r="G30" s="10">
        <v>50</v>
      </c>
      <c r="H30" s="36" t="s">
        <v>263</v>
      </c>
      <c r="I30" s="37" t="s">
        <v>295</v>
      </c>
      <c r="J30" s="37" t="s">
        <v>270</v>
      </c>
      <c r="K30" s="27" t="s">
        <v>382</v>
      </c>
      <c r="L30" s="27"/>
      <c r="M30" s="27" t="s">
        <v>916</v>
      </c>
      <c r="N30" s="27"/>
      <c r="O30" s="27"/>
      <c r="P30" s="2" t="s">
        <v>1859</v>
      </c>
      <c r="Q30" s="29" t="s">
        <v>265</v>
      </c>
      <c r="R30" s="27" t="s">
        <v>1803</v>
      </c>
      <c r="S30" s="27" t="s">
        <v>1177</v>
      </c>
    </row>
    <row r="31" spans="1:19" ht="24" customHeight="1">
      <c r="A31" s="27" t="str">
        <f ca="1">IF(OR(D31&lt;&gt;"", F31&lt;&gt;"", L31&lt;&gt;"", O31&lt;&gt;""), "EVT-2027-" &amp; TEXT(COUNTIF('DT-4 Jan27'!$A$3:$A$503, "EVT*") + COUNTIF('DT-4 Feb27'!$A$3:$A$504, "EVT*") + COUNTIF(OFFSET($A$1, 1, 0, ROW()-2, 1), "EVT*") + 1, "0000"), "")</f>
        <v/>
      </c>
      <c r="B31" s="30">
        <v>46473</v>
      </c>
      <c r="C31" s="27" t="s">
        <v>266</v>
      </c>
      <c r="D31" s="27"/>
      <c r="E31" s="27"/>
      <c r="F31" s="27"/>
      <c r="G31" s="10"/>
      <c r="H31" s="36" t="s">
        <v>263</v>
      </c>
      <c r="I31" s="37"/>
      <c r="J31" s="37"/>
      <c r="K31" s="27"/>
      <c r="L31" s="27"/>
      <c r="M31" s="27"/>
      <c r="N31" s="27"/>
      <c r="O31" s="27"/>
      <c r="P31" s="2" t="s">
        <v>1859</v>
      </c>
      <c r="Q31" s="29" t="s">
        <v>265</v>
      </c>
      <c r="R31" s="27"/>
      <c r="S31" s="27"/>
    </row>
    <row r="32" spans="1:19" ht="24" customHeight="1">
      <c r="A32" s="27" t="str">
        <f ca="1">IF(OR(D32&lt;&gt;"", F32&lt;&gt;"", L32&lt;&gt;"", O32&lt;&gt;""), "EVT-2027-" &amp; TEXT(COUNTIF('DT-4 Jan27'!$A$3:$A$503, "EVT*") + COUNTIF('DT-4 Feb27'!$A$3:$A$504, "EVT*") + COUNTIF(OFFSET($A$1, 1, 0, ROW()-2, 1), "EVT*") + 1, "0000"), "")</f>
        <v/>
      </c>
      <c r="B32" s="30">
        <v>46474</v>
      </c>
      <c r="C32" s="27" t="s">
        <v>267</v>
      </c>
      <c r="D32" s="27"/>
      <c r="E32" s="27"/>
      <c r="F32" s="27"/>
      <c r="G32" s="10"/>
      <c r="H32" s="36" t="s">
        <v>263</v>
      </c>
      <c r="I32" s="37"/>
      <c r="J32" s="37"/>
      <c r="K32" s="27"/>
      <c r="L32" s="27"/>
      <c r="M32" s="27"/>
      <c r="N32" s="27"/>
      <c r="O32" s="27"/>
      <c r="P32" s="2" t="s">
        <v>1859</v>
      </c>
      <c r="Q32" s="29" t="s">
        <v>265</v>
      </c>
      <c r="R32" s="27"/>
      <c r="S32" s="27"/>
    </row>
    <row r="33" spans="1:19" ht="24" customHeight="1">
      <c r="A33" s="27" t="str">
        <f ca="1">IF(OR(D33&lt;&gt;"", F33&lt;&gt;"", L33&lt;&gt;"", O33&lt;&gt;""), "EVT-2027-" &amp; TEXT(COUNTIF('DT-4 Jan27'!$A$3:$A$503, "EVT*") + COUNTIF('DT-4 Feb27'!$A$3:$A$504, "EVT*") + COUNTIF(OFFSET($A$1, 1, 0, ROW()-2, 1), "EVT*") + 1, "0000"), "")</f>
        <v/>
      </c>
      <c r="B33" s="30">
        <v>46475</v>
      </c>
      <c r="C33" s="27" t="s">
        <v>224</v>
      </c>
      <c r="D33" s="27"/>
      <c r="E33" s="27"/>
      <c r="F33" s="27"/>
      <c r="G33" s="10"/>
      <c r="H33" s="36" t="s">
        <v>263</v>
      </c>
      <c r="I33" s="37"/>
      <c r="J33" s="37"/>
      <c r="K33" s="27"/>
      <c r="L33" s="27"/>
      <c r="M33" s="27"/>
      <c r="N33" s="27"/>
      <c r="O33" s="27"/>
      <c r="P33" s="2" t="s">
        <v>1859</v>
      </c>
      <c r="Q33" s="29" t="s">
        <v>265</v>
      </c>
      <c r="R33" s="27"/>
      <c r="S33" s="27"/>
    </row>
    <row r="34" spans="1:19" ht="24" customHeight="1">
      <c r="A34" s="27" t="str">
        <f ca="1">IF(OR(D34&lt;&gt;"", F34&lt;&gt;"", L34&lt;&gt;"", O34&lt;&gt;""), "EVT-2027-" &amp; TEXT(COUNTIF('DT-4 Jan27'!$A$3:$A$503, "EVT*") + COUNTIF('DT-4 Feb27'!$A$3:$A$504, "EVT*") + COUNTIF(OFFSET($A$1, 1, 0, ROW()-2, 1), "EVT*") + 1, "0000"), "")</f>
        <v>EVT-2027-0050</v>
      </c>
      <c r="B34" s="30">
        <v>46476</v>
      </c>
      <c r="C34" s="27" t="s">
        <v>227</v>
      </c>
      <c r="D34" s="27" t="s">
        <v>1366</v>
      </c>
      <c r="E34" s="27" t="s">
        <v>208</v>
      </c>
      <c r="F34" s="27" t="s">
        <v>217</v>
      </c>
      <c r="G34" s="10">
        <v>50</v>
      </c>
      <c r="H34" s="36" t="s">
        <v>263</v>
      </c>
      <c r="I34" s="37" t="s">
        <v>309</v>
      </c>
      <c r="J34" s="37" t="s">
        <v>296</v>
      </c>
      <c r="K34" s="27"/>
      <c r="L34" s="27"/>
      <c r="M34" s="27" t="s">
        <v>2559</v>
      </c>
      <c r="N34" s="27" t="s">
        <v>2560</v>
      </c>
      <c r="O34" s="27"/>
      <c r="P34" s="2" t="s">
        <v>1859</v>
      </c>
      <c r="Q34" s="29" t="s">
        <v>265</v>
      </c>
      <c r="R34" s="27" t="s">
        <v>2384</v>
      </c>
      <c r="S34" s="27" t="s">
        <v>1846</v>
      </c>
    </row>
    <row r="35" spans="1:19" ht="24" customHeight="1">
      <c r="A35" s="27" t="str">
        <f ca="1">IF(OR(D35&lt;&gt;"", F35&lt;&gt;"", L35&lt;&gt;"", O35&lt;&gt;""), "EVT-2027-" &amp; TEXT(COUNTIF('DT-4 Jan27'!$A$3:$A$503, "EVT*") + COUNTIF('DT-4 Feb27'!$A$3:$A$504, "EVT*") + COUNTIF(OFFSET($A$1, 1, 0, ROW()-2, 1), "EVT*") + 1, "0000"), "")</f>
        <v>EVT-2027-0051</v>
      </c>
      <c r="B35" s="30">
        <v>46477</v>
      </c>
      <c r="C35" s="27" t="s">
        <v>201</v>
      </c>
      <c r="D35" s="27" t="s">
        <v>1366</v>
      </c>
      <c r="E35" s="27" t="s">
        <v>208</v>
      </c>
      <c r="F35" s="27" t="s">
        <v>217</v>
      </c>
      <c r="G35" s="10">
        <v>50</v>
      </c>
      <c r="H35" s="36" t="s">
        <v>263</v>
      </c>
      <c r="I35" s="37" t="s">
        <v>309</v>
      </c>
      <c r="J35" s="37" t="s">
        <v>296</v>
      </c>
      <c r="K35" s="27"/>
      <c r="L35" s="27"/>
      <c r="M35" s="27" t="s">
        <v>2559</v>
      </c>
      <c r="N35" s="27" t="s">
        <v>2560</v>
      </c>
      <c r="O35" s="27"/>
      <c r="P35" s="2" t="s">
        <v>1859</v>
      </c>
      <c r="Q35" s="29" t="s">
        <v>265</v>
      </c>
      <c r="R35" s="27" t="s">
        <v>2384</v>
      </c>
      <c r="S35" s="27" t="s">
        <v>1846</v>
      </c>
    </row>
    <row r="36" spans="1:19" ht="24" customHeight="1">
      <c r="A36" s="27" t="str">
        <f ca="1">IF(OR(D36&lt;&gt;"", F36&lt;&gt;"", L36&lt;&gt;"", O36&lt;&gt;""), "EVT-2027-" &amp; TEXT(COUNTIF('DT-4 Jan27'!$A$3:$A$503, "EVT*") + COUNTIF('DT-4 Feb27'!$A$3:$A$504, "EVT*") + COUNTIF(OFFSET($A$1, 1, 0, ROW()-2, 1), "EVT*") + 1, "0000"), "")</f>
        <v/>
      </c>
      <c r="B36" s="27"/>
      <c r="C36" s="27"/>
      <c r="D36" s="27"/>
      <c r="E36" s="27"/>
      <c r="F36" s="27"/>
      <c r="G36" s="10"/>
      <c r="H36" s="36" t="s">
        <v>263</v>
      </c>
      <c r="I36" s="37"/>
      <c r="J36" s="37"/>
      <c r="K36" s="27"/>
      <c r="L36" s="27"/>
      <c r="M36" s="27"/>
      <c r="N36" s="27"/>
      <c r="O36" s="27"/>
      <c r="P36" s="1" t="s">
        <v>264</v>
      </c>
      <c r="Q36" s="29" t="s">
        <v>265</v>
      </c>
      <c r="R36" s="27"/>
      <c r="S36" s="27"/>
    </row>
    <row r="37" spans="1:19" ht="24" customHeight="1">
      <c r="A37" s="27" t="str">
        <f ca="1">IF(OR(D37&lt;&gt;"", F37&lt;&gt;"", L37&lt;&gt;"", O37&lt;&gt;""), "EVT-2027-" &amp; TEXT(COUNTIF('DT-4 Jan27'!$A$3:$A$503, "EVT*") + COUNTIF('DT-4 Feb27'!$A$3:$A$504, "EVT*") + COUNTIF(OFFSET($A$1, 1, 0, ROW()-2, 1), "EVT*") + 1, "0000"), "")</f>
        <v/>
      </c>
      <c r="B37" s="27"/>
      <c r="C37" s="27"/>
      <c r="D37" s="27"/>
      <c r="E37" s="27"/>
      <c r="F37" s="27"/>
      <c r="G37" s="10"/>
      <c r="H37" s="36" t="s">
        <v>263</v>
      </c>
      <c r="I37" s="37"/>
      <c r="J37" s="37"/>
      <c r="K37" s="27"/>
      <c r="L37" s="27"/>
      <c r="M37" s="27"/>
      <c r="N37" s="27"/>
      <c r="O37" s="27"/>
      <c r="P37" s="1" t="s">
        <v>264</v>
      </c>
      <c r="Q37" s="29" t="s">
        <v>265</v>
      </c>
      <c r="R37" s="27"/>
      <c r="S37" s="27"/>
    </row>
    <row r="38" spans="1:19" ht="24" customHeight="1">
      <c r="A38" s="27" t="str">
        <f ca="1">IF(OR(D38&lt;&gt;"", F38&lt;&gt;"", L38&lt;&gt;"", O38&lt;&gt;""), "EVT-2027-" &amp; TEXT(COUNTIF('DT-4 Jan27'!$A$3:$A$503, "EVT*") + COUNTIF('DT-4 Feb27'!$A$3:$A$504, "EVT*") + COUNTIF(OFFSET($A$1, 1, 0, ROW()-2, 1), "EVT*") + 1, "0000"), "")</f>
        <v/>
      </c>
      <c r="B38" s="27"/>
      <c r="C38" s="27"/>
      <c r="D38" s="27"/>
      <c r="E38" s="27"/>
      <c r="F38" s="27"/>
      <c r="G38" s="10"/>
      <c r="H38" s="36" t="s">
        <v>263</v>
      </c>
      <c r="I38" s="37"/>
      <c r="J38" s="37"/>
      <c r="K38" s="27"/>
      <c r="L38" s="27"/>
      <c r="M38" s="27"/>
      <c r="N38" s="27"/>
      <c r="O38" s="27"/>
      <c r="P38" s="1" t="s">
        <v>264</v>
      </c>
      <c r="Q38" s="29" t="s">
        <v>265</v>
      </c>
      <c r="R38" s="27"/>
      <c r="S38" s="27"/>
    </row>
    <row r="39" spans="1:19" ht="24" customHeight="1">
      <c r="A39" s="27" t="str">
        <f ca="1">IF(OR(D39&lt;&gt;"", F39&lt;&gt;"", L39&lt;&gt;"", O39&lt;&gt;""), "EVT-2027-" &amp; TEXT(COUNTIF('DT-4 Jan27'!$A$3:$A$503, "EVT*") + COUNTIF('DT-4 Feb27'!$A$3:$A$504, "EVT*") + COUNTIF(OFFSET($A$1, 1, 0, ROW()-2, 1), "EVT*") + 1, "0000"), "")</f>
        <v/>
      </c>
      <c r="B39" s="27"/>
      <c r="C39" s="27"/>
      <c r="D39" s="27"/>
      <c r="E39" s="27"/>
      <c r="F39" s="27"/>
      <c r="G39" s="10"/>
      <c r="H39" s="36" t="s">
        <v>263</v>
      </c>
      <c r="I39" s="37"/>
      <c r="J39" s="37"/>
      <c r="K39" s="27"/>
      <c r="L39" s="27"/>
      <c r="M39" s="27"/>
      <c r="N39" s="27"/>
      <c r="O39" s="27"/>
      <c r="P39" s="1" t="s">
        <v>264</v>
      </c>
      <c r="Q39" s="29" t="s">
        <v>265</v>
      </c>
      <c r="R39" s="27"/>
      <c r="S39" s="27"/>
    </row>
    <row r="40" spans="1:19" ht="24" customHeight="1">
      <c r="A40" s="27" t="str">
        <f ca="1">IF(OR(D40&lt;&gt;"", F40&lt;&gt;"", L40&lt;&gt;"", O40&lt;&gt;""), "EVT-2027-" &amp; TEXT(COUNTIF('DT-4 Jan27'!$A$3:$A$503, "EVT*") + COUNTIF('DT-4 Feb27'!$A$3:$A$504, "EVT*") + COUNTIF(OFFSET($A$1, 1, 0, ROW()-2, 1), "EVT*") + 1, "0000"), "")</f>
        <v/>
      </c>
      <c r="B40" s="27"/>
      <c r="C40" s="27"/>
      <c r="D40" s="27"/>
      <c r="E40" s="27"/>
      <c r="F40" s="27"/>
      <c r="G40" s="10"/>
      <c r="H40" s="36" t="s">
        <v>263</v>
      </c>
      <c r="I40" s="37"/>
      <c r="J40" s="37"/>
      <c r="K40" s="27"/>
      <c r="L40" s="27"/>
      <c r="M40" s="27"/>
      <c r="N40" s="27"/>
      <c r="O40" s="27"/>
      <c r="P40" s="1" t="s">
        <v>264</v>
      </c>
      <c r="Q40" s="29" t="s">
        <v>265</v>
      </c>
      <c r="R40" s="27"/>
      <c r="S40" s="27"/>
    </row>
    <row r="41" spans="1:19" ht="24" customHeight="1">
      <c r="A41" s="27" t="str">
        <f ca="1">IF(OR(D41&lt;&gt;"", F41&lt;&gt;"", L41&lt;&gt;"", O41&lt;&gt;""), "EVT-2027-" &amp; TEXT(COUNTIF('DT-4 Jan27'!$A$3:$A$503, "EVT*") + COUNTIF('DT-4 Feb27'!$A$3:$A$504, "EVT*") + COUNTIF(OFFSET($A$1, 1, 0, ROW()-2, 1), "EVT*") + 1, "0000"), "")</f>
        <v/>
      </c>
      <c r="B41" s="27"/>
      <c r="C41" s="27"/>
      <c r="D41" s="27"/>
      <c r="E41" s="27"/>
      <c r="F41" s="27"/>
      <c r="G41" s="10"/>
      <c r="H41" s="36" t="s">
        <v>263</v>
      </c>
      <c r="I41" s="37"/>
      <c r="J41" s="37"/>
      <c r="K41" s="27"/>
      <c r="L41" s="27"/>
      <c r="M41" s="27"/>
      <c r="N41" s="27"/>
      <c r="O41" s="27"/>
      <c r="P41" s="1" t="s">
        <v>264</v>
      </c>
      <c r="Q41" s="29" t="s">
        <v>265</v>
      </c>
      <c r="R41" s="27"/>
      <c r="S41" s="27"/>
    </row>
    <row r="42" spans="1:19" ht="24" customHeight="1">
      <c r="A42" s="27" t="str">
        <f ca="1">IF(OR(D42&lt;&gt;"", F42&lt;&gt;"", L42&lt;&gt;"", O42&lt;&gt;""), "EVT-2027-" &amp; TEXT(COUNTIF('DT-4 Jan27'!$A$3:$A$503, "EVT*") + COUNTIF('DT-4 Feb27'!$A$3:$A$504, "EVT*") + COUNTIF(OFFSET($A$1, 1, 0, ROW()-2, 1), "EVT*") + 1, "0000"), "")</f>
        <v/>
      </c>
      <c r="B42" s="27"/>
      <c r="C42" s="27"/>
      <c r="D42" s="27"/>
      <c r="E42" s="27"/>
      <c r="F42" s="27"/>
      <c r="G42" s="10"/>
      <c r="H42" s="36" t="s">
        <v>263</v>
      </c>
      <c r="I42" s="37"/>
      <c r="J42" s="37"/>
      <c r="K42" s="27"/>
      <c r="L42" s="27"/>
      <c r="M42" s="27"/>
      <c r="N42" s="27"/>
      <c r="O42" s="27"/>
      <c r="P42" s="1" t="s">
        <v>264</v>
      </c>
      <c r="Q42" s="29" t="s">
        <v>265</v>
      </c>
      <c r="R42" s="27"/>
      <c r="S42" s="27"/>
    </row>
    <row r="43" spans="1:19" ht="24" customHeight="1">
      <c r="A43" s="27" t="str">
        <f ca="1">IF(OR(D43&lt;&gt;"", F43&lt;&gt;"", L43&lt;&gt;"", O43&lt;&gt;""), "EVT-2027-" &amp; TEXT(COUNTIF('DT-4 Jan27'!$A$3:$A$503, "EVT*") + COUNTIF('DT-4 Feb27'!$A$3:$A$504, "EVT*") + COUNTIF(OFFSET($A$1, 1, 0, ROW()-2, 1), "EVT*") + 1, "0000"), "")</f>
        <v/>
      </c>
      <c r="B43" s="27"/>
      <c r="C43" s="27"/>
      <c r="D43" s="27"/>
      <c r="E43" s="27"/>
      <c r="F43" s="27"/>
      <c r="G43" s="10"/>
      <c r="H43" s="36" t="s">
        <v>263</v>
      </c>
      <c r="I43" s="37"/>
      <c r="J43" s="37"/>
      <c r="K43" s="27"/>
      <c r="L43" s="27"/>
      <c r="M43" s="27"/>
      <c r="N43" s="27"/>
      <c r="O43" s="27"/>
      <c r="P43" s="1" t="s">
        <v>264</v>
      </c>
      <c r="Q43" s="29" t="s">
        <v>265</v>
      </c>
      <c r="R43" s="27"/>
      <c r="S43" s="27"/>
    </row>
  </sheetData>
  <mergeCells count="3">
    <mergeCell ref="O1:S1"/>
    <mergeCell ref="A1:C1"/>
    <mergeCell ref="D1:N1"/>
  </mergeCells>
  <dataValidations count="4">
    <dataValidation type="list" allowBlank="1" sqref="O36:O503 P36:P43 O3:P35" xr:uid="{00000000-0002-0000-1C00-000000000000}">
      <formula1>"Confirmed (Done),Pending Calendar Booking,Canceled"</formula1>
    </dataValidation>
    <dataValidation type="list" allowBlank="1" sqref="P3:P93" xr:uid="{00000000-0002-0000-1C00-000001000000}">
      <formula1>"Form sent,NA"</formula1>
    </dataValidation>
    <dataValidation type="list" allowBlank="1" sqref="Q3:Q43" xr:uid="{00000000-0002-0000-1C00-000002000000}">
      <formula1>"Form sent,Not Required,NA"</formula1>
    </dataValidation>
    <dataValidation type="list" allowBlank="1" sqref="H3:H43" xr:uid="{00000000-0002-0000-1C00-000003000000}">
      <formula1>"Big Event,Small Event"</formula1>
    </dataValidation>
  </dataValidations>
  <hyperlinks>
    <hyperlink ref="A1" location="'Dashboard'!A1" display="🏠 ⮌ RETURN TO DASHBOARD" xr:uid="{00000000-0004-0000-1C00-000000000000}"/>
    <hyperlink ref="N3" r:id="rId1" xr:uid="{1D825BF5-179F-4CFD-B499-F6A3F2CD8058}"/>
    <hyperlink ref="N4" r:id="rId2" xr:uid="{D0BA1B05-9F25-4369-9CE6-7BC2C6279E5F}"/>
    <hyperlink ref="N7" r:id="rId3" xr:uid="{6181BDBC-FF1D-499E-A177-2E91D3669A8F}"/>
    <hyperlink ref="N8" r:id="rId4" xr:uid="{B9D48FE5-54AA-43FC-873D-6C6B526CB52C}"/>
    <hyperlink ref="N13" r:id="rId5" xr:uid="{2968003E-0C2A-4E4D-B105-DA72B769D57D}"/>
    <hyperlink ref="N14" r:id="rId6" xr:uid="{5C2B53B9-78F2-4DDD-93CA-E70C3C221135}"/>
    <hyperlink ref="N15" r:id="rId7" xr:uid="{2C8BBF52-8E6D-488D-9584-0397FB47B922}"/>
    <hyperlink ref="N20" r:id="rId8" xr:uid="{E23BB073-9B92-456A-914D-46D87C5FC001}"/>
    <hyperlink ref="N21" r:id="rId9" xr:uid="{3A4BB399-3B8F-4466-8B5A-C02254790A33}"/>
    <hyperlink ref="N22" r:id="rId10" xr:uid="{5378023B-1AF3-4D20-99AE-D4D822BBC74D}"/>
    <hyperlink ref="N27" r:id="rId11" xr:uid="{1A5C2618-FC69-4C8C-AC4E-6F38BD719DC2}"/>
    <hyperlink ref="N28" r:id="rId12" xr:uid="{4267852E-6EFB-4E7F-8560-07CFDD822385}"/>
    <hyperlink ref="N29" r:id="rId13" xr:uid="{C598B8C0-00EA-4FAB-9FBD-9EA0184DBB22}"/>
    <hyperlink ref="N34" r:id="rId14" xr:uid="{C67D5580-4997-41D8-A136-E0CC820FD0E5}"/>
    <hyperlink ref="N35" r:id="rId15" xr:uid="{9BC71763-8A7B-4EF3-AE87-E9B42384E532}"/>
    <hyperlink ref="N9" r:id="rId16" xr:uid="{3E92178F-9939-40EF-91AE-3980B8C2631D}"/>
    <hyperlink ref="N5" r:id="rId17" xr:uid="{EF893E1C-D655-4D0E-9870-8F503228EE04}"/>
    <hyperlink ref="N6" r:id="rId18" xr:uid="{2FC57E86-A5B0-4AEC-83D5-A12469529684}"/>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8"/>
  <sheetViews>
    <sheetView workbookViewId="0">
      <pane ySplit="2" topLeftCell="A3" activePane="bottomLeft" state="frozen"/>
      <selection pane="bottomLeft"/>
    </sheetView>
  </sheetViews>
  <sheetFormatPr defaultRowHeight="14.45"/>
  <cols>
    <col min="1" max="1" width="23" customWidth="1"/>
    <col min="2" max="2" width="12" customWidth="1"/>
    <col min="3" max="3" width="27" customWidth="1"/>
    <col min="4" max="4" width="48" customWidth="1"/>
    <col min="5" max="5" width="12" customWidth="1"/>
    <col min="6" max="6" width="15" customWidth="1"/>
    <col min="7" max="7" width="19" customWidth="1"/>
    <col min="8" max="8" width="17" customWidth="1"/>
    <col min="9" max="9" width="18" customWidth="1"/>
    <col min="10" max="10" width="22" customWidth="1"/>
    <col min="11" max="11" width="32" customWidth="1"/>
    <col min="12" max="12" width="25" customWidth="1"/>
    <col min="13" max="13" width="15" customWidth="1"/>
    <col min="14" max="14" width="25" customWidth="1"/>
    <col min="15" max="15" width="48" customWidth="1"/>
    <col min="16" max="16" width="27" customWidth="1"/>
  </cols>
  <sheetData>
    <row r="1" spans="1:16" ht="27.95" customHeight="1">
      <c r="A1" s="62" t="s">
        <v>2138</v>
      </c>
      <c r="B1" s="134"/>
      <c r="C1" s="135"/>
      <c r="D1" s="63" t="s">
        <v>2579</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45658</v>
      </c>
      <c r="B3" s="27" t="s">
        <v>201</v>
      </c>
      <c r="C3" s="27"/>
      <c r="D3" s="27"/>
      <c r="E3" s="10"/>
      <c r="F3" s="36" t="s">
        <v>263</v>
      </c>
      <c r="G3" s="27"/>
      <c r="H3" s="27"/>
      <c r="I3" s="27"/>
      <c r="J3" s="27"/>
      <c r="K3" s="27"/>
      <c r="L3" s="27"/>
      <c r="M3" s="27"/>
      <c r="N3" s="1" t="s">
        <v>264</v>
      </c>
      <c r="O3" s="27"/>
      <c r="P3" s="27"/>
    </row>
    <row r="4" spans="1:16" ht="24" customHeight="1">
      <c r="A4" s="30">
        <v>45659</v>
      </c>
      <c r="B4" s="27" t="s">
        <v>216</v>
      </c>
      <c r="C4" s="27" t="s">
        <v>326</v>
      </c>
      <c r="D4" s="27" t="s">
        <v>2580</v>
      </c>
      <c r="E4" s="10">
        <v>20</v>
      </c>
      <c r="F4" s="36" t="s">
        <v>263</v>
      </c>
      <c r="G4" s="27" t="s">
        <v>269</v>
      </c>
      <c r="H4" s="27" t="s">
        <v>270</v>
      </c>
      <c r="I4" s="27" t="s">
        <v>531</v>
      </c>
      <c r="J4" s="27" t="s">
        <v>610</v>
      </c>
      <c r="K4" s="27" t="s">
        <v>2581</v>
      </c>
      <c r="L4" s="27"/>
      <c r="M4" s="27"/>
      <c r="N4" s="1" t="s">
        <v>264</v>
      </c>
      <c r="O4" s="27" t="s">
        <v>2582</v>
      </c>
      <c r="P4" s="27"/>
    </row>
    <row r="5" spans="1:16" ht="24" customHeight="1">
      <c r="A5" s="30">
        <v>45660</v>
      </c>
      <c r="B5" s="27" t="s">
        <v>220</v>
      </c>
      <c r="C5" s="27" t="s">
        <v>326</v>
      </c>
      <c r="D5" s="27" t="s">
        <v>2580</v>
      </c>
      <c r="E5" s="10">
        <v>20</v>
      </c>
      <c r="F5" s="36" t="s">
        <v>263</v>
      </c>
      <c r="G5" s="27" t="s">
        <v>269</v>
      </c>
      <c r="H5" s="27" t="s">
        <v>270</v>
      </c>
      <c r="I5" s="27" t="s">
        <v>531</v>
      </c>
      <c r="J5" s="27" t="s">
        <v>610</v>
      </c>
      <c r="K5" s="27" t="s">
        <v>2581</v>
      </c>
      <c r="L5" s="27"/>
      <c r="M5" s="27"/>
      <c r="N5" s="1" t="s">
        <v>264</v>
      </c>
      <c r="O5" s="27" t="s">
        <v>2582</v>
      </c>
      <c r="P5" s="27"/>
    </row>
    <row r="6" spans="1:16" ht="24" customHeight="1">
      <c r="A6" s="30">
        <v>45661</v>
      </c>
      <c r="B6" s="27" t="s">
        <v>266</v>
      </c>
      <c r="C6" s="27"/>
      <c r="D6" s="27"/>
      <c r="E6" s="10"/>
      <c r="F6" s="36" t="s">
        <v>263</v>
      </c>
      <c r="G6" s="27"/>
      <c r="H6" s="27"/>
      <c r="I6" s="27"/>
      <c r="J6" s="27"/>
      <c r="K6" s="27"/>
      <c r="L6" s="27"/>
      <c r="M6" s="27"/>
      <c r="N6" s="1" t="s">
        <v>264</v>
      </c>
      <c r="O6" s="27"/>
      <c r="P6" s="27"/>
    </row>
    <row r="7" spans="1:16" ht="24" customHeight="1">
      <c r="A7" s="30">
        <v>45662</v>
      </c>
      <c r="B7" s="27" t="s">
        <v>267</v>
      </c>
      <c r="C7" s="27"/>
      <c r="D7" s="27"/>
      <c r="E7" s="10"/>
      <c r="F7" s="36" t="s">
        <v>263</v>
      </c>
      <c r="G7" s="27"/>
      <c r="H7" s="27"/>
      <c r="I7" s="27"/>
      <c r="J7" s="27"/>
      <c r="K7" s="27"/>
      <c r="L7" s="27"/>
      <c r="M7" s="27"/>
      <c r="N7" s="1" t="s">
        <v>264</v>
      </c>
      <c r="O7" s="27"/>
      <c r="P7" s="27"/>
    </row>
    <row r="8" spans="1:16" ht="24" customHeight="1">
      <c r="A8" s="30">
        <v>45663</v>
      </c>
      <c r="B8" s="27" t="s">
        <v>224</v>
      </c>
      <c r="C8" s="27" t="s">
        <v>326</v>
      </c>
      <c r="D8" s="27" t="s">
        <v>236</v>
      </c>
      <c r="E8" s="10">
        <v>35</v>
      </c>
      <c r="F8" s="36" t="s">
        <v>263</v>
      </c>
      <c r="G8" s="27" t="s">
        <v>269</v>
      </c>
      <c r="H8" s="27" t="s">
        <v>270</v>
      </c>
      <c r="I8" s="27" t="s">
        <v>382</v>
      </c>
      <c r="J8" s="27" t="s">
        <v>2583</v>
      </c>
      <c r="K8" s="27" t="s">
        <v>2584</v>
      </c>
      <c r="L8" s="27"/>
      <c r="M8" s="27"/>
      <c r="N8" s="1" t="s">
        <v>264</v>
      </c>
      <c r="O8" s="27" t="s">
        <v>2585</v>
      </c>
      <c r="P8" s="27"/>
    </row>
    <row r="9" spans="1:16" ht="24" customHeight="1">
      <c r="A9" s="30">
        <v>45663</v>
      </c>
      <c r="B9" s="27" t="s">
        <v>224</v>
      </c>
      <c r="C9" s="27" t="s">
        <v>2586</v>
      </c>
      <c r="D9" s="27" t="s">
        <v>440</v>
      </c>
      <c r="E9" s="10" t="s">
        <v>2587</v>
      </c>
      <c r="F9" s="36" t="s">
        <v>263</v>
      </c>
      <c r="G9" s="27" t="s">
        <v>269</v>
      </c>
      <c r="H9" s="27" t="s">
        <v>270</v>
      </c>
      <c r="I9" s="27" t="s">
        <v>531</v>
      </c>
      <c r="J9" s="27" t="s">
        <v>2583</v>
      </c>
      <c r="K9" s="27" t="s">
        <v>2588</v>
      </c>
      <c r="L9" s="27"/>
      <c r="M9" s="30" t="s">
        <v>2589</v>
      </c>
      <c r="N9" s="1" t="s">
        <v>264</v>
      </c>
      <c r="O9" s="27" t="s">
        <v>2590</v>
      </c>
      <c r="P9" s="27"/>
    </row>
    <row r="10" spans="1:16" ht="24" customHeight="1">
      <c r="A10" s="30">
        <v>45664</v>
      </c>
      <c r="B10" s="27" t="s">
        <v>227</v>
      </c>
      <c r="C10" s="27" t="s">
        <v>2591</v>
      </c>
      <c r="D10" s="27" t="s">
        <v>440</v>
      </c>
      <c r="E10" s="10" t="s">
        <v>2587</v>
      </c>
      <c r="F10" s="36" t="s">
        <v>263</v>
      </c>
      <c r="G10" s="27" t="s">
        <v>269</v>
      </c>
      <c r="H10" s="27" t="s">
        <v>270</v>
      </c>
      <c r="I10" s="27" t="s">
        <v>531</v>
      </c>
      <c r="J10" s="27" t="s">
        <v>2583</v>
      </c>
      <c r="K10" s="27" t="s">
        <v>2588</v>
      </c>
      <c r="L10" s="27"/>
      <c r="M10" s="30" t="s">
        <v>2589</v>
      </c>
      <c r="N10" s="1" t="s">
        <v>264</v>
      </c>
      <c r="O10" s="27" t="s">
        <v>2590</v>
      </c>
      <c r="P10" s="27"/>
    </row>
    <row r="11" spans="1:16" ht="24" customHeight="1">
      <c r="A11" s="30">
        <v>45664</v>
      </c>
      <c r="B11" s="27" t="s">
        <v>227</v>
      </c>
      <c r="C11" s="27" t="s">
        <v>171</v>
      </c>
      <c r="D11" s="27" t="s">
        <v>2592</v>
      </c>
      <c r="E11" s="10">
        <v>20</v>
      </c>
      <c r="F11" s="36" t="s">
        <v>263</v>
      </c>
      <c r="G11" s="27" t="s">
        <v>295</v>
      </c>
      <c r="H11" s="27" t="s">
        <v>270</v>
      </c>
      <c r="I11" s="27" t="s">
        <v>531</v>
      </c>
      <c r="J11" s="27" t="s">
        <v>531</v>
      </c>
      <c r="K11" s="27" t="s">
        <v>2593</v>
      </c>
      <c r="L11" s="27"/>
      <c r="M11" s="30" t="s">
        <v>2594</v>
      </c>
      <c r="N11" s="1" t="s">
        <v>264</v>
      </c>
      <c r="O11" s="27" t="s">
        <v>2595</v>
      </c>
      <c r="P11" s="27"/>
    </row>
    <row r="12" spans="1:16" ht="24" customHeight="1">
      <c r="A12" s="30">
        <v>45665</v>
      </c>
      <c r="B12" s="27" t="s">
        <v>201</v>
      </c>
      <c r="C12" s="27" t="s">
        <v>2586</v>
      </c>
      <c r="D12" s="27" t="s">
        <v>440</v>
      </c>
      <c r="E12" s="10" t="s">
        <v>2587</v>
      </c>
      <c r="F12" s="36" t="s">
        <v>263</v>
      </c>
      <c r="G12" s="27" t="s">
        <v>269</v>
      </c>
      <c r="H12" s="27" t="s">
        <v>270</v>
      </c>
      <c r="I12" s="27" t="s">
        <v>531</v>
      </c>
      <c r="J12" s="27" t="s">
        <v>2583</v>
      </c>
      <c r="K12" s="27" t="s">
        <v>2588</v>
      </c>
      <c r="L12" s="27"/>
      <c r="M12" s="30" t="s">
        <v>2589</v>
      </c>
      <c r="N12" s="1" t="s">
        <v>264</v>
      </c>
      <c r="O12" s="27" t="s">
        <v>2590</v>
      </c>
      <c r="P12" s="27"/>
    </row>
    <row r="13" spans="1:16" ht="24" customHeight="1">
      <c r="A13" s="30">
        <v>45666</v>
      </c>
      <c r="B13" s="27" t="s">
        <v>216</v>
      </c>
      <c r="C13" s="27" t="s">
        <v>326</v>
      </c>
      <c r="D13" s="27" t="s">
        <v>327</v>
      </c>
      <c r="E13" s="10">
        <v>25</v>
      </c>
      <c r="F13" s="36" t="s">
        <v>263</v>
      </c>
      <c r="G13" s="27" t="s">
        <v>269</v>
      </c>
      <c r="H13" s="27" t="s">
        <v>270</v>
      </c>
      <c r="I13" s="27" t="s">
        <v>382</v>
      </c>
      <c r="J13" s="27" t="s">
        <v>382</v>
      </c>
      <c r="K13" s="27" t="s">
        <v>2596</v>
      </c>
      <c r="L13" s="27"/>
      <c r="M13" s="30" t="s">
        <v>2597</v>
      </c>
      <c r="N13" s="1" t="s">
        <v>264</v>
      </c>
      <c r="O13" s="27" t="s">
        <v>2598</v>
      </c>
      <c r="P13" s="27"/>
    </row>
    <row r="14" spans="1:16" ht="24" customHeight="1">
      <c r="A14" s="30">
        <v>45666</v>
      </c>
      <c r="B14" s="27" t="s">
        <v>216</v>
      </c>
      <c r="C14" s="27" t="s">
        <v>2586</v>
      </c>
      <c r="D14" s="27" t="s">
        <v>440</v>
      </c>
      <c r="E14" s="10" t="s">
        <v>2587</v>
      </c>
      <c r="F14" s="36" t="s">
        <v>263</v>
      </c>
      <c r="G14" s="27" t="s">
        <v>269</v>
      </c>
      <c r="H14" s="27" t="s">
        <v>270</v>
      </c>
      <c r="I14" s="27" t="s">
        <v>531</v>
      </c>
      <c r="J14" s="27" t="s">
        <v>2583</v>
      </c>
      <c r="K14" s="27" t="s">
        <v>2588</v>
      </c>
      <c r="L14" s="27"/>
      <c r="M14" s="30" t="s">
        <v>2589</v>
      </c>
      <c r="N14" s="1" t="s">
        <v>264</v>
      </c>
      <c r="O14" s="27" t="s">
        <v>2590</v>
      </c>
      <c r="P14" s="27"/>
    </row>
    <row r="15" spans="1:16" ht="24" customHeight="1">
      <c r="A15" s="30">
        <v>45666</v>
      </c>
      <c r="B15" s="27" t="s">
        <v>216</v>
      </c>
      <c r="C15" s="27" t="s">
        <v>171</v>
      </c>
      <c r="D15" s="27" t="s">
        <v>2599</v>
      </c>
      <c r="E15" s="10">
        <v>37</v>
      </c>
      <c r="F15" s="36" t="s">
        <v>263</v>
      </c>
      <c r="G15" s="27" t="s">
        <v>295</v>
      </c>
      <c r="H15" s="27" t="s">
        <v>290</v>
      </c>
      <c r="I15" s="27"/>
      <c r="J15" s="27"/>
      <c r="K15" s="27" t="s">
        <v>351</v>
      </c>
      <c r="L15" s="27"/>
      <c r="M15" s="30" t="s">
        <v>2600</v>
      </c>
      <c r="N15" s="1" t="s">
        <v>264</v>
      </c>
      <c r="O15" s="27" t="s">
        <v>2595</v>
      </c>
      <c r="P15" s="27"/>
    </row>
    <row r="16" spans="1:16" ht="24" customHeight="1">
      <c r="A16" s="30">
        <v>45666</v>
      </c>
      <c r="B16" s="27" t="s">
        <v>216</v>
      </c>
      <c r="C16" s="27" t="s">
        <v>171</v>
      </c>
      <c r="D16" s="27" t="s">
        <v>2601</v>
      </c>
      <c r="E16" s="10"/>
      <c r="F16" s="36" t="s">
        <v>263</v>
      </c>
      <c r="G16" s="27" t="s">
        <v>295</v>
      </c>
      <c r="H16" s="27" t="s">
        <v>290</v>
      </c>
      <c r="I16" s="27"/>
      <c r="J16" s="27" t="s">
        <v>531</v>
      </c>
      <c r="K16" s="27" t="s">
        <v>2602</v>
      </c>
      <c r="L16" s="27"/>
      <c r="M16" s="30" t="s">
        <v>2603</v>
      </c>
      <c r="N16" s="3" t="s">
        <v>312</v>
      </c>
      <c r="O16" s="27" t="s">
        <v>2595</v>
      </c>
      <c r="P16" s="27" t="s">
        <v>2604</v>
      </c>
    </row>
    <row r="17" spans="1:16" ht="24" customHeight="1">
      <c r="A17" s="30">
        <v>45667</v>
      </c>
      <c r="B17" s="27" t="s">
        <v>220</v>
      </c>
      <c r="C17" s="27" t="s">
        <v>326</v>
      </c>
      <c r="D17" s="27" t="s">
        <v>327</v>
      </c>
      <c r="E17" s="10">
        <v>25</v>
      </c>
      <c r="F17" s="36" t="s">
        <v>263</v>
      </c>
      <c r="G17" s="27" t="s">
        <v>269</v>
      </c>
      <c r="H17" s="27" t="s">
        <v>270</v>
      </c>
      <c r="I17" s="27" t="s">
        <v>382</v>
      </c>
      <c r="J17" s="27" t="s">
        <v>382</v>
      </c>
      <c r="K17" s="27" t="s">
        <v>2596</v>
      </c>
      <c r="L17" s="27"/>
      <c r="M17" s="30" t="s">
        <v>2597</v>
      </c>
      <c r="N17" s="1" t="s">
        <v>264</v>
      </c>
      <c r="O17" s="27" t="s">
        <v>2598</v>
      </c>
      <c r="P17" s="27"/>
    </row>
    <row r="18" spans="1:16" ht="24" customHeight="1">
      <c r="A18" s="30">
        <v>45667</v>
      </c>
      <c r="B18" s="27" t="s">
        <v>220</v>
      </c>
      <c r="C18" s="27" t="s">
        <v>2591</v>
      </c>
      <c r="D18" s="27" t="s">
        <v>440</v>
      </c>
      <c r="E18" s="10"/>
      <c r="F18" s="36" t="s">
        <v>263</v>
      </c>
      <c r="G18" s="27" t="s">
        <v>269</v>
      </c>
      <c r="H18" s="27" t="s">
        <v>270</v>
      </c>
      <c r="I18" s="27" t="s">
        <v>531</v>
      </c>
      <c r="J18" s="27" t="s">
        <v>2583</v>
      </c>
      <c r="K18" s="27" t="s">
        <v>2588</v>
      </c>
      <c r="L18" s="27"/>
      <c r="M18" s="30" t="s">
        <v>2589</v>
      </c>
      <c r="N18" s="1" t="s">
        <v>264</v>
      </c>
      <c r="O18" s="27" t="s">
        <v>2590</v>
      </c>
      <c r="P18" s="27"/>
    </row>
    <row r="19" spans="1:16" ht="24" customHeight="1">
      <c r="A19" s="30">
        <v>45667</v>
      </c>
      <c r="B19" s="27" t="s">
        <v>220</v>
      </c>
      <c r="C19" s="27" t="s">
        <v>954</v>
      </c>
      <c r="D19" s="27"/>
      <c r="E19" s="10">
        <v>20</v>
      </c>
      <c r="F19" s="36" t="s">
        <v>263</v>
      </c>
      <c r="G19" s="27" t="s">
        <v>269</v>
      </c>
      <c r="H19" s="27" t="s">
        <v>270</v>
      </c>
      <c r="I19" s="27"/>
      <c r="J19" s="27"/>
      <c r="K19" s="27" t="s">
        <v>2605</v>
      </c>
      <c r="L19" s="27"/>
      <c r="M19" s="27"/>
      <c r="N19" s="1" t="s">
        <v>264</v>
      </c>
      <c r="O19" s="27" t="s">
        <v>2606</v>
      </c>
      <c r="P19" s="27"/>
    </row>
    <row r="20" spans="1:16" ht="24" customHeight="1">
      <c r="A20" s="30">
        <v>45668</v>
      </c>
      <c r="B20" s="27" t="s">
        <v>266</v>
      </c>
      <c r="C20" s="27" t="s">
        <v>2607</v>
      </c>
      <c r="D20" s="27"/>
      <c r="E20" s="10"/>
      <c r="F20" s="36" t="s">
        <v>263</v>
      </c>
      <c r="G20" s="27" t="s">
        <v>269</v>
      </c>
      <c r="H20" s="27" t="s">
        <v>270</v>
      </c>
      <c r="I20" s="27"/>
      <c r="J20" s="27"/>
      <c r="K20" s="27" t="s">
        <v>760</v>
      </c>
      <c r="L20" s="27"/>
      <c r="M20" s="27"/>
      <c r="N20" s="1" t="s">
        <v>264</v>
      </c>
      <c r="O20" s="27"/>
      <c r="P20" s="27"/>
    </row>
    <row r="21" spans="1:16" ht="24" customHeight="1">
      <c r="A21" s="30">
        <v>45668</v>
      </c>
      <c r="B21" s="27" t="s">
        <v>266</v>
      </c>
      <c r="C21" s="27" t="s">
        <v>2608</v>
      </c>
      <c r="D21" s="27" t="s">
        <v>300</v>
      </c>
      <c r="E21" s="10"/>
      <c r="F21" s="36" t="s">
        <v>263</v>
      </c>
      <c r="G21" s="27" t="s">
        <v>269</v>
      </c>
      <c r="H21" s="27" t="s">
        <v>270</v>
      </c>
      <c r="I21" s="27"/>
      <c r="J21" s="27"/>
      <c r="K21" s="27" t="s">
        <v>1025</v>
      </c>
      <c r="L21" s="27"/>
      <c r="M21" s="30" t="s">
        <v>2603</v>
      </c>
      <c r="N21" s="1" t="s">
        <v>264</v>
      </c>
      <c r="O21" s="27"/>
      <c r="P21" s="27"/>
    </row>
    <row r="22" spans="1:16" ht="24" customHeight="1">
      <c r="A22" s="30">
        <v>45669</v>
      </c>
      <c r="B22" s="27" t="s">
        <v>267</v>
      </c>
      <c r="C22" s="27"/>
      <c r="D22" s="27"/>
      <c r="E22" s="10"/>
      <c r="F22" s="36" t="s">
        <v>263</v>
      </c>
      <c r="G22" s="27"/>
      <c r="H22" s="27"/>
      <c r="I22" s="27"/>
      <c r="J22" s="27"/>
      <c r="K22" s="27"/>
      <c r="L22" s="27"/>
      <c r="M22" s="27"/>
      <c r="N22" s="1" t="s">
        <v>264</v>
      </c>
      <c r="O22" s="27"/>
      <c r="P22" s="27"/>
    </row>
    <row r="23" spans="1:16" ht="24" customHeight="1">
      <c r="A23" s="30">
        <v>45670</v>
      </c>
      <c r="B23" s="27" t="s">
        <v>224</v>
      </c>
      <c r="C23" s="27" t="s">
        <v>171</v>
      </c>
      <c r="D23" s="27" t="s">
        <v>236</v>
      </c>
      <c r="E23" s="10">
        <v>31</v>
      </c>
      <c r="F23" s="36" t="s">
        <v>263</v>
      </c>
      <c r="G23" s="27" t="s">
        <v>269</v>
      </c>
      <c r="H23" s="27" t="s">
        <v>270</v>
      </c>
      <c r="I23" s="27" t="s">
        <v>382</v>
      </c>
      <c r="J23" s="27"/>
      <c r="K23" s="27" t="s">
        <v>2609</v>
      </c>
      <c r="L23" s="27"/>
      <c r="M23" s="30" t="s">
        <v>2610</v>
      </c>
      <c r="N23" s="1" t="s">
        <v>264</v>
      </c>
      <c r="O23" s="27" t="s">
        <v>2611</v>
      </c>
      <c r="P23" s="27"/>
    </row>
    <row r="24" spans="1:16" ht="24" customHeight="1">
      <c r="A24" s="30">
        <v>45670</v>
      </c>
      <c r="B24" s="27" t="s">
        <v>224</v>
      </c>
      <c r="C24" s="27" t="s">
        <v>2586</v>
      </c>
      <c r="D24" s="27" t="s">
        <v>440</v>
      </c>
      <c r="E24" s="10" t="s">
        <v>2587</v>
      </c>
      <c r="F24" s="36" t="s">
        <v>263</v>
      </c>
      <c r="G24" s="27" t="s">
        <v>269</v>
      </c>
      <c r="H24" s="27" t="s">
        <v>270</v>
      </c>
      <c r="I24" s="27" t="s">
        <v>531</v>
      </c>
      <c r="J24" s="27" t="s">
        <v>2583</v>
      </c>
      <c r="K24" s="27" t="s">
        <v>2588</v>
      </c>
      <c r="L24" s="27"/>
      <c r="M24" s="30" t="s">
        <v>2589</v>
      </c>
      <c r="N24" s="1" t="s">
        <v>264</v>
      </c>
      <c r="O24" s="27" t="s">
        <v>2590</v>
      </c>
      <c r="P24" s="27"/>
    </row>
    <row r="25" spans="1:16" ht="24" customHeight="1">
      <c r="A25" s="30">
        <v>45671</v>
      </c>
      <c r="B25" s="27" t="s">
        <v>227</v>
      </c>
      <c r="C25" s="27" t="s">
        <v>171</v>
      </c>
      <c r="D25" s="27" t="s">
        <v>2592</v>
      </c>
      <c r="E25" s="10">
        <v>50</v>
      </c>
      <c r="F25" s="36" t="s">
        <v>263</v>
      </c>
      <c r="G25" s="27" t="s">
        <v>295</v>
      </c>
      <c r="H25" s="27" t="s">
        <v>296</v>
      </c>
      <c r="I25" s="27"/>
      <c r="J25" s="27"/>
      <c r="K25" s="27"/>
      <c r="L25" s="27"/>
      <c r="M25" s="27"/>
      <c r="N25" s="1" t="s">
        <v>264</v>
      </c>
      <c r="O25" s="27" t="s">
        <v>2612</v>
      </c>
      <c r="P25" s="27"/>
    </row>
    <row r="26" spans="1:16" ht="24" customHeight="1">
      <c r="A26" s="30">
        <v>45671</v>
      </c>
      <c r="B26" s="27" t="s">
        <v>227</v>
      </c>
      <c r="C26" s="27" t="s">
        <v>2613</v>
      </c>
      <c r="D26" s="27" t="s">
        <v>440</v>
      </c>
      <c r="E26" s="10" t="s">
        <v>2587</v>
      </c>
      <c r="F26" s="36" t="s">
        <v>263</v>
      </c>
      <c r="G26" s="27" t="s">
        <v>269</v>
      </c>
      <c r="H26" s="27" t="s">
        <v>270</v>
      </c>
      <c r="I26" s="27" t="s">
        <v>531</v>
      </c>
      <c r="J26" s="27" t="s">
        <v>2583</v>
      </c>
      <c r="K26" s="27" t="s">
        <v>2588</v>
      </c>
      <c r="L26" s="27"/>
      <c r="M26" s="30" t="s">
        <v>2589</v>
      </c>
      <c r="N26" s="1" t="s">
        <v>264</v>
      </c>
      <c r="O26" s="27" t="s">
        <v>2590</v>
      </c>
      <c r="P26" s="27"/>
    </row>
    <row r="27" spans="1:16" ht="24" customHeight="1">
      <c r="A27" s="30">
        <v>45672</v>
      </c>
      <c r="B27" s="27" t="s">
        <v>201</v>
      </c>
      <c r="C27" s="27" t="s">
        <v>2586</v>
      </c>
      <c r="D27" s="27" t="s">
        <v>440</v>
      </c>
      <c r="E27" s="10" t="s">
        <v>2587</v>
      </c>
      <c r="F27" s="36" t="s">
        <v>263</v>
      </c>
      <c r="G27" s="27" t="s">
        <v>269</v>
      </c>
      <c r="H27" s="27" t="s">
        <v>270</v>
      </c>
      <c r="I27" s="27" t="s">
        <v>531</v>
      </c>
      <c r="J27" s="27" t="s">
        <v>2583</v>
      </c>
      <c r="K27" s="27" t="s">
        <v>2588</v>
      </c>
      <c r="L27" s="27"/>
      <c r="M27" s="30" t="s">
        <v>2589</v>
      </c>
      <c r="N27" s="1" t="s">
        <v>264</v>
      </c>
      <c r="O27" s="27" t="s">
        <v>2590</v>
      </c>
      <c r="P27" s="27"/>
    </row>
    <row r="28" spans="1:16" ht="24" customHeight="1">
      <c r="A28" s="30">
        <v>45672</v>
      </c>
      <c r="B28" s="27" t="s">
        <v>201</v>
      </c>
      <c r="C28" s="27" t="s">
        <v>171</v>
      </c>
      <c r="D28" s="27" t="s">
        <v>2614</v>
      </c>
      <c r="E28" s="10">
        <v>50</v>
      </c>
      <c r="F28" s="36" t="s">
        <v>263</v>
      </c>
      <c r="G28" s="27" t="s">
        <v>309</v>
      </c>
      <c r="H28" s="27" t="s">
        <v>296</v>
      </c>
      <c r="I28" s="27"/>
      <c r="J28" s="27" t="s">
        <v>2583</v>
      </c>
      <c r="K28" s="27" t="s">
        <v>2615</v>
      </c>
      <c r="L28" s="27"/>
      <c r="M28" s="30" t="s">
        <v>2616</v>
      </c>
      <c r="N28" s="1" t="s">
        <v>264</v>
      </c>
      <c r="O28" s="27" t="s">
        <v>2612</v>
      </c>
      <c r="P28" s="27"/>
    </row>
    <row r="29" spans="1:16" ht="24" customHeight="1">
      <c r="A29" s="30">
        <v>45672</v>
      </c>
      <c r="B29" s="27" t="s">
        <v>201</v>
      </c>
      <c r="C29" s="27" t="s">
        <v>171</v>
      </c>
      <c r="D29" s="27" t="s">
        <v>2617</v>
      </c>
      <c r="E29" s="10">
        <v>25</v>
      </c>
      <c r="F29" s="36" t="s">
        <v>263</v>
      </c>
      <c r="G29" s="27" t="s">
        <v>296</v>
      </c>
      <c r="H29" s="27" t="s">
        <v>270</v>
      </c>
      <c r="I29" s="27"/>
      <c r="J29" s="27"/>
      <c r="K29" s="27" t="s">
        <v>2593</v>
      </c>
      <c r="L29" s="27"/>
      <c r="M29" s="30" t="s">
        <v>2618</v>
      </c>
      <c r="N29" s="3" t="s">
        <v>312</v>
      </c>
      <c r="O29" s="27" t="s">
        <v>2612</v>
      </c>
      <c r="P29" s="27" t="s">
        <v>2619</v>
      </c>
    </row>
    <row r="30" spans="1:16" ht="24" customHeight="1">
      <c r="A30" s="30">
        <v>45672</v>
      </c>
      <c r="B30" s="27" t="s">
        <v>201</v>
      </c>
      <c r="C30" s="27" t="s">
        <v>326</v>
      </c>
      <c r="D30" s="27" t="s">
        <v>2620</v>
      </c>
      <c r="E30" s="10">
        <v>35</v>
      </c>
      <c r="F30" s="36" t="s">
        <v>263</v>
      </c>
      <c r="G30" s="27" t="s">
        <v>338</v>
      </c>
      <c r="H30" s="27" t="s">
        <v>270</v>
      </c>
      <c r="I30" s="27"/>
      <c r="J30" s="27"/>
      <c r="K30" s="27" t="s">
        <v>2621</v>
      </c>
      <c r="L30" s="27"/>
      <c r="M30" s="30" t="s">
        <v>2616</v>
      </c>
      <c r="N30" s="1" t="s">
        <v>264</v>
      </c>
      <c r="O30" s="27" t="s">
        <v>2612</v>
      </c>
      <c r="P30" s="27"/>
    </row>
    <row r="31" spans="1:16" ht="24" customHeight="1">
      <c r="A31" s="30">
        <v>45673</v>
      </c>
      <c r="B31" s="27" t="s">
        <v>216</v>
      </c>
      <c r="C31" s="27" t="s">
        <v>171</v>
      </c>
      <c r="D31" s="27" t="s">
        <v>2601</v>
      </c>
      <c r="E31" s="10">
        <v>45</v>
      </c>
      <c r="F31" s="36" t="s">
        <v>263</v>
      </c>
      <c r="G31" s="27" t="s">
        <v>295</v>
      </c>
      <c r="H31" s="27" t="s">
        <v>290</v>
      </c>
      <c r="I31" s="27"/>
      <c r="J31" s="27" t="s">
        <v>531</v>
      </c>
      <c r="K31" s="27" t="s">
        <v>2602</v>
      </c>
      <c r="L31" s="27"/>
      <c r="M31" s="30" t="s">
        <v>2603</v>
      </c>
      <c r="N31" s="1" t="s">
        <v>264</v>
      </c>
      <c r="O31" s="27" t="s">
        <v>2622</v>
      </c>
      <c r="P31" s="27"/>
    </row>
    <row r="32" spans="1:16" ht="24" customHeight="1">
      <c r="A32" s="30">
        <v>45673</v>
      </c>
      <c r="B32" s="27" t="s">
        <v>216</v>
      </c>
      <c r="C32" s="27" t="s">
        <v>2586</v>
      </c>
      <c r="D32" s="27" t="s">
        <v>440</v>
      </c>
      <c r="E32" s="10" t="s">
        <v>2587</v>
      </c>
      <c r="F32" s="36" t="s">
        <v>263</v>
      </c>
      <c r="G32" s="27" t="s">
        <v>269</v>
      </c>
      <c r="H32" s="27" t="s">
        <v>270</v>
      </c>
      <c r="I32" s="27" t="s">
        <v>531</v>
      </c>
      <c r="J32" s="27" t="s">
        <v>2583</v>
      </c>
      <c r="K32" s="27" t="s">
        <v>2588</v>
      </c>
      <c r="L32" s="27"/>
      <c r="M32" s="30" t="s">
        <v>2589</v>
      </c>
      <c r="N32" s="1" t="s">
        <v>264</v>
      </c>
      <c r="O32" s="27" t="s">
        <v>2590</v>
      </c>
      <c r="P32" s="27"/>
    </row>
    <row r="33" spans="1:16" ht="24" customHeight="1">
      <c r="A33" s="30">
        <v>45674</v>
      </c>
      <c r="B33" s="27" t="s">
        <v>220</v>
      </c>
      <c r="C33" s="27" t="s">
        <v>954</v>
      </c>
      <c r="D33" s="27" t="s">
        <v>2553</v>
      </c>
      <c r="E33" s="10">
        <v>25</v>
      </c>
      <c r="F33" s="36" t="s">
        <v>263</v>
      </c>
      <c r="G33" s="27" t="s">
        <v>309</v>
      </c>
      <c r="H33" s="27" t="s">
        <v>295</v>
      </c>
      <c r="I33" s="27"/>
      <c r="J33" s="27"/>
      <c r="K33" s="27" t="s">
        <v>2623</v>
      </c>
      <c r="L33" s="27"/>
      <c r="M33" s="30" t="s">
        <v>2624</v>
      </c>
      <c r="N33" s="1" t="s">
        <v>264</v>
      </c>
      <c r="O33" s="27"/>
      <c r="P33" s="27"/>
    </row>
    <row r="34" spans="1:16" ht="24" customHeight="1">
      <c r="A34" s="30">
        <v>45674</v>
      </c>
      <c r="B34" s="27" t="s">
        <v>220</v>
      </c>
      <c r="C34" s="27" t="s">
        <v>2625</v>
      </c>
      <c r="D34" s="27" t="s">
        <v>440</v>
      </c>
      <c r="E34" s="10" t="s">
        <v>2587</v>
      </c>
      <c r="F34" s="36" t="s">
        <v>263</v>
      </c>
      <c r="G34" s="27" t="s">
        <v>269</v>
      </c>
      <c r="H34" s="27" t="s">
        <v>270</v>
      </c>
      <c r="I34" s="27" t="s">
        <v>531</v>
      </c>
      <c r="J34" s="27" t="s">
        <v>2583</v>
      </c>
      <c r="K34" s="27" t="s">
        <v>2588</v>
      </c>
      <c r="L34" s="27"/>
      <c r="M34" s="30" t="s">
        <v>2589</v>
      </c>
      <c r="N34" s="1" t="s">
        <v>264</v>
      </c>
      <c r="O34" s="27" t="s">
        <v>2590</v>
      </c>
      <c r="P34" s="27"/>
    </row>
    <row r="35" spans="1:16" ht="24" customHeight="1">
      <c r="A35" s="30">
        <v>45675</v>
      </c>
      <c r="B35" s="27" t="s">
        <v>266</v>
      </c>
      <c r="C35" s="27"/>
      <c r="D35" s="27" t="s">
        <v>300</v>
      </c>
      <c r="E35" s="10"/>
      <c r="F35" s="36" t="s">
        <v>263</v>
      </c>
      <c r="G35" s="27" t="s">
        <v>269</v>
      </c>
      <c r="H35" s="27" t="s">
        <v>270</v>
      </c>
      <c r="I35" s="27"/>
      <c r="J35" s="27"/>
      <c r="K35" s="27" t="s">
        <v>2626</v>
      </c>
      <c r="L35" s="27"/>
      <c r="M35" s="30" t="s">
        <v>2627</v>
      </c>
      <c r="N35" s="1" t="s">
        <v>264</v>
      </c>
      <c r="O35" s="27"/>
      <c r="P35" s="27"/>
    </row>
    <row r="36" spans="1:16" ht="24" customHeight="1">
      <c r="A36" s="30">
        <v>45676</v>
      </c>
      <c r="B36" s="27" t="s">
        <v>267</v>
      </c>
      <c r="C36" s="27"/>
      <c r="D36" s="27"/>
      <c r="E36" s="10"/>
      <c r="F36" s="36" t="s">
        <v>263</v>
      </c>
      <c r="G36" s="27"/>
      <c r="H36" s="27"/>
      <c r="I36" s="27"/>
      <c r="J36" s="27"/>
      <c r="K36" s="27"/>
      <c r="L36" s="27"/>
      <c r="M36" s="27"/>
      <c r="N36" s="1" t="s">
        <v>264</v>
      </c>
      <c r="O36" s="27"/>
      <c r="P36" s="27"/>
    </row>
    <row r="37" spans="1:16" ht="24" customHeight="1">
      <c r="A37" s="30" t="s">
        <v>2628</v>
      </c>
      <c r="B37" s="27" t="s">
        <v>224</v>
      </c>
      <c r="C37" s="27" t="s">
        <v>2629</v>
      </c>
      <c r="D37" s="27"/>
      <c r="E37" s="10"/>
      <c r="F37" s="36" t="s">
        <v>263</v>
      </c>
      <c r="G37" s="27" t="s">
        <v>269</v>
      </c>
      <c r="H37" s="27" t="s">
        <v>270</v>
      </c>
      <c r="I37" s="27"/>
      <c r="J37" s="27"/>
      <c r="K37" s="27"/>
      <c r="L37" s="27"/>
      <c r="M37" s="27"/>
      <c r="N37" s="1" t="s">
        <v>264</v>
      </c>
      <c r="O37" s="27" t="s">
        <v>2630</v>
      </c>
      <c r="P37" s="27"/>
    </row>
    <row r="38" spans="1:16" ht="24" customHeight="1">
      <c r="A38" s="30">
        <v>45677</v>
      </c>
      <c r="B38" s="27" t="s">
        <v>224</v>
      </c>
      <c r="C38" s="27" t="s">
        <v>326</v>
      </c>
      <c r="D38" s="27" t="s">
        <v>236</v>
      </c>
      <c r="E38" s="10"/>
      <c r="F38" s="36" t="s">
        <v>263</v>
      </c>
      <c r="G38" s="27" t="s">
        <v>269</v>
      </c>
      <c r="H38" s="27" t="s">
        <v>270</v>
      </c>
      <c r="I38" s="27"/>
      <c r="J38" s="27"/>
      <c r="K38" s="27"/>
      <c r="L38" s="27"/>
      <c r="M38" s="27"/>
      <c r="N38" s="1" t="s">
        <v>264</v>
      </c>
      <c r="O38" s="27"/>
      <c r="P38" s="27"/>
    </row>
    <row r="39" spans="1:16" ht="24" customHeight="1">
      <c r="A39" s="30">
        <v>45677</v>
      </c>
      <c r="B39" s="27" t="s">
        <v>224</v>
      </c>
      <c r="C39" s="27" t="s">
        <v>171</v>
      </c>
      <c r="D39" s="27" t="s">
        <v>344</v>
      </c>
      <c r="E39" s="10">
        <v>40</v>
      </c>
      <c r="F39" s="36" t="s">
        <v>263</v>
      </c>
      <c r="G39" s="27" t="s">
        <v>309</v>
      </c>
      <c r="H39" s="27" t="s">
        <v>296</v>
      </c>
      <c r="I39" s="27"/>
      <c r="J39" s="27"/>
      <c r="K39" s="27" t="s">
        <v>2631</v>
      </c>
      <c r="L39" s="27"/>
      <c r="M39" s="27"/>
      <c r="N39" s="1" t="s">
        <v>264</v>
      </c>
      <c r="O39" s="27" t="s">
        <v>2632</v>
      </c>
      <c r="P39" s="27"/>
    </row>
    <row r="40" spans="1:16" ht="24" customHeight="1">
      <c r="A40" s="30">
        <v>45678</v>
      </c>
      <c r="B40" s="27" t="s">
        <v>227</v>
      </c>
      <c r="C40" s="27" t="s">
        <v>171</v>
      </c>
      <c r="D40" s="27" t="s">
        <v>344</v>
      </c>
      <c r="E40" s="10">
        <v>40</v>
      </c>
      <c r="F40" s="36" t="s">
        <v>263</v>
      </c>
      <c r="G40" s="27" t="s">
        <v>309</v>
      </c>
      <c r="H40" s="27" t="s">
        <v>296</v>
      </c>
      <c r="I40" s="27"/>
      <c r="J40" s="27"/>
      <c r="K40" s="27" t="s">
        <v>2631</v>
      </c>
      <c r="L40" s="27"/>
      <c r="M40" s="27"/>
      <c r="N40" s="1" t="s">
        <v>264</v>
      </c>
      <c r="O40" s="27" t="s">
        <v>2632</v>
      </c>
      <c r="P40" s="27"/>
    </row>
    <row r="41" spans="1:16" ht="24" customHeight="1">
      <c r="A41" s="30">
        <v>45678</v>
      </c>
      <c r="B41" s="27" t="s">
        <v>227</v>
      </c>
      <c r="C41" s="27" t="s">
        <v>326</v>
      </c>
      <c r="D41" s="27" t="s">
        <v>327</v>
      </c>
      <c r="E41" s="10">
        <v>25</v>
      </c>
      <c r="F41" s="36" t="s">
        <v>263</v>
      </c>
      <c r="G41" s="27" t="s">
        <v>269</v>
      </c>
      <c r="H41" s="27" t="s">
        <v>270</v>
      </c>
      <c r="I41" s="27" t="s">
        <v>382</v>
      </c>
      <c r="J41" s="27" t="s">
        <v>382</v>
      </c>
      <c r="K41" s="27" t="s">
        <v>2596</v>
      </c>
      <c r="L41" s="27"/>
      <c r="M41" s="30" t="s">
        <v>2600</v>
      </c>
      <c r="N41" s="1" t="s">
        <v>264</v>
      </c>
      <c r="O41" s="27" t="s">
        <v>2633</v>
      </c>
      <c r="P41" s="27"/>
    </row>
    <row r="42" spans="1:16" ht="24" customHeight="1">
      <c r="A42" s="30">
        <v>45679</v>
      </c>
      <c r="B42" s="27" t="s">
        <v>201</v>
      </c>
      <c r="C42" s="27" t="s">
        <v>326</v>
      </c>
      <c r="D42" s="27" t="s">
        <v>327</v>
      </c>
      <c r="E42" s="10">
        <v>25</v>
      </c>
      <c r="F42" s="36" t="s">
        <v>263</v>
      </c>
      <c r="G42" s="27" t="s">
        <v>269</v>
      </c>
      <c r="H42" s="27" t="s">
        <v>270</v>
      </c>
      <c r="I42" s="27" t="s">
        <v>382</v>
      </c>
      <c r="J42" s="27" t="s">
        <v>382</v>
      </c>
      <c r="K42" s="27" t="s">
        <v>2596</v>
      </c>
      <c r="L42" s="27"/>
      <c r="M42" s="30" t="s">
        <v>2600</v>
      </c>
      <c r="N42" s="1" t="s">
        <v>264</v>
      </c>
      <c r="O42" s="27"/>
      <c r="P42" s="27"/>
    </row>
    <row r="43" spans="1:16" ht="24" customHeight="1">
      <c r="A43" s="30">
        <v>45679</v>
      </c>
      <c r="B43" s="27" t="s">
        <v>201</v>
      </c>
      <c r="C43" s="27" t="s">
        <v>2634</v>
      </c>
      <c r="D43" s="27" t="s">
        <v>2635</v>
      </c>
      <c r="E43" s="10">
        <v>25</v>
      </c>
      <c r="F43" s="36" t="s">
        <v>263</v>
      </c>
      <c r="G43" s="27" t="s">
        <v>2636</v>
      </c>
      <c r="H43" s="27" t="s">
        <v>295</v>
      </c>
      <c r="I43" s="27"/>
      <c r="J43" s="27"/>
      <c r="K43" s="27" t="s">
        <v>2637</v>
      </c>
      <c r="L43" s="27"/>
      <c r="M43" s="30">
        <v>45679</v>
      </c>
      <c r="N43" s="1" t="s">
        <v>264</v>
      </c>
      <c r="O43" s="27"/>
      <c r="P43" s="27"/>
    </row>
    <row r="44" spans="1:16" ht="24" customHeight="1">
      <c r="A44" s="30">
        <v>45679</v>
      </c>
      <c r="B44" s="27" t="s">
        <v>201</v>
      </c>
      <c r="C44" s="27" t="s">
        <v>171</v>
      </c>
      <c r="D44" s="27" t="s">
        <v>2638</v>
      </c>
      <c r="E44" s="10">
        <v>55</v>
      </c>
      <c r="F44" s="36" t="s">
        <v>263</v>
      </c>
      <c r="G44" s="27" t="s">
        <v>295</v>
      </c>
      <c r="H44" s="27" t="s">
        <v>296</v>
      </c>
      <c r="I44" s="27"/>
      <c r="J44" s="27"/>
      <c r="K44" s="27" t="s">
        <v>2639</v>
      </c>
      <c r="L44" s="27"/>
      <c r="M44" s="27"/>
      <c r="N44" s="1" t="s">
        <v>264</v>
      </c>
      <c r="O44" s="27" t="s">
        <v>2640</v>
      </c>
      <c r="P44" s="27"/>
    </row>
    <row r="45" spans="1:16" ht="24" customHeight="1">
      <c r="A45" s="30">
        <v>45680</v>
      </c>
      <c r="B45" s="27" t="s">
        <v>216</v>
      </c>
      <c r="C45" s="27" t="s">
        <v>171</v>
      </c>
      <c r="D45" s="27" t="s">
        <v>2641</v>
      </c>
      <c r="E45" s="10">
        <v>30</v>
      </c>
      <c r="F45" s="36" t="s">
        <v>263</v>
      </c>
      <c r="G45" s="27" t="s">
        <v>1360</v>
      </c>
      <c r="H45" s="27" t="s">
        <v>290</v>
      </c>
      <c r="I45" s="27"/>
      <c r="J45" s="27"/>
      <c r="K45" s="27" t="s">
        <v>2642</v>
      </c>
      <c r="L45" s="27"/>
      <c r="M45" s="30" t="s">
        <v>2610</v>
      </c>
      <c r="N45" s="3" t="s">
        <v>312</v>
      </c>
      <c r="O45" s="27" t="s">
        <v>2643</v>
      </c>
      <c r="P45" s="27"/>
    </row>
    <row r="46" spans="1:16" ht="24" customHeight="1">
      <c r="A46" s="30">
        <v>45680</v>
      </c>
      <c r="B46" s="27" t="s">
        <v>216</v>
      </c>
      <c r="C46" s="27"/>
      <c r="D46" s="27"/>
      <c r="E46" s="10"/>
      <c r="F46" s="36" t="s">
        <v>263</v>
      </c>
      <c r="G46" s="27"/>
      <c r="H46" s="27"/>
      <c r="I46" s="27"/>
      <c r="J46" s="27"/>
      <c r="K46" s="27"/>
      <c r="L46" s="27"/>
      <c r="M46" s="27"/>
      <c r="N46" s="1" t="s">
        <v>264</v>
      </c>
      <c r="O46" s="27"/>
      <c r="P46" s="27"/>
    </row>
    <row r="47" spans="1:16" ht="24" customHeight="1">
      <c r="A47" s="30">
        <v>45680</v>
      </c>
      <c r="B47" s="27" t="s">
        <v>216</v>
      </c>
      <c r="C47" s="27" t="s">
        <v>1044</v>
      </c>
      <c r="D47" s="27" t="s">
        <v>2644</v>
      </c>
      <c r="E47" s="10" t="s">
        <v>2645</v>
      </c>
      <c r="F47" s="36" t="s">
        <v>263</v>
      </c>
      <c r="G47" s="27" t="s">
        <v>289</v>
      </c>
      <c r="H47" s="27" t="s">
        <v>296</v>
      </c>
      <c r="I47" s="27"/>
      <c r="J47" s="27"/>
      <c r="K47" s="27" t="s">
        <v>811</v>
      </c>
      <c r="L47" s="27"/>
      <c r="M47" s="30" t="s">
        <v>2646</v>
      </c>
      <c r="N47" s="1" t="s">
        <v>264</v>
      </c>
      <c r="O47" s="27" t="s">
        <v>2647</v>
      </c>
      <c r="P47" s="27"/>
    </row>
    <row r="48" spans="1:16" ht="24" customHeight="1">
      <c r="A48" s="30">
        <v>45681</v>
      </c>
      <c r="B48" s="27" t="s">
        <v>220</v>
      </c>
      <c r="C48" s="27" t="s">
        <v>171</v>
      </c>
      <c r="D48" s="27" t="s">
        <v>2648</v>
      </c>
      <c r="E48" s="10" t="s">
        <v>2649</v>
      </c>
      <c r="F48" s="36" t="s">
        <v>263</v>
      </c>
      <c r="G48" s="27" t="s">
        <v>506</v>
      </c>
      <c r="H48" s="27" t="s">
        <v>429</v>
      </c>
      <c r="I48" s="27"/>
      <c r="J48" s="27"/>
      <c r="K48" s="27" t="s">
        <v>2650</v>
      </c>
      <c r="L48" s="27"/>
      <c r="M48" s="30">
        <v>45674</v>
      </c>
      <c r="N48" s="1" t="s">
        <v>264</v>
      </c>
      <c r="O48" s="27" t="s">
        <v>1177</v>
      </c>
      <c r="P48" s="27"/>
    </row>
    <row r="49" spans="1:16" ht="24" customHeight="1">
      <c r="A49" s="30">
        <v>45681</v>
      </c>
      <c r="B49" s="27" t="s">
        <v>220</v>
      </c>
      <c r="C49" s="27" t="s">
        <v>171</v>
      </c>
      <c r="D49" s="27" t="s">
        <v>2651</v>
      </c>
      <c r="E49" s="10">
        <v>18</v>
      </c>
      <c r="F49" s="36" t="s">
        <v>263</v>
      </c>
      <c r="G49" s="27" t="s">
        <v>289</v>
      </c>
      <c r="H49" s="27" t="s">
        <v>290</v>
      </c>
      <c r="I49" s="27"/>
      <c r="J49" s="27"/>
      <c r="K49" s="27" t="s">
        <v>332</v>
      </c>
      <c r="L49" s="27"/>
      <c r="M49" s="30" t="s">
        <v>2652</v>
      </c>
      <c r="N49" s="1" t="s">
        <v>264</v>
      </c>
      <c r="O49" s="27" t="s">
        <v>2653</v>
      </c>
      <c r="P49" s="27"/>
    </row>
    <row r="50" spans="1:16" ht="24" customHeight="1">
      <c r="A50" s="30">
        <v>45682</v>
      </c>
      <c r="B50" s="27" t="s">
        <v>266</v>
      </c>
      <c r="C50" s="27" t="s">
        <v>2654</v>
      </c>
      <c r="D50" s="27" t="s">
        <v>300</v>
      </c>
      <c r="E50" s="10"/>
      <c r="F50" s="36" t="s">
        <v>263</v>
      </c>
      <c r="G50" s="27" t="s">
        <v>269</v>
      </c>
      <c r="H50" s="27" t="s">
        <v>296</v>
      </c>
      <c r="I50" s="27"/>
      <c r="J50" s="27"/>
      <c r="K50" s="27" t="s">
        <v>2626</v>
      </c>
      <c r="L50" s="27"/>
      <c r="M50" s="27"/>
      <c r="N50" s="1" t="s">
        <v>264</v>
      </c>
      <c r="O50" s="27" t="s">
        <v>2655</v>
      </c>
      <c r="P50" s="27"/>
    </row>
    <row r="51" spans="1:16" ht="24" customHeight="1">
      <c r="A51" s="30">
        <v>45683</v>
      </c>
      <c r="B51" s="27" t="s">
        <v>267</v>
      </c>
      <c r="C51" s="27"/>
      <c r="D51" s="27"/>
      <c r="E51" s="10"/>
      <c r="F51" s="36" t="s">
        <v>263</v>
      </c>
      <c r="G51" s="27"/>
      <c r="H51" s="27"/>
      <c r="I51" s="27"/>
      <c r="J51" s="27"/>
      <c r="K51" s="27"/>
      <c r="L51" s="27"/>
      <c r="M51" s="27"/>
      <c r="N51" s="1" t="s">
        <v>264</v>
      </c>
      <c r="O51" s="27"/>
      <c r="P51" s="27"/>
    </row>
    <row r="52" spans="1:16" ht="24" customHeight="1">
      <c r="A52" s="30">
        <v>45684</v>
      </c>
      <c r="B52" s="27" t="s">
        <v>224</v>
      </c>
      <c r="C52" s="27" t="s">
        <v>1811</v>
      </c>
      <c r="D52" s="27" t="s">
        <v>236</v>
      </c>
      <c r="E52" s="10">
        <v>50</v>
      </c>
      <c r="F52" s="36" t="s">
        <v>263</v>
      </c>
      <c r="G52" s="27" t="s">
        <v>269</v>
      </c>
      <c r="H52" s="27" t="s">
        <v>270</v>
      </c>
      <c r="I52" s="27"/>
      <c r="J52" s="27"/>
      <c r="K52" s="27" t="s">
        <v>2584</v>
      </c>
      <c r="L52" s="27"/>
      <c r="M52" s="30">
        <v>45680</v>
      </c>
      <c r="N52" s="1" t="s">
        <v>264</v>
      </c>
      <c r="O52" s="27" t="s">
        <v>2656</v>
      </c>
      <c r="P52" s="27"/>
    </row>
    <row r="53" spans="1:16" ht="24" customHeight="1">
      <c r="A53" s="30">
        <v>45685</v>
      </c>
      <c r="B53" s="27" t="s">
        <v>227</v>
      </c>
      <c r="C53" s="27" t="s">
        <v>239</v>
      </c>
      <c r="D53" s="27" t="s">
        <v>1589</v>
      </c>
      <c r="E53" s="10">
        <v>150</v>
      </c>
      <c r="F53" s="38" t="s">
        <v>294</v>
      </c>
      <c r="G53" s="27" t="s">
        <v>295</v>
      </c>
      <c r="H53" s="27" t="s">
        <v>270</v>
      </c>
      <c r="I53" s="27"/>
      <c r="J53" s="27" t="s">
        <v>382</v>
      </c>
      <c r="K53" s="27" t="s">
        <v>367</v>
      </c>
      <c r="L53" s="27"/>
      <c r="M53" s="30" t="s">
        <v>2657</v>
      </c>
      <c r="N53" s="1" t="s">
        <v>264</v>
      </c>
      <c r="O53" s="27" t="s">
        <v>2658</v>
      </c>
      <c r="P53" s="27"/>
    </row>
    <row r="54" spans="1:16" ht="24" customHeight="1">
      <c r="A54" s="30">
        <v>45686</v>
      </c>
      <c r="B54" s="27" t="s">
        <v>201</v>
      </c>
      <c r="C54" s="27" t="s">
        <v>171</v>
      </c>
      <c r="D54" s="27" t="s">
        <v>2659</v>
      </c>
      <c r="E54" s="10">
        <v>50</v>
      </c>
      <c r="F54" s="36" t="s">
        <v>263</v>
      </c>
      <c r="G54" s="27" t="s">
        <v>269</v>
      </c>
      <c r="H54" s="27" t="s">
        <v>274</v>
      </c>
      <c r="I54" s="27"/>
      <c r="J54" s="27"/>
      <c r="K54" s="27" t="s">
        <v>2660</v>
      </c>
      <c r="L54" s="27"/>
      <c r="M54" s="30" t="s">
        <v>2661</v>
      </c>
      <c r="N54" s="3" t="s">
        <v>312</v>
      </c>
      <c r="O54" s="27" t="s">
        <v>2662</v>
      </c>
      <c r="P54" s="27"/>
    </row>
    <row r="55" spans="1:16" ht="24" customHeight="1">
      <c r="A55" s="30">
        <v>45686</v>
      </c>
      <c r="B55" s="27" t="s">
        <v>201</v>
      </c>
      <c r="C55" s="27" t="s">
        <v>171</v>
      </c>
      <c r="D55" s="27" t="s">
        <v>2663</v>
      </c>
      <c r="E55" s="10">
        <v>50</v>
      </c>
      <c r="F55" s="36" t="s">
        <v>263</v>
      </c>
      <c r="G55" s="27" t="s">
        <v>295</v>
      </c>
      <c r="H55" s="27" t="s">
        <v>460</v>
      </c>
      <c r="I55" s="27"/>
      <c r="J55" s="27"/>
      <c r="K55" s="27" t="s">
        <v>2664</v>
      </c>
      <c r="L55" s="27"/>
      <c r="M55" s="30" t="s">
        <v>2646</v>
      </c>
      <c r="N55" s="1" t="s">
        <v>264</v>
      </c>
      <c r="O55" s="27" t="s">
        <v>2665</v>
      </c>
      <c r="P55" s="27"/>
    </row>
    <row r="56" spans="1:16" ht="24" customHeight="1">
      <c r="A56" s="30">
        <v>45687</v>
      </c>
      <c r="B56" s="27" t="s">
        <v>216</v>
      </c>
      <c r="C56" s="27" t="s">
        <v>171</v>
      </c>
      <c r="D56" s="27" t="s">
        <v>2666</v>
      </c>
      <c r="E56" s="10" t="s">
        <v>2667</v>
      </c>
      <c r="F56" s="36" t="s">
        <v>263</v>
      </c>
      <c r="G56" s="27" t="s">
        <v>295</v>
      </c>
      <c r="H56" s="27" t="s">
        <v>270</v>
      </c>
      <c r="I56" s="27"/>
      <c r="J56" s="27"/>
      <c r="K56" s="27" t="s">
        <v>2668</v>
      </c>
      <c r="L56" s="27"/>
      <c r="M56" s="30" t="s">
        <v>2618</v>
      </c>
      <c r="N56" s="1" t="s">
        <v>264</v>
      </c>
      <c r="O56" s="27" t="s">
        <v>2669</v>
      </c>
      <c r="P56" s="27"/>
    </row>
    <row r="57" spans="1:16" ht="24" customHeight="1">
      <c r="A57" s="30">
        <v>45687</v>
      </c>
      <c r="B57" s="27" t="s">
        <v>216</v>
      </c>
      <c r="C57" s="27" t="s">
        <v>239</v>
      </c>
      <c r="D57" s="27" t="s">
        <v>2670</v>
      </c>
      <c r="E57" s="10">
        <v>60</v>
      </c>
      <c r="F57" s="36" t="s">
        <v>263</v>
      </c>
      <c r="G57" s="27" t="s">
        <v>359</v>
      </c>
      <c r="H57" s="27" t="s">
        <v>270</v>
      </c>
      <c r="I57" s="27"/>
      <c r="J57" s="27"/>
      <c r="K57" s="27" t="s">
        <v>2668</v>
      </c>
      <c r="L57" s="27"/>
      <c r="M57" s="30">
        <v>45684</v>
      </c>
      <c r="N57" s="1" t="s">
        <v>264</v>
      </c>
      <c r="O57" s="27" t="s">
        <v>2671</v>
      </c>
      <c r="P57" s="27"/>
    </row>
    <row r="58" spans="1:16" ht="24" customHeight="1">
      <c r="A58" s="30">
        <v>45688</v>
      </c>
      <c r="B58" s="27" t="s">
        <v>220</v>
      </c>
      <c r="C58" s="27" t="s">
        <v>171</v>
      </c>
      <c r="D58" s="27" t="s">
        <v>2672</v>
      </c>
      <c r="E58" s="10">
        <v>60</v>
      </c>
      <c r="F58" s="36" t="s">
        <v>263</v>
      </c>
      <c r="G58" s="27" t="s">
        <v>289</v>
      </c>
      <c r="H58" s="27" t="s">
        <v>290</v>
      </c>
      <c r="I58" s="27"/>
      <c r="J58" s="27"/>
      <c r="K58" s="27" t="s">
        <v>2673</v>
      </c>
      <c r="L58" s="27"/>
      <c r="M58" s="30">
        <v>45674</v>
      </c>
      <c r="N58" s="1" t="s">
        <v>264</v>
      </c>
      <c r="O58" s="27" t="s">
        <v>2674</v>
      </c>
      <c r="P58" s="27"/>
    </row>
  </sheetData>
  <mergeCells count="3">
    <mergeCell ref="A1:C1"/>
    <mergeCell ref="D1:K1"/>
    <mergeCell ref="L1:P1"/>
  </mergeCells>
  <dataValidations count="2">
    <dataValidation type="list" allowBlank="1" sqref="M3:M108 N3:N58" xr:uid="{00000000-0002-0000-1D00-000000000000}">
      <formula1>"Confirmed (Done),Pending Calendar Booking,Canceled"</formula1>
    </dataValidation>
    <dataValidation type="list" allowBlank="1" sqref="F3:F58" xr:uid="{00000000-0002-0000-1D00-000001000000}">
      <formula1>"Big Event,Small Event"</formula1>
    </dataValidation>
  </dataValidations>
  <hyperlinks>
    <hyperlink ref="A1" location="'Dashboard'!A1" display="🏠 ⮌ RETURN TO DASHBOARD" xr:uid="{00000000-0004-0000-1D00-000000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3"/>
  <sheetViews>
    <sheetView workbookViewId="0">
      <pane ySplit="2" topLeftCell="A3" activePane="bottomLeft" state="frozen"/>
      <selection pane="bottomLeft"/>
    </sheetView>
  </sheetViews>
  <sheetFormatPr defaultRowHeight="14.45"/>
  <cols>
    <col min="1" max="1" width="15" customWidth="1"/>
    <col min="2" max="2" width="12" customWidth="1"/>
    <col min="3" max="3" width="29" customWidth="1"/>
    <col min="4" max="4" width="48" customWidth="1"/>
    <col min="5" max="5" width="28" customWidth="1"/>
    <col min="6" max="6" width="15" customWidth="1"/>
    <col min="7" max="7" width="19" customWidth="1"/>
    <col min="8" max="8" width="17" customWidth="1"/>
    <col min="9" max="9" width="18" customWidth="1"/>
    <col min="10" max="10" width="22" customWidth="1"/>
    <col min="11" max="11" width="33" customWidth="1"/>
    <col min="12" max="12" width="25" customWidth="1"/>
    <col min="13" max="13" width="15" customWidth="1"/>
    <col min="14" max="14" width="25" customWidth="1"/>
    <col min="15" max="15" width="48" customWidth="1"/>
    <col min="16" max="16" width="22" customWidth="1"/>
  </cols>
  <sheetData>
    <row r="1" spans="1:16" ht="27.95" customHeight="1">
      <c r="A1" s="62" t="s">
        <v>2138</v>
      </c>
      <c r="B1" s="134"/>
      <c r="C1" s="135"/>
      <c r="D1" s="63" t="s">
        <v>2675</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45689</v>
      </c>
      <c r="B3" s="27" t="s">
        <v>266</v>
      </c>
      <c r="C3" s="27" t="s">
        <v>2608</v>
      </c>
      <c r="D3" s="27" t="s">
        <v>300</v>
      </c>
      <c r="E3" s="10"/>
      <c r="F3" s="36" t="s">
        <v>263</v>
      </c>
      <c r="G3" s="27" t="s">
        <v>269</v>
      </c>
      <c r="H3" s="27" t="s">
        <v>270</v>
      </c>
      <c r="I3" s="27" t="s">
        <v>382</v>
      </c>
      <c r="J3" s="27"/>
      <c r="K3" s="27" t="s">
        <v>475</v>
      </c>
      <c r="L3" s="27"/>
      <c r="M3" s="27"/>
      <c r="N3" s="1" t="s">
        <v>264</v>
      </c>
      <c r="O3" s="27" t="s">
        <v>2676</v>
      </c>
      <c r="P3" s="27"/>
    </row>
    <row r="4" spans="1:16" ht="24" customHeight="1">
      <c r="A4" s="30">
        <v>45690</v>
      </c>
      <c r="B4" s="27" t="s">
        <v>267</v>
      </c>
      <c r="C4" s="27"/>
      <c r="D4" s="27"/>
      <c r="E4" s="10"/>
      <c r="F4" s="36" t="s">
        <v>263</v>
      </c>
      <c r="G4" s="27"/>
      <c r="H4" s="27"/>
      <c r="I4" s="27"/>
      <c r="J4" s="27"/>
      <c r="K4" s="27"/>
      <c r="L4" s="27"/>
      <c r="M4" s="27"/>
      <c r="N4" s="1" t="s">
        <v>264</v>
      </c>
      <c r="O4" s="27"/>
      <c r="P4" s="27"/>
    </row>
    <row r="5" spans="1:16" ht="24" customHeight="1">
      <c r="A5" s="30">
        <v>45691</v>
      </c>
      <c r="B5" s="27" t="s">
        <v>224</v>
      </c>
      <c r="C5" s="27" t="s">
        <v>2677</v>
      </c>
      <c r="D5" s="27" t="s">
        <v>236</v>
      </c>
      <c r="E5" s="10">
        <v>54</v>
      </c>
      <c r="F5" s="36" t="s">
        <v>263</v>
      </c>
      <c r="G5" s="27" t="s">
        <v>269</v>
      </c>
      <c r="H5" s="27" t="s">
        <v>270</v>
      </c>
      <c r="I5" s="27"/>
      <c r="J5" s="27"/>
      <c r="K5" s="27" t="s">
        <v>2584</v>
      </c>
      <c r="L5" s="27"/>
      <c r="M5" s="27"/>
      <c r="N5" s="1" t="s">
        <v>264</v>
      </c>
      <c r="O5" s="27"/>
      <c r="P5" s="27"/>
    </row>
    <row r="6" spans="1:16" ht="24" customHeight="1">
      <c r="A6" s="30">
        <v>45692</v>
      </c>
      <c r="B6" s="27" t="s">
        <v>227</v>
      </c>
      <c r="C6" s="27" t="s">
        <v>2678</v>
      </c>
      <c r="D6" s="27" t="s">
        <v>236</v>
      </c>
      <c r="E6" s="10">
        <v>80</v>
      </c>
      <c r="F6" s="36" t="s">
        <v>263</v>
      </c>
      <c r="G6" s="27" t="s">
        <v>269</v>
      </c>
      <c r="H6" s="27" t="s">
        <v>270</v>
      </c>
      <c r="I6" s="27"/>
      <c r="J6" s="27"/>
      <c r="K6" s="27" t="s">
        <v>2584</v>
      </c>
      <c r="L6" s="27"/>
      <c r="M6" s="30">
        <v>45684</v>
      </c>
      <c r="N6" s="1" t="s">
        <v>264</v>
      </c>
      <c r="O6" s="27"/>
      <c r="P6" s="27"/>
    </row>
    <row r="7" spans="1:16" ht="24" customHeight="1">
      <c r="A7" s="30">
        <v>45692</v>
      </c>
      <c r="B7" s="27" t="s">
        <v>227</v>
      </c>
      <c r="C7" s="27" t="s">
        <v>171</v>
      </c>
      <c r="D7" s="27" t="s">
        <v>2679</v>
      </c>
      <c r="E7" s="10">
        <v>50</v>
      </c>
      <c r="F7" s="36" t="s">
        <v>263</v>
      </c>
      <c r="G7" s="27" t="s">
        <v>315</v>
      </c>
      <c r="H7" s="27" t="s">
        <v>330</v>
      </c>
      <c r="I7" s="27"/>
      <c r="J7" s="27"/>
      <c r="K7" s="27" t="s">
        <v>1435</v>
      </c>
      <c r="L7" s="27"/>
      <c r="M7" s="30">
        <v>45679</v>
      </c>
      <c r="N7" s="1" t="s">
        <v>264</v>
      </c>
      <c r="O7" s="27" t="s">
        <v>2680</v>
      </c>
      <c r="P7" s="27"/>
    </row>
    <row r="8" spans="1:16" ht="24" customHeight="1">
      <c r="A8" s="30">
        <v>45692</v>
      </c>
      <c r="B8" s="27" t="s">
        <v>227</v>
      </c>
      <c r="C8" s="27" t="s">
        <v>1044</v>
      </c>
      <c r="D8" s="27" t="s">
        <v>2681</v>
      </c>
      <c r="E8" s="10" t="s">
        <v>2682</v>
      </c>
      <c r="F8" s="36" t="s">
        <v>263</v>
      </c>
      <c r="G8" s="27" t="s">
        <v>295</v>
      </c>
      <c r="H8" s="27" t="s">
        <v>270</v>
      </c>
      <c r="I8" s="27"/>
      <c r="J8" s="27"/>
      <c r="K8" s="27" t="s">
        <v>1707</v>
      </c>
      <c r="L8" s="27"/>
      <c r="M8" s="30" t="s">
        <v>2618</v>
      </c>
      <c r="N8" s="1" t="s">
        <v>264</v>
      </c>
      <c r="O8" s="27" t="s">
        <v>2683</v>
      </c>
      <c r="P8" s="27"/>
    </row>
    <row r="9" spans="1:16" ht="24" customHeight="1">
      <c r="A9" s="30">
        <v>45692</v>
      </c>
      <c r="B9" s="27" t="s">
        <v>227</v>
      </c>
      <c r="C9" s="27" t="s">
        <v>171</v>
      </c>
      <c r="D9" s="27" t="s">
        <v>344</v>
      </c>
      <c r="E9" s="10">
        <v>15</v>
      </c>
      <c r="F9" s="36" t="s">
        <v>263</v>
      </c>
      <c r="G9" s="27" t="s">
        <v>429</v>
      </c>
      <c r="H9" s="27" t="s">
        <v>331</v>
      </c>
      <c r="I9" s="27"/>
      <c r="J9" s="27"/>
      <c r="K9" s="27" t="s">
        <v>2684</v>
      </c>
      <c r="L9" s="27"/>
      <c r="M9" s="30">
        <v>45688</v>
      </c>
      <c r="N9" s="1" t="s">
        <v>264</v>
      </c>
      <c r="O9" s="27" t="s">
        <v>2685</v>
      </c>
      <c r="P9" s="27"/>
    </row>
    <row r="10" spans="1:16" ht="24" customHeight="1">
      <c r="A10" s="30">
        <v>45692</v>
      </c>
      <c r="B10" s="27" t="s">
        <v>227</v>
      </c>
      <c r="C10" s="27" t="s">
        <v>2686</v>
      </c>
      <c r="D10" s="27" t="s">
        <v>2687</v>
      </c>
      <c r="E10" s="10">
        <v>1</v>
      </c>
      <c r="F10" s="36" t="s">
        <v>263</v>
      </c>
      <c r="G10" s="27" t="s">
        <v>269</v>
      </c>
      <c r="H10" s="27" t="s">
        <v>270</v>
      </c>
      <c r="I10" s="27"/>
      <c r="J10" s="27"/>
      <c r="K10" s="27" t="s">
        <v>1435</v>
      </c>
      <c r="L10" s="27"/>
      <c r="M10" s="27"/>
      <c r="N10" s="1" t="s">
        <v>264</v>
      </c>
      <c r="O10" s="27" t="s">
        <v>2688</v>
      </c>
      <c r="P10" s="27"/>
    </row>
    <row r="11" spans="1:16" ht="24" customHeight="1">
      <c r="A11" s="30">
        <v>45693</v>
      </c>
      <c r="B11" s="27" t="s">
        <v>201</v>
      </c>
      <c r="C11" s="27" t="s">
        <v>2689</v>
      </c>
      <c r="D11" s="27" t="s">
        <v>344</v>
      </c>
      <c r="E11" s="10">
        <v>20</v>
      </c>
      <c r="F11" s="36" t="s">
        <v>263</v>
      </c>
      <c r="G11" s="27" t="s">
        <v>506</v>
      </c>
      <c r="H11" s="27" t="s">
        <v>429</v>
      </c>
      <c r="I11" s="27"/>
      <c r="J11" s="27"/>
      <c r="K11" s="27" t="s">
        <v>2668</v>
      </c>
      <c r="L11" s="27"/>
      <c r="M11" s="27"/>
      <c r="N11" s="1" t="s">
        <v>264</v>
      </c>
      <c r="O11" s="27" t="s">
        <v>2690</v>
      </c>
      <c r="P11" s="27"/>
    </row>
    <row r="12" spans="1:16" ht="24" customHeight="1">
      <c r="A12" s="30">
        <v>45693</v>
      </c>
      <c r="B12" s="27" t="s">
        <v>201</v>
      </c>
      <c r="C12" s="27" t="s">
        <v>171</v>
      </c>
      <c r="D12" s="27" t="s">
        <v>2679</v>
      </c>
      <c r="E12" s="10">
        <v>50</v>
      </c>
      <c r="F12" s="36" t="s">
        <v>263</v>
      </c>
      <c r="G12" s="27" t="s">
        <v>274</v>
      </c>
      <c r="H12" s="27" t="s">
        <v>330</v>
      </c>
      <c r="I12" s="27"/>
      <c r="J12" s="27"/>
      <c r="K12" s="27" t="s">
        <v>2691</v>
      </c>
      <c r="L12" s="27"/>
      <c r="M12" s="30">
        <v>45679</v>
      </c>
      <c r="N12" s="1" t="s">
        <v>264</v>
      </c>
      <c r="O12" s="27" t="s">
        <v>2680</v>
      </c>
      <c r="P12" s="27"/>
    </row>
    <row r="13" spans="1:16" ht="24" customHeight="1">
      <c r="A13" s="30">
        <v>45693</v>
      </c>
      <c r="B13" s="27" t="s">
        <v>201</v>
      </c>
      <c r="C13" s="27" t="s">
        <v>171</v>
      </c>
      <c r="D13" s="27" t="s">
        <v>2692</v>
      </c>
      <c r="E13" s="10">
        <v>60</v>
      </c>
      <c r="F13" s="36" t="s">
        <v>263</v>
      </c>
      <c r="G13" s="27" t="s">
        <v>289</v>
      </c>
      <c r="H13" s="27" t="s">
        <v>295</v>
      </c>
      <c r="I13" s="27"/>
      <c r="J13" s="27"/>
      <c r="K13" s="27" t="s">
        <v>2623</v>
      </c>
      <c r="L13" s="27"/>
      <c r="M13" s="30" t="s">
        <v>2693</v>
      </c>
      <c r="N13" s="1" t="s">
        <v>264</v>
      </c>
      <c r="O13" s="27" t="s">
        <v>2694</v>
      </c>
      <c r="P13" s="27"/>
    </row>
    <row r="14" spans="1:16" ht="24" customHeight="1">
      <c r="A14" s="30">
        <v>45693</v>
      </c>
      <c r="B14" s="27" t="s">
        <v>201</v>
      </c>
      <c r="C14" s="27" t="s">
        <v>171</v>
      </c>
      <c r="D14" s="27" t="s">
        <v>2695</v>
      </c>
      <c r="E14" s="10">
        <v>70</v>
      </c>
      <c r="F14" s="36" t="s">
        <v>263</v>
      </c>
      <c r="G14" s="27" t="s">
        <v>295</v>
      </c>
      <c r="H14" s="27" t="s">
        <v>290</v>
      </c>
      <c r="I14" s="27"/>
      <c r="J14" s="27"/>
      <c r="K14" s="27" t="s">
        <v>2696</v>
      </c>
      <c r="L14" s="27"/>
      <c r="M14" s="30">
        <v>45679</v>
      </c>
      <c r="N14" s="3" t="s">
        <v>312</v>
      </c>
      <c r="O14" s="27" t="s">
        <v>2697</v>
      </c>
      <c r="P14" s="27"/>
    </row>
    <row r="15" spans="1:16" ht="24" customHeight="1">
      <c r="A15" s="30">
        <v>45693</v>
      </c>
      <c r="B15" s="27" t="s">
        <v>201</v>
      </c>
      <c r="C15" s="27" t="s">
        <v>2686</v>
      </c>
      <c r="D15" s="27" t="s">
        <v>2687</v>
      </c>
      <c r="E15" s="10">
        <v>1</v>
      </c>
      <c r="F15" s="36" t="s">
        <v>263</v>
      </c>
      <c r="G15" s="27" t="s">
        <v>269</v>
      </c>
      <c r="H15" s="27" t="s">
        <v>270</v>
      </c>
      <c r="I15" s="27"/>
      <c r="J15" s="27"/>
      <c r="K15" s="27" t="s">
        <v>1435</v>
      </c>
      <c r="L15" s="27"/>
      <c r="M15" s="27"/>
      <c r="N15" s="1" t="s">
        <v>264</v>
      </c>
      <c r="O15" s="27" t="s">
        <v>2688</v>
      </c>
      <c r="P15" s="27"/>
    </row>
    <row r="16" spans="1:16" ht="24" customHeight="1">
      <c r="A16" s="30">
        <v>45694</v>
      </c>
      <c r="B16" s="27" t="s">
        <v>216</v>
      </c>
      <c r="C16" s="27" t="s">
        <v>1451</v>
      </c>
      <c r="D16" s="27" t="s">
        <v>2698</v>
      </c>
      <c r="E16" s="10">
        <v>20</v>
      </c>
      <c r="F16" s="36" t="s">
        <v>263</v>
      </c>
      <c r="G16" s="27" t="s">
        <v>295</v>
      </c>
      <c r="H16" s="27" t="s">
        <v>270</v>
      </c>
      <c r="I16" s="27"/>
      <c r="J16" s="27"/>
      <c r="K16" s="27" t="s">
        <v>2668</v>
      </c>
      <c r="L16" s="27"/>
      <c r="M16" s="30">
        <v>45670</v>
      </c>
      <c r="N16" s="1" t="s">
        <v>264</v>
      </c>
      <c r="O16" s="27" t="s">
        <v>2699</v>
      </c>
      <c r="P16" s="27"/>
    </row>
    <row r="17" spans="1:16" ht="24" customHeight="1">
      <c r="A17" s="30">
        <v>45694</v>
      </c>
      <c r="B17" s="27" t="s">
        <v>216</v>
      </c>
      <c r="C17" s="27" t="s">
        <v>171</v>
      </c>
      <c r="D17" s="27" t="s">
        <v>2700</v>
      </c>
      <c r="E17" s="10">
        <v>70</v>
      </c>
      <c r="F17" s="36" t="s">
        <v>263</v>
      </c>
      <c r="G17" s="27" t="s">
        <v>289</v>
      </c>
      <c r="H17" s="27" t="s">
        <v>296</v>
      </c>
      <c r="I17" s="27"/>
      <c r="J17" s="27"/>
      <c r="K17" s="27" t="s">
        <v>2701</v>
      </c>
      <c r="L17" s="27"/>
      <c r="M17" s="30">
        <v>45686</v>
      </c>
      <c r="N17" s="1" t="s">
        <v>264</v>
      </c>
      <c r="O17" s="27" t="s">
        <v>2702</v>
      </c>
      <c r="P17" s="27"/>
    </row>
    <row r="18" spans="1:16" ht="24" customHeight="1">
      <c r="A18" s="30">
        <v>45694</v>
      </c>
      <c r="B18" s="27" t="s">
        <v>216</v>
      </c>
      <c r="C18" s="27" t="s">
        <v>171</v>
      </c>
      <c r="D18" s="27" t="s">
        <v>2703</v>
      </c>
      <c r="E18" s="10">
        <v>60</v>
      </c>
      <c r="F18" s="36" t="s">
        <v>263</v>
      </c>
      <c r="G18" s="27" t="s">
        <v>330</v>
      </c>
      <c r="H18" s="27" t="s">
        <v>331</v>
      </c>
      <c r="I18" s="27"/>
      <c r="J18" s="27"/>
      <c r="K18" s="27" t="s">
        <v>2704</v>
      </c>
      <c r="L18" s="27"/>
      <c r="M18" s="30">
        <v>45684</v>
      </c>
      <c r="N18" s="1" t="s">
        <v>264</v>
      </c>
      <c r="O18" s="27" t="s">
        <v>2705</v>
      </c>
      <c r="P18" s="27"/>
    </row>
    <row r="19" spans="1:16" ht="24" customHeight="1">
      <c r="A19" s="30" t="s">
        <v>2706</v>
      </c>
      <c r="B19" s="27" t="s">
        <v>2152</v>
      </c>
      <c r="C19" s="27" t="s">
        <v>2686</v>
      </c>
      <c r="D19" s="27" t="s">
        <v>2687</v>
      </c>
      <c r="E19" s="10">
        <v>1</v>
      </c>
      <c r="F19" s="36" t="s">
        <v>263</v>
      </c>
      <c r="G19" s="27" t="s">
        <v>269</v>
      </c>
      <c r="H19" s="27" t="s">
        <v>270</v>
      </c>
      <c r="I19" s="27"/>
      <c r="J19" s="27"/>
      <c r="K19" s="27" t="s">
        <v>1435</v>
      </c>
      <c r="L19" s="27"/>
      <c r="M19" s="27"/>
      <c r="N19" s="1" t="s">
        <v>264</v>
      </c>
      <c r="O19" s="27" t="s">
        <v>2688</v>
      </c>
      <c r="P19" s="27"/>
    </row>
    <row r="20" spans="1:16" ht="24" customHeight="1">
      <c r="A20" s="30">
        <v>45695</v>
      </c>
      <c r="B20" s="27" t="s">
        <v>220</v>
      </c>
      <c r="C20" s="27" t="s">
        <v>2686</v>
      </c>
      <c r="D20" s="27" t="s">
        <v>2687</v>
      </c>
      <c r="E20" s="10">
        <v>1</v>
      </c>
      <c r="F20" s="36" t="s">
        <v>263</v>
      </c>
      <c r="G20" s="27" t="s">
        <v>269</v>
      </c>
      <c r="H20" s="27" t="s">
        <v>270</v>
      </c>
      <c r="I20" s="27"/>
      <c r="J20" s="27"/>
      <c r="K20" s="27" t="s">
        <v>1435</v>
      </c>
      <c r="L20" s="27"/>
      <c r="M20" s="27"/>
      <c r="N20" s="1" t="s">
        <v>264</v>
      </c>
      <c r="O20" s="27" t="s">
        <v>2688</v>
      </c>
      <c r="P20" s="27"/>
    </row>
    <row r="21" spans="1:16" ht="24" customHeight="1">
      <c r="A21" s="30">
        <v>45696</v>
      </c>
      <c r="B21" s="27" t="s">
        <v>266</v>
      </c>
      <c r="C21" s="27" t="s">
        <v>2607</v>
      </c>
      <c r="D21" s="27" t="s">
        <v>300</v>
      </c>
      <c r="E21" s="10"/>
      <c r="F21" s="36" t="s">
        <v>263</v>
      </c>
      <c r="G21" s="27" t="s">
        <v>269</v>
      </c>
      <c r="H21" s="27" t="s">
        <v>270</v>
      </c>
      <c r="I21" s="27" t="s">
        <v>382</v>
      </c>
      <c r="J21" s="27"/>
      <c r="K21" s="27" t="s">
        <v>475</v>
      </c>
      <c r="L21" s="27"/>
      <c r="M21" s="27"/>
      <c r="N21" s="1" t="s">
        <v>264</v>
      </c>
      <c r="O21" s="27" t="s">
        <v>2707</v>
      </c>
      <c r="P21" s="27"/>
    </row>
    <row r="22" spans="1:16" ht="24" customHeight="1">
      <c r="A22" s="30">
        <v>45697</v>
      </c>
      <c r="B22" s="27" t="s">
        <v>267</v>
      </c>
      <c r="C22" s="27"/>
      <c r="D22" s="27"/>
      <c r="E22" s="10"/>
      <c r="F22" s="36" t="s">
        <v>263</v>
      </c>
      <c r="G22" s="27"/>
      <c r="H22" s="27"/>
      <c r="I22" s="27"/>
      <c r="J22" s="27"/>
      <c r="K22" s="27"/>
      <c r="L22" s="27"/>
      <c r="M22" s="27"/>
      <c r="N22" s="1" t="s">
        <v>264</v>
      </c>
      <c r="O22" s="27"/>
      <c r="P22" s="27"/>
    </row>
    <row r="23" spans="1:16" ht="24" customHeight="1">
      <c r="A23" s="30">
        <v>45698</v>
      </c>
      <c r="B23" s="27" t="s">
        <v>224</v>
      </c>
      <c r="C23" s="27"/>
      <c r="D23" s="27"/>
      <c r="E23" s="10"/>
      <c r="F23" s="36" t="s">
        <v>263</v>
      </c>
      <c r="G23" s="27"/>
      <c r="H23" s="27"/>
      <c r="I23" s="27"/>
      <c r="J23" s="27"/>
      <c r="K23" s="27"/>
      <c r="L23" s="27"/>
      <c r="M23" s="27"/>
      <c r="N23" s="1" t="s">
        <v>264</v>
      </c>
      <c r="O23" s="27"/>
      <c r="P23" s="27"/>
    </row>
    <row r="24" spans="1:16" ht="24" customHeight="1">
      <c r="A24" s="30">
        <v>45698</v>
      </c>
      <c r="B24" s="27" t="s">
        <v>224</v>
      </c>
      <c r="C24" s="27" t="s">
        <v>2708</v>
      </c>
      <c r="D24" s="27" t="s">
        <v>2709</v>
      </c>
      <c r="E24" s="10">
        <v>1</v>
      </c>
      <c r="F24" s="36" t="s">
        <v>263</v>
      </c>
      <c r="G24" s="27" t="s">
        <v>269</v>
      </c>
      <c r="H24" s="27" t="s">
        <v>270</v>
      </c>
      <c r="I24" s="27"/>
      <c r="J24" s="27"/>
      <c r="K24" s="27"/>
      <c r="L24" s="27"/>
      <c r="M24" s="27"/>
      <c r="N24" s="1" t="s">
        <v>264</v>
      </c>
      <c r="O24" s="27" t="s">
        <v>2710</v>
      </c>
      <c r="P24" s="27"/>
    </row>
    <row r="25" spans="1:16" ht="24" customHeight="1">
      <c r="A25" s="30">
        <v>45698</v>
      </c>
      <c r="B25" s="27" t="s">
        <v>224</v>
      </c>
      <c r="C25" s="27" t="s">
        <v>1112</v>
      </c>
      <c r="D25" s="27" t="s">
        <v>2711</v>
      </c>
      <c r="E25" s="10"/>
      <c r="F25" s="36" t="s">
        <v>263</v>
      </c>
      <c r="G25" s="27" t="s">
        <v>331</v>
      </c>
      <c r="H25" s="27" t="s">
        <v>350</v>
      </c>
      <c r="I25" s="27"/>
      <c r="J25" s="27"/>
      <c r="K25" s="27" t="s">
        <v>2712</v>
      </c>
      <c r="L25" s="27"/>
      <c r="M25" s="27"/>
      <c r="N25" s="1" t="s">
        <v>264</v>
      </c>
      <c r="O25" s="27" t="s">
        <v>2713</v>
      </c>
      <c r="P25" s="27"/>
    </row>
    <row r="26" spans="1:16" ht="24" customHeight="1">
      <c r="A26" s="30">
        <v>45698</v>
      </c>
      <c r="B26" s="27" t="s">
        <v>224</v>
      </c>
      <c r="C26" s="27" t="s">
        <v>326</v>
      </c>
      <c r="D26" s="27" t="s">
        <v>236</v>
      </c>
      <c r="E26" s="10">
        <v>25</v>
      </c>
      <c r="F26" s="36" t="s">
        <v>263</v>
      </c>
      <c r="G26" s="27" t="s">
        <v>269</v>
      </c>
      <c r="H26" s="27" t="s">
        <v>270</v>
      </c>
      <c r="I26" s="27"/>
      <c r="J26" s="27"/>
      <c r="K26" s="27" t="s">
        <v>2584</v>
      </c>
      <c r="L26" s="27"/>
      <c r="M26" s="27"/>
      <c r="N26" s="1" t="s">
        <v>264</v>
      </c>
      <c r="O26" s="27" t="s">
        <v>2714</v>
      </c>
      <c r="P26" s="27"/>
    </row>
    <row r="27" spans="1:16" ht="24" customHeight="1">
      <c r="A27" s="30">
        <v>45698</v>
      </c>
      <c r="B27" s="27" t="s">
        <v>224</v>
      </c>
      <c r="C27" s="27" t="s">
        <v>171</v>
      </c>
      <c r="D27" s="27" t="s">
        <v>236</v>
      </c>
      <c r="E27" s="10">
        <v>25</v>
      </c>
      <c r="F27" s="36" t="s">
        <v>263</v>
      </c>
      <c r="G27" s="27" t="s">
        <v>269</v>
      </c>
      <c r="H27" s="27" t="s">
        <v>270</v>
      </c>
      <c r="I27" s="27"/>
      <c r="J27" s="27"/>
      <c r="K27" s="27" t="s">
        <v>2584</v>
      </c>
      <c r="L27" s="27"/>
      <c r="M27" s="27"/>
      <c r="N27" s="1" t="s">
        <v>264</v>
      </c>
      <c r="O27" s="27" t="s">
        <v>922</v>
      </c>
      <c r="P27" s="27"/>
    </row>
    <row r="28" spans="1:16" ht="24" customHeight="1">
      <c r="A28" s="30">
        <v>45699</v>
      </c>
      <c r="B28" s="27" t="s">
        <v>227</v>
      </c>
      <c r="C28" s="27" t="s">
        <v>2715</v>
      </c>
      <c r="D28" s="27"/>
      <c r="E28" s="10">
        <v>1</v>
      </c>
      <c r="F28" s="36" t="s">
        <v>263</v>
      </c>
      <c r="G28" s="27" t="s">
        <v>269</v>
      </c>
      <c r="H28" s="27" t="s">
        <v>270</v>
      </c>
      <c r="I28" s="27"/>
      <c r="J28" s="27"/>
      <c r="K28" s="27"/>
      <c r="L28" s="27"/>
      <c r="M28" s="27"/>
      <c r="N28" s="1" t="s">
        <v>264</v>
      </c>
      <c r="O28" s="27" t="s">
        <v>2710</v>
      </c>
      <c r="P28" s="27"/>
    </row>
    <row r="29" spans="1:16" ht="24" customHeight="1">
      <c r="A29" s="30">
        <v>45699</v>
      </c>
      <c r="B29" s="27" t="s">
        <v>227</v>
      </c>
      <c r="C29" s="27" t="s">
        <v>2716</v>
      </c>
      <c r="D29" s="27" t="s">
        <v>2717</v>
      </c>
      <c r="E29" s="10">
        <v>1</v>
      </c>
      <c r="F29" s="36" t="s">
        <v>263</v>
      </c>
      <c r="G29" s="27" t="s">
        <v>269</v>
      </c>
      <c r="H29" s="27" t="s">
        <v>270</v>
      </c>
      <c r="I29" s="27"/>
      <c r="J29" s="27"/>
      <c r="K29" s="27" t="s">
        <v>367</v>
      </c>
      <c r="L29" s="27"/>
      <c r="M29" s="27"/>
      <c r="N29" s="1" t="s">
        <v>264</v>
      </c>
      <c r="O29" s="27" t="s">
        <v>2710</v>
      </c>
      <c r="P29" s="27"/>
    </row>
    <row r="30" spans="1:16" ht="24" customHeight="1">
      <c r="A30" s="30">
        <v>45699</v>
      </c>
      <c r="B30" s="27" t="s">
        <v>227</v>
      </c>
      <c r="C30" s="27" t="s">
        <v>171</v>
      </c>
      <c r="D30" s="27" t="s">
        <v>2718</v>
      </c>
      <c r="E30" s="10">
        <v>60</v>
      </c>
      <c r="F30" s="36" t="s">
        <v>263</v>
      </c>
      <c r="G30" s="27" t="s">
        <v>315</v>
      </c>
      <c r="H30" s="27" t="s">
        <v>506</v>
      </c>
      <c r="I30" s="27"/>
      <c r="J30" s="27"/>
      <c r="K30" s="27" t="s">
        <v>1629</v>
      </c>
      <c r="L30" s="27"/>
      <c r="M30" s="27"/>
      <c r="N30" s="1" t="s">
        <v>264</v>
      </c>
      <c r="O30" s="27" t="s">
        <v>2719</v>
      </c>
      <c r="P30" s="27"/>
    </row>
    <row r="31" spans="1:16" ht="24" customHeight="1">
      <c r="A31" s="30">
        <v>45699</v>
      </c>
      <c r="B31" s="27" t="s">
        <v>227</v>
      </c>
      <c r="C31" s="27" t="s">
        <v>171</v>
      </c>
      <c r="D31" s="27" t="s">
        <v>2720</v>
      </c>
      <c r="E31" s="10">
        <v>70</v>
      </c>
      <c r="F31" s="36" t="s">
        <v>263</v>
      </c>
      <c r="G31" s="27" t="s">
        <v>295</v>
      </c>
      <c r="H31" s="27" t="s">
        <v>296</v>
      </c>
      <c r="I31" s="27"/>
      <c r="J31" s="27"/>
      <c r="K31" s="27" t="s">
        <v>1629</v>
      </c>
      <c r="L31" s="27"/>
      <c r="M31" s="30" t="s">
        <v>2721</v>
      </c>
      <c r="N31" s="3" t="s">
        <v>312</v>
      </c>
      <c r="O31" s="27" t="s">
        <v>2690</v>
      </c>
      <c r="P31" s="27" t="s">
        <v>679</v>
      </c>
    </row>
    <row r="32" spans="1:16" ht="24" customHeight="1">
      <c r="A32" s="30">
        <v>45699</v>
      </c>
      <c r="B32" s="27" t="s">
        <v>227</v>
      </c>
      <c r="C32" s="27" t="s">
        <v>171</v>
      </c>
      <c r="D32" s="27" t="s">
        <v>2722</v>
      </c>
      <c r="E32" s="10">
        <v>50</v>
      </c>
      <c r="F32" s="36" t="s">
        <v>263</v>
      </c>
      <c r="G32" s="27" t="s">
        <v>295</v>
      </c>
      <c r="H32" s="27" t="s">
        <v>290</v>
      </c>
      <c r="I32" s="27"/>
      <c r="J32" s="27"/>
      <c r="K32" s="27" t="s">
        <v>367</v>
      </c>
      <c r="L32" s="27"/>
      <c r="M32" s="30" t="s">
        <v>2723</v>
      </c>
      <c r="N32" s="1" t="s">
        <v>264</v>
      </c>
      <c r="O32" s="27" t="s">
        <v>2690</v>
      </c>
      <c r="P32" s="27"/>
    </row>
    <row r="33" spans="1:16" ht="24" customHeight="1">
      <c r="A33" s="30">
        <v>45699</v>
      </c>
      <c r="B33" s="27" t="s">
        <v>227</v>
      </c>
      <c r="C33" s="27" t="s">
        <v>579</v>
      </c>
      <c r="D33" s="27" t="s">
        <v>2717</v>
      </c>
      <c r="E33" s="10">
        <v>1</v>
      </c>
      <c r="F33" s="36" t="s">
        <v>263</v>
      </c>
      <c r="G33" s="27" t="s">
        <v>269</v>
      </c>
      <c r="H33" s="27" t="s">
        <v>270</v>
      </c>
      <c r="I33" s="27"/>
      <c r="J33" s="27"/>
      <c r="K33" s="27" t="s">
        <v>367</v>
      </c>
      <c r="L33" s="27"/>
      <c r="M33" s="30" t="s">
        <v>2724</v>
      </c>
      <c r="N33" s="1" t="s">
        <v>264</v>
      </c>
      <c r="O33" s="27" t="s">
        <v>2725</v>
      </c>
      <c r="P33" s="27"/>
    </row>
    <row r="34" spans="1:16" ht="24" customHeight="1">
      <c r="A34" s="30">
        <v>45700</v>
      </c>
      <c r="B34" s="27" t="s">
        <v>201</v>
      </c>
      <c r="C34" s="27" t="s">
        <v>326</v>
      </c>
      <c r="D34" s="27" t="s">
        <v>2726</v>
      </c>
      <c r="E34" s="10">
        <v>35</v>
      </c>
      <c r="F34" s="36" t="s">
        <v>263</v>
      </c>
      <c r="G34" s="27" t="s">
        <v>429</v>
      </c>
      <c r="H34" s="27" t="s">
        <v>275</v>
      </c>
      <c r="I34" s="27"/>
      <c r="J34" s="27"/>
      <c r="K34" s="27" t="s">
        <v>2727</v>
      </c>
      <c r="L34" s="27"/>
      <c r="M34" s="30" t="s">
        <v>2721</v>
      </c>
      <c r="N34" s="1" t="s">
        <v>264</v>
      </c>
      <c r="O34" s="27" t="s">
        <v>2728</v>
      </c>
      <c r="P34" s="27"/>
    </row>
    <row r="35" spans="1:16" ht="24" customHeight="1">
      <c r="A35" s="30">
        <v>45700</v>
      </c>
      <c r="B35" s="27" t="s">
        <v>201</v>
      </c>
      <c r="C35" s="27" t="s">
        <v>2729</v>
      </c>
      <c r="D35" s="27" t="s">
        <v>2717</v>
      </c>
      <c r="E35" s="10">
        <v>1</v>
      </c>
      <c r="F35" s="36" t="s">
        <v>263</v>
      </c>
      <c r="G35" s="27" t="s">
        <v>269</v>
      </c>
      <c r="H35" s="27" t="s">
        <v>270</v>
      </c>
      <c r="I35" s="27"/>
      <c r="J35" s="27"/>
      <c r="K35" s="27" t="s">
        <v>367</v>
      </c>
      <c r="L35" s="27"/>
      <c r="M35" s="30" t="s">
        <v>2724</v>
      </c>
      <c r="N35" s="1" t="s">
        <v>264</v>
      </c>
      <c r="O35" s="27" t="s">
        <v>2725</v>
      </c>
      <c r="P35" s="27"/>
    </row>
    <row r="36" spans="1:16" ht="24" customHeight="1">
      <c r="A36" s="30">
        <v>45700</v>
      </c>
      <c r="B36" s="27" t="s">
        <v>201</v>
      </c>
      <c r="C36" s="27" t="s">
        <v>326</v>
      </c>
      <c r="D36" s="27" t="s">
        <v>2730</v>
      </c>
      <c r="E36" s="10"/>
      <c r="F36" s="36" t="s">
        <v>263</v>
      </c>
      <c r="G36" s="27" t="s">
        <v>309</v>
      </c>
      <c r="H36" s="27" t="s">
        <v>296</v>
      </c>
      <c r="I36" s="27"/>
      <c r="J36" s="27"/>
      <c r="K36" s="27" t="s">
        <v>2631</v>
      </c>
      <c r="L36" s="27"/>
      <c r="M36" s="30" t="s">
        <v>2731</v>
      </c>
      <c r="N36" s="1" t="s">
        <v>264</v>
      </c>
      <c r="O36" s="27" t="s">
        <v>2732</v>
      </c>
      <c r="P36" s="27"/>
    </row>
    <row r="37" spans="1:16" ht="24" customHeight="1">
      <c r="A37" s="30">
        <v>45700</v>
      </c>
      <c r="B37" s="27" t="s">
        <v>201</v>
      </c>
      <c r="C37" s="27" t="s">
        <v>2715</v>
      </c>
      <c r="D37" s="27" t="s">
        <v>2709</v>
      </c>
      <c r="E37" s="10">
        <v>1</v>
      </c>
      <c r="F37" s="36" t="s">
        <v>263</v>
      </c>
      <c r="G37" s="27" t="s">
        <v>269</v>
      </c>
      <c r="H37" s="27" t="s">
        <v>270</v>
      </c>
      <c r="I37" s="27"/>
      <c r="J37" s="27"/>
      <c r="K37" s="27"/>
      <c r="L37" s="27"/>
      <c r="M37" s="27"/>
      <c r="N37" s="1" t="s">
        <v>264</v>
      </c>
      <c r="O37" s="27" t="s">
        <v>2710</v>
      </c>
      <c r="P37" s="27"/>
    </row>
    <row r="38" spans="1:16" ht="24" customHeight="1">
      <c r="A38" s="30">
        <v>45700</v>
      </c>
      <c r="B38" s="27" t="s">
        <v>201</v>
      </c>
      <c r="C38" s="27" t="s">
        <v>2716</v>
      </c>
      <c r="D38" s="27" t="s">
        <v>2717</v>
      </c>
      <c r="E38" s="10">
        <v>1</v>
      </c>
      <c r="F38" s="36" t="s">
        <v>263</v>
      </c>
      <c r="G38" s="27" t="s">
        <v>269</v>
      </c>
      <c r="H38" s="27" t="s">
        <v>270</v>
      </c>
      <c r="I38" s="27"/>
      <c r="J38" s="27"/>
      <c r="K38" s="27" t="s">
        <v>367</v>
      </c>
      <c r="L38" s="27"/>
      <c r="M38" s="27"/>
      <c r="N38" s="1" t="s">
        <v>264</v>
      </c>
      <c r="O38" s="27" t="s">
        <v>2710</v>
      </c>
      <c r="P38" s="27"/>
    </row>
    <row r="39" spans="1:16" ht="24" customHeight="1">
      <c r="A39" s="30">
        <v>45700</v>
      </c>
      <c r="B39" s="27" t="s">
        <v>201</v>
      </c>
      <c r="C39" s="27" t="s">
        <v>501</v>
      </c>
      <c r="D39" s="27" t="s">
        <v>2733</v>
      </c>
      <c r="E39" s="10">
        <v>80</v>
      </c>
      <c r="F39" s="36" t="s">
        <v>263</v>
      </c>
      <c r="G39" s="27" t="s">
        <v>295</v>
      </c>
      <c r="H39" s="27" t="s">
        <v>296</v>
      </c>
      <c r="I39" s="27"/>
      <c r="J39" s="27"/>
      <c r="K39" s="27" t="s">
        <v>367</v>
      </c>
      <c r="L39" s="27"/>
      <c r="M39" s="30" t="s">
        <v>2734</v>
      </c>
      <c r="N39" s="1" t="s">
        <v>264</v>
      </c>
      <c r="O39" s="27" t="s">
        <v>2732</v>
      </c>
      <c r="P39" s="27"/>
    </row>
    <row r="40" spans="1:16" ht="24" customHeight="1">
      <c r="A40" s="30">
        <v>45700</v>
      </c>
      <c r="B40" s="27" t="s">
        <v>201</v>
      </c>
      <c r="C40" s="27" t="s">
        <v>171</v>
      </c>
      <c r="D40" s="27" t="s">
        <v>2735</v>
      </c>
      <c r="E40" s="10">
        <v>30</v>
      </c>
      <c r="F40" s="36" t="s">
        <v>263</v>
      </c>
      <c r="G40" s="27" t="s">
        <v>309</v>
      </c>
      <c r="H40" s="27" t="s">
        <v>1405</v>
      </c>
      <c r="I40" s="27"/>
      <c r="J40" s="27"/>
      <c r="K40" s="27" t="s">
        <v>367</v>
      </c>
      <c r="L40" s="27"/>
      <c r="M40" s="30" t="s">
        <v>2734</v>
      </c>
      <c r="N40" s="1" t="s">
        <v>264</v>
      </c>
      <c r="O40" s="27" t="s">
        <v>2732</v>
      </c>
      <c r="P40" s="27"/>
    </row>
    <row r="41" spans="1:16" ht="24" customHeight="1">
      <c r="A41" s="30">
        <v>45701</v>
      </c>
      <c r="B41" s="27" t="s">
        <v>216</v>
      </c>
      <c r="C41" s="27" t="s">
        <v>2736</v>
      </c>
      <c r="D41" s="27" t="s">
        <v>2717</v>
      </c>
      <c r="E41" s="10">
        <v>1</v>
      </c>
      <c r="F41" s="36" t="s">
        <v>263</v>
      </c>
      <c r="G41" s="27" t="s">
        <v>269</v>
      </c>
      <c r="H41" s="27" t="s">
        <v>270</v>
      </c>
      <c r="I41" s="27"/>
      <c r="J41" s="27"/>
      <c r="K41" s="27" t="s">
        <v>367</v>
      </c>
      <c r="L41" s="27"/>
      <c r="M41" s="30" t="s">
        <v>2724</v>
      </c>
      <c r="N41" s="1" t="s">
        <v>264</v>
      </c>
      <c r="O41" s="27" t="s">
        <v>2725</v>
      </c>
      <c r="P41" s="27"/>
    </row>
    <row r="42" spans="1:16" ht="24" customHeight="1">
      <c r="A42" s="30">
        <v>45701</v>
      </c>
      <c r="B42" s="27" t="s">
        <v>216</v>
      </c>
      <c r="C42" s="27" t="s">
        <v>2716</v>
      </c>
      <c r="D42" s="27" t="s">
        <v>2717</v>
      </c>
      <c r="E42" s="10">
        <v>1</v>
      </c>
      <c r="F42" s="36" t="s">
        <v>263</v>
      </c>
      <c r="G42" s="27" t="s">
        <v>269</v>
      </c>
      <c r="H42" s="27" t="s">
        <v>270</v>
      </c>
      <c r="I42" s="27"/>
      <c r="J42" s="27"/>
      <c r="K42" s="27" t="s">
        <v>367</v>
      </c>
      <c r="L42" s="27"/>
      <c r="M42" s="27"/>
      <c r="N42" s="1" t="s">
        <v>264</v>
      </c>
      <c r="O42" s="27" t="s">
        <v>2710</v>
      </c>
      <c r="P42" s="27"/>
    </row>
    <row r="43" spans="1:16" ht="24" customHeight="1">
      <c r="A43" s="30">
        <v>45701</v>
      </c>
      <c r="B43" s="27" t="s">
        <v>216</v>
      </c>
      <c r="C43" s="27" t="s">
        <v>2715</v>
      </c>
      <c r="D43" s="27" t="s">
        <v>2709</v>
      </c>
      <c r="E43" s="10">
        <v>1</v>
      </c>
      <c r="F43" s="36" t="s">
        <v>263</v>
      </c>
      <c r="G43" s="27" t="s">
        <v>269</v>
      </c>
      <c r="H43" s="27" t="s">
        <v>270</v>
      </c>
      <c r="I43" s="27"/>
      <c r="J43" s="27"/>
      <c r="K43" s="27"/>
      <c r="L43" s="27"/>
      <c r="M43" s="27"/>
      <c r="N43" s="1" t="s">
        <v>264</v>
      </c>
      <c r="O43" s="27" t="s">
        <v>2710</v>
      </c>
      <c r="P43" s="27"/>
    </row>
    <row r="44" spans="1:16" ht="24" customHeight="1">
      <c r="A44" s="30">
        <v>45702</v>
      </c>
      <c r="B44" s="27" t="s">
        <v>220</v>
      </c>
      <c r="C44" s="27" t="s">
        <v>171</v>
      </c>
      <c r="D44" s="27" t="s">
        <v>236</v>
      </c>
      <c r="E44" s="10">
        <v>10</v>
      </c>
      <c r="F44" s="36" t="s">
        <v>263</v>
      </c>
      <c r="G44" s="27" t="s">
        <v>269</v>
      </c>
      <c r="H44" s="27" t="s">
        <v>429</v>
      </c>
      <c r="I44" s="27"/>
      <c r="J44" s="27"/>
      <c r="K44" s="27" t="s">
        <v>2584</v>
      </c>
      <c r="L44" s="27"/>
      <c r="M44" s="27"/>
      <c r="N44" s="1" t="s">
        <v>264</v>
      </c>
      <c r="O44" s="27"/>
      <c r="P44" s="27"/>
    </row>
    <row r="45" spans="1:16" ht="24" customHeight="1">
      <c r="A45" s="30">
        <v>45701</v>
      </c>
      <c r="B45" s="27" t="s">
        <v>216</v>
      </c>
      <c r="C45" s="27" t="s">
        <v>171</v>
      </c>
      <c r="D45" s="27" t="s">
        <v>2698</v>
      </c>
      <c r="E45" s="10"/>
      <c r="F45" s="36" t="s">
        <v>263</v>
      </c>
      <c r="G45" s="27" t="s">
        <v>295</v>
      </c>
      <c r="H45" s="27" t="s">
        <v>270</v>
      </c>
      <c r="I45" s="27"/>
      <c r="J45" s="27"/>
      <c r="K45" s="27" t="s">
        <v>2668</v>
      </c>
      <c r="L45" s="27"/>
      <c r="M45" s="30" t="s">
        <v>2618</v>
      </c>
      <c r="N45" s="1" t="s">
        <v>264</v>
      </c>
      <c r="O45" s="27" t="s">
        <v>2669</v>
      </c>
      <c r="P45" s="27"/>
    </row>
    <row r="46" spans="1:16" ht="24" customHeight="1">
      <c r="A46" s="30">
        <v>45702</v>
      </c>
      <c r="B46" s="27" t="s">
        <v>220</v>
      </c>
      <c r="C46" s="27" t="s">
        <v>2737</v>
      </c>
      <c r="D46" s="27" t="s">
        <v>2717</v>
      </c>
      <c r="E46" s="10">
        <v>1</v>
      </c>
      <c r="F46" s="36" t="s">
        <v>263</v>
      </c>
      <c r="G46" s="27" t="s">
        <v>269</v>
      </c>
      <c r="H46" s="27" t="s">
        <v>270</v>
      </c>
      <c r="I46" s="27"/>
      <c r="J46" s="27"/>
      <c r="K46" s="27" t="s">
        <v>367</v>
      </c>
      <c r="L46" s="27"/>
      <c r="M46" s="27"/>
      <c r="N46" s="1" t="s">
        <v>264</v>
      </c>
      <c r="O46" s="27" t="s">
        <v>2710</v>
      </c>
      <c r="P46" s="27"/>
    </row>
    <row r="47" spans="1:16" ht="24" customHeight="1">
      <c r="A47" s="30">
        <v>45703</v>
      </c>
      <c r="B47" s="27" t="s">
        <v>266</v>
      </c>
      <c r="C47" s="27" t="s">
        <v>300</v>
      </c>
      <c r="D47" s="27" t="s">
        <v>300</v>
      </c>
      <c r="E47" s="10"/>
      <c r="F47" s="36" t="s">
        <v>263</v>
      </c>
      <c r="G47" s="27" t="s">
        <v>269</v>
      </c>
      <c r="H47" s="27" t="s">
        <v>270</v>
      </c>
      <c r="I47" s="27" t="s">
        <v>382</v>
      </c>
      <c r="J47" s="27"/>
      <c r="K47" s="27" t="s">
        <v>2626</v>
      </c>
      <c r="L47" s="27"/>
      <c r="M47" s="27"/>
      <c r="N47" s="1" t="s">
        <v>264</v>
      </c>
      <c r="O47" s="27" t="s">
        <v>2738</v>
      </c>
      <c r="P47" s="27"/>
    </row>
    <row r="48" spans="1:16" ht="24" customHeight="1">
      <c r="A48" s="30">
        <v>45704</v>
      </c>
      <c r="B48" s="27" t="s">
        <v>267</v>
      </c>
      <c r="C48" s="27"/>
      <c r="D48" s="27"/>
      <c r="E48" s="10"/>
      <c r="F48" s="36" t="s">
        <v>263</v>
      </c>
      <c r="G48" s="27"/>
      <c r="H48" s="27"/>
      <c r="I48" s="27"/>
      <c r="J48" s="27"/>
      <c r="K48" s="27"/>
      <c r="L48" s="27"/>
      <c r="M48" s="27"/>
      <c r="N48" s="1" t="s">
        <v>264</v>
      </c>
      <c r="O48" s="27"/>
      <c r="P48" s="27"/>
    </row>
    <row r="49" spans="1:16" ht="24" customHeight="1">
      <c r="A49" s="30">
        <v>45705</v>
      </c>
      <c r="B49" s="27" t="s">
        <v>224</v>
      </c>
      <c r="C49" s="27" t="s">
        <v>326</v>
      </c>
      <c r="D49" s="27" t="s">
        <v>236</v>
      </c>
      <c r="E49" s="10">
        <v>35</v>
      </c>
      <c r="F49" s="36" t="s">
        <v>263</v>
      </c>
      <c r="G49" s="27" t="s">
        <v>269</v>
      </c>
      <c r="H49" s="27" t="s">
        <v>270</v>
      </c>
      <c r="I49" s="27"/>
      <c r="J49" s="27"/>
      <c r="K49" s="27" t="s">
        <v>2584</v>
      </c>
      <c r="L49" s="27"/>
      <c r="M49" s="27"/>
      <c r="N49" s="1" t="s">
        <v>264</v>
      </c>
      <c r="O49" s="27" t="s">
        <v>2739</v>
      </c>
      <c r="P49" s="27"/>
    </row>
    <row r="50" spans="1:16" ht="24" customHeight="1">
      <c r="A50" s="30">
        <v>45706</v>
      </c>
      <c r="B50" s="27" t="s">
        <v>227</v>
      </c>
      <c r="C50" s="27" t="s">
        <v>2740</v>
      </c>
      <c r="D50" s="27"/>
      <c r="E50" s="10"/>
      <c r="F50" s="36" t="s">
        <v>263</v>
      </c>
      <c r="G50" s="27"/>
      <c r="H50" s="27"/>
      <c r="I50" s="27"/>
      <c r="J50" s="27"/>
      <c r="K50" s="27"/>
      <c r="L50" s="27"/>
      <c r="M50" s="27"/>
      <c r="N50" s="1" t="s">
        <v>264</v>
      </c>
      <c r="O50" s="27"/>
      <c r="P50" s="27"/>
    </row>
    <row r="51" spans="1:16" ht="24" customHeight="1">
      <c r="A51" s="30">
        <v>45706</v>
      </c>
      <c r="B51" s="27" t="s">
        <v>227</v>
      </c>
      <c r="C51" s="27" t="s">
        <v>171</v>
      </c>
      <c r="D51" s="27" t="s">
        <v>2741</v>
      </c>
      <c r="E51" s="10">
        <v>50</v>
      </c>
      <c r="F51" s="36" t="s">
        <v>263</v>
      </c>
      <c r="G51" s="27" t="s">
        <v>315</v>
      </c>
      <c r="H51" s="27" t="s">
        <v>429</v>
      </c>
      <c r="I51" s="27"/>
      <c r="J51" s="27"/>
      <c r="K51" s="27" t="s">
        <v>583</v>
      </c>
      <c r="L51" s="27"/>
      <c r="M51" s="27"/>
      <c r="N51" s="3" t="s">
        <v>312</v>
      </c>
      <c r="O51" s="27" t="s">
        <v>2732</v>
      </c>
      <c r="P51" s="27"/>
    </row>
    <row r="52" spans="1:16" ht="24" customHeight="1">
      <c r="A52" s="30">
        <v>45706</v>
      </c>
      <c r="B52" s="27" t="s">
        <v>227</v>
      </c>
      <c r="C52" s="27" t="s">
        <v>954</v>
      </c>
      <c r="D52" s="27" t="s">
        <v>2742</v>
      </c>
      <c r="E52" s="10">
        <v>25</v>
      </c>
      <c r="F52" s="36" t="s">
        <v>263</v>
      </c>
      <c r="G52" s="27" t="s">
        <v>331</v>
      </c>
      <c r="H52" s="27" t="s">
        <v>350</v>
      </c>
      <c r="I52" s="27"/>
      <c r="J52" s="27"/>
      <c r="K52" s="27" t="s">
        <v>2743</v>
      </c>
      <c r="L52" s="27"/>
      <c r="M52" s="27"/>
      <c r="N52" s="1" t="s">
        <v>264</v>
      </c>
      <c r="O52" s="27" t="s">
        <v>2719</v>
      </c>
      <c r="P52" s="27"/>
    </row>
    <row r="53" spans="1:16" ht="24" customHeight="1">
      <c r="A53" s="30">
        <v>45706</v>
      </c>
      <c r="B53" s="27" t="s">
        <v>227</v>
      </c>
      <c r="C53" s="27" t="s">
        <v>171</v>
      </c>
      <c r="D53" s="27" t="s">
        <v>2744</v>
      </c>
      <c r="E53" s="10">
        <v>40</v>
      </c>
      <c r="F53" s="36" t="s">
        <v>263</v>
      </c>
      <c r="G53" s="27" t="s">
        <v>1405</v>
      </c>
      <c r="H53" s="27" t="s">
        <v>296</v>
      </c>
      <c r="I53" s="27"/>
      <c r="J53" s="27"/>
      <c r="K53" s="27" t="s">
        <v>2623</v>
      </c>
      <c r="L53" s="27"/>
      <c r="M53" s="27"/>
      <c r="N53" s="1" t="s">
        <v>264</v>
      </c>
      <c r="O53" s="27" t="s">
        <v>2745</v>
      </c>
      <c r="P53" s="27"/>
    </row>
    <row r="54" spans="1:16" ht="24" customHeight="1">
      <c r="A54" s="30">
        <v>45707</v>
      </c>
      <c r="B54" s="27" t="s">
        <v>201</v>
      </c>
      <c r="C54" s="27" t="s">
        <v>2740</v>
      </c>
      <c r="D54" s="27" t="s">
        <v>2717</v>
      </c>
      <c r="E54" s="10">
        <v>1</v>
      </c>
      <c r="F54" s="36" t="s">
        <v>263</v>
      </c>
      <c r="G54" s="27" t="s">
        <v>275</v>
      </c>
      <c r="H54" s="27" t="s">
        <v>270</v>
      </c>
      <c r="I54" s="27"/>
      <c r="J54" s="27"/>
      <c r="K54" s="27" t="s">
        <v>507</v>
      </c>
      <c r="L54" s="27"/>
      <c r="M54" s="27"/>
      <c r="N54" s="1" t="s">
        <v>264</v>
      </c>
      <c r="O54" s="27" t="s">
        <v>2746</v>
      </c>
      <c r="P54" s="27"/>
    </row>
    <row r="55" spans="1:16" ht="24" customHeight="1">
      <c r="A55" s="30">
        <v>45707</v>
      </c>
      <c r="B55" s="27" t="s">
        <v>201</v>
      </c>
      <c r="C55" s="27" t="s">
        <v>171</v>
      </c>
      <c r="D55" s="27"/>
      <c r="E55" s="10">
        <v>30</v>
      </c>
      <c r="F55" s="36" t="s">
        <v>263</v>
      </c>
      <c r="G55" s="27" t="s">
        <v>269</v>
      </c>
      <c r="H55" s="27" t="s">
        <v>274</v>
      </c>
      <c r="I55" s="27"/>
      <c r="J55" s="27"/>
      <c r="K55" s="27" t="s">
        <v>2747</v>
      </c>
      <c r="L55" s="27"/>
      <c r="M55" s="27"/>
      <c r="N55" s="1" t="s">
        <v>264</v>
      </c>
      <c r="O55" s="27"/>
      <c r="P55" s="27"/>
    </row>
    <row r="56" spans="1:16" ht="24" customHeight="1">
      <c r="A56" s="30">
        <v>45707</v>
      </c>
      <c r="B56" s="27" t="s">
        <v>201</v>
      </c>
      <c r="C56" s="27" t="s">
        <v>2740</v>
      </c>
      <c r="D56" s="27" t="s">
        <v>2717</v>
      </c>
      <c r="E56" s="10">
        <v>1</v>
      </c>
      <c r="F56" s="36" t="s">
        <v>263</v>
      </c>
      <c r="G56" s="27" t="s">
        <v>269</v>
      </c>
      <c r="H56" s="27" t="s">
        <v>270</v>
      </c>
      <c r="I56" s="27"/>
      <c r="J56" s="27"/>
      <c r="K56" s="27" t="s">
        <v>2639</v>
      </c>
      <c r="L56" s="27"/>
      <c r="M56" s="27"/>
      <c r="N56" s="3" t="s">
        <v>312</v>
      </c>
      <c r="O56" s="27" t="s">
        <v>2748</v>
      </c>
      <c r="P56" s="27"/>
    </row>
    <row r="57" spans="1:16" ht="24" customHeight="1">
      <c r="A57" s="30">
        <v>45707</v>
      </c>
      <c r="B57" s="27" t="s">
        <v>201</v>
      </c>
      <c r="C57" s="27" t="s">
        <v>2749</v>
      </c>
      <c r="D57" s="27" t="s">
        <v>2717</v>
      </c>
      <c r="E57" s="10">
        <v>1</v>
      </c>
      <c r="F57" s="36" t="s">
        <v>263</v>
      </c>
      <c r="G57" s="27" t="s">
        <v>2750</v>
      </c>
      <c r="H57" s="27" t="s">
        <v>274</v>
      </c>
      <c r="I57" s="27"/>
      <c r="J57" s="27"/>
      <c r="K57" s="27" t="s">
        <v>2751</v>
      </c>
      <c r="L57" s="27"/>
      <c r="M57" s="27"/>
      <c r="N57" s="3" t="s">
        <v>312</v>
      </c>
      <c r="O57" s="27" t="s">
        <v>2752</v>
      </c>
      <c r="P57" s="27"/>
    </row>
    <row r="58" spans="1:16" ht="24" customHeight="1">
      <c r="A58" s="30">
        <v>45707</v>
      </c>
      <c r="B58" s="27" t="s">
        <v>201</v>
      </c>
      <c r="C58" s="27" t="s">
        <v>954</v>
      </c>
      <c r="D58" s="27" t="s">
        <v>344</v>
      </c>
      <c r="E58" s="10">
        <v>30</v>
      </c>
      <c r="F58" s="36" t="s">
        <v>263</v>
      </c>
      <c r="G58" s="27" t="s">
        <v>429</v>
      </c>
      <c r="H58" s="27" t="s">
        <v>309</v>
      </c>
      <c r="I58" s="27"/>
      <c r="J58" s="27"/>
      <c r="K58" s="27" t="s">
        <v>2753</v>
      </c>
      <c r="L58" s="27"/>
      <c r="M58" s="27"/>
      <c r="N58" s="1" t="s">
        <v>264</v>
      </c>
      <c r="O58" s="27" t="s">
        <v>2754</v>
      </c>
      <c r="P58" s="27"/>
    </row>
    <row r="59" spans="1:16" ht="24" customHeight="1">
      <c r="A59" s="30">
        <v>45707</v>
      </c>
      <c r="B59" s="27" t="s">
        <v>201</v>
      </c>
      <c r="C59" s="27" t="s">
        <v>171</v>
      </c>
      <c r="D59" s="27" t="s">
        <v>2755</v>
      </c>
      <c r="E59" s="10">
        <v>60</v>
      </c>
      <c r="F59" s="36" t="s">
        <v>263</v>
      </c>
      <c r="G59" s="27" t="s">
        <v>483</v>
      </c>
      <c r="H59" s="27" t="s">
        <v>290</v>
      </c>
      <c r="I59" s="27"/>
      <c r="J59" s="27"/>
      <c r="K59" s="27" t="s">
        <v>367</v>
      </c>
      <c r="L59" s="27"/>
      <c r="M59" s="27"/>
      <c r="N59" s="1" t="s">
        <v>264</v>
      </c>
      <c r="O59" s="27" t="s">
        <v>2732</v>
      </c>
      <c r="P59" s="27"/>
    </row>
    <row r="60" spans="1:16" ht="24" customHeight="1">
      <c r="A60" s="30">
        <v>45707</v>
      </c>
      <c r="B60" s="27" t="s">
        <v>201</v>
      </c>
      <c r="C60" s="27" t="s">
        <v>2756</v>
      </c>
      <c r="D60" s="27" t="s">
        <v>2757</v>
      </c>
      <c r="E60" s="10"/>
      <c r="F60" s="36" t="s">
        <v>263</v>
      </c>
      <c r="G60" s="27" t="s">
        <v>269</v>
      </c>
      <c r="H60" s="27" t="s">
        <v>270</v>
      </c>
      <c r="I60" s="27"/>
      <c r="J60" s="27"/>
      <c r="K60" s="27" t="s">
        <v>1386</v>
      </c>
      <c r="L60" s="27"/>
      <c r="M60" s="27"/>
      <c r="N60" s="1" t="s">
        <v>264</v>
      </c>
      <c r="O60" s="27" t="s">
        <v>2758</v>
      </c>
      <c r="P60" s="27"/>
    </row>
    <row r="61" spans="1:16" ht="24" customHeight="1">
      <c r="A61" s="30">
        <v>45707</v>
      </c>
      <c r="B61" s="27" t="s">
        <v>201</v>
      </c>
      <c r="C61" s="27" t="s">
        <v>2759</v>
      </c>
      <c r="D61" s="27" t="s">
        <v>2760</v>
      </c>
      <c r="E61" s="10"/>
      <c r="F61" s="36" t="s">
        <v>263</v>
      </c>
      <c r="G61" s="27" t="s">
        <v>269</v>
      </c>
      <c r="H61" s="27" t="s">
        <v>270</v>
      </c>
      <c r="I61" s="27"/>
      <c r="J61" s="27"/>
      <c r="K61" s="27" t="s">
        <v>2761</v>
      </c>
      <c r="L61" s="27"/>
      <c r="M61" s="27"/>
      <c r="N61" s="1" t="s">
        <v>264</v>
      </c>
      <c r="O61" s="27" t="s">
        <v>2762</v>
      </c>
      <c r="P61" s="27"/>
    </row>
    <row r="62" spans="1:16" ht="24" customHeight="1">
      <c r="A62" s="30">
        <v>45708</v>
      </c>
      <c r="B62" s="27" t="s">
        <v>216</v>
      </c>
      <c r="C62" s="27" t="s">
        <v>2749</v>
      </c>
      <c r="D62" s="27" t="s">
        <v>2717</v>
      </c>
      <c r="E62" s="10">
        <v>1</v>
      </c>
      <c r="F62" s="36" t="s">
        <v>263</v>
      </c>
      <c r="G62" s="27" t="s">
        <v>269</v>
      </c>
      <c r="H62" s="27" t="s">
        <v>270</v>
      </c>
      <c r="I62" s="27"/>
      <c r="J62" s="27"/>
      <c r="K62" s="27" t="s">
        <v>2639</v>
      </c>
      <c r="L62" s="27"/>
      <c r="M62" s="27"/>
      <c r="N62" s="3" t="s">
        <v>312</v>
      </c>
      <c r="O62" s="27" t="s">
        <v>2748</v>
      </c>
      <c r="P62" s="27"/>
    </row>
    <row r="63" spans="1:16" ht="24" customHeight="1">
      <c r="A63" s="30">
        <v>45708</v>
      </c>
      <c r="B63" s="27" t="s">
        <v>216</v>
      </c>
      <c r="C63" s="27" t="s">
        <v>2763</v>
      </c>
      <c r="D63" s="27" t="s">
        <v>2717</v>
      </c>
      <c r="E63" s="10"/>
      <c r="F63" s="36" t="s">
        <v>263</v>
      </c>
      <c r="G63" s="27"/>
      <c r="H63" s="27"/>
      <c r="I63" s="27"/>
      <c r="J63" s="27"/>
      <c r="K63" s="27"/>
      <c r="L63" s="27"/>
      <c r="M63" s="27"/>
      <c r="N63" s="3" t="s">
        <v>312</v>
      </c>
      <c r="O63" s="27"/>
      <c r="P63" s="27"/>
    </row>
    <row r="64" spans="1:16" ht="24" customHeight="1">
      <c r="A64" s="30">
        <v>45708</v>
      </c>
      <c r="B64" s="27" t="s">
        <v>216</v>
      </c>
      <c r="C64" s="27" t="s">
        <v>2759</v>
      </c>
      <c r="D64" s="27" t="s">
        <v>2760</v>
      </c>
      <c r="E64" s="10"/>
      <c r="F64" s="36" t="s">
        <v>263</v>
      </c>
      <c r="G64" s="27" t="s">
        <v>269</v>
      </c>
      <c r="H64" s="27" t="s">
        <v>270</v>
      </c>
      <c r="I64" s="27"/>
      <c r="J64" s="27"/>
      <c r="K64" s="27" t="s">
        <v>2761</v>
      </c>
      <c r="L64" s="27"/>
      <c r="M64" s="27"/>
      <c r="N64" s="1" t="s">
        <v>264</v>
      </c>
      <c r="O64" s="27" t="s">
        <v>2762</v>
      </c>
      <c r="P64" s="27"/>
    </row>
    <row r="65" spans="1:16" ht="24" customHeight="1">
      <c r="A65" s="30">
        <v>45708</v>
      </c>
      <c r="B65" s="27" t="s">
        <v>216</v>
      </c>
      <c r="C65" s="27" t="s">
        <v>1112</v>
      </c>
      <c r="D65" s="27" t="s">
        <v>2758</v>
      </c>
      <c r="E65" s="10"/>
      <c r="F65" s="36" t="s">
        <v>263</v>
      </c>
      <c r="G65" s="27" t="s">
        <v>269</v>
      </c>
      <c r="H65" s="27" t="s">
        <v>270</v>
      </c>
      <c r="I65" s="27"/>
      <c r="J65" s="27"/>
      <c r="K65" s="27"/>
      <c r="L65" s="27"/>
      <c r="M65" s="27"/>
      <c r="N65" s="1" t="s">
        <v>264</v>
      </c>
      <c r="O65" s="27"/>
      <c r="P65" s="27"/>
    </row>
    <row r="66" spans="1:16" ht="24" customHeight="1">
      <c r="A66" s="30">
        <v>45708</v>
      </c>
      <c r="B66" s="27" t="s">
        <v>216</v>
      </c>
      <c r="C66" s="27" t="s">
        <v>2715</v>
      </c>
      <c r="D66" s="27" t="s">
        <v>2764</v>
      </c>
      <c r="E66" s="10">
        <v>1</v>
      </c>
      <c r="F66" s="36" t="s">
        <v>263</v>
      </c>
      <c r="G66" s="27" t="s">
        <v>269</v>
      </c>
      <c r="H66" s="27" t="s">
        <v>270</v>
      </c>
      <c r="I66" s="27"/>
      <c r="J66" s="27"/>
      <c r="K66" s="27"/>
      <c r="L66" s="27"/>
      <c r="M66" s="27"/>
      <c r="N66" s="1" t="s">
        <v>264</v>
      </c>
      <c r="O66" s="27"/>
      <c r="P66" s="27"/>
    </row>
    <row r="67" spans="1:16" ht="24" customHeight="1">
      <c r="A67" s="30">
        <v>45708</v>
      </c>
      <c r="B67" s="27" t="s">
        <v>216</v>
      </c>
      <c r="C67" s="27" t="s">
        <v>2765</v>
      </c>
      <c r="D67" s="27" t="s">
        <v>2766</v>
      </c>
      <c r="E67" s="10" t="s">
        <v>2767</v>
      </c>
      <c r="F67" s="36" t="s">
        <v>263</v>
      </c>
      <c r="G67" s="27"/>
      <c r="H67" s="27"/>
      <c r="I67" s="27"/>
      <c r="J67" s="27"/>
      <c r="K67" s="27"/>
      <c r="L67" s="27"/>
      <c r="M67" s="27"/>
      <c r="N67" s="1" t="s">
        <v>264</v>
      </c>
      <c r="O67" s="27"/>
      <c r="P67" s="27"/>
    </row>
    <row r="68" spans="1:16" ht="24" customHeight="1">
      <c r="A68" s="30">
        <v>45708</v>
      </c>
      <c r="B68" s="27" t="s">
        <v>216</v>
      </c>
      <c r="C68" s="27" t="s">
        <v>326</v>
      </c>
      <c r="D68" s="27"/>
      <c r="E68" s="10"/>
      <c r="F68" s="36" t="s">
        <v>263</v>
      </c>
      <c r="G68" s="27"/>
      <c r="H68" s="27"/>
      <c r="I68" s="27"/>
      <c r="J68" s="27"/>
      <c r="K68" s="27"/>
      <c r="L68" s="27"/>
      <c r="M68" s="27"/>
      <c r="N68" s="1" t="s">
        <v>264</v>
      </c>
      <c r="O68" s="27"/>
      <c r="P68" s="27"/>
    </row>
    <row r="69" spans="1:16" ht="24" customHeight="1">
      <c r="A69" s="30">
        <v>45708</v>
      </c>
      <c r="B69" s="27" t="s">
        <v>216</v>
      </c>
      <c r="C69" s="27" t="s">
        <v>326</v>
      </c>
      <c r="D69" s="27" t="s">
        <v>2768</v>
      </c>
      <c r="E69" s="10"/>
      <c r="F69" s="36" t="s">
        <v>263</v>
      </c>
      <c r="G69" s="27" t="s">
        <v>290</v>
      </c>
      <c r="H69" s="27" t="s">
        <v>1320</v>
      </c>
      <c r="I69" s="27"/>
      <c r="J69" s="27"/>
      <c r="K69" s="27" t="s">
        <v>367</v>
      </c>
      <c r="L69" s="27"/>
      <c r="M69" s="27"/>
      <c r="N69" s="1" t="s">
        <v>264</v>
      </c>
      <c r="O69" s="27" t="s">
        <v>2769</v>
      </c>
      <c r="P69" s="27"/>
    </row>
    <row r="70" spans="1:16" ht="24" customHeight="1">
      <c r="A70" s="30">
        <v>45708</v>
      </c>
      <c r="B70" s="27" t="s">
        <v>216</v>
      </c>
      <c r="C70" s="27" t="s">
        <v>579</v>
      </c>
      <c r="D70" s="27"/>
      <c r="E70" s="10" t="s">
        <v>2770</v>
      </c>
      <c r="F70" s="36" t="s">
        <v>263</v>
      </c>
      <c r="G70" s="27"/>
      <c r="H70" s="27"/>
      <c r="I70" s="27"/>
      <c r="J70" s="27"/>
      <c r="K70" s="27"/>
      <c r="L70" s="27"/>
      <c r="M70" s="27"/>
      <c r="N70" s="1" t="s">
        <v>264</v>
      </c>
      <c r="O70" s="27"/>
      <c r="P70" s="27"/>
    </row>
    <row r="71" spans="1:16" ht="24" customHeight="1">
      <c r="A71" s="30">
        <v>45708</v>
      </c>
      <c r="B71" s="27" t="s">
        <v>216</v>
      </c>
      <c r="C71" s="27" t="s">
        <v>2771</v>
      </c>
      <c r="D71" s="27"/>
      <c r="E71" s="10" t="s">
        <v>2772</v>
      </c>
      <c r="F71" s="36" t="s">
        <v>263</v>
      </c>
      <c r="G71" s="27"/>
      <c r="H71" s="27"/>
      <c r="I71" s="27"/>
      <c r="J71" s="27"/>
      <c r="K71" s="27"/>
      <c r="L71" s="27"/>
      <c r="M71" s="27"/>
      <c r="N71" s="1" t="s">
        <v>264</v>
      </c>
      <c r="O71" s="27"/>
      <c r="P71" s="27"/>
    </row>
    <row r="72" spans="1:16" ht="24" customHeight="1">
      <c r="A72" s="30">
        <v>45708</v>
      </c>
      <c r="B72" s="27" t="s">
        <v>216</v>
      </c>
      <c r="C72" s="27" t="s">
        <v>2716</v>
      </c>
      <c r="D72" s="27"/>
      <c r="E72" s="10" t="s">
        <v>2773</v>
      </c>
      <c r="F72" s="36" t="s">
        <v>263</v>
      </c>
      <c r="G72" s="27"/>
      <c r="H72" s="27"/>
      <c r="I72" s="27"/>
      <c r="J72" s="27"/>
      <c r="K72" s="27"/>
      <c r="L72" s="27"/>
      <c r="M72" s="27"/>
      <c r="N72" s="1" t="s">
        <v>264</v>
      </c>
      <c r="O72" s="27"/>
      <c r="P72" s="27"/>
    </row>
    <row r="73" spans="1:16" ht="24" customHeight="1">
      <c r="A73" s="30">
        <v>45708</v>
      </c>
      <c r="B73" s="27" t="s">
        <v>216</v>
      </c>
      <c r="C73" s="27" t="s">
        <v>2774</v>
      </c>
      <c r="D73" s="27"/>
      <c r="E73" s="10" t="s">
        <v>2775</v>
      </c>
      <c r="F73" s="36" t="s">
        <v>263</v>
      </c>
      <c r="G73" s="27"/>
      <c r="H73" s="27"/>
      <c r="I73" s="27"/>
      <c r="J73" s="27"/>
      <c r="K73" s="27" t="s">
        <v>367</v>
      </c>
      <c r="L73" s="27"/>
      <c r="M73" s="27"/>
      <c r="N73" s="1" t="s">
        <v>264</v>
      </c>
      <c r="O73" s="27" t="s">
        <v>2776</v>
      </c>
      <c r="P73" s="27"/>
    </row>
    <row r="74" spans="1:16" ht="24" customHeight="1">
      <c r="A74" s="30">
        <v>45708</v>
      </c>
      <c r="B74" s="27" t="s">
        <v>216</v>
      </c>
      <c r="C74" s="27" t="s">
        <v>2777</v>
      </c>
      <c r="D74" s="27"/>
      <c r="E74" s="10" t="s">
        <v>2773</v>
      </c>
      <c r="F74" s="36" t="s">
        <v>263</v>
      </c>
      <c r="G74" s="27"/>
      <c r="H74" s="27"/>
      <c r="I74" s="27"/>
      <c r="J74" s="27"/>
      <c r="K74" s="27" t="s">
        <v>367</v>
      </c>
      <c r="L74" s="27"/>
      <c r="M74" s="27"/>
      <c r="N74" s="1" t="s">
        <v>264</v>
      </c>
      <c r="O74" s="27" t="s">
        <v>2776</v>
      </c>
      <c r="P74" s="27"/>
    </row>
    <row r="75" spans="1:16" ht="24" customHeight="1">
      <c r="A75" s="30">
        <v>45708</v>
      </c>
      <c r="B75" s="27" t="s">
        <v>216</v>
      </c>
      <c r="C75" s="27" t="s">
        <v>2778</v>
      </c>
      <c r="D75" s="27"/>
      <c r="E75" s="10"/>
      <c r="F75" s="36" t="s">
        <v>263</v>
      </c>
      <c r="G75" s="27" t="s">
        <v>338</v>
      </c>
      <c r="H75" s="27" t="s">
        <v>274</v>
      </c>
      <c r="I75" s="27"/>
      <c r="J75" s="27"/>
      <c r="K75" s="27"/>
      <c r="L75" s="27"/>
      <c r="M75" s="27"/>
      <c r="N75" s="1" t="s">
        <v>264</v>
      </c>
      <c r="O75" s="27" t="s">
        <v>2779</v>
      </c>
      <c r="P75" s="27"/>
    </row>
    <row r="76" spans="1:16" ht="24" customHeight="1">
      <c r="A76" s="30">
        <v>45708</v>
      </c>
      <c r="B76" s="27" t="s">
        <v>216</v>
      </c>
      <c r="C76" s="27" t="s">
        <v>171</v>
      </c>
      <c r="D76" s="27" t="s">
        <v>2758</v>
      </c>
      <c r="E76" s="10"/>
      <c r="F76" s="36" t="s">
        <v>263</v>
      </c>
      <c r="G76" s="27" t="s">
        <v>269</v>
      </c>
      <c r="H76" s="27" t="s">
        <v>270</v>
      </c>
      <c r="I76" s="27"/>
      <c r="J76" s="27"/>
      <c r="K76" s="27" t="s">
        <v>1369</v>
      </c>
      <c r="L76" s="27"/>
      <c r="M76" s="27"/>
      <c r="N76" s="1" t="s">
        <v>264</v>
      </c>
      <c r="O76" s="27" t="s">
        <v>2758</v>
      </c>
      <c r="P76" s="27"/>
    </row>
    <row r="77" spans="1:16" ht="24" customHeight="1">
      <c r="A77" s="30">
        <v>45709</v>
      </c>
      <c r="B77" s="27" t="s">
        <v>220</v>
      </c>
      <c r="C77" s="27" t="s">
        <v>2759</v>
      </c>
      <c r="D77" s="27" t="s">
        <v>2780</v>
      </c>
      <c r="E77" s="10"/>
      <c r="F77" s="36" t="s">
        <v>263</v>
      </c>
      <c r="G77" s="27" t="s">
        <v>269</v>
      </c>
      <c r="H77" s="27" t="s">
        <v>270</v>
      </c>
      <c r="I77" s="27"/>
      <c r="J77" s="27"/>
      <c r="K77" s="27" t="s">
        <v>2761</v>
      </c>
      <c r="L77" s="27"/>
      <c r="M77" s="27"/>
      <c r="N77" s="1" t="s">
        <v>264</v>
      </c>
      <c r="O77" s="27" t="s">
        <v>2762</v>
      </c>
      <c r="P77" s="27"/>
    </row>
    <row r="78" spans="1:16" ht="24" customHeight="1">
      <c r="A78" s="30">
        <v>45709</v>
      </c>
      <c r="B78" s="27" t="s">
        <v>220</v>
      </c>
      <c r="C78" s="27" t="s">
        <v>2749</v>
      </c>
      <c r="D78" s="27" t="s">
        <v>2717</v>
      </c>
      <c r="E78" s="10"/>
      <c r="F78" s="36" t="s">
        <v>263</v>
      </c>
      <c r="G78" s="27" t="s">
        <v>269</v>
      </c>
      <c r="H78" s="27" t="s">
        <v>270</v>
      </c>
      <c r="I78" s="27"/>
      <c r="J78" s="27"/>
      <c r="K78" s="27" t="s">
        <v>2639</v>
      </c>
      <c r="L78" s="27"/>
      <c r="M78" s="27"/>
      <c r="N78" s="1" t="s">
        <v>264</v>
      </c>
      <c r="O78" s="27" t="s">
        <v>2748</v>
      </c>
      <c r="P78" s="27"/>
    </row>
    <row r="79" spans="1:16" ht="24" customHeight="1">
      <c r="A79" s="30">
        <v>45709</v>
      </c>
      <c r="B79" s="27" t="s">
        <v>220</v>
      </c>
      <c r="C79" s="27" t="s">
        <v>2763</v>
      </c>
      <c r="D79" s="27"/>
      <c r="E79" s="10"/>
      <c r="F79" s="36" t="s">
        <v>263</v>
      </c>
      <c r="G79" s="27"/>
      <c r="H79" s="27"/>
      <c r="I79" s="27"/>
      <c r="J79" s="27"/>
      <c r="K79" s="27"/>
      <c r="L79" s="27"/>
      <c r="M79" s="27"/>
      <c r="N79" s="1" t="s">
        <v>264</v>
      </c>
      <c r="O79" s="27"/>
      <c r="P79" s="27"/>
    </row>
    <row r="80" spans="1:16" ht="24" customHeight="1">
      <c r="A80" s="30">
        <v>45709</v>
      </c>
      <c r="B80" s="27" t="s">
        <v>220</v>
      </c>
      <c r="C80" s="27" t="s">
        <v>579</v>
      </c>
      <c r="D80" s="27"/>
      <c r="E80" s="10" t="s">
        <v>2770</v>
      </c>
      <c r="F80" s="36" t="s">
        <v>263</v>
      </c>
      <c r="G80" s="27"/>
      <c r="H80" s="27"/>
      <c r="I80" s="27"/>
      <c r="J80" s="27"/>
      <c r="K80" s="27"/>
      <c r="L80" s="27"/>
      <c r="M80" s="27"/>
      <c r="N80" s="1" t="s">
        <v>264</v>
      </c>
      <c r="O80" s="27"/>
      <c r="P80" s="27"/>
    </row>
    <row r="81" spans="1:16" ht="24" customHeight="1">
      <c r="A81" s="30">
        <v>45709</v>
      </c>
      <c r="B81" s="27" t="s">
        <v>220</v>
      </c>
      <c r="C81" s="27" t="s">
        <v>2771</v>
      </c>
      <c r="D81" s="27"/>
      <c r="E81" s="10" t="s">
        <v>2772</v>
      </c>
      <c r="F81" s="36" t="s">
        <v>263</v>
      </c>
      <c r="G81" s="27"/>
      <c r="H81" s="27"/>
      <c r="I81" s="27"/>
      <c r="J81" s="27"/>
      <c r="K81" s="27"/>
      <c r="L81" s="27"/>
      <c r="M81" s="27"/>
      <c r="N81" s="1" t="s">
        <v>264</v>
      </c>
      <c r="O81" s="27"/>
      <c r="P81" s="27"/>
    </row>
    <row r="82" spans="1:16" ht="24" customHeight="1">
      <c r="A82" s="30">
        <v>45709</v>
      </c>
      <c r="B82" s="27" t="s">
        <v>220</v>
      </c>
      <c r="C82" s="27" t="s">
        <v>2781</v>
      </c>
      <c r="D82" s="27"/>
      <c r="E82" s="10" t="s">
        <v>2767</v>
      </c>
      <c r="F82" s="36" t="s">
        <v>263</v>
      </c>
      <c r="G82" s="27"/>
      <c r="H82" s="27"/>
      <c r="I82" s="27"/>
      <c r="J82" s="27"/>
      <c r="K82" s="27"/>
      <c r="L82" s="27"/>
      <c r="M82" s="27"/>
      <c r="N82" s="1" t="s">
        <v>264</v>
      </c>
      <c r="O82" s="27"/>
      <c r="P82" s="27"/>
    </row>
    <row r="83" spans="1:16" ht="24" customHeight="1">
      <c r="A83" s="30">
        <v>45709</v>
      </c>
      <c r="B83" s="27" t="s">
        <v>220</v>
      </c>
      <c r="C83" s="27" t="s">
        <v>2777</v>
      </c>
      <c r="D83" s="27"/>
      <c r="E83" s="10" t="s">
        <v>2773</v>
      </c>
      <c r="F83" s="36" t="s">
        <v>263</v>
      </c>
      <c r="G83" s="27"/>
      <c r="H83" s="27"/>
      <c r="I83" s="27"/>
      <c r="J83" s="27"/>
      <c r="K83" s="27"/>
      <c r="L83" s="27"/>
      <c r="M83" s="27"/>
      <c r="N83" s="1" t="s">
        <v>264</v>
      </c>
      <c r="O83" s="27"/>
      <c r="P83" s="27"/>
    </row>
    <row r="84" spans="1:16" ht="24" customHeight="1">
      <c r="A84" s="30">
        <v>45709</v>
      </c>
      <c r="B84" s="27" t="s">
        <v>220</v>
      </c>
      <c r="C84" s="27" t="s">
        <v>2782</v>
      </c>
      <c r="D84" s="27"/>
      <c r="E84" s="10"/>
      <c r="F84" s="36" t="s">
        <v>263</v>
      </c>
      <c r="G84" s="27"/>
      <c r="H84" s="27"/>
      <c r="I84" s="27"/>
      <c r="J84" s="27"/>
      <c r="K84" s="27"/>
      <c r="L84" s="27"/>
      <c r="M84" s="27"/>
      <c r="N84" s="1" t="s">
        <v>264</v>
      </c>
      <c r="O84" s="27"/>
      <c r="P84" s="27"/>
    </row>
    <row r="85" spans="1:16" ht="24" customHeight="1">
      <c r="A85" s="30">
        <v>45709</v>
      </c>
      <c r="B85" s="27" t="s">
        <v>220</v>
      </c>
      <c r="C85" s="27" t="s">
        <v>2783</v>
      </c>
      <c r="D85" s="27"/>
      <c r="E85" s="10"/>
      <c r="F85" s="36" t="s">
        <v>263</v>
      </c>
      <c r="G85" s="27"/>
      <c r="H85" s="27"/>
      <c r="I85" s="27"/>
      <c r="J85" s="27"/>
      <c r="K85" s="27"/>
      <c r="L85" s="27"/>
      <c r="M85" s="27"/>
      <c r="N85" s="1" t="s">
        <v>264</v>
      </c>
      <c r="O85" s="27" t="s">
        <v>2784</v>
      </c>
      <c r="P85" s="27"/>
    </row>
    <row r="86" spans="1:16" ht="24" customHeight="1">
      <c r="A86" s="30">
        <v>45709</v>
      </c>
      <c r="B86" s="27" t="s">
        <v>220</v>
      </c>
      <c r="C86" s="27" t="s">
        <v>326</v>
      </c>
      <c r="D86" s="27" t="s">
        <v>2785</v>
      </c>
      <c r="E86" s="10"/>
      <c r="F86" s="36" t="s">
        <v>263</v>
      </c>
      <c r="G86" s="27" t="s">
        <v>330</v>
      </c>
      <c r="H86" s="27" t="s">
        <v>331</v>
      </c>
      <c r="I86" s="27"/>
      <c r="J86" s="27"/>
      <c r="K86" s="27"/>
      <c r="L86" s="27"/>
      <c r="M86" s="27"/>
      <c r="N86" s="1" t="s">
        <v>264</v>
      </c>
      <c r="O86" s="27"/>
      <c r="P86" s="27"/>
    </row>
    <row r="87" spans="1:16" ht="24" customHeight="1">
      <c r="A87" s="30">
        <v>45709</v>
      </c>
      <c r="B87" s="27" t="s">
        <v>220</v>
      </c>
      <c r="C87" s="27" t="s">
        <v>2786</v>
      </c>
      <c r="D87" s="27" t="s">
        <v>2787</v>
      </c>
      <c r="E87" s="10">
        <v>24</v>
      </c>
      <c r="F87" s="36" t="s">
        <v>263</v>
      </c>
      <c r="G87" s="27" t="s">
        <v>354</v>
      </c>
      <c r="H87" s="27" t="s">
        <v>289</v>
      </c>
      <c r="I87" s="27"/>
      <c r="J87" s="27"/>
      <c r="K87" s="27" t="s">
        <v>2788</v>
      </c>
      <c r="L87" s="27"/>
      <c r="M87" s="27"/>
      <c r="N87" s="1" t="s">
        <v>264</v>
      </c>
      <c r="O87" s="27" t="s">
        <v>2789</v>
      </c>
      <c r="P87" s="27"/>
    </row>
    <row r="88" spans="1:16" ht="24" customHeight="1">
      <c r="A88" s="30">
        <v>45709</v>
      </c>
      <c r="B88" s="27" t="s">
        <v>220</v>
      </c>
      <c r="C88" s="27" t="s">
        <v>171</v>
      </c>
      <c r="D88" s="27" t="s">
        <v>2741</v>
      </c>
      <c r="E88" s="10"/>
      <c r="F88" s="36" t="s">
        <v>263</v>
      </c>
      <c r="G88" s="27" t="s">
        <v>315</v>
      </c>
      <c r="H88" s="27" t="s">
        <v>330</v>
      </c>
      <c r="I88" s="27"/>
      <c r="J88" s="27"/>
      <c r="K88" s="27" t="s">
        <v>583</v>
      </c>
      <c r="L88" s="27"/>
      <c r="M88" s="27"/>
      <c r="N88" s="1" t="s">
        <v>264</v>
      </c>
      <c r="O88" s="27" t="s">
        <v>2732</v>
      </c>
      <c r="P88" s="27"/>
    </row>
    <row r="89" spans="1:16" ht="24" customHeight="1">
      <c r="A89" s="30">
        <v>45710</v>
      </c>
      <c r="B89" s="27" t="s">
        <v>266</v>
      </c>
      <c r="C89" s="27" t="s">
        <v>171</v>
      </c>
      <c r="D89" s="27" t="s">
        <v>300</v>
      </c>
      <c r="E89" s="10"/>
      <c r="F89" s="36" t="s">
        <v>263</v>
      </c>
      <c r="G89" s="27" t="s">
        <v>269</v>
      </c>
      <c r="H89" s="27" t="s">
        <v>270</v>
      </c>
      <c r="I89" s="27" t="s">
        <v>382</v>
      </c>
      <c r="J89" s="27"/>
      <c r="K89" s="27" t="s">
        <v>2626</v>
      </c>
      <c r="L89" s="27"/>
      <c r="M89" s="27"/>
      <c r="N89" s="1" t="s">
        <v>264</v>
      </c>
      <c r="O89" s="27" t="s">
        <v>2738</v>
      </c>
      <c r="P89" s="27"/>
    </row>
    <row r="90" spans="1:16" ht="24" customHeight="1">
      <c r="A90" s="30">
        <v>45712</v>
      </c>
      <c r="B90" s="27" t="s">
        <v>224</v>
      </c>
      <c r="C90" s="27" t="s">
        <v>171</v>
      </c>
      <c r="D90" s="27" t="s">
        <v>236</v>
      </c>
      <c r="E90" s="10" t="s">
        <v>2790</v>
      </c>
      <c r="F90" s="36" t="s">
        <v>263</v>
      </c>
      <c r="G90" s="27" t="s">
        <v>269</v>
      </c>
      <c r="H90" s="27" t="s">
        <v>270</v>
      </c>
      <c r="I90" s="27"/>
      <c r="J90" s="27"/>
      <c r="K90" s="27" t="s">
        <v>2584</v>
      </c>
      <c r="L90" s="27"/>
      <c r="M90" s="27"/>
      <c r="N90" s="1" t="s">
        <v>264</v>
      </c>
      <c r="O90" s="27" t="s">
        <v>1177</v>
      </c>
      <c r="P90" s="27"/>
    </row>
    <row r="91" spans="1:16" ht="24" customHeight="1">
      <c r="A91" s="30">
        <v>45712</v>
      </c>
      <c r="B91" s="27" t="s">
        <v>224</v>
      </c>
      <c r="C91" s="27" t="s">
        <v>954</v>
      </c>
      <c r="D91" s="27" t="s">
        <v>236</v>
      </c>
      <c r="E91" s="10"/>
      <c r="F91" s="36" t="s">
        <v>263</v>
      </c>
      <c r="G91" s="27" t="s">
        <v>506</v>
      </c>
      <c r="H91" s="27" t="s">
        <v>544</v>
      </c>
      <c r="I91" s="27"/>
      <c r="J91" s="27"/>
      <c r="K91" s="27" t="s">
        <v>2584</v>
      </c>
      <c r="L91" s="27"/>
      <c r="M91" s="27"/>
      <c r="N91" s="1" t="s">
        <v>264</v>
      </c>
      <c r="O91" s="27" t="s">
        <v>2791</v>
      </c>
      <c r="P91" s="27"/>
    </row>
    <row r="92" spans="1:16" ht="24" customHeight="1">
      <c r="A92" s="30">
        <v>45713</v>
      </c>
      <c r="B92" s="27" t="s">
        <v>227</v>
      </c>
      <c r="C92" s="27" t="s">
        <v>171</v>
      </c>
      <c r="D92" s="27" t="s">
        <v>2792</v>
      </c>
      <c r="E92" s="10">
        <v>20</v>
      </c>
      <c r="F92" s="36" t="s">
        <v>263</v>
      </c>
      <c r="G92" s="27" t="s">
        <v>289</v>
      </c>
      <c r="H92" s="27" t="s">
        <v>270</v>
      </c>
      <c r="I92" s="27"/>
      <c r="J92" s="27"/>
      <c r="K92" s="27" t="s">
        <v>811</v>
      </c>
      <c r="L92" s="27"/>
      <c r="M92" s="27"/>
      <c r="N92" s="1" t="s">
        <v>264</v>
      </c>
      <c r="O92" s="27" t="s">
        <v>2793</v>
      </c>
      <c r="P92" s="27"/>
    </row>
    <row r="93" spans="1:16" ht="24" customHeight="1">
      <c r="A93" s="30">
        <v>45713</v>
      </c>
      <c r="B93" s="27" t="s">
        <v>227</v>
      </c>
      <c r="C93" s="27" t="s">
        <v>954</v>
      </c>
      <c r="D93" s="27" t="s">
        <v>2792</v>
      </c>
      <c r="E93" s="10">
        <v>20</v>
      </c>
      <c r="F93" s="36" t="s">
        <v>263</v>
      </c>
      <c r="G93" s="27" t="s">
        <v>275</v>
      </c>
      <c r="H93" s="27" t="s">
        <v>295</v>
      </c>
      <c r="I93" s="27"/>
      <c r="J93" s="27"/>
      <c r="K93" s="27" t="s">
        <v>811</v>
      </c>
      <c r="L93" s="27"/>
      <c r="M93" s="27"/>
      <c r="N93" s="1" t="s">
        <v>264</v>
      </c>
      <c r="O93" s="27" t="s">
        <v>2794</v>
      </c>
      <c r="P93" s="27"/>
    </row>
    <row r="94" spans="1:16" ht="24" customHeight="1">
      <c r="A94" s="30">
        <v>45714</v>
      </c>
      <c r="B94" s="27" t="s">
        <v>201</v>
      </c>
      <c r="C94" s="27" t="s">
        <v>1044</v>
      </c>
      <c r="D94" s="27" t="s">
        <v>2795</v>
      </c>
      <c r="E94" s="10">
        <v>100</v>
      </c>
      <c r="F94" s="38" t="s">
        <v>294</v>
      </c>
      <c r="G94" s="27" t="s">
        <v>315</v>
      </c>
      <c r="H94" s="27" t="s">
        <v>330</v>
      </c>
      <c r="I94" s="27"/>
      <c r="J94" s="27"/>
      <c r="K94" s="27" t="s">
        <v>811</v>
      </c>
      <c r="L94" s="27"/>
      <c r="M94" s="27"/>
      <c r="N94" s="1" t="s">
        <v>264</v>
      </c>
      <c r="O94" s="27" t="s">
        <v>2796</v>
      </c>
      <c r="P94" s="27"/>
    </row>
    <row r="95" spans="1:16" ht="24" customHeight="1">
      <c r="A95" s="30">
        <v>45714</v>
      </c>
      <c r="B95" s="27" t="s">
        <v>201</v>
      </c>
      <c r="C95" s="27" t="s">
        <v>2749</v>
      </c>
      <c r="D95" s="27" t="s">
        <v>2717</v>
      </c>
      <c r="E95" s="10"/>
      <c r="F95" s="36" t="s">
        <v>263</v>
      </c>
      <c r="G95" s="27" t="s">
        <v>269</v>
      </c>
      <c r="H95" s="27" t="s">
        <v>270</v>
      </c>
      <c r="I95" s="27"/>
      <c r="J95" s="27"/>
      <c r="K95" s="27" t="s">
        <v>2639</v>
      </c>
      <c r="L95" s="27"/>
      <c r="M95" s="27"/>
      <c r="N95" s="1" t="s">
        <v>264</v>
      </c>
      <c r="O95" s="27" t="s">
        <v>2710</v>
      </c>
      <c r="P95" s="27"/>
    </row>
    <row r="96" spans="1:16" ht="24" customHeight="1">
      <c r="A96" s="30">
        <v>45714</v>
      </c>
      <c r="B96" s="27" t="s">
        <v>201</v>
      </c>
      <c r="C96" s="27" t="s">
        <v>171</v>
      </c>
      <c r="D96" s="27" t="s">
        <v>344</v>
      </c>
      <c r="E96" s="10">
        <v>20</v>
      </c>
      <c r="F96" s="36" t="s">
        <v>263</v>
      </c>
      <c r="G96" s="27" t="s">
        <v>289</v>
      </c>
      <c r="H96" s="27" t="s">
        <v>296</v>
      </c>
      <c r="I96" s="27"/>
      <c r="J96" s="27"/>
      <c r="K96" s="27" t="s">
        <v>1707</v>
      </c>
      <c r="L96" s="27"/>
      <c r="M96" s="30">
        <v>45702</v>
      </c>
      <c r="N96" s="3" t="s">
        <v>312</v>
      </c>
      <c r="O96" s="27"/>
      <c r="P96" s="27"/>
    </row>
    <row r="97" spans="1:16" ht="24" customHeight="1">
      <c r="A97" s="30">
        <v>45715</v>
      </c>
      <c r="B97" s="27" t="s">
        <v>216</v>
      </c>
      <c r="C97" s="27" t="s">
        <v>2740</v>
      </c>
      <c r="D97" s="27" t="s">
        <v>2717</v>
      </c>
      <c r="E97" s="10">
        <v>1</v>
      </c>
      <c r="F97" s="36" t="s">
        <v>263</v>
      </c>
      <c r="G97" s="27" t="s">
        <v>269</v>
      </c>
      <c r="H97" s="27" t="s">
        <v>270</v>
      </c>
      <c r="I97" s="27"/>
      <c r="J97" s="27"/>
      <c r="K97" s="27" t="s">
        <v>2639</v>
      </c>
      <c r="L97" s="27"/>
      <c r="M97" s="27"/>
      <c r="N97" s="1" t="s">
        <v>264</v>
      </c>
      <c r="O97" s="27" t="s">
        <v>2710</v>
      </c>
      <c r="P97" s="27"/>
    </row>
    <row r="98" spans="1:16" ht="24" customHeight="1">
      <c r="A98" s="30">
        <v>45715</v>
      </c>
      <c r="B98" s="27" t="s">
        <v>216</v>
      </c>
      <c r="C98" s="27" t="s">
        <v>2797</v>
      </c>
      <c r="D98" s="27" t="s">
        <v>353</v>
      </c>
      <c r="E98" s="10">
        <v>35</v>
      </c>
      <c r="F98" s="36" t="s">
        <v>263</v>
      </c>
      <c r="G98" s="27" t="s">
        <v>338</v>
      </c>
      <c r="H98" s="27" t="s">
        <v>506</v>
      </c>
      <c r="I98" s="27"/>
      <c r="J98" s="27"/>
      <c r="K98" s="27" t="s">
        <v>539</v>
      </c>
      <c r="L98" s="27"/>
      <c r="M98" s="27"/>
      <c r="N98" s="1" t="s">
        <v>264</v>
      </c>
      <c r="O98" s="27" t="s">
        <v>2798</v>
      </c>
      <c r="P98" s="27"/>
    </row>
    <row r="99" spans="1:16" ht="24" customHeight="1">
      <c r="A99" s="30">
        <v>45715</v>
      </c>
      <c r="B99" s="27" t="s">
        <v>216</v>
      </c>
      <c r="C99" s="27" t="s">
        <v>171</v>
      </c>
      <c r="D99" s="27" t="s">
        <v>2799</v>
      </c>
      <c r="E99" s="10">
        <v>35</v>
      </c>
      <c r="F99" s="36" t="s">
        <v>263</v>
      </c>
      <c r="G99" s="27" t="s">
        <v>309</v>
      </c>
      <c r="H99" s="27" t="s">
        <v>295</v>
      </c>
      <c r="I99" s="27"/>
      <c r="J99" s="27"/>
      <c r="K99" s="27" t="s">
        <v>539</v>
      </c>
      <c r="L99" s="27"/>
      <c r="M99" s="27"/>
      <c r="N99" s="1" t="s">
        <v>264</v>
      </c>
      <c r="O99" s="27"/>
      <c r="P99" s="27"/>
    </row>
    <row r="100" spans="1:16" ht="24" customHeight="1">
      <c r="A100" s="30">
        <v>45715</v>
      </c>
      <c r="B100" s="27" t="s">
        <v>216</v>
      </c>
      <c r="C100" s="27" t="s">
        <v>954</v>
      </c>
      <c r="D100" s="27" t="s">
        <v>2800</v>
      </c>
      <c r="E100" s="10">
        <v>25</v>
      </c>
      <c r="F100" s="36" t="s">
        <v>263</v>
      </c>
      <c r="G100" s="27" t="s">
        <v>309</v>
      </c>
      <c r="H100" s="27" t="s">
        <v>295</v>
      </c>
      <c r="I100" s="27"/>
      <c r="J100" s="27"/>
      <c r="K100" s="27" t="s">
        <v>688</v>
      </c>
      <c r="L100" s="27"/>
      <c r="M100" s="27"/>
      <c r="N100" s="1" t="s">
        <v>264</v>
      </c>
      <c r="O100" s="27" t="s">
        <v>2801</v>
      </c>
      <c r="P100" s="27"/>
    </row>
    <row r="101" spans="1:16" ht="24" customHeight="1">
      <c r="A101" s="30">
        <v>45715</v>
      </c>
      <c r="B101" s="27" t="s">
        <v>216</v>
      </c>
      <c r="C101" s="27" t="s">
        <v>171</v>
      </c>
      <c r="D101" s="27" t="s">
        <v>2666</v>
      </c>
      <c r="E101" s="10">
        <v>40</v>
      </c>
      <c r="F101" s="36" t="s">
        <v>263</v>
      </c>
      <c r="G101" s="27" t="s">
        <v>295</v>
      </c>
      <c r="H101" s="27" t="s">
        <v>270</v>
      </c>
      <c r="I101" s="27"/>
      <c r="J101" s="27"/>
      <c r="K101" s="27" t="s">
        <v>2668</v>
      </c>
      <c r="L101" s="27"/>
      <c r="M101" s="30" t="s">
        <v>2618</v>
      </c>
      <c r="N101" s="1" t="s">
        <v>264</v>
      </c>
      <c r="O101" s="27" t="s">
        <v>2669</v>
      </c>
      <c r="P101" s="27"/>
    </row>
    <row r="102" spans="1:16" ht="24" customHeight="1">
      <c r="A102" s="30">
        <v>45716</v>
      </c>
      <c r="B102" s="27" t="s">
        <v>220</v>
      </c>
      <c r="C102" s="27" t="s">
        <v>2786</v>
      </c>
      <c r="D102" s="27" t="s">
        <v>2620</v>
      </c>
      <c r="E102" s="10">
        <v>35</v>
      </c>
      <c r="F102" s="36" t="s">
        <v>263</v>
      </c>
      <c r="G102" s="27" t="s">
        <v>269</v>
      </c>
      <c r="H102" s="27" t="s">
        <v>270</v>
      </c>
      <c r="I102" s="27"/>
      <c r="J102" s="27"/>
      <c r="K102" s="27" t="s">
        <v>778</v>
      </c>
      <c r="L102" s="27"/>
      <c r="M102" s="30" t="s">
        <v>2724</v>
      </c>
      <c r="N102" s="1" t="s">
        <v>264</v>
      </c>
      <c r="O102" s="27" t="s">
        <v>2802</v>
      </c>
      <c r="P102" s="27"/>
    </row>
    <row r="103" spans="1:16" ht="24" customHeight="1">
      <c r="A103" s="30">
        <v>45716</v>
      </c>
      <c r="B103" s="27" t="s">
        <v>220</v>
      </c>
      <c r="C103" s="27" t="s">
        <v>163</v>
      </c>
      <c r="D103" s="27" t="s">
        <v>658</v>
      </c>
      <c r="E103" s="10" t="s">
        <v>2803</v>
      </c>
      <c r="F103" s="36" t="s">
        <v>263</v>
      </c>
      <c r="G103" s="27" t="s">
        <v>295</v>
      </c>
      <c r="H103" s="27" t="s">
        <v>270</v>
      </c>
      <c r="I103" s="27"/>
      <c r="J103" s="27"/>
      <c r="K103" s="27" t="s">
        <v>688</v>
      </c>
      <c r="L103" s="27"/>
      <c r="M103" s="30">
        <v>45712</v>
      </c>
      <c r="N103" s="1" t="s">
        <v>264</v>
      </c>
      <c r="O103" s="27" t="s">
        <v>2796</v>
      </c>
      <c r="P103" s="27" t="s">
        <v>2804</v>
      </c>
    </row>
  </sheetData>
  <mergeCells count="3">
    <mergeCell ref="A1:C1"/>
    <mergeCell ref="D1:K1"/>
    <mergeCell ref="L1:P1"/>
  </mergeCells>
  <dataValidations count="2">
    <dataValidation type="list" allowBlank="1" sqref="M3:M153 N3:N103" xr:uid="{00000000-0002-0000-1E00-000000000000}">
      <formula1>"Confirmed (Done),Pending Calendar Booking,Canceled"</formula1>
    </dataValidation>
    <dataValidation type="list" allowBlank="1" sqref="F3:F103" xr:uid="{00000000-0002-0000-1E00-000001000000}">
      <formula1>"Big Event,Small Event"</formula1>
    </dataValidation>
  </dataValidations>
  <hyperlinks>
    <hyperlink ref="A1" location="'Dashboard'!A1" display="🏠 ⮌ RETURN TO DASHBOARD" xr:uid="{00000000-0004-0000-1E00-000000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81"/>
  <sheetViews>
    <sheetView workbookViewId="0">
      <pane ySplit="2" topLeftCell="A3" activePane="bottomLeft" state="frozen"/>
      <selection pane="bottomLeft"/>
    </sheetView>
  </sheetViews>
  <sheetFormatPr defaultRowHeight="14.45"/>
  <cols>
    <col min="1" max="1" width="15" customWidth="1"/>
    <col min="2" max="2" width="12" customWidth="1"/>
    <col min="3" max="3" width="28" customWidth="1"/>
    <col min="4" max="4" width="48" customWidth="1"/>
    <col min="5" max="5" width="12" customWidth="1"/>
    <col min="6" max="6" width="15" customWidth="1"/>
    <col min="7" max="7" width="19" customWidth="1"/>
    <col min="8" max="8" width="17" customWidth="1"/>
    <col min="9" max="9" width="18" customWidth="1"/>
    <col min="10" max="10" width="22" customWidth="1"/>
    <col min="11" max="11" width="33" customWidth="1"/>
    <col min="12" max="12" width="25" customWidth="1"/>
    <col min="13" max="13" width="16" customWidth="1"/>
    <col min="14" max="14" width="25" customWidth="1"/>
    <col min="15" max="15" width="48" customWidth="1"/>
    <col min="16" max="16" width="41" customWidth="1"/>
  </cols>
  <sheetData>
    <row r="1" spans="1:16" ht="27.95" customHeight="1">
      <c r="A1" s="62" t="s">
        <v>2138</v>
      </c>
      <c r="B1" s="134"/>
      <c r="C1" s="135"/>
      <c r="D1" s="63" t="s">
        <v>2805</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45717</v>
      </c>
      <c r="B3" s="27" t="s">
        <v>266</v>
      </c>
      <c r="C3" s="27" t="s">
        <v>2806</v>
      </c>
      <c r="D3" s="27" t="s">
        <v>300</v>
      </c>
      <c r="E3" s="10">
        <v>100</v>
      </c>
      <c r="F3" s="38" t="s">
        <v>294</v>
      </c>
      <c r="G3" s="27" t="s">
        <v>269</v>
      </c>
      <c r="H3" s="27" t="s">
        <v>270</v>
      </c>
      <c r="I3" s="27" t="s">
        <v>382</v>
      </c>
      <c r="J3" s="27"/>
      <c r="K3" s="27" t="s">
        <v>475</v>
      </c>
      <c r="L3" s="27"/>
      <c r="M3" s="30">
        <v>45684</v>
      </c>
      <c r="N3" s="3" t="s">
        <v>312</v>
      </c>
      <c r="O3" s="27" t="s">
        <v>2807</v>
      </c>
      <c r="P3" s="27" t="s">
        <v>2808</v>
      </c>
    </row>
    <row r="4" spans="1:16" ht="24" customHeight="1">
      <c r="A4" s="30">
        <v>45718</v>
      </c>
      <c r="B4" s="27" t="s">
        <v>267</v>
      </c>
      <c r="C4" s="27"/>
      <c r="D4" s="27"/>
      <c r="E4" s="10"/>
      <c r="F4" s="36" t="s">
        <v>263</v>
      </c>
      <c r="G4" s="27"/>
      <c r="H4" s="27"/>
      <c r="I4" s="27"/>
      <c r="J4" s="27"/>
      <c r="K4" s="27"/>
      <c r="L4" s="27"/>
      <c r="M4" s="27"/>
      <c r="N4" s="1" t="s">
        <v>264</v>
      </c>
      <c r="O4" s="27"/>
      <c r="P4" s="27"/>
    </row>
    <row r="5" spans="1:16" ht="24" customHeight="1">
      <c r="A5" s="30">
        <v>45719</v>
      </c>
      <c r="B5" s="27" t="s">
        <v>224</v>
      </c>
      <c r="C5" s="27"/>
      <c r="D5" s="27"/>
      <c r="E5" s="10"/>
      <c r="F5" s="36" t="s">
        <v>263</v>
      </c>
      <c r="G5" s="27"/>
      <c r="H5" s="27"/>
      <c r="I5" s="27"/>
      <c r="J5" s="27"/>
      <c r="K5" s="27"/>
      <c r="L5" s="27"/>
      <c r="M5" s="27"/>
      <c r="N5" s="1" t="s">
        <v>264</v>
      </c>
      <c r="O5" s="27"/>
      <c r="P5" s="27"/>
    </row>
    <row r="6" spans="1:16" ht="24" customHeight="1">
      <c r="A6" s="30">
        <v>45719</v>
      </c>
      <c r="B6" s="27" t="s">
        <v>224</v>
      </c>
      <c r="C6" s="27" t="s">
        <v>326</v>
      </c>
      <c r="D6" s="27" t="s">
        <v>2809</v>
      </c>
      <c r="E6" s="10"/>
      <c r="F6" s="36" t="s">
        <v>263</v>
      </c>
      <c r="G6" s="27" t="s">
        <v>269</v>
      </c>
      <c r="H6" s="27" t="s">
        <v>270</v>
      </c>
      <c r="I6" s="27"/>
      <c r="J6" s="27"/>
      <c r="K6" s="27" t="s">
        <v>2584</v>
      </c>
      <c r="L6" s="27"/>
      <c r="M6" s="30">
        <v>45693</v>
      </c>
      <c r="N6" s="1" t="s">
        <v>264</v>
      </c>
      <c r="O6" s="27"/>
      <c r="P6" s="27"/>
    </row>
    <row r="7" spans="1:16" ht="24" customHeight="1">
      <c r="A7" s="30">
        <v>45720</v>
      </c>
      <c r="B7" s="27" t="s">
        <v>227</v>
      </c>
      <c r="C7" s="27" t="s">
        <v>171</v>
      </c>
      <c r="D7" s="27" t="s">
        <v>353</v>
      </c>
      <c r="E7" s="10">
        <v>65</v>
      </c>
      <c r="F7" s="36" t="s">
        <v>263</v>
      </c>
      <c r="G7" s="27" t="s">
        <v>274</v>
      </c>
      <c r="H7" s="27" t="s">
        <v>429</v>
      </c>
      <c r="I7" s="27"/>
      <c r="J7" s="27"/>
      <c r="K7" s="27" t="s">
        <v>2810</v>
      </c>
      <c r="L7" s="27"/>
      <c r="M7" s="30">
        <v>45702</v>
      </c>
      <c r="N7" s="1" t="s">
        <v>264</v>
      </c>
      <c r="O7" s="27" t="s">
        <v>2811</v>
      </c>
      <c r="P7" s="27"/>
    </row>
    <row r="8" spans="1:16" ht="24" customHeight="1">
      <c r="A8" s="30">
        <v>45720</v>
      </c>
      <c r="B8" s="27" t="s">
        <v>227</v>
      </c>
      <c r="C8" s="27"/>
      <c r="D8" s="27"/>
      <c r="E8" s="10"/>
      <c r="F8" s="36" t="s">
        <v>263</v>
      </c>
      <c r="G8" s="27"/>
      <c r="H8" s="27"/>
      <c r="I8" s="27"/>
      <c r="J8" s="27"/>
      <c r="K8" s="27"/>
      <c r="L8" s="27"/>
      <c r="M8" s="27"/>
      <c r="N8" s="1" t="s">
        <v>264</v>
      </c>
      <c r="O8" s="27"/>
      <c r="P8" s="27"/>
    </row>
    <row r="9" spans="1:16" ht="24" customHeight="1">
      <c r="A9" s="30">
        <v>45721</v>
      </c>
      <c r="B9" s="27" t="s">
        <v>201</v>
      </c>
      <c r="C9" s="27" t="s">
        <v>171</v>
      </c>
      <c r="D9" s="27" t="s">
        <v>2812</v>
      </c>
      <c r="E9" s="10">
        <v>60</v>
      </c>
      <c r="F9" s="36" t="s">
        <v>263</v>
      </c>
      <c r="G9" s="27" t="s">
        <v>289</v>
      </c>
      <c r="H9" s="27" t="s">
        <v>290</v>
      </c>
      <c r="I9" s="27"/>
      <c r="J9" s="27"/>
      <c r="K9" s="27" t="s">
        <v>1194</v>
      </c>
      <c r="L9" s="27"/>
      <c r="M9" s="27"/>
      <c r="N9" s="1" t="s">
        <v>264</v>
      </c>
      <c r="O9" s="27" t="s">
        <v>298</v>
      </c>
      <c r="P9" s="27"/>
    </row>
    <row r="10" spans="1:16" ht="24" customHeight="1">
      <c r="A10" s="30">
        <v>45721</v>
      </c>
      <c r="B10" s="27" t="s">
        <v>201</v>
      </c>
      <c r="C10" s="27" t="s">
        <v>171</v>
      </c>
      <c r="D10" s="27" t="s">
        <v>2813</v>
      </c>
      <c r="E10" s="10" t="s">
        <v>2814</v>
      </c>
      <c r="F10" s="36" t="s">
        <v>263</v>
      </c>
      <c r="G10" s="27" t="s">
        <v>281</v>
      </c>
      <c r="H10" s="27" t="s">
        <v>506</v>
      </c>
      <c r="I10" s="27"/>
      <c r="J10" s="27"/>
      <c r="K10" s="27" t="s">
        <v>1707</v>
      </c>
      <c r="L10" s="27"/>
      <c r="M10" s="30">
        <v>45639</v>
      </c>
      <c r="N10" s="1" t="s">
        <v>264</v>
      </c>
      <c r="O10" s="27" t="s">
        <v>1177</v>
      </c>
      <c r="P10" s="27"/>
    </row>
    <row r="11" spans="1:16" ht="24" customHeight="1">
      <c r="A11" s="30">
        <v>45722</v>
      </c>
      <c r="B11" s="27" t="s">
        <v>216</v>
      </c>
      <c r="C11" s="27"/>
      <c r="D11" s="27"/>
      <c r="E11" s="10"/>
      <c r="F11" s="36" t="s">
        <v>263</v>
      </c>
      <c r="G11" s="27"/>
      <c r="H11" s="27"/>
      <c r="I11" s="27"/>
      <c r="J11" s="27"/>
      <c r="K11" s="27"/>
      <c r="L11" s="27"/>
      <c r="M11" s="27"/>
      <c r="N11" s="1" t="s">
        <v>264</v>
      </c>
      <c r="O11" s="27"/>
      <c r="P11" s="27"/>
    </row>
    <row r="12" spans="1:16" ht="24" customHeight="1">
      <c r="A12" s="30">
        <v>45722</v>
      </c>
      <c r="B12" s="27" t="s">
        <v>216</v>
      </c>
      <c r="C12" s="27" t="s">
        <v>954</v>
      </c>
      <c r="D12" s="27" t="s">
        <v>2815</v>
      </c>
      <c r="E12" s="10" t="s">
        <v>2816</v>
      </c>
      <c r="F12" s="36" t="s">
        <v>263</v>
      </c>
      <c r="G12" s="27" t="s">
        <v>295</v>
      </c>
      <c r="H12" s="27" t="s">
        <v>296</v>
      </c>
      <c r="I12" s="27"/>
      <c r="J12" s="27"/>
      <c r="K12" s="27" t="s">
        <v>2817</v>
      </c>
      <c r="L12" s="27"/>
      <c r="M12" s="30" t="s">
        <v>2818</v>
      </c>
      <c r="N12" s="1" t="s">
        <v>264</v>
      </c>
      <c r="O12" s="27" t="s">
        <v>321</v>
      </c>
      <c r="P12" s="27"/>
    </row>
    <row r="13" spans="1:16" ht="24" customHeight="1">
      <c r="A13" s="30">
        <v>45722</v>
      </c>
      <c r="B13" s="27" t="s">
        <v>216</v>
      </c>
      <c r="C13" s="27" t="s">
        <v>326</v>
      </c>
      <c r="D13" s="27" t="s">
        <v>327</v>
      </c>
      <c r="E13" s="10">
        <v>22</v>
      </c>
      <c r="F13" s="36" t="s">
        <v>263</v>
      </c>
      <c r="G13" s="27" t="s">
        <v>269</v>
      </c>
      <c r="H13" s="27" t="s">
        <v>270</v>
      </c>
      <c r="I13" s="27" t="s">
        <v>382</v>
      </c>
      <c r="J13" s="27" t="s">
        <v>382</v>
      </c>
      <c r="K13" s="27" t="s">
        <v>2596</v>
      </c>
      <c r="L13" s="27"/>
      <c r="M13" s="30">
        <v>45721</v>
      </c>
      <c r="N13" s="1" t="s">
        <v>264</v>
      </c>
      <c r="O13" s="27" t="s">
        <v>2819</v>
      </c>
      <c r="P13" s="27"/>
    </row>
    <row r="14" spans="1:16" ht="24" customHeight="1">
      <c r="A14" s="30">
        <v>45722</v>
      </c>
      <c r="B14" s="27" t="s">
        <v>216</v>
      </c>
      <c r="C14" s="27" t="s">
        <v>2820</v>
      </c>
      <c r="D14" s="27" t="s">
        <v>2821</v>
      </c>
      <c r="E14" s="10">
        <v>150</v>
      </c>
      <c r="F14" s="38" t="s">
        <v>294</v>
      </c>
      <c r="G14" s="27" t="s">
        <v>295</v>
      </c>
      <c r="H14" s="27" t="s">
        <v>290</v>
      </c>
      <c r="I14" s="27"/>
      <c r="J14" s="27"/>
      <c r="K14" s="27" t="s">
        <v>2822</v>
      </c>
      <c r="L14" s="27"/>
      <c r="M14" s="30">
        <v>45701</v>
      </c>
      <c r="N14" s="1" t="s">
        <v>264</v>
      </c>
      <c r="O14" s="27"/>
      <c r="P14" s="27"/>
    </row>
    <row r="15" spans="1:16" ht="24" customHeight="1">
      <c r="A15" s="30">
        <v>45723</v>
      </c>
      <c r="B15" s="27" t="s">
        <v>220</v>
      </c>
      <c r="C15" s="27" t="s">
        <v>326</v>
      </c>
      <c r="D15" s="27" t="s">
        <v>327</v>
      </c>
      <c r="E15" s="10">
        <v>22</v>
      </c>
      <c r="F15" s="36" t="s">
        <v>263</v>
      </c>
      <c r="G15" s="27" t="s">
        <v>269</v>
      </c>
      <c r="H15" s="27" t="s">
        <v>270</v>
      </c>
      <c r="I15" s="27" t="s">
        <v>382</v>
      </c>
      <c r="J15" s="27" t="s">
        <v>382</v>
      </c>
      <c r="K15" s="27" t="s">
        <v>2596</v>
      </c>
      <c r="L15" s="27"/>
      <c r="M15" s="30">
        <v>45721</v>
      </c>
      <c r="N15" s="1" t="s">
        <v>264</v>
      </c>
      <c r="O15" s="27" t="s">
        <v>2819</v>
      </c>
      <c r="P15" s="27"/>
    </row>
    <row r="16" spans="1:16" ht="24" customHeight="1">
      <c r="A16" s="30">
        <v>45723</v>
      </c>
      <c r="B16" s="27" t="s">
        <v>220</v>
      </c>
      <c r="C16" s="27" t="s">
        <v>2820</v>
      </c>
      <c r="D16" s="27" t="s">
        <v>2823</v>
      </c>
      <c r="E16" s="10" t="s">
        <v>2824</v>
      </c>
      <c r="F16" s="36" t="s">
        <v>263</v>
      </c>
      <c r="G16" s="27" t="s">
        <v>330</v>
      </c>
      <c r="H16" s="27" t="s">
        <v>331</v>
      </c>
      <c r="I16" s="27"/>
      <c r="J16" s="27"/>
      <c r="K16" s="27" t="s">
        <v>2825</v>
      </c>
      <c r="L16" s="27"/>
      <c r="M16" s="30">
        <v>45714</v>
      </c>
      <c r="N16" s="1" t="s">
        <v>264</v>
      </c>
      <c r="O16" s="27" t="s">
        <v>321</v>
      </c>
      <c r="P16" s="27"/>
    </row>
    <row r="17" spans="1:16" ht="24" customHeight="1">
      <c r="A17" s="30">
        <v>45723</v>
      </c>
      <c r="B17" s="27" t="s">
        <v>220</v>
      </c>
      <c r="C17" s="27" t="s">
        <v>171</v>
      </c>
      <c r="D17" s="27" t="s">
        <v>2741</v>
      </c>
      <c r="E17" s="10">
        <v>55</v>
      </c>
      <c r="F17" s="36" t="s">
        <v>263</v>
      </c>
      <c r="G17" s="27" t="s">
        <v>289</v>
      </c>
      <c r="H17" s="27" t="s">
        <v>359</v>
      </c>
      <c r="I17" s="27"/>
      <c r="J17" s="27"/>
      <c r="K17" s="27" t="s">
        <v>583</v>
      </c>
      <c r="L17" s="27"/>
      <c r="M17" s="30">
        <v>45721</v>
      </c>
      <c r="N17" s="1" t="s">
        <v>264</v>
      </c>
      <c r="O17" s="27" t="s">
        <v>321</v>
      </c>
      <c r="P17" s="27"/>
    </row>
    <row r="18" spans="1:16" ht="24" customHeight="1">
      <c r="A18" s="30">
        <v>45723</v>
      </c>
      <c r="B18" s="27" t="s">
        <v>220</v>
      </c>
      <c r="C18" s="27" t="s">
        <v>171</v>
      </c>
      <c r="D18" s="27" t="s">
        <v>2826</v>
      </c>
      <c r="E18" s="10">
        <v>50</v>
      </c>
      <c r="F18" s="36" t="s">
        <v>263</v>
      </c>
      <c r="G18" s="27" t="s">
        <v>359</v>
      </c>
      <c r="H18" s="27" t="s">
        <v>270</v>
      </c>
      <c r="I18" s="27"/>
      <c r="J18" s="27"/>
      <c r="K18" s="27" t="s">
        <v>2668</v>
      </c>
      <c r="L18" s="27"/>
      <c r="M18" s="30">
        <v>45701</v>
      </c>
      <c r="N18" s="1" t="s">
        <v>264</v>
      </c>
      <c r="O18" s="27" t="s">
        <v>321</v>
      </c>
      <c r="P18" s="27"/>
    </row>
    <row r="19" spans="1:16" ht="24" customHeight="1">
      <c r="A19" s="30">
        <v>45724</v>
      </c>
      <c r="B19" s="27" t="s">
        <v>266</v>
      </c>
      <c r="C19" s="27" t="s">
        <v>2827</v>
      </c>
      <c r="D19" s="27" t="s">
        <v>300</v>
      </c>
      <c r="E19" s="10"/>
      <c r="F19" s="36" t="s">
        <v>263</v>
      </c>
      <c r="G19" s="27" t="s">
        <v>269</v>
      </c>
      <c r="H19" s="27" t="s">
        <v>270</v>
      </c>
      <c r="I19" s="27" t="s">
        <v>382</v>
      </c>
      <c r="J19" s="27"/>
      <c r="K19" s="27" t="s">
        <v>2626</v>
      </c>
      <c r="L19" s="27"/>
      <c r="M19" s="30" t="s">
        <v>2828</v>
      </c>
      <c r="N19" s="1" t="s">
        <v>264</v>
      </c>
      <c r="O19" s="27" t="s">
        <v>2829</v>
      </c>
      <c r="P19" s="27"/>
    </row>
    <row r="20" spans="1:16" ht="24" customHeight="1">
      <c r="A20" s="30">
        <v>45724</v>
      </c>
      <c r="B20" s="27" t="s">
        <v>266</v>
      </c>
      <c r="C20" s="27" t="s">
        <v>2830</v>
      </c>
      <c r="D20" s="27" t="s">
        <v>300</v>
      </c>
      <c r="E20" s="10"/>
      <c r="F20" s="36" t="s">
        <v>263</v>
      </c>
      <c r="G20" s="27" t="s">
        <v>269</v>
      </c>
      <c r="H20" s="27" t="s">
        <v>270</v>
      </c>
      <c r="I20" s="27" t="s">
        <v>382</v>
      </c>
      <c r="J20" s="27"/>
      <c r="K20" s="27" t="s">
        <v>475</v>
      </c>
      <c r="L20" s="27"/>
      <c r="M20" s="30" t="s">
        <v>2828</v>
      </c>
      <c r="N20" s="1" t="s">
        <v>264</v>
      </c>
      <c r="O20" s="27" t="s">
        <v>2829</v>
      </c>
      <c r="P20" s="27"/>
    </row>
    <row r="21" spans="1:16" ht="24" customHeight="1">
      <c r="A21" s="30">
        <v>45725</v>
      </c>
      <c r="B21" s="27" t="s">
        <v>267</v>
      </c>
      <c r="C21" s="27"/>
      <c r="D21" s="27"/>
      <c r="E21" s="10"/>
      <c r="F21" s="36" t="s">
        <v>263</v>
      </c>
      <c r="G21" s="27"/>
      <c r="H21" s="27"/>
      <c r="I21" s="27"/>
      <c r="J21" s="27"/>
      <c r="K21" s="27"/>
      <c r="L21" s="27"/>
      <c r="M21" s="27"/>
      <c r="N21" s="1" t="s">
        <v>264</v>
      </c>
      <c r="O21" s="27"/>
      <c r="P21" s="27"/>
    </row>
    <row r="22" spans="1:16" ht="24" customHeight="1">
      <c r="A22" s="30">
        <v>45726</v>
      </c>
      <c r="B22" s="27" t="s">
        <v>224</v>
      </c>
      <c r="C22" s="27" t="s">
        <v>171</v>
      </c>
      <c r="D22" s="27"/>
      <c r="E22" s="10"/>
      <c r="F22" s="36" t="s">
        <v>263</v>
      </c>
      <c r="G22" s="27"/>
      <c r="H22" s="27"/>
      <c r="I22" s="27"/>
      <c r="J22" s="27"/>
      <c r="K22" s="27"/>
      <c r="L22" s="27"/>
      <c r="M22" s="27"/>
      <c r="N22" s="1" t="s">
        <v>264</v>
      </c>
      <c r="O22" s="27"/>
      <c r="P22" s="27"/>
    </row>
    <row r="23" spans="1:16" ht="24" customHeight="1">
      <c r="A23" s="30">
        <v>45726</v>
      </c>
      <c r="B23" s="27" t="s">
        <v>224</v>
      </c>
      <c r="C23" s="27" t="s">
        <v>326</v>
      </c>
      <c r="D23" s="27" t="s">
        <v>2809</v>
      </c>
      <c r="E23" s="10"/>
      <c r="F23" s="36" t="s">
        <v>263</v>
      </c>
      <c r="G23" s="27" t="s">
        <v>269</v>
      </c>
      <c r="H23" s="27" t="s">
        <v>270</v>
      </c>
      <c r="I23" s="27"/>
      <c r="J23" s="27"/>
      <c r="K23" s="27" t="s">
        <v>2584</v>
      </c>
      <c r="L23" s="27"/>
      <c r="M23" s="30">
        <v>45693</v>
      </c>
      <c r="N23" s="1" t="s">
        <v>264</v>
      </c>
      <c r="O23" s="27"/>
      <c r="P23" s="27"/>
    </row>
    <row r="24" spans="1:16" ht="24" customHeight="1">
      <c r="A24" s="30">
        <v>45726</v>
      </c>
      <c r="B24" s="27" t="s">
        <v>224</v>
      </c>
      <c r="C24" s="27" t="s">
        <v>171</v>
      </c>
      <c r="D24" s="27" t="s">
        <v>2831</v>
      </c>
      <c r="E24" s="10">
        <v>35</v>
      </c>
      <c r="F24" s="36" t="s">
        <v>263</v>
      </c>
      <c r="G24" s="27" t="s">
        <v>359</v>
      </c>
      <c r="H24" s="27" t="s">
        <v>270</v>
      </c>
      <c r="I24" s="27"/>
      <c r="J24" s="27"/>
      <c r="K24" s="27" t="s">
        <v>2832</v>
      </c>
      <c r="L24" s="27"/>
      <c r="M24" s="30">
        <v>45716</v>
      </c>
      <c r="N24" s="1" t="s">
        <v>264</v>
      </c>
      <c r="O24" s="27" t="s">
        <v>2833</v>
      </c>
      <c r="P24" s="27"/>
    </row>
    <row r="25" spans="1:16" ht="24" customHeight="1">
      <c r="A25" s="30">
        <v>45727</v>
      </c>
      <c r="B25" s="27" t="s">
        <v>227</v>
      </c>
      <c r="C25" s="27" t="s">
        <v>171</v>
      </c>
      <c r="D25" s="27" t="s">
        <v>2834</v>
      </c>
      <c r="E25" s="10">
        <v>40</v>
      </c>
      <c r="F25" s="36" t="s">
        <v>263</v>
      </c>
      <c r="G25" s="27" t="s">
        <v>483</v>
      </c>
      <c r="H25" s="27" t="s">
        <v>290</v>
      </c>
      <c r="I25" s="27"/>
      <c r="J25" s="27"/>
      <c r="K25" s="27" t="s">
        <v>2835</v>
      </c>
      <c r="L25" s="27"/>
      <c r="M25" s="27"/>
      <c r="N25" s="1" t="s">
        <v>264</v>
      </c>
      <c r="O25" s="27" t="s">
        <v>2836</v>
      </c>
      <c r="P25" s="27"/>
    </row>
    <row r="26" spans="1:16" ht="24" customHeight="1">
      <c r="A26" s="30">
        <v>45727</v>
      </c>
      <c r="B26" s="27" t="s">
        <v>227</v>
      </c>
      <c r="C26" s="27" t="s">
        <v>2837</v>
      </c>
      <c r="D26" s="27" t="s">
        <v>658</v>
      </c>
      <c r="E26" s="10" t="s">
        <v>2803</v>
      </c>
      <c r="F26" s="36" t="s">
        <v>263</v>
      </c>
      <c r="G26" s="27" t="s">
        <v>295</v>
      </c>
      <c r="H26" s="27" t="s">
        <v>270</v>
      </c>
      <c r="I26" s="27"/>
      <c r="J26" s="27"/>
      <c r="K26" s="27" t="s">
        <v>688</v>
      </c>
      <c r="L26" s="27"/>
      <c r="M26" s="30">
        <v>45713</v>
      </c>
      <c r="N26" s="1" t="s">
        <v>264</v>
      </c>
      <c r="O26" s="27" t="s">
        <v>2796</v>
      </c>
      <c r="P26" s="27"/>
    </row>
    <row r="27" spans="1:16" ht="24" customHeight="1">
      <c r="A27" s="30">
        <v>45728</v>
      </c>
      <c r="B27" s="27" t="s">
        <v>201</v>
      </c>
      <c r="C27" s="27" t="s">
        <v>2837</v>
      </c>
      <c r="D27" s="27" t="s">
        <v>2838</v>
      </c>
      <c r="E27" s="10"/>
      <c r="F27" s="36" t="s">
        <v>263</v>
      </c>
      <c r="G27" s="27" t="s">
        <v>289</v>
      </c>
      <c r="H27" s="27" t="s">
        <v>296</v>
      </c>
      <c r="I27" s="27"/>
      <c r="J27" s="27"/>
      <c r="K27" s="27" t="s">
        <v>2596</v>
      </c>
      <c r="L27" s="27"/>
      <c r="M27" s="27"/>
      <c r="N27" s="1" t="s">
        <v>264</v>
      </c>
      <c r="O27" s="27"/>
      <c r="P27" s="27"/>
    </row>
    <row r="28" spans="1:16" ht="24" customHeight="1">
      <c r="A28" s="30">
        <v>45729</v>
      </c>
      <c r="B28" s="27" t="s">
        <v>216</v>
      </c>
      <c r="C28" s="27" t="s">
        <v>171</v>
      </c>
      <c r="D28" s="27" t="s">
        <v>2666</v>
      </c>
      <c r="E28" s="10"/>
      <c r="F28" s="36" t="s">
        <v>263</v>
      </c>
      <c r="G28" s="27" t="s">
        <v>295</v>
      </c>
      <c r="H28" s="27" t="s">
        <v>270</v>
      </c>
      <c r="I28" s="27"/>
      <c r="J28" s="27"/>
      <c r="K28" s="27" t="s">
        <v>2668</v>
      </c>
      <c r="L28" s="27"/>
      <c r="M28" s="27"/>
      <c r="N28" s="1" t="s">
        <v>264</v>
      </c>
      <c r="O28" s="27" t="s">
        <v>2839</v>
      </c>
      <c r="P28" s="27"/>
    </row>
    <row r="29" spans="1:16" ht="24" customHeight="1">
      <c r="A29" s="30">
        <v>45730</v>
      </c>
      <c r="B29" s="27" t="s">
        <v>220</v>
      </c>
      <c r="C29" s="27"/>
      <c r="D29" s="27"/>
      <c r="E29" s="10"/>
      <c r="F29" s="36" t="s">
        <v>263</v>
      </c>
      <c r="G29" s="27"/>
      <c r="H29" s="27"/>
      <c r="I29" s="27"/>
      <c r="J29" s="27"/>
      <c r="K29" s="27"/>
      <c r="L29" s="27"/>
      <c r="M29" s="27"/>
      <c r="N29" s="1" t="s">
        <v>264</v>
      </c>
      <c r="O29" s="27"/>
      <c r="P29" s="27"/>
    </row>
    <row r="30" spans="1:16" ht="24" customHeight="1">
      <c r="A30" s="30">
        <v>45731</v>
      </c>
      <c r="B30" s="27" t="s">
        <v>266</v>
      </c>
      <c r="C30" s="27" t="s">
        <v>300</v>
      </c>
      <c r="D30" s="27" t="s">
        <v>300</v>
      </c>
      <c r="E30" s="10"/>
      <c r="F30" s="36" t="s">
        <v>263</v>
      </c>
      <c r="G30" s="27" t="s">
        <v>269</v>
      </c>
      <c r="H30" s="27" t="s">
        <v>270</v>
      </c>
      <c r="I30" s="27" t="s">
        <v>382</v>
      </c>
      <c r="J30" s="27"/>
      <c r="K30" s="27" t="s">
        <v>2626</v>
      </c>
      <c r="L30" s="27"/>
      <c r="M30" s="27"/>
      <c r="N30" s="1" t="s">
        <v>264</v>
      </c>
      <c r="O30" s="27" t="s">
        <v>2738</v>
      </c>
      <c r="P30" s="27"/>
    </row>
    <row r="31" spans="1:16" ht="24" customHeight="1">
      <c r="A31" s="30">
        <v>45732</v>
      </c>
      <c r="B31" s="27" t="s">
        <v>267</v>
      </c>
      <c r="C31" s="27"/>
      <c r="D31" s="27"/>
      <c r="E31" s="10"/>
      <c r="F31" s="36" t="s">
        <v>263</v>
      </c>
      <c r="G31" s="27"/>
      <c r="H31" s="27"/>
      <c r="I31" s="27"/>
      <c r="J31" s="27"/>
      <c r="K31" s="27"/>
      <c r="L31" s="27"/>
      <c r="M31" s="27"/>
      <c r="N31" s="1" t="s">
        <v>264</v>
      </c>
      <c r="O31" s="27"/>
      <c r="P31" s="27"/>
    </row>
    <row r="32" spans="1:16" ht="24" customHeight="1">
      <c r="A32" s="30">
        <v>45733</v>
      </c>
      <c r="B32" s="27" t="s">
        <v>224</v>
      </c>
      <c r="C32" s="27" t="s">
        <v>2840</v>
      </c>
      <c r="D32" s="27" t="s">
        <v>440</v>
      </c>
      <c r="E32" s="10">
        <v>1</v>
      </c>
      <c r="F32" s="36" t="s">
        <v>263</v>
      </c>
      <c r="G32" s="27" t="s">
        <v>269</v>
      </c>
      <c r="H32" s="27" t="s">
        <v>270</v>
      </c>
      <c r="I32" s="27"/>
      <c r="J32" s="27"/>
      <c r="K32" s="27"/>
      <c r="L32" s="27"/>
      <c r="M32" s="27"/>
      <c r="N32" s="1" t="s">
        <v>264</v>
      </c>
      <c r="O32" s="27" t="s">
        <v>2841</v>
      </c>
      <c r="P32" s="27"/>
    </row>
    <row r="33" spans="1:16" ht="24" customHeight="1">
      <c r="A33" s="30">
        <v>45733</v>
      </c>
      <c r="B33" s="27" t="s">
        <v>224</v>
      </c>
      <c r="C33" s="27" t="s">
        <v>2837</v>
      </c>
      <c r="D33" s="27" t="s">
        <v>2809</v>
      </c>
      <c r="E33" s="10">
        <v>26</v>
      </c>
      <c r="F33" s="36" t="s">
        <v>263</v>
      </c>
      <c r="G33" s="27" t="s">
        <v>269</v>
      </c>
      <c r="H33" s="27" t="s">
        <v>270</v>
      </c>
      <c r="I33" s="27"/>
      <c r="J33" s="27"/>
      <c r="K33" s="27" t="s">
        <v>2584</v>
      </c>
      <c r="L33" s="27"/>
      <c r="M33" s="30">
        <v>45693</v>
      </c>
      <c r="N33" s="1" t="s">
        <v>264</v>
      </c>
      <c r="O33" s="27" t="s">
        <v>2842</v>
      </c>
      <c r="P33" s="27"/>
    </row>
    <row r="34" spans="1:16" ht="24" customHeight="1">
      <c r="A34" s="30">
        <v>45734</v>
      </c>
      <c r="B34" s="27" t="s">
        <v>227</v>
      </c>
      <c r="C34" s="27" t="s">
        <v>2840</v>
      </c>
      <c r="D34" s="27" t="s">
        <v>440</v>
      </c>
      <c r="E34" s="10">
        <v>1</v>
      </c>
      <c r="F34" s="36" t="s">
        <v>263</v>
      </c>
      <c r="G34" s="27" t="s">
        <v>269</v>
      </c>
      <c r="H34" s="27" t="s">
        <v>270</v>
      </c>
      <c r="I34" s="27"/>
      <c r="J34" s="27"/>
      <c r="K34" s="27"/>
      <c r="L34" s="27"/>
      <c r="M34" s="27"/>
      <c r="N34" s="1" t="s">
        <v>264</v>
      </c>
      <c r="O34" s="27" t="s">
        <v>2841</v>
      </c>
      <c r="P34" s="27"/>
    </row>
    <row r="35" spans="1:16" ht="24" customHeight="1">
      <c r="A35" s="30">
        <v>45734</v>
      </c>
      <c r="B35" s="27" t="s">
        <v>227</v>
      </c>
      <c r="C35" s="27" t="s">
        <v>954</v>
      </c>
      <c r="D35" s="27" t="s">
        <v>2815</v>
      </c>
      <c r="E35" s="10">
        <v>35</v>
      </c>
      <c r="F35" s="36" t="s">
        <v>263</v>
      </c>
      <c r="G35" s="27" t="s">
        <v>330</v>
      </c>
      <c r="H35" s="27" t="s">
        <v>331</v>
      </c>
      <c r="I35" s="27"/>
      <c r="J35" s="27"/>
      <c r="K35" s="27" t="s">
        <v>2817</v>
      </c>
      <c r="L35" s="27"/>
      <c r="M35" s="30" t="s">
        <v>2818</v>
      </c>
      <c r="N35" s="1" t="s">
        <v>264</v>
      </c>
      <c r="O35" s="27" t="s">
        <v>2843</v>
      </c>
      <c r="P35" s="27"/>
    </row>
    <row r="36" spans="1:16" ht="24" customHeight="1">
      <c r="A36" s="30">
        <v>45734</v>
      </c>
      <c r="B36" s="27" t="s">
        <v>227</v>
      </c>
      <c r="C36" s="27" t="s">
        <v>2844</v>
      </c>
      <c r="D36" s="27" t="s">
        <v>2845</v>
      </c>
      <c r="E36" s="10" t="s">
        <v>2202</v>
      </c>
      <c r="F36" s="38" t="s">
        <v>294</v>
      </c>
      <c r="G36" s="27" t="s">
        <v>269</v>
      </c>
      <c r="H36" s="27" t="s">
        <v>429</v>
      </c>
      <c r="I36" s="27"/>
      <c r="J36" s="27"/>
      <c r="K36" s="27" t="s">
        <v>2846</v>
      </c>
      <c r="L36" s="27"/>
      <c r="M36" s="30" t="s">
        <v>2847</v>
      </c>
      <c r="N36" s="1" t="s">
        <v>264</v>
      </c>
      <c r="O36" s="27" t="s">
        <v>2848</v>
      </c>
      <c r="P36" s="27"/>
    </row>
    <row r="37" spans="1:16" ht="24" customHeight="1">
      <c r="A37" s="30">
        <v>45735</v>
      </c>
      <c r="B37" s="27" t="s">
        <v>201</v>
      </c>
      <c r="C37" s="27" t="s">
        <v>2840</v>
      </c>
      <c r="D37" s="27" t="s">
        <v>440</v>
      </c>
      <c r="E37" s="10">
        <v>1</v>
      </c>
      <c r="F37" s="36" t="s">
        <v>263</v>
      </c>
      <c r="G37" s="27" t="s">
        <v>269</v>
      </c>
      <c r="H37" s="27" t="s">
        <v>270</v>
      </c>
      <c r="I37" s="27"/>
      <c r="J37" s="27"/>
      <c r="K37" s="27"/>
      <c r="L37" s="27"/>
      <c r="M37" s="27"/>
      <c r="N37" s="1" t="s">
        <v>264</v>
      </c>
      <c r="O37" s="27" t="s">
        <v>2841</v>
      </c>
      <c r="P37" s="27"/>
    </row>
    <row r="38" spans="1:16" ht="24" customHeight="1">
      <c r="A38" s="30">
        <v>45735</v>
      </c>
      <c r="B38" s="27" t="s">
        <v>201</v>
      </c>
      <c r="C38" s="27" t="s">
        <v>171</v>
      </c>
      <c r="D38" s="27" t="s">
        <v>2849</v>
      </c>
      <c r="E38" s="10">
        <v>60</v>
      </c>
      <c r="F38" s="36" t="s">
        <v>263</v>
      </c>
      <c r="G38" s="27" t="s">
        <v>315</v>
      </c>
      <c r="H38" s="27" t="s">
        <v>506</v>
      </c>
      <c r="I38" s="27"/>
      <c r="J38" s="27"/>
      <c r="K38" s="27" t="s">
        <v>2668</v>
      </c>
      <c r="L38" s="27"/>
      <c r="M38" s="30">
        <v>45701</v>
      </c>
      <c r="N38" s="1" t="s">
        <v>264</v>
      </c>
      <c r="O38" s="27" t="s">
        <v>2850</v>
      </c>
      <c r="P38" s="27"/>
    </row>
    <row r="39" spans="1:16" ht="24" customHeight="1">
      <c r="A39" s="30">
        <v>45735</v>
      </c>
      <c r="B39" s="27" t="s">
        <v>201</v>
      </c>
      <c r="C39" s="27" t="s">
        <v>2851</v>
      </c>
      <c r="D39" s="27" t="s">
        <v>2852</v>
      </c>
      <c r="E39" s="10">
        <v>12</v>
      </c>
      <c r="F39" s="36" t="s">
        <v>263</v>
      </c>
      <c r="G39" s="27" t="s">
        <v>275</v>
      </c>
      <c r="H39" s="27" t="s">
        <v>289</v>
      </c>
      <c r="I39" s="27" t="s">
        <v>369</v>
      </c>
      <c r="J39" s="27"/>
      <c r="K39" s="27" t="s">
        <v>811</v>
      </c>
      <c r="L39" s="27"/>
      <c r="M39" s="27"/>
      <c r="N39" s="1" t="s">
        <v>264</v>
      </c>
      <c r="O39" s="27"/>
      <c r="P39" s="27"/>
    </row>
    <row r="40" spans="1:16" ht="24" customHeight="1">
      <c r="A40" s="30">
        <v>45735</v>
      </c>
      <c r="B40" s="27" t="s">
        <v>201</v>
      </c>
      <c r="C40" s="27" t="s">
        <v>171</v>
      </c>
      <c r="D40" s="27" t="s">
        <v>2853</v>
      </c>
      <c r="E40" s="10"/>
      <c r="F40" s="36" t="s">
        <v>263</v>
      </c>
      <c r="G40" s="27" t="s">
        <v>309</v>
      </c>
      <c r="H40" s="27" t="s">
        <v>270</v>
      </c>
      <c r="I40" s="27"/>
      <c r="J40" s="27"/>
      <c r="K40" s="27" t="s">
        <v>2854</v>
      </c>
      <c r="L40" s="27"/>
      <c r="M40" s="27"/>
      <c r="N40" s="1" t="s">
        <v>264</v>
      </c>
      <c r="O40" s="27"/>
      <c r="P40" s="27"/>
    </row>
    <row r="41" spans="1:16" ht="24" customHeight="1">
      <c r="A41" s="30">
        <v>45736</v>
      </c>
      <c r="B41" s="27" t="s">
        <v>216</v>
      </c>
      <c r="C41" s="27" t="s">
        <v>2840</v>
      </c>
      <c r="D41" s="27" t="s">
        <v>440</v>
      </c>
      <c r="E41" s="10">
        <v>1</v>
      </c>
      <c r="F41" s="36" t="s">
        <v>263</v>
      </c>
      <c r="G41" s="27" t="s">
        <v>269</v>
      </c>
      <c r="H41" s="27" t="s">
        <v>270</v>
      </c>
      <c r="I41" s="27"/>
      <c r="J41" s="27"/>
      <c r="K41" s="27"/>
      <c r="L41" s="27"/>
      <c r="M41" s="27"/>
      <c r="N41" s="1" t="s">
        <v>264</v>
      </c>
      <c r="O41" s="27" t="s">
        <v>2841</v>
      </c>
      <c r="P41" s="27"/>
    </row>
    <row r="42" spans="1:16" ht="24" customHeight="1">
      <c r="A42" s="30">
        <v>45736</v>
      </c>
      <c r="B42" s="27" t="s">
        <v>216</v>
      </c>
      <c r="C42" s="27" t="s">
        <v>171</v>
      </c>
      <c r="D42" s="27" t="s">
        <v>2666</v>
      </c>
      <c r="E42" s="10"/>
      <c r="F42" s="36" t="s">
        <v>263</v>
      </c>
      <c r="G42" s="27" t="s">
        <v>295</v>
      </c>
      <c r="H42" s="27" t="s">
        <v>270</v>
      </c>
      <c r="I42" s="27"/>
      <c r="J42" s="27"/>
      <c r="K42" s="27" t="s">
        <v>2668</v>
      </c>
      <c r="L42" s="27"/>
      <c r="M42" s="27"/>
      <c r="N42" s="1" t="s">
        <v>264</v>
      </c>
      <c r="O42" s="27"/>
      <c r="P42" s="27"/>
    </row>
    <row r="43" spans="1:16" ht="24" customHeight="1">
      <c r="A43" s="30">
        <v>45736</v>
      </c>
      <c r="B43" s="27" t="s">
        <v>216</v>
      </c>
      <c r="C43" s="27" t="s">
        <v>171</v>
      </c>
      <c r="D43" s="27" t="s">
        <v>2809</v>
      </c>
      <c r="E43" s="10"/>
      <c r="F43" s="36" t="s">
        <v>263</v>
      </c>
      <c r="G43" s="27" t="s">
        <v>269</v>
      </c>
      <c r="H43" s="27" t="s">
        <v>270</v>
      </c>
      <c r="I43" s="27"/>
      <c r="J43" s="27"/>
      <c r="K43" s="27" t="s">
        <v>2855</v>
      </c>
      <c r="L43" s="27"/>
      <c r="M43" s="30" t="s">
        <v>2856</v>
      </c>
      <c r="N43" s="1" t="s">
        <v>264</v>
      </c>
      <c r="O43" s="27" t="s">
        <v>2857</v>
      </c>
      <c r="P43" s="27"/>
    </row>
    <row r="44" spans="1:16" ht="24" customHeight="1">
      <c r="A44" s="30">
        <v>45737</v>
      </c>
      <c r="B44" s="27" t="s">
        <v>220</v>
      </c>
      <c r="C44" s="27" t="s">
        <v>171</v>
      </c>
      <c r="D44" s="27" t="s">
        <v>2858</v>
      </c>
      <c r="E44" s="10">
        <v>60</v>
      </c>
      <c r="F44" s="36" t="s">
        <v>263</v>
      </c>
      <c r="G44" s="27" t="s">
        <v>289</v>
      </c>
      <c r="H44" s="27" t="s">
        <v>359</v>
      </c>
      <c r="I44" s="27"/>
      <c r="J44" s="27"/>
      <c r="K44" s="27" t="s">
        <v>367</v>
      </c>
      <c r="L44" s="27"/>
      <c r="M44" s="30" t="s">
        <v>2859</v>
      </c>
      <c r="N44" s="1" t="s">
        <v>264</v>
      </c>
      <c r="O44" s="27" t="s">
        <v>321</v>
      </c>
      <c r="P44" s="27"/>
    </row>
    <row r="45" spans="1:16" ht="24" customHeight="1">
      <c r="A45" s="30">
        <v>45737</v>
      </c>
      <c r="B45" s="27" t="s">
        <v>220</v>
      </c>
      <c r="C45" s="27" t="s">
        <v>2840</v>
      </c>
      <c r="D45" s="27" t="s">
        <v>440</v>
      </c>
      <c r="E45" s="10">
        <v>1</v>
      </c>
      <c r="F45" s="36" t="s">
        <v>263</v>
      </c>
      <c r="G45" s="27" t="s">
        <v>269</v>
      </c>
      <c r="H45" s="27" t="s">
        <v>270</v>
      </c>
      <c r="I45" s="27"/>
      <c r="J45" s="27"/>
      <c r="K45" s="27"/>
      <c r="L45" s="27"/>
      <c r="M45" s="27"/>
      <c r="N45" s="1" t="s">
        <v>264</v>
      </c>
      <c r="O45" s="27" t="s">
        <v>2841</v>
      </c>
      <c r="P45" s="27"/>
    </row>
    <row r="46" spans="1:16" ht="24" customHeight="1">
      <c r="A46" s="30">
        <v>45738</v>
      </c>
      <c r="B46" s="27" t="s">
        <v>266</v>
      </c>
      <c r="C46" s="27" t="s">
        <v>2860</v>
      </c>
      <c r="D46" s="27" t="s">
        <v>300</v>
      </c>
      <c r="E46" s="10">
        <v>150</v>
      </c>
      <c r="F46" s="38" t="s">
        <v>294</v>
      </c>
      <c r="G46" s="27" t="s">
        <v>269</v>
      </c>
      <c r="H46" s="27" t="s">
        <v>270</v>
      </c>
      <c r="I46" s="27" t="s">
        <v>382</v>
      </c>
      <c r="J46" s="27"/>
      <c r="K46" s="27" t="s">
        <v>2861</v>
      </c>
      <c r="L46" s="27"/>
      <c r="M46" s="30">
        <v>45689</v>
      </c>
      <c r="N46" s="1" t="s">
        <v>264</v>
      </c>
      <c r="O46" s="27" t="s">
        <v>2862</v>
      </c>
      <c r="P46" s="27"/>
    </row>
    <row r="47" spans="1:16" ht="24" customHeight="1">
      <c r="A47" s="30">
        <v>45739</v>
      </c>
      <c r="B47" s="27" t="s">
        <v>267</v>
      </c>
      <c r="C47" s="27"/>
      <c r="D47" s="27"/>
      <c r="E47" s="10"/>
      <c r="F47" s="36" t="s">
        <v>263</v>
      </c>
      <c r="G47" s="27"/>
      <c r="H47" s="27"/>
      <c r="I47" s="27"/>
      <c r="J47" s="27"/>
      <c r="K47" s="27"/>
      <c r="L47" s="27"/>
      <c r="M47" s="27"/>
      <c r="N47" s="1" t="s">
        <v>264</v>
      </c>
      <c r="O47" s="27"/>
      <c r="P47" s="27"/>
    </row>
    <row r="48" spans="1:16" ht="24" customHeight="1">
      <c r="A48" s="30">
        <v>45740</v>
      </c>
      <c r="B48" s="27" t="s">
        <v>224</v>
      </c>
      <c r="C48" s="27" t="s">
        <v>2863</v>
      </c>
      <c r="D48" s="27" t="s">
        <v>440</v>
      </c>
      <c r="E48" s="10" t="s">
        <v>2864</v>
      </c>
      <c r="F48" s="36" t="s">
        <v>263</v>
      </c>
      <c r="G48" s="27" t="s">
        <v>269</v>
      </c>
      <c r="H48" s="27" t="s">
        <v>270</v>
      </c>
      <c r="I48" s="27" t="s">
        <v>369</v>
      </c>
      <c r="J48" s="27"/>
      <c r="K48" s="27" t="s">
        <v>367</v>
      </c>
      <c r="L48" s="27"/>
      <c r="M48" s="30">
        <v>45709</v>
      </c>
      <c r="N48" s="1" t="s">
        <v>264</v>
      </c>
      <c r="O48" s="27" t="s">
        <v>2841</v>
      </c>
      <c r="P48" s="27"/>
    </row>
    <row r="49" spans="1:16" ht="24" customHeight="1">
      <c r="A49" s="30">
        <v>45740</v>
      </c>
      <c r="B49" s="27" t="s">
        <v>224</v>
      </c>
      <c r="C49" s="27" t="s">
        <v>326</v>
      </c>
      <c r="D49" s="27" t="s">
        <v>2809</v>
      </c>
      <c r="E49" s="10"/>
      <c r="F49" s="36" t="s">
        <v>263</v>
      </c>
      <c r="G49" s="27" t="s">
        <v>269</v>
      </c>
      <c r="H49" s="27" t="s">
        <v>270</v>
      </c>
      <c r="I49" s="27"/>
      <c r="J49" s="27"/>
      <c r="K49" s="27" t="s">
        <v>2584</v>
      </c>
      <c r="L49" s="27"/>
      <c r="M49" s="30">
        <v>45693</v>
      </c>
      <c r="N49" s="1" t="s">
        <v>264</v>
      </c>
      <c r="O49" s="27" t="s">
        <v>2865</v>
      </c>
      <c r="P49" s="27"/>
    </row>
    <row r="50" spans="1:16" ht="24" customHeight="1">
      <c r="A50" s="30">
        <v>45740</v>
      </c>
      <c r="B50" s="27" t="s">
        <v>224</v>
      </c>
      <c r="C50" s="27" t="s">
        <v>2740</v>
      </c>
      <c r="D50" s="27" t="s">
        <v>440</v>
      </c>
      <c r="E50" s="10">
        <v>1</v>
      </c>
      <c r="F50" s="36" t="s">
        <v>263</v>
      </c>
      <c r="G50" s="27" t="s">
        <v>269</v>
      </c>
      <c r="H50" s="27" t="s">
        <v>270</v>
      </c>
      <c r="I50" s="27"/>
      <c r="J50" s="27"/>
      <c r="K50" s="27" t="s">
        <v>2639</v>
      </c>
      <c r="L50" s="27"/>
      <c r="M50" s="27"/>
      <c r="N50" s="1" t="s">
        <v>264</v>
      </c>
      <c r="O50" s="27" t="s">
        <v>2841</v>
      </c>
      <c r="P50" s="27"/>
    </row>
    <row r="51" spans="1:16" ht="24" customHeight="1">
      <c r="A51" s="30">
        <v>45740</v>
      </c>
      <c r="B51" s="27" t="s">
        <v>224</v>
      </c>
      <c r="C51" s="27" t="s">
        <v>171</v>
      </c>
      <c r="D51" s="27" t="s">
        <v>235</v>
      </c>
      <c r="E51" s="10"/>
      <c r="F51" s="36" t="s">
        <v>263</v>
      </c>
      <c r="G51" s="27" t="s">
        <v>269</v>
      </c>
      <c r="H51" s="27" t="s">
        <v>270</v>
      </c>
      <c r="I51" s="27"/>
      <c r="J51" s="27"/>
      <c r="K51" s="27" t="s">
        <v>2584</v>
      </c>
      <c r="L51" s="27"/>
      <c r="M51" s="30">
        <v>45693</v>
      </c>
      <c r="N51" s="1" t="s">
        <v>264</v>
      </c>
      <c r="O51" s="27" t="s">
        <v>2865</v>
      </c>
      <c r="P51" s="27"/>
    </row>
    <row r="52" spans="1:16" ht="24" customHeight="1">
      <c r="A52" s="30">
        <v>45741</v>
      </c>
      <c r="B52" s="27" t="s">
        <v>227</v>
      </c>
      <c r="C52" s="27" t="s">
        <v>171</v>
      </c>
      <c r="D52" s="27" t="s">
        <v>2866</v>
      </c>
      <c r="E52" s="10">
        <v>60</v>
      </c>
      <c r="F52" s="36" t="s">
        <v>263</v>
      </c>
      <c r="G52" s="27" t="s">
        <v>338</v>
      </c>
      <c r="H52" s="27" t="s">
        <v>330</v>
      </c>
      <c r="I52" s="27" t="s">
        <v>369</v>
      </c>
      <c r="J52" s="27" t="s">
        <v>369</v>
      </c>
      <c r="K52" s="27" t="s">
        <v>2867</v>
      </c>
      <c r="L52" s="27"/>
      <c r="M52" s="30">
        <v>45679</v>
      </c>
      <c r="N52" s="1" t="s">
        <v>264</v>
      </c>
      <c r="O52" s="27" t="s">
        <v>119</v>
      </c>
      <c r="P52" s="27"/>
    </row>
    <row r="53" spans="1:16" ht="24" customHeight="1">
      <c r="A53" s="30">
        <v>45741</v>
      </c>
      <c r="B53" s="27" t="s">
        <v>227</v>
      </c>
      <c r="C53" s="27" t="s">
        <v>2863</v>
      </c>
      <c r="D53" s="27" t="s">
        <v>440</v>
      </c>
      <c r="E53" s="10" t="s">
        <v>2864</v>
      </c>
      <c r="F53" s="36" t="s">
        <v>263</v>
      </c>
      <c r="G53" s="27" t="s">
        <v>269</v>
      </c>
      <c r="H53" s="27" t="s">
        <v>270</v>
      </c>
      <c r="I53" s="27" t="s">
        <v>369</v>
      </c>
      <c r="J53" s="27"/>
      <c r="K53" s="27" t="s">
        <v>367</v>
      </c>
      <c r="L53" s="27"/>
      <c r="M53" s="30">
        <v>45709</v>
      </c>
      <c r="N53" s="1" t="s">
        <v>264</v>
      </c>
      <c r="O53" s="27" t="s">
        <v>2841</v>
      </c>
      <c r="P53" s="27"/>
    </row>
    <row r="54" spans="1:16" ht="24" customHeight="1">
      <c r="A54" s="30">
        <v>45741</v>
      </c>
      <c r="B54" s="27" t="s">
        <v>227</v>
      </c>
      <c r="C54" s="27" t="s">
        <v>2740</v>
      </c>
      <c r="D54" s="27" t="s">
        <v>440</v>
      </c>
      <c r="E54" s="10">
        <v>1</v>
      </c>
      <c r="F54" s="36" t="s">
        <v>263</v>
      </c>
      <c r="G54" s="27" t="s">
        <v>269</v>
      </c>
      <c r="H54" s="27" t="s">
        <v>270</v>
      </c>
      <c r="I54" s="27"/>
      <c r="J54" s="27"/>
      <c r="K54" s="27" t="s">
        <v>2639</v>
      </c>
      <c r="L54" s="27"/>
      <c r="M54" s="27"/>
      <c r="N54" s="1" t="s">
        <v>264</v>
      </c>
      <c r="O54" s="27" t="s">
        <v>2841</v>
      </c>
      <c r="P54" s="27"/>
    </row>
    <row r="55" spans="1:16" ht="24" customHeight="1">
      <c r="A55" s="30">
        <v>45741</v>
      </c>
      <c r="B55" s="27" t="s">
        <v>227</v>
      </c>
      <c r="C55" s="27" t="s">
        <v>171</v>
      </c>
      <c r="D55" s="27" t="s">
        <v>2868</v>
      </c>
      <c r="E55" s="10">
        <v>20</v>
      </c>
      <c r="F55" s="36" t="s">
        <v>263</v>
      </c>
      <c r="G55" s="27" t="s">
        <v>289</v>
      </c>
      <c r="H55" s="27" t="s">
        <v>359</v>
      </c>
      <c r="I55" s="27"/>
      <c r="J55" s="27"/>
      <c r="K55" s="27" t="s">
        <v>1163</v>
      </c>
      <c r="L55" s="27"/>
      <c r="M55" s="27"/>
      <c r="N55" s="1" t="s">
        <v>264</v>
      </c>
      <c r="O55" s="27" t="s">
        <v>2869</v>
      </c>
      <c r="P55" s="27"/>
    </row>
    <row r="56" spans="1:16" ht="24" customHeight="1">
      <c r="A56" s="30">
        <v>45741</v>
      </c>
      <c r="B56" s="27" t="s">
        <v>227</v>
      </c>
      <c r="C56" s="27" t="s">
        <v>2870</v>
      </c>
      <c r="D56" s="27" t="s">
        <v>440</v>
      </c>
      <c r="E56" s="10" t="s">
        <v>2864</v>
      </c>
      <c r="F56" s="36" t="s">
        <v>263</v>
      </c>
      <c r="G56" s="27" t="s">
        <v>269</v>
      </c>
      <c r="H56" s="27" t="s">
        <v>270</v>
      </c>
      <c r="I56" s="27"/>
      <c r="J56" s="27"/>
      <c r="K56" s="27" t="s">
        <v>2871</v>
      </c>
      <c r="L56" s="27"/>
      <c r="M56" s="30">
        <v>45740</v>
      </c>
      <c r="N56" s="1" t="s">
        <v>264</v>
      </c>
      <c r="O56" s="27" t="s">
        <v>2872</v>
      </c>
      <c r="P56" s="27"/>
    </row>
    <row r="57" spans="1:16" ht="24" customHeight="1">
      <c r="A57" s="30">
        <v>45741</v>
      </c>
      <c r="B57" s="27" t="s">
        <v>227</v>
      </c>
      <c r="C57" s="27" t="s">
        <v>171</v>
      </c>
      <c r="D57" s="27" t="s">
        <v>2868</v>
      </c>
      <c r="E57" s="10">
        <v>20</v>
      </c>
      <c r="F57" s="36" t="s">
        <v>263</v>
      </c>
      <c r="G57" s="27" t="s">
        <v>290</v>
      </c>
      <c r="H57" s="27" t="s">
        <v>1320</v>
      </c>
      <c r="I57" s="27"/>
      <c r="J57" s="27"/>
      <c r="K57" s="27" t="s">
        <v>2873</v>
      </c>
      <c r="L57" s="27"/>
      <c r="M57" s="30" t="s">
        <v>2874</v>
      </c>
      <c r="N57" s="1" t="s">
        <v>264</v>
      </c>
      <c r="O57" s="27" t="s">
        <v>2875</v>
      </c>
      <c r="P57" s="27"/>
    </row>
    <row r="58" spans="1:16" ht="24" customHeight="1">
      <c r="A58" s="30">
        <v>45741</v>
      </c>
      <c r="B58" s="27" t="s">
        <v>227</v>
      </c>
      <c r="C58" s="27" t="s">
        <v>171</v>
      </c>
      <c r="D58" s="27" t="s">
        <v>2876</v>
      </c>
      <c r="E58" s="10"/>
      <c r="F58" s="36" t="s">
        <v>263</v>
      </c>
      <c r="G58" s="27" t="s">
        <v>295</v>
      </c>
      <c r="H58" s="27" t="s">
        <v>296</v>
      </c>
      <c r="I58" s="27"/>
      <c r="J58" s="27"/>
      <c r="K58" s="27" t="s">
        <v>2877</v>
      </c>
      <c r="L58" s="27"/>
      <c r="M58" s="30">
        <v>45723</v>
      </c>
      <c r="N58" s="3" t="s">
        <v>312</v>
      </c>
      <c r="O58" s="27"/>
      <c r="P58" s="27"/>
    </row>
    <row r="59" spans="1:16" ht="24" customHeight="1">
      <c r="A59" s="30">
        <v>45741</v>
      </c>
      <c r="B59" s="27" t="s">
        <v>227</v>
      </c>
      <c r="C59" s="27" t="s">
        <v>2870</v>
      </c>
      <c r="D59" s="27" t="s">
        <v>440</v>
      </c>
      <c r="E59" s="10" t="s">
        <v>2864</v>
      </c>
      <c r="F59" s="36" t="s">
        <v>263</v>
      </c>
      <c r="G59" s="27" t="s">
        <v>269</v>
      </c>
      <c r="H59" s="27" t="s">
        <v>270</v>
      </c>
      <c r="I59" s="27"/>
      <c r="J59" s="27"/>
      <c r="K59" s="27" t="s">
        <v>2871</v>
      </c>
      <c r="L59" s="27"/>
      <c r="M59" s="30">
        <v>45740</v>
      </c>
      <c r="N59" s="1" t="s">
        <v>264</v>
      </c>
      <c r="O59" s="27" t="s">
        <v>2872</v>
      </c>
      <c r="P59" s="27"/>
    </row>
    <row r="60" spans="1:16" ht="24" customHeight="1">
      <c r="A60" s="30">
        <v>45742</v>
      </c>
      <c r="B60" s="27" t="s">
        <v>201</v>
      </c>
      <c r="C60" s="27" t="s">
        <v>2740</v>
      </c>
      <c r="D60" s="27" t="s">
        <v>440</v>
      </c>
      <c r="E60" s="10">
        <v>1</v>
      </c>
      <c r="F60" s="36" t="s">
        <v>263</v>
      </c>
      <c r="G60" s="27" t="s">
        <v>269</v>
      </c>
      <c r="H60" s="27" t="s">
        <v>270</v>
      </c>
      <c r="I60" s="27"/>
      <c r="J60" s="27"/>
      <c r="K60" s="27" t="s">
        <v>2639</v>
      </c>
      <c r="L60" s="27"/>
      <c r="M60" s="27"/>
      <c r="N60" s="1" t="s">
        <v>264</v>
      </c>
      <c r="O60" s="27" t="s">
        <v>2841</v>
      </c>
      <c r="P60" s="27"/>
    </row>
    <row r="61" spans="1:16" ht="24" customHeight="1">
      <c r="A61" s="30">
        <v>45742</v>
      </c>
      <c r="B61" s="27" t="s">
        <v>201</v>
      </c>
      <c r="C61" s="27" t="s">
        <v>171</v>
      </c>
      <c r="D61" s="27" t="s">
        <v>2878</v>
      </c>
      <c r="E61" s="10">
        <v>15</v>
      </c>
      <c r="F61" s="36" t="s">
        <v>263</v>
      </c>
      <c r="G61" s="27" t="s">
        <v>289</v>
      </c>
      <c r="H61" s="27" t="s">
        <v>270</v>
      </c>
      <c r="I61" s="27"/>
      <c r="J61" s="27"/>
      <c r="K61" s="27" t="s">
        <v>367</v>
      </c>
      <c r="L61" s="27"/>
      <c r="M61" s="30" t="s">
        <v>2879</v>
      </c>
      <c r="N61" s="1" t="s">
        <v>264</v>
      </c>
      <c r="O61" s="27" t="s">
        <v>2880</v>
      </c>
      <c r="P61" s="27" t="s">
        <v>2738</v>
      </c>
    </row>
    <row r="62" spans="1:16" ht="24" customHeight="1">
      <c r="A62" s="30">
        <v>45742</v>
      </c>
      <c r="B62" s="27" t="s">
        <v>201</v>
      </c>
      <c r="C62" s="27" t="s">
        <v>239</v>
      </c>
      <c r="D62" s="27" t="s">
        <v>2881</v>
      </c>
      <c r="E62" s="10">
        <v>80</v>
      </c>
      <c r="F62" s="36" t="s">
        <v>263</v>
      </c>
      <c r="G62" s="27" t="s">
        <v>295</v>
      </c>
      <c r="H62" s="27" t="s">
        <v>290</v>
      </c>
      <c r="I62" s="27"/>
      <c r="J62" s="27"/>
      <c r="K62" s="27" t="s">
        <v>367</v>
      </c>
      <c r="L62" s="27"/>
      <c r="M62" s="30" t="s">
        <v>2882</v>
      </c>
      <c r="N62" s="1" t="s">
        <v>264</v>
      </c>
      <c r="O62" s="27" t="s">
        <v>298</v>
      </c>
      <c r="P62" s="27"/>
    </row>
    <row r="63" spans="1:16" ht="24" customHeight="1">
      <c r="A63" s="30">
        <v>45742</v>
      </c>
      <c r="B63" s="27" t="s">
        <v>201</v>
      </c>
      <c r="C63" s="27" t="s">
        <v>326</v>
      </c>
      <c r="D63" s="27" t="s">
        <v>2883</v>
      </c>
      <c r="E63" s="10"/>
      <c r="F63" s="36" t="s">
        <v>263</v>
      </c>
      <c r="G63" s="27" t="s">
        <v>309</v>
      </c>
      <c r="H63" s="27" t="s">
        <v>296</v>
      </c>
      <c r="I63" s="27"/>
      <c r="J63" s="27"/>
      <c r="K63" s="27" t="s">
        <v>2873</v>
      </c>
      <c r="L63" s="27"/>
      <c r="M63" s="27"/>
      <c r="N63" s="1" t="s">
        <v>264</v>
      </c>
      <c r="O63" s="27" t="s">
        <v>2884</v>
      </c>
      <c r="P63" s="27"/>
    </row>
    <row r="64" spans="1:16" ht="24" customHeight="1">
      <c r="A64" s="30">
        <v>45742</v>
      </c>
      <c r="B64" s="27" t="s">
        <v>201</v>
      </c>
      <c r="C64" s="27" t="s">
        <v>2863</v>
      </c>
      <c r="D64" s="27" t="s">
        <v>440</v>
      </c>
      <c r="E64" s="10" t="s">
        <v>2864</v>
      </c>
      <c r="F64" s="36" t="s">
        <v>263</v>
      </c>
      <c r="G64" s="27" t="s">
        <v>269</v>
      </c>
      <c r="H64" s="27" t="s">
        <v>270</v>
      </c>
      <c r="I64" s="27" t="s">
        <v>369</v>
      </c>
      <c r="J64" s="27"/>
      <c r="K64" s="27" t="s">
        <v>367</v>
      </c>
      <c r="L64" s="27"/>
      <c r="M64" s="30">
        <v>45709</v>
      </c>
      <c r="N64" s="1" t="s">
        <v>264</v>
      </c>
      <c r="O64" s="27" t="s">
        <v>2841</v>
      </c>
      <c r="P64" s="27"/>
    </row>
    <row r="65" spans="1:16" ht="24" customHeight="1">
      <c r="A65" s="30">
        <v>45742</v>
      </c>
      <c r="B65" s="27" t="s">
        <v>201</v>
      </c>
      <c r="C65" s="27" t="s">
        <v>2740</v>
      </c>
      <c r="D65" s="27" t="s">
        <v>440</v>
      </c>
      <c r="E65" s="10">
        <v>1</v>
      </c>
      <c r="F65" s="36" t="s">
        <v>263</v>
      </c>
      <c r="G65" s="27" t="s">
        <v>269</v>
      </c>
      <c r="H65" s="27" t="s">
        <v>270</v>
      </c>
      <c r="I65" s="27"/>
      <c r="J65" s="27"/>
      <c r="K65" s="27" t="s">
        <v>2639</v>
      </c>
      <c r="L65" s="27"/>
      <c r="M65" s="27"/>
      <c r="N65" s="1" t="s">
        <v>264</v>
      </c>
      <c r="O65" s="27" t="s">
        <v>2841</v>
      </c>
      <c r="P65" s="27"/>
    </row>
    <row r="66" spans="1:16" ht="24" customHeight="1">
      <c r="A66" s="30">
        <v>45742</v>
      </c>
      <c r="B66" s="27" t="s">
        <v>201</v>
      </c>
      <c r="C66" s="27" t="s">
        <v>2870</v>
      </c>
      <c r="D66" s="27" t="s">
        <v>440</v>
      </c>
      <c r="E66" s="10" t="s">
        <v>2864</v>
      </c>
      <c r="F66" s="36" t="s">
        <v>263</v>
      </c>
      <c r="G66" s="27" t="s">
        <v>269</v>
      </c>
      <c r="H66" s="27" t="s">
        <v>270</v>
      </c>
      <c r="I66" s="27"/>
      <c r="J66" s="27"/>
      <c r="K66" s="27" t="s">
        <v>2871</v>
      </c>
      <c r="L66" s="27"/>
      <c r="M66" s="30">
        <v>45740</v>
      </c>
      <c r="N66" s="1" t="s">
        <v>264</v>
      </c>
      <c r="O66" s="27" t="s">
        <v>2872</v>
      </c>
      <c r="P66" s="27"/>
    </row>
    <row r="67" spans="1:16" ht="24" customHeight="1">
      <c r="A67" s="30">
        <v>45743</v>
      </c>
      <c r="B67" s="27" t="s">
        <v>216</v>
      </c>
      <c r="C67" s="27" t="s">
        <v>2870</v>
      </c>
      <c r="D67" s="27" t="s">
        <v>440</v>
      </c>
      <c r="E67" s="10" t="s">
        <v>2864</v>
      </c>
      <c r="F67" s="36" t="s">
        <v>263</v>
      </c>
      <c r="G67" s="27" t="s">
        <v>269</v>
      </c>
      <c r="H67" s="27" t="s">
        <v>270</v>
      </c>
      <c r="I67" s="27"/>
      <c r="J67" s="27"/>
      <c r="K67" s="27" t="s">
        <v>2871</v>
      </c>
      <c r="L67" s="27"/>
      <c r="M67" s="30">
        <v>45740</v>
      </c>
      <c r="N67" s="1" t="s">
        <v>264</v>
      </c>
      <c r="O67" s="27" t="s">
        <v>2872</v>
      </c>
      <c r="P67" s="27"/>
    </row>
    <row r="68" spans="1:16" ht="24" customHeight="1">
      <c r="A68" s="30">
        <v>45743</v>
      </c>
      <c r="B68" s="27" t="s">
        <v>216</v>
      </c>
      <c r="C68" s="27" t="s">
        <v>954</v>
      </c>
      <c r="D68" s="27" t="s">
        <v>2885</v>
      </c>
      <c r="E68" s="10"/>
      <c r="F68" s="36" t="s">
        <v>263</v>
      </c>
      <c r="G68" s="27" t="s">
        <v>309</v>
      </c>
      <c r="H68" s="27" t="s">
        <v>544</v>
      </c>
      <c r="I68" s="27"/>
      <c r="J68" s="27"/>
      <c r="K68" s="27" t="s">
        <v>2873</v>
      </c>
      <c r="L68" s="27"/>
      <c r="M68" s="30" t="s">
        <v>2886</v>
      </c>
      <c r="N68" s="1" t="s">
        <v>264</v>
      </c>
      <c r="O68" s="27" t="s">
        <v>2887</v>
      </c>
      <c r="P68" s="27"/>
    </row>
    <row r="69" spans="1:16" ht="24" customHeight="1">
      <c r="A69" s="30">
        <v>45743</v>
      </c>
      <c r="B69" s="27" t="s">
        <v>216</v>
      </c>
      <c r="C69" s="27" t="s">
        <v>171</v>
      </c>
      <c r="D69" s="27" t="s">
        <v>2809</v>
      </c>
      <c r="E69" s="10"/>
      <c r="F69" s="36" t="s">
        <v>263</v>
      </c>
      <c r="G69" s="27" t="s">
        <v>269</v>
      </c>
      <c r="H69" s="27" t="s">
        <v>270</v>
      </c>
      <c r="I69" s="27"/>
      <c r="J69" s="27"/>
      <c r="K69" s="27" t="s">
        <v>2855</v>
      </c>
      <c r="L69" s="27"/>
      <c r="M69" s="30" t="s">
        <v>2856</v>
      </c>
      <c r="N69" s="1" t="s">
        <v>264</v>
      </c>
      <c r="O69" s="27" t="s">
        <v>2857</v>
      </c>
      <c r="P69" s="27"/>
    </row>
    <row r="70" spans="1:16" ht="24" customHeight="1">
      <c r="A70" s="30">
        <v>45743</v>
      </c>
      <c r="B70" s="27" t="s">
        <v>216</v>
      </c>
      <c r="C70" s="27" t="s">
        <v>2863</v>
      </c>
      <c r="D70" s="27" t="s">
        <v>440</v>
      </c>
      <c r="E70" s="10" t="s">
        <v>2864</v>
      </c>
      <c r="F70" s="36" t="s">
        <v>263</v>
      </c>
      <c r="G70" s="27" t="s">
        <v>269</v>
      </c>
      <c r="H70" s="27" t="s">
        <v>270</v>
      </c>
      <c r="I70" s="27" t="s">
        <v>369</v>
      </c>
      <c r="J70" s="27"/>
      <c r="K70" s="27" t="s">
        <v>367</v>
      </c>
      <c r="L70" s="27"/>
      <c r="M70" s="30">
        <v>45709</v>
      </c>
      <c r="N70" s="1" t="s">
        <v>264</v>
      </c>
      <c r="O70" s="27" t="s">
        <v>2841</v>
      </c>
      <c r="P70" s="27"/>
    </row>
    <row r="71" spans="1:16" ht="24" customHeight="1">
      <c r="A71" s="30">
        <v>45743</v>
      </c>
      <c r="B71" s="27" t="s">
        <v>216</v>
      </c>
      <c r="C71" s="27" t="s">
        <v>2749</v>
      </c>
      <c r="D71" s="27" t="s">
        <v>440</v>
      </c>
      <c r="E71" s="10">
        <v>1</v>
      </c>
      <c r="F71" s="36" t="s">
        <v>263</v>
      </c>
      <c r="G71" s="27" t="s">
        <v>269</v>
      </c>
      <c r="H71" s="27" t="s">
        <v>270</v>
      </c>
      <c r="I71" s="27" t="s">
        <v>369</v>
      </c>
      <c r="J71" s="27"/>
      <c r="K71" s="27"/>
      <c r="L71" s="27"/>
      <c r="M71" s="27"/>
      <c r="N71" s="1" t="s">
        <v>264</v>
      </c>
      <c r="O71" s="27"/>
      <c r="P71" s="27"/>
    </row>
    <row r="72" spans="1:16" ht="24" customHeight="1">
      <c r="A72" s="30">
        <v>45744</v>
      </c>
      <c r="B72" s="27" t="s">
        <v>220</v>
      </c>
      <c r="C72" s="27" t="s">
        <v>2870</v>
      </c>
      <c r="D72" s="27" t="s">
        <v>440</v>
      </c>
      <c r="E72" s="10" t="s">
        <v>2864</v>
      </c>
      <c r="F72" s="36" t="s">
        <v>263</v>
      </c>
      <c r="G72" s="27" t="s">
        <v>269</v>
      </c>
      <c r="H72" s="27" t="s">
        <v>270</v>
      </c>
      <c r="I72" s="27"/>
      <c r="J72" s="27"/>
      <c r="K72" s="27" t="s">
        <v>2871</v>
      </c>
      <c r="L72" s="27"/>
      <c r="M72" s="30">
        <v>45740</v>
      </c>
      <c r="N72" s="1" t="s">
        <v>264</v>
      </c>
      <c r="O72" s="27" t="s">
        <v>2872</v>
      </c>
      <c r="P72" s="27"/>
    </row>
    <row r="73" spans="1:16" ht="24" customHeight="1">
      <c r="A73" s="30">
        <v>45744</v>
      </c>
      <c r="B73" s="27" t="s">
        <v>220</v>
      </c>
      <c r="C73" s="27" t="s">
        <v>171</v>
      </c>
      <c r="D73" s="27" t="s">
        <v>2888</v>
      </c>
      <c r="E73" s="10">
        <v>40</v>
      </c>
      <c r="F73" s="36" t="s">
        <v>263</v>
      </c>
      <c r="G73" s="27" t="s">
        <v>315</v>
      </c>
      <c r="H73" s="27" t="s">
        <v>429</v>
      </c>
      <c r="I73" s="27"/>
      <c r="J73" s="27"/>
      <c r="K73" s="27" t="s">
        <v>983</v>
      </c>
      <c r="L73" s="27"/>
      <c r="M73" s="30" t="s">
        <v>2889</v>
      </c>
      <c r="N73" s="1" t="s">
        <v>264</v>
      </c>
      <c r="O73" s="27" t="s">
        <v>321</v>
      </c>
      <c r="P73" s="27"/>
    </row>
    <row r="74" spans="1:16" ht="24" customHeight="1">
      <c r="A74" s="30">
        <v>45744</v>
      </c>
      <c r="B74" s="27" t="s">
        <v>220</v>
      </c>
      <c r="C74" s="27" t="s">
        <v>2740</v>
      </c>
      <c r="D74" s="27" t="s">
        <v>440</v>
      </c>
      <c r="E74" s="10">
        <v>1</v>
      </c>
      <c r="F74" s="36" t="s">
        <v>263</v>
      </c>
      <c r="G74" s="27" t="s">
        <v>269</v>
      </c>
      <c r="H74" s="27" t="s">
        <v>270</v>
      </c>
      <c r="I74" s="27"/>
      <c r="J74" s="27"/>
      <c r="K74" s="27" t="s">
        <v>2639</v>
      </c>
      <c r="L74" s="27"/>
      <c r="M74" s="27"/>
      <c r="N74" s="1" t="s">
        <v>264</v>
      </c>
      <c r="O74" s="27" t="s">
        <v>2841</v>
      </c>
      <c r="P74" s="27"/>
    </row>
    <row r="75" spans="1:16" ht="24" customHeight="1">
      <c r="A75" s="30">
        <v>45744</v>
      </c>
      <c r="B75" s="27" t="s">
        <v>220</v>
      </c>
      <c r="C75" s="27" t="s">
        <v>2863</v>
      </c>
      <c r="D75" s="27" t="s">
        <v>440</v>
      </c>
      <c r="E75" s="10" t="s">
        <v>2864</v>
      </c>
      <c r="F75" s="36" t="s">
        <v>263</v>
      </c>
      <c r="G75" s="27" t="s">
        <v>269</v>
      </c>
      <c r="H75" s="27" t="s">
        <v>270</v>
      </c>
      <c r="I75" s="27" t="s">
        <v>369</v>
      </c>
      <c r="J75" s="27"/>
      <c r="K75" s="27" t="s">
        <v>367</v>
      </c>
      <c r="L75" s="27"/>
      <c r="M75" s="30">
        <v>45709</v>
      </c>
      <c r="N75" s="1" t="s">
        <v>264</v>
      </c>
      <c r="O75" s="27" t="s">
        <v>2841</v>
      </c>
      <c r="P75" s="27"/>
    </row>
    <row r="76" spans="1:16" ht="24" customHeight="1">
      <c r="A76" s="30">
        <v>45744</v>
      </c>
      <c r="B76" s="27" t="s">
        <v>220</v>
      </c>
      <c r="C76" s="27" t="s">
        <v>171</v>
      </c>
      <c r="D76" s="27" t="s">
        <v>2876</v>
      </c>
      <c r="E76" s="10"/>
      <c r="F76" s="36" t="s">
        <v>263</v>
      </c>
      <c r="G76" s="27" t="s">
        <v>295</v>
      </c>
      <c r="H76" s="27" t="s">
        <v>296</v>
      </c>
      <c r="I76" s="27"/>
      <c r="J76" s="27"/>
      <c r="K76" s="27" t="s">
        <v>2877</v>
      </c>
      <c r="L76" s="27"/>
      <c r="M76" s="30">
        <v>45723</v>
      </c>
      <c r="N76" s="1" t="s">
        <v>264</v>
      </c>
      <c r="O76" s="27"/>
      <c r="P76" s="27"/>
    </row>
    <row r="77" spans="1:16" ht="24" customHeight="1">
      <c r="A77" s="30">
        <v>45744</v>
      </c>
      <c r="B77" s="27" t="s">
        <v>220</v>
      </c>
      <c r="C77" s="27" t="s">
        <v>2890</v>
      </c>
      <c r="D77" s="27" t="s">
        <v>2891</v>
      </c>
      <c r="E77" s="10"/>
      <c r="F77" s="36" t="s">
        <v>263</v>
      </c>
      <c r="G77" s="27" t="s">
        <v>309</v>
      </c>
      <c r="H77" s="27" t="s">
        <v>296</v>
      </c>
      <c r="I77" s="27"/>
      <c r="J77" s="27"/>
      <c r="K77" s="27" t="s">
        <v>2846</v>
      </c>
      <c r="L77" s="27"/>
      <c r="M77" s="30">
        <v>45780</v>
      </c>
      <c r="N77" s="3" t="s">
        <v>312</v>
      </c>
      <c r="O77" s="27" t="s">
        <v>2892</v>
      </c>
      <c r="P77" s="27" t="s">
        <v>2893</v>
      </c>
    </row>
    <row r="78" spans="1:16" ht="24" customHeight="1">
      <c r="A78" s="30">
        <v>45744</v>
      </c>
      <c r="B78" s="27" t="s">
        <v>220</v>
      </c>
      <c r="C78" s="27" t="s">
        <v>2689</v>
      </c>
      <c r="D78" s="27" t="s">
        <v>344</v>
      </c>
      <c r="E78" s="10">
        <v>12</v>
      </c>
      <c r="F78" s="36" t="s">
        <v>263</v>
      </c>
      <c r="G78" s="27" t="s">
        <v>269</v>
      </c>
      <c r="H78" s="27" t="s">
        <v>270</v>
      </c>
      <c r="I78" s="27"/>
      <c r="J78" s="27"/>
      <c r="K78" s="27" t="s">
        <v>2894</v>
      </c>
      <c r="L78" s="27"/>
      <c r="M78" s="30">
        <v>45715</v>
      </c>
      <c r="N78" s="1" t="s">
        <v>264</v>
      </c>
      <c r="O78" s="27" t="s">
        <v>2895</v>
      </c>
      <c r="P78" s="27"/>
    </row>
    <row r="79" spans="1:16" ht="24" customHeight="1">
      <c r="A79" s="30">
        <v>45745</v>
      </c>
      <c r="B79" s="27" t="s">
        <v>266</v>
      </c>
      <c r="C79" s="27" t="s">
        <v>300</v>
      </c>
      <c r="D79" s="27" t="s">
        <v>300</v>
      </c>
      <c r="E79" s="10"/>
      <c r="F79" s="36" t="s">
        <v>263</v>
      </c>
      <c r="G79" s="27" t="s">
        <v>269</v>
      </c>
      <c r="H79" s="27" t="s">
        <v>270</v>
      </c>
      <c r="I79" s="27" t="s">
        <v>382</v>
      </c>
      <c r="J79" s="27"/>
      <c r="K79" s="27" t="s">
        <v>475</v>
      </c>
      <c r="L79" s="27"/>
      <c r="M79" s="27"/>
      <c r="N79" s="1" t="s">
        <v>264</v>
      </c>
      <c r="O79" s="27" t="s">
        <v>2896</v>
      </c>
      <c r="P79" s="27"/>
    </row>
    <row r="80" spans="1:16" ht="24" customHeight="1">
      <c r="A80" s="30">
        <v>45746</v>
      </c>
      <c r="B80" s="27" t="s">
        <v>267</v>
      </c>
      <c r="C80" s="27"/>
      <c r="D80" s="27"/>
      <c r="E80" s="10"/>
      <c r="F80" s="36" t="s">
        <v>263</v>
      </c>
      <c r="G80" s="27"/>
      <c r="H80" s="27"/>
      <c r="I80" s="27"/>
      <c r="J80" s="27"/>
      <c r="K80" s="27"/>
      <c r="L80" s="27"/>
      <c r="M80" s="27"/>
      <c r="N80" s="1" t="s">
        <v>264</v>
      </c>
      <c r="O80" s="27"/>
      <c r="P80" s="27"/>
    </row>
    <row r="81" spans="1:16" ht="24" customHeight="1">
      <c r="A81" s="30">
        <v>45747</v>
      </c>
      <c r="B81" s="27" t="s">
        <v>224</v>
      </c>
      <c r="C81" s="27"/>
      <c r="D81" s="27"/>
      <c r="E81" s="10"/>
      <c r="F81" s="36" t="s">
        <v>263</v>
      </c>
      <c r="G81" s="27"/>
      <c r="H81" s="27"/>
      <c r="I81" s="27"/>
      <c r="J81" s="27"/>
      <c r="K81" s="27"/>
      <c r="L81" s="27"/>
      <c r="M81" s="27"/>
      <c r="N81" s="1" t="s">
        <v>264</v>
      </c>
      <c r="O81" s="27" t="s">
        <v>2897</v>
      </c>
      <c r="P81" s="27"/>
    </row>
  </sheetData>
  <mergeCells count="3">
    <mergeCell ref="A1:C1"/>
    <mergeCell ref="D1:K1"/>
    <mergeCell ref="L1:P1"/>
  </mergeCells>
  <dataValidations count="2">
    <dataValidation type="list" allowBlank="1" sqref="M3:M131 N3:N81" xr:uid="{00000000-0002-0000-1F00-000000000000}">
      <formula1>"Confirmed (Done),Pending Calendar Booking,Canceled"</formula1>
    </dataValidation>
    <dataValidation type="list" allowBlank="1" sqref="F3:F81" xr:uid="{00000000-0002-0000-1F00-000001000000}">
      <formula1>"Big Event,Small Event"</formula1>
    </dataValidation>
  </dataValidations>
  <hyperlinks>
    <hyperlink ref="A1" location="'Dashboard'!A1" display="🏠 ⮌ RETURN TO DASHBOARD" xr:uid="{00000000-0004-0000-1F00-000000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68"/>
  <sheetViews>
    <sheetView workbookViewId="0">
      <pane ySplit="2" topLeftCell="A3" activePane="bottomLeft" state="frozen"/>
      <selection pane="bottomLeft"/>
    </sheetView>
  </sheetViews>
  <sheetFormatPr defaultRowHeight="14.45"/>
  <cols>
    <col min="1" max="1" width="15" customWidth="1"/>
    <col min="2" max="2" width="12" customWidth="1"/>
    <col min="3" max="3" width="27" customWidth="1"/>
    <col min="4" max="4" width="35" customWidth="1"/>
    <col min="5" max="5" width="12" customWidth="1"/>
    <col min="6" max="6" width="15" customWidth="1"/>
    <col min="7" max="7" width="19" customWidth="1"/>
    <col min="8" max="8" width="17" customWidth="1"/>
    <col min="9" max="9" width="18" customWidth="1"/>
    <col min="10" max="10" width="22" customWidth="1"/>
    <col min="11" max="11" width="30" customWidth="1"/>
    <col min="12" max="12" width="25" customWidth="1"/>
    <col min="13" max="13" width="48" customWidth="1"/>
    <col min="14" max="14" width="25" customWidth="1"/>
    <col min="15" max="15" width="48" customWidth="1"/>
    <col min="16" max="16" width="19" customWidth="1"/>
  </cols>
  <sheetData>
    <row r="1" spans="1:16" ht="27.95" customHeight="1">
      <c r="A1" s="62" t="s">
        <v>2138</v>
      </c>
      <c r="B1" s="134"/>
      <c r="C1" s="135"/>
      <c r="D1" s="63" t="s">
        <v>2898</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45748</v>
      </c>
      <c r="B3" s="27" t="s">
        <v>227</v>
      </c>
      <c r="C3" s="27" t="s">
        <v>326</v>
      </c>
      <c r="D3" s="27" t="s">
        <v>236</v>
      </c>
      <c r="E3" s="10"/>
      <c r="F3" s="36" t="s">
        <v>263</v>
      </c>
      <c r="G3" s="27" t="s">
        <v>269</v>
      </c>
      <c r="H3" s="27" t="s">
        <v>270</v>
      </c>
      <c r="I3" s="27"/>
      <c r="J3" s="27"/>
      <c r="K3" s="27"/>
      <c r="L3" s="27"/>
      <c r="M3" s="27"/>
      <c r="N3" s="1" t="s">
        <v>264</v>
      </c>
      <c r="O3" s="27"/>
      <c r="P3" s="27"/>
    </row>
    <row r="4" spans="1:16" ht="24" customHeight="1">
      <c r="A4" s="30">
        <v>45748</v>
      </c>
      <c r="B4" s="27" t="s">
        <v>227</v>
      </c>
      <c r="C4" s="27" t="s">
        <v>171</v>
      </c>
      <c r="D4" s="27" t="s">
        <v>2899</v>
      </c>
      <c r="E4" s="10">
        <v>60</v>
      </c>
      <c r="F4" s="36" t="s">
        <v>263</v>
      </c>
      <c r="G4" s="27" t="s">
        <v>274</v>
      </c>
      <c r="H4" s="27" t="s">
        <v>429</v>
      </c>
      <c r="I4" s="27"/>
      <c r="J4" s="27"/>
      <c r="K4" s="27" t="s">
        <v>2900</v>
      </c>
      <c r="L4" s="27"/>
      <c r="M4" s="30" t="s">
        <v>2901</v>
      </c>
      <c r="N4" s="1" t="s">
        <v>264</v>
      </c>
      <c r="O4" s="27" t="s">
        <v>298</v>
      </c>
      <c r="P4" s="27"/>
    </row>
    <row r="5" spans="1:16" ht="24" customHeight="1">
      <c r="A5" s="30">
        <v>45748</v>
      </c>
      <c r="B5" s="27" t="s">
        <v>227</v>
      </c>
      <c r="C5" s="27" t="s">
        <v>2902</v>
      </c>
      <c r="D5" s="27" t="s">
        <v>440</v>
      </c>
      <c r="E5" s="10">
        <v>1</v>
      </c>
      <c r="F5" s="36" t="s">
        <v>263</v>
      </c>
      <c r="G5" s="27" t="s">
        <v>269</v>
      </c>
      <c r="H5" s="27" t="s">
        <v>270</v>
      </c>
      <c r="I5" s="27"/>
      <c r="J5" s="27"/>
      <c r="K5" s="27" t="s">
        <v>2903</v>
      </c>
      <c r="L5" s="27"/>
      <c r="M5" s="27"/>
      <c r="N5" s="1" t="s">
        <v>264</v>
      </c>
      <c r="O5" s="27" t="s">
        <v>2904</v>
      </c>
      <c r="P5" s="27"/>
    </row>
    <row r="6" spans="1:16" ht="24" customHeight="1">
      <c r="A6" s="30">
        <v>45748</v>
      </c>
      <c r="B6" s="27" t="s">
        <v>227</v>
      </c>
      <c r="C6" s="27" t="s">
        <v>171</v>
      </c>
      <c r="D6" s="27" t="s">
        <v>2809</v>
      </c>
      <c r="E6" s="10"/>
      <c r="F6" s="36" t="s">
        <v>263</v>
      </c>
      <c r="G6" s="27" t="s">
        <v>269</v>
      </c>
      <c r="H6" s="27" t="s">
        <v>270</v>
      </c>
      <c r="I6" s="27"/>
      <c r="J6" s="27"/>
      <c r="K6" s="27" t="s">
        <v>2584</v>
      </c>
      <c r="L6" s="27"/>
      <c r="M6" s="30">
        <v>45693</v>
      </c>
      <c r="N6" s="1" t="s">
        <v>264</v>
      </c>
      <c r="O6" s="27"/>
      <c r="P6" s="27"/>
    </row>
    <row r="7" spans="1:16" ht="24" customHeight="1">
      <c r="A7" s="30">
        <v>45749</v>
      </c>
      <c r="B7" s="27" t="s">
        <v>201</v>
      </c>
      <c r="C7" s="27" t="s">
        <v>2716</v>
      </c>
      <c r="D7" s="27" t="s">
        <v>440</v>
      </c>
      <c r="E7" s="10">
        <v>1</v>
      </c>
      <c r="F7" s="36" t="s">
        <v>263</v>
      </c>
      <c r="G7" s="27" t="s">
        <v>269</v>
      </c>
      <c r="H7" s="27" t="s">
        <v>270</v>
      </c>
      <c r="I7" s="27"/>
      <c r="J7" s="27"/>
      <c r="K7" s="27" t="s">
        <v>2903</v>
      </c>
      <c r="L7" s="27"/>
      <c r="M7" s="27"/>
      <c r="N7" s="1" t="s">
        <v>264</v>
      </c>
      <c r="O7" s="27" t="s">
        <v>2904</v>
      </c>
      <c r="P7" s="27"/>
    </row>
    <row r="8" spans="1:16" ht="24" customHeight="1">
      <c r="A8" s="30">
        <v>45749</v>
      </c>
      <c r="B8" s="27" t="s">
        <v>201</v>
      </c>
      <c r="C8" s="27" t="s">
        <v>2902</v>
      </c>
      <c r="D8" s="27" t="s">
        <v>440</v>
      </c>
      <c r="E8" s="10">
        <v>1</v>
      </c>
      <c r="F8" s="36" t="s">
        <v>263</v>
      </c>
      <c r="G8" s="27" t="s">
        <v>269</v>
      </c>
      <c r="H8" s="27" t="s">
        <v>270</v>
      </c>
      <c r="I8" s="27"/>
      <c r="J8" s="27"/>
      <c r="K8" s="27" t="s">
        <v>2903</v>
      </c>
      <c r="L8" s="27"/>
      <c r="M8" s="27"/>
      <c r="N8" s="1" t="s">
        <v>264</v>
      </c>
      <c r="O8" s="27" t="s">
        <v>2904</v>
      </c>
      <c r="P8" s="27"/>
    </row>
    <row r="9" spans="1:16" ht="24" customHeight="1">
      <c r="A9" s="30">
        <v>45749</v>
      </c>
      <c r="B9" s="27" t="s">
        <v>201</v>
      </c>
      <c r="C9" s="27" t="s">
        <v>171</v>
      </c>
      <c r="D9" s="27" t="s">
        <v>2905</v>
      </c>
      <c r="E9" s="10">
        <v>75</v>
      </c>
      <c r="F9" s="36" t="s">
        <v>263</v>
      </c>
      <c r="G9" s="27" t="s">
        <v>274</v>
      </c>
      <c r="H9" s="27" t="s">
        <v>429</v>
      </c>
      <c r="I9" s="27" t="s">
        <v>531</v>
      </c>
      <c r="J9" s="27" t="s">
        <v>531</v>
      </c>
      <c r="K9" s="27" t="s">
        <v>1435</v>
      </c>
      <c r="L9" s="27"/>
      <c r="M9" s="30" t="s">
        <v>2906</v>
      </c>
      <c r="N9" s="1" t="s">
        <v>264</v>
      </c>
      <c r="O9" s="27"/>
      <c r="P9" s="27"/>
    </row>
    <row r="10" spans="1:16" ht="24" customHeight="1">
      <c r="A10" s="30">
        <v>45749</v>
      </c>
      <c r="B10" s="27" t="s">
        <v>201</v>
      </c>
      <c r="C10" s="27" t="s">
        <v>171</v>
      </c>
      <c r="D10" s="27" t="s">
        <v>2907</v>
      </c>
      <c r="E10" s="10">
        <v>70</v>
      </c>
      <c r="F10" s="36" t="s">
        <v>263</v>
      </c>
      <c r="G10" s="27" t="s">
        <v>309</v>
      </c>
      <c r="H10" s="27" t="s">
        <v>2908</v>
      </c>
      <c r="I10" s="27"/>
      <c r="J10" s="27"/>
      <c r="K10" s="27" t="s">
        <v>2909</v>
      </c>
      <c r="L10" s="27"/>
      <c r="M10" s="30" t="s">
        <v>2910</v>
      </c>
      <c r="N10" s="1" t="s">
        <v>264</v>
      </c>
      <c r="O10" s="27"/>
      <c r="P10" s="27"/>
    </row>
    <row r="11" spans="1:16" ht="24" customHeight="1">
      <c r="A11" s="30">
        <v>45749</v>
      </c>
      <c r="B11" s="27" t="s">
        <v>201</v>
      </c>
      <c r="C11" s="27" t="s">
        <v>171</v>
      </c>
      <c r="D11" s="27" t="s">
        <v>2911</v>
      </c>
      <c r="E11" s="10">
        <v>65</v>
      </c>
      <c r="F11" s="36" t="s">
        <v>263</v>
      </c>
      <c r="G11" s="27" t="s">
        <v>295</v>
      </c>
      <c r="H11" s="27" t="s">
        <v>296</v>
      </c>
      <c r="I11" s="27" t="s">
        <v>531</v>
      </c>
      <c r="J11" s="27" t="s">
        <v>531</v>
      </c>
      <c r="K11" s="27" t="s">
        <v>2912</v>
      </c>
      <c r="L11" s="27"/>
      <c r="M11" s="27"/>
      <c r="N11" s="3" t="s">
        <v>312</v>
      </c>
      <c r="O11" s="27"/>
      <c r="P11" s="27"/>
    </row>
    <row r="12" spans="1:16" ht="24" customHeight="1">
      <c r="A12" s="30">
        <v>45750</v>
      </c>
      <c r="B12" s="27" t="s">
        <v>216</v>
      </c>
      <c r="C12" s="27" t="s">
        <v>171</v>
      </c>
      <c r="D12" s="27" t="s">
        <v>2913</v>
      </c>
      <c r="E12" s="10" t="s">
        <v>2914</v>
      </c>
      <c r="F12" s="36" t="s">
        <v>263</v>
      </c>
      <c r="G12" s="27" t="s">
        <v>309</v>
      </c>
      <c r="H12" s="27" t="s">
        <v>296</v>
      </c>
      <c r="I12" s="27"/>
      <c r="J12" s="27"/>
      <c r="K12" s="27"/>
      <c r="L12" s="27"/>
      <c r="M12" s="27"/>
      <c r="N12" s="1" t="s">
        <v>264</v>
      </c>
      <c r="O12" s="27"/>
      <c r="P12" s="27"/>
    </row>
    <row r="13" spans="1:16" ht="24" customHeight="1">
      <c r="A13" s="30">
        <v>45750</v>
      </c>
      <c r="B13" s="27" t="s">
        <v>216</v>
      </c>
      <c r="C13" s="27" t="s">
        <v>171</v>
      </c>
      <c r="D13" s="27" t="s">
        <v>2601</v>
      </c>
      <c r="E13" s="10">
        <v>40</v>
      </c>
      <c r="F13" s="36" t="s">
        <v>263</v>
      </c>
      <c r="G13" s="27" t="s">
        <v>295</v>
      </c>
      <c r="H13" s="27" t="s">
        <v>411</v>
      </c>
      <c r="I13" s="27" t="s">
        <v>531</v>
      </c>
      <c r="J13" s="27" t="s">
        <v>2583</v>
      </c>
      <c r="K13" s="27" t="s">
        <v>2915</v>
      </c>
      <c r="L13" s="27"/>
      <c r="M13" s="30">
        <v>45735</v>
      </c>
      <c r="N13" s="3" t="s">
        <v>312</v>
      </c>
      <c r="O13" s="27" t="s">
        <v>298</v>
      </c>
      <c r="P13" s="27"/>
    </row>
    <row r="14" spans="1:16" ht="24" customHeight="1">
      <c r="A14" s="30">
        <v>45750</v>
      </c>
      <c r="B14" s="27" t="s">
        <v>216</v>
      </c>
      <c r="C14" s="27" t="s">
        <v>2716</v>
      </c>
      <c r="D14" s="27" t="s">
        <v>440</v>
      </c>
      <c r="E14" s="10">
        <v>1</v>
      </c>
      <c r="F14" s="36" t="s">
        <v>263</v>
      </c>
      <c r="G14" s="27" t="s">
        <v>269</v>
      </c>
      <c r="H14" s="27" t="s">
        <v>270</v>
      </c>
      <c r="I14" s="27"/>
      <c r="J14" s="27"/>
      <c r="K14" s="27" t="s">
        <v>2903</v>
      </c>
      <c r="L14" s="27"/>
      <c r="M14" s="27"/>
      <c r="N14" s="1" t="s">
        <v>264</v>
      </c>
      <c r="O14" s="27"/>
      <c r="P14" s="27"/>
    </row>
    <row r="15" spans="1:16" ht="24" customHeight="1">
      <c r="A15" s="30">
        <v>45750</v>
      </c>
      <c r="B15" s="27" t="s">
        <v>216</v>
      </c>
      <c r="C15" s="27" t="s">
        <v>2902</v>
      </c>
      <c r="D15" s="27" t="s">
        <v>440</v>
      </c>
      <c r="E15" s="10">
        <v>1</v>
      </c>
      <c r="F15" s="36" t="s">
        <v>263</v>
      </c>
      <c r="G15" s="27" t="s">
        <v>269</v>
      </c>
      <c r="H15" s="27" t="s">
        <v>270</v>
      </c>
      <c r="I15" s="27"/>
      <c r="J15" s="27"/>
      <c r="K15" s="27" t="s">
        <v>2903</v>
      </c>
      <c r="L15" s="27"/>
      <c r="M15" s="27"/>
      <c r="N15" s="1" t="s">
        <v>264</v>
      </c>
      <c r="O15" s="27"/>
      <c r="P15" s="27"/>
    </row>
    <row r="16" spans="1:16" ht="24" customHeight="1">
      <c r="A16" s="30">
        <v>45751</v>
      </c>
      <c r="B16" s="27" t="s">
        <v>220</v>
      </c>
      <c r="C16" s="27" t="s">
        <v>171</v>
      </c>
      <c r="D16" s="27" t="s">
        <v>2916</v>
      </c>
      <c r="E16" s="10">
        <v>45</v>
      </c>
      <c r="F16" s="36" t="s">
        <v>263</v>
      </c>
      <c r="G16" s="27" t="s">
        <v>946</v>
      </c>
      <c r="H16" s="27" t="s">
        <v>331</v>
      </c>
      <c r="I16" s="27"/>
      <c r="J16" s="27"/>
      <c r="K16" s="27" t="s">
        <v>335</v>
      </c>
      <c r="L16" s="27"/>
      <c r="M16" s="27"/>
      <c r="N16" s="1" t="s">
        <v>264</v>
      </c>
      <c r="O16" s="27" t="s">
        <v>2917</v>
      </c>
      <c r="P16" s="27"/>
    </row>
    <row r="17" spans="1:16" ht="24" customHeight="1">
      <c r="A17" s="30">
        <v>45751</v>
      </c>
      <c r="B17" s="27" t="s">
        <v>220</v>
      </c>
      <c r="C17" s="27" t="s">
        <v>171</v>
      </c>
      <c r="D17" s="27" t="s">
        <v>2918</v>
      </c>
      <c r="E17" s="10">
        <v>60</v>
      </c>
      <c r="F17" s="36" t="s">
        <v>263</v>
      </c>
      <c r="G17" s="27" t="s">
        <v>295</v>
      </c>
      <c r="H17" s="27" t="s">
        <v>296</v>
      </c>
      <c r="I17" s="27"/>
      <c r="J17" s="27"/>
      <c r="K17" s="27" t="s">
        <v>583</v>
      </c>
      <c r="L17" s="27"/>
      <c r="M17" s="27" t="s">
        <v>2919</v>
      </c>
      <c r="N17" s="1" t="s">
        <v>264</v>
      </c>
      <c r="O17" s="27"/>
      <c r="P17" s="27"/>
    </row>
    <row r="18" spans="1:16" ht="24" customHeight="1">
      <c r="A18" s="30">
        <v>45751</v>
      </c>
      <c r="B18" s="27" t="s">
        <v>220</v>
      </c>
      <c r="C18" s="27" t="s">
        <v>2716</v>
      </c>
      <c r="D18" s="27" t="s">
        <v>440</v>
      </c>
      <c r="E18" s="10">
        <v>1</v>
      </c>
      <c r="F18" s="36" t="s">
        <v>263</v>
      </c>
      <c r="G18" s="27" t="s">
        <v>269</v>
      </c>
      <c r="H18" s="27" t="s">
        <v>270</v>
      </c>
      <c r="I18" s="27"/>
      <c r="J18" s="27"/>
      <c r="K18" s="27" t="s">
        <v>2903</v>
      </c>
      <c r="L18" s="27"/>
      <c r="M18" s="27"/>
      <c r="N18" s="1" t="s">
        <v>264</v>
      </c>
      <c r="O18" s="27"/>
      <c r="P18" s="27"/>
    </row>
    <row r="19" spans="1:16" ht="24" customHeight="1">
      <c r="A19" s="30">
        <v>45751</v>
      </c>
      <c r="B19" s="27" t="s">
        <v>220</v>
      </c>
      <c r="C19" s="27" t="s">
        <v>2902</v>
      </c>
      <c r="D19" s="27" t="s">
        <v>440</v>
      </c>
      <c r="E19" s="10">
        <v>1</v>
      </c>
      <c r="F19" s="36" t="s">
        <v>263</v>
      </c>
      <c r="G19" s="27" t="s">
        <v>269</v>
      </c>
      <c r="H19" s="27" t="s">
        <v>270</v>
      </c>
      <c r="I19" s="27"/>
      <c r="J19" s="27"/>
      <c r="K19" s="27" t="s">
        <v>2903</v>
      </c>
      <c r="L19" s="27"/>
      <c r="M19" s="27"/>
      <c r="N19" s="1" t="s">
        <v>264</v>
      </c>
      <c r="O19" s="27"/>
      <c r="P19" s="27"/>
    </row>
    <row r="20" spans="1:16" ht="24" customHeight="1">
      <c r="A20" s="30">
        <v>45752</v>
      </c>
      <c r="B20" s="27" t="s">
        <v>266</v>
      </c>
      <c r="C20" s="27"/>
      <c r="D20" s="27"/>
      <c r="E20" s="10"/>
      <c r="F20" s="36" t="s">
        <v>263</v>
      </c>
      <c r="G20" s="27"/>
      <c r="H20" s="27"/>
      <c r="I20" s="27"/>
      <c r="J20" s="27"/>
      <c r="K20" s="27"/>
      <c r="L20" s="27"/>
      <c r="M20" s="27"/>
      <c r="N20" s="1" t="s">
        <v>264</v>
      </c>
      <c r="O20" s="27"/>
      <c r="P20" s="27"/>
    </row>
    <row r="21" spans="1:16" ht="24" customHeight="1">
      <c r="A21" s="30">
        <v>45753</v>
      </c>
      <c r="B21" s="27" t="s">
        <v>267</v>
      </c>
      <c r="C21" s="27"/>
      <c r="D21" s="27"/>
      <c r="E21" s="10"/>
      <c r="F21" s="36" t="s">
        <v>263</v>
      </c>
      <c r="G21" s="27"/>
      <c r="H21" s="27"/>
      <c r="I21" s="27"/>
      <c r="J21" s="27"/>
      <c r="K21" s="27"/>
      <c r="L21" s="27"/>
      <c r="M21" s="27"/>
      <c r="N21" s="1" t="s">
        <v>264</v>
      </c>
      <c r="O21" s="27"/>
      <c r="P21" s="27"/>
    </row>
    <row r="22" spans="1:16" ht="24" customHeight="1">
      <c r="A22" s="30">
        <v>45754</v>
      </c>
      <c r="B22" s="27" t="s">
        <v>224</v>
      </c>
      <c r="C22" s="27" t="s">
        <v>326</v>
      </c>
      <c r="D22" s="27" t="s">
        <v>2809</v>
      </c>
      <c r="E22" s="10"/>
      <c r="F22" s="36" t="s">
        <v>263</v>
      </c>
      <c r="G22" s="27" t="s">
        <v>269</v>
      </c>
      <c r="H22" s="27" t="s">
        <v>270</v>
      </c>
      <c r="I22" s="27"/>
      <c r="J22" s="27"/>
      <c r="K22" s="27" t="s">
        <v>2584</v>
      </c>
      <c r="L22" s="27"/>
      <c r="M22" s="30">
        <v>45693</v>
      </c>
      <c r="N22" s="1" t="s">
        <v>264</v>
      </c>
      <c r="O22" s="27" t="s">
        <v>2920</v>
      </c>
      <c r="P22" s="27"/>
    </row>
    <row r="23" spans="1:16" ht="24" customHeight="1">
      <c r="A23" s="30">
        <v>45754</v>
      </c>
      <c r="B23" s="27" t="s">
        <v>224</v>
      </c>
      <c r="C23" s="27" t="s">
        <v>171</v>
      </c>
      <c r="D23" s="27" t="s">
        <v>2921</v>
      </c>
      <c r="E23" s="10">
        <v>50</v>
      </c>
      <c r="F23" s="36" t="s">
        <v>263</v>
      </c>
      <c r="G23" s="27" t="s">
        <v>274</v>
      </c>
      <c r="H23" s="27" t="s">
        <v>817</v>
      </c>
      <c r="I23" s="27"/>
      <c r="J23" s="27"/>
      <c r="K23" s="27" t="s">
        <v>2922</v>
      </c>
      <c r="L23" s="27"/>
      <c r="M23" s="27"/>
      <c r="N23" s="1" t="s">
        <v>264</v>
      </c>
      <c r="O23" s="27" t="s">
        <v>2923</v>
      </c>
      <c r="P23" s="27"/>
    </row>
    <row r="24" spans="1:16" ht="24" customHeight="1">
      <c r="A24" s="30">
        <v>45755</v>
      </c>
      <c r="B24" s="27" t="s">
        <v>227</v>
      </c>
      <c r="C24" s="27" t="s">
        <v>2844</v>
      </c>
      <c r="D24" s="27" t="s">
        <v>1589</v>
      </c>
      <c r="E24" s="10"/>
      <c r="F24" s="36" t="s">
        <v>263</v>
      </c>
      <c r="G24" s="27" t="s">
        <v>295</v>
      </c>
      <c r="H24" s="27" t="s">
        <v>296</v>
      </c>
      <c r="I24" s="27"/>
      <c r="J24" s="27"/>
      <c r="K24" s="27" t="s">
        <v>367</v>
      </c>
      <c r="L24" s="27"/>
      <c r="M24" s="30" t="s">
        <v>2924</v>
      </c>
      <c r="N24" s="1" t="s">
        <v>264</v>
      </c>
      <c r="O24" s="27"/>
      <c r="P24" s="27"/>
    </row>
    <row r="25" spans="1:16" ht="24" customHeight="1">
      <c r="A25" s="30">
        <v>45756</v>
      </c>
      <c r="B25" s="27" t="s">
        <v>201</v>
      </c>
      <c r="C25" s="27"/>
      <c r="D25" s="27"/>
      <c r="E25" s="10"/>
      <c r="F25" s="36" t="s">
        <v>263</v>
      </c>
      <c r="G25" s="27"/>
      <c r="H25" s="27"/>
      <c r="I25" s="27"/>
      <c r="J25" s="27"/>
      <c r="K25" s="27"/>
      <c r="L25" s="27"/>
      <c r="M25" s="27"/>
      <c r="N25" s="1" t="s">
        <v>264</v>
      </c>
      <c r="O25" s="27"/>
      <c r="P25" s="27"/>
    </row>
    <row r="26" spans="1:16" ht="24" customHeight="1">
      <c r="A26" s="30">
        <v>45756</v>
      </c>
      <c r="B26" s="27" t="s">
        <v>201</v>
      </c>
      <c r="C26" s="27" t="s">
        <v>171</v>
      </c>
      <c r="D26" s="27" t="s">
        <v>2755</v>
      </c>
      <c r="E26" s="10">
        <v>60</v>
      </c>
      <c r="F26" s="36" t="s">
        <v>263</v>
      </c>
      <c r="G26" s="27" t="s">
        <v>295</v>
      </c>
      <c r="H26" s="27" t="s">
        <v>290</v>
      </c>
      <c r="I26" s="27"/>
      <c r="J26" s="27"/>
      <c r="K26" s="27" t="s">
        <v>367</v>
      </c>
      <c r="L26" s="27"/>
      <c r="M26" s="30" t="s">
        <v>2879</v>
      </c>
      <c r="N26" s="1" t="s">
        <v>264</v>
      </c>
      <c r="O26" s="27"/>
      <c r="P26" s="27"/>
    </row>
    <row r="27" spans="1:16" ht="24" customHeight="1">
      <c r="A27" s="30">
        <v>45756</v>
      </c>
      <c r="B27" s="27" t="s">
        <v>201</v>
      </c>
      <c r="C27" s="27" t="s">
        <v>326</v>
      </c>
      <c r="D27" s="27" t="s">
        <v>2925</v>
      </c>
      <c r="E27" s="10">
        <v>45</v>
      </c>
      <c r="F27" s="36" t="s">
        <v>263</v>
      </c>
      <c r="G27" s="27" t="s">
        <v>1057</v>
      </c>
      <c r="H27" s="27" t="s">
        <v>331</v>
      </c>
      <c r="I27" s="27"/>
      <c r="J27" s="27"/>
      <c r="K27" s="27" t="s">
        <v>2926</v>
      </c>
      <c r="L27" s="27"/>
      <c r="M27" s="30" t="s">
        <v>2859</v>
      </c>
      <c r="N27" s="3" t="s">
        <v>312</v>
      </c>
      <c r="O27" s="27" t="s">
        <v>1181</v>
      </c>
      <c r="P27" s="27"/>
    </row>
    <row r="28" spans="1:16" ht="24" customHeight="1">
      <c r="A28" s="30">
        <v>45757</v>
      </c>
      <c r="B28" s="27" t="s">
        <v>216</v>
      </c>
      <c r="C28" s="27" t="s">
        <v>171</v>
      </c>
      <c r="D28" s="27"/>
      <c r="E28" s="10"/>
      <c r="F28" s="36" t="s">
        <v>263</v>
      </c>
      <c r="G28" s="27"/>
      <c r="H28" s="27"/>
      <c r="I28" s="27"/>
      <c r="J28" s="27"/>
      <c r="K28" s="27"/>
      <c r="L28" s="27"/>
      <c r="M28" s="27"/>
      <c r="N28" s="3" t="s">
        <v>312</v>
      </c>
      <c r="O28" s="27"/>
      <c r="P28" s="27"/>
    </row>
    <row r="29" spans="1:16" ht="24" customHeight="1">
      <c r="A29" s="30">
        <v>45757</v>
      </c>
      <c r="B29" s="27" t="s">
        <v>216</v>
      </c>
      <c r="C29" s="27" t="s">
        <v>954</v>
      </c>
      <c r="D29" s="27" t="s">
        <v>2927</v>
      </c>
      <c r="E29" s="10">
        <v>25</v>
      </c>
      <c r="F29" s="36" t="s">
        <v>263</v>
      </c>
      <c r="G29" s="27" t="s">
        <v>309</v>
      </c>
      <c r="H29" s="27" t="s">
        <v>295</v>
      </c>
      <c r="I29" s="27"/>
      <c r="J29" s="27"/>
      <c r="K29" s="27" t="s">
        <v>583</v>
      </c>
      <c r="L29" s="27"/>
      <c r="M29" s="30" t="s">
        <v>2928</v>
      </c>
      <c r="N29" s="1" t="s">
        <v>264</v>
      </c>
      <c r="O29" s="27" t="s">
        <v>2929</v>
      </c>
      <c r="P29" s="27"/>
    </row>
    <row r="30" spans="1:16" ht="24" customHeight="1">
      <c r="A30" s="30">
        <v>45757</v>
      </c>
      <c r="B30" s="27" t="s">
        <v>216</v>
      </c>
      <c r="C30" s="27" t="s">
        <v>171</v>
      </c>
      <c r="D30" s="27" t="s">
        <v>300</v>
      </c>
      <c r="E30" s="10">
        <v>36</v>
      </c>
      <c r="F30" s="36" t="s">
        <v>263</v>
      </c>
      <c r="G30" s="27" t="s">
        <v>289</v>
      </c>
      <c r="H30" s="27" t="s">
        <v>1168</v>
      </c>
      <c r="I30" s="27"/>
      <c r="J30" s="27"/>
      <c r="K30" s="27" t="s">
        <v>722</v>
      </c>
      <c r="L30" s="27"/>
      <c r="M30" s="30" t="s">
        <v>2930</v>
      </c>
      <c r="N30" s="1" t="s">
        <v>264</v>
      </c>
      <c r="O30" s="27"/>
      <c r="P30" s="27"/>
    </row>
    <row r="31" spans="1:16" ht="24" customHeight="1">
      <c r="A31" s="30">
        <v>45758</v>
      </c>
      <c r="B31" s="27" t="s">
        <v>220</v>
      </c>
      <c r="C31" s="27" t="s">
        <v>171</v>
      </c>
      <c r="D31" s="27" t="s">
        <v>2931</v>
      </c>
      <c r="E31" s="10" t="s">
        <v>2411</v>
      </c>
      <c r="F31" s="36" t="s">
        <v>263</v>
      </c>
      <c r="G31" s="27" t="s">
        <v>309</v>
      </c>
      <c r="H31" s="27" t="s">
        <v>295</v>
      </c>
      <c r="I31" s="27"/>
      <c r="J31" s="27"/>
      <c r="K31" s="27" t="s">
        <v>2932</v>
      </c>
      <c r="L31" s="27"/>
      <c r="M31" s="30" t="s">
        <v>2933</v>
      </c>
      <c r="N31" s="1" t="s">
        <v>264</v>
      </c>
      <c r="O31" s="27" t="s">
        <v>2934</v>
      </c>
      <c r="P31" s="27"/>
    </row>
    <row r="32" spans="1:16" ht="24" customHeight="1">
      <c r="A32" s="30">
        <v>45759</v>
      </c>
      <c r="B32" s="27" t="s">
        <v>266</v>
      </c>
      <c r="C32" s="27"/>
      <c r="D32" s="27" t="s">
        <v>300</v>
      </c>
      <c r="E32" s="10"/>
      <c r="F32" s="36" t="s">
        <v>263</v>
      </c>
      <c r="G32" s="27" t="s">
        <v>269</v>
      </c>
      <c r="H32" s="27" t="s">
        <v>270</v>
      </c>
      <c r="I32" s="27"/>
      <c r="J32" s="27"/>
      <c r="K32" s="27" t="s">
        <v>475</v>
      </c>
      <c r="L32" s="27"/>
      <c r="M32" s="27"/>
      <c r="N32" s="1" t="s">
        <v>264</v>
      </c>
      <c r="O32" s="27"/>
      <c r="P32" s="27"/>
    </row>
    <row r="33" spans="1:16" ht="24" customHeight="1">
      <c r="A33" s="30">
        <v>45760</v>
      </c>
      <c r="B33" s="27" t="s">
        <v>267</v>
      </c>
      <c r="C33" s="27"/>
      <c r="D33" s="27"/>
      <c r="E33" s="10"/>
      <c r="F33" s="36" t="s">
        <v>263</v>
      </c>
      <c r="G33" s="27"/>
      <c r="H33" s="27"/>
      <c r="I33" s="27"/>
      <c r="J33" s="27"/>
      <c r="K33" s="27"/>
      <c r="L33" s="27"/>
      <c r="M33" s="27"/>
      <c r="N33" s="1" t="s">
        <v>264</v>
      </c>
      <c r="O33" s="27"/>
      <c r="P33" s="27"/>
    </row>
    <row r="34" spans="1:16" ht="24" customHeight="1">
      <c r="A34" s="30">
        <v>45761</v>
      </c>
      <c r="B34" s="27" t="s">
        <v>224</v>
      </c>
      <c r="C34" s="27" t="s">
        <v>2935</v>
      </c>
      <c r="D34" s="27" t="s">
        <v>440</v>
      </c>
      <c r="E34" s="10"/>
      <c r="F34" s="36" t="s">
        <v>263</v>
      </c>
      <c r="G34" s="27" t="s">
        <v>269</v>
      </c>
      <c r="H34" s="27" t="s">
        <v>270</v>
      </c>
      <c r="I34" s="27"/>
      <c r="J34" s="27"/>
      <c r="K34" s="27" t="s">
        <v>367</v>
      </c>
      <c r="L34" s="27"/>
      <c r="M34" s="27" t="s">
        <v>2936</v>
      </c>
      <c r="N34" s="1" t="s">
        <v>264</v>
      </c>
      <c r="O34" s="27"/>
      <c r="P34" s="27"/>
    </row>
    <row r="35" spans="1:16" ht="24" customHeight="1">
      <c r="A35" s="30">
        <v>45761</v>
      </c>
      <c r="B35" s="27" t="s">
        <v>224</v>
      </c>
      <c r="C35" s="27" t="s">
        <v>171</v>
      </c>
      <c r="D35" s="27" t="s">
        <v>2809</v>
      </c>
      <c r="E35" s="10"/>
      <c r="F35" s="36" t="s">
        <v>263</v>
      </c>
      <c r="G35" s="27" t="s">
        <v>269</v>
      </c>
      <c r="H35" s="27" t="s">
        <v>270</v>
      </c>
      <c r="I35" s="27"/>
      <c r="J35" s="27"/>
      <c r="K35" s="27" t="s">
        <v>2584</v>
      </c>
      <c r="L35" s="27"/>
      <c r="M35" s="30">
        <v>45693</v>
      </c>
      <c r="N35" s="1" t="s">
        <v>264</v>
      </c>
      <c r="O35" s="27"/>
      <c r="P35" s="27"/>
    </row>
    <row r="36" spans="1:16" ht="24" customHeight="1">
      <c r="A36" s="30">
        <v>45762</v>
      </c>
      <c r="B36" s="27" t="s">
        <v>227</v>
      </c>
      <c r="C36" s="27" t="s">
        <v>2935</v>
      </c>
      <c r="D36" s="27" t="s">
        <v>440</v>
      </c>
      <c r="E36" s="10"/>
      <c r="F36" s="36" t="s">
        <v>263</v>
      </c>
      <c r="G36" s="27" t="s">
        <v>269</v>
      </c>
      <c r="H36" s="27" t="s">
        <v>270</v>
      </c>
      <c r="I36" s="27"/>
      <c r="J36" s="27"/>
      <c r="K36" s="27" t="s">
        <v>367</v>
      </c>
      <c r="L36" s="27"/>
      <c r="M36" s="27" t="s">
        <v>2936</v>
      </c>
      <c r="N36" s="1" t="s">
        <v>264</v>
      </c>
      <c r="O36" s="27"/>
      <c r="P36" s="27"/>
    </row>
    <row r="37" spans="1:16" ht="24" customHeight="1">
      <c r="A37" s="30">
        <v>45762</v>
      </c>
      <c r="B37" s="27" t="s">
        <v>227</v>
      </c>
      <c r="C37" s="27" t="s">
        <v>171</v>
      </c>
      <c r="D37" s="27" t="s">
        <v>2937</v>
      </c>
      <c r="E37" s="10">
        <v>40</v>
      </c>
      <c r="F37" s="36" t="s">
        <v>263</v>
      </c>
      <c r="G37" s="27" t="s">
        <v>295</v>
      </c>
      <c r="H37" s="27" t="s">
        <v>290</v>
      </c>
      <c r="I37" s="27"/>
      <c r="J37" s="27"/>
      <c r="K37" s="27" t="s">
        <v>2938</v>
      </c>
      <c r="L37" s="27"/>
      <c r="M37" s="30" t="s">
        <v>2939</v>
      </c>
      <c r="N37" s="1" t="s">
        <v>264</v>
      </c>
      <c r="O37" s="27"/>
      <c r="P37" s="27"/>
    </row>
    <row r="38" spans="1:16" ht="24" customHeight="1">
      <c r="A38" s="30">
        <v>45763</v>
      </c>
      <c r="B38" s="27" t="s">
        <v>201</v>
      </c>
      <c r="C38" s="27" t="s">
        <v>2935</v>
      </c>
      <c r="D38" s="27" t="s">
        <v>440</v>
      </c>
      <c r="E38" s="10"/>
      <c r="F38" s="36" t="s">
        <v>263</v>
      </c>
      <c r="G38" s="27" t="s">
        <v>269</v>
      </c>
      <c r="H38" s="27" t="s">
        <v>270</v>
      </c>
      <c r="I38" s="27"/>
      <c r="J38" s="27"/>
      <c r="K38" s="27" t="s">
        <v>367</v>
      </c>
      <c r="L38" s="27"/>
      <c r="M38" s="27" t="s">
        <v>2936</v>
      </c>
      <c r="N38" s="1" t="s">
        <v>264</v>
      </c>
      <c r="O38" s="27"/>
      <c r="P38" s="27"/>
    </row>
    <row r="39" spans="1:16" ht="24" customHeight="1">
      <c r="A39" s="30">
        <v>45763</v>
      </c>
      <c r="B39" s="27" t="s">
        <v>201</v>
      </c>
      <c r="C39" s="27" t="s">
        <v>2844</v>
      </c>
      <c r="D39" s="27" t="s">
        <v>2940</v>
      </c>
      <c r="E39" s="10" t="s">
        <v>2941</v>
      </c>
      <c r="F39" s="38" t="s">
        <v>294</v>
      </c>
      <c r="G39" s="27" t="s">
        <v>506</v>
      </c>
      <c r="H39" s="27" t="s">
        <v>429</v>
      </c>
      <c r="I39" s="27"/>
      <c r="J39" s="27"/>
      <c r="K39" s="27" t="s">
        <v>367</v>
      </c>
      <c r="L39" s="27"/>
      <c r="M39" s="30" t="s">
        <v>2942</v>
      </c>
      <c r="N39" s="3" t="s">
        <v>312</v>
      </c>
      <c r="O39" s="27" t="s">
        <v>2943</v>
      </c>
      <c r="P39" s="27"/>
    </row>
    <row r="40" spans="1:16" ht="24" customHeight="1">
      <c r="A40" s="30">
        <v>45763</v>
      </c>
      <c r="B40" s="27" t="s">
        <v>201</v>
      </c>
      <c r="C40" s="27" t="s">
        <v>171</v>
      </c>
      <c r="D40" s="27" t="s">
        <v>2944</v>
      </c>
      <c r="E40" s="10">
        <v>50</v>
      </c>
      <c r="F40" s="36" t="s">
        <v>263</v>
      </c>
      <c r="G40" s="27" t="s">
        <v>359</v>
      </c>
      <c r="H40" s="27" t="s">
        <v>270</v>
      </c>
      <c r="I40" s="27"/>
      <c r="J40" s="27"/>
      <c r="K40" s="27" t="s">
        <v>688</v>
      </c>
      <c r="L40" s="27"/>
      <c r="M40" s="27"/>
      <c r="N40" s="1" t="s">
        <v>264</v>
      </c>
      <c r="O40" s="27" t="s">
        <v>2945</v>
      </c>
      <c r="P40" s="27"/>
    </row>
    <row r="41" spans="1:16" ht="24" customHeight="1">
      <c r="A41" s="30">
        <v>45763</v>
      </c>
      <c r="B41" s="27" t="s">
        <v>201</v>
      </c>
      <c r="C41" s="27" t="s">
        <v>171</v>
      </c>
      <c r="D41" s="27" t="s">
        <v>2927</v>
      </c>
      <c r="E41" s="10" t="s">
        <v>2946</v>
      </c>
      <c r="F41" s="36" t="s">
        <v>263</v>
      </c>
      <c r="G41" s="27" t="s">
        <v>289</v>
      </c>
      <c r="H41" s="27" t="s">
        <v>270</v>
      </c>
      <c r="I41" s="27"/>
      <c r="J41" s="27"/>
      <c r="K41" s="27" t="s">
        <v>2947</v>
      </c>
      <c r="L41" s="27"/>
      <c r="M41" s="27"/>
      <c r="N41" s="3" t="s">
        <v>312</v>
      </c>
      <c r="O41" s="27" t="s">
        <v>2948</v>
      </c>
      <c r="P41" s="27"/>
    </row>
    <row r="42" spans="1:16" ht="24" customHeight="1">
      <c r="A42" s="30">
        <v>45763</v>
      </c>
      <c r="B42" s="27" t="s">
        <v>201</v>
      </c>
      <c r="C42" s="27" t="s">
        <v>326</v>
      </c>
      <c r="D42" s="27" t="s">
        <v>2949</v>
      </c>
      <c r="E42" s="10">
        <v>40</v>
      </c>
      <c r="F42" s="36" t="s">
        <v>263</v>
      </c>
      <c r="G42" s="27" t="s">
        <v>506</v>
      </c>
      <c r="H42" s="27" t="s">
        <v>331</v>
      </c>
      <c r="I42" s="27" t="s">
        <v>287</v>
      </c>
      <c r="J42" s="27"/>
      <c r="K42" s="27" t="s">
        <v>2950</v>
      </c>
      <c r="L42" s="27"/>
      <c r="M42" s="30">
        <v>45693</v>
      </c>
      <c r="N42" s="1" t="s">
        <v>264</v>
      </c>
      <c r="O42" s="27"/>
      <c r="P42" s="27"/>
    </row>
    <row r="43" spans="1:16" ht="24" customHeight="1">
      <c r="A43" s="30" t="s">
        <v>2951</v>
      </c>
      <c r="B43" s="27" t="s">
        <v>2152</v>
      </c>
      <c r="C43" s="27" t="s">
        <v>171</v>
      </c>
      <c r="D43" s="27" t="s">
        <v>2952</v>
      </c>
      <c r="E43" s="10"/>
      <c r="F43" s="36" t="s">
        <v>263</v>
      </c>
      <c r="G43" s="27" t="s">
        <v>269</v>
      </c>
      <c r="H43" s="27" t="s">
        <v>270</v>
      </c>
      <c r="I43" s="27"/>
      <c r="J43" s="27"/>
      <c r="K43" s="27"/>
      <c r="L43" s="27"/>
      <c r="M43" s="27"/>
      <c r="N43" s="1" t="s">
        <v>264</v>
      </c>
      <c r="O43" s="27"/>
      <c r="P43" s="27"/>
    </row>
    <row r="44" spans="1:16" ht="24" customHeight="1">
      <c r="A44" s="30">
        <v>45764</v>
      </c>
      <c r="B44" s="27" t="s">
        <v>216</v>
      </c>
      <c r="C44" s="27" t="s">
        <v>2953</v>
      </c>
      <c r="D44" s="27" t="s">
        <v>2954</v>
      </c>
      <c r="E44" s="10" t="s">
        <v>2202</v>
      </c>
      <c r="F44" s="38" t="s">
        <v>294</v>
      </c>
      <c r="G44" s="27" t="s">
        <v>295</v>
      </c>
      <c r="H44" s="27" t="s">
        <v>296</v>
      </c>
      <c r="I44" s="27"/>
      <c r="J44" s="27"/>
      <c r="K44" s="27" t="s">
        <v>2955</v>
      </c>
      <c r="L44" s="27"/>
      <c r="M44" s="30">
        <v>45727</v>
      </c>
      <c r="N44" s="1" t="s">
        <v>264</v>
      </c>
      <c r="O44" s="27"/>
      <c r="P44" s="27"/>
    </row>
    <row r="45" spans="1:16" ht="24" customHeight="1">
      <c r="A45" s="30">
        <v>45765</v>
      </c>
      <c r="B45" s="27" t="s">
        <v>220</v>
      </c>
      <c r="C45" s="27" t="s">
        <v>171</v>
      </c>
      <c r="D45" s="27" t="s">
        <v>2838</v>
      </c>
      <c r="E45" s="10"/>
      <c r="F45" s="36" t="s">
        <v>263</v>
      </c>
      <c r="G45" s="27" t="s">
        <v>269</v>
      </c>
      <c r="H45" s="27" t="s">
        <v>270</v>
      </c>
      <c r="I45" s="27"/>
      <c r="J45" s="27"/>
      <c r="K45" s="27" t="s">
        <v>2956</v>
      </c>
      <c r="L45" s="27"/>
      <c r="M45" s="30" t="s">
        <v>2910</v>
      </c>
      <c r="N45" s="1" t="s">
        <v>264</v>
      </c>
      <c r="O45" s="27"/>
      <c r="P45" s="27"/>
    </row>
    <row r="46" spans="1:16" ht="24" customHeight="1">
      <c r="A46" s="30">
        <v>45766</v>
      </c>
      <c r="B46" s="27" t="s">
        <v>266</v>
      </c>
      <c r="C46" s="27"/>
      <c r="D46" s="27"/>
      <c r="E46" s="10"/>
      <c r="F46" s="36" t="s">
        <v>263</v>
      </c>
      <c r="G46" s="27"/>
      <c r="H46" s="27"/>
      <c r="I46" s="27"/>
      <c r="J46" s="27"/>
      <c r="K46" s="27"/>
      <c r="L46" s="27"/>
      <c r="M46" s="27"/>
      <c r="N46" s="1" t="s">
        <v>264</v>
      </c>
      <c r="O46" s="27"/>
      <c r="P46" s="27"/>
    </row>
    <row r="47" spans="1:16" ht="24" customHeight="1">
      <c r="A47" s="30">
        <v>45767</v>
      </c>
      <c r="B47" s="27" t="s">
        <v>267</v>
      </c>
      <c r="C47" s="27"/>
      <c r="D47" s="27"/>
      <c r="E47" s="10"/>
      <c r="F47" s="36" t="s">
        <v>263</v>
      </c>
      <c r="G47" s="27"/>
      <c r="H47" s="27"/>
      <c r="I47" s="27"/>
      <c r="J47" s="27"/>
      <c r="K47" s="27"/>
      <c r="L47" s="27"/>
      <c r="M47" s="27"/>
      <c r="N47" s="1" t="s">
        <v>264</v>
      </c>
      <c r="O47" s="27"/>
      <c r="P47" s="27"/>
    </row>
    <row r="48" spans="1:16" ht="24" customHeight="1">
      <c r="A48" s="30">
        <v>45768</v>
      </c>
      <c r="B48" s="27" t="s">
        <v>224</v>
      </c>
      <c r="C48" s="27" t="s">
        <v>954</v>
      </c>
      <c r="D48" s="27" t="s">
        <v>2957</v>
      </c>
      <c r="E48" s="10">
        <v>18</v>
      </c>
      <c r="F48" s="36" t="s">
        <v>263</v>
      </c>
      <c r="G48" s="27" t="s">
        <v>269</v>
      </c>
      <c r="H48" s="27" t="s">
        <v>270</v>
      </c>
      <c r="I48" s="27"/>
      <c r="J48" s="27"/>
      <c r="K48" s="27" t="s">
        <v>583</v>
      </c>
      <c r="L48" s="27"/>
      <c r="M48" s="27" t="s">
        <v>2958</v>
      </c>
      <c r="N48" s="1" t="s">
        <v>264</v>
      </c>
      <c r="O48" s="27" t="s">
        <v>2959</v>
      </c>
      <c r="P48" s="27"/>
    </row>
    <row r="49" spans="1:16" ht="24" customHeight="1">
      <c r="A49" s="30">
        <v>45768</v>
      </c>
      <c r="B49" s="27" t="s">
        <v>224</v>
      </c>
      <c r="C49" s="27" t="s">
        <v>326</v>
      </c>
      <c r="D49" s="27" t="s">
        <v>2809</v>
      </c>
      <c r="E49" s="10">
        <v>45</v>
      </c>
      <c r="F49" s="36" t="s">
        <v>263</v>
      </c>
      <c r="G49" s="27" t="s">
        <v>269</v>
      </c>
      <c r="H49" s="27" t="s">
        <v>270</v>
      </c>
      <c r="I49" s="27"/>
      <c r="J49" s="27"/>
      <c r="K49" s="27" t="s">
        <v>2584</v>
      </c>
      <c r="L49" s="27"/>
      <c r="M49" s="27" t="s">
        <v>2960</v>
      </c>
      <c r="N49" s="1" t="s">
        <v>264</v>
      </c>
      <c r="O49" s="27"/>
      <c r="P49" s="27"/>
    </row>
    <row r="50" spans="1:16" ht="24" customHeight="1">
      <c r="A50" s="30">
        <v>45768</v>
      </c>
      <c r="B50" s="27" t="s">
        <v>224</v>
      </c>
      <c r="C50" s="27" t="s">
        <v>171</v>
      </c>
      <c r="D50" s="27" t="s">
        <v>2961</v>
      </c>
      <c r="E50" s="10">
        <v>40</v>
      </c>
      <c r="F50" s="36" t="s">
        <v>263</v>
      </c>
      <c r="G50" s="27" t="s">
        <v>309</v>
      </c>
      <c r="H50" s="27" t="s">
        <v>270</v>
      </c>
      <c r="I50" s="27"/>
      <c r="J50" s="27"/>
      <c r="K50" s="27" t="s">
        <v>2854</v>
      </c>
      <c r="L50" s="27"/>
      <c r="M50" s="27"/>
      <c r="N50" s="1" t="s">
        <v>264</v>
      </c>
      <c r="O50" s="27"/>
      <c r="P50" s="27"/>
    </row>
    <row r="51" spans="1:16" ht="24" customHeight="1">
      <c r="A51" s="30">
        <v>45768</v>
      </c>
      <c r="B51" s="27" t="s">
        <v>224</v>
      </c>
      <c r="C51" s="27" t="s">
        <v>171</v>
      </c>
      <c r="D51" s="27" t="s">
        <v>2962</v>
      </c>
      <c r="E51" s="10">
        <v>30</v>
      </c>
      <c r="F51" s="36" t="s">
        <v>263</v>
      </c>
      <c r="G51" s="27" t="s">
        <v>330</v>
      </c>
      <c r="H51" s="27" t="s">
        <v>309</v>
      </c>
      <c r="I51" s="27"/>
      <c r="J51" s="27"/>
      <c r="K51" s="27" t="s">
        <v>2593</v>
      </c>
      <c r="L51" s="27"/>
      <c r="M51" s="27"/>
      <c r="N51" s="1" t="s">
        <v>264</v>
      </c>
      <c r="O51" s="27"/>
      <c r="P51" s="27"/>
    </row>
    <row r="52" spans="1:16" ht="24" customHeight="1">
      <c r="A52" s="30">
        <v>45768</v>
      </c>
      <c r="B52" s="27" t="s">
        <v>224</v>
      </c>
      <c r="C52" s="27" t="s">
        <v>2963</v>
      </c>
      <c r="D52" s="27" t="s">
        <v>2962</v>
      </c>
      <c r="E52" s="10">
        <v>30</v>
      </c>
      <c r="F52" s="36" t="s">
        <v>263</v>
      </c>
      <c r="G52" s="27" t="s">
        <v>269</v>
      </c>
      <c r="H52" s="27" t="s">
        <v>270</v>
      </c>
      <c r="I52" s="27"/>
      <c r="J52" s="27"/>
      <c r="K52" s="27" t="s">
        <v>2593</v>
      </c>
      <c r="L52" s="27"/>
      <c r="M52" s="27"/>
      <c r="N52" s="1" t="s">
        <v>264</v>
      </c>
      <c r="O52" s="27"/>
      <c r="P52" s="27"/>
    </row>
    <row r="53" spans="1:16" ht="24" customHeight="1">
      <c r="A53" s="30">
        <v>45769</v>
      </c>
      <c r="B53" s="27" t="s">
        <v>227</v>
      </c>
      <c r="C53" s="27" t="s">
        <v>171</v>
      </c>
      <c r="D53" s="27" t="s">
        <v>2964</v>
      </c>
      <c r="E53" s="10"/>
      <c r="F53" s="36" t="s">
        <v>263</v>
      </c>
      <c r="G53" s="27" t="s">
        <v>269</v>
      </c>
      <c r="H53" s="27" t="s">
        <v>270</v>
      </c>
      <c r="I53" s="27"/>
      <c r="J53" s="27"/>
      <c r="K53" s="27" t="s">
        <v>367</v>
      </c>
      <c r="L53" s="27"/>
      <c r="M53" s="30" t="s">
        <v>2965</v>
      </c>
      <c r="N53" s="1" t="s">
        <v>264</v>
      </c>
      <c r="O53" s="27" t="s">
        <v>2966</v>
      </c>
      <c r="P53" s="27"/>
    </row>
    <row r="54" spans="1:16" ht="24" customHeight="1">
      <c r="A54" s="30">
        <v>45770</v>
      </c>
      <c r="B54" s="27" t="s">
        <v>201</v>
      </c>
      <c r="C54" s="27" t="s">
        <v>171</v>
      </c>
      <c r="D54" s="27" t="s">
        <v>2927</v>
      </c>
      <c r="E54" s="10" t="s">
        <v>2946</v>
      </c>
      <c r="F54" s="36" t="s">
        <v>263</v>
      </c>
      <c r="G54" s="27" t="s">
        <v>289</v>
      </c>
      <c r="H54" s="27" t="s">
        <v>270</v>
      </c>
      <c r="I54" s="27"/>
      <c r="J54" s="27"/>
      <c r="K54" s="27" t="s">
        <v>2947</v>
      </c>
      <c r="L54" s="27"/>
      <c r="M54" s="27" t="s">
        <v>2967</v>
      </c>
      <c r="N54" s="1" t="s">
        <v>264</v>
      </c>
      <c r="O54" s="27"/>
      <c r="P54" s="27"/>
    </row>
    <row r="55" spans="1:16" ht="24" customHeight="1">
      <c r="A55" s="30">
        <v>45771</v>
      </c>
      <c r="B55" s="27" t="s">
        <v>216</v>
      </c>
      <c r="C55" s="27" t="s">
        <v>326</v>
      </c>
      <c r="D55" s="27" t="s">
        <v>2809</v>
      </c>
      <c r="E55" s="10"/>
      <c r="F55" s="36" t="s">
        <v>263</v>
      </c>
      <c r="G55" s="27" t="s">
        <v>269</v>
      </c>
      <c r="H55" s="27" t="s">
        <v>289</v>
      </c>
      <c r="I55" s="27"/>
      <c r="J55" s="27"/>
      <c r="K55" s="27" t="s">
        <v>2584</v>
      </c>
      <c r="L55" s="27"/>
      <c r="M55" s="27" t="s">
        <v>2968</v>
      </c>
      <c r="N55" s="1" t="s">
        <v>264</v>
      </c>
      <c r="O55" s="27"/>
      <c r="P55" s="27"/>
    </row>
    <row r="56" spans="1:16" ht="24" customHeight="1">
      <c r="A56" s="30">
        <v>45771</v>
      </c>
      <c r="B56" s="27" t="s">
        <v>216</v>
      </c>
      <c r="C56" s="27" t="s">
        <v>171</v>
      </c>
      <c r="D56" s="27" t="s">
        <v>2969</v>
      </c>
      <c r="E56" s="10"/>
      <c r="F56" s="36" t="s">
        <v>263</v>
      </c>
      <c r="G56" s="27" t="s">
        <v>289</v>
      </c>
      <c r="H56" s="27" t="s">
        <v>359</v>
      </c>
      <c r="I56" s="27"/>
      <c r="J56" s="27"/>
      <c r="K56" s="27" t="s">
        <v>2970</v>
      </c>
      <c r="L56" s="27"/>
      <c r="M56" s="27" t="s">
        <v>1177</v>
      </c>
      <c r="N56" s="1" t="s">
        <v>264</v>
      </c>
      <c r="O56" s="27" t="s">
        <v>119</v>
      </c>
      <c r="P56" s="27"/>
    </row>
    <row r="57" spans="1:16" ht="24" customHeight="1">
      <c r="A57" s="30">
        <v>45772</v>
      </c>
      <c r="B57" s="27" t="s">
        <v>220</v>
      </c>
      <c r="C57" s="27" t="s">
        <v>171</v>
      </c>
      <c r="D57" s="27" t="s">
        <v>300</v>
      </c>
      <c r="E57" s="10">
        <v>30</v>
      </c>
      <c r="F57" s="36" t="s">
        <v>263</v>
      </c>
      <c r="G57" s="27" t="s">
        <v>269</v>
      </c>
      <c r="H57" s="27" t="s">
        <v>270</v>
      </c>
      <c r="I57" s="27"/>
      <c r="J57" s="27"/>
      <c r="K57" s="27" t="s">
        <v>1025</v>
      </c>
      <c r="L57" s="27"/>
      <c r="M57" s="30" t="s">
        <v>2971</v>
      </c>
      <c r="N57" s="1" t="s">
        <v>264</v>
      </c>
      <c r="O57" s="27"/>
      <c r="P57" s="27"/>
    </row>
    <row r="58" spans="1:16" ht="24" customHeight="1">
      <c r="A58" s="30">
        <v>45773</v>
      </c>
      <c r="B58" s="27" t="s">
        <v>266</v>
      </c>
      <c r="C58" s="27" t="s">
        <v>2830</v>
      </c>
      <c r="D58" s="27" t="s">
        <v>300</v>
      </c>
      <c r="E58" s="10"/>
      <c r="F58" s="36" t="s">
        <v>263</v>
      </c>
      <c r="G58" s="27" t="s">
        <v>269</v>
      </c>
      <c r="H58" s="27" t="s">
        <v>270</v>
      </c>
      <c r="I58" s="27"/>
      <c r="J58" s="27"/>
      <c r="K58" s="27" t="s">
        <v>475</v>
      </c>
      <c r="L58" s="27"/>
      <c r="M58" s="30" t="s">
        <v>2910</v>
      </c>
      <c r="N58" s="3" t="s">
        <v>312</v>
      </c>
      <c r="O58" s="27"/>
      <c r="P58" s="27"/>
    </row>
    <row r="59" spans="1:16" ht="24" customHeight="1">
      <c r="A59" s="30">
        <v>45774</v>
      </c>
      <c r="B59" s="27" t="s">
        <v>267</v>
      </c>
      <c r="C59" s="27"/>
      <c r="D59" s="27"/>
      <c r="E59" s="10"/>
      <c r="F59" s="36" t="s">
        <v>263</v>
      </c>
      <c r="G59" s="27"/>
      <c r="H59" s="27"/>
      <c r="I59" s="27"/>
      <c r="J59" s="27"/>
      <c r="K59" s="27"/>
      <c r="L59" s="27"/>
      <c r="M59" s="27"/>
      <c r="N59" s="1" t="s">
        <v>264</v>
      </c>
      <c r="O59" s="27"/>
      <c r="P59" s="27"/>
    </row>
    <row r="60" spans="1:16" ht="24" customHeight="1">
      <c r="A60" s="30">
        <v>45775</v>
      </c>
      <c r="B60" s="27" t="s">
        <v>224</v>
      </c>
      <c r="C60" s="27" t="s">
        <v>2771</v>
      </c>
      <c r="D60" s="27" t="s">
        <v>2972</v>
      </c>
      <c r="E60" s="10"/>
      <c r="F60" s="36" t="s">
        <v>263</v>
      </c>
      <c r="G60" s="27" t="s">
        <v>315</v>
      </c>
      <c r="H60" s="27" t="s">
        <v>506</v>
      </c>
      <c r="I60" s="27"/>
      <c r="J60" s="27"/>
      <c r="K60" s="27" t="s">
        <v>583</v>
      </c>
      <c r="L60" s="27"/>
      <c r="M60" s="27" t="s">
        <v>2973</v>
      </c>
      <c r="N60" s="1" t="s">
        <v>264</v>
      </c>
      <c r="O60" s="27"/>
      <c r="P60" s="27"/>
    </row>
    <row r="61" spans="1:16" ht="24" customHeight="1">
      <c r="A61" s="30">
        <v>45775</v>
      </c>
      <c r="B61" s="27" t="s">
        <v>224</v>
      </c>
      <c r="C61" s="27" t="s">
        <v>326</v>
      </c>
      <c r="D61" s="27" t="s">
        <v>2809</v>
      </c>
      <c r="E61" s="10"/>
      <c r="F61" s="36" t="s">
        <v>263</v>
      </c>
      <c r="G61" s="27" t="s">
        <v>269</v>
      </c>
      <c r="H61" s="27" t="s">
        <v>270</v>
      </c>
      <c r="I61" s="27"/>
      <c r="J61" s="27"/>
      <c r="K61" s="27" t="s">
        <v>2584</v>
      </c>
      <c r="L61" s="27"/>
      <c r="M61" s="30">
        <v>45693</v>
      </c>
      <c r="N61" s="1" t="s">
        <v>264</v>
      </c>
      <c r="O61" s="27" t="s">
        <v>2974</v>
      </c>
      <c r="P61" s="27"/>
    </row>
    <row r="62" spans="1:16" ht="24" customHeight="1">
      <c r="A62" s="30">
        <v>45775</v>
      </c>
      <c r="B62" s="27" t="s">
        <v>224</v>
      </c>
      <c r="C62" s="27" t="s">
        <v>2774</v>
      </c>
      <c r="D62" s="27" t="s">
        <v>2975</v>
      </c>
      <c r="E62" s="10">
        <v>1</v>
      </c>
      <c r="F62" s="36" t="s">
        <v>263</v>
      </c>
      <c r="G62" s="27" t="s">
        <v>269</v>
      </c>
      <c r="H62" s="27" t="s">
        <v>270</v>
      </c>
      <c r="I62" s="27"/>
      <c r="J62" s="27"/>
      <c r="K62" s="27" t="s">
        <v>2976</v>
      </c>
      <c r="L62" s="27"/>
      <c r="M62" s="30" t="s">
        <v>2977</v>
      </c>
      <c r="N62" s="1" t="s">
        <v>264</v>
      </c>
      <c r="O62" s="27" t="s">
        <v>2978</v>
      </c>
      <c r="P62" s="27"/>
    </row>
    <row r="63" spans="1:16" ht="24" customHeight="1">
      <c r="A63" s="30">
        <v>45776</v>
      </c>
      <c r="B63" s="27" t="s">
        <v>227</v>
      </c>
      <c r="C63" s="27" t="s">
        <v>2715</v>
      </c>
      <c r="D63" s="27" t="s">
        <v>2979</v>
      </c>
      <c r="E63" s="10">
        <v>1</v>
      </c>
      <c r="F63" s="36" t="s">
        <v>263</v>
      </c>
      <c r="G63" s="27" t="s">
        <v>269</v>
      </c>
      <c r="H63" s="27" t="s">
        <v>270</v>
      </c>
      <c r="I63" s="27"/>
      <c r="J63" s="27"/>
      <c r="K63" s="27" t="s">
        <v>367</v>
      </c>
      <c r="L63" s="27"/>
      <c r="M63" s="30" t="s">
        <v>2980</v>
      </c>
      <c r="N63" s="1" t="s">
        <v>264</v>
      </c>
      <c r="O63" s="27" t="s">
        <v>2981</v>
      </c>
      <c r="P63" s="27"/>
    </row>
    <row r="64" spans="1:16" ht="24" customHeight="1">
      <c r="A64" s="30">
        <v>45776</v>
      </c>
      <c r="B64" s="27" t="s">
        <v>227</v>
      </c>
      <c r="C64" s="27" t="s">
        <v>486</v>
      </c>
      <c r="D64" s="27" t="s">
        <v>2982</v>
      </c>
      <c r="E64" s="10" t="s">
        <v>2202</v>
      </c>
      <c r="F64" s="38" t="s">
        <v>294</v>
      </c>
      <c r="G64" s="27" t="s">
        <v>269</v>
      </c>
      <c r="H64" s="27" t="s">
        <v>270</v>
      </c>
      <c r="I64" s="27"/>
      <c r="J64" s="27"/>
      <c r="K64" s="27"/>
      <c r="L64" s="27"/>
      <c r="M64" s="27"/>
      <c r="N64" s="1" t="s">
        <v>264</v>
      </c>
      <c r="O64" s="27" t="s">
        <v>2983</v>
      </c>
      <c r="P64" s="27"/>
    </row>
    <row r="65" spans="1:16" ht="24" customHeight="1">
      <c r="A65" s="30">
        <v>45776</v>
      </c>
      <c r="B65" s="27" t="s">
        <v>227</v>
      </c>
      <c r="C65" s="27" t="s">
        <v>2774</v>
      </c>
      <c r="D65" s="27" t="s">
        <v>2975</v>
      </c>
      <c r="E65" s="10">
        <v>1</v>
      </c>
      <c r="F65" s="36" t="s">
        <v>263</v>
      </c>
      <c r="G65" s="27" t="s">
        <v>269</v>
      </c>
      <c r="H65" s="27" t="s">
        <v>270</v>
      </c>
      <c r="I65" s="27"/>
      <c r="J65" s="27"/>
      <c r="K65" s="27" t="s">
        <v>2976</v>
      </c>
      <c r="L65" s="27"/>
      <c r="M65" s="27"/>
      <c r="N65" s="1" t="s">
        <v>264</v>
      </c>
      <c r="O65" s="27" t="s">
        <v>2984</v>
      </c>
      <c r="P65" s="27"/>
    </row>
    <row r="66" spans="1:16" ht="24" customHeight="1">
      <c r="A66" s="30">
        <v>45777</v>
      </c>
      <c r="B66" s="27" t="s">
        <v>201</v>
      </c>
      <c r="C66" s="27" t="s">
        <v>486</v>
      </c>
      <c r="D66" s="27" t="s">
        <v>2982</v>
      </c>
      <c r="E66" s="10" t="s">
        <v>2202</v>
      </c>
      <c r="F66" s="38" t="s">
        <v>294</v>
      </c>
      <c r="G66" s="27" t="s">
        <v>269</v>
      </c>
      <c r="H66" s="27" t="s">
        <v>270</v>
      </c>
      <c r="I66" s="27"/>
      <c r="J66" s="27"/>
      <c r="K66" s="27"/>
      <c r="L66" s="27"/>
      <c r="M66" s="27"/>
      <c r="N66" s="1" t="s">
        <v>264</v>
      </c>
      <c r="O66" s="27" t="s">
        <v>2983</v>
      </c>
      <c r="P66" s="27"/>
    </row>
    <row r="67" spans="1:16" ht="24" customHeight="1">
      <c r="A67" s="30">
        <v>45777</v>
      </c>
      <c r="B67" s="27" t="s">
        <v>201</v>
      </c>
      <c r="C67" s="27" t="s">
        <v>2851</v>
      </c>
      <c r="D67" s="27" t="s">
        <v>2985</v>
      </c>
      <c r="E67" s="10" t="s">
        <v>2986</v>
      </c>
      <c r="F67" s="36" t="s">
        <v>263</v>
      </c>
      <c r="G67" s="27" t="s">
        <v>269</v>
      </c>
      <c r="H67" s="27" t="s">
        <v>270</v>
      </c>
      <c r="I67" s="27"/>
      <c r="J67" s="27"/>
      <c r="K67" s="27" t="s">
        <v>830</v>
      </c>
      <c r="L67" s="27"/>
      <c r="M67" s="30" t="s">
        <v>2987</v>
      </c>
      <c r="N67" s="1" t="s">
        <v>264</v>
      </c>
      <c r="O67" s="27" t="s">
        <v>2988</v>
      </c>
      <c r="P67" s="27"/>
    </row>
    <row r="68" spans="1:16" ht="24" customHeight="1">
      <c r="A68" s="30">
        <v>45777</v>
      </c>
      <c r="B68" s="27" t="s">
        <v>201</v>
      </c>
      <c r="C68" s="27" t="s">
        <v>2715</v>
      </c>
      <c r="D68" s="27" t="s">
        <v>2979</v>
      </c>
      <c r="E68" s="10">
        <v>1</v>
      </c>
      <c r="F68" s="36" t="s">
        <v>263</v>
      </c>
      <c r="G68" s="27" t="s">
        <v>269</v>
      </c>
      <c r="H68" s="27" t="s">
        <v>270</v>
      </c>
      <c r="I68" s="27"/>
      <c r="J68" s="27"/>
      <c r="K68" s="27" t="s">
        <v>367</v>
      </c>
      <c r="L68" s="27"/>
      <c r="M68" s="30" t="s">
        <v>2980</v>
      </c>
      <c r="N68" s="1" t="s">
        <v>264</v>
      </c>
      <c r="O68" s="27" t="s">
        <v>2989</v>
      </c>
      <c r="P68" s="27"/>
    </row>
  </sheetData>
  <mergeCells count="3">
    <mergeCell ref="A1:C1"/>
    <mergeCell ref="D1:K1"/>
    <mergeCell ref="L1:P1"/>
  </mergeCells>
  <dataValidations count="2">
    <dataValidation type="list" allowBlank="1" sqref="M3:M118 N3:N68" xr:uid="{00000000-0002-0000-2000-000000000000}">
      <formula1>"Confirmed (Done),Pending Calendar Booking,Canceled"</formula1>
    </dataValidation>
    <dataValidation type="list" allowBlank="1" sqref="F3:F68" xr:uid="{00000000-0002-0000-2000-000001000000}">
      <formula1>"Big Event,Small Event"</formula1>
    </dataValidation>
  </dataValidations>
  <hyperlinks>
    <hyperlink ref="A1" location="'Dashboard'!A1" display="🏠 ⮌ RETURN TO DASHBOARD" xr:uid="{00000000-0004-0000-2000-000000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96"/>
  <sheetViews>
    <sheetView workbookViewId="0">
      <pane ySplit="2" topLeftCell="A3" activePane="bottomLeft" state="frozen"/>
      <selection pane="bottomLeft"/>
    </sheetView>
  </sheetViews>
  <sheetFormatPr defaultRowHeight="14.45"/>
  <cols>
    <col min="1" max="1" width="15" customWidth="1"/>
    <col min="2" max="2" width="12" customWidth="1"/>
    <col min="3" max="3" width="27" customWidth="1"/>
    <col min="4" max="4" width="48" customWidth="1"/>
    <col min="5" max="5" width="12" customWidth="1"/>
    <col min="6" max="6" width="15" customWidth="1"/>
    <col min="7" max="7" width="48" customWidth="1"/>
    <col min="8" max="8" width="17" customWidth="1"/>
    <col min="9" max="9" width="18" customWidth="1"/>
    <col min="10" max="10" width="22" customWidth="1"/>
    <col min="11" max="11" width="31" customWidth="1"/>
    <col min="12" max="12" width="25" customWidth="1"/>
    <col min="13" max="13" width="15" customWidth="1"/>
    <col min="14" max="14" width="25" customWidth="1"/>
    <col min="15" max="16" width="48" customWidth="1"/>
  </cols>
  <sheetData>
    <row r="1" spans="1:16" ht="27.95" customHeight="1">
      <c r="A1" s="62" t="s">
        <v>2138</v>
      </c>
      <c r="B1" s="134"/>
      <c r="C1" s="135"/>
      <c r="D1" s="63" t="s">
        <v>2990</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45778</v>
      </c>
      <c r="B3" s="27" t="s">
        <v>216</v>
      </c>
      <c r="C3" s="27" t="s">
        <v>2715</v>
      </c>
      <c r="D3" s="27" t="s">
        <v>2979</v>
      </c>
      <c r="E3" s="10">
        <v>1</v>
      </c>
      <c r="F3" s="36" t="s">
        <v>263</v>
      </c>
      <c r="G3" s="27" t="s">
        <v>269</v>
      </c>
      <c r="H3" s="27" t="s">
        <v>270</v>
      </c>
      <c r="I3" s="27" t="s">
        <v>531</v>
      </c>
      <c r="J3" s="27" t="s">
        <v>531</v>
      </c>
      <c r="K3" s="27" t="s">
        <v>367</v>
      </c>
      <c r="L3" s="27"/>
      <c r="M3" s="30" t="s">
        <v>2980</v>
      </c>
      <c r="N3" s="1" t="s">
        <v>264</v>
      </c>
      <c r="O3" s="27" t="s">
        <v>2989</v>
      </c>
      <c r="P3" s="27" t="s">
        <v>2991</v>
      </c>
    </row>
    <row r="4" spans="1:16" ht="24" customHeight="1">
      <c r="A4" s="30">
        <v>45778</v>
      </c>
      <c r="B4" s="27" t="s">
        <v>216</v>
      </c>
      <c r="C4" s="27" t="s">
        <v>326</v>
      </c>
      <c r="D4" s="27" t="s">
        <v>2992</v>
      </c>
      <c r="E4" s="10">
        <v>60</v>
      </c>
      <c r="F4" s="36" t="s">
        <v>263</v>
      </c>
      <c r="G4" s="27" t="s">
        <v>281</v>
      </c>
      <c r="H4" s="27" t="s">
        <v>506</v>
      </c>
      <c r="I4" s="27" t="s">
        <v>531</v>
      </c>
      <c r="J4" s="27" t="s">
        <v>531</v>
      </c>
      <c r="K4" s="27" t="s">
        <v>2993</v>
      </c>
      <c r="L4" s="27"/>
      <c r="M4" s="30" t="s">
        <v>2994</v>
      </c>
      <c r="N4" s="1" t="s">
        <v>264</v>
      </c>
      <c r="O4" s="27" t="s">
        <v>2843</v>
      </c>
      <c r="P4" s="27" t="s">
        <v>2995</v>
      </c>
    </row>
    <row r="5" spans="1:16" ht="24" customHeight="1">
      <c r="A5" s="30">
        <v>45778</v>
      </c>
      <c r="B5" s="27" t="s">
        <v>216</v>
      </c>
      <c r="C5" s="27" t="s">
        <v>2774</v>
      </c>
      <c r="D5" s="27" t="s">
        <v>2975</v>
      </c>
      <c r="E5" s="10">
        <v>1</v>
      </c>
      <c r="F5" s="36" t="s">
        <v>263</v>
      </c>
      <c r="G5" s="27" t="s">
        <v>269</v>
      </c>
      <c r="H5" s="27" t="s">
        <v>270</v>
      </c>
      <c r="I5" s="27" t="s">
        <v>531</v>
      </c>
      <c r="J5" s="27" t="s">
        <v>531</v>
      </c>
      <c r="K5" s="27" t="s">
        <v>2976</v>
      </c>
      <c r="L5" s="27"/>
      <c r="M5" s="30" t="s">
        <v>2987</v>
      </c>
      <c r="N5" s="1" t="s">
        <v>264</v>
      </c>
      <c r="O5" s="27" t="s">
        <v>2988</v>
      </c>
      <c r="P5" s="27"/>
    </row>
    <row r="6" spans="1:16" ht="24" customHeight="1">
      <c r="A6" s="30">
        <v>45778</v>
      </c>
      <c r="B6" s="27" t="s">
        <v>216</v>
      </c>
      <c r="C6" s="27" t="s">
        <v>2996</v>
      </c>
      <c r="D6" s="27" t="s">
        <v>236</v>
      </c>
      <c r="E6" s="10"/>
      <c r="F6" s="36" t="s">
        <v>263</v>
      </c>
      <c r="G6" s="27" t="s">
        <v>269</v>
      </c>
      <c r="H6" s="27" t="s">
        <v>270</v>
      </c>
      <c r="I6" s="27" t="s">
        <v>531</v>
      </c>
      <c r="J6" s="27" t="s">
        <v>531</v>
      </c>
      <c r="K6" s="27" t="s">
        <v>2584</v>
      </c>
      <c r="L6" s="27"/>
      <c r="M6" s="27"/>
      <c r="N6" s="1" t="s">
        <v>264</v>
      </c>
      <c r="O6" s="27"/>
      <c r="P6" s="27"/>
    </row>
    <row r="7" spans="1:16" ht="24" customHeight="1">
      <c r="A7" s="30">
        <v>45778</v>
      </c>
      <c r="B7" s="27" t="s">
        <v>216</v>
      </c>
      <c r="C7" s="27" t="s">
        <v>2997</v>
      </c>
      <c r="D7" s="27" t="s">
        <v>1160</v>
      </c>
      <c r="E7" s="10" t="s">
        <v>2202</v>
      </c>
      <c r="F7" s="38" t="s">
        <v>294</v>
      </c>
      <c r="G7" s="27" t="s">
        <v>359</v>
      </c>
      <c r="H7" s="27" t="s">
        <v>290</v>
      </c>
      <c r="I7" s="27" t="s">
        <v>531</v>
      </c>
      <c r="J7" s="27" t="s">
        <v>531</v>
      </c>
      <c r="K7" s="27" t="s">
        <v>367</v>
      </c>
      <c r="L7" s="27"/>
      <c r="M7" s="27"/>
      <c r="N7" s="3" t="s">
        <v>312</v>
      </c>
      <c r="O7" s="27" t="s">
        <v>2887</v>
      </c>
      <c r="P7" s="27"/>
    </row>
    <row r="8" spans="1:16" ht="24" customHeight="1">
      <c r="A8" s="30">
        <v>45778</v>
      </c>
      <c r="B8" s="27" t="s">
        <v>216</v>
      </c>
      <c r="C8" s="27" t="s">
        <v>171</v>
      </c>
      <c r="D8" s="27" t="s">
        <v>2998</v>
      </c>
      <c r="E8" s="10"/>
      <c r="F8" s="36" t="s">
        <v>263</v>
      </c>
      <c r="G8" s="27" t="s">
        <v>295</v>
      </c>
      <c r="H8" s="27" t="s">
        <v>270</v>
      </c>
      <c r="I8" s="27" t="s">
        <v>531</v>
      </c>
      <c r="J8" s="27" t="s">
        <v>531</v>
      </c>
      <c r="K8" s="27" t="s">
        <v>2854</v>
      </c>
      <c r="L8" s="27"/>
      <c r="M8" s="30">
        <v>45708</v>
      </c>
      <c r="N8" s="3" t="s">
        <v>312</v>
      </c>
      <c r="O8" s="27" t="s">
        <v>2999</v>
      </c>
      <c r="P8" s="27" t="s">
        <v>901</v>
      </c>
    </row>
    <row r="9" spans="1:16" ht="24" customHeight="1">
      <c r="A9" s="30">
        <v>45779</v>
      </c>
      <c r="B9" s="27" t="s">
        <v>220</v>
      </c>
      <c r="C9" s="27" t="s">
        <v>3000</v>
      </c>
      <c r="D9" s="27" t="s">
        <v>2975</v>
      </c>
      <c r="E9" s="10">
        <v>1</v>
      </c>
      <c r="F9" s="36" t="s">
        <v>263</v>
      </c>
      <c r="G9" s="27" t="s">
        <v>269</v>
      </c>
      <c r="H9" s="27" t="s">
        <v>270</v>
      </c>
      <c r="I9" s="27" t="s">
        <v>531</v>
      </c>
      <c r="J9" s="27" t="s">
        <v>531</v>
      </c>
      <c r="K9" s="27" t="s">
        <v>2976</v>
      </c>
      <c r="L9" s="27"/>
      <c r="M9" s="30" t="s">
        <v>2987</v>
      </c>
      <c r="N9" s="1" t="s">
        <v>264</v>
      </c>
      <c r="O9" s="27" t="s">
        <v>2988</v>
      </c>
      <c r="P9" s="27"/>
    </row>
    <row r="10" spans="1:16" ht="24" customHeight="1">
      <c r="A10" s="30">
        <v>45779</v>
      </c>
      <c r="B10" s="27" t="s">
        <v>220</v>
      </c>
      <c r="C10" s="27" t="s">
        <v>2715</v>
      </c>
      <c r="D10" s="27" t="s">
        <v>2979</v>
      </c>
      <c r="E10" s="10">
        <v>1</v>
      </c>
      <c r="F10" s="36" t="s">
        <v>263</v>
      </c>
      <c r="G10" s="27" t="s">
        <v>269</v>
      </c>
      <c r="H10" s="27" t="s">
        <v>270</v>
      </c>
      <c r="I10" s="27" t="s">
        <v>531</v>
      </c>
      <c r="J10" s="27" t="s">
        <v>531</v>
      </c>
      <c r="K10" s="27" t="s">
        <v>367</v>
      </c>
      <c r="L10" s="27"/>
      <c r="M10" s="30" t="s">
        <v>2980</v>
      </c>
      <c r="N10" s="1" t="s">
        <v>264</v>
      </c>
      <c r="O10" s="27" t="s">
        <v>2989</v>
      </c>
      <c r="P10" s="27"/>
    </row>
    <row r="11" spans="1:16" ht="24" customHeight="1">
      <c r="A11" s="30">
        <v>45779</v>
      </c>
      <c r="B11" s="27" t="s">
        <v>220</v>
      </c>
      <c r="C11" s="27" t="s">
        <v>171</v>
      </c>
      <c r="D11" s="27" t="s">
        <v>828</v>
      </c>
      <c r="E11" s="10">
        <v>65</v>
      </c>
      <c r="F11" s="36" t="s">
        <v>263</v>
      </c>
      <c r="G11" s="27" t="s">
        <v>274</v>
      </c>
      <c r="H11" s="27" t="s">
        <v>429</v>
      </c>
      <c r="I11" s="27"/>
      <c r="J11" s="27"/>
      <c r="K11" s="27" t="s">
        <v>583</v>
      </c>
      <c r="L11" s="27"/>
      <c r="M11" s="27"/>
      <c r="N11" s="1" t="s">
        <v>264</v>
      </c>
      <c r="O11" s="27" t="s">
        <v>3001</v>
      </c>
      <c r="P11" s="27"/>
    </row>
    <row r="12" spans="1:16" ht="24" customHeight="1">
      <c r="A12" s="30">
        <v>45780</v>
      </c>
      <c r="B12" s="27" t="s">
        <v>266</v>
      </c>
      <c r="C12" s="27"/>
      <c r="D12" s="27"/>
      <c r="E12" s="10"/>
      <c r="F12" s="36" t="s">
        <v>263</v>
      </c>
      <c r="G12" s="27"/>
      <c r="H12" s="27"/>
      <c r="I12" s="27"/>
      <c r="J12" s="27"/>
      <c r="K12" s="27"/>
      <c r="L12" s="27"/>
      <c r="M12" s="27"/>
      <c r="N12" s="1" t="s">
        <v>264</v>
      </c>
      <c r="O12" s="27"/>
      <c r="P12" s="27"/>
    </row>
    <row r="13" spans="1:16" ht="24" customHeight="1">
      <c r="A13" s="30">
        <v>45781</v>
      </c>
      <c r="B13" s="27" t="s">
        <v>267</v>
      </c>
      <c r="C13" s="27"/>
      <c r="D13" s="27"/>
      <c r="E13" s="10"/>
      <c r="F13" s="36" t="s">
        <v>263</v>
      </c>
      <c r="G13" s="27"/>
      <c r="H13" s="27"/>
      <c r="I13" s="27"/>
      <c r="J13" s="27"/>
      <c r="K13" s="27"/>
      <c r="L13" s="27"/>
      <c r="M13" s="27"/>
      <c r="N13" s="1" t="s">
        <v>264</v>
      </c>
      <c r="O13" s="27"/>
      <c r="P13" s="27"/>
    </row>
    <row r="14" spans="1:16" ht="24" customHeight="1">
      <c r="A14" s="30">
        <v>45782</v>
      </c>
      <c r="B14" s="27" t="s">
        <v>224</v>
      </c>
      <c r="C14" s="27" t="s">
        <v>326</v>
      </c>
      <c r="D14" s="27" t="s">
        <v>3002</v>
      </c>
      <c r="E14" s="10">
        <v>28</v>
      </c>
      <c r="F14" s="36" t="s">
        <v>263</v>
      </c>
      <c r="G14" s="27" t="s">
        <v>269</v>
      </c>
      <c r="H14" s="27" t="s">
        <v>270</v>
      </c>
      <c r="I14" s="27"/>
      <c r="J14" s="27"/>
      <c r="K14" s="27" t="s">
        <v>2584</v>
      </c>
      <c r="L14" s="27"/>
      <c r="M14" s="27"/>
      <c r="N14" s="1" t="s">
        <v>264</v>
      </c>
      <c r="O14" s="27" t="s">
        <v>3003</v>
      </c>
      <c r="P14" s="27"/>
    </row>
    <row r="15" spans="1:16" ht="24" customHeight="1">
      <c r="A15" s="30">
        <v>45782</v>
      </c>
      <c r="B15" s="27" t="s">
        <v>224</v>
      </c>
      <c r="C15" s="27" t="s">
        <v>579</v>
      </c>
      <c r="D15" s="27" t="s">
        <v>3004</v>
      </c>
      <c r="E15" s="10">
        <v>1</v>
      </c>
      <c r="F15" s="36" t="s">
        <v>263</v>
      </c>
      <c r="G15" s="27" t="s">
        <v>269</v>
      </c>
      <c r="H15" s="27" t="s">
        <v>270</v>
      </c>
      <c r="I15" s="27"/>
      <c r="J15" s="27"/>
      <c r="K15" s="27" t="s">
        <v>367</v>
      </c>
      <c r="L15" s="27"/>
      <c r="M15" s="27"/>
      <c r="N15" s="1" t="s">
        <v>264</v>
      </c>
      <c r="O15" s="27" t="s">
        <v>3005</v>
      </c>
      <c r="P15" s="27"/>
    </row>
    <row r="16" spans="1:16" ht="24" customHeight="1">
      <c r="A16" s="30">
        <v>45782</v>
      </c>
      <c r="B16" s="27" t="s">
        <v>224</v>
      </c>
      <c r="C16" s="27" t="s">
        <v>3006</v>
      </c>
      <c r="D16" s="27" t="s">
        <v>3007</v>
      </c>
      <c r="E16" s="10">
        <v>150</v>
      </c>
      <c r="F16" s="38" t="s">
        <v>294</v>
      </c>
      <c r="G16" s="27" t="s">
        <v>295</v>
      </c>
      <c r="H16" s="27" t="s">
        <v>290</v>
      </c>
      <c r="I16" s="27"/>
      <c r="J16" s="27" t="s">
        <v>531</v>
      </c>
      <c r="K16" s="27" t="s">
        <v>2631</v>
      </c>
      <c r="L16" s="27"/>
      <c r="M16" s="27"/>
      <c r="N16" s="1" t="s">
        <v>264</v>
      </c>
      <c r="O16" s="27" t="s">
        <v>3008</v>
      </c>
      <c r="P16" s="27"/>
    </row>
    <row r="17" spans="1:16" ht="24" customHeight="1">
      <c r="A17" s="30">
        <v>45782</v>
      </c>
      <c r="B17" s="27" t="s">
        <v>224</v>
      </c>
      <c r="C17" s="27" t="s">
        <v>2715</v>
      </c>
      <c r="D17" s="27" t="s">
        <v>2975</v>
      </c>
      <c r="E17" s="10">
        <v>1</v>
      </c>
      <c r="F17" s="36" t="s">
        <v>263</v>
      </c>
      <c r="G17" s="27" t="s">
        <v>269</v>
      </c>
      <c r="H17" s="27" t="s">
        <v>270</v>
      </c>
      <c r="I17" s="27"/>
      <c r="J17" s="27"/>
      <c r="K17" s="27" t="s">
        <v>3009</v>
      </c>
      <c r="L17" s="27"/>
      <c r="M17" s="27"/>
      <c r="N17" s="1" t="s">
        <v>264</v>
      </c>
      <c r="O17" s="27" t="s">
        <v>3010</v>
      </c>
      <c r="P17" s="27"/>
    </row>
    <row r="18" spans="1:16" ht="24" customHeight="1">
      <c r="A18" s="30">
        <v>45782</v>
      </c>
      <c r="B18" s="27" t="s">
        <v>224</v>
      </c>
      <c r="C18" s="27" t="s">
        <v>2716</v>
      </c>
      <c r="D18" s="27" t="s">
        <v>2975</v>
      </c>
      <c r="E18" s="10">
        <v>2</v>
      </c>
      <c r="F18" s="36" t="s">
        <v>263</v>
      </c>
      <c r="G18" s="27" t="s">
        <v>269</v>
      </c>
      <c r="H18" s="27" t="s">
        <v>270</v>
      </c>
      <c r="I18" s="27"/>
      <c r="J18" s="27"/>
      <c r="K18" s="27" t="s">
        <v>3009</v>
      </c>
      <c r="L18" s="27"/>
      <c r="M18" s="27"/>
      <c r="N18" s="1" t="s">
        <v>264</v>
      </c>
      <c r="O18" s="27" t="s">
        <v>3010</v>
      </c>
      <c r="P18" s="27"/>
    </row>
    <row r="19" spans="1:16" ht="24" customHeight="1">
      <c r="A19" s="30">
        <v>45783</v>
      </c>
      <c r="B19" s="27" t="s">
        <v>227</v>
      </c>
      <c r="C19" s="27" t="s">
        <v>2716</v>
      </c>
      <c r="D19" s="27" t="s">
        <v>2975</v>
      </c>
      <c r="E19" s="10">
        <v>2</v>
      </c>
      <c r="F19" s="36" t="s">
        <v>263</v>
      </c>
      <c r="G19" s="27" t="s">
        <v>269</v>
      </c>
      <c r="H19" s="27" t="s">
        <v>270</v>
      </c>
      <c r="I19" s="27"/>
      <c r="J19" s="27"/>
      <c r="K19" s="27" t="s">
        <v>3009</v>
      </c>
      <c r="L19" s="27"/>
      <c r="M19" s="27"/>
      <c r="N19" s="1" t="s">
        <v>264</v>
      </c>
      <c r="O19" s="27" t="s">
        <v>3010</v>
      </c>
      <c r="P19" s="27"/>
    </row>
    <row r="20" spans="1:16" ht="24" customHeight="1">
      <c r="A20" s="30">
        <v>45783</v>
      </c>
      <c r="B20" s="27" t="s">
        <v>227</v>
      </c>
      <c r="C20" s="27" t="s">
        <v>579</v>
      </c>
      <c r="D20" s="27" t="s">
        <v>3011</v>
      </c>
      <c r="E20" s="10">
        <v>1</v>
      </c>
      <c r="F20" s="36" t="s">
        <v>263</v>
      </c>
      <c r="G20" s="27" t="s">
        <v>269</v>
      </c>
      <c r="H20" s="27" t="s">
        <v>270</v>
      </c>
      <c r="I20" s="27"/>
      <c r="J20" s="27"/>
      <c r="K20" s="27" t="s">
        <v>367</v>
      </c>
      <c r="L20" s="27"/>
      <c r="M20" s="27"/>
      <c r="N20" s="1" t="s">
        <v>264</v>
      </c>
      <c r="O20" s="27" t="s">
        <v>3012</v>
      </c>
      <c r="P20" s="27"/>
    </row>
    <row r="21" spans="1:16" ht="24" customHeight="1">
      <c r="A21" s="30">
        <v>45783</v>
      </c>
      <c r="B21" s="27" t="s">
        <v>227</v>
      </c>
      <c r="C21" s="27" t="s">
        <v>171</v>
      </c>
      <c r="D21" s="27" t="s">
        <v>3013</v>
      </c>
      <c r="E21" s="10">
        <v>70</v>
      </c>
      <c r="F21" s="36" t="s">
        <v>263</v>
      </c>
      <c r="G21" s="27" t="s">
        <v>338</v>
      </c>
      <c r="H21" s="27" t="s">
        <v>506</v>
      </c>
      <c r="I21" s="27"/>
      <c r="J21" s="27"/>
      <c r="K21" s="27" t="s">
        <v>1629</v>
      </c>
      <c r="L21" s="27"/>
      <c r="M21" s="30">
        <v>45750</v>
      </c>
      <c r="N21" s="1" t="s">
        <v>264</v>
      </c>
      <c r="O21" s="27" t="s">
        <v>298</v>
      </c>
      <c r="P21" s="27"/>
    </row>
    <row r="22" spans="1:16" ht="24" customHeight="1">
      <c r="A22" s="30">
        <v>45783</v>
      </c>
      <c r="B22" s="27" t="s">
        <v>227</v>
      </c>
      <c r="C22" s="27" t="s">
        <v>2844</v>
      </c>
      <c r="D22" s="27" t="s">
        <v>3014</v>
      </c>
      <c r="E22" s="10">
        <v>150</v>
      </c>
      <c r="F22" s="38" t="s">
        <v>294</v>
      </c>
      <c r="G22" s="27" t="s">
        <v>309</v>
      </c>
      <c r="H22" s="27" t="s">
        <v>270</v>
      </c>
      <c r="I22" s="27"/>
      <c r="J22" s="27"/>
      <c r="K22" s="27" t="s">
        <v>2615</v>
      </c>
      <c r="L22" s="27"/>
      <c r="M22" s="30">
        <v>45715</v>
      </c>
      <c r="N22" s="1" t="s">
        <v>264</v>
      </c>
      <c r="O22" s="27" t="s">
        <v>3015</v>
      </c>
      <c r="P22" s="27"/>
    </row>
    <row r="23" spans="1:16" ht="24" customHeight="1">
      <c r="A23" s="30">
        <v>45784</v>
      </c>
      <c r="B23" s="27" t="s">
        <v>201</v>
      </c>
      <c r="C23" s="27" t="s">
        <v>579</v>
      </c>
      <c r="D23" s="27" t="s">
        <v>3011</v>
      </c>
      <c r="E23" s="10">
        <v>1</v>
      </c>
      <c r="F23" s="36" t="s">
        <v>263</v>
      </c>
      <c r="G23" s="27" t="s">
        <v>269</v>
      </c>
      <c r="H23" s="27" t="s">
        <v>270</v>
      </c>
      <c r="I23" s="27"/>
      <c r="J23" s="27"/>
      <c r="K23" s="27" t="s">
        <v>367</v>
      </c>
      <c r="L23" s="27"/>
      <c r="M23" s="27"/>
      <c r="N23" s="1" t="s">
        <v>264</v>
      </c>
      <c r="O23" s="27" t="s">
        <v>3012</v>
      </c>
      <c r="P23" s="27"/>
    </row>
    <row r="24" spans="1:16" ht="24" customHeight="1">
      <c r="A24" s="30">
        <v>45784</v>
      </c>
      <c r="B24" s="27" t="s">
        <v>201</v>
      </c>
      <c r="C24" s="27" t="s">
        <v>2716</v>
      </c>
      <c r="D24" s="27" t="s">
        <v>2975</v>
      </c>
      <c r="E24" s="10">
        <v>2</v>
      </c>
      <c r="F24" s="36" t="s">
        <v>263</v>
      </c>
      <c r="G24" s="27" t="s">
        <v>269</v>
      </c>
      <c r="H24" s="27" t="s">
        <v>270</v>
      </c>
      <c r="I24" s="27"/>
      <c r="J24" s="27"/>
      <c r="K24" s="27" t="s">
        <v>3009</v>
      </c>
      <c r="L24" s="27"/>
      <c r="M24" s="27"/>
      <c r="N24" s="1" t="s">
        <v>264</v>
      </c>
      <c r="O24" s="27" t="s">
        <v>3010</v>
      </c>
      <c r="P24" s="27"/>
    </row>
    <row r="25" spans="1:16" ht="24" customHeight="1">
      <c r="A25" s="30">
        <v>45784</v>
      </c>
      <c r="B25" s="27" t="s">
        <v>201</v>
      </c>
      <c r="C25" s="27" t="s">
        <v>171</v>
      </c>
      <c r="D25" s="27" t="s">
        <v>3016</v>
      </c>
      <c r="E25" s="10"/>
      <c r="F25" s="36" t="s">
        <v>263</v>
      </c>
      <c r="G25" s="27" t="s">
        <v>309</v>
      </c>
      <c r="H25" s="27" t="s">
        <v>295</v>
      </c>
      <c r="I25" s="27"/>
      <c r="J25" s="27"/>
      <c r="K25" s="27" t="s">
        <v>783</v>
      </c>
      <c r="L25" s="27"/>
      <c r="M25" s="30" t="s">
        <v>3017</v>
      </c>
      <c r="N25" s="1" t="s">
        <v>264</v>
      </c>
      <c r="O25" s="27" t="s">
        <v>298</v>
      </c>
      <c r="P25" s="27"/>
    </row>
    <row r="26" spans="1:16" ht="24" customHeight="1">
      <c r="A26" s="30">
        <v>45784</v>
      </c>
      <c r="B26" s="27" t="s">
        <v>201</v>
      </c>
      <c r="C26" s="27" t="s">
        <v>171</v>
      </c>
      <c r="D26" s="27" t="s">
        <v>3018</v>
      </c>
      <c r="E26" s="10">
        <v>60</v>
      </c>
      <c r="F26" s="36" t="s">
        <v>263</v>
      </c>
      <c r="G26" s="27" t="s">
        <v>295</v>
      </c>
      <c r="H26" s="27" t="s">
        <v>460</v>
      </c>
      <c r="I26" s="27"/>
      <c r="J26" s="27"/>
      <c r="K26" s="27" t="s">
        <v>2615</v>
      </c>
      <c r="L26" s="27"/>
      <c r="M26" s="27"/>
      <c r="N26" s="3" t="s">
        <v>312</v>
      </c>
      <c r="O26" s="27" t="s">
        <v>3019</v>
      </c>
      <c r="P26" s="27" t="s">
        <v>3020</v>
      </c>
    </row>
    <row r="27" spans="1:16" ht="24" customHeight="1">
      <c r="A27" s="30">
        <v>45784</v>
      </c>
      <c r="B27" s="27" t="s">
        <v>201</v>
      </c>
      <c r="C27" s="27" t="s">
        <v>239</v>
      </c>
      <c r="D27" s="27" t="s">
        <v>3021</v>
      </c>
      <c r="E27" s="10">
        <v>90</v>
      </c>
      <c r="F27" s="36" t="s">
        <v>263</v>
      </c>
      <c r="G27" s="27" t="s">
        <v>295</v>
      </c>
      <c r="H27" s="27" t="s">
        <v>544</v>
      </c>
      <c r="I27" s="27"/>
      <c r="J27" s="27"/>
      <c r="K27" s="27" t="s">
        <v>3022</v>
      </c>
      <c r="L27" s="27"/>
      <c r="M27" s="30" t="s">
        <v>2980</v>
      </c>
      <c r="N27" s="1" t="s">
        <v>264</v>
      </c>
      <c r="O27" s="27" t="s">
        <v>3001</v>
      </c>
      <c r="P27" s="27"/>
    </row>
    <row r="28" spans="1:16" ht="24" customHeight="1">
      <c r="A28" s="30">
        <v>45785</v>
      </c>
      <c r="B28" s="27" t="s">
        <v>216</v>
      </c>
      <c r="C28" s="27" t="s">
        <v>579</v>
      </c>
      <c r="D28" s="27" t="s">
        <v>3011</v>
      </c>
      <c r="E28" s="10">
        <v>1</v>
      </c>
      <c r="F28" s="36" t="s">
        <v>263</v>
      </c>
      <c r="G28" s="27" t="s">
        <v>269</v>
      </c>
      <c r="H28" s="27" t="s">
        <v>270</v>
      </c>
      <c r="I28" s="27"/>
      <c r="J28" s="27"/>
      <c r="K28" s="27" t="s">
        <v>367</v>
      </c>
      <c r="L28" s="27"/>
      <c r="M28" s="27"/>
      <c r="N28" s="1" t="s">
        <v>264</v>
      </c>
      <c r="O28" s="27" t="s">
        <v>3012</v>
      </c>
      <c r="P28" s="27"/>
    </row>
    <row r="29" spans="1:16" ht="24" customHeight="1">
      <c r="A29" s="30">
        <v>45785</v>
      </c>
      <c r="B29" s="27" t="s">
        <v>216</v>
      </c>
      <c r="C29" s="27" t="s">
        <v>3023</v>
      </c>
      <c r="D29" s="27" t="s">
        <v>2975</v>
      </c>
      <c r="E29" s="10">
        <v>2</v>
      </c>
      <c r="F29" s="36" t="s">
        <v>263</v>
      </c>
      <c r="G29" s="27" t="s">
        <v>269</v>
      </c>
      <c r="H29" s="27" t="s">
        <v>270</v>
      </c>
      <c r="I29" s="27"/>
      <c r="J29" s="27"/>
      <c r="K29" s="27" t="s">
        <v>3009</v>
      </c>
      <c r="L29" s="27"/>
      <c r="M29" s="27"/>
      <c r="N29" s="1" t="s">
        <v>264</v>
      </c>
      <c r="O29" s="27" t="s">
        <v>3010</v>
      </c>
      <c r="P29" s="27"/>
    </row>
    <row r="30" spans="1:16" ht="24" customHeight="1">
      <c r="A30" s="30">
        <v>45785</v>
      </c>
      <c r="B30" s="27" t="s">
        <v>216</v>
      </c>
      <c r="C30" s="27" t="s">
        <v>171</v>
      </c>
      <c r="D30" s="27" t="s">
        <v>3024</v>
      </c>
      <c r="E30" s="10"/>
      <c r="F30" s="36" t="s">
        <v>263</v>
      </c>
      <c r="G30" s="27" t="s">
        <v>315</v>
      </c>
      <c r="H30" s="27" t="s">
        <v>506</v>
      </c>
      <c r="I30" s="27"/>
      <c r="J30" s="27" t="s">
        <v>531</v>
      </c>
      <c r="K30" s="27" t="s">
        <v>3025</v>
      </c>
      <c r="L30" s="27"/>
      <c r="M30" s="27"/>
      <c r="N30" s="1" t="s">
        <v>264</v>
      </c>
      <c r="O30" s="27"/>
      <c r="P30" s="27"/>
    </row>
    <row r="31" spans="1:16" ht="24" customHeight="1">
      <c r="A31" s="30">
        <v>45785</v>
      </c>
      <c r="B31" s="27" t="s">
        <v>216</v>
      </c>
      <c r="C31" s="27" t="s">
        <v>579</v>
      </c>
      <c r="D31" s="27" t="s">
        <v>3011</v>
      </c>
      <c r="E31" s="10">
        <v>1</v>
      </c>
      <c r="F31" s="36" t="s">
        <v>263</v>
      </c>
      <c r="G31" s="27" t="s">
        <v>269</v>
      </c>
      <c r="H31" s="27" t="s">
        <v>270</v>
      </c>
      <c r="I31" s="27"/>
      <c r="J31" s="27"/>
      <c r="K31" s="27" t="s">
        <v>367</v>
      </c>
      <c r="L31" s="27"/>
      <c r="M31" s="27"/>
      <c r="N31" s="1" t="s">
        <v>264</v>
      </c>
      <c r="O31" s="27" t="s">
        <v>3012</v>
      </c>
      <c r="P31" s="27"/>
    </row>
    <row r="32" spans="1:16" ht="24" customHeight="1">
      <c r="A32" s="30">
        <v>45785</v>
      </c>
      <c r="B32" s="27" t="s">
        <v>216</v>
      </c>
      <c r="C32" s="27" t="s">
        <v>171</v>
      </c>
      <c r="D32" s="27" t="s">
        <v>3026</v>
      </c>
      <c r="E32" s="10">
        <v>40</v>
      </c>
      <c r="F32" s="36" t="s">
        <v>263</v>
      </c>
      <c r="G32" s="27" t="s">
        <v>295</v>
      </c>
      <c r="H32" s="27" t="s">
        <v>296</v>
      </c>
      <c r="I32" s="27"/>
      <c r="J32" s="27"/>
      <c r="K32" s="27" t="s">
        <v>3027</v>
      </c>
      <c r="L32" s="27"/>
      <c r="M32" s="27"/>
      <c r="N32" s="1" t="s">
        <v>264</v>
      </c>
      <c r="O32" s="27" t="s">
        <v>3028</v>
      </c>
      <c r="P32" s="27"/>
    </row>
    <row r="33" spans="1:16" ht="24" customHeight="1">
      <c r="A33" s="30">
        <v>45786</v>
      </c>
      <c r="B33" s="27" t="s">
        <v>220</v>
      </c>
      <c r="C33" s="27" t="s">
        <v>3023</v>
      </c>
      <c r="D33" s="27" t="s">
        <v>2975</v>
      </c>
      <c r="E33" s="10">
        <v>2</v>
      </c>
      <c r="F33" s="36" t="s">
        <v>263</v>
      </c>
      <c r="G33" s="27" t="s">
        <v>269</v>
      </c>
      <c r="H33" s="27" t="s">
        <v>270</v>
      </c>
      <c r="I33" s="27"/>
      <c r="J33" s="27"/>
      <c r="K33" s="27" t="s">
        <v>3009</v>
      </c>
      <c r="L33" s="27"/>
      <c r="M33" s="27"/>
      <c r="N33" s="1" t="s">
        <v>264</v>
      </c>
      <c r="O33" s="27" t="s">
        <v>3010</v>
      </c>
      <c r="P33" s="27"/>
    </row>
    <row r="34" spans="1:16" ht="24" customHeight="1">
      <c r="A34" s="30">
        <v>45786</v>
      </c>
      <c r="B34" s="27" t="s">
        <v>220</v>
      </c>
      <c r="C34" s="27" t="s">
        <v>171</v>
      </c>
      <c r="D34" s="27" t="s">
        <v>3029</v>
      </c>
      <c r="E34" s="10">
        <v>40</v>
      </c>
      <c r="F34" s="36" t="s">
        <v>263</v>
      </c>
      <c r="G34" s="27" t="s">
        <v>289</v>
      </c>
      <c r="H34" s="27" t="s">
        <v>359</v>
      </c>
      <c r="I34" s="27"/>
      <c r="J34" s="27"/>
      <c r="K34" s="27" t="s">
        <v>3030</v>
      </c>
      <c r="L34" s="27"/>
      <c r="M34" s="30" t="s">
        <v>3031</v>
      </c>
      <c r="N34" s="1" t="s">
        <v>264</v>
      </c>
      <c r="O34" s="27" t="s">
        <v>3032</v>
      </c>
      <c r="P34" s="27"/>
    </row>
    <row r="35" spans="1:16" ht="24" customHeight="1">
      <c r="A35" s="30">
        <v>45786</v>
      </c>
      <c r="B35" s="27" t="s">
        <v>220</v>
      </c>
      <c r="C35" s="27" t="s">
        <v>171</v>
      </c>
      <c r="D35" s="27" t="s">
        <v>3033</v>
      </c>
      <c r="E35" s="10">
        <v>30</v>
      </c>
      <c r="F35" s="36" t="s">
        <v>263</v>
      </c>
      <c r="G35" s="27" t="s">
        <v>503</v>
      </c>
      <c r="H35" s="27" t="s">
        <v>290</v>
      </c>
      <c r="I35" s="27"/>
      <c r="J35" s="27"/>
      <c r="K35" s="27" t="s">
        <v>2743</v>
      </c>
      <c r="L35" s="27"/>
      <c r="M35" s="27"/>
      <c r="N35" s="1" t="s">
        <v>264</v>
      </c>
      <c r="O35" s="27" t="s">
        <v>311</v>
      </c>
      <c r="P35" s="27"/>
    </row>
    <row r="36" spans="1:16" ht="24" customHeight="1">
      <c r="A36" s="30">
        <v>45787</v>
      </c>
      <c r="B36" s="27" t="s">
        <v>266</v>
      </c>
      <c r="C36" s="27"/>
      <c r="D36" s="27"/>
      <c r="E36" s="10"/>
      <c r="F36" s="36" t="s">
        <v>263</v>
      </c>
      <c r="G36" s="27"/>
      <c r="H36" s="27"/>
      <c r="I36" s="27"/>
      <c r="J36" s="27"/>
      <c r="K36" s="27"/>
      <c r="L36" s="27"/>
      <c r="M36" s="27"/>
      <c r="N36" s="1" t="s">
        <v>264</v>
      </c>
      <c r="O36" s="27"/>
      <c r="P36" s="27"/>
    </row>
    <row r="37" spans="1:16" ht="24" customHeight="1">
      <c r="A37" s="30">
        <v>45788</v>
      </c>
      <c r="B37" s="27" t="s">
        <v>267</v>
      </c>
      <c r="C37" s="27"/>
      <c r="D37" s="27"/>
      <c r="E37" s="10"/>
      <c r="F37" s="36" t="s">
        <v>263</v>
      </c>
      <c r="G37" s="27"/>
      <c r="H37" s="27"/>
      <c r="I37" s="27"/>
      <c r="J37" s="27"/>
      <c r="K37" s="27"/>
      <c r="L37" s="27"/>
      <c r="M37" s="27"/>
      <c r="N37" s="1" t="s">
        <v>264</v>
      </c>
      <c r="O37" s="27"/>
      <c r="P37" s="27"/>
    </row>
    <row r="38" spans="1:16" ht="24" customHeight="1">
      <c r="A38" s="30">
        <v>45789</v>
      </c>
      <c r="B38" s="27" t="s">
        <v>224</v>
      </c>
      <c r="C38" s="27" t="s">
        <v>3034</v>
      </c>
      <c r="D38" s="27" t="s">
        <v>3035</v>
      </c>
      <c r="E38" s="10">
        <v>1</v>
      </c>
      <c r="F38" s="36" t="s">
        <v>263</v>
      </c>
      <c r="G38" s="27" t="s">
        <v>269</v>
      </c>
      <c r="H38" s="27" t="s">
        <v>270</v>
      </c>
      <c r="I38" s="27"/>
      <c r="J38" s="27"/>
      <c r="K38" s="27" t="s">
        <v>367</v>
      </c>
      <c r="L38" s="27"/>
      <c r="M38" s="30" t="s">
        <v>3036</v>
      </c>
      <c r="N38" s="1" t="s">
        <v>264</v>
      </c>
      <c r="O38" s="27" t="s">
        <v>3037</v>
      </c>
      <c r="P38" s="27"/>
    </row>
    <row r="39" spans="1:16" ht="24" customHeight="1">
      <c r="A39" s="30">
        <v>45789</v>
      </c>
      <c r="B39" s="27" t="s">
        <v>224</v>
      </c>
      <c r="C39" s="27" t="s">
        <v>326</v>
      </c>
      <c r="D39" s="27" t="s">
        <v>2809</v>
      </c>
      <c r="E39" s="10">
        <v>40</v>
      </c>
      <c r="F39" s="36" t="s">
        <v>263</v>
      </c>
      <c r="G39" s="27" t="s">
        <v>269</v>
      </c>
      <c r="H39" s="27" t="s">
        <v>270</v>
      </c>
      <c r="I39" s="27"/>
      <c r="J39" s="27"/>
      <c r="K39" s="27" t="s">
        <v>2584</v>
      </c>
      <c r="L39" s="27"/>
      <c r="M39" s="27"/>
      <c r="N39" s="1" t="s">
        <v>264</v>
      </c>
      <c r="O39" s="27" t="s">
        <v>3038</v>
      </c>
      <c r="P39" s="27"/>
    </row>
    <row r="40" spans="1:16" ht="24" customHeight="1">
      <c r="A40" s="30">
        <v>45789</v>
      </c>
      <c r="B40" s="27" t="s">
        <v>224</v>
      </c>
      <c r="C40" s="27" t="s">
        <v>2782</v>
      </c>
      <c r="D40" s="27" t="s">
        <v>3039</v>
      </c>
      <c r="E40" s="10">
        <v>1</v>
      </c>
      <c r="F40" s="36" t="s">
        <v>263</v>
      </c>
      <c r="G40" s="27" t="s">
        <v>604</v>
      </c>
      <c r="H40" s="27" t="s">
        <v>270</v>
      </c>
      <c r="I40" s="27"/>
      <c r="J40" s="27"/>
      <c r="K40" s="27" t="s">
        <v>583</v>
      </c>
      <c r="L40" s="27"/>
      <c r="M40" s="30">
        <v>45783</v>
      </c>
      <c r="N40" s="3" t="s">
        <v>312</v>
      </c>
      <c r="O40" s="27" t="s">
        <v>3040</v>
      </c>
      <c r="P40" s="27" t="s">
        <v>3041</v>
      </c>
    </row>
    <row r="41" spans="1:16" ht="24" customHeight="1">
      <c r="A41" s="30">
        <v>45789</v>
      </c>
      <c r="B41" s="27" t="s">
        <v>224</v>
      </c>
      <c r="C41" s="27" t="s">
        <v>3034</v>
      </c>
      <c r="D41" s="27" t="s">
        <v>3042</v>
      </c>
      <c r="E41" s="10">
        <v>1</v>
      </c>
      <c r="F41" s="36" t="s">
        <v>263</v>
      </c>
      <c r="G41" s="27" t="s">
        <v>269</v>
      </c>
      <c r="H41" s="27" t="s">
        <v>270</v>
      </c>
      <c r="I41" s="27"/>
      <c r="J41" s="27"/>
      <c r="K41" s="27" t="s">
        <v>367</v>
      </c>
      <c r="L41" s="27"/>
      <c r="M41" s="30">
        <v>45787</v>
      </c>
      <c r="N41" s="1" t="s">
        <v>264</v>
      </c>
      <c r="O41" s="27" t="s">
        <v>3043</v>
      </c>
      <c r="P41" s="27"/>
    </row>
    <row r="42" spans="1:16" ht="24" customHeight="1">
      <c r="A42" s="30">
        <v>45790</v>
      </c>
      <c r="B42" s="27" t="s">
        <v>227</v>
      </c>
      <c r="C42" s="27" t="s">
        <v>171</v>
      </c>
      <c r="D42" s="27" t="s">
        <v>3044</v>
      </c>
      <c r="E42" s="10"/>
      <c r="F42" s="36" t="s">
        <v>263</v>
      </c>
      <c r="G42" s="27" t="s">
        <v>289</v>
      </c>
      <c r="H42" s="27" t="s">
        <v>290</v>
      </c>
      <c r="I42" s="27"/>
      <c r="J42" s="27"/>
      <c r="K42" s="27" t="s">
        <v>3045</v>
      </c>
      <c r="L42" s="27"/>
      <c r="M42" s="30">
        <v>45786</v>
      </c>
      <c r="N42" s="1" t="s">
        <v>264</v>
      </c>
      <c r="O42" s="27"/>
      <c r="P42" s="27"/>
    </row>
    <row r="43" spans="1:16" ht="24" customHeight="1">
      <c r="A43" s="30">
        <v>45790</v>
      </c>
      <c r="B43" s="27" t="s">
        <v>227</v>
      </c>
      <c r="C43" s="27" t="s">
        <v>2765</v>
      </c>
      <c r="D43" s="27" t="s">
        <v>3046</v>
      </c>
      <c r="E43" s="10">
        <v>1</v>
      </c>
      <c r="F43" s="36" t="s">
        <v>263</v>
      </c>
      <c r="G43" s="27" t="s">
        <v>269</v>
      </c>
      <c r="H43" s="27" t="s">
        <v>506</v>
      </c>
      <c r="I43" s="27"/>
      <c r="J43" s="27"/>
      <c r="K43" s="27" t="s">
        <v>367</v>
      </c>
      <c r="L43" s="27"/>
      <c r="M43" s="30">
        <v>45787</v>
      </c>
      <c r="N43" s="1" t="s">
        <v>264</v>
      </c>
      <c r="O43" s="27" t="s">
        <v>3047</v>
      </c>
      <c r="P43" s="27"/>
    </row>
    <row r="44" spans="1:16" ht="24" customHeight="1">
      <c r="A44" s="30">
        <v>45790</v>
      </c>
      <c r="B44" s="27" t="s">
        <v>227</v>
      </c>
      <c r="C44" s="27" t="s">
        <v>3034</v>
      </c>
      <c r="D44" s="27" t="s">
        <v>3042</v>
      </c>
      <c r="E44" s="10">
        <v>1</v>
      </c>
      <c r="F44" s="36" t="s">
        <v>263</v>
      </c>
      <c r="G44" s="27" t="s">
        <v>269</v>
      </c>
      <c r="H44" s="27" t="s">
        <v>506</v>
      </c>
      <c r="I44" s="27"/>
      <c r="J44" s="27"/>
      <c r="K44" s="27" t="s">
        <v>367</v>
      </c>
      <c r="L44" s="27"/>
      <c r="M44" s="30">
        <v>45787</v>
      </c>
      <c r="N44" s="1" t="s">
        <v>264</v>
      </c>
      <c r="O44" s="27" t="s">
        <v>3047</v>
      </c>
      <c r="P44" s="27"/>
    </row>
    <row r="45" spans="1:16" ht="24" customHeight="1">
      <c r="A45" s="30">
        <v>45790</v>
      </c>
      <c r="B45" s="27" t="s">
        <v>227</v>
      </c>
      <c r="C45" s="27" t="s">
        <v>2782</v>
      </c>
      <c r="D45" s="27" t="s">
        <v>3039</v>
      </c>
      <c r="E45" s="10">
        <v>1</v>
      </c>
      <c r="F45" s="36" t="s">
        <v>263</v>
      </c>
      <c r="G45" s="27" t="s">
        <v>604</v>
      </c>
      <c r="H45" s="27" t="s">
        <v>270</v>
      </c>
      <c r="I45" s="27"/>
      <c r="J45" s="27"/>
      <c r="K45" s="27" t="s">
        <v>583</v>
      </c>
      <c r="L45" s="27"/>
      <c r="M45" s="30">
        <v>45783</v>
      </c>
      <c r="N45" s="3" t="s">
        <v>312</v>
      </c>
      <c r="O45" s="27" t="s">
        <v>3048</v>
      </c>
      <c r="P45" s="27" t="s">
        <v>3041</v>
      </c>
    </row>
    <row r="46" spans="1:16" ht="24" customHeight="1">
      <c r="A46" s="30">
        <v>45790</v>
      </c>
      <c r="B46" s="27" t="s">
        <v>227</v>
      </c>
      <c r="C46" s="27" t="s">
        <v>171</v>
      </c>
      <c r="D46" s="27" t="s">
        <v>3049</v>
      </c>
      <c r="E46" s="10"/>
      <c r="F46" s="36" t="s">
        <v>263</v>
      </c>
      <c r="G46" s="27" t="s">
        <v>350</v>
      </c>
      <c r="H46" s="27" t="s">
        <v>289</v>
      </c>
      <c r="I46" s="27"/>
      <c r="J46" s="27"/>
      <c r="K46" s="27" t="s">
        <v>367</v>
      </c>
      <c r="L46" s="27"/>
      <c r="M46" s="30" t="s">
        <v>3050</v>
      </c>
      <c r="N46" s="3" t="s">
        <v>312</v>
      </c>
      <c r="O46" s="27" t="s">
        <v>298</v>
      </c>
      <c r="P46" s="27" t="s">
        <v>3041</v>
      </c>
    </row>
    <row r="47" spans="1:16" ht="24" customHeight="1">
      <c r="A47" s="30">
        <v>45791</v>
      </c>
      <c r="B47" s="27" t="s">
        <v>201</v>
      </c>
      <c r="C47" s="27" t="s">
        <v>2782</v>
      </c>
      <c r="D47" s="27" t="s">
        <v>3039</v>
      </c>
      <c r="E47" s="10">
        <v>1</v>
      </c>
      <c r="F47" s="36" t="s">
        <v>263</v>
      </c>
      <c r="G47" s="27" t="s">
        <v>604</v>
      </c>
      <c r="H47" s="27" t="s">
        <v>270</v>
      </c>
      <c r="I47" s="27"/>
      <c r="J47" s="27"/>
      <c r="K47" s="27" t="s">
        <v>583</v>
      </c>
      <c r="L47" s="27"/>
      <c r="M47" s="30">
        <v>45783</v>
      </c>
      <c r="N47" s="3" t="s">
        <v>312</v>
      </c>
      <c r="O47" s="27" t="s">
        <v>3048</v>
      </c>
      <c r="P47" s="27" t="s">
        <v>3041</v>
      </c>
    </row>
    <row r="48" spans="1:16" ht="24" customHeight="1">
      <c r="A48" s="30">
        <v>45791</v>
      </c>
      <c r="B48" s="27" t="s">
        <v>201</v>
      </c>
      <c r="C48" s="27" t="s">
        <v>2765</v>
      </c>
      <c r="D48" s="27" t="s">
        <v>3046</v>
      </c>
      <c r="E48" s="10">
        <v>1</v>
      </c>
      <c r="F48" s="36" t="s">
        <v>263</v>
      </c>
      <c r="G48" s="27" t="s">
        <v>269</v>
      </c>
      <c r="H48" s="27" t="s">
        <v>270</v>
      </c>
      <c r="I48" s="27"/>
      <c r="J48" s="27"/>
      <c r="K48" s="27" t="s">
        <v>367</v>
      </c>
      <c r="L48" s="27"/>
      <c r="M48" s="30">
        <v>45787</v>
      </c>
      <c r="N48" s="1" t="s">
        <v>264</v>
      </c>
      <c r="O48" s="27" t="s">
        <v>3051</v>
      </c>
      <c r="P48" s="27"/>
    </row>
    <row r="49" spans="1:16" ht="24" customHeight="1">
      <c r="A49" s="30">
        <v>45791</v>
      </c>
      <c r="B49" s="27" t="s">
        <v>201</v>
      </c>
      <c r="C49" s="27" t="s">
        <v>2715</v>
      </c>
      <c r="D49" s="27" t="s">
        <v>3052</v>
      </c>
      <c r="E49" s="10">
        <v>1</v>
      </c>
      <c r="F49" s="36" t="s">
        <v>263</v>
      </c>
      <c r="G49" s="27" t="s">
        <v>269</v>
      </c>
      <c r="H49" s="27" t="s">
        <v>270</v>
      </c>
      <c r="I49" s="27"/>
      <c r="J49" s="27"/>
      <c r="K49" s="27" t="s">
        <v>367</v>
      </c>
      <c r="L49" s="27"/>
      <c r="M49" s="27"/>
      <c r="N49" s="1" t="s">
        <v>264</v>
      </c>
      <c r="O49" s="27" t="s">
        <v>3051</v>
      </c>
      <c r="P49" s="27"/>
    </row>
    <row r="50" spans="1:16" ht="24" customHeight="1">
      <c r="A50" s="30">
        <v>45791</v>
      </c>
      <c r="B50" s="27" t="s">
        <v>201</v>
      </c>
      <c r="C50" s="27" t="s">
        <v>3034</v>
      </c>
      <c r="D50" s="27" t="s">
        <v>3042</v>
      </c>
      <c r="E50" s="10">
        <v>1</v>
      </c>
      <c r="F50" s="36" t="s">
        <v>263</v>
      </c>
      <c r="G50" s="27" t="s">
        <v>269</v>
      </c>
      <c r="H50" s="27" t="s">
        <v>270</v>
      </c>
      <c r="I50" s="27"/>
      <c r="J50" s="27"/>
      <c r="K50" s="27" t="s">
        <v>367</v>
      </c>
      <c r="L50" s="27"/>
      <c r="M50" s="27"/>
      <c r="N50" s="1" t="s">
        <v>264</v>
      </c>
      <c r="O50" s="27" t="s">
        <v>3051</v>
      </c>
      <c r="P50" s="27"/>
    </row>
    <row r="51" spans="1:16" ht="24" customHeight="1">
      <c r="A51" s="30">
        <v>45791</v>
      </c>
      <c r="B51" s="27" t="s">
        <v>201</v>
      </c>
      <c r="C51" s="27" t="s">
        <v>171</v>
      </c>
      <c r="D51" s="27" t="s">
        <v>1124</v>
      </c>
      <c r="E51" s="10"/>
      <c r="F51" s="36" t="s">
        <v>263</v>
      </c>
      <c r="G51" s="27" t="s">
        <v>269</v>
      </c>
      <c r="H51" s="27" t="s">
        <v>270</v>
      </c>
      <c r="I51" s="27"/>
      <c r="J51" s="27"/>
      <c r="K51" s="27" t="s">
        <v>1126</v>
      </c>
      <c r="L51" s="27"/>
      <c r="M51" s="30">
        <v>45763</v>
      </c>
      <c r="N51" s="1" t="s">
        <v>264</v>
      </c>
      <c r="O51" s="27"/>
      <c r="P51" s="27"/>
    </row>
    <row r="52" spans="1:16" ht="24" customHeight="1">
      <c r="A52" s="30">
        <v>45791</v>
      </c>
      <c r="B52" s="27" t="s">
        <v>201</v>
      </c>
      <c r="C52" s="27" t="s">
        <v>2689</v>
      </c>
      <c r="D52" s="27" t="s">
        <v>3053</v>
      </c>
      <c r="E52" s="10" t="s">
        <v>3054</v>
      </c>
      <c r="F52" s="36" t="s">
        <v>263</v>
      </c>
      <c r="G52" s="27" t="s">
        <v>354</v>
      </c>
      <c r="H52" s="27" t="s">
        <v>309</v>
      </c>
      <c r="I52" s="27"/>
      <c r="J52" s="27"/>
      <c r="K52" s="27" t="s">
        <v>367</v>
      </c>
      <c r="L52" s="27"/>
      <c r="M52" s="30">
        <v>45786</v>
      </c>
      <c r="N52" s="1" t="s">
        <v>264</v>
      </c>
      <c r="O52" s="27" t="s">
        <v>380</v>
      </c>
      <c r="P52" s="27"/>
    </row>
    <row r="53" spans="1:16" ht="24" customHeight="1">
      <c r="A53" s="30">
        <v>45791</v>
      </c>
      <c r="B53" s="27" t="s">
        <v>201</v>
      </c>
      <c r="C53" s="27" t="s">
        <v>2715</v>
      </c>
      <c r="D53" s="27" t="s">
        <v>3052</v>
      </c>
      <c r="E53" s="10">
        <v>1</v>
      </c>
      <c r="F53" s="36" t="s">
        <v>263</v>
      </c>
      <c r="G53" s="27" t="s">
        <v>269</v>
      </c>
      <c r="H53" s="27" t="s">
        <v>270</v>
      </c>
      <c r="I53" s="27"/>
      <c r="J53" s="27"/>
      <c r="K53" s="27" t="s">
        <v>367</v>
      </c>
      <c r="L53" s="27"/>
      <c r="M53" s="27"/>
      <c r="N53" s="1" t="s">
        <v>264</v>
      </c>
      <c r="O53" s="27" t="s">
        <v>3051</v>
      </c>
      <c r="P53" s="27"/>
    </row>
    <row r="54" spans="1:16" ht="24" customHeight="1">
      <c r="A54" s="30">
        <v>45791</v>
      </c>
      <c r="B54" s="27" t="s">
        <v>201</v>
      </c>
      <c r="C54" s="27" t="s">
        <v>2765</v>
      </c>
      <c r="D54" s="27" t="s">
        <v>3055</v>
      </c>
      <c r="E54" s="10">
        <v>1</v>
      </c>
      <c r="F54" s="36" t="s">
        <v>263</v>
      </c>
      <c r="G54" s="27"/>
      <c r="H54" s="27"/>
      <c r="I54" s="27"/>
      <c r="J54" s="27"/>
      <c r="K54" s="27" t="s">
        <v>367</v>
      </c>
      <c r="L54" s="27"/>
      <c r="M54" s="27"/>
      <c r="N54" s="1" t="s">
        <v>264</v>
      </c>
      <c r="O54" s="27" t="s">
        <v>3051</v>
      </c>
      <c r="P54" s="27"/>
    </row>
    <row r="55" spans="1:16" ht="24" customHeight="1">
      <c r="A55" s="30">
        <v>45791</v>
      </c>
      <c r="B55" s="27" t="s">
        <v>201</v>
      </c>
      <c r="C55" s="27" t="s">
        <v>3034</v>
      </c>
      <c r="D55" s="27" t="s">
        <v>3056</v>
      </c>
      <c r="E55" s="10">
        <v>1</v>
      </c>
      <c r="F55" s="36" t="s">
        <v>263</v>
      </c>
      <c r="G55" s="27"/>
      <c r="H55" s="27"/>
      <c r="I55" s="27"/>
      <c r="J55" s="27"/>
      <c r="K55" s="27" t="s">
        <v>367</v>
      </c>
      <c r="L55" s="27"/>
      <c r="M55" s="27"/>
      <c r="N55" s="1" t="s">
        <v>264</v>
      </c>
      <c r="O55" s="27" t="s">
        <v>3051</v>
      </c>
      <c r="P55" s="27"/>
    </row>
    <row r="56" spans="1:16" ht="24" customHeight="1">
      <c r="A56" s="30">
        <v>45792</v>
      </c>
      <c r="B56" s="27" t="s">
        <v>216</v>
      </c>
      <c r="C56" s="27" t="s">
        <v>171</v>
      </c>
      <c r="D56" s="27" t="s">
        <v>2809</v>
      </c>
      <c r="E56" s="10"/>
      <c r="F56" s="36" t="s">
        <v>263</v>
      </c>
      <c r="G56" s="27" t="s">
        <v>269</v>
      </c>
      <c r="H56" s="27" t="s">
        <v>270</v>
      </c>
      <c r="I56" s="27"/>
      <c r="J56" s="27"/>
      <c r="K56" s="27" t="s">
        <v>2584</v>
      </c>
      <c r="L56" s="27"/>
      <c r="M56" s="27"/>
      <c r="N56" s="1" t="s">
        <v>264</v>
      </c>
      <c r="O56" s="27"/>
      <c r="P56" s="27"/>
    </row>
    <row r="57" spans="1:16" ht="24" customHeight="1">
      <c r="A57" s="30">
        <v>45792</v>
      </c>
      <c r="B57" s="27" t="s">
        <v>216</v>
      </c>
      <c r="C57" s="27" t="s">
        <v>2715</v>
      </c>
      <c r="D57" s="27" t="s">
        <v>3052</v>
      </c>
      <c r="E57" s="10">
        <v>1</v>
      </c>
      <c r="F57" s="36" t="s">
        <v>263</v>
      </c>
      <c r="G57" s="27" t="s">
        <v>269</v>
      </c>
      <c r="H57" s="27" t="s">
        <v>270</v>
      </c>
      <c r="I57" s="27"/>
      <c r="J57" s="27"/>
      <c r="K57" s="27"/>
      <c r="L57" s="27"/>
      <c r="M57" s="27"/>
      <c r="N57" s="1" t="s">
        <v>264</v>
      </c>
      <c r="O57" s="27" t="s">
        <v>3051</v>
      </c>
      <c r="P57" s="27"/>
    </row>
    <row r="58" spans="1:16" ht="24" customHeight="1">
      <c r="A58" s="30">
        <v>45792</v>
      </c>
      <c r="B58" s="27" t="s">
        <v>216</v>
      </c>
      <c r="C58" s="27" t="s">
        <v>2765</v>
      </c>
      <c r="D58" s="27" t="s">
        <v>3055</v>
      </c>
      <c r="E58" s="10">
        <v>1</v>
      </c>
      <c r="F58" s="36" t="s">
        <v>263</v>
      </c>
      <c r="G58" s="27" t="s">
        <v>269</v>
      </c>
      <c r="H58" s="27" t="s">
        <v>270</v>
      </c>
      <c r="I58" s="27"/>
      <c r="J58" s="27"/>
      <c r="K58" s="27"/>
      <c r="L58" s="27"/>
      <c r="M58" s="27"/>
      <c r="N58" s="1" t="s">
        <v>264</v>
      </c>
      <c r="O58" s="27" t="s">
        <v>3051</v>
      </c>
      <c r="P58" s="27"/>
    </row>
    <row r="59" spans="1:16" ht="24" customHeight="1">
      <c r="A59" s="30">
        <v>45792</v>
      </c>
      <c r="B59" s="27" t="s">
        <v>216</v>
      </c>
      <c r="C59" s="27" t="s">
        <v>3034</v>
      </c>
      <c r="D59" s="27" t="s">
        <v>3056</v>
      </c>
      <c r="E59" s="10">
        <v>1</v>
      </c>
      <c r="F59" s="36" t="s">
        <v>263</v>
      </c>
      <c r="G59" s="27" t="s">
        <v>269</v>
      </c>
      <c r="H59" s="27" t="s">
        <v>270</v>
      </c>
      <c r="I59" s="27"/>
      <c r="J59" s="27"/>
      <c r="K59" s="27"/>
      <c r="L59" s="27"/>
      <c r="M59" s="27"/>
      <c r="N59" s="1" t="s">
        <v>264</v>
      </c>
      <c r="O59" s="27" t="s">
        <v>3051</v>
      </c>
      <c r="P59" s="27"/>
    </row>
    <row r="60" spans="1:16" ht="24" customHeight="1">
      <c r="A60" s="30">
        <v>45792</v>
      </c>
      <c r="B60" s="27" t="s">
        <v>216</v>
      </c>
      <c r="C60" s="27" t="s">
        <v>239</v>
      </c>
      <c r="D60" s="27" t="s">
        <v>3057</v>
      </c>
      <c r="E60" s="10"/>
      <c r="F60" s="36" t="s">
        <v>263</v>
      </c>
      <c r="G60" s="27" t="s">
        <v>269</v>
      </c>
      <c r="H60" s="27" t="s">
        <v>270</v>
      </c>
      <c r="I60" s="27"/>
      <c r="J60" s="27"/>
      <c r="K60" s="27"/>
      <c r="L60" s="27"/>
      <c r="M60" s="27"/>
      <c r="N60" s="1" t="s">
        <v>264</v>
      </c>
      <c r="O60" s="27" t="s">
        <v>3058</v>
      </c>
      <c r="P60" s="27"/>
    </row>
    <row r="61" spans="1:16" ht="24" customHeight="1">
      <c r="A61" s="30">
        <v>45793</v>
      </c>
      <c r="B61" s="27" t="s">
        <v>220</v>
      </c>
      <c r="C61" s="27" t="s">
        <v>171</v>
      </c>
      <c r="D61" s="27" t="s">
        <v>3059</v>
      </c>
      <c r="E61" s="10">
        <v>60</v>
      </c>
      <c r="F61" s="36" t="s">
        <v>263</v>
      </c>
      <c r="G61" s="27" t="s">
        <v>350</v>
      </c>
      <c r="H61" s="27" t="s">
        <v>289</v>
      </c>
      <c r="I61" s="27"/>
      <c r="J61" s="27"/>
      <c r="K61" s="27" t="s">
        <v>2932</v>
      </c>
      <c r="L61" s="27"/>
      <c r="M61" s="27"/>
      <c r="N61" s="1" t="s">
        <v>264</v>
      </c>
      <c r="O61" s="27" t="s">
        <v>311</v>
      </c>
      <c r="P61" s="27"/>
    </row>
    <row r="62" spans="1:16" ht="24" customHeight="1">
      <c r="A62" s="30">
        <v>45793</v>
      </c>
      <c r="B62" s="27" t="s">
        <v>220</v>
      </c>
      <c r="C62" s="27" t="s">
        <v>171</v>
      </c>
      <c r="D62" s="27" t="s">
        <v>3060</v>
      </c>
      <c r="E62" s="10">
        <v>60</v>
      </c>
      <c r="F62" s="36" t="s">
        <v>263</v>
      </c>
      <c r="G62" s="27" t="s">
        <v>295</v>
      </c>
      <c r="H62" s="27" t="s">
        <v>460</v>
      </c>
      <c r="I62" s="27"/>
      <c r="J62" s="27"/>
      <c r="K62" s="27" t="s">
        <v>2615</v>
      </c>
      <c r="L62" s="27"/>
      <c r="M62" s="27"/>
      <c r="N62" s="1" t="s">
        <v>264</v>
      </c>
      <c r="O62" s="27" t="s">
        <v>298</v>
      </c>
      <c r="P62" s="27"/>
    </row>
    <row r="63" spans="1:16" ht="24" customHeight="1">
      <c r="A63" s="30">
        <v>45793</v>
      </c>
      <c r="B63" s="27" t="s">
        <v>220</v>
      </c>
      <c r="C63" s="27" t="s">
        <v>239</v>
      </c>
      <c r="D63" s="27" t="s">
        <v>3057</v>
      </c>
      <c r="E63" s="10"/>
      <c r="F63" s="36" t="s">
        <v>263</v>
      </c>
      <c r="G63" s="27" t="s">
        <v>269</v>
      </c>
      <c r="H63" s="27" t="s">
        <v>270</v>
      </c>
      <c r="I63" s="27"/>
      <c r="J63" s="27"/>
      <c r="K63" s="27"/>
      <c r="L63" s="27"/>
      <c r="M63" s="27"/>
      <c r="N63" s="1" t="s">
        <v>264</v>
      </c>
      <c r="O63" s="27" t="s">
        <v>3058</v>
      </c>
      <c r="P63" s="27"/>
    </row>
    <row r="64" spans="1:16" ht="24" customHeight="1">
      <c r="A64" s="30">
        <v>45794</v>
      </c>
      <c r="B64" s="27" t="s">
        <v>266</v>
      </c>
      <c r="C64" s="27"/>
      <c r="D64" s="27"/>
      <c r="E64" s="10"/>
      <c r="F64" s="36" t="s">
        <v>263</v>
      </c>
      <c r="G64" s="27"/>
      <c r="H64" s="27"/>
      <c r="I64" s="27"/>
      <c r="J64" s="27"/>
      <c r="K64" s="27"/>
      <c r="L64" s="27"/>
      <c r="M64" s="27"/>
      <c r="N64" s="1" t="s">
        <v>264</v>
      </c>
      <c r="O64" s="27"/>
      <c r="P64" s="27"/>
    </row>
    <row r="65" spans="1:16" ht="24" customHeight="1">
      <c r="A65" s="30">
        <v>45795</v>
      </c>
      <c r="B65" s="27" t="s">
        <v>267</v>
      </c>
      <c r="C65" s="27"/>
      <c r="D65" s="27"/>
      <c r="E65" s="10"/>
      <c r="F65" s="36" t="s">
        <v>263</v>
      </c>
      <c r="G65" s="27"/>
      <c r="H65" s="27"/>
      <c r="I65" s="27"/>
      <c r="J65" s="27"/>
      <c r="K65" s="27"/>
      <c r="L65" s="27"/>
      <c r="M65" s="27"/>
      <c r="N65" s="1" t="s">
        <v>264</v>
      </c>
      <c r="O65" s="27"/>
      <c r="P65" s="27"/>
    </row>
    <row r="66" spans="1:16" ht="24" customHeight="1">
      <c r="A66" s="30">
        <v>45796</v>
      </c>
      <c r="B66" s="27" t="s">
        <v>224</v>
      </c>
      <c r="C66" s="27" t="s">
        <v>2844</v>
      </c>
      <c r="D66" s="27" t="s">
        <v>3061</v>
      </c>
      <c r="E66" s="10" t="s">
        <v>2506</v>
      </c>
      <c r="F66" s="38" t="s">
        <v>294</v>
      </c>
      <c r="G66" s="27" t="s">
        <v>269</v>
      </c>
      <c r="H66" s="27" t="s">
        <v>316</v>
      </c>
      <c r="I66" s="27"/>
      <c r="J66" s="27"/>
      <c r="K66" s="27"/>
      <c r="L66" s="27"/>
      <c r="M66" s="27"/>
      <c r="N66" s="1" t="s">
        <v>264</v>
      </c>
      <c r="O66" s="27" t="s">
        <v>3062</v>
      </c>
      <c r="P66" s="27"/>
    </row>
    <row r="67" spans="1:16" ht="24" customHeight="1">
      <c r="A67" s="30">
        <v>45796</v>
      </c>
      <c r="B67" s="27" t="s">
        <v>224</v>
      </c>
      <c r="C67" s="27" t="s">
        <v>326</v>
      </c>
      <c r="D67" s="27" t="s">
        <v>2809</v>
      </c>
      <c r="E67" s="10"/>
      <c r="F67" s="36" t="s">
        <v>263</v>
      </c>
      <c r="G67" s="27" t="s">
        <v>269</v>
      </c>
      <c r="H67" s="27" t="s">
        <v>270</v>
      </c>
      <c r="I67" s="27"/>
      <c r="J67" s="27"/>
      <c r="K67" s="27" t="s">
        <v>2584</v>
      </c>
      <c r="L67" s="27"/>
      <c r="M67" s="30">
        <v>45693</v>
      </c>
      <c r="N67" s="1" t="s">
        <v>264</v>
      </c>
      <c r="O67" s="27"/>
      <c r="P67" s="27"/>
    </row>
    <row r="68" spans="1:16" ht="24" customHeight="1">
      <c r="A68" s="30">
        <v>45796</v>
      </c>
      <c r="B68" s="27" t="s">
        <v>224</v>
      </c>
      <c r="C68" s="27" t="s">
        <v>2715</v>
      </c>
      <c r="D68" s="27" t="s">
        <v>3063</v>
      </c>
      <c r="E68" s="10"/>
      <c r="F68" s="36" t="s">
        <v>263</v>
      </c>
      <c r="G68" s="27" t="s">
        <v>269</v>
      </c>
      <c r="H68" s="27" t="s">
        <v>270</v>
      </c>
      <c r="I68" s="27"/>
      <c r="J68" s="27"/>
      <c r="K68" s="27" t="s">
        <v>688</v>
      </c>
      <c r="L68" s="27"/>
      <c r="M68" s="30" t="s">
        <v>3064</v>
      </c>
      <c r="N68" s="1" t="s">
        <v>264</v>
      </c>
      <c r="O68" s="27" t="s">
        <v>3065</v>
      </c>
      <c r="P68" s="27"/>
    </row>
    <row r="69" spans="1:16" ht="24" customHeight="1">
      <c r="A69" s="30">
        <v>45796</v>
      </c>
      <c r="B69" s="27" t="s">
        <v>224</v>
      </c>
      <c r="C69" s="27" t="s">
        <v>2765</v>
      </c>
      <c r="D69" s="27" t="s">
        <v>3066</v>
      </c>
      <c r="E69" s="10"/>
      <c r="F69" s="36" t="s">
        <v>263</v>
      </c>
      <c r="G69" s="27" t="s">
        <v>269</v>
      </c>
      <c r="H69" s="27" t="s">
        <v>270</v>
      </c>
      <c r="I69" s="27"/>
      <c r="J69" s="27"/>
      <c r="K69" s="27" t="s">
        <v>688</v>
      </c>
      <c r="L69" s="27"/>
      <c r="M69" s="30" t="s">
        <v>3064</v>
      </c>
      <c r="N69" s="1" t="s">
        <v>264</v>
      </c>
      <c r="O69" s="27" t="s">
        <v>3065</v>
      </c>
      <c r="P69" s="27"/>
    </row>
    <row r="70" spans="1:16" ht="24" customHeight="1">
      <c r="A70" s="30">
        <v>45796</v>
      </c>
      <c r="B70" s="27" t="s">
        <v>224</v>
      </c>
      <c r="C70" s="27" t="s">
        <v>3034</v>
      </c>
      <c r="D70" s="27" t="s">
        <v>3067</v>
      </c>
      <c r="E70" s="10"/>
      <c r="F70" s="36" t="s">
        <v>263</v>
      </c>
      <c r="G70" s="27" t="s">
        <v>269</v>
      </c>
      <c r="H70" s="27" t="s">
        <v>270</v>
      </c>
      <c r="I70" s="27"/>
      <c r="J70" s="27"/>
      <c r="K70" s="27" t="s">
        <v>688</v>
      </c>
      <c r="L70" s="27"/>
      <c r="M70" s="30" t="s">
        <v>3064</v>
      </c>
      <c r="N70" s="1" t="s">
        <v>264</v>
      </c>
      <c r="O70" s="27" t="s">
        <v>3065</v>
      </c>
      <c r="P70" s="27"/>
    </row>
    <row r="71" spans="1:16" ht="24" customHeight="1">
      <c r="A71" s="30">
        <v>45796</v>
      </c>
      <c r="B71" s="27" t="s">
        <v>224</v>
      </c>
      <c r="C71" s="27" t="s">
        <v>2686</v>
      </c>
      <c r="D71" s="27" t="s">
        <v>3068</v>
      </c>
      <c r="E71" s="10"/>
      <c r="F71" s="36" t="s">
        <v>263</v>
      </c>
      <c r="G71" s="27" t="s">
        <v>269</v>
      </c>
      <c r="H71" s="27" t="s">
        <v>270</v>
      </c>
      <c r="I71" s="27"/>
      <c r="J71" s="27"/>
      <c r="K71" s="27" t="s">
        <v>688</v>
      </c>
      <c r="L71" s="27"/>
      <c r="M71" s="30" t="s">
        <v>3064</v>
      </c>
      <c r="N71" s="1" t="s">
        <v>264</v>
      </c>
      <c r="O71" s="27" t="s">
        <v>3065</v>
      </c>
      <c r="P71" s="27"/>
    </row>
    <row r="72" spans="1:16" ht="24" customHeight="1">
      <c r="A72" s="30">
        <v>45796</v>
      </c>
      <c r="B72" s="27" t="s">
        <v>224</v>
      </c>
      <c r="C72" s="27" t="s">
        <v>2740</v>
      </c>
      <c r="D72" s="27" t="s">
        <v>3069</v>
      </c>
      <c r="E72" s="10"/>
      <c r="F72" s="36" t="s">
        <v>263</v>
      </c>
      <c r="G72" s="27" t="s">
        <v>269</v>
      </c>
      <c r="H72" s="27" t="s">
        <v>270</v>
      </c>
      <c r="I72" s="27"/>
      <c r="J72" s="27"/>
      <c r="K72" s="27" t="s">
        <v>688</v>
      </c>
      <c r="L72" s="27"/>
      <c r="M72" s="30" t="s">
        <v>3064</v>
      </c>
      <c r="N72" s="1" t="s">
        <v>264</v>
      </c>
      <c r="O72" s="27" t="s">
        <v>3065</v>
      </c>
      <c r="P72" s="27"/>
    </row>
    <row r="73" spans="1:16" ht="24" customHeight="1">
      <c r="A73" s="30">
        <v>45796</v>
      </c>
      <c r="B73" s="27" t="s">
        <v>224</v>
      </c>
      <c r="C73" s="27" t="s">
        <v>2749</v>
      </c>
      <c r="D73" s="27" t="s">
        <v>3070</v>
      </c>
      <c r="E73" s="10"/>
      <c r="F73" s="36" t="s">
        <v>263</v>
      </c>
      <c r="G73" s="27" t="s">
        <v>269</v>
      </c>
      <c r="H73" s="27" t="s">
        <v>270</v>
      </c>
      <c r="I73" s="27"/>
      <c r="J73" s="27"/>
      <c r="K73" s="27" t="s">
        <v>688</v>
      </c>
      <c r="L73" s="27"/>
      <c r="M73" s="30" t="s">
        <v>3064</v>
      </c>
      <c r="N73" s="1" t="s">
        <v>264</v>
      </c>
      <c r="O73" s="27" t="s">
        <v>3065</v>
      </c>
      <c r="P73" s="27"/>
    </row>
    <row r="74" spans="1:16" ht="24" customHeight="1">
      <c r="A74" s="30">
        <v>45796</v>
      </c>
      <c r="B74" s="27" t="s">
        <v>224</v>
      </c>
      <c r="C74" s="27" t="s">
        <v>2771</v>
      </c>
      <c r="D74" s="27" t="s">
        <v>3071</v>
      </c>
      <c r="E74" s="10"/>
      <c r="F74" s="36" t="s">
        <v>263</v>
      </c>
      <c r="G74" s="27" t="s">
        <v>269</v>
      </c>
      <c r="H74" s="27" t="s">
        <v>270</v>
      </c>
      <c r="I74" s="27"/>
      <c r="J74" s="27"/>
      <c r="K74" s="27" t="s">
        <v>688</v>
      </c>
      <c r="L74" s="27"/>
      <c r="M74" s="30" t="s">
        <v>3064</v>
      </c>
      <c r="N74" s="1" t="s">
        <v>264</v>
      </c>
      <c r="O74" s="27" t="s">
        <v>3065</v>
      </c>
      <c r="P74" s="27"/>
    </row>
    <row r="75" spans="1:16" ht="24" customHeight="1">
      <c r="A75" s="30">
        <v>45796</v>
      </c>
      <c r="B75" s="27" t="s">
        <v>224</v>
      </c>
      <c r="C75" s="27" t="s">
        <v>2716</v>
      </c>
      <c r="D75" s="27" t="s">
        <v>3072</v>
      </c>
      <c r="E75" s="10"/>
      <c r="F75" s="36" t="s">
        <v>263</v>
      </c>
      <c r="G75" s="27" t="s">
        <v>269</v>
      </c>
      <c r="H75" s="27" t="s">
        <v>270</v>
      </c>
      <c r="I75" s="27"/>
      <c r="J75" s="27"/>
      <c r="K75" s="27" t="s">
        <v>688</v>
      </c>
      <c r="L75" s="27"/>
      <c r="M75" s="30" t="s">
        <v>3064</v>
      </c>
      <c r="N75" s="1" t="s">
        <v>264</v>
      </c>
      <c r="O75" s="27" t="s">
        <v>3065</v>
      </c>
      <c r="P75" s="27"/>
    </row>
    <row r="76" spans="1:16" ht="24" customHeight="1">
      <c r="A76" s="30">
        <v>45797</v>
      </c>
      <c r="B76" s="27" t="s">
        <v>227</v>
      </c>
      <c r="C76" s="27" t="s">
        <v>326</v>
      </c>
      <c r="D76" s="27" t="s">
        <v>2741</v>
      </c>
      <c r="E76" s="10">
        <v>35</v>
      </c>
      <c r="F76" s="36" t="s">
        <v>263</v>
      </c>
      <c r="G76" s="27" t="s">
        <v>281</v>
      </c>
      <c r="H76" s="27" t="s">
        <v>330</v>
      </c>
      <c r="I76" s="27"/>
      <c r="J76" s="27"/>
      <c r="K76" s="27" t="s">
        <v>583</v>
      </c>
      <c r="L76" s="27"/>
      <c r="M76" s="27"/>
      <c r="N76" s="1" t="s">
        <v>264</v>
      </c>
      <c r="O76" s="27" t="s">
        <v>3073</v>
      </c>
      <c r="P76" s="27"/>
    </row>
    <row r="77" spans="1:16" ht="24" customHeight="1">
      <c r="A77" s="30">
        <v>45797</v>
      </c>
      <c r="B77" s="27" t="s">
        <v>227</v>
      </c>
      <c r="C77" s="27" t="s">
        <v>171</v>
      </c>
      <c r="D77" s="27" t="s">
        <v>3074</v>
      </c>
      <c r="E77" s="10">
        <v>45</v>
      </c>
      <c r="F77" s="36" t="s">
        <v>263</v>
      </c>
      <c r="G77" s="27" t="s">
        <v>295</v>
      </c>
      <c r="H77" s="27" t="s">
        <v>290</v>
      </c>
      <c r="I77" s="27"/>
      <c r="J77" s="27"/>
      <c r="K77" s="27" t="s">
        <v>2615</v>
      </c>
      <c r="L77" s="27"/>
      <c r="M77" s="27"/>
      <c r="N77" s="3" t="s">
        <v>312</v>
      </c>
      <c r="O77" s="27" t="s">
        <v>3075</v>
      </c>
      <c r="P77" s="27" t="s">
        <v>3076</v>
      </c>
    </row>
    <row r="78" spans="1:16" ht="24" customHeight="1">
      <c r="A78" s="30">
        <v>45798</v>
      </c>
      <c r="B78" s="27" t="s">
        <v>201</v>
      </c>
      <c r="C78" s="27" t="s">
        <v>2715</v>
      </c>
      <c r="D78" s="27" t="s">
        <v>3077</v>
      </c>
      <c r="E78" s="10">
        <v>12</v>
      </c>
      <c r="F78" s="36" t="s">
        <v>263</v>
      </c>
      <c r="G78" s="27" t="s">
        <v>429</v>
      </c>
      <c r="H78" s="27" t="s">
        <v>354</v>
      </c>
      <c r="I78" s="27"/>
      <c r="J78" s="27"/>
      <c r="K78" s="27" t="s">
        <v>1435</v>
      </c>
      <c r="L78" s="27"/>
      <c r="M78" s="27"/>
      <c r="N78" s="1" t="s">
        <v>264</v>
      </c>
      <c r="O78" s="27" t="s">
        <v>3078</v>
      </c>
      <c r="P78" s="27"/>
    </row>
    <row r="79" spans="1:16" ht="24" customHeight="1">
      <c r="A79" s="30">
        <v>45798</v>
      </c>
      <c r="B79" s="27" t="s">
        <v>201</v>
      </c>
      <c r="C79" s="27" t="s">
        <v>239</v>
      </c>
      <c r="D79" s="27" t="s">
        <v>3079</v>
      </c>
      <c r="E79" s="10">
        <v>150</v>
      </c>
      <c r="F79" s="38" t="s">
        <v>294</v>
      </c>
      <c r="G79" s="27" t="s">
        <v>295</v>
      </c>
      <c r="H79" s="27" t="s">
        <v>290</v>
      </c>
      <c r="I79" s="27"/>
      <c r="J79" s="27"/>
      <c r="K79" s="27" t="s">
        <v>651</v>
      </c>
      <c r="L79" s="27"/>
      <c r="M79" s="27"/>
      <c r="N79" s="1" t="s">
        <v>264</v>
      </c>
      <c r="O79" s="27" t="s">
        <v>298</v>
      </c>
      <c r="P79" s="27"/>
    </row>
    <row r="80" spans="1:16" ht="24" customHeight="1">
      <c r="A80" s="30">
        <v>45798</v>
      </c>
      <c r="B80" s="27" t="s">
        <v>201</v>
      </c>
      <c r="C80" s="27" t="s">
        <v>171</v>
      </c>
      <c r="D80" s="27" t="s">
        <v>3080</v>
      </c>
      <c r="E80" s="10">
        <v>45</v>
      </c>
      <c r="F80" s="36" t="s">
        <v>263</v>
      </c>
      <c r="G80" s="27" t="s">
        <v>295</v>
      </c>
      <c r="H80" s="27" t="s">
        <v>290</v>
      </c>
      <c r="I80" s="27"/>
      <c r="J80" s="27"/>
      <c r="K80" s="27" t="s">
        <v>2615</v>
      </c>
      <c r="L80" s="27"/>
      <c r="M80" s="27"/>
      <c r="N80" s="3" t="s">
        <v>312</v>
      </c>
      <c r="O80" s="27" t="s">
        <v>3081</v>
      </c>
      <c r="P80" s="27" t="s">
        <v>407</v>
      </c>
    </row>
    <row r="81" spans="1:16" ht="24" customHeight="1">
      <c r="A81" s="30">
        <v>45798</v>
      </c>
      <c r="B81" s="27" t="s">
        <v>201</v>
      </c>
      <c r="C81" s="27" t="s">
        <v>3006</v>
      </c>
      <c r="D81" s="27" t="s">
        <v>3082</v>
      </c>
      <c r="E81" s="10" t="s">
        <v>2202</v>
      </c>
      <c r="F81" s="38" t="s">
        <v>294</v>
      </c>
      <c r="G81" s="27" t="s">
        <v>315</v>
      </c>
      <c r="H81" s="27" t="s">
        <v>506</v>
      </c>
      <c r="I81" s="27" t="s">
        <v>531</v>
      </c>
      <c r="J81" s="27" t="s">
        <v>531</v>
      </c>
      <c r="K81" s="27"/>
      <c r="L81" s="27"/>
      <c r="M81" s="30" t="s">
        <v>2603</v>
      </c>
      <c r="N81" s="3" t="s">
        <v>312</v>
      </c>
      <c r="O81" s="27"/>
      <c r="P81" s="27"/>
    </row>
    <row r="82" spans="1:16" ht="24" customHeight="1">
      <c r="A82" s="30">
        <v>45799</v>
      </c>
      <c r="B82" s="27" t="s">
        <v>216</v>
      </c>
      <c r="C82" s="27" t="s">
        <v>171</v>
      </c>
      <c r="D82" s="27" t="s">
        <v>2809</v>
      </c>
      <c r="E82" s="10"/>
      <c r="F82" s="36" t="s">
        <v>263</v>
      </c>
      <c r="G82" s="27" t="s">
        <v>269</v>
      </c>
      <c r="H82" s="27" t="s">
        <v>270</v>
      </c>
      <c r="I82" s="27"/>
      <c r="J82" s="27"/>
      <c r="K82" s="27" t="s">
        <v>2584</v>
      </c>
      <c r="L82" s="27"/>
      <c r="M82" s="27"/>
      <c r="N82" s="1" t="s">
        <v>264</v>
      </c>
      <c r="O82" s="27" t="s">
        <v>3083</v>
      </c>
      <c r="P82" s="27"/>
    </row>
    <row r="83" spans="1:16" ht="24" customHeight="1">
      <c r="A83" s="30">
        <v>45800</v>
      </c>
      <c r="B83" s="27" t="s">
        <v>220</v>
      </c>
      <c r="C83" s="27"/>
      <c r="D83" s="27"/>
      <c r="E83" s="10"/>
      <c r="F83" s="36" t="s">
        <v>263</v>
      </c>
      <c r="G83" s="27"/>
      <c r="H83" s="27"/>
      <c r="I83" s="27"/>
      <c r="J83" s="27"/>
      <c r="K83" s="27"/>
      <c r="L83" s="27"/>
      <c r="M83" s="27"/>
      <c r="N83" s="1" t="s">
        <v>264</v>
      </c>
      <c r="O83" s="27"/>
      <c r="P83" s="27"/>
    </row>
    <row r="84" spans="1:16" ht="24" customHeight="1">
      <c r="A84" s="30">
        <v>45801</v>
      </c>
      <c r="B84" s="27" t="s">
        <v>266</v>
      </c>
      <c r="C84" s="27"/>
      <c r="D84" s="27"/>
      <c r="E84" s="10"/>
      <c r="F84" s="36" t="s">
        <v>263</v>
      </c>
      <c r="G84" s="27" t="s">
        <v>3084</v>
      </c>
      <c r="H84" s="27"/>
      <c r="I84" s="27"/>
      <c r="J84" s="27"/>
      <c r="K84" s="27"/>
      <c r="L84" s="27"/>
      <c r="M84" s="27"/>
      <c r="N84" s="1" t="s">
        <v>264</v>
      </c>
      <c r="O84" s="27"/>
      <c r="P84" s="27"/>
    </row>
    <row r="85" spans="1:16" ht="24" customHeight="1">
      <c r="A85" s="30">
        <v>45802</v>
      </c>
      <c r="B85" s="27" t="s">
        <v>267</v>
      </c>
      <c r="C85" s="27"/>
      <c r="D85" s="27"/>
      <c r="E85" s="10"/>
      <c r="F85" s="36" t="s">
        <v>263</v>
      </c>
      <c r="G85" s="27"/>
      <c r="H85" s="27"/>
      <c r="I85" s="27"/>
      <c r="J85" s="27"/>
      <c r="K85" s="27"/>
      <c r="L85" s="27"/>
      <c r="M85" s="27"/>
      <c r="N85" s="1" t="s">
        <v>264</v>
      </c>
      <c r="O85" s="27"/>
      <c r="P85" s="27"/>
    </row>
    <row r="86" spans="1:16" ht="24" customHeight="1">
      <c r="A86" s="30">
        <v>45803</v>
      </c>
      <c r="B86" s="27" t="s">
        <v>224</v>
      </c>
      <c r="C86" s="27" t="s">
        <v>171</v>
      </c>
      <c r="D86" s="27" t="s">
        <v>2809</v>
      </c>
      <c r="E86" s="10"/>
      <c r="F86" s="36" t="s">
        <v>263</v>
      </c>
      <c r="G86" s="27" t="s">
        <v>269</v>
      </c>
      <c r="H86" s="27" t="s">
        <v>270</v>
      </c>
      <c r="I86" s="27"/>
      <c r="J86" s="27"/>
      <c r="K86" s="27" t="s">
        <v>2584</v>
      </c>
      <c r="L86" s="27"/>
      <c r="M86" s="30">
        <v>45693</v>
      </c>
      <c r="N86" s="1" t="s">
        <v>264</v>
      </c>
      <c r="O86" s="27"/>
      <c r="P86" s="27"/>
    </row>
    <row r="87" spans="1:16" ht="24" customHeight="1">
      <c r="A87" s="30">
        <v>45804</v>
      </c>
      <c r="B87" s="27" t="s">
        <v>227</v>
      </c>
      <c r="C87" s="27" t="s">
        <v>171</v>
      </c>
      <c r="D87" s="27" t="s">
        <v>3085</v>
      </c>
      <c r="E87" s="10">
        <v>60</v>
      </c>
      <c r="F87" s="36" t="s">
        <v>263</v>
      </c>
      <c r="G87" s="27" t="s">
        <v>269</v>
      </c>
      <c r="H87" s="27" t="s">
        <v>331</v>
      </c>
      <c r="I87" s="27"/>
      <c r="J87" s="27"/>
      <c r="K87" s="27" t="s">
        <v>2631</v>
      </c>
      <c r="L87" s="27"/>
      <c r="M87" s="27"/>
      <c r="N87" s="1" t="s">
        <v>264</v>
      </c>
      <c r="O87" s="27" t="s">
        <v>3086</v>
      </c>
      <c r="P87" s="27"/>
    </row>
    <row r="88" spans="1:16" ht="24" customHeight="1">
      <c r="A88" s="30">
        <v>45804</v>
      </c>
      <c r="B88" s="27" t="s">
        <v>227</v>
      </c>
      <c r="C88" s="27" t="s">
        <v>171</v>
      </c>
      <c r="D88" s="27" t="s">
        <v>3087</v>
      </c>
      <c r="E88" s="10">
        <v>47</v>
      </c>
      <c r="F88" s="36" t="s">
        <v>263</v>
      </c>
      <c r="G88" s="27" t="s">
        <v>309</v>
      </c>
      <c r="H88" s="27" t="s">
        <v>270</v>
      </c>
      <c r="I88" s="27"/>
      <c r="J88" s="27"/>
      <c r="K88" s="27" t="s">
        <v>2631</v>
      </c>
      <c r="L88" s="27"/>
      <c r="M88" s="27"/>
      <c r="N88" s="1" t="s">
        <v>264</v>
      </c>
      <c r="O88" s="27" t="s">
        <v>321</v>
      </c>
      <c r="P88" s="27"/>
    </row>
    <row r="89" spans="1:16" ht="24" customHeight="1">
      <c r="A89" s="30">
        <v>45805</v>
      </c>
      <c r="B89" s="27" t="s">
        <v>201</v>
      </c>
      <c r="C89" s="27" t="s">
        <v>171</v>
      </c>
      <c r="D89" s="27" t="s">
        <v>3088</v>
      </c>
      <c r="E89" s="10"/>
      <c r="F89" s="36" t="s">
        <v>263</v>
      </c>
      <c r="G89" s="27" t="s">
        <v>506</v>
      </c>
      <c r="H89" s="27" t="s">
        <v>429</v>
      </c>
      <c r="I89" s="27"/>
      <c r="J89" s="27"/>
      <c r="K89" s="27" t="s">
        <v>3089</v>
      </c>
      <c r="L89" s="27"/>
      <c r="M89" s="30">
        <v>45796</v>
      </c>
      <c r="N89" s="1" t="s">
        <v>264</v>
      </c>
      <c r="O89" s="27" t="s">
        <v>321</v>
      </c>
      <c r="P89" s="27"/>
    </row>
    <row r="90" spans="1:16" ht="24" customHeight="1">
      <c r="A90" s="30">
        <v>45805</v>
      </c>
      <c r="B90" s="27" t="s">
        <v>201</v>
      </c>
      <c r="C90" s="27" t="s">
        <v>326</v>
      </c>
      <c r="D90" s="27" t="s">
        <v>3090</v>
      </c>
      <c r="E90" s="10">
        <v>30</v>
      </c>
      <c r="F90" s="36" t="s">
        <v>263</v>
      </c>
      <c r="G90" s="27" t="s">
        <v>269</v>
      </c>
      <c r="H90" s="27" t="s">
        <v>270</v>
      </c>
      <c r="I90" s="27"/>
      <c r="J90" s="27"/>
      <c r="K90" s="27" t="s">
        <v>651</v>
      </c>
      <c r="L90" s="27"/>
      <c r="M90" s="30">
        <v>37399</v>
      </c>
      <c r="N90" s="1" t="s">
        <v>264</v>
      </c>
      <c r="O90" s="27"/>
      <c r="P90" s="27"/>
    </row>
    <row r="91" spans="1:16" ht="24" customHeight="1">
      <c r="A91" s="30">
        <v>45805</v>
      </c>
      <c r="B91" s="27" t="s">
        <v>201</v>
      </c>
      <c r="C91" s="27" t="s">
        <v>3006</v>
      </c>
      <c r="D91" s="27" t="s">
        <v>3091</v>
      </c>
      <c r="E91" s="10" t="s">
        <v>2202</v>
      </c>
      <c r="F91" s="38" t="s">
        <v>294</v>
      </c>
      <c r="G91" s="27" t="s">
        <v>309</v>
      </c>
      <c r="H91" s="27" t="s">
        <v>270</v>
      </c>
      <c r="I91" s="27"/>
      <c r="J91" s="27"/>
      <c r="K91" s="27" t="s">
        <v>2615</v>
      </c>
      <c r="L91" s="27"/>
      <c r="M91" s="30">
        <v>45708</v>
      </c>
      <c r="N91" s="1" t="s">
        <v>264</v>
      </c>
      <c r="O91" s="27" t="s">
        <v>3092</v>
      </c>
      <c r="P91" s="27"/>
    </row>
    <row r="92" spans="1:16" ht="24" customHeight="1">
      <c r="A92" s="30">
        <v>45806</v>
      </c>
      <c r="B92" s="27" t="s">
        <v>216</v>
      </c>
      <c r="C92" s="27" t="s">
        <v>2740</v>
      </c>
      <c r="D92" s="27" t="s">
        <v>3093</v>
      </c>
      <c r="E92" s="10"/>
      <c r="F92" s="36" t="s">
        <v>263</v>
      </c>
      <c r="G92" s="27" t="s">
        <v>269</v>
      </c>
      <c r="H92" s="27" t="s">
        <v>270</v>
      </c>
      <c r="I92" s="27"/>
      <c r="J92" s="27"/>
      <c r="K92" s="27" t="s">
        <v>379</v>
      </c>
      <c r="L92" s="27"/>
      <c r="M92" s="30">
        <v>45797</v>
      </c>
      <c r="N92" s="1" t="s">
        <v>264</v>
      </c>
      <c r="O92" s="27" t="s">
        <v>3094</v>
      </c>
      <c r="P92" s="27"/>
    </row>
    <row r="93" spans="1:16" ht="24" customHeight="1">
      <c r="A93" s="30">
        <v>45806</v>
      </c>
      <c r="B93" s="27" t="s">
        <v>216</v>
      </c>
      <c r="C93" s="27" t="s">
        <v>2749</v>
      </c>
      <c r="D93" s="27" t="s">
        <v>3095</v>
      </c>
      <c r="E93" s="10"/>
      <c r="F93" s="36" t="s">
        <v>263</v>
      </c>
      <c r="G93" s="27" t="s">
        <v>269</v>
      </c>
      <c r="H93" s="27" t="s">
        <v>270</v>
      </c>
      <c r="I93" s="27"/>
      <c r="J93" s="27"/>
      <c r="K93" s="27" t="s">
        <v>379</v>
      </c>
      <c r="L93" s="27"/>
      <c r="M93" s="30">
        <v>45797</v>
      </c>
      <c r="N93" s="1" t="s">
        <v>264</v>
      </c>
      <c r="O93" s="27" t="s">
        <v>3094</v>
      </c>
      <c r="P93" s="27"/>
    </row>
    <row r="94" spans="1:16" ht="24" customHeight="1">
      <c r="A94" s="30">
        <v>45806</v>
      </c>
      <c r="B94" s="27" t="s">
        <v>216</v>
      </c>
      <c r="C94" s="27" t="s">
        <v>171</v>
      </c>
      <c r="D94" s="27" t="s">
        <v>2809</v>
      </c>
      <c r="E94" s="10"/>
      <c r="F94" s="36" t="s">
        <v>263</v>
      </c>
      <c r="G94" s="27" t="s">
        <v>269</v>
      </c>
      <c r="H94" s="27" t="s">
        <v>270</v>
      </c>
      <c r="I94" s="27"/>
      <c r="J94" s="27"/>
      <c r="K94" s="27" t="s">
        <v>2584</v>
      </c>
      <c r="L94" s="27"/>
      <c r="M94" s="27"/>
      <c r="N94" s="1" t="s">
        <v>264</v>
      </c>
      <c r="O94" s="27"/>
      <c r="P94" s="27"/>
    </row>
    <row r="95" spans="1:16" ht="24" customHeight="1">
      <c r="A95" s="30">
        <v>45807</v>
      </c>
      <c r="B95" s="27" t="s">
        <v>220</v>
      </c>
      <c r="C95" s="27" t="s">
        <v>171</v>
      </c>
      <c r="D95" s="27" t="s">
        <v>3096</v>
      </c>
      <c r="E95" s="10"/>
      <c r="F95" s="36" t="s">
        <v>263</v>
      </c>
      <c r="G95" s="27" t="s">
        <v>359</v>
      </c>
      <c r="H95" s="27" t="s">
        <v>290</v>
      </c>
      <c r="I95" s="27"/>
      <c r="J95" s="27"/>
      <c r="K95" s="27" t="s">
        <v>583</v>
      </c>
      <c r="L95" s="27"/>
      <c r="M95" s="30">
        <v>45709</v>
      </c>
      <c r="N95" s="1" t="s">
        <v>264</v>
      </c>
      <c r="O95" s="27" t="s">
        <v>3097</v>
      </c>
      <c r="P95" s="27"/>
    </row>
    <row r="96" spans="1:16" ht="24" customHeight="1">
      <c r="A96" s="30">
        <v>45808</v>
      </c>
      <c r="B96" s="27" t="s">
        <v>266</v>
      </c>
      <c r="C96" s="27" t="s">
        <v>279</v>
      </c>
      <c r="D96" s="27"/>
      <c r="E96" s="10"/>
      <c r="F96" s="36" t="s">
        <v>263</v>
      </c>
      <c r="G96" s="27"/>
      <c r="H96" s="27"/>
      <c r="I96" s="27"/>
      <c r="J96" s="27"/>
      <c r="K96" s="27" t="s">
        <v>475</v>
      </c>
      <c r="L96" s="27"/>
      <c r="M96" s="27"/>
      <c r="N96" s="1" t="s">
        <v>264</v>
      </c>
      <c r="O96" s="27"/>
      <c r="P96" s="27"/>
    </row>
  </sheetData>
  <mergeCells count="3">
    <mergeCell ref="A1:C1"/>
    <mergeCell ref="D1:K1"/>
    <mergeCell ref="L1:P1"/>
  </mergeCells>
  <dataValidations count="2">
    <dataValidation type="list" allowBlank="1" sqref="M3:M146 N3:N96" xr:uid="{00000000-0002-0000-2100-000000000000}">
      <formula1>"Confirmed (Done),Pending Calendar Booking,Canceled"</formula1>
    </dataValidation>
    <dataValidation type="list" allowBlank="1" sqref="F3:F96" xr:uid="{00000000-0002-0000-2100-000001000000}">
      <formula1>"Big Event,Small Event"</formula1>
    </dataValidation>
  </dataValidations>
  <hyperlinks>
    <hyperlink ref="A1" location="'Dashboard'!A1" display="🏠 ⮌ RETURN TO DASHBOARD" xr:uid="{00000000-0004-0000-2100-000000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95"/>
  <sheetViews>
    <sheetView workbookViewId="0">
      <pane ySplit="2" topLeftCell="A3" activePane="bottomLeft" state="frozen"/>
      <selection pane="bottomLeft"/>
    </sheetView>
  </sheetViews>
  <sheetFormatPr defaultRowHeight="14.45"/>
  <cols>
    <col min="1" max="1" width="15" customWidth="1"/>
    <col min="2" max="2" width="12" customWidth="1"/>
    <col min="3" max="3" width="27" customWidth="1"/>
    <col min="4" max="4" width="48" customWidth="1"/>
    <col min="5" max="5" width="12" customWidth="1"/>
    <col min="6" max="6" width="15" customWidth="1"/>
    <col min="7" max="7" width="19" customWidth="1"/>
    <col min="8" max="8" width="17" customWidth="1"/>
    <col min="9" max="9" width="18" customWidth="1"/>
    <col min="10" max="10" width="22" customWidth="1"/>
    <col min="11" max="11" width="26" customWidth="1"/>
    <col min="12" max="12" width="25" customWidth="1"/>
    <col min="13" max="13" width="16" customWidth="1"/>
    <col min="14" max="14" width="25" customWidth="1"/>
    <col min="15" max="16" width="48" customWidth="1"/>
  </cols>
  <sheetData>
    <row r="1" spans="1:16" ht="27.95" customHeight="1">
      <c r="A1" s="62" t="s">
        <v>2138</v>
      </c>
      <c r="B1" s="134"/>
      <c r="C1" s="135"/>
      <c r="D1" s="63" t="s">
        <v>3098</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45809</v>
      </c>
      <c r="B3" s="27" t="s">
        <v>267</v>
      </c>
      <c r="C3" s="27"/>
      <c r="D3" s="27"/>
      <c r="E3" s="10"/>
      <c r="F3" s="36" t="s">
        <v>263</v>
      </c>
      <c r="G3" s="27"/>
      <c r="H3" s="27"/>
      <c r="I3" s="27"/>
      <c r="J3" s="27"/>
      <c r="K3" s="27"/>
      <c r="L3" s="27"/>
      <c r="M3" s="27"/>
      <c r="N3" s="1" t="s">
        <v>264</v>
      </c>
      <c r="O3" s="27"/>
      <c r="P3" s="27"/>
    </row>
    <row r="4" spans="1:16" ht="24" customHeight="1">
      <c r="A4" s="30">
        <v>45810</v>
      </c>
      <c r="B4" s="27" t="s">
        <v>224</v>
      </c>
      <c r="C4" s="27" t="s">
        <v>3099</v>
      </c>
      <c r="D4" s="27" t="s">
        <v>440</v>
      </c>
      <c r="E4" s="10">
        <v>1</v>
      </c>
      <c r="F4" s="36" t="s">
        <v>263</v>
      </c>
      <c r="G4" s="27" t="s">
        <v>269</v>
      </c>
      <c r="H4" s="27" t="s">
        <v>270</v>
      </c>
      <c r="I4" s="27"/>
      <c r="J4" s="27"/>
      <c r="K4" s="27" t="s">
        <v>3009</v>
      </c>
      <c r="L4" s="27"/>
      <c r="M4" s="30">
        <v>45806</v>
      </c>
      <c r="N4" s="1" t="s">
        <v>264</v>
      </c>
      <c r="O4" s="27" t="s">
        <v>3100</v>
      </c>
      <c r="P4" s="27"/>
    </row>
    <row r="5" spans="1:16" ht="24" customHeight="1">
      <c r="A5" s="30">
        <v>45810</v>
      </c>
      <c r="B5" s="27" t="s">
        <v>224</v>
      </c>
      <c r="C5" s="27" t="s">
        <v>3101</v>
      </c>
      <c r="D5" s="27" t="s">
        <v>440</v>
      </c>
      <c r="E5" s="10">
        <v>1</v>
      </c>
      <c r="F5" s="36" t="s">
        <v>263</v>
      </c>
      <c r="G5" s="27" t="s">
        <v>269</v>
      </c>
      <c r="H5" s="27" t="s">
        <v>270</v>
      </c>
      <c r="I5" s="27"/>
      <c r="J5" s="27"/>
      <c r="K5" s="27" t="s">
        <v>3009</v>
      </c>
      <c r="L5" s="27"/>
      <c r="M5" s="27"/>
      <c r="N5" s="1" t="s">
        <v>264</v>
      </c>
      <c r="O5" s="27" t="s">
        <v>3100</v>
      </c>
      <c r="P5" s="27"/>
    </row>
    <row r="6" spans="1:16" ht="24" customHeight="1">
      <c r="A6" s="30">
        <v>45810</v>
      </c>
      <c r="B6" s="27" t="s">
        <v>224</v>
      </c>
      <c r="C6" s="27" t="s">
        <v>171</v>
      </c>
      <c r="D6" s="27" t="s">
        <v>2809</v>
      </c>
      <c r="E6" s="10" t="s">
        <v>3102</v>
      </c>
      <c r="F6" s="36" t="s">
        <v>263</v>
      </c>
      <c r="G6" s="27" t="s">
        <v>269</v>
      </c>
      <c r="H6" s="27" t="s">
        <v>270</v>
      </c>
      <c r="I6" s="27"/>
      <c r="J6" s="27"/>
      <c r="K6" s="27" t="s">
        <v>2584</v>
      </c>
      <c r="L6" s="27"/>
      <c r="M6" s="30">
        <v>45693</v>
      </c>
      <c r="N6" s="3" t="s">
        <v>312</v>
      </c>
      <c r="O6" s="27" t="s">
        <v>3103</v>
      </c>
      <c r="P6" s="27"/>
    </row>
    <row r="7" spans="1:16" ht="24" customHeight="1">
      <c r="A7" s="30">
        <v>45810</v>
      </c>
      <c r="B7" s="27" t="s">
        <v>224</v>
      </c>
      <c r="C7" s="27" t="s">
        <v>3104</v>
      </c>
      <c r="D7" s="27" t="s">
        <v>3105</v>
      </c>
      <c r="E7" s="10"/>
      <c r="F7" s="36" t="s">
        <v>263</v>
      </c>
      <c r="G7" s="27" t="s">
        <v>359</v>
      </c>
      <c r="H7" s="27" t="s">
        <v>270</v>
      </c>
      <c r="I7" s="27"/>
      <c r="J7" s="27"/>
      <c r="K7" s="27" t="s">
        <v>367</v>
      </c>
      <c r="L7" s="27"/>
      <c r="M7" s="30">
        <v>45810</v>
      </c>
      <c r="N7" s="1" t="s">
        <v>264</v>
      </c>
      <c r="O7" s="27" t="s">
        <v>3106</v>
      </c>
      <c r="P7" s="27"/>
    </row>
    <row r="8" spans="1:16" ht="24" customHeight="1">
      <c r="A8" s="30">
        <v>45811</v>
      </c>
      <c r="B8" s="27" t="s">
        <v>227</v>
      </c>
      <c r="C8" s="27" t="s">
        <v>3099</v>
      </c>
      <c r="D8" s="27" t="s">
        <v>440</v>
      </c>
      <c r="E8" s="10">
        <v>1</v>
      </c>
      <c r="F8" s="36" t="s">
        <v>263</v>
      </c>
      <c r="G8" s="27" t="s">
        <v>269</v>
      </c>
      <c r="H8" s="27" t="s">
        <v>270</v>
      </c>
      <c r="I8" s="27"/>
      <c r="J8" s="27"/>
      <c r="K8" s="27" t="s">
        <v>3009</v>
      </c>
      <c r="L8" s="27"/>
      <c r="M8" s="27"/>
      <c r="N8" s="1" t="s">
        <v>264</v>
      </c>
      <c r="O8" s="27" t="s">
        <v>3100</v>
      </c>
      <c r="P8" s="27"/>
    </row>
    <row r="9" spans="1:16" ht="24" customHeight="1">
      <c r="A9" s="30">
        <v>45811</v>
      </c>
      <c r="B9" s="27" t="s">
        <v>227</v>
      </c>
      <c r="C9" s="27" t="s">
        <v>3107</v>
      </c>
      <c r="D9" s="27" t="s">
        <v>440</v>
      </c>
      <c r="E9" s="10">
        <v>1</v>
      </c>
      <c r="F9" s="36" t="s">
        <v>263</v>
      </c>
      <c r="G9" s="27" t="s">
        <v>269</v>
      </c>
      <c r="H9" s="27" t="s">
        <v>270</v>
      </c>
      <c r="I9" s="27"/>
      <c r="J9" s="27"/>
      <c r="K9" s="27" t="s">
        <v>3009</v>
      </c>
      <c r="L9" s="27"/>
      <c r="M9" s="27"/>
      <c r="N9" s="1" t="s">
        <v>264</v>
      </c>
      <c r="O9" s="27" t="s">
        <v>3100</v>
      </c>
      <c r="P9" s="27"/>
    </row>
    <row r="10" spans="1:16" ht="24" customHeight="1">
      <c r="A10" s="30">
        <v>45811</v>
      </c>
      <c r="B10" s="27" t="s">
        <v>227</v>
      </c>
      <c r="C10" s="27" t="s">
        <v>171</v>
      </c>
      <c r="D10" s="27" t="s">
        <v>3108</v>
      </c>
      <c r="E10" s="10">
        <v>60</v>
      </c>
      <c r="F10" s="36" t="s">
        <v>263</v>
      </c>
      <c r="G10" s="27" t="s">
        <v>274</v>
      </c>
      <c r="H10" s="27" t="s">
        <v>331</v>
      </c>
      <c r="I10" s="27"/>
      <c r="J10" s="27"/>
      <c r="K10" s="27" t="s">
        <v>3109</v>
      </c>
      <c r="L10" s="27"/>
      <c r="M10" s="30">
        <v>45769</v>
      </c>
      <c r="N10" s="1" t="s">
        <v>264</v>
      </c>
      <c r="O10" s="27" t="s">
        <v>321</v>
      </c>
      <c r="P10" s="27"/>
    </row>
    <row r="11" spans="1:16" ht="24" customHeight="1">
      <c r="A11" s="30">
        <v>45811</v>
      </c>
      <c r="B11" s="27" t="s">
        <v>227</v>
      </c>
      <c r="C11" s="27" t="s">
        <v>171</v>
      </c>
      <c r="D11" s="27" t="s">
        <v>3110</v>
      </c>
      <c r="E11" s="10">
        <v>40</v>
      </c>
      <c r="F11" s="36" t="s">
        <v>263</v>
      </c>
      <c r="G11" s="27" t="s">
        <v>289</v>
      </c>
      <c r="H11" s="27" t="s">
        <v>359</v>
      </c>
      <c r="I11" s="27"/>
      <c r="J11" s="27"/>
      <c r="K11" s="27" t="s">
        <v>351</v>
      </c>
      <c r="L11" s="27"/>
      <c r="M11" s="27"/>
      <c r="N11" s="3" t="s">
        <v>312</v>
      </c>
      <c r="O11" s="27" t="s">
        <v>3111</v>
      </c>
      <c r="P11" s="27" t="s">
        <v>3112</v>
      </c>
    </row>
    <row r="12" spans="1:16" ht="24" customHeight="1">
      <c r="A12" s="30">
        <v>45812</v>
      </c>
      <c r="B12" s="27" t="s">
        <v>201</v>
      </c>
      <c r="C12" s="27" t="s">
        <v>3099</v>
      </c>
      <c r="D12" s="27" t="s">
        <v>440</v>
      </c>
      <c r="E12" s="10">
        <v>1</v>
      </c>
      <c r="F12" s="36" t="s">
        <v>263</v>
      </c>
      <c r="G12" s="27" t="s">
        <v>269</v>
      </c>
      <c r="H12" s="27" t="s">
        <v>270</v>
      </c>
      <c r="I12" s="27"/>
      <c r="J12" s="27"/>
      <c r="K12" s="27" t="s">
        <v>3009</v>
      </c>
      <c r="L12" s="27"/>
      <c r="M12" s="30">
        <v>45806</v>
      </c>
      <c r="N12" s="1" t="s">
        <v>264</v>
      </c>
      <c r="O12" s="27" t="s">
        <v>3100</v>
      </c>
      <c r="P12" s="27"/>
    </row>
    <row r="13" spans="1:16" ht="24" customHeight="1">
      <c r="A13" s="30">
        <v>45812</v>
      </c>
      <c r="B13" s="27" t="s">
        <v>201</v>
      </c>
      <c r="C13" s="27" t="s">
        <v>3107</v>
      </c>
      <c r="D13" s="27" t="s">
        <v>440</v>
      </c>
      <c r="E13" s="10">
        <v>1</v>
      </c>
      <c r="F13" s="36" t="s">
        <v>263</v>
      </c>
      <c r="G13" s="27" t="s">
        <v>269</v>
      </c>
      <c r="H13" s="27" t="s">
        <v>270</v>
      </c>
      <c r="I13" s="27"/>
      <c r="J13" s="27"/>
      <c r="K13" s="27" t="s">
        <v>3009</v>
      </c>
      <c r="L13" s="27"/>
      <c r="M13" s="27"/>
      <c r="N13" s="1" t="s">
        <v>264</v>
      </c>
      <c r="O13" s="27" t="s">
        <v>3100</v>
      </c>
      <c r="P13" s="27"/>
    </row>
    <row r="14" spans="1:16" ht="24" customHeight="1">
      <c r="A14" s="30">
        <v>45812</v>
      </c>
      <c r="B14" s="27" t="s">
        <v>201</v>
      </c>
      <c r="C14" s="27" t="s">
        <v>171</v>
      </c>
      <c r="D14" s="27" t="s">
        <v>3113</v>
      </c>
      <c r="E14" s="10">
        <v>70</v>
      </c>
      <c r="F14" s="36" t="s">
        <v>263</v>
      </c>
      <c r="G14" s="27" t="s">
        <v>330</v>
      </c>
      <c r="H14" s="27" t="s">
        <v>354</v>
      </c>
      <c r="I14" s="27"/>
      <c r="J14" s="27"/>
      <c r="K14" s="27" t="s">
        <v>367</v>
      </c>
      <c r="L14" s="27"/>
      <c r="M14" s="30" t="s">
        <v>3114</v>
      </c>
      <c r="N14" s="1" t="s">
        <v>264</v>
      </c>
      <c r="O14" s="27" t="s">
        <v>321</v>
      </c>
      <c r="P14" s="27"/>
    </row>
    <row r="15" spans="1:16" ht="24" customHeight="1">
      <c r="A15" s="30">
        <v>45812</v>
      </c>
      <c r="B15" s="27" t="s">
        <v>201</v>
      </c>
      <c r="C15" s="27" t="s">
        <v>171</v>
      </c>
      <c r="D15" s="27" t="s">
        <v>3115</v>
      </c>
      <c r="E15" s="10">
        <v>30</v>
      </c>
      <c r="F15" s="36" t="s">
        <v>263</v>
      </c>
      <c r="G15" s="27" t="s">
        <v>289</v>
      </c>
      <c r="H15" s="27" t="s">
        <v>359</v>
      </c>
      <c r="I15" s="27"/>
      <c r="J15" s="27"/>
      <c r="K15" s="27" t="s">
        <v>367</v>
      </c>
      <c r="L15" s="27"/>
      <c r="M15" s="30">
        <v>45810</v>
      </c>
      <c r="N15" s="1" t="s">
        <v>264</v>
      </c>
      <c r="O15" s="27" t="s">
        <v>321</v>
      </c>
      <c r="P15" s="27"/>
    </row>
    <row r="16" spans="1:16" ht="24" customHeight="1">
      <c r="A16" s="30">
        <v>45812</v>
      </c>
      <c r="B16" s="27" t="s">
        <v>201</v>
      </c>
      <c r="C16" s="27" t="s">
        <v>171</v>
      </c>
      <c r="D16" s="27" t="s">
        <v>2944</v>
      </c>
      <c r="E16" s="10">
        <v>45</v>
      </c>
      <c r="F16" s="36" t="s">
        <v>263</v>
      </c>
      <c r="G16" s="27" t="s">
        <v>295</v>
      </c>
      <c r="H16" s="27" t="s">
        <v>270</v>
      </c>
      <c r="I16" s="27" t="s">
        <v>382</v>
      </c>
      <c r="J16" s="27"/>
      <c r="K16" s="27" t="s">
        <v>688</v>
      </c>
      <c r="L16" s="27"/>
      <c r="M16" s="30">
        <v>45800</v>
      </c>
      <c r="N16" s="3" t="s">
        <v>312</v>
      </c>
      <c r="O16" s="27" t="s">
        <v>3116</v>
      </c>
      <c r="P16" s="27" t="s">
        <v>3117</v>
      </c>
    </row>
    <row r="17" spans="1:16" ht="24" customHeight="1">
      <c r="A17" s="30">
        <v>45812</v>
      </c>
      <c r="B17" s="27" t="s">
        <v>201</v>
      </c>
      <c r="C17" s="27" t="s">
        <v>171</v>
      </c>
      <c r="D17" s="27" t="s">
        <v>3118</v>
      </c>
      <c r="E17" s="10"/>
      <c r="F17" s="36" t="s">
        <v>263</v>
      </c>
      <c r="G17" s="27" t="s">
        <v>289</v>
      </c>
      <c r="H17" s="27" t="s">
        <v>290</v>
      </c>
      <c r="I17" s="27"/>
      <c r="J17" s="27"/>
      <c r="K17" s="27" t="s">
        <v>539</v>
      </c>
      <c r="L17" s="27"/>
      <c r="M17" s="30">
        <v>45799</v>
      </c>
      <c r="N17" s="3" t="s">
        <v>312</v>
      </c>
      <c r="O17" s="27" t="s">
        <v>3119</v>
      </c>
      <c r="P17" s="27"/>
    </row>
    <row r="18" spans="1:16" ht="24" customHeight="1">
      <c r="A18" s="30">
        <v>45812</v>
      </c>
      <c r="B18" s="27" t="s">
        <v>201</v>
      </c>
      <c r="C18" s="27" t="s">
        <v>954</v>
      </c>
      <c r="D18" s="27" t="s">
        <v>3120</v>
      </c>
      <c r="E18" s="10">
        <v>35</v>
      </c>
      <c r="F18" s="36" t="s">
        <v>263</v>
      </c>
      <c r="G18" s="27" t="s">
        <v>289</v>
      </c>
      <c r="H18" s="27" t="s">
        <v>290</v>
      </c>
      <c r="I18" s="27"/>
      <c r="J18" s="27"/>
      <c r="K18" s="27" t="s">
        <v>237</v>
      </c>
      <c r="L18" s="27"/>
      <c r="M18" s="30">
        <v>45812</v>
      </c>
      <c r="N18" s="1" t="s">
        <v>264</v>
      </c>
      <c r="O18" s="27" t="s">
        <v>1177</v>
      </c>
      <c r="P18" s="27"/>
    </row>
    <row r="19" spans="1:16" ht="24" customHeight="1">
      <c r="A19" s="30">
        <v>45813</v>
      </c>
      <c r="B19" s="27" t="s">
        <v>216</v>
      </c>
      <c r="C19" s="27" t="s">
        <v>3099</v>
      </c>
      <c r="D19" s="27" t="s">
        <v>440</v>
      </c>
      <c r="E19" s="10">
        <v>1</v>
      </c>
      <c r="F19" s="36" t="s">
        <v>263</v>
      </c>
      <c r="G19" s="27" t="s">
        <v>269</v>
      </c>
      <c r="H19" s="27" t="s">
        <v>270</v>
      </c>
      <c r="I19" s="27"/>
      <c r="J19" s="27"/>
      <c r="K19" s="27" t="s">
        <v>3009</v>
      </c>
      <c r="L19" s="27"/>
      <c r="M19" s="30">
        <v>45806</v>
      </c>
      <c r="N19" s="1" t="s">
        <v>264</v>
      </c>
      <c r="O19" s="27" t="s">
        <v>3100</v>
      </c>
      <c r="P19" s="27"/>
    </row>
    <row r="20" spans="1:16" ht="24" customHeight="1">
      <c r="A20" s="30">
        <v>45813</v>
      </c>
      <c r="B20" s="27" t="s">
        <v>216</v>
      </c>
      <c r="C20" s="27" t="s">
        <v>3107</v>
      </c>
      <c r="D20" s="27" t="s">
        <v>440</v>
      </c>
      <c r="E20" s="10">
        <v>1</v>
      </c>
      <c r="F20" s="36" t="s">
        <v>263</v>
      </c>
      <c r="G20" s="27" t="s">
        <v>269</v>
      </c>
      <c r="H20" s="27" t="s">
        <v>270</v>
      </c>
      <c r="I20" s="27"/>
      <c r="J20" s="27"/>
      <c r="K20" s="27" t="s">
        <v>3009</v>
      </c>
      <c r="L20" s="27"/>
      <c r="M20" s="27"/>
      <c r="N20" s="1" t="s">
        <v>264</v>
      </c>
      <c r="O20" s="27" t="s">
        <v>3100</v>
      </c>
      <c r="P20" s="27"/>
    </row>
    <row r="21" spans="1:16" ht="24" customHeight="1">
      <c r="A21" s="30">
        <v>45813</v>
      </c>
      <c r="B21" s="27" t="s">
        <v>216</v>
      </c>
      <c r="C21" s="27" t="s">
        <v>171</v>
      </c>
      <c r="D21" s="27" t="s">
        <v>3121</v>
      </c>
      <c r="E21" s="10">
        <v>70</v>
      </c>
      <c r="F21" s="36" t="s">
        <v>263</v>
      </c>
      <c r="G21" s="27" t="s">
        <v>359</v>
      </c>
      <c r="H21" s="27" t="s">
        <v>1320</v>
      </c>
      <c r="I21" s="27"/>
      <c r="J21" s="27"/>
      <c r="K21" s="27" t="s">
        <v>367</v>
      </c>
      <c r="L21" s="27"/>
      <c r="M21" s="30">
        <v>45803</v>
      </c>
      <c r="N21" s="1" t="s">
        <v>264</v>
      </c>
      <c r="O21" s="27" t="s">
        <v>321</v>
      </c>
      <c r="P21" s="27"/>
    </row>
    <row r="22" spans="1:16" ht="24" customHeight="1">
      <c r="A22" s="30">
        <v>45813</v>
      </c>
      <c r="B22" s="27" t="s">
        <v>216</v>
      </c>
      <c r="C22" s="27" t="s">
        <v>171</v>
      </c>
      <c r="D22" s="27" t="s">
        <v>3118</v>
      </c>
      <c r="E22" s="10"/>
      <c r="F22" s="36" t="s">
        <v>263</v>
      </c>
      <c r="G22" s="27" t="s">
        <v>896</v>
      </c>
      <c r="H22" s="27" t="s">
        <v>296</v>
      </c>
      <c r="I22" s="27"/>
      <c r="J22" s="27"/>
      <c r="K22" s="27" t="s">
        <v>539</v>
      </c>
      <c r="L22" s="27"/>
      <c r="M22" s="30">
        <v>45799</v>
      </c>
      <c r="N22" s="3" t="s">
        <v>312</v>
      </c>
      <c r="O22" s="27" t="s">
        <v>3122</v>
      </c>
      <c r="P22" s="27"/>
    </row>
    <row r="23" spans="1:16" ht="24" customHeight="1">
      <c r="A23" s="30">
        <v>45813</v>
      </c>
      <c r="B23" s="27" t="s">
        <v>216</v>
      </c>
      <c r="C23" s="27" t="s">
        <v>171</v>
      </c>
      <c r="D23" s="27" t="s">
        <v>2809</v>
      </c>
      <c r="E23" s="10"/>
      <c r="F23" s="36" t="s">
        <v>263</v>
      </c>
      <c r="G23" s="27" t="s">
        <v>269</v>
      </c>
      <c r="H23" s="27" t="s">
        <v>270</v>
      </c>
      <c r="I23" s="27"/>
      <c r="J23" s="27"/>
      <c r="K23" s="27" t="s">
        <v>2584</v>
      </c>
      <c r="L23" s="27"/>
      <c r="M23" s="30">
        <v>45693</v>
      </c>
      <c r="N23" s="3" t="s">
        <v>312</v>
      </c>
      <c r="O23" s="27" t="s">
        <v>3119</v>
      </c>
      <c r="P23" s="27"/>
    </row>
    <row r="24" spans="1:16" ht="24" customHeight="1">
      <c r="A24" s="30">
        <v>45813</v>
      </c>
      <c r="B24" s="27" t="s">
        <v>216</v>
      </c>
      <c r="C24" s="27" t="s">
        <v>239</v>
      </c>
      <c r="D24" s="27" t="s">
        <v>3123</v>
      </c>
      <c r="E24" s="10"/>
      <c r="F24" s="36" t="s">
        <v>263</v>
      </c>
      <c r="G24" s="27" t="s">
        <v>359</v>
      </c>
      <c r="H24" s="27" t="s">
        <v>290</v>
      </c>
      <c r="I24" s="27"/>
      <c r="J24" s="27"/>
      <c r="K24" s="27" t="s">
        <v>699</v>
      </c>
      <c r="L24" s="27"/>
      <c r="M24" s="30">
        <v>45693</v>
      </c>
      <c r="N24" s="3" t="s">
        <v>312</v>
      </c>
      <c r="O24" s="27" t="s">
        <v>901</v>
      </c>
      <c r="P24" s="27"/>
    </row>
    <row r="25" spans="1:16" ht="24" customHeight="1">
      <c r="A25" s="30">
        <v>45814</v>
      </c>
      <c r="B25" s="27" t="s">
        <v>220</v>
      </c>
      <c r="C25" s="27" t="s">
        <v>171</v>
      </c>
      <c r="D25" s="27" t="s">
        <v>3124</v>
      </c>
      <c r="E25" s="10">
        <v>30</v>
      </c>
      <c r="F25" s="36" t="s">
        <v>263</v>
      </c>
      <c r="G25" s="27" t="s">
        <v>330</v>
      </c>
      <c r="H25" s="27" t="s">
        <v>331</v>
      </c>
      <c r="I25" s="27"/>
      <c r="J25" s="27"/>
      <c r="K25" s="27" t="s">
        <v>675</v>
      </c>
      <c r="L25" s="27"/>
      <c r="M25" s="27"/>
      <c r="N25" s="1" t="s">
        <v>264</v>
      </c>
      <c r="O25" s="27" t="s">
        <v>298</v>
      </c>
      <c r="P25" s="27"/>
    </row>
    <row r="26" spans="1:16" ht="24" customHeight="1">
      <c r="A26" s="30">
        <v>45815</v>
      </c>
      <c r="B26" s="27" t="s">
        <v>266</v>
      </c>
      <c r="C26" s="27" t="s">
        <v>300</v>
      </c>
      <c r="D26" s="27"/>
      <c r="E26" s="10"/>
      <c r="F26" s="36" t="s">
        <v>263</v>
      </c>
      <c r="G26" s="27" t="s">
        <v>281</v>
      </c>
      <c r="H26" s="27" t="s">
        <v>270</v>
      </c>
      <c r="I26" s="27"/>
      <c r="J26" s="27"/>
      <c r="K26" s="27" t="s">
        <v>1025</v>
      </c>
      <c r="L26" s="27"/>
      <c r="M26" s="27"/>
      <c r="N26" s="1" t="s">
        <v>264</v>
      </c>
      <c r="O26" s="27" t="s">
        <v>3125</v>
      </c>
      <c r="P26" s="27"/>
    </row>
    <row r="27" spans="1:16" ht="24" customHeight="1">
      <c r="A27" s="30">
        <v>45816</v>
      </c>
      <c r="B27" s="27" t="s">
        <v>267</v>
      </c>
      <c r="C27" s="27"/>
      <c r="D27" s="27"/>
      <c r="E27" s="10"/>
      <c r="F27" s="36" t="s">
        <v>263</v>
      </c>
      <c r="G27" s="27"/>
      <c r="H27" s="27"/>
      <c r="I27" s="27"/>
      <c r="J27" s="27"/>
      <c r="K27" s="27"/>
      <c r="L27" s="27"/>
      <c r="M27" s="27"/>
      <c r="N27" s="1" t="s">
        <v>264</v>
      </c>
      <c r="O27" s="27"/>
      <c r="P27" s="27"/>
    </row>
    <row r="28" spans="1:16" ht="24" customHeight="1">
      <c r="A28" s="30">
        <v>45817</v>
      </c>
      <c r="B28" s="27" t="s">
        <v>224</v>
      </c>
      <c r="C28" s="27" t="s">
        <v>3126</v>
      </c>
      <c r="D28" s="27" t="s">
        <v>2809</v>
      </c>
      <c r="E28" s="10"/>
      <c r="F28" s="36" t="s">
        <v>263</v>
      </c>
      <c r="G28" s="27" t="s">
        <v>269</v>
      </c>
      <c r="H28" s="27" t="s">
        <v>270</v>
      </c>
      <c r="I28" s="27"/>
      <c r="J28" s="27"/>
      <c r="K28" s="27" t="s">
        <v>2584</v>
      </c>
      <c r="L28" s="27"/>
      <c r="M28" s="30">
        <v>45693</v>
      </c>
      <c r="N28" s="1" t="s">
        <v>264</v>
      </c>
      <c r="O28" s="27"/>
      <c r="P28" s="27"/>
    </row>
    <row r="29" spans="1:16" ht="24" customHeight="1">
      <c r="A29" s="30">
        <v>45818</v>
      </c>
      <c r="B29" s="27" t="s">
        <v>227</v>
      </c>
      <c r="C29" s="27" t="s">
        <v>3127</v>
      </c>
      <c r="D29" s="27" t="s">
        <v>3128</v>
      </c>
      <c r="E29" s="10"/>
      <c r="F29" s="36" t="s">
        <v>263</v>
      </c>
      <c r="G29" s="27" t="s">
        <v>309</v>
      </c>
      <c r="H29" s="27" t="s">
        <v>289</v>
      </c>
      <c r="I29" s="27"/>
      <c r="J29" s="27"/>
      <c r="K29" s="27" t="s">
        <v>699</v>
      </c>
      <c r="L29" s="27"/>
      <c r="M29" s="30">
        <v>45805</v>
      </c>
      <c r="N29" s="1" t="s">
        <v>264</v>
      </c>
      <c r="O29" s="27" t="s">
        <v>321</v>
      </c>
      <c r="P29" s="27"/>
    </row>
    <row r="30" spans="1:16" ht="24" customHeight="1">
      <c r="A30" s="30">
        <v>45818</v>
      </c>
      <c r="B30" s="27" t="s">
        <v>227</v>
      </c>
      <c r="C30" s="27" t="s">
        <v>171</v>
      </c>
      <c r="D30" s="27" t="s">
        <v>3129</v>
      </c>
      <c r="E30" s="10">
        <v>60</v>
      </c>
      <c r="F30" s="36" t="s">
        <v>263</v>
      </c>
      <c r="G30" s="27" t="s">
        <v>295</v>
      </c>
      <c r="H30" s="27" t="s">
        <v>359</v>
      </c>
      <c r="I30" s="27"/>
      <c r="J30" s="27"/>
      <c r="K30" s="27" t="s">
        <v>351</v>
      </c>
      <c r="L30" s="27"/>
      <c r="M30" s="30">
        <v>45807</v>
      </c>
      <c r="N30" s="1" t="s">
        <v>264</v>
      </c>
      <c r="O30" s="27" t="s">
        <v>321</v>
      </c>
      <c r="P30" s="27"/>
    </row>
    <row r="31" spans="1:16" ht="24" customHeight="1">
      <c r="A31" s="30">
        <v>45818</v>
      </c>
      <c r="B31" s="27" t="s">
        <v>227</v>
      </c>
      <c r="C31" s="27" t="s">
        <v>954</v>
      </c>
      <c r="D31" s="27" t="s">
        <v>3130</v>
      </c>
      <c r="E31" s="10">
        <v>35</v>
      </c>
      <c r="F31" s="36" t="s">
        <v>263</v>
      </c>
      <c r="G31" s="27" t="s">
        <v>289</v>
      </c>
      <c r="H31" s="27" t="s">
        <v>290</v>
      </c>
      <c r="I31" s="27"/>
      <c r="J31" s="27"/>
      <c r="K31" s="27" t="s">
        <v>237</v>
      </c>
      <c r="L31" s="27"/>
      <c r="M31" s="30">
        <v>45818</v>
      </c>
      <c r="N31" s="1" t="s">
        <v>264</v>
      </c>
      <c r="O31" s="27" t="s">
        <v>3131</v>
      </c>
      <c r="P31" s="27"/>
    </row>
    <row r="32" spans="1:16" ht="24" customHeight="1">
      <c r="A32" s="30">
        <v>45818</v>
      </c>
      <c r="B32" s="27" t="s">
        <v>227</v>
      </c>
      <c r="C32" s="27" t="s">
        <v>3127</v>
      </c>
      <c r="D32" s="27" t="s">
        <v>1589</v>
      </c>
      <c r="E32" s="10" t="s">
        <v>2202</v>
      </c>
      <c r="F32" s="38" t="s">
        <v>294</v>
      </c>
      <c r="G32" s="27" t="s">
        <v>295</v>
      </c>
      <c r="H32" s="27" t="s">
        <v>290</v>
      </c>
      <c r="I32" s="27"/>
      <c r="J32" s="27"/>
      <c r="K32" s="27" t="s">
        <v>367</v>
      </c>
      <c r="L32" s="27"/>
      <c r="M32" s="27" t="s">
        <v>298</v>
      </c>
      <c r="N32" s="3" t="s">
        <v>312</v>
      </c>
      <c r="O32" s="27" t="s">
        <v>3132</v>
      </c>
      <c r="P32" s="27" t="s">
        <v>3133</v>
      </c>
    </row>
    <row r="33" spans="1:16" ht="24" customHeight="1">
      <c r="A33" s="30">
        <v>45819</v>
      </c>
      <c r="B33" s="27" t="s">
        <v>201</v>
      </c>
      <c r="C33" s="27" t="s">
        <v>326</v>
      </c>
      <c r="D33" s="27" t="s">
        <v>3134</v>
      </c>
      <c r="E33" s="10">
        <v>25</v>
      </c>
      <c r="F33" s="36" t="s">
        <v>263</v>
      </c>
      <c r="G33" s="27" t="s">
        <v>269</v>
      </c>
      <c r="H33" s="27" t="s">
        <v>270</v>
      </c>
      <c r="I33" s="27"/>
      <c r="J33" s="27"/>
      <c r="K33" s="27" t="s">
        <v>351</v>
      </c>
      <c r="L33" s="27"/>
      <c r="M33" s="30">
        <v>45818</v>
      </c>
      <c r="N33" s="1" t="s">
        <v>264</v>
      </c>
      <c r="O33" s="27" t="s">
        <v>3135</v>
      </c>
      <c r="P33" s="27"/>
    </row>
    <row r="34" spans="1:16" ht="24" customHeight="1">
      <c r="A34" s="30">
        <v>45819</v>
      </c>
      <c r="B34" s="27" t="s">
        <v>201</v>
      </c>
      <c r="C34" s="27" t="s">
        <v>954</v>
      </c>
      <c r="D34" s="27" t="s">
        <v>3120</v>
      </c>
      <c r="E34" s="10">
        <v>35</v>
      </c>
      <c r="F34" s="36" t="s">
        <v>263</v>
      </c>
      <c r="G34" s="27" t="s">
        <v>289</v>
      </c>
      <c r="H34" s="27" t="s">
        <v>290</v>
      </c>
      <c r="I34" s="27"/>
      <c r="J34" s="27"/>
      <c r="K34" s="27" t="s">
        <v>237</v>
      </c>
      <c r="L34" s="27"/>
      <c r="M34" s="30">
        <v>45812</v>
      </c>
      <c r="N34" s="1" t="s">
        <v>264</v>
      </c>
      <c r="O34" s="27" t="s">
        <v>1177</v>
      </c>
      <c r="P34" s="27"/>
    </row>
    <row r="35" spans="1:16" ht="24" customHeight="1">
      <c r="A35" s="30">
        <v>45819</v>
      </c>
      <c r="B35" s="27" t="s">
        <v>201</v>
      </c>
      <c r="C35" s="27" t="s">
        <v>171</v>
      </c>
      <c r="D35" s="27" t="s">
        <v>3118</v>
      </c>
      <c r="E35" s="10"/>
      <c r="F35" s="36" t="s">
        <v>263</v>
      </c>
      <c r="G35" s="27" t="s">
        <v>289</v>
      </c>
      <c r="H35" s="27" t="s">
        <v>296</v>
      </c>
      <c r="I35" s="27"/>
      <c r="J35" s="27"/>
      <c r="K35" s="27" t="s">
        <v>539</v>
      </c>
      <c r="L35" s="27"/>
      <c r="M35" s="27"/>
      <c r="N35" s="3" t="s">
        <v>312</v>
      </c>
      <c r="O35" s="27" t="s">
        <v>3136</v>
      </c>
      <c r="P35" s="27"/>
    </row>
    <row r="36" spans="1:16" ht="24" customHeight="1">
      <c r="A36" s="30">
        <v>45820</v>
      </c>
      <c r="B36" s="27" t="s">
        <v>216</v>
      </c>
      <c r="C36" s="27" t="s">
        <v>171</v>
      </c>
      <c r="D36" s="27" t="s">
        <v>3137</v>
      </c>
      <c r="E36" s="10">
        <v>40</v>
      </c>
      <c r="F36" s="36" t="s">
        <v>263</v>
      </c>
      <c r="G36" s="27" t="s">
        <v>295</v>
      </c>
      <c r="H36" s="27" t="s">
        <v>3138</v>
      </c>
      <c r="I36" s="27"/>
      <c r="J36" s="27"/>
      <c r="K36" s="27" t="s">
        <v>3139</v>
      </c>
      <c r="L36" s="27"/>
      <c r="M36" s="27"/>
      <c r="N36" s="1" t="s">
        <v>264</v>
      </c>
      <c r="O36" s="27" t="s">
        <v>3140</v>
      </c>
      <c r="P36" s="27"/>
    </row>
    <row r="37" spans="1:16" ht="24" customHeight="1">
      <c r="A37" s="30">
        <v>45820</v>
      </c>
      <c r="B37" s="27" t="s">
        <v>216</v>
      </c>
      <c r="C37" s="27" t="s">
        <v>1451</v>
      </c>
      <c r="D37" s="27" t="s">
        <v>3118</v>
      </c>
      <c r="E37" s="10"/>
      <c r="F37" s="36" t="s">
        <v>263</v>
      </c>
      <c r="G37" s="27" t="s">
        <v>289</v>
      </c>
      <c r="H37" s="27" t="s">
        <v>296</v>
      </c>
      <c r="I37" s="27"/>
      <c r="J37" s="27"/>
      <c r="K37" s="27" t="s">
        <v>539</v>
      </c>
      <c r="L37" s="27"/>
      <c r="M37" s="27"/>
      <c r="N37" s="1" t="s">
        <v>264</v>
      </c>
      <c r="O37" s="27" t="s">
        <v>3141</v>
      </c>
      <c r="P37" s="27"/>
    </row>
    <row r="38" spans="1:16" ht="24" customHeight="1">
      <c r="A38" s="30">
        <v>45820</v>
      </c>
      <c r="B38" s="27" t="s">
        <v>216</v>
      </c>
      <c r="C38" s="27" t="s">
        <v>171</v>
      </c>
      <c r="D38" s="27" t="s">
        <v>2809</v>
      </c>
      <c r="E38" s="10">
        <v>35</v>
      </c>
      <c r="F38" s="36" t="s">
        <v>263</v>
      </c>
      <c r="G38" s="27" t="s">
        <v>269</v>
      </c>
      <c r="H38" s="27" t="s">
        <v>270</v>
      </c>
      <c r="I38" s="27"/>
      <c r="J38" s="27"/>
      <c r="K38" s="27" t="s">
        <v>2584</v>
      </c>
      <c r="L38" s="27"/>
      <c r="M38" s="30">
        <v>45693</v>
      </c>
      <c r="N38" s="3" t="s">
        <v>312</v>
      </c>
      <c r="O38" s="27" t="s">
        <v>3142</v>
      </c>
      <c r="P38" s="27"/>
    </row>
    <row r="39" spans="1:16" ht="24" customHeight="1">
      <c r="A39" s="30">
        <v>45820</v>
      </c>
      <c r="B39" s="27" t="s">
        <v>216</v>
      </c>
      <c r="C39" s="27" t="s">
        <v>326</v>
      </c>
      <c r="D39" s="27" t="s">
        <v>3134</v>
      </c>
      <c r="E39" s="10">
        <v>25</v>
      </c>
      <c r="F39" s="36" t="s">
        <v>263</v>
      </c>
      <c r="G39" s="27" t="s">
        <v>269</v>
      </c>
      <c r="H39" s="27" t="s">
        <v>270</v>
      </c>
      <c r="I39" s="27"/>
      <c r="J39" s="27"/>
      <c r="K39" s="27" t="s">
        <v>351</v>
      </c>
      <c r="L39" s="27"/>
      <c r="M39" s="30">
        <v>45818</v>
      </c>
      <c r="N39" s="1" t="s">
        <v>264</v>
      </c>
      <c r="O39" s="27" t="s">
        <v>3135</v>
      </c>
      <c r="P39" s="27"/>
    </row>
    <row r="40" spans="1:16" ht="24" customHeight="1">
      <c r="A40" s="30">
        <v>45821</v>
      </c>
      <c r="B40" s="27" t="s">
        <v>220</v>
      </c>
      <c r="C40" s="27" t="s">
        <v>1451</v>
      </c>
      <c r="D40" s="27" t="s">
        <v>3118</v>
      </c>
      <c r="E40" s="10"/>
      <c r="F40" s="36" t="s">
        <v>263</v>
      </c>
      <c r="G40" s="27" t="s">
        <v>289</v>
      </c>
      <c r="H40" s="27" t="s">
        <v>296</v>
      </c>
      <c r="I40" s="27"/>
      <c r="J40" s="27"/>
      <c r="K40" s="27" t="s">
        <v>539</v>
      </c>
      <c r="L40" s="27"/>
      <c r="M40" s="27"/>
      <c r="N40" s="1" t="s">
        <v>264</v>
      </c>
      <c r="O40" s="27" t="s">
        <v>3141</v>
      </c>
      <c r="P40" s="27"/>
    </row>
    <row r="41" spans="1:16" ht="24" customHeight="1">
      <c r="A41" s="30">
        <v>45821</v>
      </c>
      <c r="B41" s="27" t="s">
        <v>220</v>
      </c>
      <c r="C41" s="27" t="s">
        <v>326</v>
      </c>
      <c r="D41" s="27" t="s">
        <v>3134</v>
      </c>
      <c r="E41" s="10">
        <v>25</v>
      </c>
      <c r="F41" s="36" t="s">
        <v>263</v>
      </c>
      <c r="G41" s="27" t="s">
        <v>269</v>
      </c>
      <c r="H41" s="27" t="s">
        <v>270</v>
      </c>
      <c r="I41" s="27"/>
      <c r="J41" s="27"/>
      <c r="K41" s="27" t="s">
        <v>351</v>
      </c>
      <c r="L41" s="27"/>
      <c r="M41" s="30">
        <v>45818</v>
      </c>
      <c r="N41" s="1" t="s">
        <v>264</v>
      </c>
      <c r="O41" s="27" t="s">
        <v>3135</v>
      </c>
      <c r="P41" s="27"/>
    </row>
    <row r="42" spans="1:16" ht="24" customHeight="1">
      <c r="A42" s="30">
        <v>45821</v>
      </c>
      <c r="B42" s="27" t="s">
        <v>220</v>
      </c>
      <c r="C42" s="27" t="s">
        <v>171</v>
      </c>
      <c r="D42" s="27" t="s">
        <v>2944</v>
      </c>
      <c r="E42" s="10">
        <v>45</v>
      </c>
      <c r="F42" s="36" t="s">
        <v>263</v>
      </c>
      <c r="G42" s="27" t="s">
        <v>295</v>
      </c>
      <c r="H42" s="27" t="s">
        <v>270</v>
      </c>
      <c r="I42" s="27" t="s">
        <v>382</v>
      </c>
      <c r="J42" s="27"/>
      <c r="K42" s="27" t="s">
        <v>688</v>
      </c>
      <c r="L42" s="27"/>
      <c r="M42" s="30">
        <v>45800</v>
      </c>
      <c r="N42" s="1" t="s">
        <v>264</v>
      </c>
      <c r="O42" s="27" t="s">
        <v>3116</v>
      </c>
      <c r="P42" s="27"/>
    </row>
    <row r="43" spans="1:16" ht="24" customHeight="1">
      <c r="A43" s="30">
        <v>45821</v>
      </c>
      <c r="B43" s="27" t="s">
        <v>220</v>
      </c>
      <c r="C43" s="27" t="s">
        <v>171</v>
      </c>
      <c r="D43" s="27" t="s">
        <v>3143</v>
      </c>
      <c r="E43" s="10">
        <v>30</v>
      </c>
      <c r="F43" s="36" t="s">
        <v>263</v>
      </c>
      <c r="G43" s="27" t="s">
        <v>2009</v>
      </c>
      <c r="H43" s="27" t="s">
        <v>275</v>
      </c>
      <c r="I43" s="27"/>
      <c r="J43" s="27"/>
      <c r="K43" s="27" t="s">
        <v>3144</v>
      </c>
      <c r="L43" s="27"/>
      <c r="M43" s="27"/>
      <c r="N43" s="1" t="s">
        <v>264</v>
      </c>
      <c r="O43" s="27" t="s">
        <v>3103</v>
      </c>
      <c r="P43" s="27"/>
    </row>
    <row r="44" spans="1:16" ht="24" customHeight="1">
      <c r="A44" s="30">
        <v>45822</v>
      </c>
      <c r="B44" s="27" t="s">
        <v>266</v>
      </c>
      <c r="C44" s="27" t="s">
        <v>300</v>
      </c>
      <c r="D44" s="27"/>
      <c r="E44" s="10"/>
      <c r="F44" s="36" t="s">
        <v>263</v>
      </c>
      <c r="G44" s="27" t="s">
        <v>269</v>
      </c>
      <c r="H44" s="27"/>
      <c r="I44" s="27"/>
      <c r="J44" s="27"/>
      <c r="K44" s="27" t="s">
        <v>1025</v>
      </c>
      <c r="L44" s="27"/>
      <c r="M44" s="27"/>
      <c r="N44" s="1" t="s">
        <v>264</v>
      </c>
      <c r="O44" s="27" t="s">
        <v>3125</v>
      </c>
      <c r="P44" s="27"/>
    </row>
    <row r="45" spans="1:16" ht="24" customHeight="1">
      <c r="A45" s="30">
        <v>45823</v>
      </c>
      <c r="B45" s="27" t="s">
        <v>267</v>
      </c>
      <c r="C45" s="27"/>
      <c r="D45" s="27"/>
      <c r="E45" s="10"/>
      <c r="F45" s="36" t="s">
        <v>263</v>
      </c>
      <c r="G45" s="27"/>
      <c r="H45" s="27"/>
      <c r="I45" s="27"/>
      <c r="J45" s="27"/>
      <c r="K45" s="27"/>
      <c r="L45" s="27"/>
      <c r="M45" s="27"/>
      <c r="N45" s="1" t="s">
        <v>264</v>
      </c>
      <c r="O45" s="27"/>
      <c r="P45" s="27"/>
    </row>
    <row r="46" spans="1:16" ht="24" customHeight="1">
      <c r="A46" s="30">
        <v>45824</v>
      </c>
      <c r="B46" s="27" t="s">
        <v>224</v>
      </c>
      <c r="C46" s="27" t="s">
        <v>326</v>
      </c>
      <c r="D46" s="27" t="s">
        <v>2809</v>
      </c>
      <c r="E46" s="10"/>
      <c r="F46" s="36" t="s">
        <v>263</v>
      </c>
      <c r="G46" s="27" t="s">
        <v>269</v>
      </c>
      <c r="H46" s="27" t="s">
        <v>270</v>
      </c>
      <c r="I46" s="27"/>
      <c r="J46" s="27"/>
      <c r="K46" s="27" t="s">
        <v>2584</v>
      </c>
      <c r="L46" s="27"/>
      <c r="M46" s="30">
        <v>45693</v>
      </c>
      <c r="N46" s="1" t="s">
        <v>264</v>
      </c>
      <c r="O46" s="27" t="s">
        <v>3145</v>
      </c>
      <c r="P46" s="27"/>
    </row>
    <row r="47" spans="1:16" ht="24" customHeight="1">
      <c r="A47" s="30">
        <v>45824</v>
      </c>
      <c r="B47" s="27" t="s">
        <v>224</v>
      </c>
      <c r="C47" s="27" t="s">
        <v>171</v>
      </c>
      <c r="D47" s="27" t="s">
        <v>2809</v>
      </c>
      <c r="E47" s="10"/>
      <c r="F47" s="36" t="s">
        <v>263</v>
      </c>
      <c r="G47" s="27" t="s">
        <v>269</v>
      </c>
      <c r="H47" s="27" t="s">
        <v>270</v>
      </c>
      <c r="I47" s="27"/>
      <c r="J47" s="27"/>
      <c r="K47" s="27" t="s">
        <v>2584</v>
      </c>
      <c r="L47" s="27"/>
      <c r="M47" s="30">
        <v>45693</v>
      </c>
      <c r="N47" s="1" t="s">
        <v>264</v>
      </c>
      <c r="O47" s="27"/>
      <c r="P47" s="27"/>
    </row>
    <row r="48" spans="1:16" ht="24" customHeight="1">
      <c r="A48" s="30">
        <v>45824</v>
      </c>
      <c r="B48" s="27" t="s">
        <v>224</v>
      </c>
      <c r="C48" s="27" t="s">
        <v>3146</v>
      </c>
      <c r="D48" s="27" t="s">
        <v>1246</v>
      </c>
      <c r="E48" s="10">
        <v>1</v>
      </c>
      <c r="F48" s="36" t="s">
        <v>263</v>
      </c>
      <c r="G48" s="27" t="s">
        <v>269</v>
      </c>
      <c r="H48" s="27" t="s">
        <v>270</v>
      </c>
      <c r="I48" s="27"/>
      <c r="J48" s="27"/>
      <c r="K48" s="27" t="s">
        <v>3147</v>
      </c>
      <c r="L48" s="27"/>
      <c r="M48" s="30">
        <v>45825</v>
      </c>
      <c r="N48" s="1" t="s">
        <v>264</v>
      </c>
      <c r="O48" s="27" t="s">
        <v>3148</v>
      </c>
      <c r="P48" s="27"/>
    </row>
    <row r="49" spans="1:16" ht="24" customHeight="1">
      <c r="A49" s="30">
        <v>45824</v>
      </c>
      <c r="B49" s="27" t="s">
        <v>224</v>
      </c>
      <c r="C49" s="27" t="s">
        <v>2740</v>
      </c>
      <c r="D49" s="27" t="s">
        <v>1246</v>
      </c>
      <c r="E49" s="10">
        <v>2</v>
      </c>
      <c r="F49" s="36" t="s">
        <v>263</v>
      </c>
      <c r="G49" s="27" t="s">
        <v>269</v>
      </c>
      <c r="H49" s="27" t="s">
        <v>270</v>
      </c>
      <c r="I49" s="27"/>
      <c r="J49" s="27"/>
      <c r="K49" s="27" t="s">
        <v>335</v>
      </c>
      <c r="L49" s="27"/>
      <c r="M49" s="30">
        <v>45821</v>
      </c>
      <c r="N49" s="1" t="s">
        <v>264</v>
      </c>
      <c r="O49" s="27" t="s">
        <v>3149</v>
      </c>
      <c r="P49" s="27"/>
    </row>
    <row r="50" spans="1:16" ht="24" customHeight="1">
      <c r="A50" s="30">
        <v>45825</v>
      </c>
      <c r="B50" s="27" t="s">
        <v>227</v>
      </c>
      <c r="C50" s="27" t="s">
        <v>2715</v>
      </c>
      <c r="D50" s="27" t="s">
        <v>1246</v>
      </c>
      <c r="E50" s="10">
        <v>3</v>
      </c>
      <c r="F50" s="36" t="s">
        <v>263</v>
      </c>
      <c r="G50" s="27" t="s">
        <v>269</v>
      </c>
      <c r="H50" s="27" t="s">
        <v>270</v>
      </c>
      <c r="I50" s="27"/>
      <c r="J50" s="27"/>
      <c r="K50" s="27" t="s">
        <v>335</v>
      </c>
      <c r="L50" s="27"/>
      <c r="M50" s="30">
        <v>45821</v>
      </c>
      <c r="N50" s="1" t="s">
        <v>264</v>
      </c>
      <c r="O50" s="27" t="s">
        <v>3149</v>
      </c>
      <c r="P50" s="27"/>
    </row>
    <row r="51" spans="1:16" ht="24" customHeight="1">
      <c r="A51" s="30">
        <v>45825</v>
      </c>
      <c r="B51" s="27" t="s">
        <v>227</v>
      </c>
      <c r="C51" s="27" t="s">
        <v>954</v>
      </c>
      <c r="D51" s="27" t="s">
        <v>3150</v>
      </c>
      <c r="E51" s="10">
        <v>30</v>
      </c>
      <c r="F51" s="36" t="s">
        <v>263</v>
      </c>
      <c r="G51" s="27" t="s">
        <v>309</v>
      </c>
      <c r="H51" s="27" t="s">
        <v>289</v>
      </c>
      <c r="I51" s="27"/>
      <c r="J51" s="27"/>
      <c r="K51" s="27" t="s">
        <v>351</v>
      </c>
      <c r="L51" s="27"/>
      <c r="M51" s="30">
        <v>45811</v>
      </c>
      <c r="N51" s="1" t="s">
        <v>264</v>
      </c>
      <c r="O51" s="27"/>
      <c r="P51" s="27"/>
    </row>
    <row r="52" spans="1:16" ht="24" customHeight="1">
      <c r="A52" s="30">
        <v>45825</v>
      </c>
      <c r="B52" s="27" t="s">
        <v>227</v>
      </c>
      <c r="C52" s="27" t="s">
        <v>486</v>
      </c>
      <c r="D52" s="27" t="s">
        <v>1589</v>
      </c>
      <c r="E52" s="10">
        <v>60</v>
      </c>
      <c r="F52" s="36" t="s">
        <v>263</v>
      </c>
      <c r="G52" s="27" t="s">
        <v>295</v>
      </c>
      <c r="H52" s="27" t="s">
        <v>296</v>
      </c>
      <c r="I52" s="27"/>
      <c r="J52" s="27"/>
      <c r="K52" s="27" t="s">
        <v>367</v>
      </c>
      <c r="L52" s="27"/>
      <c r="M52" s="30">
        <v>45807</v>
      </c>
      <c r="N52" s="3" t="s">
        <v>312</v>
      </c>
      <c r="O52" s="27" t="s">
        <v>298</v>
      </c>
      <c r="P52" s="27" t="s">
        <v>3151</v>
      </c>
    </row>
    <row r="53" spans="1:16" ht="24" customHeight="1">
      <c r="A53" s="30">
        <v>45826</v>
      </c>
      <c r="B53" s="27" t="s">
        <v>201</v>
      </c>
      <c r="C53" s="27" t="s">
        <v>1469</v>
      </c>
      <c r="D53" s="27" t="s">
        <v>3120</v>
      </c>
      <c r="E53" s="10">
        <v>35</v>
      </c>
      <c r="F53" s="36" t="s">
        <v>263</v>
      </c>
      <c r="G53" s="27" t="s">
        <v>289</v>
      </c>
      <c r="H53" s="27" t="s">
        <v>290</v>
      </c>
      <c r="I53" s="27"/>
      <c r="J53" s="27"/>
      <c r="K53" s="27" t="s">
        <v>237</v>
      </c>
      <c r="L53" s="27"/>
      <c r="M53" s="30">
        <v>45812</v>
      </c>
      <c r="N53" s="1" t="s">
        <v>264</v>
      </c>
      <c r="O53" s="27" t="s">
        <v>1177</v>
      </c>
      <c r="P53" s="27"/>
    </row>
    <row r="54" spans="1:16" ht="24" customHeight="1">
      <c r="A54" s="30">
        <v>45826</v>
      </c>
      <c r="B54" s="27" t="s">
        <v>201</v>
      </c>
      <c r="C54" s="27" t="s">
        <v>171</v>
      </c>
      <c r="D54" s="27" t="s">
        <v>3152</v>
      </c>
      <c r="E54" s="10">
        <v>60</v>
      </c>
      <c r="F54" s="36" t="s">
        <v>263</v>
      </c>
      <c r="G54" s="27" t="s">
        <v>330</v>
      </c>
      <c r="H54" s="27" t="s">
        <v>354</v>
      </c>
      <c r="I54" s="27"/>
      <c r="J54" s="27"/>
      <c r="K54" s="27" t="s">
        <v>3009</v>
      </c>
      <c r="L54" s="27"/>
      <c r="M54" s="30">
        <v>45811</v>
      </c>
      <c r="N54" s="3" t="s">
        <v>312</v>
      </c>
      <c r="O54" s="27" t="s">
        <v>298</v>
      </c>
      <c r="P54" s="27"/>
    </row>
    <row r="55" spans="1:16" ht="24" customHeight="1">
      <c r="A55" s="30">
        <v>45826</v>
      </c>
      <c r="B55" s="27" t="s">
        <v>201</v>
      </c>
      <c r="C55" s="27" t="s">
        <v>171</v>
      </c>
      <c r="D55" s="27" t="s">
        <v>3153</v>
      </c>
      <c r="E55" s="10">
        <v>60</v>
      </c>
      <c r="F55" s="36" t="s">
        <v>263</v>
      </c>
      <c r="G55" s="27" t="s">
        <v>295</v>
      </c>
      <c r="H55" s="27" t="s">
        <v>296</v>
      </c>
      <c r="I55" s="27"/>
      <c r="J55" s="27"/>
      <c r="K55" s="27" t="s">
        <v>367</v>
      </c>
      <c r="L55" s="27"/>
      <c r="M55" s="30">
        <v>45826</v>
      </c>
      <c r="N55" s="1" t="s">
        <v>264</v>
      </c>
      <c r="O55" s="27" t="s">
        <v>321</v>
      </c>
      <c r="P55" s="27"/>
    </row>
    <row r="56" spans="1:16" ht="24" customHeight="1">
      <c r="A56" s="30">
        <v>45826</v>
      </c>
      <c r="B56" s="27" t="s">
        <v>201</v>
      </c>
      <c r="C56" s="27" t="s">
        <v>3146</v>
      </c>
      <c r="D56" s="27" t="s">
        <v>1246</v>
      </c>
      <c r="E56" s="10">
        <v>1</v>
      </c>
      <c r="F56" s="36" t="s">
        <v>263</v>
      </c>
      <c r="G56" s="27" t="s">
        <v>269</v>
      </c>
      <c r="H56" s="27" t="s">
        <v>270</v>
      </c>
      <c r="I56" s="27"/>
      <c r="J56" s="27"/>
      <c r="K56" s="27" t="s">
        <v>3147</v>
      </c>
      <c r="L56" s="27"/>
      <c r="M56" s="30">
        <v>45825</v>
      </c>
      <c r="N56" s="1" t="s">
        <v>264</v>
      </c>
      <c r="O56" s="27" t="s">
        <v>3148</v>
      </c>
      <c r="P56" s="27"/>
    </row>
    <row r="57" spans="1:16" ht="24" customHeight="1">
      <c r="A57" s="30">
        <v>45826</v>
      </c>
      <c r="B57" s="27" t="s">
        <v>201</v>
      </c>
      <c r="C57" s="27" t="s">
        <v>2740</v>
      </c>
      <c r="D57" s="27" t="s">
        <v>1246</v>
      </c>
      <c r="E57" s="10">
        <v>2</v>
      </c>
      <c r="F57" s="36" t="s">
        <v>263</v>
      </c>
      <c r="G57" s="27" t="s">
        <v>269</v>
      </c>
      <c r="H57" s="27" t="s">
        <v>270</v>
      </c>
      <c r="I57" s="27"/>
      <c r="J57" s="27"/>
      <c r="K57" s="27" t="s">
        <v>335</v>
      </c>
      <c r="L57" s="27"/>
      <c r="M57" s="30">
        <v>45821</v>
      </c>
      <c r="N57" s="1" t="s">
        <v>264</v>
      </c>
      <c r="O57" s="27" t="s">
        <v>3149</v>
      </c>
      <c r="P57" s="27"/>
    </row>
    <row r="58" spans="1:16" ht="24" customHeight="1">
      <c r="A58" s="30">
        <v>45826</v>
      </c>
      <c r="B58" s="27" t="s">
        <v>201</v>
      </c>
      <c r="C58" s="27" t="s">
        <v>2715</v>
      </c>
      <c r="D58" s="27" t="s">
        <v>1246</v>
      </c>
      <c r="E58" s="10">
        <v>3</v>
      </c>
      <c r="F58" s="36" t="s">
        <v>263</v>
      </c>
      <c r="G58" s="27" t="s">
        <v>269</v>
      </c>
      <c r="H58" s="27" t="s">
        <v>270</v>
      </c>
      <c r="I58" s="27"/>
      <c r="J58" s="27"/>
      <c r="K58" s="27" t="s">
        <v>335</v>
      </c>
      <c r="L58" s="27"/>
      <c r="M58" s="30">
        <v>45821</v>
      </c>
      <c r="N58" s="1" t="s">
        <v>264</v>
      </c>
      <c r="O58" s="27" t="s">
        <v>3149</v>
      </c>
      <c r="P58" s="27"/>
    </row>
    <row r="59" spans="1:16" ht="24" customHeight="1">
      <c r="A59" s="30">
        <v>45826</v>
      </c>
      <c r="B59" s="27" t="s">
        <v>201</v>
      </c>
      <c r="C59" s="27" t="s">
        <v>171</v>
      </c>
      <c r="D59" s="27" t="s">
        <v>3154</v>
      </c>
      <c r="E59" s="10">
        <v>30</v>
      </c>
      <c r="F59" s="36" t="s">
        <v>263</v>
      </c>
      <c r="G59" s="27" t="s">
        <v>289</v>
      </c>
      <c r="H59" s="27" t="s">
        <v>290</v>
      </c>
      <c r="I59" s="27"/>
      <c r="J59" s="27"/>
      <c r="K59" s="27" t="s">
        <v>675</v>
      </c>
      <c r="L59" s="27"/>
      <c r="M59" s="27"/>
      <c r="N59" s="3" t="s">
        <v>312</v>
      </c>
      <c r="O59" s="27" t="s">
        <v>298</v>
      </c>
      <c r="P59" s="27" t="s">
        <v>3155</v>
      </c>
    </row>
    <row r="60" spans="1:16" ht="24" customHeight="1">
      <c r="A60" s="30">
        <v>45826</v>
      </c>
      <c r="B60" s="27" t="s">
        <v>201</v>
      </c>
      <c r="C60" s="27" t="s">
        <v>2851</v>
      </c>
      <c r="D60" s="27" t="s">
        <v>872</v>
      </c>
      <c r="E60" s="10">
        <v>8</v>
      </c>
      <c r="F60" s="36" t="s">
        <v>263</v>
      </c>
      <c r="G60" s="27" t="s">
        <v>315</v>
      </c>
      <c r="H60" s="27" t="s">
        <v>429</v>
      </c>
      <c r="I60" s="27"/>
      <c r="J60" s="27"/>
      <c r="K60" s="27" t="s">
        <v>335</v>
      </c>
      <c r="L60" s="27"/>
      <c r="M60" s="30">
        <v>45821</v>
      </c>
      <c r="N60" s="1" t="s">
        <v>264</v>
      </c>
      <c r="O60" s="27" t="s">
        <v>3156</v>
      </c>
      <c r="P60" s="27"/>
    </row>
    <row r="61" spans="1:16" ht="24" customHeight="1">
      <c r="A61" s="30">
        <v>45826</v>
      </c>
      <c r="B61" s="27" t="s">
        <v>201</v>
      </c>
      <c r="C61" s="27" t="s">
        <v>171</v>
      </c>
      <c r="D61" s="27" t="s">
        <v>3124</v>
      </c>
      <c r="E61" s="10">
        <v>30</v>
      </c>
      <c r="F61" s="36" t="s">
        <v>263</v>
      </c>
      <c r="G61" s="27" t="s">
        <v>289</v>
      </c>
      <c r="H61" s="27" t="s">
        <v>290</v>
      </c>
      <c r="I61" s="27"/>
      <c r="J61" s="27"/>
      <c r="K61" s="27" t="s">
        <v>675</v>
      </c>
      <c r="L61" s="27"/>
      <c r="M61" s="27"/>
      <c r="N61" s="3" t="s">
        <v>312</v>
      </c>
      <c r="O61" s="27" t="s">
        <v>298</v>
      </c>
      <c r="P61" s="27" t="s">
        <v>3157</v>
      </c>
    </row>
    <row r="62" spans="1:16" ht="24" customHeight="1">
      <c r="A62" s="30">
        <v>45827</v>
      </c>
      <c r="B62" s="27" t="s">
        <v>216</v>
      </c>
      <c r="C62" s="27" t="s">
        <v>3146</v>
      </c>
      <c r="D62" s="27" t="s">
        <v>1246</v>
      </c>
      <c r="E62" s="10">
        <v>1</v>
      </c>
      <c r="F62" s="36" t="s">
        <v>263</v>
      </c>
      <c r="G62" s="27" t="s">
        <v>269</v>
      </c>
      <c r="H62" s="27" t="s">
        <v>270</v>
      </c>
      <c r="I62" s="27"/>
      <c r="J62" s="27"/>
      <c r="K62" s="27" t="s">
        <v>3147</v>
      </c>
      <c r="L62" s="27"/>
      <c r="M62" s="30">
        <v>45825</v>
      </c>
      <c r="N62" s="1" t="s">
        <v>264</v>
      </c>
      <c r="O62" s="27" t="s">
        <v>3148</v>
      </c>
      <c r="P62" s="27"/>
    </row>
    <row r="63" spans="1:16" ht="24" customHeight="1">
      <c r="A63" s="30">
        <v>45827</v>
      </c>
      <c r="B63" s="27" t="s">
        <v>216</v>
      </c>
      <c r="C63" s="27" t="s">
        <v>2740</v>
      </c>
      <c r="D63" s="27" t="s">
        <v>1246</v>
      </c>
      <c r="E63" s="10">
        <v>2</v>
      </c>
      <c r="F63" s="36" t="s">
        <v>263</v>
      </c>
      <c r="G63" s="27" t="s">
        <v>269</v>
      </c>
      <c r="H63" s="27" t="s">
        <v>270</v>
      </c>
      <c r="I63" s="27"/>
      <c r="J63" s="27"/>
      <c r="K63" s="27" t="s">
        <v>335</v>
      </c>
      <c r="L63" s="27"/>
      <c r="M63" s="30">
        <v>45821</v>
      </c>
      <c r="N63" s="1" t="s">
        <v>264</v>
      </c>
      <c r="O63" s="27" t="s">
        <v>3149</v>
      </c>
      <c r="P63" s="27"/>
    </row>
    <row r="64" spans="1:16" ht="24" customHeight="1">
      <c r="A64" s="30">
        <v>45827</v>
      </c>
      <c r="B64" s="27" t="s">
        <v>216</v>
      </c>
      <c r="C64" s="27" t="s">
        <v>2715</v>
      </c>
      <c r="D64" s="27" t="s">
        <v>1246</v>
      </c>
      <c r="E64" s="10">
        <v>3</v>
      </c>
      <c r="F64" s="36" t="s">
        <v>263</v>
      </c>
      <c r="G64" s="27" t="s">
        <v>269</v>
      </c>
      <c r="H64" s="27" t="s">
        <v>270</v>
      </c>
      <c r="I64" s="27"/>
      <c r="J64" s="27"/>
      <c r="K64" s="27" t="s">
        <v>335</v>
      </c>
      <c r="L64" s="27"/>
      <c r="M64" s="30">
        <v>45821</v>
      </c>
      <c r="N64" s="1" t="s">
        <v>264</v>
      </c>
      <c r="O64" s="27" t="s">
        <v>3149</v>
      </c>
      <c r="P64" s="27"/>
    </row>
    <row r="65" spans="1:16" ht="24" customHeight="1">
      <c r="A65" s="30">
        <v>45827</v>
      </c>
      <c r="B65" s="27" t="s">
        <v>216</v>
      </c>
      <c r="C65" s="27" t="s">
        <v>954</v>
      </c>
      <c r="D65" s="27" t="s">
        <v>3158</v>
      </c>
      <c r="E65" s="10">
        <v>18</v>
      </c>
      <c r="F65" s="36" t="s">
        <v>263</v>
      </c>
      <c r="G65" s="27" t="s">
        <v>330</v>
      </c>
      <c r="H65" s="27" t="s">
        <v>270</v>
      </c>
      <c r="I65" s="27"/>
      <c r="J65" s="27"/>
      <c r="K65" s="27" t="s">
        <v>688</v>
      </c>
      <c r="L65" s="27"/>
      <c r="M65" s="27"/>
      <c r="N65" s="1" t="s">
        <v>264</v>
      </c>
      <c r="O65" s="27" t="s">
        <v>3159</v>
      </c>
      <c r="P65" s="27"/>
    </row>
    <row r="66" spans="1:16" ht="24" customHeight="1">
      <c r="A66" s="30">
        <v>45827</v>
      </c>
      <c r="B66" s="27" t="s">
        <v>216</v>
      </c>
      <c r="C66" s="27" t="s">
        <v>171</v>
      </c>
      <c r="D66" s="27" t="s">
        <v>2809</v>
      </c>
      <c r="E66" s="10"/>
      <c r="F66" s="36" t="s">
        <v>263</v>
      </c>
      <c r="G66" s="27" t="s">
        <v>269</v>
      </c>
      <c r="H66" s="27" t="s">
        <v>270</v>
      </c>
      <c r="I66" s="27"/>
      <c r="J66" s="27"/>
      <c r="K66" s="27" t="s">
        <v>2584</v>
      </c>
      <c r="L66" s="27"/>
      <c r="M66" s="30">
        <v>45693</v>
      </c>
      <c r="N66" s="3" t="s">
        <v>312</v>
      </c>
      <c r="O66" s="27" t="s">
        <v>901</v>
      </c>
      <c r="P66" s="27"/>
    </row>
    <row r="67" spans="1:16" ht="24" customHeight="1">
      <c r="A67" s="30">
        <v>45828</v>
      </c>
      <c r="B67" s="27" t="s">
        <v>220</v>
      </c>
      <c r="C67" s="27" t="s">
        <v>239</v>
      </c>
      <c r="D67" s="27" t="s">
        <v>3160</v>
      </c>
      <c r="E67" s="10">
        <v>80</v>
      </c>
      <c r="F67" s="36" t="s">
        <v>263</v>
      </c>
      <c r="G67" s="27" t="s">
        <v>295</v>
      </c>
      <c r="H67" s="27" t="s">
        <v>296</v>
      </c>
      <c r="I67" s="27"/>
      <c r="J67" s="27"/>
      <c r="K67" s="27" t="s">
        <v>1435</v>
      </c>
      <c r="L67" s="27"/>
      <c r="M67" s="30">
        <v>45812</v>
      </c>
      <c r="N67" s="1" t="s">
        <v>264</v>
      </c>
      <c r="O67" s="27" t="s">
        <v>298</v>
      </c>
      <c r="P67" s="27"/>
    </row>
    <row r="68" spans="1:16" ht="24" customHeight="1">
      <c r="A68" s="30">
        <v>45828</v>
      </c>
      <c r="B68" s="27" t="s">
        <v>220</v>
      </c>
      <c r="C68" s="27" t="s">
        <v>171</v>
      </c>
      <c r="D68" s="27" t="s">
        <v>3161</v>
      </c>
      <c r="E68" s="10">
        <v>60</v>
      </c>
      <c r="F68" s="36" t="s">
        <v>263</v>
      </c>
      <c r="G68" s="27" t="s">
        <v>296</v>
      </c>
      <c r="H68" s="27" t="s">
        <v>270</v>
      </c>
      <c r="I68" s="27"/>
      <c r="J68" s="27"/>
      <c r="K68" s="27" t="s">
        <v>3162</v>
      </c>
      <c r="L68" s="27"/>
      <c r="M68" s="30">
        <v>45828</v>
      </c>
      <c r="N68" s="1" t="s">
        <v>264</v>
      </c>
      <c r="O68" s="27" t="s">
        <v>321</v>
      </c>
      <c r="P68" s="27"/>
    </row>
    <row r="69" spans="1:16" ht="24" customHeight="1">
      <c r="A69" s="30">
        <v>45828</v>
      </c>
      <c r="B69" s="27" t="s">
        <v>220</v>
      </c>
      <c r="C69" s="27" t="s">
        <v>171</v>
      </c>
      <c r="D69" s="27" t="s">
        <v>3163</v>
      </c>
      <c r="E69" s="10">
        <v>60</v>
      </c>
      <c r="F69" s="36" t="s">
        <v>263</v>
      </c>
      <c r="G69" s="27" t="s">
        <v>295</v>
      </c>
      <c r="H69" s="27" t="s">
        <v>296</v>
      </c>
      <c r="I69" s="27"/>
      <c r="J69" s="27"/>
      <c r="K69" s="27" t="s">
        <v>3009</v>
      </c>
      <c r="L69" s="27"/>
      <c r="M69" s="30">
        <v>45824</v>
      </c>
      <c r="N69" s="1" t="s">
        <v>264</v>
      </c>
      <c r="O69" s="27" t="s">
        <v>1313</v>
      </c>
      <c r="P69" s="27"/>
    </row>
    <row r="70" spans="1:16" ht="24" customHeight="1">
      <c r="A70" s="30">
        <v>45828</v>
      </c>
      <c r="B70" s="27" t="s">
        <v>220</v>
      </c>
      <c r="C70" s="27" t="s">
        <v>171</v>
      </c>
      <c r="D70" s="27" t="s">
        <v>3124</v>
      </c>
      <c r="E70" s="10">
        <v>30</v>
      </c>
      <c r="F70" s="36" t="s">
        <v>263</v>
      </c>
      <c r="G70" s="27" t="s">
        <v>289</v>
      </c>
      <c r="H70" s="27" t="s">
        <v>290</v>
      </c>
      <c r="I70" s="27"/>
      <c r="J70" s="27"/>
      <c r="K70" s="27" t="s">
        <v>675</v>
      </c>
      <c r="L70" s="27"/>
      <c r="M70" s="27"/>
      <c r="N70" s="3" t="s">
        <v>312</v>
      </c>
      <c r="O70" s="27" t="s">
        <v>298</v>
      </c>
      <c r="P70" s="27"/>
    </row>
    <row r="71" spans="1:16" ht="24" customHeight="1">
      <c r="A71" s="30">
        <v>45829</v>
      </c>
      <c r="B71" s="27" t="s">
        <v>266</v>
      </c>
      <c r="C71" s="27" t="s">
        <v>300</v>
      </c>
      <c r="D71" s="27"/>
      <c r="E71" s="10"/>
      <c r="F71" s="36" t="s">
        <v>263</v>
      </c>
      <c r="G71" s="27" t="s">
        <v>269</v>
      </c>
      <c r="H71" s="27"/>
      <c r="I71" s="27"/>
      <c r="J71" s="27"/>
      <c r="K71" s="27" t="s">
        <v>1025</v>
      </c>
      <c r="L71" s="27"/>
      <c r="M71" s="27"/>
      <c r="N71" s="1" t="s">
        <v>264</v>
      </c>
      <c r="O71" s="27" t="s">
        <v>3125</v>
      </c>
      <c r="P71" s="27"/>
    </row>
    <row r="72" spans="1:16" ht="24" customHeight="1">
      <c r="A72" s="30">
        <v>45830</v>
      </c>
      <c r="B72" s="27" t="s">
        <v>267</v>
      </c>
      <c r="C72" s="27"/>
      <c r="D72" s="27"/>
      <c r="E72" s="10"/>
      <c r="F72" s="36" t="s">
        <v>263</v>
      </c>
      <c r="G72" s="27"/>
      <c r="H72" s="27"/>
      <c r="I72" s="27"/>
      <c r="J72" s="27"/>
      <c r="K72" s="27"/>
      <c r="L72" s="27"/>
      <c r="M72" s="27"/>
      <c r="N72" s="1" t="s">
        <v>264</v>
      </c>
      <c r="O72" s="27"/>
      <c r="P72" s="27"/>
    </row>
    <row r="73" spans="1:16" ht="24" customHeight="1">
      <c r="A73" s="30">
        <v>45831</v>
      </c>
      <c r="B73" s="27" t="s">
        <v>224</v>
      </c>
      <c r="C73" s="27" t="s">
        <v>326</v>
      </c>
      <c r="D73" s="27" t="s">
        <v>2809</v>
      </c>
      <c r="E73" s="10">
        <v>35</v>
      </c>
      <c r="F73" s="36" t="s">
        <v>263</v>
      </c>
      <c r="G73" s="27" t="s">
        <v>269</v>
      </c>
      <c r="H73" s="27" t="s">
        <v>270</v>
      </c>
      <c r="I73" s="27"/>
      <c r="J73" s="27"/>
      <c r="K73" s="27" t="s">
        <v>2584</v>
      </c>
      <c r="L73" s="27"/>
      <c r="M73" s="30">
        <v>45693</v>
      </c>
      <c r="N73" s="1" t="s">
        <v>264</v>
      </c>
      <c r="O73" s="27" t="s">
        <v>3164</v>
      </c>
      <c r="P73" s="27"/>
    </row>
    <row r="74" spans="1:16" ht="24" customHeight="1">
      <c r="A74" s="30">
        <v>45831</v>
      </c>
      <c r="B74" s="27" t="s">
        <v>224</v>
      </c>
      <c r="C74" s="27" t="s">
        <v>171</v>
      </c>
      <c r="D74" s="27" t="s">
        <v>3165</v>
      </c>
      <c r="E74" s="10">
        <v>40</v>
      </c>
      <c r="F74" s="36" t="s">
        <v>263</v>
      </c>
      <c r="G74" s="27" t="s">
        <v>315</v>
      </c>
      <c r="H74" s="27" t="s">
        <v>429</v>
      </c>
      <c r="I74" s="27"/>
      <c r="J74" s="27"/>
      <c r="K74" s="27" t="s">
        <v>2753</v>
      </c>
      <c r="L74" s="27"/>
      <c r="M74" s="30">
        <v>45813</v>
      </c>
      <c r="N74" s="1" t="s">
        <v>264</v>
      </c>
      <c r="O74" s="27" t="s">
        <v>298</v>
      </c>
      <c r="P74" s="27"/>
    </row>
    <row r="75" spans="1:16" ht="24" customHeight="1">
      <c r="A75" s="30">
        <v>45831</v>
      </c>
      <c r="B75" s="27" t="s">
        <v>224</v>
      </c>
      <c r="C75" s="27" t="s">
        <v>2963</v>
      </c>
      <c r="D75" s="27" t="s">
        <v>3166</v>
      </c>
      <c r="E75" s="10">
        <v>40</v>
      </c>
      <c r="F75" s="36" t="s">
        <v>263</v>
      </c>
      <c r="G75" s="27" t="s">
        <v>354</v>
      </c>
      <c r="H75" s="27" t="s">
        <v>350</v>
      </c>
      <c r="I75" s="27"/>
      <c r="J75" s="27"/>
      <c r="K75" s="27" t="s">
        <v>367</v>
      </c>
      <c r="L75" s="27"/>
      <c r="M75" s="30">
        <v>45828</v>
      </c>
      <c r="N75" s="1" t="s">
        <v>264</v>
      </c>
      <c r="O75" s="27" t="s">
        <v>3167</v>
      </c>
      <c r="P75" s="27"/>
    </row>
    <row r="76" spans="1:16" ht="24" customHeight="1">
      <c r="A76" s="30">
        <v>45831</v>
      </c>
      <c r="B76" s="27" t="s">
        <v>224</v>
      </c>
      <c r="C76" s="27" t="s">
        <v>954</v>
      </c>
      <c r="D76" s="27" t="s">
        <v>3168</v>
      </c>
      <c r="E76" s="10">
        <v>40</v>
      </c>
      <c r="F76" s="36" t="s">
        <v>263</v>
      </c>
      <c r="G76" s="27" t="s">
        <v>350</v>
      </c>
      <c r="H76" s="27" t="s">
        <v>295</v>
      </c>
      <c r="I76" s="27"/>
      <c r="J76" s="27"/>
      <c r="K76" s="27" t="s">
        <v>351</v>
      </c>
      <c r="L76" s="27"/>
      <c r="M76" s="30">
        <v>45831</v>
      </c>
      <c r="N76" s="1" t="s">
        <v>264</v>
      </c>
      <c r="O76" s="27" t="s">
        <v>298</v>
      </c>
      <c r="P76" s="27"/>
    </row>
    <row r="77" spans="1:16" ht="24" customHeight="1">
      <c r="A77" s="30">
        <v>45832</v>
      </c>
      <c r="B77" s="27" t="s">
        <v>227</v>
      </c>
      <c r="C77" s="27" t="s">
        <v>486</v>
      </c>
      <c r="D77" s="27" t="s">
        <v>1589</v>
      </c>
      <c r="E77" s="10">
        <v>60</v>
      </c>
      <c r="F77" s="36" t="s">
        <v>263</v>
      </c>
      <c r="G77" s="27" t="s">
        <v>295</v>
      </c>
      <c r="H77" s="27" t="s">
        <v>296</v>
      </c>
      <c r="I77" s="27"/>
      <c r="J77" s="27"/>
      <c r="K77" s="27" t="s">
        <v>367</v>
      </c>
      <c r="L77" s="27"/>
      <c r="M77" s="30">
        <v>45824</v>
      </c>
      <c r="N77" s="1" t="s">
        <v>264</v>
      </c>
      <c r="O77" s="27" t="s">
        <v>298</v>
      </c>
      <c r="P77" s="27"/>
    </row>
    <row r="78" spans="1:16" ht="24" customHeight="1">
      <c r="A78" s="30">
        <v>45832</v>
      </c>
      <c r="B78" s="27" t="s">
        <v>227</v>
      </c>
      <c r="C78" s="27" t="s">
        <v>326</v>
      </c>
      <c r="D78" s="27" t="s">
        <v>3169</v>
      </c>
      <c r="E78" s="10">
        <v>30</v>
      </c>
      <c r="F78" s="36" t="s">
        <v>263</v>
      </c>
      <c r="G78" s="27" t="s">
        <v>289</v>
      </c>
      <c r="H78" s="27" t="s">
        <v>359</v>
      </c>
      <c r="I78" s="27"/>
      <c r="J78" s="27"/>
      <c r="K78" s="27" t="s">
        <v>237</v>
      </c>
      <c r="L78" s="27"/>
      <c r="M78" s="30">
        <v>45828</v>
      </c>
      <c r="N78" s="1" t="s">
        <v>264</v>
      </c>
      <c r="O78" s="27" t="s">
        <v>3170</v>
      </c>
      <c r="P78" s="27"/>
    </row>
    <row r="79" spans="1:16" ht="24" customHeight="1">
      <c r="A79" s="30">
        <v>45832</v>
      </c>
      <c r="B79" s="27" t="s">
        <v>227</v>
      </c>
      <c r="C79" s="27" t="s">
        <v>171</v>
      </c>
      <c r="D79" s="27" t="s">
        <v>3171</v>
      </c>
      <c r="E79" s="10">
        <v>35</v>
      </c>
      <c r="F79" s="36" t="s">
        <v>263</v>
      </c>
      <c r="G79" s="27" t="s">
        <v>309</v>
      </c>
      <c r="H79" s="27" t="s">
        <v>296</v>
      </c>
      <c r="I79" s="27"/>
      <c r="J79" s="27"/>
      <c r="K79" s="27" t="s">
        <v>351</v>
      </c>
      <c r="L79" s="27"/>
      <c r="M79" s="30">
        <v>45786</v>
      </c>
      <c r="N79" s="3" t="s">
        <v>312</v>
      </c>
      <c r="O79" s="27" t="s">
        <v>3111</v>
      </c>
      <c r="P79" s="27"/>
    </row>
    <row r="80" spans="1:16" ht="24" customHeight="1">
      <c r="A80" s="30">
        <v>45833</v>
      </c>
      <c r="B80" s="27" t="s">
        <v>201</v>
      </c>
      <c r="C80" s="27" t="s">
        <v>954</v>
      </c>
      <c r="D80" s="27" t="s">
        <v>3172</v>
      </c>
      <c r="E80" s="10">
        <v>40</v>
      </c>
      <c r="F80" s="36" t="s">
        <v>263</v>
      </c>
      <c r="G80" s="27" t="s">
        <v>275</v>
      </c>
      <c r="H80" s="27" t="s">
        <v>309</v>
      </c>
      <c r="I80" s="27"/>
      <c r="J80" s="27"/>
      <c r="K80" s="27" t="s">
        <v>3173</v>
      </c>
      <c r="L80" s="27"/>
      <c r="M80" s="30">
        <v>45831</v>
      </c>
      <c r="N80" s="1" t="s">
        <v>264</v>
      </c>
      <c r="O80" s="27" t="s">
        <v>298</v>
      </c>
      <c r="P80" s="27"/>
    </row>
    <row r="81" spans="1:16" ht="24" customHeight="1">
      <c r="A81" s="30">
        <v>45833</v>
      </c>
      <c r="B81" s="27" t="s">
        <v>201</v>
      </c>
      <c r="C81" s="27" t="s">
        <v>1469</v>
      </c>
      <c r="D81" s="27" t="s">
        <v>3120</v>
      </c>
      <c r="E81" s="10">
        <v>35</v>
      </c>
      <c r="F81" s="36" t="s">
        <v>263</v>
      </c>
      <c r="G81" s="27" t="s">
        <v>289</v>
      </c>
      <c r="H81" s="27" t="s">
        <v>290</v>
      </c>
      <c r="I81" s="27"/>
      <c r="J81" s="27"/>
      <c r="K81" s="27" t="s">
        <v>237</v>
      </c>
      <c r="L81" s="27"/>
      <c r="M81" s="30">
        <v>45812</v>
      </c>
      <c r="N81" s="3" t="s">
        <v>312</v>
      </c>
      <c r="O81" s="27" t="s">
        <v>1177</v>
      </c>
      <c r="P81" s="27" t="s">
        <v>3174</v>
      </c>
    </row>
    <row r="82" spans="1:16" ht="24" customHeight="1">
      <c r="A82" s="30">
        <v>45833</v>
      </c>
      <c r="B82" s="27" t="s">
        <v>201</v>
      </c>
      <c r="C82" s="27" t="s">
        <v>171</v>
      </c>
      <c r="D82" s="27" t="s">
        <v>3171</v>
      </c>
      <c r="E82" s="10">
        <v>35</v>
      </c>
      <c r="F82" s="36" t="s">
        <v>263</v>
      </c>
      <c r="G82" s="27" t="s">
        <v>309</v>
      </c>
      <c r="H82" s="27" t="s">
        <v>290</v>
      </c>
      <c r="I82" s="27"/>
      <c r="J82" s="27"/>
      <c r="K82" s="27" t="s">
        <v>351</v>
      </c>
      <c r="L82" s="27"/>
      <c r="M82" s="30">
        <v>45786</v>
      </c>
      <c r="N82" s="1" t="s">
        <v>264</v>
      </c>
      <c r="O82" s="27" t="s">
        <v>298</v>
      </c>
      <c r="P82" s="27"/>
    </row>
    <row r="83" spans="1:16" ht="24" customHeight="1">
      <c r="A83" s="30">
        <v>45833</v>
      </c>
      <c r="B83" s="27" t="s">
        <v>201</v>
      </c>
      <c r="C83" s="27" t="s">
        <v>326</v>
      </c>
      <c r="D83" s="27" t="s">
        <v>3175</v>
      </c>
      <c r="E83" s="10">
        <v>30</v>
      </c>
      <c r="F83" s="36" t="s">
        <v>263</v>
      </c>
      <c r="G83" s="27" t="s">
        <v>289</v>
      </c>
      <c r="H83" s="27" t="s">
        <v>359</v>
      </c>
      <c r="I83" s="27"/>
      <c r="J83" s="27"/>
      <c r="K83" s="27" t="s">
        <v>237</v>
      </c>
      <c r="L83" s="27"/>
      <c r="M83" s="30">
        <v>45828</v>
      </c>
      <c r="N83" s="1" t="s">
        <v>264</v>
      </c>
      <c r="O83" s="27" t="s">
        <v>3170</v>
      </c>
      <c r="P83" s="27"/>
    </row>
    <row r="84" spans="1:16" ht="24" customHeight="1">
      <c r="A84" s="30">
        <v>45834</v>
      </c>
      <c r="B84" s="27" t="s">
        <v>216</v>
      </c>
      <c r="C84" s="27" t="s">
        <v>954</v>
      </c>
      <c r="D84" s="27" t="s">
        <v>3168</v>
      </c>
      <c r="E84" s="10">
        <v>40</v>
      </c>
      <c r="F84" s="36" t="s">
        <v>263</v>
      </c>
      <c r="G84" s="27" t="s">
        <v>350</v>
      </c>
      <c r="H84" s="27" t="s">
        <v>295</v>
      </c>
      <c r="I84" s="27"/>
      <c r="J84" s="27"/>
      <c r="K84" s="27" t="s">
        <v>351</v>
      </c>
      <c r="L84" s="27"/>
      <c r="M84" s="30">
        <v>45831</v>
      </c>
      <c r="N84" s="1" t="s">
        <v>264</v>
      </c>
      <c r="O84" s="27" t="s">
        <v>1177</v>
      </c>
      <c r="P84" s="27"/>
    </row>
    <row r="85" spans="1:16" ht="24" customHeight="1">
      <c r="A85" s="30">
        <v>45834</v>
      </c>
      <c r="B85" s="27" t="s">
        <v>216</v>
      </c>
      <c r="C85" s="27" t="s">
        <v>326</v>
      </c>
      <c r="D85" s="27" t="s">
        <v>3176</v>
      </c>
      <c r="E85" s="10">
        <v>30</v>
      </c>
      <c r="F85" s="36" t="s">
        <v>263</v>
      </c>
      <c r="G85" s="27" t="s">
        <v>289</v>
      </c>
      <c r="H85" s="27" t="s">
        <v>359</v>
      </c>
      <c r="I85" s="27"/>
      <c r="J85" s="27"/>
      <c r="K85" s="27" t="s">
        <v>237</v>
      </c>
      <c r="L85" s="27"/>
      <c r="M85" s="30">
        <v>45828</v>
      </c>
      <c r="N85" s="1" t="s">
        <v>264</v>
      </c>
      <c r="O85" s="27" t="s">
        <v>3170</v>
      </c>
      <c r="P85" s="27"/>
    </row>
    <row r="86" spans="1:16" ht="24" customHeight="1">
      <c r="A86" s="30">
        <v>45834</v>
      </c>
      <c r="B86" s="27" t="s">
        <v>216</v>
      </c>
      <c r="C86" s="27" t="s">
        <v>171</v>
      </c>
      <c r="D86" s="27" t="s">
        <v>2666</v>
      </c>
      <c r="E86" s="10">
        <v>40</v>
      </c>
      <c r="F86" s="36" t="s">
        <v>263</v>
      </c>
      <c r="G86" s="27" t="s">
        <v>295</v>
      </c>
      <c r="H86" s="27" t="s">
        <v>270</v>
      </c>
      <c r="I86" s="27"/>
      <c r="J86" s="27"/>
      <c r="K86" s="27" t="s">
        <v>3177</v>
      </c>
      <c r="L86" s="27"/>
      <c r="M86" s="30">
        <v>45833</v>
      </c>
      <c r="N86" s="1" t="s">
        <v>264</v>
      </c>
      <c r="O86" s="27" t="s">
        <v>3178</v>
      </c>
      <c r="P86" s="27"/>
    </row>
    <row r="87" spans="1:16" ht="24" customHeight="1">
      <c r="A87" s="30">
        <v>45834</v>
      </c>
      <c r="B87" s="27" t="s">
        <v>216</v>
      </c>
      <c r="C87" s="27" t="s">
        <v>171</v>
      </c>
      <c r="D87" s="27" t="s">
        <v>2809</v>
      </c>
      <c r="E87" s="10"/>
      <c r="F87" s="36" t="s">
        <v>263</v>
      </c>
      <c r="G87" s="27" t="s">
        <v>269</v>
      </c>
      <c r="H87" s="27" t="s">
        <v>270</v>
      </c>
      <c r="I87" s="27"/>
      <c r="J87" s="27"/>
      <c r="K87" s="27" t="s">
        <v>2584</v>
      </c>
      <c r="L87" s="27"/>
      <c r="M87" s="30">
        <v>45693</v>
      </c>
      <c r="N87" s="3" t="s">
        <v>312</v>
      </c>
      <c r="O87" s="27"/>
      <c r="P87" s="27"/>
    </row>
    <row r="88" spans="1:16" ht="24" customHeight="1">
      <c r="A88" s="30">
        <v>45835</v>
      </c>
      <c r="B88" s="27" t="s">
        <v>220</v>
      </c>
      <c r="C88" s="27" t="s">
        <v>326</v>
      </c>
      <c r="D88" s="27" t="s">
        <v>3168</v>
      </c>
      <c r="E88" s="10">
        <v>40</v>
      </c>
      <c r="F88" s="36" t="s">
        <v>263</v>
      </c>
      <c r="G88" s="27" t="s">
        <v>350</v>
      </c>
      <c r="H88" s="27" t="s">
        <v>295</v>
      </c>
      <c r="I88" s="27"/>
      <c r="J88" s="27"/>
      <c r="K88" s="27" t="s">
        <v>351</v>
      </c>
      <c r="L88" s="27"/>
      <c r="M88" s="30">
        <v>45831</v>
      </c>
      <c r="N88" s="1" t="s">
        <v>264</v>
      </c>
      <c r="O88" s="27" t="s">
        <v>298</v>
      </c>
      <c r="P88" s="27"/>
    </row>
    <row r="89" spans="1:16" ht="24" customHeight="1">
      <c r="A89" s="30">
        <v>45835</v>
      </c>
      <c r="B89" s="27" t="s">
        <v>220</v>
      </c>
      <c r="C89" s="27" t="s">
        <v>171</v>
      </c>
      <c r="D89" s="27" t="s">
        <v>1326</v>
      </c>
      <c r="E89" s="10">
        <v>60</v>
      </c>
      <c r="F89" s="36" t="s">
        <v>263</v>
      </c>
      <c r="G89" s="27" t="s">
        <v>309</v>
      </c>
      <c r="H89" s="27" t="s">
        <v>295</v>
      </c>
      <c r="I89" s="27"/>
      <c r="J89" s="27"/>
      <c r="K89" s="27" t="s">
        <v>3009</v>
      </c>
      <c r="L89" s="27"/>
      <c r="M89" s="30">
        <v>45824</v>
      </c>
      <c r="N89" s="1" t="s">
        <v>264</v>
      </c>
      <c r="O89" s="27" t="s">
        <v>298</v>
      </c>
      <c r="P89" s="27"/>
    </row>
    <row r="90" spans="1:16" ht="24" customHeight="1">
      <c r="A90" s="30">
        <v>45835</v>
      </c>
      <c r="B90" s="27" t="s">
        <v>220</v>
      </c>
      <c r="C90" s="27" t="s">
        <v>171</v>
      </c>
      <c r="D90" s="27"/>
      <c r="E90" s="10"/>
      <c r="F90" s="36" t="s">
        <v>263</v>
      </c>
      <c r="G90" s="27" t="s">
        <v>295</v>
      </c>
      <c r="H90" s="27" t="s">
        <v>296</v>
      </c>
      <c r="I90" s="27"/>
      <c r="J90" s="27"/>
      <c r="K90" s="27" t="s">
        <v>351</v>
      </c>
      <c r="L90" s="27"/>
      <c r="M90" s="27"/>
      <c r="N90" s="3" t="s">
        <v>312</v>
      </c>
      <c r="O90" s="27" t="s">
        <v>901</v>
      </c>
      <c r="P90" s="27"/>
    </row>
    <row r="91" spans="1:16" ht="24" customHeight="1">
      <c r="A91" s="30">
        <v>45836</v>
      </c>
      <c r="B91" s="27" t="s">
        <v>266</v>
      </c>
      <c r="C91" s="27" t="s">
        <v>300</v>
      </c>
      <c r="D91" s="27"/>
      <c r="E91" s="10"/>
      <c r="F91" s="36" t="s">
        <v>263</v>
      </c>
      <c r="G91" s="27" t="s">
        <v>269</v>
      </c>
      <c r="H91" s="27"/>
      <c r="I91" s="27"/>
      <c r="J91" s="27"/>
      <c r="K91" s="27" t="s">
        <v>1025</v>
      </c>
      <c r="L91" s="27"/>
      <c r="M91" s="27"/>
      <c r="N91" s="1" t="s">
        <v>264</v>
      </c>
      <c r="O91" s="27" t="s">
        <v>3125</v>
      </c>
      <c r="P91" s="27"/>
    </row>
    <row r="92" spans="1:16" ht="24" customHeight="1">
      <c r="A92" s="30">
        <v>45837</v>
      </c>
      <c r="B92" s="27" t="s">
        <v>267</v>
      </c>
      <c r="C92" s="27"/>
      <c r="D92" s="27"/>
      <c r="E92" s="10"/>
      <c r="F92" s="36" t="s">
        <v>263</v>
      </c>
      <c r="G92" s="27"/>
      <c r="H92" s="27"/>
      <c r="I92" s="27"/>
      <c r="J92" s="27"/>
      <c r="K92" s="27"/>
      <c r="L92" s="27"/>
      <c r="M92" s="27"/>
      <c r="N92" s="1" t="s">
        <v>264</v>
      </c>
      <c r="O92" s="27"/>
      <c r="P92" s="27"/>
    </row>
    <row r="93" spans="1:16" ht="24" customHeight="1">
      <c r="A93" s="30">
        <v>45838</v>
      </c>
      <c r="B93" s="27" t="s">
        <v>224</v>
      </c>
      <c r="C93" s="27" t="s">
        <v>171</v>
      </c>
      <c r="D93" s="27" t="s">
        <v>2809</v>
      </c>
      <c r="E93" s="10"/>
      <c r="F93" s="36" t="s">
        <v>263</v>
      </c>
      <c r="G93" s="27" t="s">
        <v>269</v>
      </c>
      <c r="H93" s="27" t="s">
        <v>270</v>
      </c>
      <c r="I93" s="27"/>
      <c r="J93" s="27"/>
      <c r="K93" s="27" t="s">
        <v>2584</v>
      </c>
      <c r="L93" s="27"/>
      <c r="M93" s="30">
        <v>45693</v>
      </c>
      <c r="N93" s="1" t="s">
        <v>264</v>
      </c>
      <c r="O93" s="27" t="s">
        <v>3179</v>
      </c>
      <c r="P93" s="27"/>
    </row>
    <row r="94" spans="1:16" ht="24" customHeight="1">
      <c r="A94" s="30">
        <v>45838</v>
      </c>
      <c r="B94" s="27" t="s">
        <v>224</v>
      </c>
      <c r="C94" s="27" t="s">
        <v>235</v>
      </c>
      <c r="D94" s="27" t="s">
        <v>2809</v>
      </c>
      <c r="E94" s="10"/>
      <c r="F94" s="36" t="s">
        <v>263</v>
      </c>
      <c r="G94" s="27" t="s">
        <v>269</v>
      </c>
      <c r="H94" s="27" t="s">
        <v>270</v>
      </c>
      <c r="I94" s="27"/>
      <c r="J94" s="27"/>
      <c r="K94" s="27" t="s">
        <v>2584</v>
      </c>
      <c r="L94" s="27"/>
      <c r="M94" s="30">
        <v>45693</v>
      </c>
      <c r="N94" s="1" t="s">
        <v>264</v>
      </c>
      <c r="O94" s="27" t="s">
        <v>3179</v>
      </c>
      <c r="P94" s="27"/>
    </row>
    <row r="95" spans="1:16" ht="24" customHeight="1">
      <c r="A95" s="30">
        <v>45838</v>
      </c>
      <c r="B95" s="27" t="s">
        <v>224</v>
      </c>
      <c r="C95" s="27" t="s">
        <v>2777</v>
      </c>
      <c r="D95" s="27" t="s">
        <v>1246</v>
      </c>
      <c r="E95" s="10"/>
      <c r="F95" s="36" t="s">
        <v>263</v>
      </c>
      <c r="G95" s="27" t="s">
        <v>269</v>
      </c>
      <c r="H95" s="27" t="s">
        <v>270</v>
      </c>
      <c r="I95" s="27"/>
      <c r="J95" s="27"/>
      <c r="K95" s="27" t="s">
        <v>3009</v>
      </c>
      <c r="L95" s="27"/>
      <c r="M95" s="30">
        <v>45835</v>
      </c>
      <c r="N95" s="1" t="s">
        <v>264</v>
      </c>
      <c r="O95" s="27" t="s">
        <v>3180</v>
      </c>
      <c r="P95" s="27"/>
    </row>
  </sheetData>
  <mergeCells count="3">
    <mergeCell ref="A1:C1"/>
    <mergeCell ref="D1:K1"/>
    <mergeCell ref="L1:P1"/>
  </mergeCells>
  <dataValidations count="2">
    <dataValidation type="list" allowBlank="1" sqref="M3:M145 N3:N95" xr:uid="{00000000-0002-0000-2200-000000000000}">
      <formula1>"Confirmed (Done),Pending Calendar Booking,Canceled"</formula1>
    </dataValidation>
    <dataValidation type="list" allowBlank="1" sqref="F3:F95" xr:uid="{00000000-0002-0000-2200-000001000000}">
      <formula1>"Big Event,Small Event"</formula1>
    </dataValidation>
  </dataValidations>
  <hyperlinks>
    <hyperlink ref="A1" location="'Dashboard'!A1" display="🏠 ⮌ RETURN TO DASHBOARD" xr:uid="{00000000-0004-0000-2200-000000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8"/>
  <sheetViews>
    <sheetView workbookViewId="0">
      <pane ySplit="2" topLeftCell="A3" activePane="bottomLeft" state="frozen"/>
      <selection pane="bottomLeft"/>
    </sheetView>
  </sheetViews>
  <sheetFormatPr defaultRowHeight="14.45"/>
  <cols>
    <col min="1" max="1" width="15" customWidth="1"/>
    <col min="2" max="2" width="12" customWidth="1"/>
    <col min="3" max="4" width="48" customWidth="1"/>
    <col min="5" max="5" width="12" customWidth="1"/>
    <col min="6" max="6" width="15" customWidth="1"/>
    <col min="7" max="7" width="19" customWidth="1"/>
    <col min="8" max="8" width="17" customWidth="1"/>
    <col min="9" max="9" width="18" customWidth="1"/>
    <col min="10" max="10" width="22" customWidth="1"/>
    <col min="11" max="11" width="43" customWidth="1"/>
    <col min="12" max="12" width="25" customWidth="1"/>
    <col min="13" max="13" width="15" customWidth="1"/>
    <col min="14" max="14" width="25" customWidth="1"/>
    <col min="15" max="15" width="48" customWidth="1"/>
    <col min="16" max="16" width="34" customWidth="1"/>
  </cols>
  <sheetData>
    <row r="1" spans="1:16" ht="27.95" customHeight="1">
      <c r="A1" s="62" t="s">
        <v>2138</v>
      </c>
      <c r="B1" s="134"/>
      <c r="C1" s="135"/>
      <c r="D1" s="63" t="s">
        <v>3181</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45839</v>
      </c>
      <c r="B3" s="27" t="s">
        <v>227</v>
      </c>
      <c r="C3" s="27" t="s">
        <v>2777</v>
      </c>
      <c r="D3" s="27" t="s">
        <v>1246</v>
      </c>
      <c r="E3" s="10"/>
      <c r="F3" s="36" t="s">
        <v>263</v>
      </c>
      <c r="G3" s="27" t="s">
        <v>269</v>
      </c>
      <c r="H3" s="27" t="s">
        <v>270</v>
      </c>
      <c r="I3" s="27"/>
      <c r="J3" s="27"/>
      <c r="K3" s="27" t="s">
        <v>3009</v>
      </c>
      <c r="L3" s="27"/>
      <c r="M3" s="30">
        <v>45835</v>
      </c>
      <c r="N3" s="1" t="s">
        <v>264</v>
      </c>
      <c r="O3" s="27" t="s">
        <v>3180</v>
      </c>
      <c r="P3" s="27"/>
    </row>
    <row r="4" spans="1:16" ht="24" customHeight="1">
      <c r="A4" s="30">
        <v>45839</v>
      </c>
      <c r="B4" s="27" t="s">
        <v>227</v>
      </c>
      <c r="C4" s="27" t="s">
        <v>171</v>
      </c>
      <c r="D4" s="27" t="s">
        <v>358</v>
      </c>
      <c r="E4" s="10">
        <v>60</v>
      </c>
      <c r="F4" s="36" t="s">
        <v>263</v>
      </c>
      <c r="G4" s="27" t="s">
        <v>289</v>
      </c>
      <c r="H4" s="27" t="s">
        <v>295</v>
      </c>
      <c r="I4" s="27"/>
      <c r="J4" s="27"/>
      <c r="K4" s="27" t="s">
        <v>351</v>
      </c>
      <c r="L4" s="27"/>
      <c r="M4" s="30">
        <v>45821</v>
      </c>
      <c r="N4" s="1" t="s">
        <v>264</v>
      </c>
      <c r="O4" s="27" t="s">
        <v>321</v>
      </c>
      <c r="P4" s="27"/>
    </row>
    <row r="5" spans="1:16" ht="24" customHeight="1">
      <c r="A5" s="30">
        <v>45839</v>
      </c>
      <c r="B5" s="27" t="s">
        <v>227</v>
      </c>
      <c r="C5" s="27" t="s">
        <v>171</v>
      </c>
      <c r="D5" s="27" t="s">
        <v>3182</v>
      </c>
      <c r="E5" s="10">
        <v>60</v>
      </c>
      <c r="F5" s="36" t="s">
        <v>263</v>
      </c>
      <c r="G5" s="27" t="s">
        <v>295</v>
      </c>
      <c r="H5" s="27" t="s">
        <v>290</v>
      </c>
      <c r="I5" s="27"/>
      <c r="J5" s="27"/>
      <c r="K5" s="27" t="s">
        <v>2938</v>
      </c>
      <c r="L5" s="27"/>
      <c r="M5" s="30">
        <v>45810</v>
      </c>
      <c r="N5" s="1" t="s">
        <v>264</v>
      </c>
      <c r="O5" s="27" t="s">
        <v>3183</v>
      </c>
      <c r="P5" s="27"/>
    </row>
    <row r="6" spans="1:16" ht="24" customHeight="1">
      <c r="A6" s="30">
        <v>45840</v>
      </c>
      <c r="B6" s="27" t="s">
        <v>201</v>
      </c>
      <c r="C6" s="27" t="s">
        <v>910</v>
      </c>
      <c r="D6" s="27" t="s">
        <v>3120</v>
      </c>
      <c r="E6" s="10">
        <v>35</v>
      </c>
      <c r="F6" s="36" t="s">
        <v>263</v>
      </c>
      <c r="G6" s="27" t="s">
        <v>289</v>
      </c>
      <c r="H6" s="27" t="s">
        <v>290</v>
      </c>
      <c r="I6" s="27"/>
      <c r="J6" s="27"/>
      <c r="K6" s="27" t="s">
        <v>237</v>
      </c>
      <c r="L6" s="27"/>
      <c r="M6" s="30">
        <v>45812</v>
      </c>
      <c r="N6" s="1" t="s">
        <v>264</v>
      </c>
      <c r="O6" s="27" t="s">
        <v>1177</v>
      </c>
      <c r="P6" s="27"/>
    </row>
    <row r="7" spans="1:16" ht="24" customHeight="1">
      <c r="A7" s="30">
        <v>45840</v>
      </c>
      <c r="B7" s="27" t="s">
        <v>201</v>
      </c>
      <c r="C7" s="27" t="s">
        <v>2777</v>
      </c>
      <c r="D7" s="27" t="s">
        <v>1246</v>
      </c>
      <c r="E7" s="10"/>
      <c r="F7" s="36" t="s">
        <v>263</v>
      </c>
      <c r="G7" s="27" t="s">
        <v>269</v>
      </c>
      <c r="H7" s="27" t="s">
        <v>270</v>
      </c>
      <c r="I7" s="27"/>
      <c r="J7" s="27"/>
      <c r="K7" s="27" t="s">
        <v>3009</v>
      </c>
      <c r="L7" s="27"/>
      <c r="M7" s="30">
        <v>45835</v>
      </c>
      <c r="N7" s="1" t="s">
        <v>264</v>
      </c>
      <c r="O7" s="27" t="s">
        <v>3180</v>
      </c>
      <c r="P7" s="27"/>
    </row>
    <row r="8" spans="1:16" ht="24" customHeight="1">
      <c r="A8" s="30">
        <v>45840</v>
      </c>
      <c r="B8" s="27" t="s">
        <v>201</v>
      </c>
      <c r="C8" s="27" t="s">
        <v>171</v>
      </c>
      <c r="D8" s="27" t="s">
        <v>670</v>
      </c>
      <c r="E8" s="10"/>
      <c r="F8" s="36" t="s">
        <v>263</v>
      </c>
      <c r="G8" s="27" t="s">
        <v>274</v>
      </c>
      <c r="H8" s="27" t="s">
        <v>429</v>
      </c>
      <c r="I8" s="27"/>
      <c r="J8" s="27"/>
      <c r="K8" s="27" t="s">
        <v>2639</v>
      </c>
      <c r="L8" s="27"/>
      <c r="M8" s="30">
        <v>45832</v>
      </c>
      <c r="N8" s="1" t="s">
        <v>264</v>
      </c>
      <c r="O8" s="27" t="s">
        <v>321</v>
      </c>
      <c r="P8" s="27"/>
    </row>
    <row r="9" spans="1:16" ht="24" customHeight="1">
      <c r="A9" s="30">
        <v>45840</v>
      </c>
      <c r="B9" s="27" t="s">
        <v>201</v>
      </c>
      <c r="C9" s="27" t="s">
        <v>171</v>
      </c>
      <c r="D9" s="27" t="s">
        <v>3184</v>
      </c>
      <c r="E9" s="10">
        <v>60</v>
      </c>
      <c r="F9" s="36" t="s">
        <v>263</v>
      </c>
      <c r="G9" s="27" t="s">
        <v>295</v>
      </c>
      <c r="H9" s="27" t="s">
        <v>290</v>
      </c>
      <c r="I9" s="27"/>
      <c r="J9" s="27"/>
      <c r="K9" s="27" t="s">
        <v>367</v>
      </c>
      <c r="L9" s="27"/>
      <c r="M9" s="30">
        <v>45825</v>
      </c>
      <c r="N9" s="1" t="s">
        <v>264</v>
      </c>
      <c r="O9" s="27" t="s">
        <v>321</v>
      </c>
      <c r="P9" s="27"/>
    </row>
    <row r="10" spans="1:16" ht="24" customHeight="1">
      <c r="A10" s="30">
        <v>45841</v>
      </c>
      <c r="B10" s="27" t="s">
        <v>216</v>
      </c>
      <c r="C10" s="27" t="s">
        <v>171</v>
      </c>
      <c r="D10" s="27" t="s">
        <v>2809</v>
      </c>
      <c r="E10" s="10"/>
      <c r="F10" s="36" t="s">
        <v>263</v>
      </c>
      <c r="G10" s="27" t="s">
        <v>269</v>
      </c>
      <c r="H10" s="27" t="s">
        <v>270</v>
      </c>
      <c r="I10" s="27"/>
      <c r="J10" s="27"/>
      <c r="K10" s="27" t="s">
        <v>2584</v>
      </c>
      <c r="L10" s="27"/>
      <c r="M10" s="30">
        <v>45693</v>
      </c>
      <c r="N10" s="3" t="s">
        <v>312</v>
      </c>
      <c r="O10" s="27"/>
      <c r="P10" s="27"/>
    </row>
    <row r="11" spans="1:16" ht="24" customHeight="1">
      <c r="A11" s="30">
        <v>45841</v>
      </c>
      <c r="B11" s="27" t="s">
        <v>216</v>
      </c>
      <c r="C11" s="27" t="s">
        <v>171</v>
      </c>
      <c r="D11" s="27" t="s">
        <v>2666</v>
      </c>
      <c r="E11" s="10"/>
      <c r="F11" s="36" t="s">
        <v>263</v>
      </c>
      <c r="G11" s="27" t="s">
        <v>295</v>
      </c>
      <c r="H11" s="27" t="s">
        <v>270</v>
      </c>
      <c r="I11" s="27"/>
      <c r="J11" s="27"/>
      <c r="K11" s="27" t="s">
        <v>3185</v>
      </c>
      <c r="L11" s="27"/>
      <c r="M11" s="30">
        <v>45840</v>
      </c>
      <c r="N11" s="1" t="s">
        <v>264</v>
      </c>
      <c r="O11" s="27" t="s">
        <v>3186</v>
      </c>
      <c r="P11" s="27"/>
    </row>
    <row r="12" spans="1:16" ht="24" customHeight="1">
      <c r="A12" s="30">
        <v>45842</v>
      </c>
      <c r="B12" s="27" t="s">
        <v>220</v>
      </c>
      <c r="C12" s="27" t="s">
        <v>171</v>
      </c>
      <c r="D12" s="27" t="s">
        <v>334</v>
      </c>
      <c r="E12" s="10">
        <v>65</v>
      </c>
      <c r="F12" s="36" t="s">
        <v>263</v>
      </c>
      <c r="G12" s="27" t="s">
        <v>274</v>
      </c>
      <c r="H12" s="27" t="s">
        <v>330</v>
      </c>
      <c r="I12" s="27"/>
      <c r="J12" s="27"/>
      <c r="K12" s="27" t="s">
        <v>335</v>
      </c>
      <c r="L12" s="27"/>
      <c r="M12" s="30">
        <v>45838</v>
      </c>
      <c r="N12" s="1" t="s">
        <v>264</v>
      </c>
      <c r="O12" s="27"/>
      <c r="P12" s="27"/>
    </row>
    <row r="13" spans="1:16" ht="24" customHeight="1">
      <c r="A13" s="30">
        <v>45842</v>
      </c>
      <c r="B13" s="27" t="s">
        <v>220</v>
      </c>
      <c r="C13" s="27" t="s">
        <v>171</v>
      </c>
      <c r="D13" s="27" t="s">
        <v>3187</v>
      </c>
      <c r="E13" s="10">
        <v>65</v>
      </c>
      <c r="F13" s="36" t="s">
        <v>263</v>
      </c>
      <c r="G13" s="27" t="s">
        <v>1397</v>
      </c>
      <c r="H13" s="27" t="s">
        <v>331</v>
      </c>
      <c r="I13" s="27"/>
      <c r="J13" s="27"/>
      <c r="K13" s="27" t="s">
        <v>335</v>
      </c>
      <c r="L13" s="27"/>
      <c r="M13" s="27"/>
      <c r="N13" s="1" t="s">
        <v>264</v>
      </c>
      <c r="O13" s="27" t="s">
        <v>298</v>
      </c>
      <c r="P13" s="27"/>
    </row>
    <row r="14" spans="1:16" ht="24" customHeight="1">
      <c r="A14" s="30">
        <v>45842</v>
      </c>
      <c r="B14" s="27" t="s">
        <v>220</v>
      </c>
      <c r="C14" s="27" t="s">
        <v>171</v>
      </c>
      <c r="D14" s="27" t="s">
        <v>3188</v>
      </c>
      <c r="E14" s="10">
        <v>60</v>
      </c>
      <c r="F14" s="36" t="s">
        <v>263</v>
      </c>
      <c r="G14" s="27" t="s">
        <v>295</v>
      </c>
      <c r="H14" s="27" t="s">
        <v>296</v>
      </c>
      <c r="I14" s="27"/>
      <c r="J14" s="27"/>
      <c r="K14" s="27" t="s">
        <v>3189</v>
      </c>
      <c r="L14" s="27"/>
      <c r="M14" s="30">
        <v>45838</v>
      </c>
      <c r="N14" s="1" t="s">
        <v>264</v>
      </c>
      <c r="O14" s="27"/>
      <c r="P14" s="27"/>
    </row>
    <row r="15" spans="1:16" ht="24" customHeight="1">
      <c r="A15" s="30">
        <v>45842</v>
      </c>
      <c r="B15" s="27" t="s">
        <v>220</v>
      </c>
      <c r="C15" s="27" t="s">
        <v>171</v>
      </c>
      <c r="D15" s="27"/>
      <c r="E15" s="10"/>
      <c r="F15" s="36" t="s">
        <v>263</v>
      </c>
      <c r="G15" s="27" t="s">
        <v>296</v>
      </c>
      <c r="H15" s="27" t="s">
        <v>270</v>
      </c>
      <c r="I15" s="27"/>
      <c r="J15" s="27"/>
      <c r="K15" s="27" t="s">
        <v>3190</v>
      </c>
      <c r="L15" s="27"/>
      <c r="M15" s="30">
        <v>45840</v>
      </c>
      <c r="N15" s="1" t="s">
        <v>264</v>
      </c>
      <c r="O15" s="27"/>
      <c r="P15" s="27"/>
    </row>
    <row r="16" spans="1:16" ht="24" customHeight="1">
      <c r="A16" s="30">
        <v>45843</v>
      </c>
      <c r="B16" s="27" t="s">
        <v>266</v>
      </c>
      <c r="C16" s="27" t="s">
        <v>3191</v>
      </c>
      <c r="D16" s="27"/>
      <c r="E16" s="10"/>
      <c r="F16" s="36" t="s">
        <v>263</v>
      </c>
      <c r="G16" s="27"/>
      <c r="H16" s="27"/>
      <c r="I16" s="27"/>
      <c r="J16" s="27"/>
      <c r="K16" s="27"/>
      <c r="L16" s="27"/>
      <c r="M16" s="27"/>
      <c r="N16" s="3" t="s">
        <v>312</v>
      </c>
      <c r="O16" s="27"/>
      <c r="P16" s="27"/>
    </row>
    <row r="17" spans="1:16" ht="24" customHeight="1">
      <c r="A17" s="30">
        <v>45844</v>
      </c>
      <c r="B17" s="27" t="s">
        <v>267</v>
      </c>
      <c r="C17" s="27"/>
      <c r="D17" s="27"/>
      <c r="E17" s="10"/>
      <c r="F17" s="36" t="s">
        <v>263</v>
      </c>
      <c r="G17" s="27" t="s">
        <v>295</v>
      </c>
      <c r="H17" s="27" t="s">
        <v>270</v>
      </c>
      <c r="I17" s="27"/>
      <c r="J17" s="27"/>
      <c r="K17" s="27" t="s">
        <v>774</v>
      </c>
      <c r="L17" s="27"/>
      <c r="M17" s="27"/>
      <c r="N17" s="1" t="s">
        <v>264</v>
      </c>
      <c r="O17" s="27"/>
      <c r="P17" s="27"/>
    </row>
    <row r="18" spans="1:16" ht="24" customHeight="1">
      <c r="A18" s="30">
        <v>45845</v>
      </c>
      <c r="B18" s="27" t="s">
        <v>224</v>
      </c>
      <c r="C18" s="27" t="s">
        <v>326</v>
      </c>
      <c r="D18" s="27" t="s">
        <v>2809</v>
      </c>
      <c r="E18" s="10"/>
      <c r="F18" s="36" t="s">
        <v>263</v>
      </c>
      <c r="G18" s="27" t="s">
        <v>269</v>
      </c>
      <c r="H18" s="27" t="s">
        <v>270</v>
      </c>
      <c r="I18" s="27"/>
      <c r="J18" s="27"/>
      <c r="K18" s="27"/>
      <c r="L18" s="27"/>
      <c r="M18" s="27"/>
      <c r="N18" s="1" t="s">
        <v>264</v>
      </c>
      <c r="O18" s="27"/>
      <c r="P18" s="27"/>
    </row>
    <row r="19" spans="1:16" ht="24" customHeight="1">
      <c r="A19" s="30">
        <v>45845</v>
      </c>
      <c r="B19" s="27" t="s">
        <v>224</v>
      </c>
      <c r="C19" s="27" t="s">
        <v>171</v>
      </c>
      <c r="D19" s="27" t="s">
        <v>2809</v>
      </c>
      <c r="E19" s="10"/>
      <c r="F19" s="36" t="s">
        <v>263</v>
      </c>
      <c r="G19" s="27" t="s">
        <v>269</v>
      </c>
      <c r="H19" s="27" t="s">
        <v>270</v>
      </c>
      <c r="I19" s="27"/>
      <c r="J19" s="27"/>
      <c r="K19" s="27" t="s">
        <v>2584</v>
      </c>
      <c r="L19" s="27"/>
      <c r="M19" s="30">
        <v>45693</v>
      </c>
      <c r="N19" s="1" t="s">
        <v>264</v>
      </c>
      <c r="O19" s="27"/>
      <c r="P19" s="27"/>
    </row>
    <row r="20" spans="1:16" ht="24" customHeight="1">
      <c r="A20" s="30">
        <v>45845</v>
      </c>
      <c r="B20" s="27" t="s">
        <v>224</v>
      </c>
      <c r="C20" s="27" t="s">
        <v>3192</v>
      </c>
      <c r="D20" s="27" t="s">
        <v>2975</v>
      </c>
      <c r="E20" s="10"/>
      <c r="F20" s="36" t="s">
        <v>263</v>
      </c>
      <c r="G20" s="27" t="s">
        <v>269</v>
      </c>
      <c r="H20" s="27" t="s">
        <v>270</v>
      </c>
      <c r="I20" s="27"/>
      <c r="J20" s="27"/>
      <c r="K20" s="27" t="s">
        <v>3193</v>
      </c>
      <c r="L20" s="27"/>
      <c r="M20" s="30">
        <v>45841</v>
      </c>
      <c r="N20" s="1" t="s">
        <v>264</v>
      </c>
      <c r="O20" s="27"/>
      <c r="P20" s="27"/>
    </row>
    <row r="21" spans="1:16" ht="24" customHeight="1">
      <c r="A21" s="30">
        <v>45846</v>
      </c>
      <c r="B21" s="27" t="s">
        <v>227</v>
      </c>
      <c r="C21" s="27" t="s">
        <v>3192</v>
      </c>
      <c r="D21" s="27" t="s">
        <v>2975</v>
      </c>
      <c r="E21" s="10"/>
      <c r="F21" s="36" t="s">
        <v>263</v>
      </c>
      <c r="G21" s="27" t="s">
        <v>269</v>
      </c>
      <c r="H21" s="27" t="s">
        <v>270</v>
      </c>
      <c r="I21" s="27"/>
      <c r="J21" s="27"/>
      <c r="K21" s="27" t="s">
        <v>3193</v>
      </c>
      <c r="L21" s="27"/>
      <c r="M21" s="30">
        <v>45841</v>
      </c>
      <c r="N21" s="1" t="s">
        <v>264</v>
      </c>
      <c r="O21" s="27"/>
      <c r="P21" s="27"/>
    </row>
    <row r="22" spans="1:16" ht="24" customHeight="1">
      <c r="A22" s="30">
        <v>45846</v>
      </c>
      <c r="B22" s="27" t="s">
        <v>227</v>
      </c>
      <c r="C22" s="27" t="s">
        <v>171</v>
      </c>
      <c r="D22" s="27" t="s">
        <v>358</v>
      </c>
      <c r="E22" s="10">
        <v>40</v>
      </c>
      <c r="F22" s="36" t="s">
        <v>263</v>
      </c>
      <c r="G22" s="27" t="s">
        <v>295</v>
      </c>
      <c r="H22" s="27" t="s">
        <v>296</v>
      </c>
      <c r="I22" s="27"/>
      <c r="J22" s="27"/>
      <c r="K22" s="27" t="s">
        <v>351</v>
      </c>
      <c r="L22" s="27"/>
      <c r="M22" s="30">
        <v>45821</v>
      </c>
      <c r="N22" s="1" t="s">
        <v>264</v>
      </c>
      <c r="O22" s="27"/>
      <c r="P22" s="27"/>
    </row>
    <row r="23" spans="1:16" ht="24" customHeight="1">
      <c r="A23" s="30">
        <v>45846</v>
      </c>
      <c r="B23" s="27" t="s">
        <v>227</v>
      </c>
      <c r="C23" s="27" t="s">
        <v>171</v>
      </c>
      <c r="D23" s="27" t="s">
        <v>3194</v>
      </c>
      <c r="E23" s="10"/>
      <c r="F23" s="36" t="s">
        <v>263</v>
      </c>
      <c r="G23" s="27" t="s">
        <v>296</v>
      </c>
      <c r="H23" s="27" t="s">
        <v>270</v>
      </c>
      <c r="I23" s="27"/>
      <c r="J23" s="27"/>
      <c r="K23" s="27" t="s">
        <v>3195</v>
      </c>
      <c r="L23" s="27"/>
      <c r="M23" s="30">
        <v>45846</v>
      </c>
      <c r="N23" s="1" t="s">
        <v>264</v>
      </c>
      <c r="O23" s="27"/>
      <c r="P23" s="27"/>
    </row>
    <row r="24" spans="1:16" ht="24" customHeight="1">
      <c r="A24" s="30">
        <v>45847</v>
      </c>
      <c r="B24" s="27" t="s">
        <v>201</v>
      </c>
      <c r="C24" s="27" t="s">
        <v>326</v>
      </c>
      <c r="D24" s="27" t="s">
        <v>3196</v>
      </c>
      <c r="E24" s="10">
        <v>30</v>
      </c>
      <c r="F24" s="36" t="s">
        <v>263</v>
      </c>
      <c r="G24" s="27" t="s">
        <v>289</v>
      </c>
      <c r="H24" s="27" t="s">
        <v>290</v>
      </c>
      <c r="I24" s="27"/>
      <c r="J24" s="27"/>
      <c r="K24" s="27" t="s">
        <v>3197</v>
      </c>
      <c r="L24" s="27"/>
      <c r="M24" s="30">
        <v>45845</v>
      </c>
      <c r="N24" s="1" t="s">
        <v>264</v>
      </c>
      <c r="O24" s="27" t="s">
        <v>1177</v>
      </c>
      <c r="P24" s="27"/>
    </row>
    <row r="25" spans="1:16" ht="24" customHeight="1">
      <c r="A25" s="30">
        <v>45847</v>
      </c>
      <c r="B25" s="27" t="s">
        <v>201</v>
      </c>
      <c r="C25" s="27" t="s">
        <v>3192</v>
      </c>
      <c r="D25" s="27" t="s">
        <v>2975</v>
      </c>
      <c r="E25" s="10"/>
      <c r="F25" s="36" t="s">
        <v>263</v>
      </c>
      <c r="G25" s="27" t="s">
        <v>269</v>
      </c>
      <c r="H25" s="27" t="s">
        <v>270</v>
      </c>
      <c r="I25" s="27"/>
      <c r="J25" s="27"/>
      <c r="K25" s="27" t="s">
        <v>3193</v>
      </c>
      <c r="L25" s="27"/>
      <c r="M25" s="30">
        <v>45841</v>
      </c>
      <c r="N25" s="1" t="s">
        <v>264</v>
      </c>
      <c r="O25" s="27"/>
      <c r="P25" s="27"/>
    </row>
    <row r="26" spans="1:16" ht="24" customHeight="1">
      <c r="A26" s="30">
        <v>45847</v>
      </c>
      <c r="B26" s="27" t="s">
        <v>201</v>
      </c>
      <c r="C26" s="27" t="s">
        <v>171</v>
      </c>
      <c r="D26" s="27" t="s">
        <v>3198</v>
      </c>
      <c r="E26" s="10">
        <v>50</v>
      </c>
      <c r="F26" s="36" t="s">
        <v>263</v>
      </c>
      <c r="G26" s="27" t="s">
        <v>1405</v>
      </c>
      <c r="H26" s="27" t="s">
        <v>296</v>
      </c>
      <c r="I26" s="27"/>
      <c r="J26" s="27"/>
      <c r="K26" s="27" t="s">
        <v>1435</v>
      </c>
      <c r="L26" s="27"/>
      <c r="M26" s="30">
        <v>45832</v>
      </c>
      <c r="N26" s="1" t="s">
        <v>264</v>
      </c>
      <c r="O26" s="27" t="s">
        <v>321</v>
      </c>
      <c r="P26" s="27"/>
    </row>
    <row r="27" spans="1:16" ht="24" customHeight="1">
      <c r="A27" s="30">
        <v>45848</v>
      </c>
      <c r="B27" s="27" t="s">
        <v>216</v>
      </c>
      <c r="C27" s="27" t="s">
        <v>326</v>
      </c>
      <c r="D27" s="27" t="s">
        <v>3199</v>
      </c>
      <c r="E27" s="10"/>
      <c r="F27" s="36" t="s">
        <v>263</v>
      </c>
      <c r="G27" s="27" t="s">
        <v>330</v>
      </c>
      <c r="H27" s="27" t="s">
        <v>354</v>
      </c>
      <c r="I27" s="27"/>
      <c r="J27" s="27"/>
      <c r="K27" s="27" t="s">
        <v>2668</v>
      </c>
      <c r="L27" s="27"/>
      <c r="M27" s="30">
        <v>45828</v>
      </c>
      <c r="N27" s="1" t="s">
        <v>264</v>
      </c>
      <c r="O27" s="27" t="s">
        <v>321</v>
      </c>
      <c r="P27" s="27"/>
    </row>
    <row r="28" spans="1:16" ht="24" customHeight="1">
      <c r="A28" s="30">
        <v>45848</v>
      </c>
      <c r="B28" s="27" t="s">
        <v>216</v>
      </c>
      <c r="C28" s="27" t="s">
        <v>2844</v>
      </c>
      <c r="D28" s="27" t="s">
        <v>3200</v>
      </c>
      <c r="E28" s="10" t="s">
        <v>2202</v>
      </c>
      <c r="F28" s="38" t="s">
        <v>294</v>
      </c>
      <c r="G28" s="27" t="s">
        <v>295</v>
      </c>
      <c r="H28" s="27" t="s">
        <v>270</v>
      </c>
      <c r="I28" s="27"/>
      <c r="J28" s="27"/>
      <c r="K28" s="27" t="s">
        <v>811</v>
      </c>
      <c r="L28" s="27"/>
      <c r="M28" s="30">
        <v>45812</v>
      </c>
      <c r="N28" s="1" t="s">
        <v>264</v>
      </c>
      <c r="O28" s="27" t="s">
        <v>298</v>
      </c>
      <c r="P28" s="27" t="s">
        <v>3201</v>
      </c>
    </row>
    <row r="29" spans="1:16" ht="24" customHeight="1">
      <c r="A29" s="30">
        <v>45848</v>
      </c>
      <c r="B29" s="27" t="s">
        <v>216</v>
      </c>
      <c r="C29" s="27" t="s">
        <v>3192</v>
      </c>
      <c r="D29" s="27" t="s">
        <v>2975</v>
      </c>
      <c r="E29" s="10"/>
      <c r="F29" s="36" t="s">
        <v>263</v>
      </c>
      <c r="G29" s="27" t="s">
        <v>269</v>
      </c>
      <c r="H29" s="27" t="s">
        <v>270</v>
      </c>
      <c r="I29" s="27"/>
      <c r="J29" s="27"/>
      <c r="K29" s="27" t="s">
        <v>3193</v>
      </c>
      <c r="L29" s="27"/>
      <c r="M29" s="30">
        <v>45841</v>
      </c>
      <c r="N29" s="1" t="s">
        <v>264</v>
      </c>
      <c r="O29" s="27"/>
      <c r="P29" s="27"/>
    </row>
    <row r="30" spans="1:16" ht="24" customHeight="1">
      <c r="A30" s="30">
        <v>45848</v>
      </c>
      <c r="B30" s="27" t="s">
        <v>216</v>
      </c>
      <c r="C30" s="27" t="s">
        <v>326</v>
      </c>
      <c r="D30" s="27" t="s">
        <v>3202</v>
      </c>
      <c r="E30" s="10">
        <v>40</v>
      </c>
      <c r="F30" s="36" t="s">
        <v>263</v>
      </c>
      <c r="G30" s="27" t="s">
        <v>338</v>
      </c>
      <c r="H30" s="27" t="s">
        <v>315</v>
      </c>
      <c r="I30" s="27"/>
      <c r="J30" s="27"/>
      <c r="K30" s="27" t="s">
        <v>583</v>
      </c>
      <c r="L30" s="27"/>
      <c r="M30" s="30">
        <v>45842</v>
      </c>
      <c r="N30" s="1" t="s">
        <v>264</v>
      </c>
      <c r="O30" s="27" t="s">
        <v>321</v>
      </c>
      <c r="P30" s="27"/>
    </row>
    <row r="31" spans="1:16" ht="24" customHeight="1">
      <c r="A31" s="30">
        <v>45848</v>
      </c>
      <c r="B31" s="27" t="s">
        <v>216</v>
      </c>
      <c r="C31" s="27" t="s">
        <v>171</v>
      </c>
      <c r="D31" s="27" t="s">
        <v>3203</v>
      </c>
      <c r="E31" s="10">
        <v>60</v>
      </c>
      <c r="F31" s="36" t="s">
        <v>263</v>
      </c>
      <c r="G31" s="27" t="s">
        <v>315</v>
      </c>
      <c r="H31" s="27" t="s">
        <v>1561</v>
      </c>
      <c r="I31" s="27"/>
      <c r="J31" s="27"/>
      <c r="K31" s="27" t="s">
        <v>3009</v>
      </c>
      <c r="L31" s="27"/>
      <c r="M31" s="30">
        <v>45831</v>
      </c>
      <c r="N31" s="1" t="s">
        <v>264</v>
      </c>
      <c r="O31" s="27" t="s">
        <v>3204</v>
      </c>
      <c r="P31" s="27"/>
    </row>
    <row r="32" spans="1:16" ht="24" customHeight="1">
      <c r="A32" s="30">
        <v>45848</v>
      </c>
      <c r="B32" s="27" t="s">
        <v>216</v>
      </c>
      <c r="C32" s="27" t="s">
        <v>171</v>
      </c>
      <c r="D32" s="27" t="s">
        <v>2809</v>
      </c>
      <c r="E32" s="10"/>
      <c r="F32" s="36" t="s">
        <v>263</v>
      </c>
      <c r="G32" s="27" t="s">
        <v>269</v>
      </c>
      <c r="H32" s="27" t="s">
        <v>270</v>
      </c>
      <c r="I32" s="27"/>
      <c r="J32" s="27"/>
      <c r="K32" s="27" t="s">
        <v>2584</v>
      </c>
      <c r="L32" s="27"/>
      <c r="M32" s="30">
        <v>45693</v>
      </c>
      <c r="N32" s="3" t="s">
        <v>312</v>
      </c>
      <c r="O32" s="27" t="s">
        <v>901</v>
      </c>
      <c r="P32" s="27"/>
    </row>
    <row r="33" spans="1:16" ht="24" customHeight="1">
      <c r="A33" s="30">
        <v>45849</v>
      </c>
      <c r="B33" s="27" t="s">
        <v>220</v>
      </c>
      <c r="C33" s="27" t="s">
        <v>171</v>
      </c>
      <c r="D33" s="27" t="s">
        <v>3205</v>
      </c>
      <c r="E33" s="10">
        <v>25</v>
      </c>
      <c r="F33" s="36" t="s">
        <v>263</v>
      </c>
      <c r="G33" s="27" t="s">
        <v>429</v>
      </c>
      <c r="H33" s="27" t="s">
        <v>275</v>
      </c>
      <c r="I33" s="27"/>
      <c r="J33" s="27"/>
      <c r="K33" s="27" t="s">
        <v>3206</v>
      </c>
      <c r="L33" s="27"/>
      <c r="M33" s="30">
        <v>45847</v>
      </c>
      <c r="N33" s="1" t="s">
        <v>264</v>
      </c>
      <c r="O33" s="27" t="s">
        <v>3207</v>
      </c>
      <c r="P33" s="27"/>
    </row>
    <row r="34" spans="1:16" ht="24" customHeight="1">
      <c r="A34" s="30">
        <v>45849</v>
      </c>
      <c r="B34" s="27" t="s">
        <v>220</v>
      </c>
      <c r="C34" s="27" t="s">
        <v>326</v>
      </c>
      <c r="D34" s="27"/>
      <c r="E34" s="10">
        <v>35</v>
      </c>
      <c r="F34" s="36" t="s">
        <v>263</v>
      </c>
      <c r="G34" s="27" t="s">
        <v>275</v>
      </c>
      <c r="H34" s="27" t="s">
        <v>309</v>
      </c>
      <c r="I34" s="27"/>
      <c r="J34" s="27"/>
      <c r="K34" s="27" t="s">
        <v>367</v>
      </c>
      <c r="L34" s="27"/>
      <c r="M34" s="30">
        <v>45847</v>
      </c>
      <c r="N34" s="1" t="s">
        <v>264</v>
      </c>
      <c r="O34" s="27" t="s">
        <v>298</v>
      </c>
      <c r="P34" s="27"/>
    </row>
    <row r="35" spans="1:16" ht="24" customHeight="1">
      <c r="A35" s="30">
        <v>45849</v>
      </c>
      <c r="B35" s="27" t="s">
        <v>220</v>
      </c>
      <c r="C35" s="27" t="s">
        <v>171</v>
      </c>
      <c r="D35" s="27" t="s">
        <v>3208</v>
      </c>
      <c r="E35" s="10">
        <v>60</v>
      </c>
      <c r="F35" s="36" t="s">
        <v>263</v>
      </c>
      <c r="G35" s="27" t="s">
        <v>309</v>
      </c>
      <c r="H35" s="27" t="s">
        <v>1405</v>
      </c>
      <c r="I35" s="27"/>
      <c r="J35" s="27"/>
      <c r="K35" s="27" t="s">
        <v>367</v>
      </c>
      <c r="L35" s="27"/>
      <c r="M35" s="30">
        <v>45842</v>
      </c>
      <c r="N35" s="3" t="s">
        <v>312</v>
      </c>
      <c r="O35" s="27" t="s">
        <v>3209</v>
      </c>
      <c r="P35" s="27"/>
    </row>
    <row r="36" spans="1:16" ht="24" customHeight="1">
      <c r="A36" s="30">
        <v>45849</v>
      </c>
      <c r="B36" s="27" t="s">
        <v>220</v>
      </c>
      <c r="C36" s="27" t="s">
        <v>3192</v>
      </c>
      <c r="D36" s="27" t="s">
        <v>2975</v>
      </c>
      <c r="E36" s="10"/>
      <c r="F36" s="36" t="s">
        <v>263</v>
      </c>
      <c r="G36" s="27" t="s">
        <v>269</v>
      </c>
      <c r="H36" s="27" t="s">
        <v>270</v>
      </c>
      <c r="I36" s="27"/>
      <c r="J36" s="27"/>
      <c r="K36" s="27" t="s">
        <v>3193</v>
      </c>
      <c r="L36" s="27"/>
      <c r="M36" s="30">
        <v>45841</v>
      </c>
      <c r="N36" s="1" t="s">
        <v>264</v>
      </c>
      <c r="O36" s="27"/>
      <c r="P36" s="27"/>
    </row>
    <row r="37" spans="1:16" ht="24" customHeight="1">
      <c r="A37" s="30">
        <v>45850</v>
      </c>
      <c r="B37" s="27" t="s">
        <v>266</v>
      </c>
      <c r="C37" s="27" t="s">
        <v>3210</v>
      </c>
      <c r="D37" s="27" t="s">
        <v>300</v>
      </c>
      <c r="E37" s="10"/>
      <c r="F37" s="36" t="s">
        <v>263</v>
      </c>
      <c r="G37" s="27" t="s">
        <v>269</v>
      </c>
      <c r="H37" s="27" t="s">
        <v>270</v>
      </c>
      <c r="I37" s="27"/>
      <c r="J37" s="27"/>
      <c r="K37" s="27" t="s">
        <v>1025</v>
      </c>
      <c r="L37" s="27"/>
      <c r="M37" s="27" t="s">
        <v>3211</v>
      </c>
      <c r="N37" s="1" t="s">
        <v>264</v>
      </c>
      <c r="O37" s="27"/>
      <c r="P37" s="27"/>
    </row>
    <row r="38" spans="1:16" ht="24" customHeight="1">
      <c r="A38" s="30">
        <v>45851</v>
      </c>
      <c r="B38" s="27" t="s">
        <v>267</v>
      </c>
      <c r="C38" s="27"/>
      <c r="D38" s="27"/>
      <c r="E38" s="10"/>
      <c r="F38" s="36" t="s">
        <v>263</v>
      </c>
      <c r="G38" s="27"/>
      <c r="H38" s="27"/>
      <c r="I38" s="27"/>
      <c r="J38" s="27"/>
      <c r="K38" s="27"/>
      <c r="L38" s="27"/>
      <c r="M38" s="27"/>
      <c r="N38" s="1" t="s">
        <v>264</v>
      </c>
      <c r="O38" s="27"/>
      <c r="P38" s="27"/>
    </row>
    <row r="39" spans="1:16" ht="24" customHeight="1">
      <c r="A39" s="30">
        <v>45852</v>
      </c>
      <c r="B39" s="27" t="s">
        <v>224</v>
      </c>
      <c r="C39" s="27" t="s">
        <v>326</v>
      </c>
      <c r="D39" s="27" t="s">
        <v>2809</v>
      </c>
      <c r="E39" s="10"/>
      <c r="F39" s="36" t="s">
        <v>263</v>
      </c>
      <c r="G39" s="27" t="s">
        <v>269</v>
      </c>
      <c r="H39" s="27" t="s">
        <v>270</v>
      </c>
      <c r="I39" s="27"/>
      <c r="J39" s="27"/>
      <c r="K39" s="27" t="s">
        <v>2584</v>
      </c>
      <c r="L39" s="27"/>
      <c r="M39" s="30">
        <v>45693</v>
      </c>
      <c r="N39" s="1" t="s">
        <v>264</v>
      </c>
      <c r="O39" s="27" t="s">
        <v>321</v>
      </c>
      <c r="P39" s="27"/>
    </row>
    <row r="40" spans="1:16" ht="24" customHeight="1">
      <c r="A40" s="30">
        <v>45853</v>
      </c>
      <c r="B40" s="27" t="s">
        <v>227</v>
      </c>
      <c r="C40" s="27" t="s">
        <v>954</v>
      </c>
      <c r="D40" s="27" t="s">
        <v>3212</v>
      </c>
      <c r="E40" s="10"/>
      <c r="F40" s="36" t="s">
        <v>263</v>
      </c>
      <c r="G40" s="27" t="s">
        <v>289</v>
      </c>
      <c r="H40" s="27" t="s">
        <v>290</v>
      </c>
      <c r="I40" s="27"/>
      <c r="J40" s="27"/>
      <c r="K40" s="27" t="s">
        <v>237</v>
      </c>
      <c r="L40" s="27"/>
      <c r="M40" s="27"/>
      <c r="N40" s="1" t="s">
        <v>264</v>
      </c>
      <c r="O40" s="27" t="s">
        <v>298</v>
      </c>
      <c r="P40" s="27"/>
    </row>
    <row r="41" spans="1:16" ht="24" customHeight="1">
      <c r="A41" s="30">
        <v>45853</v>
      </c>
      <c r="B41" s="27" t="s">
        <v>227</v>
      </c>
      <c r="C41" s="27" t="s">
        <v>171</v>
      </c>
      <c r="D41" s="27" t="s">
        <v>3213</v>
      </c>
      <c r="E41" s="10"/>
      <c r="F41" s="36" t="s">
        <v>263</v>
      </c>
      <c r="G41" s="27" t="s">
        <v>506</v>
      </c>
      <c r="H41" s="27" t="s">
        <v>429</v>
      </c>
      <c r="I41" s="27"/>
      <c r="J41" s="27"/>
      <c r="K41" s="27" t="s">
        <v>3214</v>
      </c>
      <c r="L41" s="27"/>
      <c r="M41" s="27"/>
      <c r="N41" s="1" t="s">
        <v>264</v>
      </c>
      <c r="O41" s="27"/>
      <c r="P41" s="27"/>
    </row>
    <row r="42" spans="1:16" ht="24" customHeight="1">
      <c r="A42" s="30">
        <v>45853</v>
      </c>
      <c r="B42" s="27" t="s">
        <v>227</v>
      </c>
      <c r="C42" s="27" t="s">
        <v>171</v>
      </c>
      <c r="D42" s="27" t="s">
        <v>3215</v>
      </c>
      <c r="E42" s="10" t="s">
        <v>2682</v>
      </c>
      <c r="F42" s="36" t="s">
        <v>263</v>
      </c>
      <c r="G42" s="27" t="s">
        <v>309</v>
      </c>
      <c r="H42" s="27" t="s">
        <v>270</v>
      </c>
      <c r="I42" s="27"/>
      <c r="J42" s="27"/>
      <c r="K42" s="27" t="s">
        <v>3216</v>
      </c>
      <c r="L42" s="27"/>
      <c r="M42" s="30">
        <v>45838</v>
      </c>
      <c r="N42" s="1" t="s">
        <v>264</v>
      </c>
      <c r="O42" s="27" t="s">
        <v>3217</v>
      </c>
      <c r="P42" s="27"/>
    </row>
    <row r="43" spans="1:16" ht="24" customHeight="1">
      <c r="A43" s="30">
        <v>45853</v>
      </c>
      <c r="B43" s="27" t="s">
        <v>227</v>
      </c>
      <c r="C43" s="27" t="s">
        <v>326</v>
      </c>
      <c r="D43" s="27" t="s">
        <v>358</v>
      </c>
      <c r="E43" s="10">
        <v>40</v>
      </c>
      <c r="F43" s="36" t="s">
        <v>263</v>
      </c>
      <c r="G43" s="27" t="s">
        <v>295</v>
      </c>
      <c r="H43" s="27" t="s">
        <v>296</v>
      </c>
      <c r="I43" s="27"/>
      <c r="J43" s="27"/>
      <c r="K43" s="27" t="s">
        <v>351</v>
      </c>
      <c r="L43" s="27"/>
      <c r="M43" s="30">
        <v>45821</v>
      </c>
      <c r="N43" s="1" t="s">
        <v>264</v>
      </c>
      <c r="O43" s="27"/>
      <c r="P43" s="27"/>
    </row>
    <row r="44" spans="1:16" ht="24" customHeight="1">
      <c r="A44" s="30">
        <v>45854</v>
      </c>
      <c r="B44" s="27" t="s">
        <v>201</v>
      </c>
      <c r="C44" s="27" t="s">
        <v>171</v>
      </c>
      <c r="D44" s="27" t="s">
        <v>3088</v>
      </c>
      <c r="E44" s="10">
        <v>60</v>
      </c>
      <c r="F44" s="36" t="s">
        <v>263</v>
      </c>
      <c r="G44" s="27" t="s">
        <v>330</v>
      </c>
      <c r="H44" s="27" t="s">
        <v>331</v>
      </c>
      <c r="I44" s="27"/>
      <c r="J44" s="27"/>
      <c r="K44" s="27" t="s">
        <v>3009</v>
      </c>
      <c r="L44" s="27"/>
      <c r="M44" s="30">
        <v>45839</v>
      </c>
      <c r="N44" s="1" t="s">
        <v>264</v>
      </c>
      <c r="O44" s="27" t="s">
        <v>321</v>
      </c>
      <c r="P44" s="27"/>
    </row>
    <row r="45" spans="1:16" ht="24" customHeight="1">
      <c r="A45" s="30">
        <v>45854</v>
      </c>
      <c r="B45" s="27" t="s">
        <v>201</v>
      </c>
      <c r="C45" s="27" t="s">
        <v>171</v>
      </c>
      <c r="D45" s="27" t="s">
        <v>3218</v>
      </c>
      <c r="E45" s="10">
        <v>40</v>
      </c>
      <c r="F45" s="36" t="s">
        <v>263</v>
      </c>
      <c r="G45" s="27" t="s">
        <v>309</v>
      </c>
      <c r="H45" s="27" t="s">
        <v>290</v>
      </c>
      <c r="I45" s="27"/>
      <c r="J45" s="27"/>
      <c r="K45" s="27" t="s">
        <v>3219</v>
      </c>
      <c r="L45" s="27"/>
      <c r="M45" s="30">
        <v>45845</v>
      </c>
      <c r="N45" s="3" t="s">
        <v>312</v>
      </c>
      <c r="O45" s="27" t="s">
        <v>321</v>
      </c>
      <c r="P45" s="27"/>
    </row>
    <row r="46" spans="1:16" ht="24" customHeight="1">
      <c r="A46" s="30">
        <v>45854</v>
      </c>
      <c r="B46" s="27" t="s">
        <v>201</v>
      </c>
      <c r="C46" s="27" t="s">
        <v>1055</v>
      </c>
      <c r="D46" s="27" t="s">
        <v>3220</v>
      </c>
      <c r="E46" s="10">
        <v>25</v>
      </c>
      <c r="F46" s="36" t="s">
        <v>263</v>
      </c>
      <c r="G46" s="27" t="s">
        <v>331</v>
      </c>
      <c r="H46" s="27" t="s">
        <v>275</v>
      </c>
      <c r="I46" s="27"/>
      <c r="J46" s="27"/>
      <c r="K46" s="27" t="s">
        <v>3221</v>
      </c>
      <c r="L46" s="27"/>
      <c r="M46" s="30">
        <v>45849</v>
      </c>
      <c r="N46" s="3" t="s">
        <v>312</v>
      </c>
      <c r="O46" s="27" t="s">
        <v>3222</v>
      </c>
      <c r="P46" s="27"/>
    </row>
    <row r="47" spans="1:16" ht="24" customHeight="1">
      <c r="A47" s="30">
        <v>45854</v>
      </c>
      <c r="B47" s="27" t="s">
        <v>201</v>
      </c>
      <c r="C47" s="27" t="s">
        <v>326</v>
      </c>
      <c r="D47" s="27" t="s">
        <v>1205</v>
      </c>
      <c r="E47" s="10">
        <v>30</v>
      </c>
      <c r="F47" s="36" t="s">
        <v>263</v>
      </c>
      <c r="G47" s="27" t="s">
        <v>289</v>
      </c>
      <c r="H47" s="27" t="s">
        <v>290</v>
      </c>
      <c r="I47" s="27"/>
      <c r="J47" s="27"/>
      <c r="K47" s="27" t="s">
        <v>237</v>
      </c>
      <c r="L47" s="27"/>
      <c r="M47" s="30">
        <v>45845</v>
      </c>
      <c r="N47" s="1" t="s">
        <v>264</v>
      </c>
      <c r="O47" s="27" t="s">
        <v>321</v>
      </c>
      <c r="P47" s="27"/>
    </row>
    <row r="48" spans="1:16" ht="24" customHeight="1">
      <c r="A48" s="30">
        <v>45855</v>
      </c>
      <c r="B48" s="27" t="s">
        <v>216</v>
      </c>
      <c r="C48" s="27" t="s">
        <v>326</v>
      </c>
      <c r="D48" s="27" t="s">
        <v>3212</v>
      </c>
      <c r="E48" s="10">
        <v>30</v>
      </c>
      <c r="F48" s="36" t="s">
        <v>263</v>
      </c>
      <c r="G48" s="27" t="s">
        <v>295</v>
      </c>
      <c r="H48" s="27" t="s">
        <v>270</v>
      </c>
      <c r="I48" s="27"/>
      <c r="J48" s="27"/>
      <c r="K48" s="27" t="s">
        <v>237</v>
      </c>
      <c r="L48" s="27"/>
      <c r="M48" s="30">
        <v>45845</v>
      </c>
      <c r="N48" s="1" t="s">
        <v>264</v>
      </c>
      <c r="O48" s="27" t="s">
        <v>321</v>
      </c>
      <c r="P48" s="27"/>
    </row>
    <row r="49" spans="1:16" ht="24" customHeight="1">
      <c r="A49" s="30">
        <v>45855</v>
      </c>
      <c r="B49" s="27" t="s">
        <v>216</v>
      </c>
      <c r="C49" s="27" t="s">
        <v>326</v>
      </c>
      <c r="D49" s="27" t="s">
        <v>3223</v>
      </c>
      <c r="E49" s="10">
        <v>10</v>
      </c>
      <c r="F49" s="36" t="s">
        <v>263</v>
      </c>
      <c r="G49" s="27" t="s">
        <v>330</v>
      </c>
      <c r="H49" s="27" t="s">
        <v>331</v>
      </c>
      <c r="I49" s="27"/>
      <c r="J49" s="27"/>
      <c r="K49" s="27" t="s">
        <v>811</v>
      </c>
      <c r="L49" s="27"/>
      <c r="M49" s="30">
        <v>45842</v>
      </c>
      <c r="N49" s="1" t="s">
        <v>264</v>
      </c>
      <c r="O49" s="27" t="s">
        <v>3224</v>
      </c>
      <c r="P49" s="27"/>
    </row>
    <row r="50" spans="1:16" ht="24" customHeight="1">
      <c r="A50" s="30">
        <v>45855</v>
      </c>
      <c r="B50" s="27" t="s">
        <v>216</v>
      </c>
      <c r="C50" s="27" t="s">
        <v>3104</v>
      </c>
      <c r="D50" s="27" t="s">
        <v>236</v>
      </c>
      <c r="E50" s="10">
        <v>38</v>
      </c>
      <c r="F50" s="36" t="s">
        <v>263</v>
      </c>
      <c r="G50" s="27" t="s">
        <v>269</v>
      </c>
      <c r="H50" s="27" t="s">
        <v>270</v>
      </c>
      <c r="I50" s="27"/>
      <c r="J50" s="27"/>
      <c r="K50" s="27" t="s">
        <v>237</v>
      </c>
      <c r="L50" s="27"/>
      <c r="M50" s="30">
        <v>45849</v>
      </c>
      <c r="N50" s="1" t="s">
        <v>264</v>
      </c>
      <c r="O50" s="27" t="s">
        <v>298</v>
      </c>
      <c r="P50" s="27"/>
    </row>
    <row r="51" spans="1:16" ht="24" customHeight="1">
      <c r="A51" s="30">
        <v>45855</v>
      </c>
      <c r="B51" s="27" t="s">
        <v>216</v>
      </c>
      <c r="C51" s="27" t="s">
        <v>3104</v>
      </c>
      <c r="D51" s="27" t="s">
        <v>2666</v>
      </c>
      <c r="E51" s="10">
        <v>40</v>
      </c>
      <c r="F51" s="36" t="s">
        <v>263</v>
      </c>
      <c r="G51" s="27" t="s">
        <v>295</v>
      </c>
      <c r="H51" s="27" t="s">
        <v>270</v>
      </c>
      <c r="I51" s="27"/>
      <c r="J51" s="27"/>
      <c r="K51" s="27" t="s">
        <v>3185</v>
      </c>
      <c r="L51" s="27"/>
      <c r="M51" s="30">
        <v>45842</v>
      </c>
      <c r="N51" s="3" t="s">
        <v>312</v>
      </c>
      <c r="O51" s="27" t="s">
        <v>3225</v>
      </c>
      <c r="P51" s="27"/>
    </row>
    <row r="52" spans="1:16" ht="24" customHeight="1">
      <c r="A52" s="30">
        <v>45855</v>
      </c>
      <c r="B52" s="27" t="s">
        <v>216</v>
      </c>
      <c r="C52" s="27" t="s">
        <v>171</v>
      </c>
      <c r="D52" s="27" t="s">
        <v>2809</v>
      </c>
      <c r="E52" s="10"/>
      <c r="F52" s="36" t="s">
        <v>263</v>
      </c>
      <c r="G52" s="27" t="s">
        <v>269</v>
      </c>
      <c r="H52" s="27" t="s">
        <v>270</v>
      </c>
      <c r="I52" s="27"/>
      <c r="J52" s="27"/>
      <c r="K52" s="27" t="s">
        <v>2584</v>
      </c>
      <c r="L52" s="27"/>
      <c r="M52" s="30">
        <v>45693</v>
      </c>
      <c r="N52" s="3" t="s">
        <v>312</v>
      </c>
      <c r="O52" s="27"/>
      <c r="P52" s="27"/>
    </row>
    <row r="53" spans="1:16" ht="24" customHeight="1">
      <c r="A53" s="30">
        <v>45855</v>
      </c>
      <c r="B53" s="27" t="s">
        <v>216</v>
      </c>
      <c r="C53" s="27" t="s">
        <v>3104</v>
      </c>
      <c r="D53" s="27" t="s">
        <v>3226</v>
      </c>
      <c r="E53" s="10">
        <v>12</v>
      </c>
      <c r="F53" s="36" t="s">
        <v>263</v>
      </c>
      <c r="G53" s="27" t="s">
        <v>269</v>
      </c>
      <c r="H53" s="27" t="s">
        <v>270</v>
      </c>
      <c r="I53" s="27"/>
      <c r="J53" s="27"/>
      <c r="K53" s="27" t="s">
        <v>237</v>
      </c>
      <c r="L53" s="27"/>
      <c r="M53" s="30">
        <v>45853</v>
      </c>
      <c r="N53" s="1" t="s">
        <v>264</v>
      </c>
      <c r="O53" s="27" t="s">
        <v>3227</v>
      </c>
      <c r="P53" s="27"/>
    </row>
    <row r="54" spans="1:16" ht="24" customHeight="1">
      <c r="A54" s="30">
        <v>45856</v>
      </c>
      <c r="B54" s="27" t="s">
        <v>220</v>
      </c>
      <c r="C54" s="27" t="s">
        <v>3104</v>
      </c>
      <c r="D54" s="27" t="s">
        <v>3226</v>
      </c>
      <c r="E54" s="10">
        <v>12</v>
      </c>
      <c r="F54" s="36" t="s">
        <v>263</v>
      </c>
      <c r="G54" s="27" t="s">
        <v>269</v>
      </c>
      <c r="H54" s="27" t="s">
        <v>270</v>
      </c>
      <c r="I54" s="27"/>
      <c r="J54" s="27"/>
      <c r="K54" s="27" t="s">
        <v>237</v>
      </c>
      <c r="L54" s="27"/>
      <c r="M54" s="30">
        <v>45853</v>
      </c>
      <c r="N54" s="1" t="s">
        <v>264</v>
      </c>
      <c r="O54" s="27" t="s">
        <v>3227</v>
      </c>
      <c r="P54" s="27"/>
    </row>
    <row r="55" spans="1:16" ht="24" customHeight="1">
      <c r="A55" s="30">
        <v>45856</v>
      </c>
      <c r="B55" s="27" t="s">
        <v>220</v>
      </c>
      <c r="C55" s="27" t="s">
        <v>171</v>
      </c>
      <c r="D55" s="27" t="s">
        <v>3228</v>
      </c>
      <c r="E55" s="10">
        <v>60</v>
      </c>
      <c r="F55" s="36" t="s">
        <v>263</v>
      </c>
      <c r="G55" s="27" t="s">
        <v>315</v>
      </c>
      <c r="H55" s="27" t="s">
        <v>506</v>
      </c>
      <c r="I55" s="27"/>
      <c r="J55" s="27"/>
      <c r="K55" s="27" t="s">
        <v>3214</v>
      </c>
      <c r="L55" s="27"/>
      <c r="M55" s="30">
        <v>45849</v>
      </c>
      <c r="N55" s="3" t="s">
        <v>312</v>
      </c>
      <c r="O55" s="27" t="s">
        <v>298</v>
      </c>
      <c r="P55" s="27" t="s">
        <v>3229</v>
      </c>
    </row>
    <row r="56" spans="1:16" ht="24" customHeight="1">
      <c r="A56" s="30">
        <v>45856</v>
      </c>
      <c r="B56" s="27" t="s">
        <v>220</v>
      </c>
      <c r="C56" s="27" t="s">
        <v>171</v>
      </c>
      <c r="D56" s="27" t="s">
        <v>3230</v>
      </c>
      <c r="E56" s="10">
        <v>20</v>
      </c>
      <c r="F56" s="36" t="s">
        <v>263</v>
      </c>
      <c r="G56" s="27" t="s">
        <v>330</v>
      </c>
      <c r="H56" s="27" t="s">
        <v>331</v>
      </c>
      <c r="I56" s="27"/>
      <c r="J56" s="27"/>
      <c r="K56" s="27" t="s">
        <v>3231</v>
      </c>
      <c r="L56" s="27"/>
      <c r="M56" s="30">
        <v>45853</v>
      </c>
      <c r="N56" s="1" t="s">
        <v>264</v>
      </c>
      <c r="O56" s="27" t="s">
        <v>298</v>
      </c>
      <c r="P56" s="27"/>
    </row>
    <row r="57" spans="1:16" ht="24" customHeight="1">
      <c r="A57" s="30">
        <v>45856</v>
      </c>
      <c r="B57" s="27" t="s">
        <v>220</v>
      </c>
      <c r="C57" s="27" t="s">
        <v>171</v>
      </c>
      <c r="D57" s="27" t="s">
        <v>3232</v>
      </c>
      <c r="E57" s="10">
        <v>30</v>
      </c>
      <c r="F57" s="36" t="s">
        <v>263</v>
      </c>
      <c r="G57" s="27" t="s">
        <v>350</v>
      </c>
      <c r="H57" s="27" t="s">
        <v>289</v>
      </c>
      <c r="I57" s="27"/>
      <c r="J57" s="27"/>
      <c r="K57" s="27" t="s">
        <v>2743</v>
      </c>
      <c r="L57" s="27"/>
      <c r="M57" s="27"/>
      <c r="N57" s="1" t="s">
        <v>264</v>
      </c>
      <c r="O57" s="27" t="s">
        <v>3225</v>
      </c>
      <c r="P57" s="27"/>
    </row>
    <row r="58" spans="1:16" ht="24" customHeight="1">
      <c r="A58" s="30">
        <v>45856</v>
      </c>
      <c r="B58" s="27" t="s">
        <v>220</v>
      </c>
      <c r="C58" s="27" t="s">
        <v>171</v>
      </c>
      <c r="D58" s="27" t="s">
        <v>3233</v>
      </c>
      <c r="E58" s="10">
        <v>60</v>
      </c>
      <c r="F58" s="36" t="s">
        <v>263</v>
      </c>
      <c r="G58" s="27" t="s">
        <v>295</v>
      </c>
      <c r="H58" s="27" t="s">
        <v>296</v>
      </c>
      <c r="I58" s="27"/>
      <c r="J58" s="27"/>
      <c r="K58" s="27" t="s">
        <v>2021</v>
      </c>
      <c r="L58" s="27"/>
      <c r="M58" s="30">
        <v>45850</v>
      </c>
      <c r="N58" s="1" t="s">
        <v>264</v>
      </c>
      <c r="O58" s="27" t="s">
        <v>3234</v>
      </c>
      <c r="P58" s="27"/>
    </row>
    <row r="59" spans="1:16" ht="24" customHeight="1">
      <c r="A59" s="30">
        <v>45856</v>
      </c>
      <c r="B59" s="27" t="s">
        <v>220</v>
      </c>
      <c r="C59" s="27" t="s">
        <v>171</v>
      </c>
      <c r="D59" s="27" t="s">
        <v>3235</v>
      </c>
      <c r="E59" s="10">
        <v>50</v>
      </c>
      <c r="F59" s="36" t="s">
        <v>263</v>
      </c>
      <c r="G59" s="27" t="s">
        <v>330</v>
      </c>
      <c r="H59" s="27" t="s">
        <v>3236</v>
      </c>
      <c r="I59" s="27" t="s">
        <v>382</v>
      </c>
      <c r="J59" s="27"/>
      <c r="K59" s="27" t="s">
        <v>2938</v>
      </c>
      <c r="L59" s="27"/>
      <c r="M59" s="30">
        <v>45820</v>
      </c>
      <c r="N59" s="3" t="s">
        <v>312</v>
      </c>
      <c r="O59" s="27" t="s">
        <v>3237</v>
      </c>
      <c r="P59" s="27" t="s">
        <v>3238</v>
      </c>
    </row>
    <row r="60" spans="1:16" ht="24" customHeight="1">
      <c r="A60" s="30">
        <v>45856</v>
      </c>
      <c r="B60" s="27" t="s">
        <v>220</v>
      </c>
      <c r="C60" s="27" t="s">
        <v>171</v>
      </c>
      <c r="D60" s="27" t="s">
        <v>3235</v>
      </c>
      <c r="E60" s="10">
        <v>50</v>
      </c>
      <c r="F60" s="36" t="s">
        <v>263</v>
      </c>
      <c r="G60" s="27" t="s">
        <v>309</v>
      </c>
      <c r="H60" s="27" t="s">
        <v>270</v>
      </c>
      <c r="I60" s="27" t="s">
        <v>382</v>
      </c>
      <c r="J60" s="27"/>
      <c r="K60" s="27" t="s">
        <v>2938</v>
      </c>
      <c r="L60" s="27"/>
      <c r="M60" s="30">
        <v>45820</v>
      </c>
      <c r="N60" s="3" t="s">
        <v>312</v>
      </c>
      <c r="O60" s="27"/>
      <c r="P60" s="27" t="s">
        <v>3238</v>
      </c>
    </row>
    <row r="61" spans="1:16" ht="24" customHeight="1">
      <c r="A61" s="30">
        <v>45857</v>
      </c>
      <c r="B61" s="27" t="s">
        <v>266</v>
      </c>
      <c r="C61" s="27" t="s">
        <v>171</v>
      </c>
      <c r="D61" s="27" t="s">
        <v>344</v>
      </c>
      <c r="E61" s="10">
        <v>25</v>
      </c>
      <c r="F61" s="36" t="s">
        <v>263</v>
      </c>
      <c r="G61" s="27" t="s">
        <v>269</v>
      </c>
      <c r="H61" s="27" t="s">
        <v>270</v>
      </c>
      <c r="I61" s="27"/>
      <c r="J61" s="27"/>
      <c r="K61" s="27" t="s">
        <v>351</v>
      </c>
      <c r="L61" s="27"/>
      <c r="M61" s="30">
        <v>45840</v>
      </c>
      <c r="N61" s="1" t="s">
        <v>264</v>
      </c>
      <c r="O61" s="27" t="s">
        <v>3239</v>
      </c>
      <c r="P61" s="27"/>
    </row>
    <row r="62" spans="1:16" ht="24" customHeight="1">
      <c r="A62" s="30">
        <v>45857</v>
      </c>
      <c r="B62" s="27" t="s">
        <v>266</v>
      </c>
      <c r="C62" s="27" t="s">
        <v>3210</v>
      </c>
      <c r="D62" s="27" t="s">
        <v>300</v>
      </c>
      <c r="E62" s="10"/>
      <c r="F62" s="36" t="s">
        <v>263</v>
      </c>
      <c r="G62" s="27" t="s">
        <v>269</v>
      </c>
      <c r="H62" s="27" t="s">
        <v>270</v>
      </c>
      <c r="I62" s="27"/>
      <c r="J62" s="27"/>
      <c r="K62" s="27" t="s">
        <v>1025</v>
      </c>
      <c r="L62" s="27"/>
      <c r="M62" s="27" t="s">
        <v>3211</v>
      </c>
      <c r="N62" s="3" t="s">
        <v>312</v>
      </c>
      <c r="O62" s="27"/>
      <c r="P62" s="27"/>
    </row>
    <row r="63" spans="1:16" ht="24" customHeight="1">
      <c r="A63" s="30">
        <v>45858</v>
      </c>
      <c r="B63" s="27" t="s">
        <v>267</v>
      </c>
      <c r="C63" s="27"/>
      <c r="D63" s="27"/>
      <c r="E63" s="10"/>
      <c r="F63" s="36" t="s">
        <v>263</v>
      </c>
      <c r="G63" s="27"/>
      <c r="H63" s="27"/>
      <c r="I63" s="27"/>
      <c r="J63" s="27"/>
      <c r="K63" s="27"/>
      <c r="L63" s="27"/>
      <c r="M63" s="27"/>
      <c r="N63" s="1" t="s">
        <v>264</v>
      </c>
      <c r="O63" s="27"/>
      <c r="P63" s="27"/>
    </row>
    <row r="64" spans="1:16" ht="24" customHeight="1">
      <c r="A64" s="30">
        <v>45859</v>
      </c>
      <c r="B64" s="27" t="s">
        <v>224</v>
      </c>
      <c r="C64" s="27" t="s">
        <v>326</v>
      </c>
      <c r="D64" s="27" t="s">
        <v>2809</v>
      </c>
      <c r="E64" s="10"/>
      <c r="F64" s="36" t="s">
        <v>263</v>
      </c>
      <c r="G64" s="27" t="s">
        <v>269</v>
      </c>
      <c r="H64" s="27" t="s">
        <v>270</v>
      </c>
      <c r="I64" s="27"/>
      <c r="J64" s="27"/>
      <c r="K64" s="27" t="s">
        <v>2584</v>
      </c>
      <c r="L64" s="27"/>
      <c r="M64" s="30">
        <v>45693</v>
      </c>
      <c r="N64" s="1" t="s">
        <v>264</v>
      </c>
      <c r="O64" s="27"/>
      <c r="P64" s="27"/>
    </row>
    <row r="65" spans="1:16" ht="24" customHeight="1">
      <c r="A65" s="30">
        <v>45859</v>
      </c>
      <c r="B65" s="27" t="s">
        <v>224</v>
      </c>
      <c r="C65" s="27" t="s">
        <v>171</v>
      </c>
      <c r="D65" s="27" t="s">
        <v>2809</v>
      </c>
      <c r="E65" s="10"/>
      <c r="F65" s="36" t="s">
        <v>263</v>
      </c>
      <c r="G65" s="27" t="s">
        <v>269</v>
      </c>
      <c r="H65" s="27" t="s">
        <v>270</v>
      </c>
      <c r="I65" s="27"/>
      <c r="J65" s="27"/>
      <c r="K65" s="27" t="s">
        <v>2584</v>
      </c>
      <c r="L65" s="27"/>
      <c r="M65" s="30">
        <v>45693</v>
      </c>
      <c r="N65" s="1" t="s">
        <v>264</v>
      </c>
      <c r="O65" s="27"/>
      <c r="P65" s="27"/>
    </row>
    <row r="66" spans="1:16" ht="24" customHeight="1">
      <c r="A66" s="30">
        <v>45859</v>
      </c>
      <c r="B66" s="27" t="s">
        <v>224</v>
      </c>
      <c r="C66" s="27" t="s">
        <v>954</v>
      </c>
      <c r="D66" s="27" t="s">
        <v>3240</v>
      </c>
      <c r="E66" s="10">
        <v>30</v>
      </c>
      <c r="F66" s="36" t="s">
        <v>263</v>
      </c>
      <c r="G66" s="27" t="s">
        <v>289</v>
      </c>
      <c r="H66" s="27" t="s">
        <v>290</v>
      </c>
      <c r="I66" s="27"/>
      <c r="J66" s="27"/>
      <c r="K66" s="27" t="s">
        <v>237</v>
      </c>
      <c r="L66" s="27"/>
      <c r="M66" s="30">
        <v>45845</v>
      </c>
      <c r="N66" s="1" t="s">
        <v>264</v>
      </c>
      <c r="O66" s="27" t="s">
        <v>321</v>
      </c>
      <c r="P66" s="27"/>
    </row>
    <row r="67" spans="1:16" ht="24" customHeight="1">
      <c r="A67" s="30">
        <v>45860</v>
      </c>
      <c r="B67" s="27" t="s">
        <v>227</v>
      </c>
      <c r="C67" s="27" t="s">
        <v>171</v>
      </c>
      <c r="D67" s="27" t="s">
        <v>358</v>
      </c>
      <c r="E67" s="10">
        <v>40</v>
      </c>
      <c r="F67" s="36" t="s">
        <v>263</v>
      </c>
      <c r="G67" s="27" t="s">
        <v>295</v>
      </c>
      <c r="H67" s="27" t="s">
        <v>296</v>
      </c>
      <c r="I67" s="27"/>
      <c r="J67" s="27"/>
      <c r="K67" s="27" t="s">
        <v>351</v>
      </c>
      <c r="L67" s="27"/>
      <c r="M67" s="30">
        <v>45821</v>
      </c>
      <c r="N67" s="1" t="s">
        <v>264</v>
      </c>
      <c r="O67" s="27"/>
      <c r="P67" s="27"/>
    </row>
    <row r="68" spans="1:16" ht="24" customHeight="1">
      <c r="A68" s="30">
        <v>45861</v>
      </c>
      <c r="B68" s="27" t="s">
        <v>201</v>
      </c>
      <c r="C68" s="27" t="s">
        <v>326</v>
      </c>
      <c r="D68" s="27" t="s">
        <v>3241</v>
      </c>
      <c r="E68" s="10">
        <v>30</v>
      </c>
      <c r="F68" s="36" t="s">
        <v>263</v>
      </c>
      <c r="G68" s="27" t="s">
        <v>289</v>
      </c>
      <c r="H68" s="27" t="s">
        <v>290</v>
      </c>
      <c r="I68" s="27"/>
      <c r="J68" s="27"/>
      <c r="K68" s="27" t="s">
        <v>237</v>
      </c>
      <c r="L68" s="27"/>
      <c r="M68" s="30">
        <v>45845</v>
      </c>
      <c r="N68" s="1" t="s">
        <v>264</v>
      </c>
      <c r="O68" s="27" t="s">
        <v>321</v>
      </c>
      <c r="P68" s="27"/>
    </row>
    <row r="69" spans="1:16" ht="24" customHeight="1">
      <c r="A69" s="30">
        <v>45861</v>
      </c>
      <c r="B69" s="27" t="s">
        <v>201</v>
      </c>
      <c r="C69" s="27" t="s">
        <v>954</v>
      </c>
      <c r="D69" s="27" t="s">
        <v>3242</v>
      </c>
      <c r="E69" s="10">
        <v>45</v>
      </c>
      <c r="F69" s="36" t="s">
        <v>263</v>
      </c>
      <c r="G69" s="27" t="s">
        <v>295</v>
      </c>
      <c r="H69" s="27" t="s">
        <v>290</v>
      </c>
      <c r="I69" s="27"/>
      <c r="J69" s="27"/>
      <c r="K69" s="27" t="s">
        <v>3243</v>
      </c>
      <c r="L69" s="27"/>
      <c r="M69" s="30">
        <v>45852</v>
      </c>
      <c r="N69" s="1" t="s">
        <v>264</v>
      </c>
      <c r="O69" s="27" t="s">
        <v>3244</v>
      </c>
      <c r="P69" s="27"/>
    </row>
    <row r="70" spans="1:16" ht="24" customHeight="1">
      <c r="A70" s="30">
        <v>45861</v>
      </c>
      <c r="B70" s="27" t="s">
        <v>201</v>
      </c>
      <c r="C70" s="27" t="s">
        <v>171</v>
      </c>
      <c r="D70" s="27" t="s">
        <v>658</v>
      </c>
      <c r="E70" s="10">
        <v>60</v>
      </c>
      <c r="F70" s="36" t="s">
        <v>263</v>
      </c>
      <c r="G70" s="27" t="s">
        <v>295</v>
      </c>
      <c r="H70" s="27" t="s">
        <v>290</v>
      </c>
      <c r="I70" s="27"/>
      <c r="J70" s="27"/>
      <c r="K70" s="27" t="s">
        <v>688</v>
      </c>
      <c r="L70" s="27"/>
      <c r="M70" s="30">
        <v>45847</v>
      </c>
      <c r="N70" s="1" t="s">
        <v>264</v>
      </c>
      <c r="O70" s="27" t="s">
        <v>3245</v>
      </c>
      <c r="P70" s="27"/>
    </row>
    <row r="71" spans="1:16" ht="24" customHeight="1">
      <c r="A71" s="30">
        <v>45861</v>
      </c>
      <c r="B71" s="27" t="s">
        <v>201</v>
      </c>
      <c r="C71" s="27" t="s">
        <v>171</v>
      </c>
      <c r="D71" s="27" t="s">
        <v>358</v>
      </c>
      <c r="E71" s="10">
        <v>40</v>
      </c>
      <c r="F71" s="36" t="s">
        <v>263</v>
      </c>
      <c r="G71" s="27" t="s">
        <v>295</v>
      </c>
      <c r="H71" s="27" t="s">
        <v>296</v>
      </c>
      <c r="I71" s="27"/>
      <c r="J71" s="27"/>
      <c r="K71" s="27" t="s">
        <v>351</v>
      </c>
      <c r="L71" s="27"/>
      <c r="M71" s="30">
        <v>45821</v>
      </c>
      <c r="N71" s="3" t="s">
        <v>312</v>
      </c>
      <c r="O71" s="27" t="s">
        <v>321</v>
      </c>
      <c r="P71" s="27"/>
    </row>
    <row r="72" spans="1:16" ht="24" customHeight="1">
      <c r="A72" s="30">
        <v>45862</v>
      </c>
      <c r="B72" s="27" t="s">
        <v>216</v>
      </c>
      <c r="C72" s="27" t="s">
        <v>3246</v>
      </c>
      <c r="D72" s="27"/>
      <c r="E72" s="10"/>
      <c r="F72" s="36" t="s">
        <v>263</v>
      </c>
      <c r="G72" s="27" t="s">
        <v>350</v>
      </c>
      <c r="H72" s="27" t="s">
        <v>359</v>
      </c>
      <c r="I72" s="27"/>
      <c r="J72" s="27"/>
      <c r="K72" s="27" t="s">
        <v>351</v>
      </c>
      <c r="L72" s="27"/>
      <c r="M72" s="27"/>
      <c r="N72" s="1" t="s">
        <v>264</v>
      </c>
      <c r="O72" s="27" t="s">
        <v>3247</v>
      </c>
      <c r="P72" s="27"/>
    </row>
    <row r="73" spans="1:16" ht="24" customHeight="1">
      <c r="A73" s="30">
        <v>45862</v>
      </c>
      <c r="B73" s="27" t="s">
        <v>216</v>
      </c>
      <c r="C73" s="27" t="s">
        <v>326</v>
      </c>
      <c r="D73" s="27" t="s">
        <v>3248</v>
      </c>
      <c r="E73" s="10">
        <v>30</v>
      </c>
      <c r="F73" s="36" t="s">
        <v>263</v>
      </c>
      <c r="G73" s="27" t="s">
        <v>289</v>
      </c>
      <c r="H73" s="27" t="s">
        <v>290</v>
      </c>
      <c r="I73" s="27"/>
      <c r="J73" s="27"/>
      <c r="K73" s="27" t="s">
        <v>237</v>
      </c>
      <c r="L73" s="27"/>
      <c r="M73" s="30">
        <v>45845</v>
      </c>
      <c r="N73" s="1" t="s">
        <v>264</v>
      </c>
      <c r="O73" s="27" t="s">
        <v>321</v>
      </c>
      <c r="P73" s="27"/>
    </row>
    <row r="74" spans="1:16" ht="24" customHeight="1">
      <c r="A74" s="30">
        <v>45862</v>
      </c>
      <c r="B74" s="27" t="s">
        <v>216</v>
      </c>
      <c r="C74" s="27" t="s">
        <v>171</v>
      </c>
      <c r="D74" s="27" t="s">
        <v>3228</v>
      </c>
      <c r="E74" s="10">
        <v>60</v>
      </c>
      <c r="F74" s="36" t="s">
        <v>263</v>
      </c>
      <c r="G74" s="27" t="s">
        <v>315</v>
      </c>
      <c r="H74" s="27" t="s">
        <v>506</v>
      </c>
      <c r="I74" s="27"/>
      <c r="J74" s="27"/>
      <c r="K74" s="27" t="s">
        <v>3214</v>
      </c>
      <c r="L74" s="27"/>
      <c r="M74" s="30">
        <v>45849</v>
      </c>
      <c r="N74" s="1" t="s">
        <v>264</v>
      </c>
      <c r="O74" s="27" t="s">
        <v>298</v>
      </c>
      <c r="P74" s="27"/>
    </row>
    <row r="75" spans="1:16" ht="24" customHeight="1">
      <c r="A75" s="30">
        <v>45862</v>
      </c>
      <c r="B75" s="27" t="s">
        <v>216</v>
      </c>
      <c r="C75" s="27" t="s">
        <v>954</v>
      </c>
      <c r="D75" s="27" t="s">
        <v>3249</v>
      </c>
      <c r="E75" s="10">
        <v>28</v>
      </c>
      <c r="F75" s="36" t="s">
        <v>263</v>
      </c>
      <c r="G75" s="27" t="s">
        <v>359</v>
      </c>
      <c r="H75" s="27" t="s">
        <v>290</v>
      </c>
      <c r="I75" s="27"/>
      <c r="J75" s="27"/>
      <c r="K75" s="27"/>
      <c r="L75" s="27"/>
      <c r="M75" s="27"/>
      <c r="N75" s="1" t="s">
        <v>264</v>
      </c>
      <c r="O75" s="27" t="s">
        <v>321</v>
      </c>
      <c r="P75" s="27"/>
    </row>
    <row r="76" spans="1:16" ht="24" customHeight="1">
      <c r="A76" s="30">
        <v>45862</v>
      </c>
      <c r="B76" s="27" t="s">
        <v>216</v>
      </c>
      <c r="C76" s="27" t="s">
        <v>171</v>
      </c>
      <c r="D76" s="27" t="s">
        <v>3250</v>
      </c>
      <c r="E76" s="10">
        <v>40</v>
      </c>
      <c r="F76" s="36" t="s">
        <v>263</v>
      </c>
      <c r="G76" s="27" t="s">
        <v>350</v>
      </c>
      <c r="H76" s="27" t="s">
        <v>309</v>
      </c>
      <c r="I76" s="27"/>
      <c r="J76" s="27"/>
      <c r="K76" s="27" t="s">
        <v>2668</v>
      </c>
      <c r="L76" s="27"/>
      <c r="M76" s="27"/>
      <c r="N76" s="1" t="s">
        <v>264</v>
      </c>
      <c r="O76" s="27"/>
      <c r="P76" s="27"/>
    </row>
    <row r="77" spans="1:16" ht="24" customHeight="1">
      <c r="A77" s="30">
        <v>45862</v>
      </c>
      <c r="B77" s="27" t="s">
        <v>216</v>
      </c>
      <c r="C77" s="27" t="s">
        <v>171</v>
      </c>
      <c r="D77" s="27" t="s">
        <v>3251</v>
      </c>
      <c r="E77" s="10">
        <v>30</v>
      </c>
      <c r="F77" s="36" t="s">
        <v>263</v>
      </c>
      <c r="G77" s="27" t="s">
        <v>330</v>
      </c>
      <c r="H77" s="27" t="s">
        <v>331</v>
      </c>
      <c r="I77" s="27"/>
      <c r="J77" s="27"/>
      <c r="K77" s="27" t="s">
        <v>811</v>
      </c>
      <c r="L77" s="27"/>
      <c r="M77" s="30">
        <v>45852</v>
      </c>
      <c r="N77" s="1" t="s">
        <v>264</v>
      </c>
      <c r="O77" s="27" t="s">
        <v>321</v>
      </c>
      <c r="P77" s="27"/>
    </row>
    <row r="78" spans="1:16" ht="24" customHeight="1">
      <c r="A78" s="30">
        <v>45862</v>
      </c>
      <c r="B78" s="27" t="s">
        <v>216</v>
      </c>
      <c r="C78" s="27" t="s">
        <v>171</v>
      </c>
      <c r="D78" s="27" t="s">
        <v>3252</v>
      </c>
      <c r="E78" s="10">
        <v>60</v>
      </c>
      <c r="F78" s="36" t="s">
        <v>263</v>
      </c>
      <c r="G78" s="27" t="s">
        <v>289</v>
      </c>
      <c r="H78" s="27" t="s">
        <v>359</v>
      </c>
      <c r="I78" s="27"/>
      <c r="J78" s="27"/>
      <c r="K78" s="27" t="s">
        <v>945</v>
      </c>
      <c r="L78" s="27"/>
      <c r="M78" s="30">
        <v>45842</v>
      </c>
      <c r="N78" s="1" t="s">
        <v>264</v>
      </c>
      <c r="O78" s="27" t="s">
        <v>321</v>
      </c>
      <c r="P78" s="27"/>
    </row>
    <row r="79" spans="1:16" ht="24" customHeight="1">
      <c r="A79" s="30">
        <v>45862</v>
      </c>
      <c r="B79" s="27" t="s">
        <v>216</v>
      </c>
      <c r="C79" s="27" t="s">
        <v>171</v>
      </c>
      <c r="D79" s="27" t="s">
        <v>2809</v>
      </c>
      <c r="E79" s="10"/>
      <c r="F79" s="36" t="s">
        <v>263</v>
      </c>
      <c r="G79" s="27" t="s">
        <v>269</v>
      </c>
      <c r="H79" s="27" t="s">
        <v>270</v>
      </c>
      <c r="I79" s="27"/>
      <c r="J79" s="27"/>
      <c r="K79" s="27" t="s">
        <v>2584</v>
      </c>
      <c r="L79" s="27"/>
      <c r="M79" s="30">
        <v>45693</v>
      </c>
      <c r="N79" s="3" t="s">
        <v>312</v>
      </c>
      <c r="O79" s="27"/>
      <c r="P79" s="27"/>
    </row>
    <row r="80" spans="1:16" ht="24" customHeight="1">
      <c r="A80" s="30">
        <v>45863</v>
      </c>
      <c r="B80" s="27" t="s">
        <v>220</v>
      </c>
      <c r="C80" s="27" t="s">
        <v>171</v>
      </c>
      <c r="D80" s="27" t="s">
        <v>3253</v>
      </c>
      <c r="E80" s="10">
        <v>60</v>
      </c>
      <c r="F80" s="36" t="s">
        <v>263</v>
      </c>
      <c r="G80" s="27" t="s">
        <v>274</v>
      </c>
      <c r="H80" s="27" t="s">
        <v>354</v>
      </c>
      <c r="I80" s="27"/>
      <c r="J80" s="27"/>
      <c r="K80" s="27" t="s">
        <v>583</v>
      </c>
      <c r="L80" s="27"/>
      <c r="M80" s="30">
        <v>45853</v>
      </c>
      <c r="N80" s="1" t="s">
        <v>264</v>
      </c>
      <c r="O80" s="27" t="s">
        <v>3254</v>
      </c>
      <c r="P80" s="27"/>
    </row>
    <row r="81" spans="1:16" ht="24" customHeight="1">
      <c r="A81" s="30">
        <v>45863</v>
      </c>
      <c r="B81" s="27" t="s">
        <v>220</v>
      </c>
      <c r="C81" s="27" t="s">
        <v>954</v>
      </c>
      <c r="D81" s="27" t="s">
        <v>3255</v>
      </c>
      <c r="E81" s="10">
        <v>55</v>
      </c>
      <c r="F81" s="36" t="s">
        <v>263</v>
      </c>
      <c r="G81" s="27" t="s">
        <v>896</v>
      </c>
      <c r="H81" s="27" t="s">
        <v>295</v>
      </c>
      <c r="I81" s="27"/>
      <c r="J81" s="27"/>
      <c r="K81" s="27" t="s">
        <v>367</v>
      </c>
      <c r="L81" s="27"/>
      <c r="M81" s="30">
        <v>45859</v>
      </c>
      <c r="N81" s="1" t="s">
        <v>264</v>
      </c>
      <c r="O81" s="27" t="s">
        <v>3256</v>
      </c>
      <c r="P81" s="27"/>
    </row>
    <row r="82" spans="1:16" ht="24" customHeight="1">
      <c r="A82" s="30">
        <v>45863</v>
      </c>
      <c r="B82" s="27" t="s">
        <v>220</v>
      </c>
      <c r="C82" s="27" t="s">
        <v>171</v>
      </c>
      <c r="D82" s="27" t="s">
        <v>358</v>
      </c>
      <c r="E82" s="10">
        <v>40</v>
      </c>
      <c r="F82" s="36" t="s">
        <v>263</v>
      </c>
      <c r="G82" s="27" t="s">
        <v>295</v>
      </c>
      <c r="H82" s="27" t="s">
        <v>296</v>
      </c>
      <c r="I82" s="27"/>
      <c r="J82" s="27"/>
      <c r="K82" s="27" t="s">
        <v>351</v>
      </c>
      <c r="L82" s="27"/>
      <c r="M82" s="30">
        <v>45821</v>
      </c>
      <c r="N82" s="1" t="s">
        <v>264</v>
      </c>
      <c r="O82" s="27"/>
      <c r="P82" s="27"/>
    </row>
    <row r="83" spans="1:16" ht="24" customHeight="1">
      <c r="A83" s="30">
        <v>45864</v>
      </c>
      <c r="B83" s="27" t="s">
        <v>266</v>
      </c>
      <c r="C83" s="27"/>
      <c r="D83" s="27" t="s">
        <v>300</v>
      </c>
      <c r="E83" s="10"/>
      <c r="F83" s="36" t="s">
        <v>263</v>
      </c>
      <c r="G83" s="27" t="s">
        <v>269</v>
      </c>
      <c r="H83" s="27" t="s">
        <v>270</v>
      </c>
      <c r="I83" s="27"/>
      <c r="J83" s="27"/>
      <c r="K83" s="27" t="s">
        <v>2626</v>
      </c>
      <c r="L83" s="27"/>
      <c r="M83" s="27" t="s">
        <v>3211</v>
      </c>
      <c r="N83" s="1" t="s">
        <v>264</v>
      </c>
      <c r="O83" s="27"/>
      <c r="P83" s="27"/>
    </row>
    <row r="84" spans="1:16" ht="24" customHeight="1">
      <c r="A84" s="30">
        <v>45864</v>
      </c>
      <c r="B84" s="27" t="s">
        <v>266</v>
      </c>
      <c r="C84" s="27" t="s">
        <v>3210</v>
      </c>
      <c r="D84" s="27" t="s">
        <v>300</v>
      </c>
      <c r="E84" s="10"/>
      <c r="F84" s="36" t="s">
        <v>263</v>
      </c>
      <c r="G84" s="27" t="s">
        <v>269</v>
      </c>
      <c r="H84" s="27" t="s">
        <v>270</v>
      </c>
      <c r="I84" s="27"/>
      <c r="J84" s="27"/>
      <c r="K84" s="27" t="s">
        <v>1025</v>
      </c>
      <c r="L84" s="27"/>
      <c r="M84" s="27" t="s">
        <v>3211</v>
      </c>
      <c r="N84" s="1" t="s">
        <v>264</v>
      </c>
      <c r="O84" s="27"/>
      <c r="P84" s="27"/>
    </row>
    <row r="85" spans="1:16" ht="24" customHeight="1">
      <c r="A85" s="30">
        <v>45865</v>
      </c>
      <c r="B85" s="27" t="s">
        <v>267</v>
      </c>
      <c r="C85" s="27"/>
      <c r="D85" s="27"/>
      <c r="E85" s="10"/>
      <c r="F85" s="36" t="s">
        <v>263</v>
      </c>
      <c r="G85" s="27"/>
      <c r="H85" s="27"/>
      <c r="I85" s="27"/>
      <c r="J85" s="27"/>
      <c r="K85" s="27"/>
      <c r="L85" s="27"/>
      <c r="M85" s="27"/>
      <c r="N85" s="1" t="s">
        <v>264</v>
      </c>
      <c r="O85" s="27"/>
      <c r="P85" s="27"/>
    </row>
    <row r="86" spans="1:16" ht="24" customHeight="1">
      <c r="A86" s="30">
        <v>45866</v>
      </c>
      <c r="B86" s="27" t="s">
        <v>224</v>
      </c>
      <c r="C86" s="27" t="s">
        <v>326</v>
      </c>
      <c r="D86" s="27" t="s">
        <v>2809</v>
      </c>
      <c r="E86" s="10"/>
      <c r="F86" s="36" t="s">
        <v>263</v>
      </c>
      <c r="G86" s="27" t="s">
        <v>269</v>
      </c>
      <c r="H86" s="27" t="s">
        <v>270</v>
      </c>
      <c r="I86" s="27"/>
      <c r="J86" s="27"/>
      <c r="K86" s="27" t="s">
        <v>2584</v>
      </c>
      <c r="L86" s="27"/>
      <c r="M86" s="30">
        <v>45693</v>
      </c>
      <c r="N86" s="1" t="s">
        <v>264</v>
      </c>
      <c r="O86" s="27"/>
      <c r="P86" s="27"/>
    </row>
    <row r="87" spans="1:16" ht="24" customHeight="1">
      <c r="A87" s="30">
        <v>45866</v>
      </c>
      <c r="B87" s="27" t="s">
        <v>224</v>
      </c>
      <c r="C87" s="27" t="s">
        <v>3257</v>
      </c>
      <c r="D87" s="27" t="s">
        <v>440</v>
      </c>
      <c r="E87" s="10"/>
      <c r="F87" s="36" t="s">
        <v>263</v>
      </c>
      <c r="G87" s="27" t="s">
        <v>269</v>
      </c>
      <c r="H87" s="27" t="s">
        <v>270</v>
      </c>
      <c r="I87" s="27"/>
      <c r="J87" s="27"/>
      <c r="K87" s="27" t="s">
        <v>3009</v>
      </c>
      <c r="L87" s="27"/>
      <c r="M87" s="30">
        <v>45859</v>
      </c>
      <c r="N87" s="1" t="s">
        <v>264</v>
      </c>
      <c r="O87" s="27" t="s">
        <v>2710</v>
      </c>
      <c r="P87" s="27"/>
    </row>
    <row r="88" spans="1:16" ht="24" customHeight="1">
      <c r="A88" s="30" t="s">
        <v>3258</v>
      </c>
      <c r="B88" s="27" t="s">
        <v>3259</v>
      </c>
      <c r="C88" s="27" t="s">
        <v>1134</v>
      </c>
      <c r="D88" s="27" t="s">
        <v>3260</v>
      </c>
      <c r="E88" s="10"/>
      <c r="F88" s="36" t="s">
        <v>263</v>
      </c>
      <c r="G88" s="27" t="s">
        <v>274</v>
      </c>
      <c r="H88" s="27" t="s">
        <v>270</v>
      </c>
      <c r="I88" s="27"/>
      <c r="J88" s="27"/>
      <c r="K88" s="27" t="s">
        <v>783</v>
      </c>
      <c r="L88" s="27"/>
      <c r="M88" s="30">
        <v>45863</v>
      </c>
      <c r="N88" s="1" t="s">
        <v>264</v>
      </c>
      <c r="O88" s="27" t="s">
        <v>3261</v>
      </c>
      <c r="P88" s="27"/>
    </row>
    <row r="89" spans="1:16" ht="24" customHeight="1">
      <c r="A89" s="30" t="s">
        <v>3258</v>
      </c>
      <c r="B89" s="27" t="s">
        <v>3259</v>
      </c>
      <c r="C89" s="27" t="s">
        <v>3257</v>
      </c>
      <c r="D89" s="27" t="s">
        <v>440</v>
      </c>
      <c r="E89" s="10"/>
      <c r="F89" s="36" t="s">
        <v>263</v>
      </c>
      <c r="G89" s="27" t="s">
        <v>269</v>
      </c>
      <c r="H89" s="27" t="s">
        <v>270</v>
      </c>
      <c r="I89" s="27"/>
      <c r="J89" s="27"/>
      <c r="K89" s="27" t="s">
        <v>3009</v>
      </c>
      <c r="L89" s="27"/>
      <c r="M89" s="30">
        <v>45859</v>
      </c>
      <c r="N89" s="1" t="s">
        <v>264</v>
      </c>
      <c r="O89" s="27" t="s">
        <v>2710</v>
      </c>
      <c r="P89" s="27"/>
    </row>
    <row r="90" spans="1:16" ht="24" customHeight="1">
      <c r="A90" s="30">
        <v>45867</v>
      </c>
      <c r="B90" s="27" t="s">
        <v>227</v>
      </c>
      <c r="C90" s="27" t="s">
        <v>171</v>
      </c>
      <c r="D90" s="27" t="s">
        <v>358</v>
      </c>
      <c r="E90" s="10">
        <v>40</v>
      </c>
      <c r="F90" s="36" t="s">
        <v>263</v>
      </c>
      <c r="G90" s="27" t="s">
        <v>295</v>
      </c>
      <c r="H90" s="27" t="s">
        <v>296</v>
      </c>
      <c r="I90" s="27"/>
      <c r="J90" s="27"/>
      <c r="K90" s="27" t="s">
        <v>351</v>
      </c>
      <c r="L90" s="27"/>
      <c r="M90" s="30">
        <v>45821</v>
      </c>
      <c r="N90" s="1" t="s">
        <v>264</v>
      </c>
      <c r="O90" s="27"/>
      <c r="P90" s="27"/>
    </row>
    <row r="91" spans="1:16" ht="24" customHeight="1">
      <c r="A91" s="30">
        <v>45867</v>
      </c>
      <c r="B91" s="27" t="s">
        <v>227</v>
      </c>
      <c r="C91" s="27" t="s">
        <v>326</v>
      </c>
      <c r="D91" s="27" t="s">
        <v>3262</v>
      </c>
      <c r="E91" s="10">
        <v>35</v>
      </c>
      <c r="F91" s="36" t="s">
        <v>263</v>
      </c>
      <c r="G91" s="27" t="s">
        <v>289</v>
      </c>
      <c r="H91" s="27" t="s">
        <v>981</v>
      </c>
      <c r="I91" s="27"/>
      <c r="J91" s="27"/>
      <c r="K91" s="27" t="s">
        <v>237</v>
      </c>
      <c r="L91" s="27"/>
      <c r="M91" s="30">
        <v>45845</v>
      </c>
      <c r="N91" s="1" t="s">
        <v>264</v>
      </c>
      <c r="O91" s="27" t="s">
        <v>321</v>
      </c>
      <c r="P91" s="27"/>
    </row>
    <row r="92" spans="1:16" ht="24" customHeight="1">
      <c r="A92" s="30">
        <v>45867</v>
      </c>
      <c r="B92" s="27" t="s">
        <v>227</v>
      </c>
      <c r="C92" s="27" t="s">
        <v>3257</v>
      </c>
      <c r="D92" s="27" t="s">
        <v>440</v>
      </c>
      <c r="E92" s="10">
        <v>1</v>
      </c>
      <c r="F92" s="36" t="s">
        <v>263</v>
      </c>
      <c r="G92" s="27" t="s">
        <v>269</v>
      </c>
      <c r="H92" s="27" t="s">
        <v>270</v>
      </c>
      <c r="I92" s="27"/>
      <c r="J92" s="27"/>
      <c r="K92" s="27" t="s">
        <v>3263</v>
      </c>
      <c r="L92" s="27"/>
      <c r="M92" s="30">
        <v>45866</v>
      </c>
      <c r="N92" s="1" t="s">
        <v>264</v>
      </c>
      <c r="O92" s="27" t="s">
        <v>2710</v>
      </c>
      <c r="P92" s="27"/>
    </row>
    <row r="93" spans="1:16" ht="24" customHeight="1">
      <c r="A93" s="30">
        <v>45867</v>
      </c>
      <c r="B93" s="27" t="s">
        <v>227</v>
      </c>
      <c r="C93" s="27" t="s">
        <v>3264</v>
      </c>
      <c r="D93" s="27" t="s">
        <v>440</v>
      </c>
      <c r="E93" s="10">
        <v>1</v>
      </c>
      <c r="F93" s="36" t="s">
        <v>263</v>
      </c>
      <c r="G93" s="27" t="s">
        <v>269</v>
      </c>
      <c r="H93" s="27" t="s">
        <v>270</v>
      </c>
      <c r="I93" s="27"/>
      <c r="J93" s="27"/>
      <c r="K93" s="27" t="s">
        <v>3263</v>
      </c>
      <c r="L93" s="27"/>
      <c r="M93" s="30">
        <v>45866</v>
      </c>
      <c r="N93" s="1" t="s">
        <v>264</v>
      </c>
      <c r="O93" s="27" t="s">
        <v>2710</v>
      </c>
      <c r="P93" s="27"/>
    </row>
    <row r="94" spans="1:16" ht="24" customHeight="1">
      <c r="A94" s="30">
        <v>45868</v>
      </c>
      <c r="B94" s="27" t="s">
        <v>201</v>
      </c>
      <c r="C94" s="27" t="s">
        <v>3264</v>
      </c>
      <c r="D94" s="27" t="s">
        <v>440</v>
      </c>
      <c r="E94" s="10">
        <v>1</v>
      </c>
      <c r="F94" s="36" t="s">
        <v>263</v>
      </c>
      <c r="G94" s="27" t="s">
        <v>269</v>
      </c>
      <c r="H94" s="27" t="s">
        <v>270</v>
      </c>
      <c r="I94" s="27"/>
      <c r="J94" s="27"/>
      <c r="K94" s="27" t="s">
        <v>3263</v>
      </c>
      <c r="L94" s="27"/>
      <c r="M94" s="30">
        <v>45866</v>
      </c>
      <c r="N94" s="1" t="s">
        <v>264</v>
      </c>
      <c r="O94" s="27" t="s">
        <v>2710</v>
      </c>
      <c r="P94" s="27"/>
    </row>
    <row r="95" spans="1:16" ht="24" customHeight="1">
      <c r="A95" s="30">
        <v>45868</v>
      </c>
      <c r="B95" s="27" t="s">
        <v>201</v>
      </c>
      <c r="C95" s="27" t="s">
        <v>3265</v>
      </c>
      <c r="D95" s="27" t="s">
        <v>440</v>
      </c>
      <c r="E95" s="10">
        <v>1</v>
      </c>
      <c r="F95" s="36" t="s">
        <v>263</v>
      </c>
      <c r="G95" s="27" t="s">
        <v>269</v>
      </c>
      <c r="H95" s="27" t="s">
        <v>270</v>
      </c>
      <c r="I95" s="27"/>
      <c r="J95" s="27"/>
      <c r="K95" s="27" t="s">
        <v>3263</v>
      </c>
      <c r="L95" s="27"/>
      <c r="M95" s="30">
        <v>45866</v>
      </c>
      <c r="N95" s="1" t="s">
        <v>264</v>
      </c>
      <c r="O95" s="27" t="s">
        <v>2710</v>
      </c>
      <c r="P95" s="27"/>
    </row>
    <row r="96" spans="1:16" ht="24" customHeight="1">
      <c r="A96" s="30">
        <v>45868</v>
      </c>
      <c r="B96" s="27" t="s">
        <v>201</v>
      </c>
      <c r="C96" s="27" t="s">
        <v>3257</v>
      </c>
      <c r="D96" s="27" t="s">
        <v>440</v>
      </c>
      <c r="E96" s="10"/>
      <c r="F96" s="36" t="s">
        <v>263</v>
      </c>
      <c r="G96" s="27" t="s">
        <v>269</v>
      </c>
      <c r="H96" s="27" t="s">
        <v>270</v>
      </c>
      <c r="I96" s="27"/>
      <c r="J96" s="27"/>
      <c r="K96" s="27" t="s">
        <v>3009</v>
      </c>
      <c r="L96" s="27"/>
      <c r="M96" s="30">
        <v>45859</v>
      </c>
      <c r="N96" s="1" t="s">
        <v>264</v>
      </c>
      <c r="O96" s="27" t="s">
        <v>2710</v>
      </c>
      <c r="P96" s="27"/>
    </row>
    <row r="97" spans="1:16" ht="24" customHeight="1">
      <c r="A97" s="30">
        <v>45868</v>
      </c>
      <c r="B97" s="27" t="s">
        <v>201</v>
      </c>
      <c r="C97" s="27" t="s">
        <v>171</v>
      </c>
      <c r="D97" s="27" t="s">
        <v>3266</v>
      </c>
      <c r="E97" s="10">
        <v>60</v>
      </c>
      <c r="F97" s="36" t="s">
        <v>263</v>
      </c>
      <c r="G97" s="27" t="s">
        <v>289</v>
      </c>
      <c r="H97" s="27" t="s">
        <v>359</v>
      </c>
      <c r="I97" s="27"/>
      <c r="J97" s="27"/>
      <c r="K97" s="27" t="s">
        <v>1629</v>
      </c>
      <c r="L97" s="27"/>
      <c r="M97" s="30">
        <v>45846</v>
      </c>
      <c r="N97" s="1" t="s">
        <v>264</v>
      </c>
      <c r="O97" s="27" t="s">
        <v>3204</v>
      </c>
      <c r="P97" s="27"/>
    </row>
    <row r="98" spans="1:16" ht="24" customHeight="1">
      <c r="A98" s="30">
        <v>45868</v>
      </c>
      <c r="B98" s="27" t="s">
        <v>201</v>
      </c>
      <c r="C98" s="27" t="s">
        <v>239</v>
      </c>
      <c r="D98" s="27" t="s">
        <v>1677</v>
      </c>
      <c r="E98" s="10">
        <v>100</v>
      </c>
      <c r="F98" s="38" t="s">
        <v>294</v>
      </c>
      <c r="G98" s="27" t="s">
        <v>295</v>
      </c>
      <c r="H98" s="27" t="s">
        <v>296</v>
      </c>
      <c r="I98" s="27"/>
      <c r="J98" s="27"/>
      <c r="K98" s="27" t="s">
        <v>3009</v>
      </c>
      <c r="L98" s="27"/>
      <c r="M98" s="30">
        <v>45855</v>
      </c>
      <c r="N98" s="1" t="s">
        <v>264</v>
      </c>
      <c r="O98" s="27"/>
      <c r="P98" s="27"/>
    </row>
    <row r="99" spans="1:16" ht="24" customHeight="1">
      <c r="A99" s="30">
        <v>45868</v>
      </c>
      <c r="B99" s="27" t="s">
        <v>201</v>
      </c>
      <c r="C99" s="27" t="s">
        <v>171</v>
      </c>
      <c r="D99" s="27" t="s">
        <v>3267</v>
      </c>
      <c r="E99" s="10">
        <v>70</v>
      </c>
      <c r="F99" s="36" t="s">
        <v>263</v>
      </c>
      <c r="G99" s="27" t="s">
        <v>338</v>
      </c>
      <c r="H99" s="27" t="s">
        <v>506</v>
      </c>
      <c r="I99" s="27"/>
      <c r="J99" s="27"/>
      <c r="K99" s="27" t="s">
        <v>3009</v>
      </c>
      <c r="L99" s="27"/>
      <c r="M99" s="30">
        <v>45852</v>
      </c>
      <c r="N99" s="1" t="s">
        <v>264</v>
      </c>
      <c r="O99" s="27"/>
      <c r="P99" s="27"/>
    </row>
    <row r="100" spans="1:16" ht="24" customHeight="1">
      <c r="A100" s="30">
        <v>45868</v>
      </c>
      <c r="B100" s="27" t="s">
        <v>201</v>
      </c>
      <c r="C100" s="27" t="s">
        <v>954</v>
      </c>
      <c r="D100" s="27" t="s">
        <v>3268</v>
      </c>
      <c r="E100" s="10">
        <v>30</v>
      </c>
      <c r="F100" s="36" t="s">
        <v>263</v>
      </c>
      <c r="G100" s="27" t="s">
        <v>289</v>
      </c>
      <c r="H100" s="27" t="s">
        <v>290</v>
      </c>
      <c r="I100" s="27"/>
      <c r="J100" s="27"/>
      <c r="K100" s="27" t="s">
        <v>237</v>
      </c>
      <c r="L100" s="27"/>
      <c r="M100" s="30">
        <v>45845</v>
      </c>
      <c r="N100" s="1" t="s">
        <v>264</v>
      </c>
      <c r="O100" s="27" t="s">
        <v>321</v>
      </c>
      <c r="P100" s="27"/>
    </row>
    <row r="101" spans="1:16" ht="24" customHeight="1">
      <c r="A101" s="30">
        <v>45868</v>
      </c>
      <c r="B101" s="27" t="s">
        <v>201</v>
      </c>
      <c r="C101" s="27" t="s">
        <v>3006</v>
      </c>
      <c r="D101" s="27" t="s">
        <v>3082</v>
      </c>
      <c r="E101" s="10" t="s">
        <v>2202</v>
      </c>
      <c r="F101" s="38" t="s">
        <v>294</v>
      </c>
      <c r="G101" s="27" t="s">
        <v>315</v>
      </c>
      <c r="H101" s="27" t="s">
        <v>506</v>
      </c>
      <c r="I101" s="27" t="s">
        <v>531</v>
      </c>
      <c r="J101" s="27" t="s">
        <v>531</v>
      </c>
      <c r="K101" s="27" t="s">
        <v>3269</v>
      </c>
      <c r="L101" s="27"/>
      <c r="M101" s="30" t="s">
        <v>2603</v>
      </c>
      <c r="N101" s="3" t="s">
        <v>312</v>
      </c>
      <c r="O101" s="27" t="s">
        <v>3270</v>
      </c>
      <c r="P101" s="27"/>
    </row>
    <row r="102" spans="1:16" ht="24" customHeight="1">
      <c r="A102" s="30">
        <v>45869</v>
      </c>
      <c r="B102" s="27" t="s">
        <v>216</v>
      </c>
      <c r="C102" s="27" t="s">
        <v>326</v>
      </c>
      <c r="D102" s="27" t="s">
        <v>3271</v>
      </c>
      <c r="E102" s="10">
        <v>35</v>
      </c>
      <c r="F102" s="36" t="s">
        <v>263</v>
      </c>
      <c r="G102" s="27" t="s">
        <v>289</v>
      </c>
      <c r="H102" s="27" t="s">
        <v>359</v>
      </c>
      <c r="I102" s="27"/>
      <c r="J102" s="27"/>
      <c r="K102" s="27" t="s">
        <v>237</v>
      </c>
      <c r="L102" s="27"/>
      <c r="M102" s="30">
        <v>45845</v>
      </c>
      <c r="N102" s="1" t="s">
        <v>264</v>
      </c>
      <c r="O102" s="27" t="s">
        <v>321</v>
      </c>
      <c r="P102" s="27"/>
    </row>
    <row r="103" spans="1:16" ht="24" customHeight="1">
      <c r="A103" s="30">
        <v>45869</v>
      </c>
      <c r="B103" s="27" t="s">
        <v>216</v>
      </c>
      <c r="C103" s="27" t="s">
        <v>171</v>
      </c>
      <c r="D103" s="27" t="s">
        <v>3272</v>
      </c>
      <c r="E103" s="10">
        <v>35</v>
      </c>
      <c r="F103" s="36" t="s">
        <v>263</v>
      </c>
      <c r="G103" s="27" t="s">
        <v>338</v>
      </c>
      <c r="H103" s="27" t="s">
        <v>1397</v>
      </c>
      <c r="I103" s="27"/>
      <c r="J103" s="27"/>
      <c r="K103" s="27" t="s">
        <v>3273</v>
      </c>
      <c r="L103" s="27"/>
      <c r="M103" s="30">
        <v>45861</v>
      </c>
      <c r="N103" s="1" t="s">
        <v>264</v>
      </c>
      <c r="O103" s="27" t="s">
        <v>3274</v>
      </c>
      <c r="P103" s="27"/>
    </row>
    <row r="104" spans="1:16" ht="24" customHeight="1">
      <c r="A104" s="30">
        <v>45869</v>
      </c>
      <c r="B104" s="27" t="s">
        <v>216</v>
      </c>
      <c r="C104" s="27" t="s">
        <v>171</v>
      </c>
      <c r="D104" s="27" t="s">
        <v>2809</v>
      </c>
      <c r="E104" s="10"/>
      <c r="F104" s="36" t="s">
        <v>263</v>
      </c>
      <c r="G104" s="27" t="s">
        <v>269</v>
      </c>
      <c r="H104" s="27" t="s">
        <v>270</v>
      </c>
      <c r="I104" s="27"/>
      <c r="J104" s="27"/>
      <c r="K104" s="27" t="s">
        <v>2584</v>
      </c>
      <c r="L104" s="27"/>
      <c r="M104" s="30">
        <v>45693</v>
      </c>
      <c r="N104" s="3" t="s">
        <v>312</v>
      </c>
      <c r="O104" s="27"/>
      <c r="P104" s="27"/>
    </row>
    <row r="105" spans="1:16" ht="24" customHeight="1">
      <c r="A105" s="30">
        <v>45869</v>
      </c>
      <c r="B105" s="27" t="s">
        <v>216</v>
      </c>
      <c r="C105" s="27" t="s">
        <v>3257</v>
      </c>
      <c r="D105" s="27" t="s">
        <v>440</v>
      </c>
      <c r="E105" s="10"/>
      <c r="F105" s="36" t="s">
        <v>263</v>
      </c>
      <c r="G105" s="27" t="s">
        <v>269</v>
      </c>
      <c r="H105" s="27" t="s">
        <v>270</v>
      </c>
      <c r="I105" s="27"/>
      <c r="J105" s="27"/>
      <c r="K105" s="27" t="s">
        <v>3009</v>
      </c>
      <c r="L105" s="27"/>
      <c r="M105" s="30">
        <v>45859</v>
      </c>
      <c r="N105" s="1" t="s">
        <v>264</v>
      </c>
      <c r="O105" s="27" t="s">
        <v>2710</v>
      </c>
      <c r="P105" s="27"/>
    </row>
    <row r="106" spans="1:16" ht="24" customHeight="1">
      <c r="A106" s="30">
        <v>45869</v>
      </c>
      <c r="B106" s="27" t="s">
        <v>216</v>
      </c>
      <c r="C106" s="27" t="s">
        <v>3006</v>
      </c>
      <c r="D106" s="27" t="s">
        <v>3275</v>
      </c>
      <c r="E106" s="10" t="s">
        <v>3276</v>
      </c>
      <c r="F106" s="38" t="s">
        <v>294</v>
      </c>
      <c r="G106" s="27" t="s">
        <v>295</v>
      </c>
      <c r="H106" s="27" t="s">
        <v>270</v>
      </c>
      <c r="I106" s="27"/>
      <c r="J106" s="27"/>
      <c r="K106" s="27" t="s">
        <v>1139</v>
      </c>
      <c r="L106" s="27"/>
      <c r="M106" s="30">
        <v>45860</v>
      </c>
      <c r="N106" s="3" t="s">
        <v>312</v>
      </c>
      <c r="O106" s="27"/>
      <c r="P106" s="27" t="s">
        <v>3277</v>
      </c>
    </row>
    <row r="107" spans="1:16" ht="24" customHeight="1">
      <c r="A107" s="30">
        <v>45869</v>
      </c>
      <c r="B107" s="27" t="s">
        <v>216</v>
      </c>
      <c r="C107" s="27" t="s">
        <v>3264</v>
      </c>
      <c r="D107" s="27" t="s">
        <v>440</v>
      </c>
      <c r="E107" s="10">
        <v>1</v>
      </c>
      <c r="F107" s="36" t="s">
        <v>263</v>
      </c>
      <c r="G107" s="27" t="s">
        <v>269</v>
      </c>
      <c r="H107" s="27" t="s">
        <v>270</v>
      </c>
      <c r="I107" s="27"/>
      <c r="J107" s="27"/>
      <c r="K107" s="27" t="s">
        <v>3263</v>
      </c>
      <c r="L107" s="27"/>
      <c r="M107" s="30">
        <v>45866</v>
      </c>
      <c r="N107" s="1" t="s">
        <v>264</v>
      </c>
      <c r="O107" s="27" t="s">
        <v>2710</v>
      </c>
      <c r="P107" s="27"/>
    </row>
    <row r="108" spans="1:16" ht="24" customHeight="1">
      <c r="A108" s="30">
        <v>45869</v>
      </c>
      <c r="B108" s="27" t="s">
        <v>216</v>
      </c>
      <c r="C108" s="27" t="s">
        <v>171</v>
      </c>
      <c r="D108" s="27" t="s">
        <v>2666</v>
      </c>
      <c r="E108" s="10">
        <v>40</v>
      </c>
      <c r="F108" s="36" t="s">
        <v>263</v>
      </c>
      <c r="G108" s="27" t="s">
        <v>295</v>
      </c>
      <c r="H108" s="27" t="s">
        <v>270</v>
      </c>
      <c r="I108" s="27"/>
      <c r="J108" s="27"/>
      <c r="K108" s="27" t="s">
        <v>3177</v>
      </c>
      <c r="L108" s="27"/>
      <c r="M108" s="30">
        <v>45868</v>
      </c>
      <c r="N108" s="1" t="s">
        <v>264</v>
      </c>
      <c r="O108" s="27" t="s">
        <v>3278</v>
      </c>
      <c r="P108" s="27"/>
    </row>
  </sheetData>
  <mergeCells count="3">
    <mergeCell ref="A1:C1"/>
    <mergeCell ref="D1:K1"/>
    <mergeCell ref="L1:P1"/>
  </mergeCells>
  <dataValidations count="2">
    <dataValidation type="list" allowBlank="1" sqref="M3:M158 N3:N108" xr:uid="{00000000-0002-0000-2300-000000000000}">
      <formula1>"Confirmed (Done),Pending Calendar Booking,Canceled"</formula1>
    </dataValidation>
    <dataValidation type="list" allowBlank="1" sqref="F3:F108" xr:uid="{00000000-0002-0000-2300-000001000000}">
      <formula1>"Big Event,Small Event"</formula1>
    </dataValidation>
  </dataValidations>
  <hyperlinks>
    <hyperlink ref="A1" location="'Dashboard'!A1" display="🏠 ⮌ RETURN TO DASHBOARD" xr:uid="{00000000-0004-0000-2300-000000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92"/>
  <sheetViews>
    <sheetView workbookViewId="0">
      <pane ySplit="2" topLeftCell="A3" activePane="bottomLeft" state="frozen"/>
      <selection pane="bottomLeft"/>
    </sheetView>
  </sheetViews>
  <sheetFormatPr defaultRowHeight="14.45"/>
  <cols>
    <col min="1" max="1" width="15" customWidth="1"/>
    <col min="2" max="2" width="12" customWidth="1"/>
    <col min="3" max="3" width="27" customWidth="1"/>
    <col min="4" max="4" width="48" customWidth="1"/>
    <col min="5" max="5" width="12" customWidth="1"/>
    <col min="6" max="6" width="15" customWidth="1"/>
    <col min="7" max="7" width="19" customWidth="1"/>
    <col min="8" max="8" width="17" customWidth="1"/>
    <col min="9" max="9" width="18" customWidth="1"/>
    <col min="10" max="10" width="22" customWidth="1"/>
    <col min="11" max="11" width="28" customWidth="1"/>
    <col min="12" max="12" width="25" customWidth="1"/>
    <col min="13" max="13" width="15" customWidth="1"/>
    <col min="14" max="14" width="25" customWidth="1"/>
    <col min="15" max="16" width="48" customWidth="1"/>
  </cols>
  <sheetData>
    <row r="1" spans="1:16" ht="27.95" customHeight="1">
      <c r="A1" s="62" t="s">
        <v>2138</v>
      </c>
      <c r="B1" s="134"/>
      <c r="C1" s="135"/>
      <c r="D1" s="63" t="s">
        <v>3279</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45870</v>
      </c>
      <c r="B3" s="27" t="s">
        <v>220</v>
      </c>
      <c r="C3" s="27" t="s">
        <v>501</v>
      </c>
      <c r="D3" s="27" t="s">
        <v>3280</v>
      </c>
      <c r="E3" s="10" t="s">
        <v>2506</v>
      </c>
      <c r="F3" s="38" t="s">
        <v>294</v>
      </c>
      <c r="G3" s="27" t="s">
        <v>269</v>
      </c>
      <c r="H3" s="27" t="s">
        <v>270</v>
      </c>
      <c r="I3" s="27"/>
      <c r="J3" s="27"/>
      <c r="K3" s="27" t="s">
        <v>2584</v>
      </c>
      <c r="L3" s="27"/>
      <c r="M3" s="30">
        <v>45812</v>
      </c>
      <c r="N3" s="1" t="s">
        <v>264</v>
      </c>
      <c r="O3" s="27" t="s">
        <v>3281</v>
      </c>
      <c r="P3" s="27"/>
    </row>
    <row r="4" spans="1:16" ht="24" customHeight="1">
      <c r="A4" s="30">
        <v>45871</v>
      </c>
      <c r="B4" s="27" t="s">
        <v>266</v>
      </c>
      <c r="C4" s="27" t="s">
        <v>171</v>
      </c>
      <c r="D4" s="27" t="s">
        <v>3282</v>
      </c>
      <c r="E4" s="10"/>
      <c r="F4" s="36" t="s">
        <v>263</v>
      </c>
      <c r="G4" s="27" t="s">
        <v>269</v>
      </c>
      <c r="H4" s="27" t="s">
        <v>270</v>
      </c>
      <c r="I4" s="27"/>
      <c r="J4" s="27"/>
      <c r="K4" s="27" t="s">
        <v>351</v>
      </c>
      <c r="L4" s="27"/>
      <c r="M4" s="30">
        <v>45847</v>
      </c>
      <c r="N4" s="1" t="s">
        <v>264</v>
      </c>
      <c r="O4" s="27" t="s">
        <v>3186</v>
      </c>
      <c r="P4" s="27"/>
    </row>
    <row r="5" spans="1:16" ht="24" customHeight="1">
      <c r="A5" s="30">
        <v>45871</v>
      </c>
      <c r="B5" s="27" t="s">
        <v>266</v>
      </c>
      <c r="C5" s="27" t="s">
        <v>3283</v>
      </c>
      <c r="D5" s="27" t="s">
        <v>300</v>
      </c>
      <c r="E5" s="10"/>
      <c r="F5" s="36" t="s">
        <v>263</v>
      </c>
      <c r="G5" s="27" t="s">
        <v>269</v>
      </c>
      <c r="H5" s="27" t="s">
        <v>270</v>
      </c>
      <c r="I5" s="27"/>
      <c r="J5" s="27"/>
      <c r="K5" s="27" t="s">
        <v>2626</v>
      </c>
      <c r="L5" s="27"/>
      <c r="M5" s="27"/>
      <c r="N5" s="1" t="s">
        <v>264</v>
      </c>
      <c r="O5" s="27"/>
      <c r="P5" s="27"/>
    </row>
    <row r="6" spans="1:16" ht="24" customHeight="1">
      <c r="A6" s="30">
        <v>45872</v>
      </c>
      <c r="B6" s="27" t="s">
        <v>267</v>
      </c>
      <c r="C6" s="27" t="s">
        <v>171</v>
      </c>
      <c r="D6" s="27" t="s">
        <v>3282</v>
      </c>
      <c r="E6" s="10"/>
      <c r="F6" s="36" t="s">
        <v>263</v>
      </c>
      <c r="G6" s="27" t="s">
        <v>269</v>
      </c>
      <c r="H6" s="27" t="s">
        <v>270</v>
      </c>
      <c r="I6" s="27"/>
      <c r="J6" s="27"/>
      <c r="K6" s="27" t="s">
        <v>351</v>
      </c>
      <c r="L6" s="27"/>
      <c r="M6" s="30">
        <v>45847</v>
      </c>
      <c r="N6" s="1" t="s">
        <v>264</v>
      </c>
      <c r="O6" s="27" t="s">
        <v>3186</v>
      </c>
      <c r="P6" s="27"/>
    </row>
    <row r="7" spans="1:16" ht="24" customHeight="1">
      <c r="A7" s="30">
        <v>45873</v>
      </c>
      <c r="B7" s="27" t="s">
        <v>224</v>
      </c>
      <c r="C7" s="27" t="s">
        <v>326</v>
      </c>
      <c r="D7" s="27" t="s">
        <v>2809</v>
      </c>
      <c r="E7" s="10"/>
      <c r="F7" s="36" t="s">
        <v>263</v>
      </c>
      <c r="G7" s="27" t="s">
        <v>269</v>
      </c>
      <c r="H7" s="27" t="s">
        <v>270</v>
      </c>
      <c r="I7" s="27"/>
      <c r="J7" s="27"/>
      <c r="K7" s="27" t="s">
        <v>237</v>
      </c>
      <c r="L7" s="27"/>
      <c r="M7" s="30">
        <v>45693</v>
      </c>
      <c r="N7" s="1" t="s">
        <v>264</v>
      </c>
      <c r="O7" s="27"/>
      <c r="P7" s="27"/>
    </row>
    <row r="8" spans="1:16" ht="24" customHeight="1">
      <c r="A8" s="30">
        <v>45874</v>
      </c>
      <c r="B8" s="27" t="s">
        <v>227</v>
      </c>
      <c r="C8" s="27" t="s">
        <v>171</v>
      </c>
      <c r="D8" s="27" t="s">
        <v>3284</v>
      </c>
      <c r="E8" s="10">
        <v>50</v>
      </c>
      <c r="F8" s="36" t="s">
        <v>263</v>
      </c>
      <c r="G8" s="27" t="s">
        <v>274</v>
      </c>
      <c r="H8" s="27" t="s">
        <v>331</v>
      </c>
      <c r="I8" s="27"/>
      <c r="J8" s="27"/>
      <c r="K8" s="27" t="s">
        <v>351</v>
      </c>
      <c r="L8" s="27"/>
      <c r="M8" s="30">
        <v>45852</v>
      </c>
      <c r="N8" s="3" t="s">
        <v>312</v>
      </c>
      <c r="O8" s="27" t="s">
        <v>1177</v>
      </c>
      <c r="P8" s="27" t="s">
        <v>679</v>
      </c>
    </row>
    <row r="9" spans="1:16" ht="24" customHeight="1">
      <c r="A9" s="30">
        <v>45874</v>
      </c>
      <c r="B9" s="27" t="s">
        <v>227</v>
      </c>
      <c r="C9" s="27" t="s">
        <v>171</v>
      </c>
      <c r="D9" s="27" t="s">
        <v>358</v>
      </c>
      <c r="E9" s="10">
        <v>40</v>
      </c>
      <c r="F9" s="36" t="s">
        <v>263</v>
      </c>
      <c r="G9" s="27" t="s">
        <v>309</v>
      </c>
      <c r="H9" s="27" t="s">
        <v>289</v>
      </c>
      <c r="I9" s="27"/>
      <c r="J9" s="27"/>
      <c r="K9" s="27" t="s">
        <v>3285</v>
      </c>
      <c r="L9" s="27"/>
      <c r="M9" s="30">
        <v>45832</v>
      </c>
      <c r="N9" s="1" t="s">
        <v>264</v>
      </c>
      <c r="O9" s="27" t="s">
        <v>1177</v>
      </c>
      <c r="P9" s="27"/>
    </row>
    <row r="10" spans="1:16" ht="24" customHeight="1">
      <c r="A10" s="30">
        <v>45874</v>
      </c>
      <c r="B10" s="27" t="s">
        <v>227</v>
      </c>
      <c r="C10" s="27" t="s">
        <v>3286</v>
      </c>
      <c r="D10" s="27" t="s">
        <v>440</v>
      </c>
      <c r="E10" s="10">
        <v>2</v>
      </c>
      <c r="F10" s="36" t="s">
        <v>263</v>
      </c>
      <c r="G10" s="27" t="s">
        <v>269</v>
      </c>
      <c r="H10" s="27" t="s">
        <v>270</v>
      </c>
      <c r="I10" s="27"/>
      <c r="J10" s="27"/>
      <c r="K10" s="27" t="s">
        <v>2753</v>
      </c>
      <c r="L10" s="27"/>
      <c r="M10" s="30" t="s">
        <v>3287</v>
      </c>
      <c r="N10" s="1" t="s">
        <v>264</v>
      </c>
      <c r="O10" s="27" t="s">
        <v>3288</v>
      </c>
      <c r="P10" s="27"/>
    </row>
    <row r="11" spans="1:16" ht="24" customHeight="1">
      <c r="A11" s="30">
        <v>45874</v>
      </c>
      <c r="B11" s="27" t="s">
        <v>227</v>
      </c>
      <c r="C11" s="27" t="s">
        <v>3289</v>
      </c>
      <c r="D11" s="27" t="s">
        <v>440</v>
      </c>
      <c r="E11" s="10">
        <v>2</v>
      </c>
      <c r="F11" s="36" t="s">
        <v>263</v>
      </c>
      <c r="G11" s="27" t="s">
        <v>269</v>
      </c>
      <c r="H11" s="27" t="s">
        <v>270</v>
      </c>
      <c r="I11" s="27"/>
      <c r="J11" s="27"/>
      <c r="K11" s="27" t="s">
        <v>3290</v>
      </c>
      <c r="L11" s="27"/>
      <c r="M11" s="30">
        <v>45873</v>
      </c>
      <c r="N11" s="1" t="s">
        <v>264</v>
      </c>
      <c r="O11" s="27" t="s">
        <v>3288</v>
      </c>
      <c r="P11" s="27"/>
    </row>
    <row r="12" spans="1:16" ht="24" customHeight="1">
      <c r="A12" s="30">
        <v>45874</v>
      </c>
      <c r="B12" s="27" t="s">
        <v>227</v>
      </c>
      <c r="C12" s="27" t="s">
        <v>2740</v>
      </c>
      <c r="D12" s="27" t="s">
        <v>440</v>
      </c>
      <c r="E12" s="10">
        <v>1</v>
      </c>
      <c r="F12" s="36" t="s">
        <v>263</v>
      </c>
      <c r="G12" s="27" t="s">
        <v>269</v>
      </c>
      <c r="H12" s="27" t="s">
        <v>270</v>
      </c>
      <c r="I12" s="27"/>
      <c r="J12" s="27"/>
      <c r="K12" s="27"/>
      <c r="L12" s="27"/>
      <c r="M12" s="27"/>
      <c r="N12" s="1" t="s">
        <v>264</v>
      </c>
      <c r="O12" s="27" t="s">
        <v>3288</v>
      </c>
      <c r="P12" s="27"/>
    </row>
    <row r="13" spans="1:16" ht="24" customHeight="1">
      <c r="A13" s="30">
        <v>45874</v>
      </c>
      <c r="B13" s="27" t="s">
        <v>227</v>
      </c>
      <c r="C13" s="27" t="s">
        <v>3286</v>
      </c>
      <c r="D13" s="27" t="s">
        <v>440</v>
      </c>
      <c r="E13" s="10">
        <v>2</v>
      </c>
      <c r="F13" s="36" t="s">
        <v>263</v>
      </c>
      <c r="G13" s="27" t="s">
        <v>269</v>
      </c>
      <c r="H13" s="27" t="s">
        <v>270</v>
      </c>
      <c r="I13" s="27"/>
      <c r="J13" s="27"/>
      <c r="K13" s="27" t="s">
        <v>2753</v>
      </c>
      <c r="L13" s="27"/>
      <c r="M13" s="30" t="s">
        <v>3287</v>
      </c>
      <c r="N13" s="1" t="s">
        <v>264</v>
      </c>
      <c r="O13" s="27" t="s">
        <v>3288</v>
      </c>
      <c r="P13" s="27"/>
    </row>
    <row r="14" spans="1:16" ht="24" customHeight="1">
      <c r="A14" s="30">
        <v>45874</v>
      </c>
      <c r="B14" s="27" t="s">
        <v>227</v>
      </c>
      <c r="C14" s="27" t="s">
        <v>239</v>
      </c>
      <c r="D14" s="27" t="s">
        <v>3291</v>
      </c>
      <c r="E14" s="10">
        <v>150</v>
      </c>
      <c r="F14" s="38" t="s">
        <v>294</v>
      </c>
      <c r="G14" s="27" t="s">
        <v>295</v>
      </c>
      <c r="H14" s="27" t="s">
        <v>290</v>
      </c>
      <c r="I14" s="27"/>
      <c r="J14" s="27"/>
      <c r="K14" s="27" t="s">
        <v>335</v>
      </c>
      <c r="L14" s="27"/>
      <c r="M14" s="30">
        <v>45860</v>
      </c>
      <c r="N14" s="1" t="s">
        <v>264</v>
      </c>
      <c r="O14" s="27" t="s">
        <v>3292</v>
      </c>
      <c r="P14" s="27"/>
    </row>
    <row r="15" spans="1:16" ht="24" customHeight="1">
      <c r="A15" s="30">
        <v>45874</v>
      </c>
      <c r="B15" s="27" t="s">
        <v>227</v>
      </c>
      <c r="C15" s="27" t="s">
        <v>3264</v>
      </c>
      <c r="D15" s="27" t="s">
        <v>440</v>
      </c>
      <c r="E15" s="10">
        <v>1</v>
      </c>
      <c r="F15" s="36" t="s">
        <v>263</v>
      </c>
      <c r="G15" s="27" t="s">
        <v>269</v>
      </c>
      <c r="H15" s="27" t="s">
        <v>270</v>
      </c>
      <c r="I15" s="27"/>
      <c r="J15" s="27"/>
      <c r="K15" s="27" t="s">
        <v>3293</v>
      </c>
      <c r="L15" s="27"/>
      <c r="M15" s="30">
        <v>45873</v>
      </c>
      <c r="N15" s="1" t="s">
        <v>264</v>
      </c>
      <c r="O15" s="27" t="s">
        <v>3288</v>
      </c>
      <c r="P15" s="27"/>
    </row>
    <row r="16" spans="1:16" ht="24" customHeight="1">
      <c r="A16" s="30">
        <v>45875</v>
      </c>
      <c r="B16" s="27" t="s">
        <v>201</v>
      </c>
      <c r="C16" s="27" t="s">
        <v>3286</v>
      </c>
      <c r="D16" s="27" t="s">
        <v>440</v>
      </c>
      <c r="E16" s="10">
        <v>2</v>
      </c>
      <c r="F16" s="36" t="s">
        <v>263</v>
      </c>
      <c r="G16" s="27" t="s">
        <v>269</v>
      </c>
      <c r="H16" s="27" t="s">
        <v>270</v>
      </c>
      <c r="I16" s="27"/>
      <c r="J16" s="27"/>
      <c r="K16" s="27" t="s">
        <v>2753</v>
      </c>
      <c r="L16" s="27"/>
      <c r="M16" s="30" t="s">
        <v>3287</v>
      </c>
      <c r="N16" s="1" t="s">
        <v>264</v>
      </c>
      <c r="O16" s="27" t="s">
        <v>3288</v>
      </c>
      <c r="P16" s="27"/>
    </row>
    <row r="17" spans="1:16" ht="24" customHeight="1">
      <c r="A17" s="30">
        <v>45875</v>
      </c>
      <c r="B17" s="27" t="s">
        <v>201</v>
      </c>
      <c r="C17" s="27" t="s">
        <v>3264</v>
      </c>
      <c r="D17" s="27" t="s">
        <v>440</v>
      </c>
      <c r="E17" s="10">
        <v>1</v>
      </c>
      <c r="F17" s="36" t="s">
        <v>263</v>
      </c>
      <c r="G17" s="27" t="s">
        <v>269</v>
      </c>
      <c r="H17" s="27" t="s">
        <v>270</v>
      </c>
      <c r="I17" s="27"/>
      <c r="J17" s="27"/>
      <c r="K17" s="27" t="s">
        <v>3293</v>
      </c>
      <c r="L17" s="27"/>
      <c r="M17" s="30">
        <v>45873</v>
      </c>
      <c r="N17" s="1" t="s">
        <v>264</v>
      </c>
      <c r="O17" s="27" t="s">
        <v>3288</v>
      </c>
      <c r="P17" s="27"/>
    </row>
    <row r="18" spans="1:16" ht="24" customHeight="1">
      <c r="A18" s="30">
        <v>45875</v>
      </c>
      <c r="B18" s="27" t="s">
        <v>201</v>
      </c>
      <c r="C18" s="27" t="s">
        <v>2740</v>
      </c>
      <c r="D18" s="27" t="s">
        <v>440</v>
      </c>
      <c r="E18" s="10">
        <v>1</v>
      </c>
      <c r="F18" s="36" t="s">
        <v>263</v>
      </c>
      <c r="G18" s="27" t="s">
        <v>269</v>
      </c>
      <c r="H18" s="27" t="s">
        <v>270</v>
      </c>
      <c r="I18" s="27"/>
      <c r="J18" s="27"/>
      <c r="K18" s="27" t="s">
        <v>335</v>
      </c>
      <c r="L18" s="27"/>
      <c r="M18" s="27"/>
      <c r="N18" s="1" t="s">
        <v>264</v>
      </c>
      <c r="O18" s="27" t="s">
        <v>3288</v>
      </c>
      <c r="P18" s="27"/>
    </row>
    <row r="19" spans="1:16" ht="24" customHeight="1">
      <c r="A19" s="30">
        <v>45875</v>
      </c>
      <c r="B19" s="27" t="s">
        <v>201</v>
      </c>
      <c r="C19" s="27" t="s">
        <v>3289</v>
      </c>
      <c r="D19" s="27" t="s">
        <v>440</v>
      </c>
      <c r="E19" s="10">
        <v>2</v>
      </c>
      <c r="F19" s="36" t="s">
        <v>263</v>
      </c>
      <c r="G19" s="27" t="s">
        <v>269</v>
      </c>
      <c r="H19" s="27" t="s">
        <v>270</v>
      </c>
      <c r="I19" s="27"/>
      <c r="J19" s="27"/>
      <c r="K19" s="27" t="s">
        <v>3290</v>
      </c>
      <c r="L19" s="27"/>
      <c r="M19" s="30">
        <v>45873</v>
      </c>
      <c r="N19" s="1" t="s">
        <v>264</v>
      </c>
      <c r="O19" s="27" t="s">
        <v>3288</v>
      </c>
      <c r="P19" s="27"/>
    </row>
    <row r="20" spans="1:16" ht="24" customHeight="1">
      <c r="A20" s="30">
        <v>45875</v>
      </c>
      <c r="B20" s="27" t="s">
        <v>201</v>
      </c>
      <c r="C20" s="27" t="s">
        <v>954</v>
      </c>
      <c r="D20" s="27" t="s">
        <v>3294</v>
      </c>
      <c r="E20" s="10">
        <v>30</v>
      </c>
      <c r="F20" s="36" t="s">
        <v>263</v>
      </c>
      <c r="G20" s="27" t="s">
        <v>289</v>
      </c>
      <c r="H20" s="27" t="s">
        <v>290</v>
      </c>
      <c r="I20" s="27"/>
      <c r="J20" s="27"/>
      <c r="K20" s="27" t="s">
        <v>237</v>
      </c>
      <c r="L20" s="27"/>
      <c r="M20" s="30">
        <v>45874</v>
      </c>
      <c r="N20" s="1" t="s">
        <v>264</v>
      </c>
      <c r="O20" s="27" t="s">
        <v>3295</v>
      </c>
      <c r="P20" s="27"/>
    </row>
    <row r="21" spans="1:16" ht="24" customHeight="1">
      <c r="A21" s="30">
        <v>45875</v>
      </c>
      <c r="B21" s="27" t="s">
        <v>201</v>
      </c>
      <c r="C21" s="27" t="s">
        <v>3296</v>
      </c>
      <c r="D21" s="27" t="s">
        <v>3291</v>
      </c>
      <c r="E21" s="10" t="s">
        <v>2202</v>
      </c>
      <c r="F21" s="38" t="s">
        <v>294</v>
      </c>
      <c r="G21" s="27" t="s">
        <v>315</v>
      </c>
      <c r="H21" s="27" t="s">
        <v>330</v>
      </c>
      <c r="I21" s="27"/>
      <c r="J21" s="27"/>
      <c r="K21" s="27" t="s">
        <v>335</v>
      </c>
      <c r="L21" s="27"/>
      <c r="M21" s="30">
        <v>45860</v>
      </c>
      <c r="N21" s="1" t="s">
        <v>264</v>
      </c>
      <c r="O21" s="27" t="s">
        <v>3297</v>
      </c>
      <c r="P21" s="27"/>
    </row>
    <row r="22" spans="1:16" ht="24" customHeight="1">
      <c r="A22" s="30">
        <v>45875</v>
      </c>
      <c r="B22" s="27" t="s">
        <v>201</v>
      </c>
      <c r="C22" s="27" t="s">
        <v>3006</v>
      </c>
      <c r="D22" s="27" t="s">
        <v>3275</v>
      </c>
      <c r="E22" s="10" t="s">
        <v>3276</v>
      </c>
      <c r="F22" s="38" t="s">
        <v>294</v>
      </c>
      <c r="G22" s="27" t="s">
        <v>295</v>
      </c>
      <c r="H22" s="27" t="s">
        <v>270</v>
      </c>
      <c r="I22" s="27"/>
      <c r="J22" s="27"/>
      <c r="K22" s="27" t="s">
        <v>1139</v>
      </c>
      <c r="L22" s="27"/>
      <c r="M22" s="30">
        <v>45860</v>
      </c>
      <c r="N22" s="1" t="s">
        <v>264</v>
      </c>
      <c r="O22" s="27" t="s">
        <v>3298</v>
      </c>
      <c r="P22" s="27"/>
    </row>
    <row r="23" spans="1:16" ht="24" customHeight="1">
      <c r="A23" s="30">
        <v>45875</v>
      </c>
      <c r="B23" s="27" t="s">
        <v>201</v>
      </c>
      <c r="C23" s="27" t="s">
        <v>1061</v>
      </c>
      <c r="D23" s="27" t="s">
        <v>3299</v>
      </c>
      <c r="E23" s="10">
        <v>25</v>
      </c>
      <c r="F23" s="36" t="s">
        <v>263</v>
      </c>
      <c r="G23" s="27" t="s">
        <v>269</v>
      </c>
      <c r="H23" s="27" t="s">
        <v>270</v>
      </c>
      <c r="I23" s="27"/>
      <c r="J23" s="27"/>
      <c r="K23" s="27" t="s">
        <v>351</v>
      </c>
      <c r="L23" s="27"/>
      <c r="M23" s="30" t="s">
        <v>3300</v>
      </c>
      <c r="N23" s="1" t="s">
        <v>264</v>
      </c>
      <c r="O23" s="27" t="s">
        <v>3301</v>
      </c>
      <c r="P23" s="27"/>
    </row>
    <row r="24" spans="1:16" ht="24" customHeight="1">
      <c r="A24" s="30">
        <v>45876</v>
      </c>
      <c r="B24" s="27" t="s">
        <v>216</v>
      </c>
      <c r="C24" s="27" t="s">
        <v>954</v>
      </c>
      <c r="D24" s="27" t="s">
        <v>3302</v>
      </c>
      <c r="E24" s="10">
        <v>24</v>
      </c>
      <c r="F24" s="36" t="s">
        <v>263</v>
      </c>
      <c r="G24" s="27" t="s">
        <v>506</v>
      </c>
      <c r="H24" s="27" t="s">
        <v>330</v>
      </c>
      <c r="I24" s="27"/>
      <c r="J24" s="27"/>
      <c r="K24" s="27" t="s">
        <v>1629</v>
      </c>
      <c r="L24" s="27"/>
      <c r="M24" s="30">
        <v>45874</v>
      </c>
      <c r="N24" s="1" t="s">
        <v>264</v>
      </c>
      <c r="O24" s="27" t="s">
        <v>3303</v>
      </c>
      <c r="P24" s="27"/>
    </row>
    <row r="25" spans="1:16" ht="24" customHeight="1">
      <c r="A25" s="30">
        <v>45876</v>
      </c>
      <c r="B25" s="27" t="s">
        <v>216</v>
      </c>
      <c r="C25" s="27" t="s">
        <v>171</v>
      </c>
      <c r="D25" s="27" t="s">
        <v>3304</v>
      </c>
      <c r="E25" s="10">
        <v>40</v>
      </c>
      <c r="F25" s="36" t="s">
        <v>263</v>
      </c>
      <c r="G25" s="27" t="s">
        <v>295</v>
      </c>
      <c r="H25" s="27" t="s">
        <v>270</v>
      </c>
      <c r="I25" s="27"/>
      <c r="J25" s="27"/>
      <c r="K25" s="27"/>
      <c r="L25" s="27"/>
      <c r="M25" s="27"/>
      <c r="N25" s="1" t="s">
        <v>264</v>
      </c>
      <c r="O25" s="27"/>
      <c r="P25" s="27"/>
    </row>
    <row r="26" spans="1:16" ht="24" customHeight="1">
      <c r="A26" s="30">
        <v>45876</v>
      </c>
      <c r="B26" s="27" t="s">
        <v>216</v>
      </c>
      <c r="C26" s="27" t="s">
        <v>3286</v>
      </c>
      <c r="D26" s="27" t="s">
        <v>440</v>
      </c>
      <c r="E26" s="10">
        <v>2</v>
      </c>
      <c r="F26" s="36" t="s">
        <v>263</v>
      </c>
      <c r="G26" s="27" t="s">
        <v>269</v>
      </c>
      <c r="H26" s="27" t="s">
        <v>270</v>
      </c>
      <c r="I26" s="27"/>
      <c r="J26" s="27"/>
      <c r="K26" s="27" t="s">
        <v>2753</v>
      </c>
      <c r="L26" s="27"/>
      <c r="M26" s="30" t="s">
        <v>3287</v>
      </c>
      <c r="N26" s="1" t="s">
        <v>264</v>
      </c>
      <c r="O26" s="27" t="s">
        <v>3288</v>
      </c>
      <c r="P26" s="27"/>
    </row>
    <row r="27" spans="1:16" ht="24" customHeight="1">
      <c r="A27" s="30">
        <v>45876</v>
      </c>
      <c r="B27" s="27" t="s">
        <v>216</v>
      </c>
      <c r="C27" s="27" t="s">
        <v>3289</v>
      </c>
      <c r="D27" s="27" t="s">
        <v>440</v>
      </c>
      <c r="E27" s="10">
        <v>2</v>
      </c>
      <c r="F27" s="36" t="s">
        <v>263</v>
      </c>
      <c r="G27" s="27" t="s">
        <v>269</v>
      </c>
      <c r="H27" s="27" t="s">
        <v>270</v>
      </c>
      <c r="I27" s="27"/>
      <c r="J27" s="27"/>
      <c r="K27" s="27" t="s">
        <v>3290</v>
      </c>
      <c r="L27" s="27"/>
      <c r="M27" s="30">
        <v>45873</v>
      </c>
      <c r="N27" s="1" t="s">
        <v>264</v>
      </c>
      <c r="O27" s="27" t="s">
        <v>3288</v>
      </c>
      <c r="P27" s="27"/>
    </row>
    <row r="28" spans="1:16" ht="24" customHeight="1">
      <c r="A28" s="30">
        <v>45876</v>
      </c>
      <c r="B28" s="27" t="s">
        <v>216</v>
      </c>
      <c r="C28" s="27" t="s">
        <v>1061</v>
      </c>
      <c r="D28" s="27" t="s">
        <v>3299</v>
      </c>
      <c r="E28" s="10">
        <v>25</v>
      </c>
      <c r="F28" s="36" t="s">
        <v>263</v>
      </c>
      <c r="G28" s="27" t="s">
        <v>269</v>
      </c>
      <c r="H28" s="27" t="s">
        <v>270</v>
      </c>
      <c r="I28" s="27"/>
      <c r="J28" s="27"/>
      <c r="K28" s="27" t="s">
        <v>351</v>
      </c>
      <c r="L28" s="27"/>
      <c r="M28" s="30" t="s">
        <v>3300</v>
      </c>
      <c r="N28" s="1" t="s">
        <v>264</v>
      </c>
      <c r="O28" s="27" t="s">
        <v>3301</v>
      </c>
      <c r="P28" s="27"/>
    </row>
    <row r="29" spans="1:16" ht="24" customHeight="1">
      <c r="A29" s="30">
        <v>45876</v>
      </c>
      <c r="B29" s="27" t="s">
        <v>216</v>
      </c>
      <c r="C29" s="27" t="s">
        <v>171</v>
      </c>
      <c r="D29" s="27" t="s">
        <v>3305</v>
      </c>
      <c r="E29" s="10"/>
      <c r="F29" s="36" t="s">
        <v>263</v>
      </c>
      <c r="G29" s="27" t="s">
        <v>274</v>
      </c>
      <c r="H29" s="27" t="s">
        <v>330</v>
      </c>
      <c r="I29" s="27"/>
      <c r="J29" s="27"/>
      <c r="K29" s="27" t="s">
        <v>3306</v>
      </c>
      <c r="L29" s="27"/>
      <c r="M29" s="30">
        <v>45874</v>
      </c>
      <c r="N29" s="3" t="s">
        <v>312</v>
      </c>
      <c r="O29" s="27" t="s">
        <v>3307</v>
      </c>
      <c r="P29" s="27" t="s">
        <v>3308</v>
      </c>
    </row>
    <row r="30" spans="1:16" ht="24" customHeight="1">
      <c r="A30" s="30">
        <v>45876</v>
      </c>
      <c r="B30" s="27" t="s">
        <v>216</v>
      </c>
      <c r="C30" s="27" t="s">
        <v>3264</v>
      </c>
      <c r="D30" s="27" t="s">
        <v>440</v>
      </c>
      <c r="E30" s="10">
        <v>1</v>
      </c>
      <c r="F30" s="36" t="s">
        <v>263</v>
      </c>
      <c r="G30" s="27" t="s">
        <v>269</v>
      </c>
      <c r="H30" s="27" t="s">
        <v>270</v>
      </c>
      <c r="I30" s="27"/>
      <c r="J30" s="27"/>
      <c r="K30" s="27" t="s">
        <v>3293</v>
      </c>
      <c r="L30" s="27"/>
      <c r="M30" s="30">
        <v>45873</v>
      </c>
      <c r="N30" s="1" t="s">
        <v>264</v>
      </c>
      <c r="O30" s="27" t="s">
        <v>3288</v>
      </c>
      <c r="P30" s="27"/>
    </row>
    <row r="31" spans="1:16" ht="24" customHeight="1">
      <c r="A31" s="30">
        <v>45877</v>
      </c>
      <c r="B31" s="27" t="s">
        <v>220</v>
      </c>
      <c r="C31" s="27" t="s">
        <v>3264</v>
      </c>
      <c r="D31" s="27" t="s">
        <v>440</v>
      </c>
      <c r="E31" s="10">
        <v>1</v>
      </c>
      <c r="F31" s="36" t="s">
        <v>263</v>
      </c>
      <c r="G31" s="27" t="s">
        <v>269</v>
      </c>
      <c r="H31" s="27" t="s">
        <v>270</v>
      </c>
      <c r="I31" s="27"/>
      <c r="J31" s="27"/>
      <c r="K31" s="27" t="s">
        <v>3293</v>
      </c>
      <c r="L31" s="27"/>
      <c r="M31" s="30">
        <v>45873</v>
      </c>
      <c r="N31" s="1" t="s">
        <v>264</v>
      </c>
      <c r="O31" s="27" t="s">
        <v>3288</v>
      </c>
      <c r="P31" s="27"/>
    </row>
    <row r="32" spans="1:16" ht="24" customHeight="1">
      <c r="A32" s="30">
        <v>45877</v>
      </c>
      <c r="B32" s="27" t="s">
        <v>220</v>
      </c>
      <c r="C32" s="27" t="s">
        <v>1061</v>
      </c>
      <c r="D32" s="27" t="s">
        <v>3299</v>
      </c>
      <c r="E32" s="10">
        <v>25</v>
      </c>
      <c r="F32" s="36" t="s">
        <v>263</v>
      </c>
      <c r="G32" s="27" t="s">
        <v>269</v>
      </c>
      <c r="H32" s="27" t="s">
        <v>270</v>
      </c>
      <c r="I32" s="27"/>
      <c r="J32" s="27"/>
      <c r="K32" s="27" t="s">
        <v>351</v>
      </c>
      <c r="L32" s="27"/>
      <c r="M32" s="30" t="s">
        <v>3300</v>
      </c>
      <c r="N32" s="1" t="s">
        <v>264</v>
      </c>
      <c r="O32" s="27" t="s">
        <v>3301</v>
      </c>
      <c r="P32" s="27"/>
    </row>
    <row r="33" spans="1:16" ht="24" customHeight="1">
      <c r="A33" s="30">
        <v>45877</v>
      </c>
      <c r="B33" s="27" t="s">
        <v>220</v>
      </c>
      <c r="C33" s="27" t="s">
        <v>171</v>
      </c>
      <c r="D33" s="27" t="s">
        <v>3309</v>
      </c>
      <c r="E33" s="10">
        <v>25</v>
      </c>
      <c r="F33" s="36" t="s">
        <v>263</v>
      </c>
      <c r="G33" s="27" t="s">
        <v>295</v>
      </c>
      <c r="H33" s="27" t="s">
        <v>296</v>
      </c>
      <c r="I33" s="27"/>
      <c r="J33" s="27"/>
      <c r="K33" s="27" t="s">
        <v>2753</v>
      </c>
      <c r="L33" s="27"/>
      <c r="M33" s="30">
        <v>45871</v>
      </c>
      <c r="N33" s="3" t="s">
        <v>312</v>
      </c>
      <c r="O33" s="27" t="s">
        <v>298</v>
      </c>
      <c r="P33" s="27" t="s">
        <v>679</v>
      </c>
    </row>
    <row r="34" spans="1:16" ht="24" customHeight="1">
      <c r="A34" s="30">
        <v>45877</v>
      </c>
      <c r="B34" s="27" t="s">
        <v>220</v>
      </c>
      <c r="C34" s="27" t="s">
        <v>3286</v>
      </c>
      <c r="D34" s="27" t="s">
        <v>440</v>
      </c>
      <c r="E34" s="10">
        <v>2</v>
      </c>
      <c r="F34" s="36" t="s">
        <v>263</v>
      </c>
      <c r="G34" s="27" t="s">
        <v>269</v>
      </c>
      <c r="H34" s="27" t="s">
        <v>270</v>
      </c>
      <c r="I34" s="27"/>
      <c r="J34" s="27"/>
      <c r="K34" s="27" t="s">
        <v>2753</v>
      </c>
      <c r="L34" s="27"/>
      <c r="M34" s="30" t="s">
        <v>3287</v>
      </c>
      <c r="N34" s="1" t="s">
        <v>264</v>
      </c>
      <c r="O34" s="27" t="s">
        <v>3288</v>
      </c>
      <c r="P34" s="27"/>
    </row>
    <row r="35" spans="1:16" ht="24" customHeight="1">
      <c r="A35" s="30">
        <v>45877</v>
      </c>
      <c r="B35" s="27" t="s">
        <v>220</v>
      </c>
      <c r="C35" s="27" t="s">
        <v>3289</v>
      </c>
      <c r="D35" s="27" t="s">
        <v>440</v>
      </c>
      <c r="E35" s="10">
        <v>2</v>
      </c>
      <c r="F35" s="36" t="s">
        <v>263</v>
      </c>
      <c r="G35" s="27" t="s">
        <v>269</v>
      </c>
      <c r="H35" s="27" t="s">
        <v>270</v>
      </c>
      <c r="I35" s="27"/>
      <c r="J35" s="27"/>
      <c r="K35" s="27" t="s">
        <v>3290</v>
      </c>
      <c r="L35" s="27"/>
      <c r="M35" s="30">
        <v>45873</v>
      </c>
      <c r="N35" s="1" t="s">
        <v>264</v>
      </c>
      <c r="O35" s="27" t="s">
        <v>3288</v>
      </c>
      <c r="P35" s="27"/>
    </row>
    <row r="36" spans="1:16" ht="24" customHeight="1">
      <c r="A36" s="30">
        <v>45878</v>
      </c>
      <c r="B36" s="27" t="s">
        <v>266</v>
      </c>
      <c r="C36" s="27"/>
      <c r="D36" s="27"/>
      <c r="E36" s="10"/>
      <c r="F36" s="36" t="s">
        <v>263</v>
      </c>
      <c r="G36" s="27"/>
      <c r="H36" s="27"/>
      <c r="I36" s="27"/>
      <c r="J36" s="27"/>
      <c r="K36" s="27"/>
      <c r="L36" s="27"/>
      <c r="M36" s="27"/>
      <c r="N36" s="1" t="s">
        <v>264</v>
      </c>
      <c r="O36" s="27"/>
      <c r="P36" s="27"/>
    </row>
    <row r="37" spans="1:16" ht="24" customHeight="1">
      <c r="A37" s="30">
        <v>45879</v>
      </c>
      <c r="B37" s="27" t="s">
        <v>267</v>
      </c>
      <c r="C37" s="27"/>
      <c r="D37" s="27"/>
      <c r="E37" s="10"/>
      <c r="F37" s="36" t="s">
        <v>263</v>
      </c>
      <c r="G37" s="27"/>
      <c r="H37" s="27"/>
      <c r="I37" s="27"/>
      <c r="J37" s="27"/>
      <c r="K37" s="27"/>
      <c r="L37" s="27"/>
      <c r="M37" s="27"/>
      <c r="N37" s="1" t="s">
        <v>264</v>
      </c>
      <c r="O37" s="27"/>
      <c r="P37" s="27"/>
    </row>
    <row r="38" spans="1:16" ht="24" customHeight="1">
      <c r="A38" s="30">
        <v>45880</v>
      </c>
      <c r="B38" s="27" t="s">
        <v>224</v>
      </c>
      <c r="C38" s="27" t="s">
        <v>171</v>
      </c>
      <c r="D38" s="27" t="s">
        <v>2809</v>
      </c>
      <c r="E38" s="10">
        <v>36</v>
      </c>
      <c r="F38" s="36" t="s">
        <v>263</v>
      </c>
      <c r="G38" s="27" t="s">
        <v>269</v>
      </c>
      <c r="H38" s="27" t="s">
        <v>270</v>
      </c>
      <c r="I38" s="27"/>
      <c r="J38" s="27"/>
      <c r="K38" s="27" t="s">
        <v>237</v>
      </c>
      <c r="L38" s="27"/>
      <c r="M38" s="30">
        <v>45693</v>
      </c>
      <c r="N38" s="1" t="s">
        <v>264</v>
      </c>
      <c r="O38" s="27" t="s">
        <v>298</v>
      </c>
      <c r="P38" s="27"/>
    </row>
    <row r="39" spans="1:16" ht="24" customHeight="1">
      <c r="A39" s="30">
        <v>45881</v>
      </c>
      <c r="B39" s="27" t="s">
        <v>227</v>
      </c>
      <c r="C39" s="27" t="s">
        <v>3310</v>
      </c>
      <c r="D39" s="27" t="s">
        <v>3311</v>
      </c>
      <c r="E39" s="10">
        <v>30</v>
      </c>
      <c r="F39" s="36" t="s">
        <v>263</v>
      </c>
      <c r="G39" s="27"/>
      <c r="H39" s="27" t="s">
        <v>3312</v>
      </c>
      <c r="I39" s="27"/>
      <c r="J39" s="27"/>
      <c r="K39" s="27" t="s">
        <v>237</v>
      </c>
      <c r="L39" s="27"/>
      <c r="M39" s="30">
        <v>45874</v>
      </c>
      <c r="N39" s="3" t="s">
        <v>312</v>
      </c>
      <c r="O39" s="27" t="s">
        <v>287</v>
      </c>
      <c r="P39" s="27" t="s">
        <v>679</v>
      </c>
    </row>
    <row r="40" spans="1:16" ht="24" customHeight="1">
      <c r="A40" s="30">
        <v>45881</v>
      </c>
      <c r="B40" s="27" t="s">
        <v>227</v>
      </c>
      <c r="C40" s="27" t="s">
        <v>171</v>
      </c>
      <c r="D40" s="27" t="s">
        <v>3313</v>
      </c>
      <c r="E40" s="10">
        <v>45</v>
      </c>
      <c r="F40" s="36" t="s">
        <v>263</v>
      </c>
      <c r="G40" s="27" t="s">
        <v>506</v>
      </c>
      <c r="H40" s="27" t="s">
        <v>330</v>
      </c>
      <c r="I40" s="27"/>
      <c r="J40" s="27"/>
      <c r="K40" s="27" t="s">
        <v>583</v>
      </c>
      <c r="L40" s="27"/>
      <c r="M40" s="30">
        <v>45856</v>
      </c>
      <c r="N40" s="1" t="s">
        <v>264</v>
      </c>
      <c r="O40" s="27" t="s">
        <v>321</v>
      </c>
      <c r="P40" s="27"/>
    </row>
    <row r="41" spans="1:16" ht="24" customHeight="1">
      <c r="A41" s="30">
        <v>45881</v>
      </c>
      <c r="B41" s="27" t="s">
        <v>227</v>
      </c>
      <c r="C41" s="27" t="s">
        <v>171</v>
      </c>
      <c r="D41" s="27" t="s">
        <v>358</v>
      </c>
      <c r="E41" s="10">
        <v>40</v>
      </c>
      <c r="F41" s="36" t="s">
        <v>263</v>
      </c>
      <c r="G41" s="27" t="s">
        <v>295</v>
      </c>
      <c r="H41" s="27" t="s">
        <v>296</v>
      </c>
      <c r="I41" s="27"/>
      <c r="J41" s="27"/>
      <c r="K41" s="27" t="s">
        <v>3285</v>
      </c>
      <c r="L41" s="27"/>
      <c r="M41" s="30">
        <v>45832</v>
      </c>
      <c r="N41" s="1" t="s">
        <v>264</v>
      </c>
      <c r="O41" s="27"/>
      <c r="P41" s="27"/>
    </row>
    <row r="42" spans="1:16" ht="24" customHeight="1">
      <c r="A42" s="30">
        <v>45882</v>
      </c>
      <c r="B42" s="27" t="s">
        <v>201</v>
      </c>
      <c r="C42" s="27" t="s">
        <v>3310</v>
      </c>
      <c r="D42" s="27" t="s">
        <v>3294</v>
      </c>
      <c r="E42" s="10">
        <v>30</v>
      </c>
      <c r="F42" s="36" t="s">
        <v>263</v>
      </c>
      <c r="G42" s="27" t="s">
        <v>289</v>
      </c>
      <c r="H42" s="27" t="s">
        <v>290</v>
      </c>
      <c r="I42" s="27"/>
      <c r="J42" s="27"/>
      <c r="K42" s="27" t="s">
        <v>237</v>
      </c>
      <c r="L42" s="27"/>
      <c r="M42" s="30">
        <v>45874</v>
      </c>
      <c r="N42" s="1" t="s">
        <v>264</v>
      </c>
      <c r="O42" s="27" t="s">
        <v>321</v>
      </c>
      <c r="P42" s="27"/>
    </row>
    <row r="43" spans="1:16" ht="24" customHeight="1">
      <c r="A43" s="30">
        <v>45882</v>
      </c>
      <c r="B43" s="27" t="s">
        <v>201</v>
      </c>
      <c r="C43" s="27" t="s">
        <v>171</v>
      </c>
      <c r="D43" s="27" t="s">
        <v>3314</v>
      </c>
      <c r="E43" s="10">
        <v>60</v>
      </c>
      <c r="F43" s="36" t="s">
        <v>263</v>
      </c>
      <c r="G43" s="27" t="s">
        <v>295</v>
      </c>
      <c r="H43" s="27" t="s">
        <v>290</v>
      </c>
      <c r="I43" s="27"/>
      <c r="J43" s="27"/>
      <c r="K43" s="27" t="s">
        <v>3315</v>
      </c>
      <c r="L43" s="27"/>
      <c r="M43" s="30">
        <v>45863</v>
      </c>
      <c r="N43" s="1" t="s">
        <v>264</v>
      </c>
      <c r="O43" s="27" t="s">
        <v>3316</v>
      </c>
      <c r="P43" s="27"/>
    </row>
    <row r="44" spans="1:16" ht="24" customHeight="1">
      <c r="A44" s="30">
        <v>45883</v>
      </c>
      <c r="B44" s="27" t="s">
        <v>216</v>
      </c>
      <c r="C44" s="27" t="s">
        <v>171</v>
      </c>
      <c r="D44" s="27" t="s">
        <v>2809</v>
      </c>
      <c r="E44" s="10"/>
      <c r="F44" s="36" t="s">
        <v>263</v>
      </c>
      <c r="G44" s="27" t="s">
        <v>269</v>
      </c>
      <c r="H44" s="27" t="s">
        <v>270</v>
      </c>
      <c r="I44" s="27"/>
      <c r="J44" s="27"/>
      <c r="K44" s="27" t="s">
        <v>2584</v>
      </c>
      <c r="L44" s="27"/>
      <c r="M44" s="30">
        <v>45693</v>
      </c>
      <c r="N44" s="3" t="s">
        <v>312</v>
      </c>
      <c r="O44" s="27" t="s">
        <v>3317</v>
      </c>
      <c r="P44" s="27"/>
    </row>
    <row r="45" spans="1:16" ht="24" customHeight="1">
      <c r="A45" s="30">
        <v>45883</v>
      </c>
      <c r="B45" s="27" t="s">
        <v>216</v>
      </c>
      <c r="C45" s="27" t="s">
        <v>3310</v>
      </c>
      <c r="D45" s="27" t="s">
        <v>3318</v>
      </c>
      <c r="E45" s="10">
        <v>30</v>
      </c>
      <c r="F45" s="36" t="s">
        <v>263</v>
      </c>
      <c r="G45" s="27" t="s">
        <v>3312</v>
      </c>
      <c r="H45" s="27"/>
      <c r="I45" s="27"/>
      <c r="J45" s="27"/>
      <c r="K45" s="27" t="s">
        <v>237</v>
      </c>
      <c r="L45" s="27"/>
      <c r="M45" s="30">
        <v>45874</v>
      </c>
      <c r="N45" s="3" t="s">
        <v>312</v>
      </c>
      <c r="O45" s="27" t="s">
        <v>321</v>
      </c>
      <c r="P45" s="27" t="s">
        <v>679</v>
      </c>
    </row>
    <row r="46" spans="1:16" ht="24" customHeight="1">
      <c r="A46" s="30">
        <v>45884</v>
      </c>
      <c r="B46" s="27" t="s">
        <v>220</v>
      </c>
      <c r="C46" s="27"/>
      <c r="D46" s="27"/>
      <c r="E46" s="10"/>
      <c r="F46" s="36" t="s">
        <v>263</v>
      </c>
      <c r="G46" s="27"/>
      <c r="H46" s="27"/>
      <c r="I46" s="27"/>
      <c r="J46" s="27"/>
      <c r="K46" s="27"/>
      <c r="L46" s="27"/>
      <c r="M46" s="27"/>
      <c r="N46" s="1" t="s">
        <v>264</v>
      </c>
      <c r="O46" s="27"/>
      <c r="P46" s="27"/>
    </row>
    <row r="47" spans="1:16" ht="24" customHeight="1">
      <c r="A47" s="30">
        <v>45885</v>
      </c>
      <c r="B47" s="27" t="s">
        <v>266</v>
      </c>
      <c r="C47" s="27"/>
      <c r="D47" s="27" t="s">
        <v>3319</v>
      </c>
      <c r="E47" s="10"/>
      <c r="F47" s="36" t="s">
        <v>263</v>
      </c>
      <c r="G47" s="27"/>
      <c r="H47" s="27"/>
      <c r="I47" s="27"/>
      <c r="J47" s="27"/>
      <c r="K47" s="27"/>
      <c r="L47" s="27"/>
      <c r="M47" s="27"/>
      <c r="N47" s="3" t="s">
        <v>312</v>
      </c>
      <c r="O47" s="27"/>
      <c r="P47" s="27"/>
    </row>
    <row r="48" spans="1:16" ht="24" customHeight="1">
      <c r="A48" s="30">
        <v>45886</v>
      </c>
      <c r="B48" s="27" t="s">
        <v>267</v>
      </c>
      <c r="C48" s="27"/>
      <c r="D48" s="27"/>
      <c r="E48" s="10"/>
      <c r="F48" s="36" t="s">
        <v>263</v>
      </c>
      <c r="G48" s="27"/>
      <c r="H48" s="27"/>
      <c r="I48" s="27"/>
      <c r="J48" s="27"/>
      <c r="K48" s="27"/>
      <c r="L48" s="27"/>
      <c r="M48" s="27"/>
      <c r="N48" s="1" t="s">
        <v>264</v>
      </c>
      <c r="O48" s="27"/>
      <c r="P48" s="27"/>
    </row>
    <row r="49" spans="1:16" ht="24" customHeight="1">
      <c r="A49" s="30">
        <v>45887</v>
      </c>
      <c r="B49" s="27" t="s">
        <v>224</v>
      </c>
      <c r="C49" s="27" t="s">
        <v>3320</v>
      </c>
      <c r="D49" s="27" t="s">
        <v>440</v>
      </c>
      <c r="E49" s="10">
        <v>1</v>
      </c>
      <c r="F49" s="36" t="s">
        <v>263</v>
      </c>
      <c r="G49" s="27" t="s">
        <v>269</v>
      </c>
      <c r="H49" s="27" t="s">
        <v>270</v>
      </c>
      <c r="I49" s="27"/>
      <c r="J49" s="27"/>
      <c r="K49" s="27" t="s">
        <v>763</v>
      </c>
      <c r="L49" s="27"/>
      <c r="M49" s="30">
        <v>45880</v>
      </c>
      <c r="N49" s="1" t="s">
        <v>264</v>
      </c>
      <c r="O49" s="27" t="s">
        <v>3321</v>
      </c>
      <c r="P49" s="27"/>
    </row>
    <row r="50" spans="1:16" ht="24" customHeight="1">
      <c r="A50" s="30">
        <v>45887</v>
      </c>
      <c r="B50" s="27" t="s">
        <v>224</v>
      </c>
      <c r="C50" s="27" t="s">
        <v>3000</v>
      </c>
      <c r="D50" s="27" t="s">
        <v>440</v>
      </c>
      <c r="E50" s="10">
        <v>1</v>
      </c>
      <c r="F50" s="36" t="s">
        <v>263</v>
      </c>
      <c r="G50" s="27" t="s">
        <v>269</v>
      </c>
      <c r="H50" s="27" t="s">
        <v>270</v>
      </c>
      <c r="I50" s="27"/>
      <c r="J50" s="27"/>
      <c r="K50" s="27" t="s">
        <v>3322</v>
      </c>
      <c r="L50" s="27"/>
      <c r="M50" s="30">
        <v>45882</v>
      </c>
      <c r="N50" s="1" t="s">
        <v>264</v>
      </c>
      <c r="O50" s="27" t="s">
        <v>3323</v>
      </c>
      <c r="P50" s="27"/>
    </row>
    <row r="51" spans="1:16" ht="24" customHeight="1">
      <c r="A51" s="30">
        <v>45887</v>
      </c>
      <c r="B51" s="27" t="s">
        <v>224</v>
      </c>
      <c r="C51" s="27" t="s">
        <v>171</v>
      </c>
      <c r="D51" s="27" t="s">
        <v>2809</v>
      </c>
      <c r="E51" s="10">
        <v>33</v>
      </c>
      <c r="F51" s="36" t="s">
        <v>263</v>
      </c>
      <c r="G51" s="27" t="s">
        <v>269</v>
      </c>
      <c r="H51" s="27" t="s">
        <v>270</v>
      </c>
      <c r="I51" s="27"/>
      <c r="J51" s="27"/>
      <c r="K51" s="27" t="s">
        <v>237</v>
      </c>
      <c r="L51" s="27"/>
      <c r="M51" s="30">
        <v>45693</v>
      </c>
      <c r="N51" s="1" t="s">
        <v>264</v>
      </c>
      <c r="O51" s="27"/>
      <c r="P51" s="27"/>
    </row>
    <row r="52" spans="1:16" ht="24" customHeight="1">
      <c r="A52" s="30">
        <v>45888</v>
      </c>
      <c r="B52" s="27" t="s">
        <v>227</v>
      </c>
      <c r="C52" s="27" t="s">
        <v>3310</v>
      </c>
      <c r="D52" s="27" t="s">
        <v>3324</v>
      </c>
      <c r="E52" s="10">
        <v>30</v>
      </c>
      <c r="F52" s="36" t="s">
        <v>263</v>
      </c>
      <c r="G52" s="27" t="s">
        <v>289</v>
      </c>
      <c r="H52" s="27" t="s">
        <v>290</v>
      </c>
      <c r="I52" s="27"/>
      <c r="J52" s="27"/>
      <c r="K52" s="27" t="s">
        <v>237</v>
      </c>
      <c r="L52" s="27"/>
      <c r="M52" s="30">
        <v>45874</v>
      </c>
      <c r="N52" s="1" t="s">
        <v>264</v>
      </c>
      <c r="O52" s="27" t="s">
        <v>3316</v>
      </c>
      <c r="P52" s="27"/>
    </row>
    <row r="53" spans="1:16" ht="24" customHeight="1">
      <c r="A53" s="30">
        <v>45888</v>
      </c>
      <c r="B53" s="27" t="s">
        <v>227</v>
      </c>
      <c r="C53" s="27" t="s">
        <v>3320</v>
      </c>
      <c r="D53" s="27" t="s">
        <v>440</v>
      </c>
      <c r="E53" s="10">
        <v>1</v>
      </c>
      <c r="F53" s="36" t="s">
        <v>263</v>
      </c>
      <c r="G53" s="27" t="s">
        <v>269</v>
      </c>
      <c r="H53" s="27" t="s">
        <v>270</v>
      </c>
      <c r="I53" s="27"/>
      <c r="J53" s="27"/>
      <c r="K53" s="27" t="s">
        <v>763</v>
      </c>
      <c r="L53" s="27"/>
      <c r="M53" s="30">
        <v>45880</v>
      </c>
      <c r="N53" s="1" t="s">
        <v>264</v>
      </c>
      <c r="O53" s="27" t="s">
        <v>3321</v>
      </c>
      <c r="P53" s="27"/>
    </row>
    <row r="54" spans="1:16" ht="24" customHeight="1">
      <c r="A54" s="30">
        <v>45888</v>
      </c>
      <c r="B54" s="27" t="s">
        <v>227</v>
      </c>
      <c r="C54" s="27" t="s">
        <v>171</v>
      </c>
      <c r="D54" s="27" t="s">
        <v>3325</v>
      </c>
      <c r="E54" s="10">
        <v>50</v>
      </c>
      <c r="F54" s="36" t="s">
        <v>263</v>
      </c>
      <c r="G54" s="27" t="s">
        <v>275</v>
      </c>
      <c r="H54" s="27" t="s">
        <v>270</v>
      </c>
      <c r="I54" s="27"/>
      <c r="J54" s="27"/>
      <c r="K54" s="27" t="s">
        <v>3285</v>
      </c>
      <c r="L54" s="27"/>
      <c r="M54" s="30">
        <v>45832</v>
      </c>
      <c r="N54" s="1" t="s">
        <v>264</v>
      </c>
      <c r="O54" s="27" t="s">
        <v>321</v>
      </c>
      <c r="P54" s="27"/>
    </row>
    <row r="55" spans="1:16" ht="24" customHeight="1">
      <c r="A55" s="30">
        <v>45888</v>
      </c>
      <c r="B55" s="27" t="s">
        <v>227</v>
      </c>
      <c r="C55" s="27" t="s">
        <v>3000</v>
      </c>
      <c r="D55" s="27" t="s">
        <v>440</v>
      </c>
      <c r="E55" s="10">
        <v>1</v>
      </c>
      <c r="F55" s="36" t="s">
        <v>263</v>
      </c>
      <c r="G55" s="27" t="s">
        <v>269</v>
      </c>
      <c r="H55" s="27" t="s">
        <v>270</v>
      </c>
      <c r="I55" s="27"/>
      <c r="J55" s="27"/>
      <c r="K55" s="27" t="s">
        <v>3322</v>
      </c>
      <c r="L55" s="27"/>
      <c r="M55" s="30">
        <v>45882</v>
      </c>
      <c r="N55" s="1" t="s">
        <v>264</v>
      </c>
      <c r="O55" s="27" t="s">
        <v>3323</v>
      </c>
      <c r="P55" s="27"/>
    </row>
    <row r="56" spans="1:16" ht="24" customHeight="1">
      <c r="A56" s="30">
        <v>45889</v>
      </c>
      <c r="B56" s="27" t="s">
        <v>201</v>
      </c>
      <c r="C56" s="27" t="s">
        <v>3320</v>
      </c>
      <c r="D56" s="27" t="s">
        <v>440</v>
      </c>
      <c r="E56" s="10">
        <v>1</v>
      </c>
      <c r="F56" s="36" t="s">
        <v>263</v>
      </c>
      <c r="G56" s="27" t="s">
        <v>269</v>
      </c>
      <c r="H56" s="27" t="s">
        <v>270</v>
      </c>
      <c r="I56" s="27"/>
      <c r="J56" s="27"/>
      <c r="K56" s="27" t="s">
        <v>763</v>
      </c>
      <c r="L56" s="27"/>
      <c r="M56" s="30">
        <v>45880</v>
      </c>
      <c r="N56" s="1" t="s">
        <v>264</v>
      </c>
      <c r="O56" s="27" t="s">
        <v>3321</v>
      </c>
      <c r="P56" s="27"/>
    </row>
    <row r="57" spans="1:16" ht="24" customHeight="1">
      <c r="A57" s="30">
        <v>45889</v>
      </c>
      <c r="B57" s="27" t="s">
        <v>201</v>
      </c>
      <c r="C57" s="27" t="s">
        <v>3000</v>
      </c>
      <c r="D57" s="27" t="s">
        <v>440</v>
      </c>
      <c r="E57" s="10">
        <v>1</v>
      </c>
      <c r="F57" s="36" t="s">
        <v>263</v>
      </c>
      <c r="G57" s="27" t="s">
        <v>269</v>
      </c>
      <c r="H57" s="27" t="s">
        <v>270</v>
      </c>
      <c r="I57" s="27"/>
      <c r="J57" s="27"/>
      <c r="K57" s="27" t="s">
        <v>3322</v>
      </c>
      <c r="L57" s="27"/>
      <c r="M57" s="30">
        <v>45882</v>
      </c>
      <c r="N57" s="1" t="s">
        <v>264</v>
      </c>
      <c r="O57" s="27" t="s">
        <v>3323</v>
      </c>
      <c r="P57" s="27"/>
    </row>
    <row r="58" spans="1:16" ht="24" customHeight="1">
      <c r="A58" s="30">
        <v>45889</v>
      </c>
      <c r="B58" s="27" t="s">
        <v>201</v>
      </c>
      <c r="C58" s="27" t="s">
        <v>171</v>
      </c>
      <c r="D58" s="27" t="s">
        <v>3326</v>
      </c>
      <c r="E58" s="10"/>
      <c r="F58" s="36" t="s">
        <v>263</v>
      </c>
      <c r="G58" s="27" t="s">
        <v>295</v>
      </c>
      <c r="H58" s="27" t="s">
        <v>270</v>
      </c>
      <c r="I58" s="27"/>
      <c r="J58" s="27"/>
      <c r="K58" s="27" t="s">
        <v>688</v>
      </c>
      <c r="L58" s="27"/>
      <c r="M58" s="30">
        <v>45888</v>
      </c>
      <c r="N58" s="1" t="s">
        <v>264</v>
      </c>
      <c r="O58" s="27"/>
      <c r="P58" s="27"/>
    </row>
    <row r="59" spans="1:16" ht="24" customHeight="1">
      <c r="A59" s="30">
        <v>45889</v>
      </c>
      <c r="B59" s="27" t="s">
        <v>201</v>
      </c>
      <c r="C59" s="27" t="s">
        <v>3296</v>
      </c>
      <c r="D59" s="27" t="s">
        <v>3327</v>
      </c>
      <c r="E59" s="10">
        <v>100</v>
      </c>
      <c r="F59" s="38" t="s">
        <v>294</v>
      </c>
      <c r="G59" s="27" t="s">
        <v>289</v>
      </c>
      <c r="H59" s="27" t="s">
        <v>1320</v>
      </c>
      <c r="I59" s="27"/>
      <c r="J59" s="27"/>
      <c r="K59" s="27" t="s">
        <v>351</v>
      </c>
      <c r="L59" s="27"/>
      <c r="M59" s="30">
        <v>45852</v>
      </c>
      <c r="N59" s="3" t="s">
        <v>312</v>
      </c>
      <c r="O59" s="27" t="s">
        <v>3328</v>
      </c>
      <c r="P59" s="27" t="s">
        <v>3329</v>
      </c>
    </row>
    <row r="60" spans="1:16" ht="24" customHeight="1">
      <c r="A60" s="30">
        <v>45889</v>
      </c>
      <c r="B60" s="27" t="s">
        <v>201</v>
      </c>
      <c r="C60" s="27" t="s">
        <v>3310</v>
      </c>
      <c r="D60" s="27" t="s">
        <v>3294</v>
      </c>
      <c r="E60" s="10">
        <v>30</v>
      </c>
      <c r="F60" s="36" t="s">
        <v>263</v>
      </c>
      <c r="G60" s="27" t="s">
        <v>289</v>
      </c>
      <c r="H60" s="27" t="s">
        <v>290</v>
      </c>
      <c r="I60" s="27"/>
      <c r="J60" s="27"/>
      <c r="K60" s="27" t="s">
        <v>237</v>
      </c>
      <c r="L60" s="27"/>
      <c r="M60" s="27"/>
      <c r="N60" s="3" t="s">
        <v>312</v>
      </c>
      <c r="O60" s="27" t="s">
        <v>3316</v>
      </c>
      <c r="P60" s="27" t="s">
        <v>679</v>
      </c>
    </row>
    <row r="61" spans="1:16" ht="24" customHeight="1">
      <c r="A61" s="30">
        <v>45890</v>
      </c>
      <c r="B61" s="27" t="s">
        <v>216</v>
      </c>
      <c r="C61" s="27" t="s">
        <v>3320</v>
      </c>
      <c r="D61" s="27" t="s">
        <v>440</v>
      </c>
      <c r="E61" s="10">
        <v>1</v>
      </c>
      <c r="F61" s="36" t="s">
        <v>263</v>
      </c>
      <c r="G61" s="27" t="s">
        <v>269</v>
      </c>
      <c r="H61" s="27" t="s">
        <v>270</v>
      </c>
      <c r="I61" s="27"/>
      <c r="J61" s="27"/>
      <c r="K61" s="27" t="s">
        <v>763</v>
      </c>
      <c r="L61" s="27"/>
      <c r="M61" s="30">
        <v>45880</v>
      </c>
      <c r="N61" s="1" t="s">
        <v>264</v>
      </c>
      <c r="O61" s="27" t="s">
        <v>3321</v>
      </c>
      <c r="P61" s="27"/>
    </row>
    <row r="62" spans="1:16" ht="24" customHeight="1">
      <c r="A62" s="30">
        <v>45890</v>
      </c>
      <c r="B62" s="27" t="s">
        <v>216</v>
      </c>
      <c r="C62" s="27" t="s">
        <v>3296</v>
      </c>
      <c r="D62" s="27" t="s">
        <v>3330</v>
      </c>
      <c r="E62" s="10">
        <v>100</v>
      </c>
      <c r="F62" s="38" t="s">
        <v>294</v>
      </c>
      <c r="G62" s="27" t="s">
        <v>506</v>
      </c>
      <c r="H62" s="27" t="s">
        <v>429</v>
      </c>
      <c r="I62" s="27"/>
      <c r="J62" s="27"/>
      <c r="K62" s="27" t="s">
        <v>3331</v>
      </c>
      <c r="L62" s="27"/>
      <c r="M62" s="30">
        <v>45861</v>
      </c>
      <c r="N62" s="1" t="s">
        <v>264</v>
      </c>
      <c r="O62" s="27" t="s">
        <v>321</v>
      </c>
      <c r="P62" s="27"/>
    </row>
    <row r="63" spans="1:16" ht="24" customHeight="1">
      <c r="A63" s="30">
        <v>45890</v>
      </c>
      <c r="B63" s="27" t="s">
        <v>216</v>
      </c>
      <c r="C63" s="27" t="s">
        <v>3310</v>
      </c>
      <c r="D63" s="27" t="s">
        <v>3332</v>
      </c>
      <c r="E63" s="10">
        <v>30</v>
      </c>
      <c r="F63" s="36" t="s">
        <v>263</v>
      </c>
      <c r="G63" s="27" t="s">
        <v>3312</v>
      </c>
      <c r="H63" s="27"/>
      <c r="I63" s="27"/>
      <c r="J63" s="27"/>
      <c r="K63" s="27" t="s">
        <v>237</v>
      </c>
      <c r="L63" s="27"/>
      <c r="M63" s="27"/>
      <c r="N63" s="1" t="s">
        <v>264</v>
      </c>
      <c r="O63" s="27" t="s">
        <v>3333</v>
      </c>
      <c r="P63" s="27"/>
    </row>
    <row r="64" spans="1:16" ht="24" customHeight="1">
      <c r="A64" s="30">
        <v>45890</v>
      </c>
      <c r="B64" s="27" t="s">
        <v>216</v>
      </c>
      <c r="C64" s="27" t="s">
        <v>3310</v>
      </c>
      <c r="D64" s="27" t="s">
        <v>3334</v>
      </c>
      <c r="E64" s="10">
        <v>35</v>
      </c>
      <c r="F64" s="36" t="s">
        <v>263</v>
      </c>
      <c r="G64" s="27" t="s">
        <v>315</v>
      </c>
      <c r="H64" s="27" t="s">
        <v>506</v>
      </c>
      <c r="I64" s="27"/>
      <c r="J64" s="27"/>
      <c r="K64" s="27" t="s">
        <v>3335</v>
      </c>
      <c r="L64" s="27"/>
      <c r="M64" s="27"/>
      <c r="N64" s="1" t="s">
        <v>264</v>
      </c>
      <c r="O64" s="27" t="s">
        <v>298</v>
      </c>
      <c r="P64" s="27"/>
    </row>
    <row r="65" spans="1:16" ht="24" customHeight="1">
      <c r="A65" s="30">
        <v>45890</v>
      </c>
      <c r="B65" s="27" t="s">
        <v>216</v>
      </c>
      <c r="C65" s="27" t="s">
        <v>954</v>
      </c>
      <c r="D65" s="27" t="s">
        <v>3336</v>
      </c>
      <c r="E65" s="10">
        <v>35</v>
      </c>
      <c r="F65" s="36" t="s">
        <v>263</v>
      </c>
      <c r="G65" s="27" t="s">
        <v>295</v>
      </c>
      <c r="H65" s="27" t="s">
        <v>296</v>
      </c>
      <c r="I65" s="27"/>
      <c r="J65" s="27"/>
      <c r="K65" s="27" t="s">
        <v>3335</v>
      </c>
      <c r="L65" s="27"/>
      <c r="M65" s="27"/>
      <c r="N65" s="1" t="s">
        <v>264</v>
      </c>
      <c r="O65" s="27" t="s">
        <v>298</v>
      </c>
      <c r="P65" s="27"/>
    </row>
    <row r="66" spans="1:16" ht="24" customHeight="1">
      <c r="A66" s="30">
        <v>45890</v>
      </c>
      <c r="B66" s="27" t="s">
        <v>216</v>
      </c>
      <c r="C66" s="27" t="s">
        <v>3337</v>
      </c>
      <c r="D66" s="27" t="s">
        <v>440</v>
      </c>
      <c r="E66" s="10">
        <v>1</v>
      </c>
      <c r="F66" s="36" t="s">
        <v>263</v>
      </c>
      <c r="G66" s="27" t="s">
        <v>269</v>
      </c>
      <c r="H66" s="27" t="s">
        <v>270</v>
      </c>
      <c r="I66" s="27"/>
      <c r="J66" s="27"/>
      <c r="K66" s="27" t="s">
        <v>367</v>
      </c>
      <c r="L66" s="27"/>
      <c r="M66" s="30">
        <v>45889</v>
      </c>
      <c r="N66" s="1" t="s">
        <v>264</v>
      </c>
      <c r="O66" s="27" t="s">
        <v>3338</v>
      </c>
      <c r="P66" s="27"/>
    </row>
    <row r="67" spans="1:16" ht="24" customHeight="1">
      <c r="A67" s="30">
        <v>45890</v>
      </c>
      <c r="B67" s="27" t="s">
        <v>216</v>
      </c>
      <c r="C67" s="27" t="s">
        <v>3339</v>
      </c>
      <c r="D67" s="27" t="s">
        <v>3340</v>
      </c>
      <c r="E67" s="10">
        <v>80</v>
      </c>
      <c r="F67" s="36" t="s">
        <v>263</v>
      </c>
      <c r="G67" s="27" t="s">
        <v>289</v>
      </c>
      <c r="H67" s="27" t="s">
        <v>270</v>
      </c>
      <c r="I67" s="27"/>
      <c r="J67" s="27"/>
      <c r="K67" s="27" t="s">
        <v>3341</v>
      </c>
      <c r="L67" s="27"/>
      <c r="M67" s="30">
        <v>45861</v>
      </c>
      <c r="N67" s="1" t="s">
        <v>264</v>
      </c>
      <c r="O67" s="27" t="s">
        <v>3342</v>
      </c>
      <c r="P67" s="27"/>
    </row>
    <row r="68" spans="1:16" ht="24" customHeight="1">
      <c r="A68" s="30">
        <v>45891</v>
      </c>
      <c r="B68" s="27" t="s">
        <v>220</v>
      </c>
      <c r="C68" s="27" t="s">
        <v>3320</v>
      </c>
      <c r="D68" s="27" t="s">
        <v>440</v>
      </c>
      <c r="E68" s="10">
        <v>1</v>
      </c>
      <c r="F68" s="36" t="s">
        <v>263</v>
      </c>
      <c r="G68" s="27" t="s">
        <v>269</v>
      </c>
      <c r="H68" s="27" t="s">
        <v>270</v>
      </c>
      <c r="I68" s="27"/>
      <c r="J68" s="27"/>
      <c r="K68" s="27" t="s">
        <v>763</v>
      </c>
      <c r="L68" s="27"/>
      <c r="M68" s="30">
        <v>45880</v>
      </c>
      <c r="N68" s="1" t="s">
        <v>264</v>
      </c>
      <c r="O68" s="27" t="s">
        <v>3321</v>
      </c>
      <c r="P68" s="27"/>
    </row>
    <row r="69" spans="1:16" ht="24" customHeight="1">
      <c r="A69" s="30">
        <v>45891</v>
      </c>
      <c r="B69" s="27" t="s">
        <v>220</v>
      </c>
      <c r="C69" s="27" t="s">
        <v>171</v>
      </c>
      <c r="D69" s="27" t="s">
        <v>3343</v>
      </c>
      <c r="E69" s="10">
        <v>40</v>
      </c>
      <c r="F69" s="36" t="s">
        <v>263</v>
      </c>
      <c r="G69" s="27" t="s">
        <v>315</v>
      </c>
      <c r="H69" s="27" t="s">
        <v>506</v>
      </c>
      <c r="I69" s="27"/>
      <c r="J69" s="27"/>
      <c r="K69" s="27" t="s">
        <v>3344</v>
      </c>
      <c r="L69" s="27"/>
      <c r="M69" s="30">
        <v>45886</v>
      </c>
      <c r="N69" s="1" t="s">
        <v>264</v>
      </c>
      <c r="O69" s="27" t="s">
        <v>3345</v>
      </c>
      <c r="P69" s="27"/>
    </row>
    <row r="70" spans="1:16" ht="24" customHeight="1">
      <c r="A70" s="30">
        <v>45891</v>
      </c>
      <c r="B70" s="27" t="s">
        <v>220</v>
      </c>
      <c r="C70" s="27" t="s">
        <v>3337</v>
      </c>
      <c r="D70" s="27" t="s">
        <v>440</v>
      </c>
      <c r="E70" s="10">
        <v>1</v>
      </c>
      <c r="F70" s="36" t="s">
        <v>263</v>
      </c>
      <c r="G70" s="27" t="s">
        <v>269</v>
      </c>
      <c r="H70" s="27" t="s">
        <v>270</v>
      </c>
      <c r="I70" s="27"/>
      <c r="J70" s="27"/>
      <c r="K70" s="27" t="s">
        <v>367</v>
      </c>
      <c r="L70" s="27"/>
      <c r="M70" s="30">
        <v>45889</v>
      </c>
      <c r="N70" s="1" t="s">
        <v>264</v>
      </c>
      <c r="O70" s="27" t="s">
        <v>3338</v>
      </c>
      <c r="P70" s="27"/>
    </row>
    <row r="71" spans="1:16" ht="24" customHeight="1">
      <c r="A71" s="30">
        <v>45891</v>
      </c>
      <c r="B71" s="27" t="s">
        <v>220</v>
      </c>
      <c r="C71" s="27" t="s">
        <v>171</v>
      </c>
      <c r="D71" s="27" t="s">
        <v>895</v>
      </c>
      <c r="E71" s="10">
        <v>35</v>
      </c>
      <c r="F71" s="36" t="s">
        <v>263</v>
      </c>
      <c r="G71" s="27" t="s">
        <v>309</v>
      </c>
      <c r="H71" s="27" t="s">
        <v>448</v>
      </c>
      <c r="I71" s="27"/>
      <c r="J71" s="27"/>
      <c r="K71" s="27" t="s">
        <v>3346</v>
      </c>
      <c r="L71" s="27"/>
      <c r="M71" s="30">
        <v>45867</v>
      </c>
      <c r="N71" s="1" t="s">
        <v>264</v>
      </c>
      <c r="O71" s="27" t="s">
        <v>321</v>
      </c>
      <c r="P71" s="27"/>
    </row>
    <row r="72" spans="1:16" ht="24" customHeight="1">
      <c r="A72" s="30">
        <v>45891</v>
      </c>
      <c r="B72" s="27" t="s">
        <v>220</v>
      </c>
      <c r="C72" s="27" t="s">
        <v>501</v>
      </c>
      <c r="D72" s="27" t="s">
        <v>3347</v>
      </c>
      <c r="E72" s="10" t="s">
        <v>2645</v>
      </c>
      <c r="F72" s="36" t="s">
        <v>263</v>
      </c>
      <c r="G72" s="27" t="s">
        <v>275</v>
      </c>
      <c r="H72" s="27" t="s">
        <v>290</v>
      </c>
      <c r="I72" s="27"/>
      <c r="J72" s="27"/>
      <c r="K72" s="27" t="s">
        <v>2835</v>
      </c>
      <c r="L72" s="27"/>
      <c r="M72" s="27"/>
      <c r="N72" s="1" t="s">
        <v>264</v>
      </c>
      <c r="O72" s="27" t="s">
        <v>3348</v>
      </c>
      <c r="P72" s="27"/>
    </row>
    <row r="73" spans="1:16" ht="24" customHeight="1">
      <c r="A73" s="30">
        <v>45891</v>
      </c>
      <c r="B73" s="27" t="s">
        <v>220</v>
      </c>
      <c r="C73" s="27" t="s">
        <v>171</v>
      </c>
      <c r="D73" s="27" t="s">
        <v>3349</v>
      </c>
      <c r="E73" s="10">
        <v>60</v>
      </c>
      <c r="F73" s="36" t="s">
        <v>263</v>
      </c>
      <c r="G73" s="27" t="s">
        <v>359</v>
      </c>
      <c r="H73" s="27" t="s">
        <v>290</v>
      </c>
      <c r="I73" s="27"/>
      <c r="J73" s="27"/>
      <c r="K73" s="27" t="s">
        <v>3009</v>
      </c>
      <c r="L73" s="27"/>
      <c r="M73" s="30">
        <v>45855</v>
      </c>
      <c r="N73" s="3" t="s">
        <v>312</v>
      </c>
      <c r="O73" s="27" t="s">
        <v>298</v>
      </c>
      <c r="P73" s="27" t="s">
        <v>679</v>
      </c>
    </row>
    <row r="74" spans="1:16" ht="24" customHeight="1">
      <c r="A74" s="30">
        <v>45891</v>
      </c>
      <c r="B74" s="27" t="s">
        <v>220</v>
      </c>
      <c r="C74" s="27" t="s">
        <v>239</v>
      </c>
      <c r="D74" s="27" t="s">
        <v>3350</v>
      </c>
      <c r="E74" s="10">
        <v>60</v>
      </c>
      <c r="F74" s="36" t="s">
        <v>263</v>
      </c>
      <c r="G74" s="27" t="s">
        <v>270</v>
      </c>
      <c r="H74" s="27" t="s">
        <v>3351</v>
      </c>
      <c r="I74" s="27"/>
      <c r="J74" s="27" t="s">
        <v>382</v>
      </c>
      <c r="K74" s="27" t="s">
        <v>351</v>
      </c>
      <c r="L74" s="27"/>
      <c r="M74" s="30">
        <v>45881</v>
      </c>
      <c r="N74" s="1" t="s">
        <v>264</v>
      </c>
      <c r="O74" s="27" t="s">
        <v>3352</v>
      </c>
      <c r="P74" s="27"/>
    </row>
    <row r="75" spans="1:16" ht="24" customHeight="1">
      <c r="A75" s="30">
        <v>45872</v>
      </c>
      <c r="B75" s="27" t="s">
        <v>267</v>
      </c>
      <c r="C75" s="27"/>
      <c r="D75" s="27" t="s">
        <v>3319</v>
      </c>
      <c r="E75" s="10"/>
      <c r="F75" s="36" t="s">
        <v>263</v>
      </c>
      <c r="G75" s="27"/>
      <c r="H75" s="27"/>
      <c r="I75" s="27"/>
      <c r="J75" s="27"/>
      <c r="K75" s="27"/>
      <c r="L75" s="27"/>
      <c r="M75" s="27"/>
      <c r="N75" s="3" t="s">
        <v>312</v>
      </c>
      <c r="O75" s="27"/>
      <c r="P75" s="27"/>
    </row>
    <row r="76" spans="1:16" ht="24" customHeight="1">
      <c r="A76" s="30">
        <v>45893</v>
      </c>
      <c r="B76" s="27" t="s">
        <v>267</v>
      </c>
      <c r="C76" s="27"/>
      <c r="D76" s="27"/>
      <c r="E76" s="10"/>
      <c r="F76" s="36" t="s">
        <v>263</v>
      </c>
      <c r="G76" s="27"/>
      <c r="H76" s="27"/>
      <c r="I76" s="27"/>
      <c r="J76" s="27"/>
      <c r="K76" s="27"/>
      <c r="L76" s="27"/>
      <c r="M76" s="27"/>
      <c r="N76" s="1" t="s">
        <v>264</v>
      </c>
      <c r="O76" s="27"/>
      <c r="P76" s="27"/>
    </row>
    <row r="77" spans="1:16" ht="24" customHeight="1">
      <c r="A77" s="30">
        <v>45894</v>
      </c>
      <c r="B77" s="27" t="s">
        <v>224</v>
      </c>
      <c r="C77" s="27" t="s">
        <v>3353</v>
      </c>
      <c r="D77" s="27" t="s">
        <v>3354</v>
      </c>
      <c r="E77" s="10"/>
      <c r="F77" s="36" t="s">
        <v>263</v>
      </c>
      <c r="G77" s="27" t="s">
        <v>331</v>
      </c>
      <c r="H77" s="27" t="s">
        <v>275</v>
      </c>
      <c r="I77" s="27"/>
      <c r="J77" s="27"/>
      <c r="K77" s="27" t="s">
        <v>3355</v>
      </c>
      <c r="L77" s="27"/>
      <c r="M77" s="27"/>
      <c r="N77" s="1" t="s">
        <v>264</v>
      </c>
      <c r="O77" s="27" t="s">
        <v>3356</v>
      </c>
      <c r="P77" s="27"/>
    </row>
    <row r="78" spans="1:16" ht="24" customHeight="1">
      <c r="A78" s="30">
        <v>45894</v>
      </c>
      <c r="B78" s="27" t="s">
        <v>224</v>
      </c>
      <c r="C78" s="27" t="s">
        <v>954</v>
      </c>
      <c r="D78" s="27" t="s">
        <v>3357</v>
      </c>
      <c r="E78" s="10">
        <v>25</v>
      </c>
      <c r="F78" s="36" t="s">
        <v>263</v>
      </c>
      <c r="G78" s="27" t="s">
        <v>315</v>
      </c>
      <c r="H78" s="27" t="s">
        <v>330</v>
      </c>
      <c r="I78" s="27"/>
      <c r="J78" s="27"/>
      <c r="K78" s="27" t="s">
        <v>3358</v>
      </c>
      <c r="L78" s="27"/>
      <c r="M78" s="27"/>
      <c r="N78" s="1" t="s">
        <v>264</v>
      </c>
      <c r="O78" s="27" t="s">
        <v>3359</v>
      </c>
      <c r="P78" s="27"/>
    </row>
    <row r="79" spans="1:16" ht="24" customHeight="1">
      <c r="A79" s="30">
        <v>45894</v>
      </c>
      <c r="B79" s="27" t="s">
        <v>224</v>
      </c>
      <c r="C79" s="27" t="s">
        <v>3337</v>
      </c>
      <c r="D79" s="27" t="s">
        <v>440</v>
      </c>
      <c r="E79" s="10">
        <v>1</v>
      </c>
      <c r="F79" s="36" t="s">
        <v>263</v>
      </c>
      <c r="G79" s="27" t="s">
        <v>269</v>
      </c>
      <c r="H79" s="27" t="s">
        <v>270</v>
      </c>
      <c r="I79" s="27"/>
      <c r="J79" s="27"/>
      <c r="K79" s="27" t="s">
        <v>367</v>
      </c>
      <c r="L79" s="27"/>
      <c r="M79" s="30">
        <v>45889</v>
      </c>
      <c r="N79" s="1" t="s">
        <v>264</v>
      </c>
      <c r="O79" s="27" t="s">
        <v>3338</v>
      </c>
      <c r="P79" s="27"/>
    </row>
    <row r="80" spans="1:16" ht="24" customHeight="1">
      <c r="A80" s="30">
        <v>45894</v>
      </c>
      <c r="B80" s="27" t="s">
        <v>224</v>
      </c>
      <c r="C80" s="27" t="s">
        <v>171</v>
      </c>
      <c r="D80" s="27" t="s">
        <v>2809</v>
      </c>
      <c r="E80" s="10">
        <v>28</v>
      </c>
      <c r="F80" s="36" t="s">
        <v>263</v>
      </c>
      <c r="G80" s="27" t="s">
        <v>269</v>
      </c>
      <c r="H80" s="27" t="s">
        <v>270</v>
      </c>
      <c r="I80" s="27"/>
      <c r="J80" s="27"/>
      <c r="K80" s="27" t="s">
        <v>237</v>
      </c>
      <c r="L80" s="27"/>
      <c r="M80" s="30">
        <v>45693</v>
      </c>
      <c r="N80" s="1" t="s">
        <v>264</v>
      </c>
      <c r="O80" s="27" t="s">
        <v>341</v>
      </c>
      <c r="P80" s="27"/>
    </row>
    <row r="81" spans="1:16" ht="24" customHeight="1">
      <c r="A81" s="30">
        <v>45894</v>
      </c>
      <c r="B81" s="27" t="s">
        <v>224</v>
      </c>
      <c r="C81" s="27" t="s">
        <v>235</v>
      </c>
      <c r="D81" s="27" t="s">
        <v>2809</v>
      </c>
      <c r="E81" s="10">
        <v>40</v>
      </c>
      <c r="F81" s="36" t="s">
        <v>263</v>
      </c>
      <c r="G81" s="27" t="s">
        <v>269</v>
      </c>
      <c r="H81" s="27" t="s">
        <v>270</v>
      </c>
      <c r="I81" s="27"/>
      <c r="J81" s="27"/>
      <c r="K81" s="27" t="s">
        <v>237</v>
      </c>
      <c r="L81" s="27"/>
      <c r="M81" s="30">
        <v>45693</v>
      </c>
      <c r="N81" s="1" t="s">
        <v>264</v>
      </c>
      <c r="O81" s="27" t="s">
        <v>341</v>
      </c>
      <c r="P81" s="27"/>
    </row>
    <row r="82" spans="1:16" ht="24" customHeight="1">
      <c r="A82" s="30">
        <v>45895</v>
      </c>
      <c r="B82" s="27" t="s">
        <v>227</v>
      </c>
      <c r="C82" s="27" t="s">
        <v>3310</v>
      </c>
      <c r="D82" s="27" t="s">
        <v>3360</v>
      </c>
      <c r="E82" s="10"/>
      <c r="F82" s="36" t="s">
        <v>263</v>
      </c>
      <c r="G82" s="27" t="s">
        <v>289</v>
      </c>
      <c r="H82" s="27" t="s">
        <v>359</v>
      </c>
      <c r="I82" s="27"/>
      <c r="J82" s="27"/>
      <c r="K82" s="27" t="s">
        <v>237</v>
      </c>
      <c r="L82" s="27"/>
      <c r="M82" s="30">
        <v>45874</v>
      </c>
      <c r="N82" s="1" t="s">
        <v>264</v>
      </c>
      <c r="O82" s="27" t="s">
        <v>298</v>
      </c>
      <c r="P82" s="27"/>
    </row>
    <row r="83" spans="1:16" ht="24" customHeight="1">
      <c r="A83" s="30">
        <v>45895</v>
      </c>
      <c r="B83" s="27" t="s">
        <v>227</v>
      </c>
      <c r="C83" s="27" t="s">
        <v>239</v>
      </c>
      <c r="D83" s="27" t="s">
        <v>3361</v>
      </c>
      <c r="E83" s="10">
        <v>100</v>
      </c>
      <c r="F83" s="38" t="s">
        <v>294</v>
      </c>
      <c r="G83" s="27" t="s">
        <v>295</v>
      </c>
      <c r="H83" s="27" t="s">
        <v>270</v>
      </c>
      <c r="I83" s="27"/>
      <c r="J83" s="27"/>
      <c r="K83" s="27" t="s">
        <v>351</v>
      </c>
      <c r="L83" s="27"/>
      <c r="M83" s="27"/>
      <c r="N83" s="1" t="s">
        <v>264</v>
      </c>
      <c r="O83" s="27" t="s">
        <v>298</v>
      </c>
      <c r="P83" s="27"/>
    </row>
    <row r="84" spans="1:16" ht="24" customHeight="1">
      <c r="A84" s="30">
        <v>45895</v>
      </c>
      <c r="B84" s="27" t="s">
        <v>227</v>
      </c>
      <c r="C84" s="27" t="s">
        <v>171</v>
      </c>
      <c r="D84" s="27" t="s">
        <v>358</v>
      </c>
      <c r="E84" s="10">
        <v>40</v>
      </c>
      <c r="F84" s="36" t="s">
        <v>263</v>
      </c>
      <c r="G84" s="27" t="s">
        <v>295</v>
      </c>
      <c r="H84" s="27" t="s">
        <v>296</v>
      </c>
      <c r="I84" s="27"/>
      <c r="J84" s="27"/>
      <c r="K84" s="27" t="s">
        <v>3285</v>
      </c>
      <c r="L84" s="27"/>
      <c r="M84" s="30">
        <v>45832</v>
      </c>
      <c r="N84" s="1" t="s">
        <v>264</v>
      </c>
      <c r="O84" s="27" t="s">
        <v>298</v>
      </c>
      <c r="P84" s="27"/>
    </row>
    <row r="85" spans="1:16" ht="24" customHeight="1">
      <c r="A85" s="30">
        <v>45896</v>
      </c>
      <c r="B85" s="27" t="s">
        <v>201</v>
      </c>
      <c r="C85" s="27" t="s">
        <v>171</v>
      </c>
      <c r="D85" s="27" t="s">
        <v>3362</v>
      </c>
      <c r="E85" s="10"/>
      <c r="F85" s="36" t="s">
        <v>263</v>
      </c>
      <c r="G85" s="27" t="s">
        <v>295</v>
      </c>
      <c r="H85" s="27" t="s">
        <v>296</v>
      </c>
      <c r="I85" s="27"/>
      <c r="J85" s="27"/>
      <c r="K85" s="27" t="s">
        <v>367</v>
      </c>
      <c r="L85" s="27"/>
      <c r="M85" s="30">
        <v>45894</v>
      </c>
      <c r="N85" s="1" t="s">
        <v>264</v>
      </c>
      <c r="O85" s="27"/>
      <c r="P85" s="27"/>
    </row>
    <row r="86" spans="1:16" ht="24" customHeight="1">
      <c r="A86" s="30">
        <v>45896</v>
      </c>
      <c r="B86" s="27" t="s">
        <v>201</v>
      </c>
      <c r="C86" s="27" t="s">
        <v>3296</v>
      </c>
      <c r="D86" s="27" t="s">
        <v>3361</v>
      </c>
      <c r="E86" s="10" t="s">
        <v>2202</v>
      </c>
      <c r="F86" s="38" t="s">
        <v>294</v>
      </c>
      <c r="G86" s="27" t="s">
        <v>295</v>
      </c>
      <c r="H86" s="27" t="s">
        <v>270</v>
      </c>
      <c r="I86" s="27"/>
      <c r="J86" s="27"/>
      <c r="K86" s="27" t="s">
        <v>351</v>
      </c>
      <c r="L86" s="27"/>
      <c r="M86" s="30">
        <v>45852</v>
      </c>
      <c r="N86" s="3" t="s">
        <v>312</v>
      </c>
      <c r="O86" s="27" t="s">
        <v>321</v>
      </c>
      <c r="P86" s="27"/>
    </row>
    <row r="87" spans="1:16" ht="24" customHeight="1">
      <c r="A87" s="30">
        <v>45897</v>
      </c>
      <c r="B87" s="27" t="s">
        <v>216</v>
      </c>
      <c r="C87" s="27" t="s">
        <v>171</v>
      </c>
      <c r="D87" s="27" t="s">
        <v>2809</v>
      </c>
      <c r="E87" s="10"/>
      <c r="F87" s="36" t="s">
        <v>263</v>
      </c>
      <c r="G87" s="27" t="s">
        <v>269</v>
      </c>
      <c r="H87" s="27" t="s">
        <v>270</v>
      </c>
      <c r="I87" s="27"/>
      <c r="J87" s="27"/>
      <c r="K87" s="27" t="s">
        <v>2584</v>
      </c>
      <c r="L87" s="27"/>
      <c r="M87" s="30">
        <v>45693</v>
      </c>
      <c r="N87" s="3" t="s">
        <v>312</v>
      </c>
      <c r="O87" s="27"/>
      <c r="P87" s="27"/>
    </row>
    <row r="88" spans="1:16" ht="24" customHeight="1">
      <c r="A88" s="30">
        <v>45897</v>
      </c>
      <c r="B88" s="27" t="s">
        <v>216</v>
      </c>
      <c r="C88" s="27" t="s">
        <v>239</v>
      </c>
      <c r="D88" s="27" t="s">
        <v>3363</v>
      </c>
      <c r="E88" s="10">
        <v>100</v>
      </c>
      <c r="F88" s="38" t="s">
        <v>294</v>
      </c>
      <c r="G88" s="27" t="s">
        <v>289</v>
      </c>
      <c r="H88" s="27" t="s">
        <v>359</v>
      </c>
      <c r="I88" s="27"/>
      <c r="J88" s="27"/>
      <c r="K88" s="27" t="s">
        <v>351</v>
      </c>
      <c r="L88" s="27"/>
      <c r="M88" s="30">
        <v>45864</v>
      </c>
      <c r="N88" s="3" t="s">
        <v>312</v>
      </c>
      <c r="O88" s="27" t="s">
        <v>3364</v>
      </c>
      <c r="P88" s="27"/>
    </row>
    <row r="89" spans="1:16" ht="24" customHeight="1">
      <c r="A89" s="30">
        <v>45898</v>
      </c>
      <c r="B89" s="27" t="s">
        <v>220</v>
      </c>
      <c r="C89" s="27"/>
      <c r="D89" s="27" t="s">
        <v>3365</v>
      </c>
      <c r="E89" s="10">
        <v>1</v>
      </c>
      <c r="F89" s="36" t="s">
        <v>263</v>
      </c>
      <c r="G89" s="27" t="s">
        <v>295</v>
      </c>
      <c r="H89" s="27" t="s">
        <v>270</v>
      </c>
      <c r="I89" s="27"/>
      <c r="J89" s="27"/>
      <c r="K89" s="27" t="s">
        <v>379</v>
      </c>
      <c r="L89" s="27"/>
      <c r="M89" s="30">
        <v>45864</v>
      </c>
      <c r="N89" s="1" t="s">
        <v>264</v>
      </c>
      <c r="O89" s="27" t="s">
        <v>3366</v>
      </c>
      <c r="P89" s="27"/>
    </row>
    <row r="90" spans="1:16" ht="24" customHeight="1">
      <c r="A90" s="30">
        <v>45898</v>
      </c>
      <c r="B90" s="27" t="s">
        <v>220</v>
      </c>
      <c r="C90" s="27" t="s">
        <v>171</v>
      </c>
      <c r="D90" s="27" t="s">
        <v>3367</v>
      </c>
      <c r="E90" s="10">
        <v>60</v>
      </c>
      <c r="F90" s="36" t="s">
        <v>263</v>
      </c>
      <c r="G90" s="27" t="s">
        <v>295</v>
      </c>
      <c r="H90" s="27" t="s">
        <v>296</v>
      </c>
      <c r="I90" s="27"/>
      <c r="J90" s="27"/>
      <c r="K90" s="27" t="s">
        <v>351</v>
      </c>
      <c r="L90" s="27"/>
      <c r="M90" s="30">
        <v>45852</v>
      </c>
      <c r="N90" s="3" t="s">
        <v>312</v>
      </c>
      <c r="O90" s="27" t="s">
        <v>321</v>
      </c>
      <c r="P90" s="27"/>
    </row>
    <row r="91" spans="1:16" ht="24" customHeight="1">
      <c r="A91" s="30">
        <v>45899</v>
      </c>
      <c r="B91" s="27" t="s">
        <v>266</v>
      </c>
      <c r="C91" s="27"/>
      <c r="D91" s="27"/>
      <c r="E91" s="10"/>
      <c r="F91" s="36" t="s">
        <v>263</v>
      </c>
      <c r="G91" s="27"/>
      <c r="H91" s="27"/>
      <c r="I91" s="27"/>
      <c r="J91" s="27"/>
      <c r="K91" s="27"/>
      <c r="L91" s="27"/>
      <c r="M91" s="27"/>
      <c r="N91" s="1" t="s">
        <v>264</v>
      </c>
      <c r="O91" s="27"/>
      <c r="P91" s="27"/>
    </row>
    <row r="92" spans="1:16" ht="24" customHeight="1">
      <c r="A92" s="30">
        <v>45900</v>
      </c>
      <c r="B92" s="27" t="s">
        <v>267</v>
      </c>
      <c r="C92" s="27"/>
      <c r="D92" s="27"/>
      <c r="E92" s="10"/>
      <c r="F92" s="36" t="s">
        <v>263</v>
      </c>
      <c r="G92" s="27"/>
      <c r="H92" s="27"/>
      <c r="I92" s="27"/>
      <c r="J92" s="27"/>
      <c r="K92" s="27"/>
      <c r="L92" s="27"/>
      <c r="M92" s="27"/>
      <c r="N92" s="1" t="s">
        <v>264</v>
      </c>
      <c r="O92" s="27"/>
      <c r="P92" s="27"/>
    </row>
  </sheetData>
  <mergeCells count="3">
    <mergeCell ref="A1:C1"/>
    <mergeCell ref="D1:K1"/>
    <mergeCell ref="L1:P1"/>
  </mergeCells>
  <dataValidations count="2">
    <dataValidation type="list" allowBlank="1" sqref="M3:M142 N3:N92" xr:uid="{00000000-0002-0000-2400-000000000000}">
      <formula1>"Confirmed (Done),Pending Calendar Booking,Canceled"</formula1>
    </dataValidation>
    <dataValidation type="list" allowBlank="1" sqref="F3:F92" xr:uid="{00000000-0002-0000-2400-000001000000}">
      <formula1>"Big Event,Small Event"</formula1>
    </dataValidation>
  </dataValidations>
  <hyperlinks>
    <hyperlink ref="A1" location="'Dashboard'!A1" display="🏠 ⮌ RETURN TO DASHBOARD" xr:uid="{00000000-0004-0000-2400-000000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80"/>
  <sheetViews>
    <sheetView workbookViewId="0">
      <pane ySplit="2" topLeftCell="A3" activePane="bottomLeft" state="frozen"/>
      <selection pane="bottomLeft"/>
    </sheetView>
  </sheetViews>
  <sheetFormatPr defaultRowHeight="14.45"/>
  <cols>
    <col min="1" max="1" width="23" customWidth="1"/>
    <col min="2" max="2" width="12" customWidth="1"/>
    <col min="3" max="3" width="32" customWidth="1"/>
    <col min="4" max="4" width="48" customWidth="1"/>
    <col min="5" max="5" width="12" customWidth="1"/>
    <col min="6" max="6" width="15" customWidth="1"/>
    <col min="7" max="7" width="19" customWidth="1"/>
    <col min="8" max="8" width="17" customWidth="1"/>
    <col min="9" max="9" width="18" customWidth="1"/>
    <col min="10" max="10" width="22" customWidth="1"/>
    <col min="11" max="11" width="20" customWidth="1"/>
    <col min="12" max="12" width="25" customWidth="1"/>
    <col min="13" max="13" width="33" customWidth="1"/>
    <col min="14" max="14" width="25" customWidth="1"/>
    <col min="15" max="15" width="32" customWidth="1"/>
    <col min="16" max="16" width="48" customWidth="1"/>
  </cols>
  <sheetData>
    <row r="1" spans="1:16" ht="27.95" customHeight="1">
      <c r="A1" s="62" t="s">
        <v>2138</v>
      </c>
      <c r="B1" s="134"/>
      <c r="C1" s="135"/>
      <c r="D1" s="63" t="s">
        <v>3368</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t="s">
        <v>3369</v>
      </c>
      <c r="B3" s="27" t="s">
        <v>224</v>
      </c>
      <c r="C3" s="27" t="s">
        <v>954</v>
      </c>
      <c r="D3" s="27" t="s">
        <v>3370</v>
      </c>
      <c r="E3" s="10">
        <v>30</v>
      </c>
      <c r="F3" s="36" t="s">
        <v>263</v>
      </c>
      <c r="G3" s="27" t="s">
        <v>269</v>
      </c>
      <c r="H3" s="27" t="s">
        <v>270</v>
      </c>
      <c r="I3" s="27"/>
      <c r="J3" s="27"/>
      <c r="K3" s="27"/>
      <c r="L3" s="27"/>
      <c r="M3" s="27"/>
      <c r="N3" s="1" t="s">
        <v>264</v>
      </c>
      <c r="O3" s="27"/>
      <c r="P3" s="27"/>
    </row>
    <row r="4" spans="1:16" ht="24" customHeight="1">
      <c r="A4" s="30">
        <v>45901</v>
      </c>
      <c r="B4" s="27" t="s">
        <v>224</v>
      </c>
      <c r="C4" s="27" t="s">
        <v>171</v>
      </c>
      <c r="D4" s="27" t="s">
        <v>2809</v>
      </c>
      <c r="E4" s="10"/>
      <c r="F4" s="36" t="s">
        <v>263</v>
      </c>
      <c r="G4" s="27" t="s">
        <v>269</v>
      </c>
      <c r="H4" s="27" t="s">
        <v>270</v>
      </c>
      <c r="I4" s="27"/>
      <c r="J4" s="27"/>
      <c r="K4" s="27"/>
      <c r="L4" s="27"/>
      <c r="M4" s="27" t="s">
        <v>2584</v>
      </c>
      <c r="N4" s="1" t="s">
        <v>264</v>
      </c>
      <c r="O4" s="27" t="s">
        <v>3371</v>
      </c>
      <c r="P4" s="27"/>
    </row>
    <row r="5" spans="1:16" ht="24" customHeight="1">
      <c r="A5" s="30">
        <v>45902</v>
      </c>
      <c r="B5" s="27" t="s">
        <v>227</v>
      </c>
      <c r="C5" s="27" t="s">
        <v>1044</v>
      </c>
      <c r="D5" s="27" t="s">
        <v>1589</v>
      </c>
      <c r="E5" s="10" t="s">
        <v>2202</v>
      </c>
      <c r="F5" s="38" t="s">
        <v>294</v>
      </c>
      <c r="G5" s="27" t="s">
        <v>295</v>
      </c>
      <c r="H5" s="27" t="s">
        <v>290</v>
      </c>
      <c r="I5" s="27"/>
      <c r="J5" s="27"/>
      <c r="K5" s="27"/>
      <c r="L5" s="27"/>
      <c r="M5" s="27" t="s">
        <v>523</v>
      </c>
      <c r="N5" s="3" t="s">
        <v>312</v>
      </c>
      <c r="O5" s="27" t="s">
        <v>3372</v>
      </c>
      <c r="P5" s="27" t="s">
        <v>3373</v>
      </c>
    </row>
    <row r="6" spans="1:16" ht="24" customHeight="1">
      <c r="A6" s="30">
        <v>45902</v>
      </c>
      <c r="B6" s="27" t="s">
        <v>227</v>
      </c>
      <c r="C6" s="27" t="s">
        <v>171</v>
      </c>
      <c r="D6" s="27" t="s">
        <v>358</v>
      </c>
      <c r="E6" s="10">
        <v>40</v>
      </c>
      <c r="F6" s="36" t="s">
        <v>263</v>
      </c>
      <c r="G6" s="27" t="s">
        <v>896</v>
      </c>
      <c r="H6" s="27" t="s">
        <v>1266</v>
      </c>
      <c r="I6" s="27"/>
      <c r="J6" s="27"/>
      <c r="K6" s="27"/>
      <c r="L6" s="27"/>
      <c r="M6" s="27" t="s">
        <v>3374</v>
      </c>
      <c r="N6" s="1" t="s">
        <v>264</v>
      </c>
      <c r="O6" s="27" t="s">
        <v>3375</v>
      </c>
      <c r="P6" s="27" t="s">
        <v>3376</v>
      </c>
    </row>
    <row r="7" spans="1:16" ht="24" customHeight="1">
      <c r="A7" s="30">
        <v>45903</v>
      </c>
      <c r="B7" s="27" t="s">
        <v>201</v>
      </c>
      <c r="C7" s="27" t="s">
        <v>954</v>
      </c>
      <c r="D7" s="27" t="s">
        <v>1039</v>
      </c>
      <c r="E7" s="10">
        <v>30</v>
      </c>
      <c r="F7" s="36" t="s">
        <v>263</v>
      </c>
      <c r="G7" s="27" t="s">
        <v>289</v>
      </c>
      <c r="H7" s="27" t="s">
        <v>290</v>
      </c>
      <c r="I7" s="27"/>
      <c r="J7" s="27"/>
      <c r="K7" s="27"/>
      <c r="L7" s="27"/>
      <c r="M7" s="27" t="s">
        <v>237</v>
      </c>
      <c r="N7" s="1" t="s">
        <v>264</v>
      </c>
      <c r="O7" s="27" t="s">
        <v>3377</v>
      </c>
      <c r="P7" s="27" t="s">
        <v>321</v>
      </c>
    </row>
    <row r="8" spans="1:16" ht="24" customHeight="1">
      <c r="A8" s="30">
        <v>45903</v>
      </c>
      <c r="B8" s="27" t="s">
        <v>201</v>
      </c>
      <c r="C8" s="27" t="s">
        <v>2820</v>
      </c>
      <c r="D8" s="27" t="s">
        <v>3378</v>
      </c>
      <c r="E8" s="10" t="s">
        <v>2682</v>
      </c>
      <c r="F8" s="36" t="s">
        <v>263</v>
      </c>
      <c r="G8" s="27" t="s">
        <v>315</v>
      </c>
      <c r="H8" s="27" t="s">
        <v>330</v>
      </c>
      <c r="I8" s="27"/>
      <c r="J8" s="27"/>
      <c r="K8" s="27"/>
      <c r="L8" s="27"/>
      <c r="M8" s="27" t="s">
        <v>811</v>
      </c>
      <c r="N8" s="1" t="s">
        <v>264</v>
      </c>
      <c r="O8" s="27" t="s">
        <v>3379</v>
      </c>
      <c r="P8" s="27"/>
    </row>
    <row r="9" spans="1:16" ht="24" customHeight="1">
      <c r="A9" s="30">
        <v>45903</v>
      </c>
      <c r="B9" s="27" t="s">
        <v>201</v>
      </c>
      <c r="C9" s="27" t="s">
        <v>937</v>
      </c>
      <c r="D9" s="27"/>
      <c r="E9" s="10"/>
      <c r="F9" s="36" t="s">
        <v>263</v>
      </c>
      <c r="G9" s="27" t="s">
        <v>295</v>
      </c>
      <c r="H9" s="27" t="s">
        <v>296</v>
      </c>
      <c r="I9" s="27"/>
      <c r="J9" s="27"/>
      <c r="K9" s="27"/>
      <c r="L9" s="27"/>
      <c r="M9" s="27" t="s">
        <v>3009</v>
      </c>
      <c r="N9" s="3" t="s">
        <v>312</v>
      </c>
      <c r="O9" s="27" t="s">
        <v>3380</v>
      </c>
      <c r="P9" s="27" t="s">
        <v>298</v>
      </c>
    </row>
    <row r="10" spans="1:16" ht="24" customHeight="1">
      <c r="A10" s="30">
        <v>45904</v>
      </c>
      <c r="B10" s="27" t="s">
        <v>216</v>
      </c>
      <c r="C10" s="27" t="s">
        <v>171</v>
      </c>
      <c r="D10" s="27" t="s">
        <v>2809</v>
      </c>
      <c r="E10" s="10"/>
      <c r="F10" s="36" t="s">
        <v>263</v>
      </c>
      <c r="G10" s="27" t="s">
        <v>269</v>
      </c>
      <c r="H10" s="27" t="s">
        <v>270</v>
      </c>
      <c r="I10" s="27"/>
      <c r="J10" s="27"/>
      <c r="K10" s="27"/>
      <c r="L10" s="27"/>
      <c r="M10" s="27" t="s">
        <v>2584</v>
      </c>
      <c r="N10" s="3" t="s">
        <v>312</v>
      </c>
      <c r="O10" s="27" t="s">
        <v>3371</v>
      </c>
      <c r="P10" s="27" t="s">
        <v>3381</v>
      </c>
    </row>
    <row r="11" spans="1:16" ht="24" customHeight="1">
      <c r="A11" s="30">
        <v>45904</v>
      </c>
      <c r="B11" s="27" t="s">
        <v>216</v>
      </c>
      <c r="C11" s="27" t="s">
        <v>171</v>
      </c>
      <c r="D11" s="27" t="s">
        <v>3382</v>
      </c>
      <c r="E11" s="10">
        <v>60</v>
      </c>
      <c r="F11" s="36" t="s">
        <v>263</v>
      </c>
      <c r="G11" s="27" t="s">
        <v>506</v>
      </c>
      <c r="H11" s="27" t="s">
        <v>429</v>
      </c>
      <c r="I11" s="27"/>
      <c r="J11" s="27"/>
      <c r="K11" s="27"/>
      <c r="L11" s="27"/>
      <c r="M11" s="27" t="s">
        <v>1629</v>
      </c>
      <c r="N11" s="3" t="s">
        <v>312</v>
      </c>
      <c r="O11" s="27" t="s">
        <v>3383</v>
      </c>
      <c r="P11" s="27" t="s">
        <v>3384</v>
      </c>
    </row>
    <row r="12" spans="1:16" ht="24" customHeight="1">
      <c r="A12" s="30">
        <v>45904</v>
      </c>
      <c r="B12" s="27" t="s">
        <v>216</v>
      </c>
      <c r="C12" s="27" t="s">
        <v>1044</v>
      </c>
      <c r="D12" s="27" t="s">
        <v>3385</v>
      </c>
      <c r="E12" s="10">
        <v>150</v>
      </c>
      <c r="F12" s="38" t="s">
        <v>294</v>
      </c>
      <c r="G12" s="27" t="s">
        <v>295</v>
      </c>
      <c r="H12" s="27" t="s">
        <v>296</v>
      </c>
      <c r="I12" s="27"/>
      <c r="J12" s="27"/>
      <c r="K12" s="27"/>
      <c r="L12" s="27"/>
      <c r="M12" s="27" t="s">
        <v>774</v>
      </c>
      <c r="N12" s="1" t="s">
        <v>264</v>
      </c>
      <c r="O12" s="27" t="s">
        <v>3386</v>
      </c>
      <c r="P12" s="27" t="s">
        <v>298</v>
      </c>
    </row>
    <row r="13" spans="1:16" ht="24" customHeight="1">
      <c r="A13" s="30">
        <v>45904</v>
      </c>
      <c r="B13" s="27" t="s">
        <v>216</v>
      </c>
      <c r="C13" s="27" t="s">
        <v>1044</v>
      </c>
      <c r="D13" s="27" t="s">
        <v>3387</v>
      </c>
      <c r="E13" s="10">
        <v>150</v>
      </c>
      <c r="F13" s="38" t="s">
        <v>294</v>
      </c>
      <c r="G13" s="27" t="s">
        <v>296</v>
      </c>
      <c r="H13" s="27" t="s">
        <v>270</v>
      </c>
      <c r="I13" s="27"/>
      <c r="J13" s="27"/>
      <c r="K13" s="27"/>
      <c r="L13" s="27"/>
      <c r="M13" s="27" t="s">
        <v>774</v>
      </c>
      <c r="N13" s="1" t="s">
        <v>264</v>
      </c>
      <c r="O13" s="27" t="s">
        <v>3386</v>
      </c>
      <c r="P13" s="27" t="s">
        <v>298</v>
      </c>
    </row>
    <row r="14" spans="1:16" ht="24" customHeight="1">
      <c r="A14" s="30">
        <v>45905</v>
      </c>
      <c r="B14" s="27" t="s">
        <v>220</v>
      </c>
      <c r="C14" s="27" t="s">
        <v>171</v>
      </c>
      <c r="D14" s="27" t="s">
        <v>3388</v>
      </c>
      <c r="E14" s="10"/>
      <c r="F14" s="36" t="s">
        <v>263</v>
      </c>
      <c r="G14" s="27" t="s">
        <v>269</v>
      </c>
      <c r="H14" s="27" t="s">
        <v>270</v>
      </c>
      <c r="I14" s="27"/>
      <c r="J14" s="27"/>
      <c r="K14" s="27"/>
      <c r="L14" s="27"/>
      <c r="M14" s="27" t="s">
        <v>351</v>
      </c>
      <c r="N14" s="1" t="s">
        <v>264</v>
      </c>
      <c r="O14" s="27" t="s">
        <v>3386</v>
      </c>
      <c r="P14" s="27" t="s">
        <v>3389</v>
      </c>
    </row>
    <row r="15" spans="1:16" ht="24" customHeight="1">
      <c r="A15" s="30">
        <v>45906</v>
      </c>
      <c r="B15" s="27" t="s">
        <v>266</v>
      </c>
      <c r="C15" s="27" t="s">
        <v>3390</v>
      </c>
      <c r="D15" s="27"/>
      <c r="E15" s="10"/>
      <c r="F15" s="36" t="s">
        <v>263</v>
      </c>
      <c r="G15" s="27"/>
      <c r="H15" s="27"/>
      <c r="I15" s="27"/>
      <c r="J15" s="27"/>
      <c r="K15" s="27"/>
      <c r="L15" s="27"/>
      <c r="M15" s="27"/>
      <c r="N15" s="1" t="s">
        <v>264</v>
      </c>
      <c r="O15" s="27"/>
      <c r="P15" s="27"/>
    </row>
    <row r="16" spans="1:16" ht="24" customHeight="1">
      <c r="A16" s="30">
        <v>45907</v>
      </c>
      <c r="B16" s="27" t="s">
        <v>267</v>
      </c>
      <c r="C16" s="27"/>
      <c r="D16" s="27"/>
      <c r="E16" s="10"/>
      <c r="F16" s="36" t="s">
        <v>263</v>
      </c>
      <c r="G16" s="27"/>
      <c r="H16" s="27"/>
      <c r="I16" s="27"/>
      <c r="J16" s="27"/>
      <c r="K16" s="27"/>
      <c r="L16" s="27"/>
      <c r="M16" s="27"/>
      <c r="N16" s="1" t="s">
        <v>264</v>
      </c>
      <c r="O16" s="27"/>
      <c r="P16" s="27"/>
    </row>
    <row r="17" spans="1:16" ht="24" customHeight="1">
      <c r="A17" s="30">
        <v>45908</v>
      </c>
      <c r="B17" s="27" t="s">
        <v>224</v>
      </c>
      <c r="C17" s="27" t="s">
        <v>171</v>
      </c>
      <c r="D17" s="27" t="s">
        <v>2809</v>
      </c>
      <c r="E17" s="10"/>
      <c r="F17" s="36" t="s">
        <v>263</v>
      </c>
      <c r="G17" s="27" t="s">
        <v>269</v>
      </c>
      <c r="H17" s="27" t="s">
        <v>270</v>
      </c>
      <c r="I17" s="27"/>
      <c r="J17" s="27"/>
      <c r="K17" s="27"/>
      <c r="L17" s="27"/>
      <c r="M17" s="27" t="s">
        <v>2584</v>
      </c>
      <c r="N17" s="1" t="s">
        <v>264</v>
      </c>
      <c r="O17" s="27" t="s">
        <v>3371</v>
      </c>
      <c r="P17" s="27"/>
    </row>
    <row r="18" spans="1:16" ht="24" customHeight="1">
      <c r="A18" s="30">
        <v>45909</v>
      </c>
      <c r="B18" s="27" t="s">
        <v>227</v>
      </c>
      <c r="C18" s="27" t="s">
        <v>171</v>
      </c>
      <c r="D18" s="27" t="s">
        <v>358</v>
      </c>
      <c r="E18" s="10">
        <v>40</v>
      </c>
      <c r="F18" s="36" t="s">
        <v>263</v>
      </c>
      <c r="G18" s="27" t="s">
        <v>483</v>
      </c>
      <c r="H18" s="27" t="s">
        <v>296</v>
      </c>
      <c r="I18" s="27"/>
      <c r="J18" s="27"/>
      <c r="K18" s="27"/>
      <c r="L18" s="27"/>
      <c r="M18" s="27" t="s">
        <v>3374</v>
      </c>
      <c r="N18" s="1" t="s">
        <v>264</v>
      </c>
      <c r="O18" s="27" t="s">
        <v>3375</v>
      </c>
      <c r="P18" s="27" t="s">
        <v>321</v>
      </c>
    </row>
    <row r="19" spans="1:16" ht="24" customHeight="1">
      <c r="A19" s="30">
        <v>45909</v>
      </c>
      <c r="B19" s="27" t="s">
        <v>227</v>
      </c>
      <c r="C19" s="27" t="s">
        <v>171</v>
      </c>
      <c r="D19" s="27" t="s">
        <v>3391</v>
      </c>
      <c r="E19" s="10"/>
      <c r="F19" s="36" t="s">
        <v>263</v>
      </c>
      <c r="G19" s="27" t="s">
        <v>359</v>
      </c>
      <c r="H19" s="27" t="s">
        <v>290</v>
      </c>
      <c r="I19" s="27"/>
      <c r="J19" s="27"/>
      <c r="K19" s="27"/>
      <c r="L19" s="27"/>
      <c r="M19" s="27" t="s">
        <v>484</v>
      </c>
      <c r="N19" s="1" t="s">
        <v>264</v>
      </c>
      <c r="O19" s="27" t="s">
        <v>3392</v>
      </c>
      <c r="P19" s="27" t="s">
        <v>321</v>
      </c>
    </row>
    <row r="20" spans="1:16" ht="24" customHeight="1">
      <c r="A20" s="30">
        <v>45910</v>
      </c>
      <c r="B20" s="27" t="s">
        <v>201</v>
      </c>
      <c r="C20" s="27" t="s">
        <v>171</v>
      </c>
      <c r="D20" s="27" t="s">
        <v>3393</v>
      </c>
      <c r="E20" s="10">
        <v>60</v>
      </c>
      <c r="F20" s="36" t="s">
        <v>263</v>
      </c>
      <c r="G20" s="27" t="s">
        <v>274</v>
      </c>
      <c r="H20" s="27" t="s">
        <v>429</v>
      </c>
      <c r="I20" s="27"/>
      <c r="J20" s="27"/>
      <c r="K20" s="27"/>
      <c r="L20" s="27"/>
      <c r="M20" s="27" t="s">
        <v>3009</v>
      </c>
      <c r="N20" s="1" t="s">
        <v>264</v>
      </c>
      <c r="O20" s="27" t="s">
        <v>3394</v>
      </c>
      <c r="P20" s="27" t="s">
        <v>298</v>
      </c>
    </row>
    <row r="21" spans="1:16" ht="24" customHeight="1">
      <c r="A21" s="30">
        <v>45910</v>
      </c>
      <c r="B21" s="27" t="s">
        <v>201</v>
      </c>
      <c r="C21" s="27" t="s">
        <v>171</v>
      </c>
      <c r="D21" s="27" t="s">
        <v>3395</v>
      </c>
      <c r="E21" s="10">
        <v>60</v>
      </c>
      <c r="F21" s="36" t="s">
        <v>263</v>
      </c>
      <c r="G21" s="27" t="s">
        <v>295</v>
      </c>
      <c r="H21" s="27" t="s">
        <v>296</v>
      </c>
      <c r="I21" s="27"/>
      <c r="J21" s="27"/>
      <c r="K21" s="27"/>
      <c r="L21" s="27"/>
      <c r="M21" s="27" t="s">
        <v>3396</v>
      </c>
      <c r="N21" s="1" t="s">
        <v>264</v>
      </c>
      <c r="O21" s="27" t="s">
        <v>3397</v>
      </c>
      <c r="P21" s="27" t="s">
        <v>321</v>
      </c>
    </row>
    <row r="22" spans="1:16" ht="24" customHeight="1">
      <c r="A22" s="30">
        <v>45911</v>
      </c>
      <c r="B22" s="27" t="s">
        <v>216</v>
      </c>
      <c r="C22" s="27" t="s">
        <v>171</v>
      </c>
      <c r="D22" s="27" t="s">
        <v>2809</v>
      </c>
      <c r="E22" s="10"/>
      <c r="F22" s="36" t="s">
        <v>263</v>
      </c>
      <c r="G22" s="27" t="s">
        <v>269</v>
      </c>
      <c r="H22" s="27" t="s">
        <v>270</v>
      </c>
      <c r="I22" s="27"/>
      <c r="J22" s="27"/>
      <c r="K22" s="27"/>
      <c r="L22" s="27"/>
      <c r="M22" s="27" t="s">
        <v>2584</v>
      </c>
      <c r="N22" s="1" t="s">
        <v>264</v>
      </c>
      <c r="O22" s="27" t="s">
        <v>3371</v>
      </c>
      <c r="P22" s="27"/>
    </row>
    <row r="23" spans="1:16" ht="24" customHeight="1">
      <c r="A23" s="30">
        <v>45911</v>
      </c>
      <c r="B23" s="27" t="s">
        <v>216</v>
      </c>
      <c r="C23" s="27" t="s">
        <v>171</v>
      </c>
      <c r="D23" s="27"/>
      <c r="E23" s="10"/>
      <c r="F23" s="36" t="s">
        <v>263</v>
      </c>
      <c r="G23" s="27" t="s">
        <v>281</v>
      </c>
      <c r="H23" s="27" t="s">
        <v>429</v>
      </c>
      <c r="I23" s="27"/>
      <c r="J23" s="27"/>
      <c r="K23" s="27"/>
      <c r="L23" s="27"/>
      <c r="M23" s="27" t="s">
        <v>2950</v>
      </c>
      <c r="N23" s="1" t="s">
        <v>264</v>
      </c>
      <c r="O23" s="27"/>
      <c r="P23" s="27" t="s">
        <v>3398</v>
      </c>
    </row>
    <row r="24" spans="1:16" ht="24" customHeight="1">
      <c r="A24" s="30">
        <v>45911</v>
      </c>
      <c r="B24" s="27" t="s">
        <v>216</v>
      </c>
      <c r="C24" s="27" t="s">
        <v>171</v>
      </c>
      <c r="D24" s="27" t="s">
        <v>3399</v>
      </c>
      <c r="E24" s="10"/>
      <c r="F24" s="36" t="s">
        <v>263</v>
      </c>
      <c r="G24" s="27" t="s">
        <v>295</v>
      </c>
      <c r="H24" s="27" t="s">
        <v>270</v>
      </c>
      <c r="I24" s="27"/>
      <c r="J24" s="27"/>
      <c r="K24" s="27"/>
      <c r="L24" s="27"/>
      <c r="M24" s="27" t="s">
        <v>351</v>
      </c>
      <c r="N24" s="1" t="s">
        <v>264</v>
      </c>
      <c r="O24" s="27" t="s">
        <v>3400</v>
      </c>
      <c r="P24" s="27" t="s">
        <v>3401</v>
      </c>
    </row>
    <row r="25" spans="1:16" ht="24" customHeight="1">
      <c r="A25" s="30">
        <v>45911</v>
      </c>
      <c r="B25" s="27" t="s">
        <v>216</v>
      </c>
      <c r="C25" s="27" t="s">
        <v>954</v>
      </c>
      <c r="D25" s="27" t="s">
        <v>327</v>
      </c>
      <c r="E25" s="10">
        <v>30</v>
      </c>
      <c r="F25" s="36" t="s">
        <v>263</v>
      </c>
      <c r="G25" s="27" t="s">
        <v>269</v>
      </c>
      <c r="H25" s="27" t="s">
        <v>270</v>
      </c>
      <c r="I25" s="27"/>
      <c r="J25" s="27"/>
      <c r="K25" s="27"/>
      <c r="L25" s="27"/>
      <c r="M25" s="27" t="s">
        <v>237</v>
      </c>
      <c r="N25" s="1" t="s">
        <v>264</v>
      </c>
      <c r="O25" s="27" t="s">
        <v>3400</v>
      </c>
      <c r="P25" s="27" t="s">
        <v>298</v>
      </c>
    </row>
    <row r="26" spans="1:16" ht="24" customHeight="1">
      <c r="A26" s="30">
        <v>45912</v>
      </c>
      <c r="B26" s="27" t="s">
        <v>220</v>
      </c>
      <c r="C26" s="27" t="s">
        <v>954</v>
      </c>
      <c r="D26" s="27" t="s">
        <v>327</v>
      </c>
      <c r="E26" s="10">
        <v>30</v>
      </c>
      <c r="F26" s="36" t="s">
        <v>263</v>
      </c>
      <c r="G26" s="27" t="s">
        <v>269</v>
      </c>
      <c r="H26" s="27" t="s">
        <v>270</v>
      </c>
      <c r="I26" s="27"/>
      <c r="J26" s="27"/>
      <c r="K26" s="27"/>
      <c r="L26" s="27"/>
      <c r="M26" s="27" t="s">
        <v>237</v>
      </c>
      <c r="N26" s="1" t="s">
        <v>264</v>
      </c>
      <c r="O26" s="27" t="s">
        <v>3400</v>
      </c>
      <c r="P26" s="27" t="s">
        <v>298</v>
      </c>
    </row>
    <row r="27" spans="1:16" ht="24" customHeight="1">
      <c r="A27" s="30">
        <v>45912</v>
      </c>
      <c r="B27" s="27" t="s">
        <v>220</v>
      </c>
      <c r="C27" s="27" t="s">
        <v>1050</v>
      </c>
      <c r="D27" s="27"/>
      <c r="E27" s="10"/>
      <c r="F27" s="36" t="s">
        <v>263</v>
      </c>
      <c r="G27" s="27" t="s">
        <v>274</v>
      </c>
      <c r="H27" s="27" t="s">
        <v>429</v>
      </c>
      <c r="I27" s="27"/>
      <c r="J27" s="27"/>
      <c r="K27" s="27"/>
      <c r="L27" s="27"/>
      <c r="M27" s="27" t="s">
        <v>3402</v>
      </c>
      <c r="N27" s="1" t="s">
        <v>264</v>
      </c>
      <c r="O27" s="27" t="s">
        <v>3403</v>
      </c>
      <c r="P27" s="27" t="s">
        <v>3404</v>
      </c>
    </row>
    <row r="28" spans="1:16" ht="24" customHeight="1">
      <c r="A28" s="30">
        <v>45912</v>
      </c>
      <c r="B28" s="27" t="s">
        <v>220</v>
      </c>
      <c r="C28" s="27" t="s">
        <v>1050</v>
      </c>
      <c r="D28" s="27"/>
      <c r="E28" s="10"/>
      <c r="F28" s="36" t="s">
        <v>263</v>
      </c>
      <c r="G28" s="27" t="s">
        <v>295</v>
      </c>
      <c r="H28" s="27" t="s">
        <v>270</v>
      </c>
      <c r="I28" s="27"/>
      <c r="J28" s="27"/>
      <c r="K28" s="27"/>
      <c r="L28" s="27"/>
      <c r="M28" s="27" t="s">
        <v>351</v>
      </c>
      <c r="N28" s="1" t="s">
        <v>264</v>
      </c>
      <c r="O28" s="27" t="s">
        <v>3400</v>
      </c>
      <c r="P28" s="27" t="s">
        <v>3405</v>
      </c>
    </row>
    <row r="29" spans="1:16" ht="24" customHeight="1">
      <c r="A29" s="30">
        <v>45912</v>
      </c>
      <c r="B29" s="27" t="s">
        <v>220</v>
      </c>
      <c r="C29" s="27"/>
      <c r="D29" s="27"/>
      <c r="E29" s="10"/>
      <c r="F29" s="36" t="s">
        <v>263</v>
      </c>
      <c r="G29" s="27"/>
      <c r="H29" s="27"/>
      <c r="I29" s="27"/>
      <c r="J29" s="27"/>
      <c r="K29" s="27"/>
      <c r="L29" s="27"/>
      <c r="M29" s="27"/>
      <c r="N29" s="1" t="s">
        <v>264</v>
      </c>
      <c r="O29" s="27"/>
      <c r="P29" s="27"/>
    </row>
    <row r="30" spans="1:16" ht="24" customHeight="1">
      <c r="A30" s="30">
        <v>45912</v>
      </c>
      <c r="B30" s="27" t="s">
        <v>220</v>
      </c>
      <c r="C30" s="27" t="s">
        <v>1044</v>
      </c>
      <c r="D30" s="27" t="s">
        <v>3406</v>
      </c>
      <c r="E30" s="10"/>
      <c r="F30" s="36" t="s">
        <v>263</v>
      </c>
      <c r="G30" s="27" t="s">
        <v>289</v>
      </c>
      <c r="H30" s="27" t="s">
        <v>296</v>
      </c>
      <c r="I30" s="27"/>
      <c r="J30" s="27"/>
      <c r="K30" s="27"/>
      <c r="L30" s="27"/>
      <c r="M30" s="27" t="s">
        <v>1435</v>
      </c>
      <c r="N30" s="3" t="s">
        <v>312</v>
      </c>
      <c r="O30" s="27" t="s">
        <v>3287</v>
      </c>
      <c r="P30" s="27" t="s">
        <v>3407</v>
      </c>
    </row>
    <row r="31" spans="1:16" ht="24" customHeight="1">
      <c r="A31" s="30">
        <v>45913</v>
      </c>
      <c r="B31" s="27" t="s">
        <v>266</v>
      </c>
      <c r="C31" s="27"/>
      <c r="D31" s="27"/>
      <c r="E31" s="10"/>
      <c r="F31" s="36" t="s">
        <v>263</v>
      </c>
      <c r="G31" s="27"/>
      <c r="H31" s="27"/>
      <c r="I31" s="27"/>
      <c r="J31" s="27"/>
      <c r="K31" s="27"/>
      <c r="L31" s="27"/>
      <c r="M31" s="27"/>
      <c r="N31" s="1" t="s">
        <v>264</v>
      </c>
      <c r="O31" s="27"/>
      <c r="P31" s="27"/>
    </row>
    <row r="32" spans="1:16" ht="24" customHeight="1">
      <c r="A32" s="30">
        <v>45914</v>
      </c>
      <c r="B32" s="27" t="s">
        <v>267</v>
      </c>
      <c r="C32" s="27"/>
      <c r="D32" s="27"/>
      <c r="E32" s="10"/>
      <c r="F32" s="36" t="s">
        <v>263</v>
      </c>
      <c r="G32" s="27"/>
      <c r="H32" s="27"/>
      <c r="I32" s="27"/>
      <c r="J32" s="27"/>
      <c r="K32" s="27"/>
      <c r="L32" s="27"/>
      <c r="M32" s="27"/>
      <c r="N32" s="1" t="s">
        <v>264</v>
      </c>
      <c r="O32" s="27"/>
      <c r="P32" s="27"/>
    </row>
    <row r="33" spans="1:16" ht="24" customHeight="1">
      <c r="A33" s="30">
        <v>45915</v>
      </c>
      <c r="B33" s="27" t="s">
        <v>224</v>
      </c>
      <c r="C33" s="27" t="s">
        <v>2740</v>
      </c>
      <c r="D33" s="27" t="s">
        <v>1246</v>
      </c>
      <c r="E33" s="10">
        <v>1</v>
      </c>
      <c r="F33" s="36" t="s">
        <v>263</v>
      </c>
      <c r="G33" s="27" t="s">
        <v>269</v>
      </c>
      <c r="H33" s="27" t="s">
        <v>544</v>
      </c>
      <c r="I33" s="27"/>
      <c r="J33" s="27"/>
      <c r="K33" s="27"/>
      <c r="L33" s="27"/>
      <c r="M33" s="27" t="s">
        <v>335</v>
      </c>
      <c r="N33" s="1" t="s">
        <v>264</v>
      </c>
      <c r="O33" s="27"/>
      <c r="P33" s="27" t="s">
        <v>3408</v>
      </c>
    </row>
    <row r="34" spans="1:16" ht="24" customHeight="1">
      <c r="A34" s="30">
        <v>45915</v>
      </c>
      <c r="B34" s="27" t="s">
        <v>224</v>
      </c>
      <c r="C34" s="27" t="s">
        <v>326</v>
      </c>
      <c r="D34" s="27" t="s">
        <v>236</v>
      </c>
      <c r="E34" s="10">
        <v>35</v>
      </c>
      <c r="F34" s="36" t="s">
        <v>263</v>
      </c>
      <c r="G34" s="27" t="s">
        <v>269</v>
      </c>
      <c r="H34" s="27" t="s">
        <v>270</v>
      </c>
      <c r="I34" s="27"/>
      <c r="J34" s="27"/>
      <c r="K34" s="27"/>
      <c r="L34" s="27"/>
      <c r="M34" s="27" t="s">
        <v>237</v>
      </c>
      <c r="N34" s="1" t="s">
        <v>264</v>
      </c>
      <c r="O34" s="27"/>
      <c r="P34" s="27" t="s">
        <v>3409</v>
      </c>
    </row>
    <row r="35" spans="1:16" ht="24" customHeight="1">
      <c r="A35" s="30">
        <v>45915</v>
      </c>
      <c r="B35" s="27" t="s">
        <v>224</v>
      </c>
      <c r="C35" s="27" t="s">
        <v>3410</v>
      </c>
      <c r="D35" s="27" t="s">
        <v>1246</v>
      </c>
      <c r="E35" s="10">
        <v>1</v>
      </c>
      <c r="F35" s="36" t="s">
        <v>263</v>
      </c>
      <c r="G35" s="27" t="s">
        <v>269</v>
      </c>
      <c r="H35" s="27" t="s">
        <v>270</v>
      </c>
      <c r="I35" s="27"/>
      <c r="J35" s="27"/>
      <c r="K35" s="27"/>
      <c r="L35" s="27"/>
      <c r="M35" s="27" t="s">
        <v>367</v>
      </c>
      <c r="N35" s="1" t="s">
        <v>264</v>
      </c>
      <c r="O35" s="27" t="s">
        <v>3411</v>
      </c>
      <c r="P35" s="27" t="s">
        <v>3412</v>
      </c>
    </row>
    <row r="36" spans="1:16" ht="24" customHeight="1">
      <c r="A36" s="30">
        <v>45916</v>
      </c>
      <c r="B36" s="27" t="s">
        <v>227</v>
      </c>
      <c r="C36" s="27" t="s">
        <v>3410</v>
      </c>
      <c r="D36" s="27" t="s">
        <v>1246</v>
      </c>
      <c r="E36" s="10">
        <v>1</v>
      </c>
      <c r="F36" s="36" t="s">
        <v>263</v>
      </c>
      <c r="G36" s="27" t="s">
        <v>269</v>
      </c>
      <c r="H36" s="27" t="s">
        <v>270</v>
      </c>
      <c r="I36" s="27"/>
      <c r="J36" s="27"/>
      <c r="K36" s="27"/>
      <c r="L36" s="27"/>
      <c r="M36" s="27" t="s">
        <v>367</v>
      </c>
      <c r="N36" s="1" t="s">
        <v>264</v>
      </c>
      <c r="O36" s="27"/>
      <c r="P36" s="27" t="s">
        <v>3412</v>
      </c>
    </row>
    <row r="37" spans="1:16" ht="24" customHeight="1">
      <c r="A37" s="30">
        <v>45916</v>
      </c>
      <c r="B37" s="27" t="s">
        <v>227</v>
      </c>
      <c r="C37" s="27" t="s">
        <v>2740</v>
      </c>
      <c r="D37" s="27" t="s">
        <v>1246</v>
      </c>
      <c r="E37" s="10">
        <v>1</v>
      </c>
      <c r="F37" s="36" t="s">
        <v>263</v>
      </c>
      <c r="G37" s="27" t="s">
        <v>269</v>
      </c>
      <c r="H37" s="27" t="s">
        <v>544</v>
      </c>
      <c r="I37" s="27"/>
      <c r="J37" s="27"/>
      <c r="K37" s="27"/>
      <c r="L37" s="27"/>
      <c r="M37" s="27" t="s">
        <v>335</v>
      </c>
      <c r="N37" s="1" t="s">
        <v>264</v>
      </c>
      <c r="O37" s="27"/>
      <c r="P37" s="27" t="s">
        <v>3408</v>
      </c>
    </row>
    <row r="38" spans="1:16" ht="24" customHeight="1">
      <c r="A38" s="30">
        <v>45916</v>
      </c>
      <c r="B38" s="27" t="s">
        <v>227</v>
      </c>
      <c r="C38" s="27" t="s">
        <v>1055</v>
      </c>
      <c r="D38" s="27" t="s">
        <v>3413</v>
      </c>
      <c r="E38" s="10">
        <v>60</v>
      </c>
      <c r="F38" s="36" t="s">
        <v>263</v>
      </c>
      <c r="G38" s="27" t="s">
        <v>331</v>
      </c>
      <c r="H38" s="27" t="s">
        <v>275</v>
      </c>
      <c r="I38" s="27"/>
      <c r="J38" s="27"/>
      <c r="K38" s="27"/>
      <c r="L38" s="27"/>
      <c r="M38" s="27" t="s">
        <v>335</v>
      </c>
      <c r="N38" s="1" t="s">
        <v>264</v>
      </c>
      <c r="O38" s="27"/>
      <c r="P38" s="27" t="s">
        <v>3414</v>
      </c>
    </row>
    <row r="39" spans="1:16" ht="24" customHeight="1">
      <c r="A39" s="30">
        <v>45916</v>
      </c>
      <c r="B39" s="27" t="s">
        <v>227</v>
      </c>
      <c r="C39" s="27" t="s">
        <v>171</v>
      </c>
      <c r="D39" s="27" t="s">
        <v>3415</v>
      </c>
      <c r="E39" s="10">
        <v>60</v>
      </c>
      <c r="F39" s="36" t="s">
        <v>263</v>
      </c>
      <c r="G39" s="27" t="s">
        <v>281</v>
      </c>
      <c r="H39" s="27" t="s">
        <v>429</v>
      </c>
      <c r="I39" s="27"/>
      <c r="J39" s="27"/>
      <c r="K39" s="27"/>
      <c r="L39" s="27"/>
      <c r="M39" s="27" t="s">
        <v>3331</v>
      </c>
      <c r="N39" s="1" t="s">
        <v>264</v>
      </c>
      <c r="O39" s="27"/>
      <c r="P39" s="27" t="s">
        <v>3416</v>
      </c>
    </row>
    <row r="40" spans="1:16" ht="24" customHeight="1">
      <c r="A40" s="30">
        <v>45916</v>
      </c>
      <c r="B40" s="27" t="s">
        <v>227</v>
      </c>
      <c r="C40" s="27" t="s">
        <v>171</v>
      </c>
      <c r="D40" s="27" t="s">
        <v>3417</v>
      </c>
      <c r="E40" s="10">
        <v>60</v>
      </c>
      <c r="F40" s="36" t="s">
        <v>263</v>
      </c>
      <c r="G40" s="27" t="s">
        <v>275</v>
      </c>
      <c r="H40" s="27" t="s">
        <v>309</v>
      </c>
      <c r="I40" s="27"/>
      <c r="J40" s="27"/>
      <c r="K40" s="27"/>
      <c r="L40" s="27"/>
      <c r="M40" s="27" t="s">
        <v>523</v>
      </c>
      <c r="N40" s="1" t="s">
        <v>264</v>
      </c>
      <c r="O40" s="27"/>
      <c r="P40" s="27" t="s">
        <v>298</v>
      </c>
    </row>
    <row r="41" spans="1:16" ht="24" customHeight="1">
      <c r="A41" s="30">
        <v>45916</v>
      </c>
      <c r="B41" s="27" t="s">
        <v>227</v>
      </c>
      <c r="C41" s="27" t="s">
        <v>1044</v>
      </c>
      <c r="D41" s="27" t="s">
        <v>1589</v>
      </c>
      <c r="E41" s="10" t="s">
        <v>2202</v>
      </c>
      <c r="F41" s="38" t="s">
        <v>294</v>
      </c>
      <c r="G41" s="27" t="s">
        <v>295</v>
      </c>
      <c r="H41" s="27" t="s">
        <v>290</v>
      </c>
      <c r="I41" s="27"/>
      <c r="J41" s="27"/>
      <c r="K41" s="27"/>
      <c r="L41" s="27"/>
      <c r="M41" s="27" t="s">
        <v>523</v>
      </c>
      <c r="N41" s="1" t="s">
        <v>264</v>
      </c>
      <c r="O41" s="27" t="s">
        <v>3372</v>
      </c>
      <c r="P41" s="27" t="s">
        <v>3418</v>
      </c>
    </row>
    <row r="42" spans="1:16" ht="24" customHeight="1">
      <c r="A42" s="30">
        <v>45916</v>
      </c>
      <c r="B42" s="27" t="s">
        <v>227</v>
      </c>
      <c r="C42" s="27" t="s">
        <v>171</v>
      </c>
      <c r="D42" s="27" t="s">
        <v>358</v>
      </c>
      <c r="E42" s="10">
        <v>40</v>
      </c>
      <c r="F42" s="36" t="s">
        <v>263</v>
      </c>
      <c r="G42" s="27" t="s">
        <v>309</v>
      </c>
      <c r="H42" s="27" t="s">
        <v>289</v>
      </c>
      <c r="I42" s="27"/>
      <c r="J42" s="27"/>
      <c r="K42" s="27"/>
      <c r="L42" s="27"/>
      <c r="M42" s="27" t="s">
        <v>3374</v>
      </c>
      <c r="N42" s="1" t="s">
        <v>264</v>
      </c>
      <c r="O42" s="27" t="s">
        <v>3375</v>
      </c>
      <c r="P42" s="27" t="s">
        <v>298</v>
      </c>
    </row>
    <row r="43" spans="1:16" ht="24" customHeight="1">
      <c r="A43" s="30">
        <v>45916</v>
      </c>
      <c r="B43" s="27" t="s">
        <v>227</v>
      </c>
      <c r="C43" s="27" t="s">
        <v>171</v>
      </c>
      <c r="D43" s="27" t="s">
        <v>3419</v>
      </c>
      <c r="E43" s="10">
        <v>30</v>
      </c>
      <c r="F43" s="36" t="s">
        <v>263</v>
      </c>
      <c r="G43" s="27" t="s">
        <v>296</v>
      </c>
      <c r="H43" s="27" t="s">
        <v>270</v>
      </c>
      <c r="I43" s="27"/>
      <c r="J43" s="27"/>
      <c r="K43" s="27"/>
      <c r="L43" s="27"/>
      <c r="M43" s="27" t="s">
        <v>237</v>
      </c>
      <c r="N43" s="1" t="s">
        <v>264</v>
      </c>
      <c r="O43" s="27" t="s">
        <v>3420</v>
      </c>
      <c r="P43" s="27" t="s">
        <v>3421</v>
      </c>
    </row>
    <row r="44" spans="1:16" ht="24" customHeight="1">
      <c r="A44" s="30">
        <v>45916</v>
      </c>
      <c r="B44" s="27" t="s">
        <v>227</v>
      </c>
      <c r="C44" s="27" t="s">
        <v>326</v>
      </c>
      <c r="D44" s="27" t="s">
        <v>327</v>
      </c>
      <c r="E44" s="10">
        <v>25</v>
      </c>
      <c r="F44" s="36" t="s">
        <v>263</v>
      </c>
      <c r="G44" s="27" t="s">
        <v>338</v>
      </c>
      <c r="H44" s="27" t="s">
        <v>270</v>
      </c>
      <c r="I44" s="27"/>
      <c r="J44" s="27"/>
      <c r="K44" s="27"/>
      <c r="L44" s="27"/>
      <c r="M44" s="27" t="s">
        <v>237</v>
      </c>
      <c r="N44" s="1" t="s">
        <v>264</v>
      </c>
      <c r="O44" s="27"/>
      <c r="P44" s="27" t="s">
        <v>3422</v>
      </c>
    </row>
    <row r="45" spans="1:16" ht="24" customHeight="1">
      <c r="A45" s="30">
        <v>45917</v>
      </c>
      <c r="B45" s="27" t="s">
        <v>201</v>
      </c>
      <c r="C45" s="27" t="s">
        <v>1050</v>
      </c>
      <c r="D45" s="27" t="s">
        <v>3423</v>
      </c>
      <c r="E45" s="10">
        <v>40</v>
      </c>
      <c r="F45" s="36" t="s">
        <v>263</v>
      </c>
      <c r="G45" s="27" t="s">
        <v>315</v>
      </c>
      <c r="H45" s="27" t="s">
        <v>429</v>
      </c>
      <c r="I45" s="27"/>
      <c r="J45" s="27"/>
      <c r="K45" s="27"/>
      <c r="L45" s="27"/>
      <c r="M45" s="27" t="s">
        <v>2894</v>
      </c>
      <c r="N45" s="1" t="s">
        <v>264</v>
      </c>
      <c r="O45" s="27"/>
      <c r="P45" s="27" t="s">
        <v>3384</v>
      </c>
    </row>
    <row r="46" spans="1:16" ht="24" customHeight="1">
      <c r="A46" s="30">
        <v>45917</v>
      </c>
      <c r="B46" s="27" t="s">
        <v>201</v>
      </c>
      <c r="C46" s="27" t="s">
        <v>326</v>
      </c>
      <c r="D46" s="27" t="s">
        <v>327</v>
      </c>
      <c r="E46" s="10">
        <v>25</v>
      </c>
      <c r="F46" s="36" t="s">
        <v>263</v>
      </c>
      <c r="G46" s="27" t="s">
        <v>338</v>
      </c>
      <c r="H46" s="27" t="s">
        <v>270</v>
      </c>
      <c r="I46" s="27"/>
      <c r="J46" s="27"/>
      <c r="K46" s="27"/>
      <c r="L46" s="27"/>
      <c r="M46" s="27" t="s">
        <v>237</v>
      </c>
      <c r="N46" s="1" t="s">
        <v>264</v>
      </c>
      <c r="O46" s="27"/>
      <c r="P46" s="27" t="s">
        <v>3424</v>
      </c>
    </row>
    <row r="47" spans="1:16" ht="24" customHeight="1">
      <c r="A47" s="30">
        <v>45917</v>
      </c>
      <c r="B47" s="27" t="s">
        <v>201</v>
      </c>
      <c r="C47" s="27" t="s">
        <v>171</v>
      </c>
      <c r="D47" s="27" t="s">
        <v>3425</v>
      </c>
      <c r="E47" s="10">
        <v>60</v>
      </c>
      <c r="F47" s="36" t="s">
        <v>263</v>
      </c>
      <c r="G47" s="27" t="s">
        <v>506</v>
      </c>
      <c r="H47" s="27" t="s">
        <v>331</v>
      </c>
      <c r="I47" s="27"/>
      <c r="J47" s="27"/>
      <c r="K47" s="27"/>
      <c r="L47" s="27"/>
      <c r="M47" s="27" t="s">
        <v>1629</v>
      </c>
      <c r="N47" s="3" t="s">
        <v>312</v>
      </c>
      <c r="O47" s="27" t="s">
        <v>3383</v>
      </c>
      <c r="P47" s="27" t="s">
        <v>298</v>
      </c>
    </row>
    <row r="48" spans="1:16" ht="24" customHeight="1">
      <c r="A48" s="30">
        <v>45917</v>
      </c>
      <c r="B48" s="27" t="s">
        <v>201</v>
      </c>
      <c r="C48" s="27" t="s">
        <v>171</v>
      </c>
      <c r="D48" s="27" t="s">
        <v>953</v>
      </c>
      <c r="E48" s="10">
        <v>25</v>
      </c>
      <c r="F48" s="36" t="s">
        <v>263</v>
      </c>
      <c r="G48" s="27" t="s">
        <v>289</v>
      </c>
      <c r="H48" s="27" t="s">
        <v>503</v>
      </c>
      <c r="I48" s="27"/>
      <c r="J48" s="27"/>
      <c r="K48" s="27"/>
      <c r="L48" s="27"/>
      <c r="M48" s="27" t="s">
        <v>237</v>
      </c>
      <c r="N48" s="1" t="s">
        <v>264</v>
      </c>
      <c r="O48" s="27" t="s">
        <v>3420</v>
      </c>
      <c r="P48" s="27" t="s">
        <v>321</v>
      </c>
    </row>
    <row r="49" spans="1:16" ht="24" customHeight="1">
      <c r="A49" s="30">
        <v>45917</v>
      </c>
      <c r="B49" s="27" t="s">
        <v>201</v>
      </c>
      <c r="C49" s="27" t="s">
        <v>1044</v>
      </c>
      <c r="D49" s="27" t="s">
        <v>3426</v>
      </c>
      <c r="E49" s="10">
        <v>100</v>
      </c>
      <c r="F49" s="38" t="s">
        <v>294</v>
      </c>
      <c r="G49" s="27" t="s">
        <v>1941</v>
      </c>
      <c r="H49" s="27" t="s">
        <v>3427</v>
      </c>
      <c r="I49" s="27"/>
      <c r="J49" s="27"/>
      <c r="K49" s="27"/>
      <c r="L49" s="27"/>
      <c r="M49" s="27" t="s">
        <v>523</v>
      </c>
      <c r="N49" s="1" t="s">
        <v>264</v>
      </c>
      <c r="O49" s="27"/>
      <c r="P49" s="27" t="s">
        <v>298</v>
      </c>
    </row>
    <row r="50" spans="1:16" ht="24" customHeight="1">
      <c r="A50" s="30">
        <v>45918</v>
      </c>
      <c r="B50" s="27" t="s">
        <v>216</v>
      </c>
      <c r="C50" s="27" t="s">
        <v>171</v>
      </c>
      <c r="D50" s="27" t="s">
        <v>3428</v>
      </c>
      <c r="E50" s="10">
        <v>40</v>
      </c>
      <c r="F50" s="36" t="s">
        <v>263</v>
      </c>
      <c r="G50" s="27" t="s">
        <v>506</v>
      </c>
      <c r="H50" s="27" t="s">
        <v>331</v>
      </c>
      <c r="I50" s="27"/>
      <c r="J50" s="27"/>
      <c r="K50" s="27"/>
      <c r="L50" s="27"/>
      <c r="M50" s="27" t="s">
        <v>916</v>
      </c>
      <c r="N50" s="1" t="s">
        <v>264</v>
      </c>
      <c r="O50" s="27" t="s">
        <v>3429</v>
      </c>
      <c r="P50" s="27" t="s">
        <v>3430</v>
      </c>
    </row>
    <row r="51" spans="1:16" ht="24" customHeight="1">
      <c r="A51" s="30">
        <v>45918</v>
      </c>
      <c r="B51" s="27" t="s">
        <v>216</v>
      </c>
      <c r="C51" s="27" t="s">
        <v>171</v>
      </c>
      <c r="D51" s="27"/>
      <c r="E51" s="10">
        <v>25</v>
      </c>
      <c r="F51" s="36" t="s">
        <v>263</v>
      </c>
      <c r="G51" s="27" t="s">
        <v>295</v>
      </c>
      <c r="H51" s="27" t="s">
        <v>296</v>
      </c>
      <c r="I51" s="27"/>
      <c r="J51" s="27"/>
      <c r="K51" s="27"/>
      <c r="L51" s="27"/>
      <c r="M51" s="27" t="s">
        <v>3206</v>
      </c>
      <c r="N51" s="1" t="s">
        <v>264</v>
      </c>
      <c r="O51" s="27"/>
      <c r="P51" s="27" t="s">
        <v>298</v>
      </c>
    </row>
    <row r="52" spans="1:16" ht="24" customHeight="1">
      <c r="A52" s="30">
        <v>45918</v>
      </c>
      <c r="B52" s="27" t="s">
        <v>216</v>
      </c>
      <c r="C52" s="27" t="s">
        <v>3410</v>
      </c>
      <c r="D52" s="27" t="s">
        <v>1246</v>
      </c>
      <c r="E52" s="10">
        <v>1</v>
      </c>
      <c r="F52" s="36" t="s">
        <v>263</v>
      </c>
      <c r="G52" s="27" t="s">
        <v>269</v>
      </c>
      <c r="H52" s="27" t="s">
        <v>270</v>
      </c>
      <c r="I52" s="27"/>
      <c r="J52" s="27"/>
      <c r="K52" s="27"/>
      <c r="L52" s="27"/>
      <c r="M52" s="27" t="s">
        <v>367</v>
      </c>
      <c r="N52" s="1" t="s">
        <v>264</v>
      </c>
      <c r="O52" s="27" t="s">
        <v>3411</v>
      </c>
      <c r="P52" s="27" t="s">
        <v>3412</v>
      </c>
    </row>
    <row r="53" spans="1:16" ht="24" customHeight="1">
      <c r="A53" s="30">
        <v>45919</v>
      </c>
      <c r="B53" s="27" t="s">
        <v>220</v>
      </c>
      <c r="C53" s="27" t="s">
        <v>171</v>
      </c>
      <c r="D53" s="27" t="s">
        <v>3431</v>
      </c>
      <c r="E53" s="10"/>
      <c r="F53" s="36" t="s">
        <v>263</v>
      </c>
      <c r="G53" s="27" t="s">
        <v>281</v>
      </c>
      <c r="H53" s="27" t="s">
        <v>429</v>
      </c>
      <c r="I53" s="27"/>
      <c r="J53" s="27"/>
      <c r="K53" s="27"/>
      <c r="L53" s="27"/>
      <c r="M53" s="27" t="s">
        <v>3331</v>
      </c>
      <c r="N53" s="1" t="s">
        <v>264</v>
      </c>
      <c r="O53" s="27"/>
      <c r="P53" s="27" t="s">
        <v>3432</v>
      </c>
    </row>
    <row r="54" spans="1:16" ht="24" customHeight="1">
      <c r="A54" s="30">
        <v>45919</v>
      </c>
      <c r="B54" s="27" t="s">
        <v>220</v>
      </c>
      <c r="C54" s="27" t="s">
        <v>171</v>
      </c>
      <c r="D54" s="27"/>
      <c r="E54" s="10"/>
      <c r="F54" s="36" t="s">
        <v>263</v>
      </c>
      <c r="G54" s="27" t="s">
        <v>295</v>
      </c>
      <c r="H54" s="27" t="s">
        <v>296</v>
      </c>
      <c r="I54" s="27"/>
      <c r="J54" s="27"/>
      <c r="K54" s="27"/>
      <c r="L54" s="27"/>
      <c r="M54" s="27" t="s">
        <v>3433</v>
      </c>
      <c r="N54" s="3" t="s">
        <v>312</v>
      </c>
      <c r="O54" s="27" t="s">
        <v>3434</v>
      </c>
      <c r="P54" s="27" t="s">
        <v>3435</v>
      </c>
    </row>
    <row r="55" spans="1:16" ht="24" customHeight="1">
      <c r="A55" s="30">
        <v>45919</v>
      </c>
      <c r="B55" s="27" t="s">
        <v>220</v>
      </c>
      <c r="C55" s="27" t="s">
        <v>171</v>
      </c>
      <c r="D55" s="27" t="s">
        <v>3436</v>
      </c>
      <c r="E55" s="10">
        <v>30</v>
      </c>
      <c r="F55" s="36" t="s">
        <v>263</v>
      </c>
      <c r="G55" s="27" t="s">
        <v>289</v>
      </c>
      <c r="H55" s="27" t="s">
        <v>270</v>
      </c>
      <c r="I55" s="27"/>
      <c r="J55" s="27"/>
      <c r="K55" s="27"/>
      <c r="L55" s="27"/>
      <c r="M55" s="27" t="s">
        <v>2970</v>
      </c>
      <c r="N55" s="3" t="s">
        <v>312</v>
      </c>
      <c r="O55" s="27"/>
      <c r="P55" s="27" t="s">
        <v>3437</v>
      </c>
    </row>
    <row r="56" spans="1:16" ht="24" customHeight="1">
      <c r="A56" s="30">
        <v>45920</v>
      </c>
      <c r="B56" s="27" t="s">
        <v>266</v>
      </c>
      <c r="C56" s="27" t="s">
        <v>300</v>
      </c>
      <c r="D56" s="27" t="s">
        <v>3438</v>
      </c>
      <c r="E56" s="10"/>
      <c r="F56" s="36" t="s">
        <v>263</v>
      </c>
      <c r="G56" s="27"/>
      <c r="H56" s="27"/>
      <c r="I56" s="27"/>
      <c r="J56" s="27"/>
      <c r="K56" s="27"/>
      <c r="L56" s="27"/>
      <c r="M56" s="27" t="s">
        <v>1025</v>
      </c>
      <c r="N56" s="1" t="s">
        <v>264</v>
      </c>
      <c r="O56" s="27"/>
      <c r="P56" s="27" t="s">
        <v>3439</v>
      </c>
    </row>
    <row r="57" spans="1:16" ht="24" customHeight="1">
      <c r="A57" s="30">
        <v>45921</v>
      </c>
      <c r="B57" s="27" t="s">
        <v>267</v>
      </c>
      <c r="C57" s="27"/>
      <c r="D57" s="27"/>
      <c r="E57" s="10"/>
      <c r="F57" s="36" t="s">
        <v>263</v>
      </c>
      <c r="G57" s="27"/>
      <c r="H57" s="27"/>
      <c r="I57" s="27"/>
      <c r="J57" s="27"/>
      <c r="K57" s="27"/>
      <c r="L57" s="27"/>
      <c r="M57" s="27"/>
      <c r="N57" s="1" t="s">
        <v>264</v>
      </c>
      <c r="O57" s="27"/>
      <c r="P57" s="27"/>
    </row>
    <row r="58" spans="1:16" ht="24" customHeight="1">
      <c r="A58" s="30">
        <v>45922</v>
      </c>
      <c r="B58" s="27" t="s">
        <v>224</v>
      </c>
      <c r="C58" s="27" t="s">
        <v>326</v>
      </c>
      <c r="D58" s="27" t="s">
        <v>2809</v>
      </c>
      <c r="E58" s="10">
        <v>37</v>
      </c>
      <c r="F58" s="36" t="s">
        <v>263</v>
      </c>
      <c r="G58" s="27" t="s">
        <v>269</v>
      </c>
      <c r="H58" s="27" t="s">
        <v>270</v>
      </c>
      <c r="I58" s="27"/>
      <c r="J58" s="27"/>
      <c r="K58" s="27"/>
      <c r="L58" s="27"/>
      <c r="M58" s="27" t="s">
        <v>237</v>
      </c>
      <c r="N58" s="1" t="s">
        <v>264</v>
      </c>
      <c r="O58" s="27" t="s">
        <v>3371</v>
      </c>
      <c r="P58" s="27" t="s">
        <v>298</v>
      </c>
    </row>
    <row r="59" spans="1:16" ht="24" customHeight="1">
      <c r="A59" s="30">
        <v>45923</v>
      </c>
      <c r="B59" s="27" t="s">
        <v>227</v>
      </c>
      <c r="C59" s="27" t="s">
        <v>171</v>
      </c>
      <c r="D59" s="27" t="s">
        <v>3440</v>
      </c>
      <c r="E59" s="10">
        <v>50</v>
      </c>
      <c r="F59" s="36" t="s">
        <v>263</v>
      </c>
      <c r="G59" s="27" t="s">
        <v>429</v>
      </c>
      <c r="H59" s="27" t="s">
        <v>354</v>
      </c>
      <c r="I59" s="27"/>
      <c r="J59" s="27"/>
      <c r="K59" s="27"/>
      <c r="L59" s="27"/>
      <c r="M59" s="27" t="s">
        <v>3441</v>
      </c>
      <c r="N59" s="1" t="s">
        <v>264</v>
      </c>
      <c r="O59" s="27" t="s">
        <v>3442</v>
      </c>
      <c r="P59" s="27" t="s">
        <v>298</v>
      </c>
    </row>
    <row r="60" spans="1:16" ht="24" customHeight="1">
      <c r="A60" s="30">
        <v>45923</v>
      </c>
      <c r="B60" s="27" t="s">
        <v>227</v>
      </c>
      <c r="C60" s="27" t="s">
        <v>171</v>
      </c>
      <c r="D60" s="27" t="s">
        <v>358</v>
      </c>
      <c r="E60" s="10">
        <v>40</v>
      </c>
      <c r="F60" s="36" t="s">
        <v>263</v>
      </c>
      <c r="G60" s="27" t="s">
        <v>295</v>
      </c>
      <c r="H60" s="27" t="s">
        <v>296</v>
      </c>
      <c r="I60" s="27"/>
      <c r="J60" s="27"/>
      <c r="K60" s="27"/>
      <c r="L60" s="27"/>
      <c r="M60" s="27" t="s">
        <v>3374</v>
      </c>
      <c r="N60" s="1" t="s">
        <v>264</v>
      </c>
      <c r="O60" s="27" t="s">
        <v>3375</v>
      </c>
      <c r="P60" s="27" t="s">
        <v>298</v>
      </c>
    </row>
    <row r="61" spans="1:16" ht="24" customHeight="1">
      <c r="A61" s="30">
        <v>45924</v>
      </c>
      <c r="B61" s="27" t="s">
        <v>201</v>
      </c>
      <c r="C61" s="27" t="s">
        <v>171</v>
      </c>
      <c r="D61" s="27" t="s">
        <v>3443</v>
      </c>
      <c r="E61" s="10"/>
      <c r="F61" s="36" t="s">
        <v>263</v>
      </c>
      <c r="G61" s="27" t="s">
        <v>506</v>
      </c>
      <c r="H61" s="27" t="s">
        <v>2009</v>
      </c>
      <c r="I61" s="27"/>
      <c r="J61" s="27"/>
      <c r="K61" s="27"/>
      <c r="L61" s="27"/>
      <c r="M61" s="27" t="s">
        <v>3444</v>
      </c>
      <c r="N61" s="1" t="s">
        <v>264</v>
      </c>
      <c r="O61" s="27" t="s">
        <v>3287</v>
      </c>
      <c r="P61" s="27" t="s">
        <v>3445</v>
      </c>
    </row>
    <row r="62" spans="1:16" ht="24" customHeight="1">
      <c r="A62" s="30">
        <v>45924</v>
      </c>
      <c r="B62" s="27" t="s">
        <v>201</v>
      </c>
      <c r="C62" s="27" t="s">
        <v>326</v>
      </c>
      <c r="D62" s="27" t="s">
        <v>236</v>
      </c>
      <c r="E62" s="10">
        <v>5</v>
      </c>
      <c r="F62" s="36" t="s">
        <v>263</v>
      </c>
      <c r="G62" s="27" t="s">
        <v>269</v>
      </c>
      <c r="H62" s="27" t="s">
        <v>270</v>
      </c>
      <c r="I62" s="27"/>
      <c r="J62" s="27"/>
      <c r="K62" s="27"/>
      <c r="L62" s="27"/>
      <c r="M62" s="27" t="s">
        <v>237</v>
      </c>
      <c r="N62" s="1" t="s">
        <v>264</v>
      </c>
      <c r="O62" s="27"/>
      <c r="P62" s="27" t="s">
        <v>3446</v>
      </c>
    </row>
    <row r="63" spans="1:16" ht="24" customHeight="1">
      <c r="A63" s="30">
        <v>45924</v>
      </c>
      <c r="B63" s="27" t="s">
        <v>201</v>
      </c>
      <c r="C63" s="27" t="s">
        <v>171</v>
      </c>
      <c r="D63" s="27" t="s">
        <v>3447</v>
      </c>
      <c r="E63" s="10">
        <v>40</v>
      </c>
      <c r="F63" s="36" t="s">
        <v>263</v>
      </c>
      <c r="G63" s="27" t="s">
        <v>275</v>
      </c>
      <c r="H63" s="27" t="s">
        <v>309</v>
      </c>
      <c r="I63" s="27"/>
      <c r="J63" s="27"/>
      <c r="K63" s="27"/>
      <c r="L63" s="27"/>
      <c r="M63" s="27" t="s">
        <v>3009</v>
      </c>
      <c r="N63" s="3" t="s">
        <v>312</v>
      </c>
      <c r="O63" s="27"/>
      <c r="P63" s="27" t="s">
        <v>298</v>
      </c>
    </row>
    <row r="64" spans="1:16" ht="24" customHeight="1">
      <c r="A64" s="30">
        <v>45924</v>
      </c>
      <c r="B64" s="27" t="s">
        <v>201</v>
      </c>
      <c r="C64" s="27" t="s">
        <v>2820</v>
      </c>
      <c r="D64" s="27" t="s">
        <v>3448</v>
      </c>
      <c r="E64" s="10">
        <v>150</v>
      </c>
      <c r="F64" s="38" t="s">
        <v>294</v>
      </c>
      <c r="G64" s="27" t="s">
        <v>295</v>
      </c>
      <c r="H64" s="27" t="s">
        <v>296</v>
      </c>
      <c r="I64" s="27"/>
      <c r="J64" s="27"/>
      <c r="K64" s="27"/>
      <c r="L64" s="27"/>
      <c r="M64" s="27"/>
      <c r="N64" s="1" t="s">
        <v>264</v>
      </c>
      <c r="O64" s="27"/>
      <c r="P64" s="27"/>
    </row>
    <row r="65" spans="1:16" ht="24" customHeight="1">
      <c r="A65" s="30">
        <v>45924</v>
      </c>
      <c r="B65" s="27" t="s">
        <v>201</v>
      </c>
      <c r="C65" s="27" t="s">
        <v>171</v>
      </c>
      <c r="D65" s="27" t="s">
        <v>3447</v>
      </c>
      <c r="E65" s="10">
        <v>40</v>
      </c>
      <c r="F65" s="36" t="s">
        <v>263</v>
      </c>
      <c r="G65" s="27" t="s">
        <v>411</v>
      </c>
      <c r="H65" s="27" t="s">
        <v>1941</v>
      </c>
      <c r="I65" s="27"/>
      <c r="J65" s="27"/>
      <c r="K65" s="27"/>
      <c r="L65" s="27"/>
      <c r="M65" s="27" t="s">
        <v>367</v>
      </c>
      <c r="N65" s="1" t="s">
        <v>264</v>
      </c>
      <c r="O65" s="27"/>
      <c r="P65" s="27" t="s">
        <v>298</v>
      </c>
    </row>
    <row r="66" spans="1:16" ht="24" customHeight="1">
      <c r="A66" s="30">
        <v>45924</v>
      </c>
      <c r="B66" s="27" t="s">
        <v>201</v>
      </c>
      <c r="C66" s="27" t="s">
        <v>3449</v>
      </c>
      <c r="D66" s="27" t="s">
        <v>1246</v>
      </c>
      <c r="E66" s="10">
        <v>4</v>
      </c>
      <c r="F66" s="36" t="s">
        <v>263</v>
      </c>
      <c r="G66" s="27" t="s">
        <v>269</v>
      </c>
      <c r="H66" s="27" t="s">
        <v>270</v>
      </c>
      <c r="I66" s="27"/>
      <c r="J66" s="27"/>
      <c r="K66" s="27"/>
      <c r="L66" s="27"/>
      <c r="M66" s="27" t="s">
        <v>3450</v>
      </c>
      <c r="N66" s="1" t="s">
        <v>264</v>
      </c>
      <c r="O66" s="27"/>
      <c r="P66" s="27" t="s">
        <v>3451</v>
      </c>
    </row>
    <row r="67" spans="1:16" ht="24" customHeight="1">
      <c r="A67" s="30">
        <v>45924</v>
      </c>
      <c r="B67" s="27" t="s">
        <v>201</v>
      </c>
      <c r="C67" s="27" t="s">
        <v>954</v>
      </c>
      <c r="D67" s="27" t="s">
        <v>3452</v>
      </c>
      <c r="E67" s="10">
        <v>30</v>
      </c>
      <c r="F67" s="36" t="s">
        <v>263</v>
      </c>
      <c r="G67" s="27" t="s">
        <v>429</v>
      </c>
      <c r="H67" s="27" t="s">
        <v>275</v>
      </c>
      <c r="I67" s="27"/>
      <c r="J67" s="27"/>
      <c r="K67" s="27"/>
      <c r="L67" s="27"/>
      <c r="M67" s="27" t="s">
        <v>3009</v>
      </c>
      <c r="N67" s="1" t="s">
        <v>264</v>
      </c>
      <c r="O67" s="27"/>
      <c r="P67" s="27" t="s">
        <v>298</v>
      </c>
    </row>
    <row r="68" spans="1:16" ht="24" customHeight="1">
      <c r="A68" s="30">
        <v>45924</v>
      </c>
      <c r="B68" s="27" t="s">
        <v>201</v>
      </c>
      <c r="C68" s="27" t="s">
        <v>171</v>
      </c>
      <c r="D68" s="27" t="s">
        <v>3453</v>
      </c>
      <c r="E68" s="10">
        <v>60</v>
      </c>
      <c r="F68" s="36" t="s">
        <v>263</v>
      </c>
      <c r="G68" s="27" t="s">
        <v>354</v>
      </c>
      <c r="H68" s="27" t="s">
        <v>270</v>
      </c>
      <c r="I68" s="27"/>
      <c r="J68" s="27"/>
      <c r="K68" s="27"/>
      <c r="L68" s="27"/>
      <c r="M68" s="27" t="s">
        <v>3454</v>
      </c>
      <c r="N68" s="3" t="s">
        <v>312</v>
      </c>
      <c r="O68" s="27" t="s">
        <v>3455</v>
      </c>
      <c r="P68" s="27" t="s">
        <v>3456</v>
      </c>
    </row>
    <row r="69" spans="1:16" ht="24" customHeight="1">
      <c r="A69" s="30">
        <v>45925</v>
      </c>
      <c r="B69" s="27" t="s">
        <v>216</v>
      </c>
      <c r="C69" s="27" t="s">
        <v>171</v>
      </c>
      <c r="D69" s="27" t="s">
        <v>2809</v>
      </c>
      <c r="E69" s="10"/>
      <c r="F69" s="36" t="s">
        <v>263</v>
      </c>
      <c r="G69" s="27" t="s">
        <v>269</v>
      </c>
      <c r="H69" s="27" t="s">
        <v>270</v>
      </c>
      <c r="I69" s="27"/>
      <c r="J69" s="27"/>
      <c r="K69" s="27"/>
      <c r="L69" s="27"/>
      <c r="M69" s="27" t="s">
        <v>2584</v>
      </c>
      <c r="N69" s="1" t="s">
        <v>264</v>
      </c>
      <c r="O69" s="27" t="s">
        <v>3371</v>
      </c>
      <c r="P69" s="27"/>
    </row>
    <row r="70" spans="1:16" ht="24" customHeight="1">
      <c r="A70" s="30">
        <v>45925</v>
      </c>
      <c r="B70" s="27" t="s">
        <v>216</v>
      </c>
      <c r="C70" s="27" t="s">
        <v>171</v>
      </c>
      <c r="D70" s="27" t="s">
        <v>3169</v>
      </c>
      <c r="E70" s="10">
        <v>40</v>
      </c>
      <c r="F70" s="36" t="s">
        <v>263</v>
      </c>
      <c r="G70" s="27" t="s">
        <v>289</v>
      </c>
      <c r="H70" s="27" t="s">
        <v>359</v>
      </c>
      <c r="I70" s="27"/>
      <c r="J70" s="27"/>
      <c r="K70" s="27"/>
      <c r="L70" s="27"/>
      <c r="M70" s="27" t="s">
        <v>237</v>
      </c>
      <c r="N70" s="1" t="s">
        <v>264</v>
      </c>
      <c r="O70" s="27" t="s">
        <v>3457</v>
      </c>
      <c r="P70" s="27" t="s">
        <v>321</v>
      </c>
    </row>
    <row r="71" spans="1:16" ht="24" customHeight="1">
      <c r="A71" s="30">
        <v>45925</v>
      </c>
      <c r="B71" s="27" t="s">
        <v>216</v>
      </c>
      <c r="C71" s="27" t="s">
        <v>239</v>
      </c>
      <c r="D71" s="27" t="s">
        <v>3458</v>
      </c>
      <c r="E71" s="10">
        <v>100</v>
      </c>
      <c r="F71" s="38" t="s">
        <v>294</v>
      </c>
      <c r="G71" s="27" t="s">
        <v>981</v>
      </c>
      <c r="H71" s="27" t="s">
        <v>290</v>
      </c>
      <c r="I71" s="27"/>
      <c r="J71" s="27"/>
      <c r="K71" s="27"/>
      <c r="L71" s="27"/>
      <c r="M71" s="27" t="s">
        <v>651</v>
      </c>
      <c r="N71" s="1" t="s">
        <v>264</v>
      </c>
      <c r="O71" s="27" t="s">
        <v>3429</v>
      </c>
      <c r="P71" s="27" t="s">
        <v>321</v>
      </c>
    </row>
    <row r="72" spans="1:16" ht="24" customHeight="1">
      <c r="A72" s="30">
        <v>45925</v>
      </c>
      <c r="B72" s="27" t="s">
        <v>216</v>
      </c>
      <c r="C72" s="27" t="s">
        <v>3459</v>
      </c>
      <c r="D72" s="27" t="s">
        <v>3460</v>
      </c>
      <c r="E72" s="10">
        <v>1</v>
      </c>
      <c r="F72" s="36" t="s">
        <v>263</v>
      </c>
      <c r="G72" s="27" t="s">
        <v>290</v>
      </c>
      <c r="H72" s="27" t="s">
        <v>1320</v>
      </c>
      <c r="I72" s="27"/>
      <c r="J72" s="27"/>
      <c r="K72" s="27"/>
      <c r="L72" s="27"/>
      <c r="M72" s="27" t="s">
        <v>3009</v>
      </c>
      <c r="N72" s="1" t="s">
        <v>264</v>
      </c>
      <c r="O72" s="27" t="s">
        <v>3442</v>
      </c>
      <c r="P72" s="27" t="s">
        <v>3461</v>
      </c>
    </row>
    <row r="73" spans="1:16" ht="24" customHeight="1">
      <c r="A73" s="30">
        <v>45926</v>
      </c>
      <c r="B73" s="27" t="s">
        <v>220</v>
      </c>
      <c r="C73" s="27" t="s">
        <v>171</v>
      </c>
      <c r="D73" s="27" t="s">
        <v>2944</v>
      </c>
      <c r="E73" s="10">
        <v>60</v>
      </c>
      <c r="F73" s="36" t="s">
        <v>263</v>
      </c>
      <c r="G73" s="27" t="s">
        <v>289</v>
      </c>
      <c r="H73" s="27" t="s">
        <v>296</v>
      </c>
      <c r="I73" s="27"/>
      <c r="J73" s="27"/>
      <c r="K73" s="27"/>
      <c r="L73" s="27"/>
      <c r="M73" s="27" t="s">
        <v>367</v>
      </c>
      <c r="N73" s="1" t="s">
        <v>264</v>
      </c>
      <c r="O73" s="27" t="s">
        <v>3462</v>
      </c>
      <c r="P73" s="27" t="s">
        <v>3463</v>
      </c>
    </row>
    <row r="74" spans="1:16" ht="24" customHeight="1">
      <c r="A74" s="30">
        <v>45926</v>
      </c>
      <c r="B74" s="27" t="s">
        <v>220</v>
      </c>
      <c r="C74" s="27" t="s">
        <v>3464</v>
      </c>
      <c r="D74" s="27" t="s">
        <v>3465</v>
      </c>
      <c r="E74" s="10">
        <v>80</v>
      </c>
      <c r="F74" s="36" t="s">
        <v>263</v>
      </c>
      <c r="G74" s="27" t="s">
        <v>295</v>
      </c>
      <c r="H74" s="27" t="s">
        <v>296</v>
      </c>
      <c r="I74" s="27"/>
      <c r="J74" s="27"/>
      <c r="K74" s="27"/>
      <c r="L74" s="27"/>
      <c r="M74" s="27" t="s">
        <v>1435</v>
      </c>
      <c r="N74" s="3" t="s">
        <v>312</v>
      </c>
      <c r="O74" s="27" t="s">
        <v>3287</v>
      </c>
      <c r="P74" s="27" t="s">
        <v>3466</v>
      </c>
    </row>
    <row r="75" spans="1:16" ht="24" customHeight="1">
      <c r="A75" s="30">
        <v>45927</v>
      </c>
      <c r="B75" s="27" t="s">
        <v>266</v>
      </c>
      <c r="C75" s="27" t="s">
        <v>3467</v>
      </c>
      <c r="D75" s="27" t="s">
        <v>300</v>
      </c>
      <c r="E75" s="10"/>
      <c r="F75" s="36" t="s">
        <v>263</v>
      </c>
      <c r="G75" s="27" t="s">
        <v>269</v>
      </c>
      <c r="H75" s="27" t="s">
        <v>270</v>
      </c>
      <c r="I75" s="27"/>
      <c r="J75" s="27"/>
      <c r="K75" s="27"/>
      <c r="L75" s="27"/>
      <c r="M75" s="27" t="s">
        <v>2626</v>
      </c>
      <c r="N75" s="1" t="s">
        <v>264</v>
      </c>
      <c r="O75" s="27"/>
      <c r="P75" s="27" t="s">
        <v>3468</v>
      </c>
    </row>
    <row r="76" spans="1:16" ht="24" customHeight="1">
      <c r="A76" s="30">
        <v>45928</v>
      </c>
      <c r="B76" s="27" t="s">
        <v>267</v>
      </c>
      <c r="C76" s="27"/>
      <c r="D76" s="27"/>
      <c r="E76" s="10"/>
      <c r="F76" s="36" t="s">
        <v>263</v>
      </c>
      <c r="G76" s="27"/>
      <c r="H76" s="27"/>
      <c r="I76" s="27"/>
      <c r="J76" s="27"/>
      <c r="K76" s="27"/>
      <c r="L76" s="27"/>
      <c r="M76" s="27"/>
      <c r="N76" s="1" t="s">
        <v>264</v>
      </c>
      <c r="O76" s="27"/>
      <c r="P76" s="27"/>
    </row>
    <row r="77" spans="1:16" ht="24" customHeight="1">
      <c r="A77" s="30">
        <v>45929</v>
      </c>
      <c r="B77" s="27" t="s">
        <v>224</v>
      </c>
      <c r="C77" s="27" t="s">
        <v>462</v>
      </c>
      <c r="D77" s="27" t="s">
        <v>2809</v>
      </c>
      <c r="E77" s="10"/>
      <c r="F77" s="36" t="s">
        <v>263</v>
      </c>
      <c r="G77" s="27" t="s">
        <v>269</v>
      </c>
      <c r="H77" s="27" t="s">
        <v>270</v>
      </c>
      <c r="I77" s="27"/>
      <c r="J77" s="27"/>
      <c r="K77" s="27"/>
      <c r="L77" s="27"/>
      <c r="M77" s="27" t="s">
        <v>2584</v>
      </c>
      <c r="N77" s="1" t="s">
        <v>264</v>
      </c>
      <c r="O77" s="27" t="s">
        <v>3371</v>
      </c>
      <c r="P77" s="27"/>
    </row>
    <row r="78" spans="1:16" ht="24" customHeight="1">
      <c r="A78" s="30">
        <v>45929</v>
      </c>
      <c r="B78" s="27" t="s">
        <v>224</v>
      </c>
      <c r="C78" s="27" t="s">
        <v>954</v>
      </c>
      <c r="D78" s="27" t="s">
        <v>874</v>
      </c>
      <c r="E78" s="10">
        <v>30</v>
      </c>
      <c r="F78" s="36" t="s">
        <v>263</v>
      </c>
      <c r="G78" s="27" t="s">
        <v>275</v>
      </c>
      <c r="H78" s="27" t="s">
        <v>309</v>
      </c>
      <c r="I78" s="27"/>
      <c r="J78" s="27"/>
      <c r="K78" s="27"/>
      <c r="L78" s="27"/>
      <c r="M78" s="27" t="s">
        <v>370</v>
      </c>
      <c r="N78" s="1" t="s">
        <v>264</v>
      </c>
      <c r="O78" s="27" t="s">
        <v>3469</v>
      </c>
      <c r="P78" s="27" t="s">
        <v>298</v>
      </c>
    </row>
    <row r="79" spans="1:16" ht="24" customHeight="1">
      <c r="A79" s="30">
        <v>45930</v>
      </c>
      <c r="B79" s="27" t="s">
        <v>227</v>
      </c>
      <c r="C79" s="27" t="s">
        <v>171</v>
      </c>
      <c r="D79" s="27" t="s">
        <v>358</v>
      </c>
      <c r="E79" s="10">
        <v>40</v>
      </c>
      <c r="F79" s="36" t="s">
        <v>263</v>
      </c>
      <c r="G79" s="27" t="s">
        <v>896</v>
      </c>
      <c r="H79" s="27" t="s">
        <v>289</v>
      </c>
      <c r="I79" s="27"/>
      <c r="J79" s="27"/>
      <c r="K79" s="27"/>
      <c r="L79" s="27"/>
      <c r="M79" s="27" t="s">
        <v>3374</v>
      </c>
      <c r="N79" s="1" t="s">
        <v>264</v>
      </c>
      <c r="O79" s="27" t="s">
        <v>3375</v>
      </c>
      <c r="P79" s="27"/>
    </row>
    <row r="80" spans="1:16" ht="24" customHeight="1">
      <c r="A80" s="30">
        <v>45930</v>
      </c>
      <c r="B80" s="27" t="s">
        <v>227</v>
      </c>
      <c r="C80" s="27" t="s">
        <v>171</v>
      </c>
      <c r="D80" s="27" t="s">
        <v>658</v>
      </c>
      <c r="E80" s="10">
        <v>40</v>
      </c>
      <c r="F80" s="36" t="s">
        <v>263</v>
      </c>
      <c r="G80" s="27" t="s">
        <v>896</v>
      </c>
      <c r="H80" s="27" t="s">
        <v>503</v>
      </c>
      <c r="I80" s="27"/>
      <c r="J80" s="27"/>
      <c r="K80" s="27"/>
      <c r="L80" s="27"/>
      <c r="M80" s="27" t="s">
        <v>688</v>
      </c>
      <c r="N80" s="1" t="s">
        <v>264</v>
      </c>
      <c r="O80" s="27" t="s">
        <v>3470</v>
      </c>
      <c r="P80" s="27" t="s">
        <v>3471</v>
      </c>
    </row>
  </sheetData>
  <mergeCells count="3">
    <mergeCell ref="A1:C1"/>
    <mergeCell ref="D1:K1"/>
    <mergeCell ref="L1:P1"/>
  </mergeCells>
  <dataValidations count="2">
    <dataValidation type="list" allowBlank="1" sqref="M3:M130 N3:N80" xr:uid="{00000000-0002-0000-2500-000000000000}">
      <formula1>"Confirmed (Done),Pending Calendar Booking,Canceled"</formula1>
    </dataValidation>
    <dataValidation type="list" allowBlank="1" sqref="F3:F80" xr:uid="{00000000-0002-0000-2500-000001000000}">
      <formula1>"Big Event,Small Event"</formula1>
    </dataValidation>
  </dataValidations>
  <hyperlinks>
    <hyperlink ref="A1" location="'Dashboard'!A1" display="🏠 ⮌ RETURN TO DASHBOARD" xr:uid="{00000000-0004-0000-2500-000000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Q35"/>
  <sheetViews>
    <sheetView workbookViewId="0">
      <pane ySplit="2" topLeftCell="A3" activePane="bottomLeft" state="frozen"/>
      <selection pane="bottomLeft"/>
    </sheetView>
  </sheetViews>
  <sheetFormatPr defaultRowHeight="14.45"/>
  <cols>
    <col min="1" max="1" width="15" customWidth="1"/>
    <col min="2" max="2" width="12" customWidth="1"/>
    <col min="3" max="3" width="22" customWidth="1"/>
    <col min="4" max="4" width="25" customWidth="1"/>
    <col min="5" max="5" width="28" customWidth="1"/>
    <col min="6" max="6" width="21" customWidth="1"/>
    <col min="7" max="7" width="15" customWidth="1"/>
    <col min="8" max="8" width="19" customWidth="1"/>
    <col min="9" max="9" width="17" customWidth="1"/>
    <col min="10" max="10" width="18" customWidth="1"/>
    <col min="11" max="12" width="22" customWidth="1"/>
    <col min="13" max="13" width="25" customWidth="1"/>
    <col min="14" max="14" width="31" customWidth="1"/>
    <col min="15" max="15" width="25" customWidth="1"/>
    <col min="16" max="16" width="32" customWidth="1"/>
    <col min="17" max="17" width="19" customWidth="1"/>
  </cols>
  <sheetData>
    <row r="1" spans="1:17" ht="27.95" customHeight="1">
      <c r="A1" s="62" t="s">
        <v>2138</v>
      </c>
      <c r="B1" s="134"/>
      <c r="C1" s="135"/>
      <c r="D1" s="63" t="s">
        <v>3472</v>
      </c>
      <c r="E1" s="134"/>
      <c r="F1" s="134"/>
      <c r="G1" s="134"/>
      <c r="H1" s="134"/>
      <c r="I1" s="134"/>
      <c r="J1" s="134"/>
      <c r="K1" s="135"/>
      <c r="L1" s="61" t="s">
        <v>244</v>
      </c>
      <c r="M1" s="134"/>
      <c r="N1" s="134"/>
      <c r="O1" s="134"/>
      <c r="P1" s="134"/>
      <c r="Q1" s="135"/>
    </row>
    <row r="2" spans="1:17" ht="27.95" customHeight="1">
      <c r="A2" s="35" t="s">
        <v>246</v>
      </c>
      <c r="B2" s="35" t="s">
        <v>189</v>
      </c>
      <c r="C2" s="35" t="s">
        <v>190</v>
      </c>
      <c r="D2" s="35" t="s">
        <v>247</v>
      </c>
      <c r="E2" s="35" t="s">
        <v>2140</v>
      </c>
      <c r="F2" s="35" t="s">
        <v>2141</v>
      </c>
      <c r="G2" s="35" t="s">
        <v>251</v>
      </c>
      <c r="H2" s="35" t="s">
        <v>2142</v>
      </c>
      <c r="I2" s="35" t="s">
        <v>2143</v>
      </c>
      <c r="J2" s="35" t="s">
        <v>2144</v>
      </c>
      <c r="K2" s="35" t="s">
        <v>255</v>
      </c>
      <c r="L2" s="35" t="s">
        <v>193</v>
      </c>
      <c r="M2" s="35" t="s">
        <v>256</v>
      </c>
      <c r="N2" s="35" t="s">
        <v>259</v>
      </c>
      <c r="O2" s="35" t="s">
        <v>194</v>
      </c>
      <c r="P2" s="35" t="s">
        <v>260</v>
      </c>
      <c r="Q2" s="35" t="s">
        <v>261</v>
      </c>
    </row>
    <row r="3" spans="1:17" ht="24" customHeight="1">
      <c r="A3" s="30">
        <v>45901</v>
      </c>
      <c r="B3" s="27" t="s">
        <v>224</v>
      </c>
      <c r="C3" s="27"/>
      <c r="D3" s="27"/>
      <c r="E3" s="27"/>
      <c r="F3" s="10"/>
      <c r="G3" s="36" t="s">
        <v>263</v>
      </c>
      <c r="H3" s="27"/>
      <c r="I3" s="27"/>
      <c r="J3" s="27"/>
      <c r="K3" s="27"/>
      <c r="L3" s="27"/>
      <c r="M3" s="27"/>
      <c r="N3" s="27"/>
      <c r="O3" s="1" t="s">
        <v>264</v>
      </c>
      <c r="P3" s="27"/>
      <c r="Q3" s="27"/>
    </row>
    <row r="4" spans="1:17" ht="24" customHeight="1">
      <c r="A4" s="30">
        <v>45902</v>
      </c>
      <c r="B4" s="27" t="s">
        <v>227</v>
      </c>
      <c r="C4" s="27"/>
      <c r="D4" s="27"/>
      <c r="E4" s="27"/>
      <c r="F4" s="10"/>
      <c r="G4" s="36" t="s">
        <v>263</v>
      </c>
      <c r="H4" s="27"/>
      <c r="I4" s="27"/>
      <c r="J4" s="27"/>
      <c r="K4" s="27"/>
      <c r="L4" s="27"/>
      <c r="M4" s="27"/>
      <c r="N4" s="27"/>
      <c r="O4" s="1" t="s">
        <v>264</v>
      </c>
      <c r="P4" s="27"/>
      <c r="Q4" s="27"/>
    </row>
    <row r="5" spans="1:17" ht="24" customHeight="1">
      <c r="A5" s="30">
        <v>45903</v>
      </c>
      <c r="B5" s="27" t="s">
        <v>201</v>
      </c>
      <c r="C5" s="27"/>
      <c r="D5" s="27"/>
      <c r="E5" s="27"/>
      <c r="F5" s="10"/>
      <c r="G5" s="36" t="s">
        <v>263</v>
      </c>
      <c r="H5" s="27"/>
      <c r="I5" s="27"/>
      <c r="J5" s="27"/>
      <c r="K5" s="27"/>
      <c r="L5" s="27"/>
      <c r="M5" s="27"/>
      <c r="N5" s="27"/>
      <c r="O5" s="1" t="s">
        <v>264</v>
      </c>
      <c r="P5" s="27"/>
      <c r="Q5" s="27"/>
    </row>
    <row r="6" spans="1:17" ht="24" customHeight="1">
      <c r="A6" s="30">
        <v>45904</v>
      </c>
      <c r="B6" s="27" t="s">
        <v>216</v>
      </c>
      <c r="C6" s="27"/>
      <c r="D6" s="27"/>
      <c r="E6" s="27"/>
      <c r="F6" s="10"/>
      <c r="G6" s="36" t="s">
        <v>263</v>
      </c>
      <c r="H6" s="27"/>
      <c r="I6" s="27"/>
      <c r="J6" s="27"/>
      <c r="K6" s="27"/>
      <c r="L6" s="27"/>
      <c r="M6" s="27"/>
      <c r="N6" s="27"/>
      <c r="O6" s="1" t="s">
        <v>264</v>
      </c>
      <c r="P6" s="27"/>
      <c r="Q6" s="27"/>
    </row>
    <row r="7" spans="1:17" ht="24" customHeight="1">
      <c r="A7" s="30">
        <v>45905</v>
      </c>
      <c r="B7" s="27" t="s">
        <v>220</v>
      </c>
      <c r="C7" s="27"/>
      <c r="D7" s="27"/>
      <c r="E7" s="27"/>
      <c r="F7" s="10"/>
      <c r="G7" s="36" t="s">
        <v>263</v>
      </c>
      <c r="H7" s="27"/>
      <c r="I7" s="27"/>
      <c r="J7" s="27"/>
      <c r="K7" s="27"/>
      <c r="L7" s="27"/>
      <c r="M7" s="27"/>
      <c r="N7" s="27"/>
      <c r="O7" s="1" t="s">
        <v>264</v>
      </c>
      <c r="P7" s="27"/>
      <c r="Q7" s="27"/>
    </row>
    <row r="8" spans="1:17" ht="24" customHeight="1">
      <c r="A8" s="30">
        <v>45906</v>
      </c>
      <c r="B8" s="27" t="s">
        <v>266</v>
      </c>
      <c r="C8" s="27"/>
      <c r="D8" s="27"/>
      <c r="E8" s="27"/>
      <c r="F8" s="10"/>
      <c r="G8" s="36" t="s">
        <v>263</v>
      </c>
      <c r="H8" s="27"/>
      <c r="I8" s="27"/>
      <c r="J8" s="27"/>
      <c r="K8" s="27"/>
      <c r="L8" s="27"/>
      <c r="M8" s="27"/>
      <c r="N8" s="27"/>
      <c r="O8" s="1" t="s">
        <v>264</v>
      </c>
      <c r="P8" s="27"/>
      <c r="Q8" s="27"/>
    </row>
    <row r="9" spans="1:17" ht="24" customHeight="1">
      <c r="A9" s="30">
        <v>45907</v>
      </c>
      <c r="B9" s="27" t="s">
        <v>267</v>
      </c>
      <c r="C9" s="27"/>
      <c r="D9" s="27"/>
      <c r="E9" s="27"/>
      <c r="F9" s="10"/>
      <c r="G9" s="36" t="s">
        <v>263</v>
      </c>
      <c r="H9" s="27"/>
      <c r="I9" s="27"/>
      <c r="J9" s="27"/>
      <c r="K9" s="27"/>
      <c r="L9" s="27"/>
      <c r="M9" s="27"/>
      <c r="N9" s="27"/>
      <c r="O9" s="1" t="s">
        <v>264</v>
      </c>
      <c r="P9" s="27"/>
      <c r="Q9" s="27"/>
    </row>
    <row r="10" spans="1:17" ht="24" customHeight="1">
      <c r="A10" s="30">
        <v>45908</v>
      </c>
      <c r="B10" s="27" t="s">
        <v>224</v>
      </c>
      <c r="C10" s="27"/>
      <c r="D10" s="27"/>
      <c r="E10" s="27"/>
      <c r="F10" s="10"/>
      <c r="G10" s="36" t="s">
        <v>263</v>
      </c>
      <c r="H10" s="27"/>
      <c r="I10" s="27"/>
      <c r="J10" s="27"/>
      <c r="K10" s="27"/>
      <c r="L10" s="27"/>
      <c r="M10" s="27"/>
      <c r="N10" s="27"/>
      <c r="O10" s="1" t="s">
        <v>264</v>
      </c>
      <c r="P10" s="27"/>
      <c r="Q10" s="27"/>
    </row>
    <row r="11" spans="1:17" ht="24" customHeight="1">
      <c r="A11" s="30">
        <v>45909</v>
      </c>
      <c r="B11" s="27" t="s">
        <v>227</v>
      </c>
      <c r="C11" s="27"/>
      <c r="D11" s="27"/>
      <c r="E11" s="27"/>
      <c r="F11" s="10"/>
      <c r="G11" s="36" t="s">
        <v>263</v>
      </c>
      <c r="H11" s="27"/>
      <c r="I11" s="27"/>
      <c r="J11" s="27"/>
      <c r="K11" s="27"/>
      <c r="L11" s="27"/>
      <c r="M11" s="27"/>
      <c r="N11" s="27"/>
      <c r="O11" s="1" t="s">
        <v>264</v>
      </c>
      <c r="P11" s="27"/>
      <c r="Q11" s="27"/>
    </row>
    <row r="12" spans="1:17" ht="24" customHeight="1">
      <c r="A12" s="30">
        <v>45910</v>
      </c>
      <c r="B12" s="27" t="s">
        <v>201</v>
      </c>
      <c r="C12" s="27"/>
      <c r="D12" s="27"/>
      <c r="E12" s="27"/>
      <c r="F12" s="10"/>
      <c r="G12" s="36" t="s">
        <v>263</v>
      </c>
      <c r="H12" s="27"/>
      <c r="I12" s="27"/>
      <c r="J12" s="27"/>
      <c r="K12" s="27"/>
      <c r="L12" s="27"/>
      <c r="M12" s="27"/>
      <c r="N12" s="27"/>
      <c r="O12" s="1" t="s">
        <v>264</v>
      </c>
      <c r="P12" s="27"/>
      <c r="Q12" s="27"/>
    </row>
    <row r="13" spans="1:17" ht="24" customHeight="1">
      <c r="A13" s="30">
        <v>45911</v>
      </c>
      <c r="B13" s="27" t="s">
        <v>216</v>
      </c>
      <c r="C13" s="27"/>
      <c r="D13" s="27"/>
      <c r="E13" s="27"/>
      <c r="F13" s="10"/>
      <c r="G13" s="36" t="s">
        <v>263</v>
      </c>
      <c r="H13" s="27"/>
      <c r="I13" s="27"/>
      <c r="J13" s="27"/>
      <c r="K13" s="27"/>
      <c r="L13" s="27"/>
      <c r="M13" s="27"/>
      <c r="N13" s="27"/>
      <c r="O13" s="1" t="s">
        <v>264</v>
      </c>
      <c r="P13" s="27"/>
      <c r="Q13" s="27"/>
    </row>
    <row r="14" spans="1:17" ht="24" customHeight="1">
      <c r="A14" s="30">
        <v>45912</v>
      </c>
      <c r="B14" s="27" t="s">
        <v>220</v>
      </c>
      <c r="C14" s="27"/>
      <c r="D14" s="27"/>
      <c r="E14" s="27"/>
      <c r="F14" s="10"/>
      <c r="G14" s="36" t="s">
        <v>263</v>
      </c>
      <c r="H14" s="27"/>
      <c r="I14" s="27"/>
      <c r="J14" s="27"/>
      <c r="K14" s="27"/>
      <c r="L14" s="27"/>
      <c r="M14" s="27"/>
      <c r="N14" s="27"/>
      <c r="O14" s="1" t="s">
        <v>264</v>
      </c>
      <c r="P14" s="27"/>
      <c r="Q14" s="27"/>
    </row>
    <row r="15" spans="1:17" ht="24" customHeight="1">
      <c r="A15" s="30">
        <v>45913</v>
      </c>
      <c r="B15" s="27" t="s">
        <v>266</v>
      </c>
      <c r="C15" s="27"/>
      <c r="D15" s="27"/>
      <c r="E15" s="27"/>
      <c r="F15" s="10"/>
      <c r="G15" s="36" t="s">
        <v>263</v>
      </c>
      <c r="H15" s="27"/>
      <c r="I15" s="27"/>
      <c r="J15" s="27"/>
      <c r="K15" s="27"/>
      <c r="L15" s="27"/>
      <c r="M15" s="27"/>
      <c r="N15" s="27"/>
      <c r="O15" s="1" t="s">
        <v>264</v>
      </c>
      <c r="P15" s="27"/>
      <c r="Q15" s="27"/>
    </row>
    <row r="16" spans="1:17" ht="24" customHeight="1">
      <c r="A16" s="30">
        <v>45914</v>
      </c>
      <c r="B16" s="27" t="s">
        <v>267</v>
      </c>
      <c r="C16" s="27"/>
      <c r="D16" s="27"/>
      <c r="E16" s="27"/>
      <c r="F16" s="10"/>
      <c r="G16" s="36" t="s">
        <v>263</v>
      </c>
      <c r="H16" s="27"/>
      <c r="I16" s="27"/>
      <c r="J16" s="27"/>
      <c r="K16" s="27"/>
      <c r="L16" s="27"/>
      <c r="M16" s="27"/>
      <c r="N16" s="27"/>
      <c r="O16" s="1" t="s">
        <v>264</v>
      </c>
      <c r="P16" s="27"/>
      <c r="Q16" s="27"/>
    </row>
    <row r="17" spans="1:17" ht="24" customHeight="1">
      <c r="A17" s="30">
        <v>45915</v>
      </c>
      <c r="B17" s="27" t="s">
        <v>224</v>
      </c>
      <c r="C17" s="27"/>
      <c r="D17" s="27"/>
      <c r="E17" s="27"/>
      <c r="F17" s="10"/>
      <c r="G17" s="36" t="s">
        <v>263</v>
      </c>
      <c r="H17" s="27"/>
      <c r="I17" s="27"/>
      <c r="J17" s="27"/>
      <c r="K17" s="27"/>
      <c r="L17" s="27"/>
      <c r="M17" s="27"/>
      <c r="N17" s="27"/>
      <c r="O17" s="1" t="s">
        <v>264</v>
      </c>
      <c r="P17" s="27"/>
      <c r="Q17" s="27"/>
    </row>
    <row r="18" spans="1:17" ht="24" customHeight="1">
      <c r="A18" s="30">
        <v>45915</v>
      </c>
      <c r="B18" s="27" t="s">
        <v>224</v>
      </c>
      <c r="C18" s="27"/>
      <c r="D18" s="27"/>
      <c r="E18" s="27"/>
      <c r="F18" s="10"/>
      <c r="G18" s="36" t="s">
        <v>263</v>
      </c>
      <c r="H18" s="27"/>
      <c r="I18" s="27"/>
      <c r="J18" s="27"/>
      <c r="K18" s="27"/>
      <c r="L18" s="27"/>
      <c r="M18" s="27"/>
      <c r="N18" s="27"/>
      <c r="O18" s="1" t="s">
        <v>264</v>
      </c>
      <c r="P18" s="27"/>
      <c r="Q18" s="27"/>
    </row>
    <row r="19" spans="1:17" ht="24" customHeight="1">
      <c r="A19" s="30">
        <v>45916</v>
      </c>
      <c r="B19" s="27" t="s">
        <v>227</v>
      </c>
      <c r="C19" s="27"/>
      <c r="D19" s="27"/>
      <c r="E19" s="27"/>
      <c r="F19" s="10"/>
      <c r="G19" s="36" t="s">
        <v>263</v>
      </c>
      <c r="H19" s="27"/>
      <c r="I19" s="27"/>
      <c r="J19" s="27"/>
      <c r="K19" s="27"/>
      <c r="L19" s="27"/>
      <c r="M19" s="27"/>
      <c r="N19" s="27"/>
      <c r="O19" s="1" t="s">
        <v>264</v>
      </c>
      <c r="P19" s="27"/>
      <c r="Q19" s="27"/>
    </row>
    <row r="20" spans="1:17" ht="24" customHeight="1">
      <c r="A20" s="30">
        <v>45917</v>
      </c>
      <c r="B20" s="27" t="s">
        <v>201</v>
      </c>
      <c r="C20" s="27"/>
      <c r="D20" s="27"/>
      <c r="E20" s="27"/>
      <c r="F20" s="10"/>
      <c r="G20" s="36" t="s">
        <v>263</v>
      </c>
      <c r="H20" s="27"/>
      <c r="I20" s="27"/>
      <c r="J20" s="27"/>
      <c r="K20" s="27"/>
      <c r="L20" s="27"/>
      <c r="M20" s="27"/>
      <c r="N20" s="27"/>
      <c r="O20" s="1" t="s">
        <v>264</v>
      </c>
      <c r="P20" s="27"/>
      <c r="Q20" s="27"/>
    </row>
    <row r="21" spans="1:17" ht="24" customHeight="1">
      <c r="A21" s="30">
        <v>45918</v>
      </c>
      <c r="B21" s="27" t="s">
        <v>216</v>
      </c>
      <c r="C21" s="27"/>
      <c r="D21" s="27"/>
      <c r="E21" s="27"/>
      <c r="F21" s="10"/>
      <c r="G21" s="36" t="s">
        <v>263</v>
      </c>
      <c r="H21" s="27"/>
      <c r="I21" s="27"/>
      <c r="J21" s="27"/>
      <c r="K21" s="27"/>
      <c r="L21" s="27"/>
      <c r="M21" s="27"/>
      <c r="N21" s="27"/>
      <c r="O21" s="1" t="s">
        <v>264</v>
      </c>
      <c r="P21" s="27"/>
      <c r="Q21" s="27"/>
    </row>
    <row r="22" spans="1:17" ht="24" customHeight="1">
      <c r="A22" s="30">
        <v>45919</v>
      </c>
      <c r="B22" s="27" t="s">
        <v>220</v>
      </c>
      <c r="C22" s="27"/>
      <c r="D22" s="27"/>
      <c r="E22" s="27"/>
      <c r="F22" s="10"/>
      <c r="G22" s="36" t="s">
        <v>263</v>
      </c>
      <c r="H22" s="27"/>
      <c r="I22" s="27"/>
      <c r="J22" s="27"/>
      <c r="K22" s="27"/>
      <c r="L22" s="27"/>
      <c r="M22" s="27"/>
      <c r="N22" s="27"/>
      <c r="O22" s="1" t="s">
        <v>264</v>
      </c>
      <c r="P22" s="27"/>
      <c r="Q22" s="27"/>
    </row>
    <row r="23" spans="1:17" ht="24" customHeight="1">
      <c r="A23" s="30">
        <v>45920</v>
      </c>
      <c r="B23" s="27" t="s">
        <v>266</v>
      </c>
      <c r="C23" s="27"/>
      <c r="D23" s="27"/>
      <c r="E23" s="27"/>
      <c r="F23" s="10"/>
      <c r="G23" s="36" t="s">
        <v>263</v>
      </c>
      <c r="H23" s="27"/>
      <c r="I23" s="27"/>
      <c r="J23" s="27"/>
      <c r="K23" s="27"/>
      <c r="L23" s="27"/>
      <c r="M23" s="27"/>
      <c r="N23" s="27"/>
      <c r="O23" s="1" t="s">
        <v>264</v>
      </c>
      <c r="P23" s="27"/>
      <c r="Q23" s="27"/>
    </row>
    <row r="24" spans="1:17" ht="24" customHeight="1">
      <c r="A24" s="30">
        <v>45921</v>
      </c>
      <c r="B24" s="27" t="s">
        <v>267</v>
      </c>
      <c r="C24" s="27"/>
      <c r="D24" s="27"/>
      <c r="E24" s="27"/>
      <c r="F24" s="10"/>
      <c r="G24" s="36" t="s">
        <v>263</v>
      </c>
      <c r="H24" s="27"/>
      <c r="I24" s="27"/>
      <c r="J24" s="27"/>
      <c r="K24" s="27"/>
      <c r="L24" s="27"/>
      <c r="M24" s="27"/>
      <c r="N24" s="27"/>
      <c r="O24" s="1" t="s">
        <v>264</v>
      </c>
      <c r="P24" s="27"/>
      <c r="Q24" s="27"/>
    </row>
    <row r="25" spans="1:17" ht="24" customHeight="1">
      <c r="A25" s="30">
        <v>45922</v>
      </c>
      <c r="B25" s="27" t="s">
        <v>224</v>
      </c>
      <c r="C25" s="27" t="s">
        <v>3473</v>
      </c>
      <c r="D25" s="27" t="s">
        <v>3474</v>
      </c>
      <c r="E25" s="27" t="s">
        <v>3475</v>
      </c>
      <c r="F25" s="10">
        <v>0.64583333333333337</v>
      </c>
      <c r="G25" s="36" t="s">
        <v>263</v>
      </c>
      <c r="H25" s="27" t="s">
        <v>290</v>
      </c>
      <c r="I25" s="27"/>
      <c r="J25" s="27"/>
      <c r="K25" s="27" t="s">
        <v>3476</v>
      </c>
      <c r="L25" s="27" t="s">
        <v>3477</v>
      </c>
      <c r="M25" s="27"/>
      <c r="N25" s="27" t="s">
        <v>298</v>
      </c>
      <c r="O25" s="1" t="s">
        <v>264</v>
      </c>
      <c r="P25" s="27"/>
      <c r="Q25" s="27"/>
    </row>
    <row r="26" spans="1:17" ht="24" customHeight="1">
      <c r="A26" s="30">
        <v>45923</v>
      </c>
      <c r="B26" s="27" t="s">
        <v>227</v>
      </c>
      <c r="C26" s="27" t="s">
        <v>239</v>
      </c>
      <c r="D26" s="27" t="s">
        <v>3478</v>
      </c>
      <c r="E26" s="27" t="s">
        <v>3479</v>
      </c>
      <c r="F26" s="10">
        <v>0.625</v>
      </c>
      <c r="G26" s="36" t="s">
        <v>263</v>
      </c>
      <c r="H26" s="27" t="s">
        <v>270</v>
      </c>
      <c r="I26" s="27"/>
      <c r="J26" s="27"/>
      <c r="K26" s="27" t="s">
        <v>3480</v>
      </c>
      <c r="L26" s="27" t="s">
        <v>3481</v>
      </c>
      <c r="M26" s="27"/>
      <c r="N26" s="27" t="s">
        <v>298</v>
      </c>
      <c r="O26" s="1" t="s">
        <v>264</v>
      </c>
      <c r="P26" s="27"/>
      <c r="Q26" s="27"/>
    </row>
    <row r="27" spans="1:17" ht="24" customHeight="1">
      <c r="A27" s="30">
        <v>45924</v>
      </c>
      <c r="B27" s="27" t="s">
        <v>201</v>
      </c>
      <c r="C27" s="27" t="s">
        <v>3473</v>
      </c>
      <c r="D27" s="27" t="s">
        <v>3482</v>
      </c>
      <c r="E27" s="27"/>
      <c r="F27" s="10"/>
      <c r="G27" s="36" t="s">
        <v>263</v>
      </c>
      <c r="H27" s="27"/>
      <c r="I27" s="27"/>
      <c r="J27" s="27"/>
      <c r="K27" s="27"/>
      <c r="L27" s="27"/>
      <c r="M27" s="27"/>
      <c r="N27" s="27"/>
      <c r="O27" s="1" t="s">
        <v>264</v>
      </c>
      <c r="P27" s="27"/>
      <c r="Q27" s="27"/>
    </row>
    <row r="28" spans="1:17" ht="24" customHeight="1">
      <c r="A28" s="30">
        <v>45925</v>
      </c>
      <c r="B28" s="27" t="s">
        <v>216</v>
      </c>
      <c r="C28" s="27" t="s">
        <v>3473</v>
      </c>
      <c r="D28" s="27" t="s">
        <v>3483</v>
      </c>
      <c r="E28" s="27" t="s">
        <v>1161</v>
      </c>
      <c r="F28" s="10">
        <v>0.45833333333333331</v>
      </c>
      <c r="G28" s="36" t="s">
        <v>263</v>
      </c>
      <c r="H28" s="27" t="s">
        <v>275</v>
      </c>
      <c r="I28" s="27" t="s">
        <v>610</v>
      </c>
      <c r="J28" s="27"/>
      <c r="K28" s="27" t="s">
        <v>1001</v>
      </c>
      <c r="L28" s="27" t="s">
        <v>3484</v>
      </c>
      <c r="M28" s="27"/>
      <c r="N28" s="27" t="s">
        <v>298</v>
      </c>
      <c r="O28" s="1" t="s">
        <v>264</v>
      </c>
      <c r="P28" s="27"/>
      <c r="Q28" s="27"/>
    </row>
    <row r="29" spans="1:17" ht="24" customHeight="1">
      <c r="A29" s="30">
        <v>45925</v>
      </c>
      <c r="B29" s="27" t="s">
        <v>216</v>
      </c>
      <c r="C29" s="27" t="s">
        <v>239</v>
      </c>
      <c r="D29" s="27" t="s">
        <v>3485</v>
      </c>
      <c r="E29" s="27" t="s">
        <v>3479</v>
      </c>
      <c r="F29" s="10">
        <v>0.625</v>
      </c>
      <c r="G29" s="36" t="s">
        <v>263</v>
      </c>
      <c r="H29" s="27" t="s">
        <v>270</v>
      </c>
      <c r="I29" s="27" t="s">
        <v>1490</v>
      </c>
      <c r="J29" s="27" t="s">
        <v>382</v>
      </c>
      <c r="K29" s="27" t="s">
        <v>484</v>
      </c>
      <c r="L29" s="27" t="s">
        <v>3486</v>
      </c>
      <c r="M29" s="27"/>
      <c r="N29" s="27" t="s">
        <v>3487</v>
      </c>
      <c r="O29" s="3" t="s">
        <v>312</v>
      </c>
      <c r="P29" s="27"/>
      <c r="Q29" s="27"/>
    </row>
    <row r="30" spans="1:17" ht="24" customHeight="1">
      <c r="A30" s="30">
        <v>45926</v>
      </c>
      <c r="B30" s="27" t="s">
        <v>220</v>
      </c>
      <c r="C30" s="27" t="s">
        <v>3488</v>
      </c>
      <c r="D30" s="27" t="s">
        <v>3489</v>
      </c>
      <c r="E30" s="27" t="s">
        <v>3490</v>
      </c>
      <c r="F30" s="10">
        <v>0.625</v>
      </c>
      <c r="G30" s="36" t="s">
        <v>263</v>
      </c>
      <c r="H30" s="27" t="s">
        <v>290</v>
      </c>
      <c r="I30" s="27"/>
      <c r="J30" s="27"/>
      <c r="K30" s="27" t="s">
        <v>3476</v>
      </c>
      <c r="L30" s="27" t="s">
        <v>3477</v>
      </c>
      <c r="M30" s="27"/>
      <c r="N30" s="27" t="s">
        <v>298</v>
      </c>
      <c r="O30" s="1" t="s">
        <v>264</v>
      </c>
      <c r="P30" s="27"/>
      <c r="Q30" s="27"/>
    </row>
    <row r="31" spans="1:17" ht="24" customHeight="1">
      <c r="A31" s="30">
        <v>45927</v>
      </c>
      <c r="B31" s="27" t="s">
        <v>266</v>
      </c>
      <c r="C31" s="27"/>
      <c r="D31" s="27"/>
      <c r="E31" s="27"/>
      <c r="F31" s="10"/>
      <c r="G31" s="36" t="s">
        <v>263</v>
      </c>
      <c r="H31" s="27"/>
      <c r="I31" s="27"/>
      <c r="J31" s="27"/>
      <c r="K31" s="27"/>
      <c r="L31" s="27"/>
      <c r="M31" s="27"/>
      <c r="N31" s="27"/>
      <c r="O31" s="1" t="s">
        <v>264</v>
      </c>
      <c r="P31" s="27"/>
      <c r="Q31" s="27"/>
    </row>
    <row r="32" spans="1:17" ht="24" customHeight="1">
      <c r="A32" s="30">
        <v>45928</v>
      </c>
      <c r="B32" s="27" t="s">
        <v>267</v>
      </c>
      <c r="C32" s="27"/>
      <c r="D32" s="27"/>
      <c r="E32" s="27"/>
      <c r="F32" s="10"/>
      <c r="G32" s="36" t="s">
        <v>263</v>
      </c>
      <c r="H32" s="27"/>
      <c r="I32" s="27"/>
      <c r="J32" s="27"/>
      <c r="K32" s="27"/>
      <c r="L32" s="27"/>
      <c r="M32" s="27"/>
      <c r="N32" s="27"/>
      <c r="O32" s="1" t="s">
        <v>264</v>
      </c>
      <c r="P32" s="27"/>
      <c r="Q32" s="27"/>
    </row>
    <row r="33" spans="1:17" ht="24" customHeight="1">
      <c r="A33" s="30">
        <v>45929</v>
      </c>
      <c r="B33" s="27" t="s">
        <v>224</v>
      </c>
      <c r="C33" s="27" t="s">
        <v>3491</v>
      </c>
      <c r="D33" s="27" t="s">
        <v>895</v>
      </c>
      <c r="E33" s="27" t="s">
        <v>3475</v>
      </c>
      <c r="F33" s="10">
        <v>0.60416666666666663</v>
      </c>
      <c r="G33" s="36" t="s">
        <v>263</v>
      </c>
      <c r="H33" s="27" t="s">
        <v>359</v>
      </c>
      <c r="I33" s="27"/>
      <c r="J33" s="27"/>
      <c r="K33" s="27" t="s">
        <v>379</v>
      </c>
      <c r="L33" s="27" t="s">
        <v>3492</v>
      </c>
      <c r="M33" s="27"/>
      <c r="N33" s="27" t="s">
        <v>298</v>
      </c>
      <c r="O33" s="3" t="s">
        <v>312</v>
      </c>
      <c r="P33" s="27" t="s">
        <v>679</v>
      </c>
      <c r="Q33" s="27"/>
    </row>
    <row r="34" spans="1:17" ht="24" customHeight="1">
      <c r="A34" s="30">
        <v>45929</v>
      </c>
      <c r="B34" s="27" t="s">
        <v>224</v>
      </c>
      <c r="C34" s="27" t="s">
        <v>3473</v>
      </c>
      <c r="D34" s="27" t="s">
        <v>3493</v>
      </c>
      <c r="E34" s="27" t="s">
        <v>3494</v>
      </c>
      <c r="F34" s="10">
        <v>0.33333333333333331</v>
      </c>
      <c r="G34" s="36" t="s">
        <v>263</v>
      </c>
      <c r="H34" s="27" t="s">
        <v>270</v>
      </c>
      <c r="I34" s="27"/>
      <c r="J34" s="27"/>
      <c r="K34" s="27" t="s">
        <v>2894</v>
      </c>
      <c r="L34" s="27" t="s">
        <v>3495</v>
      </c>
      <c r="M34" s="27"/>
      <c r="N34" s="27" t="s">
        <v>298</v>
      </c>
      <c r="O34" s="1" t="s">
        <v>264</v>
      </c>
      <c r="P34" s="27"/>
      <c r="Q34" s="27"/>
    </row>
    <row r="35" spans="1:17" ht="24" customHeight="1">
      <c r="A35" s="30">
        <v>45930</v>
      </c>
      <c r="B35" s="27" t="s">
        <v>227</v>
      </c>
      <c r="C35" s="27" t="s">
        <v>3473</v>
      </c>
      <c r="D35" s="27" t="s">
        <v>3493</v>
      </c>
      <c r="E35" s="27" t="s">
        <v>3494</v>
      </c>
      <c r="F35" s="10">
        <v>0.33333333333333331</v>
      </c>
      <c r="G35" s="36" t="s">
        <v>263</v>
      </c>
      <c r="H35" s="27" t="s">
        <v>270</v>
      </c>
      <c r="I35" s="27"/>
      <c r="J35" s="27"/>
      <c r="K35" s="27" t="s">
        <v>2894</v>
      </c>
      <c r="L35" s="27" t="s">
        <v>3495</v>
      </c>
      <c r="M35" s="27"/>
      <c r="N35" s="27" t="s">
        <v>298</v>
      </c>
      <c r="O35" s="1" t="s">
        <v>264</v>
      </c>
      <c r="P35" s="27"/>
      <c r="Q35" s="27"/>
    </row>
  </sheetData>
  <mergeCells count="3">
    <mergeCell ref="L1:Q1"/>
    <mergeCell ref="D1:K1"/>
    <mergeCell ref="A1:C1"/>
  </mergeCells>
  <dataValidations count="2">
    <dataValidation type="list" allowBlank="1" sqref="N3:N85 O3:O35" xr:uid="{00000000-0002-0000-2600-000000000000}">
      <formula1>"Confirmed (Done),Pending Calendar Booking,Canceled"</formula1>
    </dataValidation>
    <dataValidation type="list" allowBlank="1" sqref="G3:G35" xr:uid="{00000000-0002-0000-2600-000001000000}">
      <formula1>"Big Event,Small Event"</formula1>
    </dataValidation>
  </dataValidations>
  <hyperlinks>
    <hyperlink ref="A1" location="'Dashboard'!A1" display="🏠 ⮌ RETURN TO DASHBOARD" xr:uid="{00000000-0004-0000-2600-000000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19"/>
  <sheetViews>
    <sheetView workbookViewId="0">
      <pane ySplit="2" topLeftCell="A3" activePane="bottomLeft" state="frozen"/>
      <selection pane="bottomLeft"/>
    </sheetView>
  </sheetViews>
  <sheetFormatPr defaultRowHeight="14.45"/>
  <cols>
    <col min="1" max="1" width="15" customWidth="1"/>
    <col min="2" max="2" width="12" customWidth="1"/>
    <col min="3" max="3" width="22" customWidth="1"/>
    <col min="4" max="5" width="48" customWidth="1"/>
    <col min="6" max="6" width="15" customWidth="1"/>
    <col min="7" max="7" width="19" customWidth="1"/>
    <col min="8" max="8" width="17" customWidth="1"/>
    <col min="9" max="9" width="18" customWidth="1"/>
    <col min="10" max="10" width="22" customWidth="1"/>
    <col min="11" max="11" width="20" customWidth="1"/>
    <col min="12" max="12" width="25" customWidth="1"/>
    <col min="13" max="13" width="19" customWidth="1"/>
    <col min="14" max="14" width="25" customWidth="1"/>
    <col min="15" max="15" width="32" customWidth="1"/>
    <col min="16" max="16" width="48" customWidth="1"/>
  </cols>
  <sheetData>
    <row r="1" spans="1:16" ht="27.95" customHeight="1">
      <c r="A1" s="62" t="s">
        <v>2138</v>
      </c>
      <c r="B1" s="134"/>
      <c r="C1" s="135"/>
      <c r="D1" s="63" t="s">
        <v>3496</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45931</v>
      </c>
      <c r="B3" s="27" t="s">
        <v>201</v>
      </c>
      <c r="C3" s="27" t="s">
        <v>2827</v>
      </c>
      <c r="D3" s="27" t="s">
        <v>171</v>
      </c>
      <c r="E3" s="10" t="s">
        <v>3497</v>
      </c>
      <c r="F3" s="36" t="s">
        <v>263</v>
      </c>
      <c r="G3" s="27" t="s">
        <v>3498</v>
      </c>
      <c r="H3" s="27" t="s">
        <v>274</v>
      </c>
      <c r="I3" s="27" t="s">
        <v>3499</v>
      </c>
      <c r="J3" s="27"/>
      <c r="K3" s="27"/>
      <c r="L3" s="27"/>
      <c r="M3" s="27" t="s">
        <v>367</v>
      </c>
      <c r="N3" s="3" t="s">
        <v>312</v>
      </c>
      <c r="O3" s="27" t="s">
        <v>3500</v>
      </c>
      <c r="P3" s="27" t="s">
        <v>679</v>
      </c>
    </row>
    <row r="4" spans="1:16" ht="24" customHeight="1">
      <c r="A4" s="30">
        <v>45931</v>
      </c>
      <c r="B4" s="27" t="s">
        <v>201</v>
      </c>
      <c r="C4" s="27" t="s">
        <v>3501</v>
      </c>
      <c r="D4" s="27" t="s">
        <v>3473</v>
      </c>
      <c r="E4" s="10" t="s">
        <v>3502</v>
      </c>
      <c r="F4" s="36" t="s">
        <v>263</v>
      </c>
      <c r="G4" s="27" t="s">
        <v>3494</v>
      </c>
      <c r="H4" s="27" t="s">
        <v>269</v>
      </c>
      <c r="I4" s="27" t="s">
        <v>3503</v>
      </c>
      <c r="J4" s="27"/>
      <c r="K4" s="27"/>
      <c r="L4" s="27"/>
      <c r="M4" s="27" t="s">
        <v>2894</v>
      </c>
      <c r="N4" s="1" t="s">
        <v>264</v>
      </c>
      <c r="O4" s="27" t="s">
        <v>3495</v>
      </c>
      <c r="P4" s="27" t="s">
        <v>298</v>
      </c>
    </row>
    <row r="5" spans="1:16" ht="24" customHeight="1">
      <c r="A5" s="30">
        <v>45931</v>
      </c>
      <c r="B5" s="27" t="s">
        <v>201</v>
      </c>
      <c r="C5" s="27" t="s">
        <v>2827</v>
      </c>
      <c r="D5" s="27" t="s">
        <v>171</v>
      </c>
      <c r="E5" s="10" t="s">
        <v>3504</v>
      </c>
      <c r="F5" s="36" t="s">
        <v>263</v>
      </c>
      <c r="G5" s="27" t="s">
        <v>1161</v>
      </c>
      <c r="H5" s="27" t="s">
        <v>359</v>
      </c>
      <c r="I5" s="27" t="s">
        <v>3505</v>
      </c>
      <c r="J5" s="27"/>
      <c r="K5" s="27"/>
      <c r="L5" s="27"/>
      <c r="M5" s="27" t="s">
        <v>1369</v>
      </c>
      <c r="N5" s="1" t="s">
        <v>264</v>
      </c>
      <c r="O5" s="27"/>
      <c r="P5" s="27" t="s">
        <v>3506</v>
      </c>
    </row>
    <row r="6" spans="1:16" ht="24" customHeight="1">
      <c r="A6" s="30">
        <v>45932</v>
      </c>
      <c r="B6" s="27" t="s">
        <v>216</v>
      </c>
      <c r="C6" s="27" t="s">
        <v>2827</v>
      </c>
      <c r="D6" s="27" t="s">
        <v>171</v>
      </c>
      <c r="E6" s="10" t="s">
        <v>3507</v>
      </c>
      <c r="F6" s="36" t="s">
        <v>263</v>
      </c>
      <c r="G6" s="27"/>
      <c r="H6" s="27" t="s">
        <v>269</v>
      </c>
      <c r="I6" s="27" t="s">
        <v>3503</v>
      </c>
      <c r="J6" s="27"/>
      <c r="K6" s="27"/>
      <c r="L6" s="27"/>
      <c r="M6" s="27" t="s">
        <v>2584</v>
      </c>
      <c r="N6" s="1" t="s">
        <v>264</v>
      </c>
      <c r="O6" s="27" t="s">
        <v>3371</v>
      </c>
      <c r="P6" s="27"/>
    </row>
    <row r="7" spans="1:16" ht="24" customHeight="1">
      <c r="A7" s="30">
        <v>45932</v>
      </c>
      <c r="B7" s="27" t="s">
        <v>216</v>
      </c>
      <c r="C7" s="27" t="s">
        <v>3501</v>
      </c>
      <c r="D7" s="27" t="s">
        <v>3473</v>
      </c>
      <c r="E7" s="10" t="s">
        <v>3502</v>
      </c>
      <c r="F7" s="36" t="s">
        <v>263</v>
      </c>
      <c r="G7" s="27" t="s">
        <v>3494</v>
      </c>
      <c r="H7" s="27" t="s">
        <v>269</v>
      </c>
      <c r="I7" s="27" t="s">
        <v>3503</v>
      </c>
      <c r="J7" s="27"/>
      <c r="K7" s="27"/>
      <c r="L7" s="27"/>
      <c r="M7" s="27" t="s">
        <v>2894</v>
      </c>
      <c r="N7" s="1" t="s">
        <v>264</v>
      </c>
      <c r="O7" s="27" t="s">
        <v>3495</v>
      </c>
      <c r="P7" s="27" t="s">
        <v>298</v>
      </c>
    </row>
    <row r="8" spans="1:16" ht="24" customHeight="1">
      <c r="A8" s="30">
        <v>45933</v>
      </c>
      <c r="B8" s="27" t="s">
        <v>220</v>
      </c>
      <c r="C8" s="27" t="s">
        <v>3501</v>
      </c>
      <c r="D8" s="27" t="s">
        <v>3473</v>
      </c>
      <c r="E8" s="10" t="s">
        <v>3502</v>
      </c>
      <c r="F8" s="36" t="s">
        <v>263</v>
      </c>
      <c r="G8" s="27" t="s">
        <v>3494</v>
      </c>
      <c r="H8" s="27" t="s">
        <v>269</v>
      </c>
      <c r="I8" s="27" t="s">
        <v>3503</v>
      </c>
      <c r="J8" s="27"/>
      <c r="K8" s="27"/>
      <c r="L8" s="27"/>
      <c r="M8" s="27" t="s">
        <v>2894</v>
      </c>
      <c r="N8" s="1" t="s">
        <v>264</v>
      </c>
      <c r="O8" s="27" t="s">
        <v>3495</v>
      </c>
      <c r="P8" s="27" t="s">
        <v>298</v>
      </c>
    </row>
    <row r="9" spans="1:16" ht="24" customHeight="1">
      <c r="A9" s="30">
        <v>45934</v>
      </c>
      <c r="B9" s="27" t="s">
        <v>266</v>
      </c>
      <c r="C9" s="27"/>
      <c r="D9" s="27"/>
      <c r="E9" s="10"/>
      <c r="F9" s="36" t="s">
        <v>263</v>
      </c>
      <c r="G9" s="27"/>
      <c r="H9" s="27"/>
      <c r="I9" s="27"/>
      <c r="J9" s="27"/>
      <c r="K9" s="27"/>
      <c r="L9" s="27"/>
      <c r="M9" s="27"/>
      <c r="N9" s="1" t="s">
        <v>264</v>
      </c>
      <c r="O9" s="27"/>
      <c r="P9" s="27"/>
    </row>
    <row r="10" spans="1:16" ht="24" customHeight="1">
      <c r="A10" s="30">
        <v>45935</v>
      </c>
      <c r="B10" s="27" t="s">
        <v>267</v>
      </c>
      <c r="C10" s="27"/>
      <c r="D10" s="27"/>
      <c r="E10" s="10"/>
      <c r="F10" s="36" t="s">
        <v>263</v>
      </c>
      <c r="G10" s="27"/>
      <c r="H10" s="27"/>
      <c r="I10" s="27"/>
      <c r="J10" s="27"/>
      <c r="K10" s="27"/>
      <c r="L10" s="27"/>
      <c r="M10" s="27"/>
      <c r="N10" s="1" t="s">
        <v>264</v>
      </c>
      <c r="O10" s="27"/>
      <c r="P10" s="27"/>
    </row>
    <row r="11" spans="1:16" ht="24" customHeight="1">
      <c r="A11" s="30">
        <v>45936</v>
      </c>
      <c r="B11" s="27" t="s">
        <v>224</v>
      </c>
      <c r="C11" s="27" t="s">
        <v>3501</v>
      </c>
      <c r="D11" s="27" t="s">
        <v>3508</v>
      </c>
      <c r="E11" s="10" t="s">
        <v>3509</v>
      </c>
      <c r="F11" s="36" t="s">
        <v>263</v>
      </c>
      <c r="G11" s="27" t="s">
        <v>3510</v>
      </c>
      <c r="H11" s="27" t="s">
        <v>269</v>
      </c>
      <c r="I11" s="27" t="s">
        <v>3503</v>
      </c>
      <c r="J11" s="27"/>
      <c r="K11" s="27"/>
      <c r="L11" s="27"/>
      <c r="M11" s="27" t="s">
        <v>379</v>
      </c>
      <c r="N11" s="1" t="s">
        <v>264</v>
      </c>
      <c r="O11" s="27" t="s">
        <v>3511</v>
      </c>
      <c r="P11" s="27" t="s">
        <v>3512</v>
      </c>
    </row>
    <row r="12" spans="1:16" ht="24" customHeight="1">
      <c r="A12" s="30">
        <v>45936</v>
      </c>
      <c r="B12" s="27" t="s">
        <v>224</v>
      </c>
      <c r="C12" s="27" t="s">
        <v>3501</v>
      </c>
      <c r="D12" s="27" t="s">
        <v>3513</v>
      </c>
      <c r="E12" s="10" t="s">
        <v>3509</v>
      </c>
      <c r="F12" s="36" t="s">
        <v>263</v>
      </c>
      <c r="G12" s="27" t="s">
        <v>3510</v>
      </c>
      <c r="H12" s="27" t="s">
        <v>269</v>
      </c>
      <c r="I12" s="27" t="s">
        <v>3503</v>
      </c>
      <c r="J12" s="27"/>
      <c r="K12" s="27"/>
      <c r="L12" s="27"/>
      <c r="M12" s="27" t="s">
        <v>379</v>
      </c>
      <c r="N12" s="1" t="s">
        <v>264</v>
      </c>
      <c r="O12" s="27" t="s">
        <v>3511</v>
      </c>
      <c r="P12" s="27" t="s">
        <v>3512</v>
      </c>
    </row>
    <row r="13" spans="1:16" ht="24" customHeight="1">
      <c r="A13" s="30">
        <v>45936</v>
      </c>
      <c r="B13" s="27" t="s">
        <v>224</v>
      </c>
      <c r="C13" s="27" t="s">
        <v>2827</v>
      </c>
      <c r="D13" s="27" t="s">
        <v>171</v>
      </c>
      <c r="E13" s="10" t="s">
        <v>3507</v>
      </c>
      <c r="F13" s="36" t="s">
        <v>263</v>
      </c>
      <c r="G13" s="27" t="s">
        <v>3514</v>
      </c>
      <c r="H13" s="27" t="s">
        <v>269</v>
      </c>
      <c r="I13" s="27" t="s">
        <v>3503</v>
      </c>
      <c r="J13" s="27"/>
      <c r="K13" s="27"/>
      <c r="L13" s="27"/>
      <c r="M13" s="27" t="s">
        <v>237</v>
      </c>
      <c r="N13" s="1" t="s">
        <v>264</v>
      </c>
      <c r="O13" s="27" t="s">
        <v>3515</v>
      </c>
      <c r="P13" s="27" t="s">
        <v>3516</v>
      </c>
    </row>
    <row r="14" spans="1:16" ht="24" customHeight="1">
      <c r="A14" s="30">
        <v>45936</v>
      </c>
      <c r="B14" s="27" t="s">
        <v>224</v>
      </c>
      <c r="C14" s="27" t="s">
        <v>3501</v>
      </c>
      <c r="D14" s="27" t="s">
        <v>3473</v>
      </c>
      <c r="E14" s="10" t="s">
        <v>3502</v>
      </c>
      <c r="F14" s="36" t="s">
        <v>263</v>
      </c>
      <c r="G14" s="27" t="s">
        <v>3494</v>
      </c>
      <c r="H14" s="27" t="s">
        <v>269</v>
      </c>
      <c r="I14" s="27" t="s">
        <v>3503</v>
      </c>
      <c r="J14" s="27"/>
      <c r="K14" s="27"/>
      <c r="L14" s="27"/>
      <c r="M14" s="27" t="s">
        <v>2894</v>
      </c>
      <c r="N14" s="1" t="s">
        <v>264</v>
      </c>
      <c r="O14" s="27" t="s">
        <v>3495</v>
      </c>
      <c r="P14" s="27" t="s">
        <v>298</v>
      </c>
    </row>
    <row r="15" spans="1:16" ht="24" customHeight="1">
      <c r="A15" s="30">
        <v>45936</v>
      </c>
      <c r="B15" s="27" t="s">
        <v>224</v>
      </c>
      <c r="C15" s="27" t="s">
        <v>2827</v>
      </c>
      <c r="D15" s="27" t="s">
        <v>3517</v>
      </c>
      <c r="E15" s="10" t="s">
        <v>3518</v>
      </c>
      <c r="F15" s="36" t="s">
        <v>263</v>
      </c>
      <c r="G15" s="27" t="s">
        <v>3510</v>
      </c>
      <c r="H15" s="27" t="s">
        <v>269</v>
      </c>
      <c r="I15" s="27" t="s">
        <v>3503</v>
      </c>
      <c r="J15" s="27"/>
      <c r="K15" s="27"/>
      <c r="L15" s="27"/>
      <c r="M15" s="27" t="s">
        <v>3009</v>
      </c>
      <c r="N15" s="1" t="s">
        <v>264</v>
      </c>
      <c r="O15" s="27" t="s">
        <v>3519</v>
      </c>
      <c r="P15" s="27" t="s">
        <v>3520</v>
      </c>
    </row>
    <row r="16" spans="1:16" ht="24" customHeight="1">
      <c r="A16" s="30">
        <v>45937</v>
      </c>
      <c r="B16" s="27" t="s">
        <v>227</v>
      </c>
      <c r="C16" s="27" t="s">
        <v>2827</v>
      </c>
      <c r="D16" s="27" t="s">
        <v>501</v>
      </c>
      <c r="E16" s="10" t="s">
        <v>3521</v>
      </c>
      <c r="F16" s="36" t="s">
        <v>263</v>
      </c>
      <c r="G16" s="27" t="s">
        <v>3479</v>
      </c>
      <c r="H16" s="27" t="s">
        <v>295</v>
      </c>
      <c r="I16" s="27" t="s">
        <v>3505</v>
      </c>
      <c r="J16" s="27"/>
      <c r="K16" s="27"/>
      <c r="L16" s="27"/>
      <c r="M16" s="27" t="s">
        <v>355</v>
      </c>
      <c r="N16" s="1" t="s">
        <v>264</v>
      </c>
      <c r="O16" s="27" t="s">
        <v>3477</v>
      </c>
      <c r="P16" s="27"/>
    </row>
    <row r="17" spans="1:16" ht="24" customHeight="1">
      <c r="A17" s="30">
        <v>45937</v>
      </c>
      <c r="B17" s="27" t="s">
        <v>227</v>
      </c>
      <c r="C17" s="27" t="s">
        <v>2827</v>
      </c>
      <c r="D17" s="27" t="s">
        <v>3517</v>
      </c>
      <c r="E17" s="10" t="s">
        <v>3509</v>
      </c>
      <c r="F17" s="36" t="s">
        <v>263</v>
      </c>
      <c r="G17" s="27" t="s">
        <v>3510</v>
      </c>
      <c r="H17" s="27" t="s">
        <v>269</v>
      </c>
      <c r="I17" s="27" t="s">
        <v>3503</v>
      </c>
      <c r="J17" s="27"/>
      <c r="K17" s="27"/>
      <c r="L17" s="27"/>
      <c r="M17" s="27" t="s">
        <v>3009</v>
      </c>
      <c r="N17" s="1" t="s">
        <v>264</v>
      </c>
      <c r="O17" s="27" t="s">
        <v>3519</v>
      </c>
      <c r="P17" s="27" t="s">
        <v>3522</v>
      </c>
    </row>
    <row r="18" spans="1:16" ht="24" customHeight="1">
      <c r="A18" s="30">
        <v>45937</v>
      </c>
      <c r="B18" s="27" t="s">
        <v>227</v>
      </c>
      <c r="C18" s="27" t="s">
        <v>3501</v>
      </c>
      <c r="D18" s="27" t="s">
        <v>239</v>
      </c>
      <c r="E18" s="10" t="s">
        <v>3523</v>
      </c>
      <c r="F18" s="36" t="s">
        <v>263</v>
      </c>
      <c r="G18" s="27" t="s">
        <v>3479</v>
      </c>
      <c r="H18" s="27" t="s">
        <v>274</v>
      </c>
      <c r="I18" s="27" t="s">
        <v>3524</v>
      </c>
      <c r="J18" s="27"/>
      <c r="K18" s="27"/>
      <c r="L18" s="27"/>
      <c r="M18" s="27" t="s">
        <v>2581</v>
      </c>
      <c r="N18" s="1" t="s">
        <v>264</v>
      </c>
      <c r="O18" s="27" t="s">
        <v>3429</v>
      </c>
      <c r="P18" s="27" t="s">
        <v>3525</v>
      </c>
    </row>
    <row r="19" spans="1:16" ht="24" customHeight="1">
      <c r="A19" s="30">
        <v>45937</v>
      </c>
      <c r="B19" s="27" t="s">
        <v>227</v>
      </c>
      <c r="C19" s="27" t="s">
        <v>2827</v>
      </c>
      <c r="D19" s="27" t="s">
        <v>954</v>
      </c>
      <c r="E19" s="10" t="s">
        <v>3526</v>
      </c>
      <c r="F19" s="36" t="s">
        <v>263</v>
      </c>
      <c r="G19" s="27" t="s">
        <v>3527</v>
      </c>
      <c r="H19" s="27" t="s">
        <v>295</v>
      </c>
      <c r="I19" s="27" t="s">
        <v>3528</v>
      </c>
      <c r="J19" s="27"/>
      <c r="K19" s="27"/>
      <c r="L19" s="27"/>
      <c r="M19" s="27" t="s">
        <v>3374</v>
      </c>
      <c r="N19" s="1" t="s">
        <v>264</v>
      </c>
      <c r="O19" s="27" t="s">
        <v>3515</v>
      </c>
      <c r="P19" s="27" t="s">
        <v>298</v>
      </c>
    </row>
    <row r="20" spans="1:16" ht="24" customHeight="1">
      <c r="A20" s="30">
        <v>45937</v>
      </c>
      <c r="B20" s="27" t="s">
        <v>227</v>
      </c>
      <c r="C20" s="27" t="s">
        <v>3529</v>
      </c>
      <c r="D20" s="27" t="s">
        <v>3473</v>
      </c>
      <c r="E20" s="10" t="s">
        <v>3502</v>
      </c>
      <c r="F20" s="36" t="s">
        <v>263</v>
      </c>
      <c r="G20" s="27" t="s">
        <v>3494</v>
      </c>
      <c r="H20" s="27" t="s">
        <v>269</v>
      </c>
      <c r="I20" s="27" t="s">
        <v>3503</v>
      </c>
      <c r="J20" s="27"/>
      <c r="K20" s="27"/>
      <c r="L20" s="27"/>
      <c r="M20" s="27" t="s">
        <v>2894</v>
      </c>
      <c r="N20" s="1" t="s">
        <v>264</v>
      </c>
      <c r="O20" s="27" t="s">
        <v>3495</v>
      </c>
      <c r="P20" s="27" t="s">
        <v>298</v>
      </c>
    </row>
    <row r="21" spans="1:16" ht="24" customHeight="1">
      <c r="A21" s="30">
        <v>45937</v>
      </c>
      <c r="B21" s="27" t="s">
        <v>227</v>
      </c>
      <c r="C21" s="27" t="s">
        <v>2827</v>
      </c>
      <c r="D21" s="27" t="s">
        <v>171</v>
      </c>
      <c r="E21" s="10" t="s">
        <v>3436</v>
      </c>
      <c r="F21" s="36" t="s">
        <v>263</v>
      </c>
      <c r="G21" s="27"/>
      <c r="H21" s="27" t="s">
        <v>289</v>
      </c>
      <c r="I21" s="27" t="s">
        <v>3505</v>
      </c>
      <c r="J21" s="27"/>
      <c r="K21" s="27"/>
      <c r="L21" s="27"/>
      <c r="M21" s="27" t="s">
        <v>2970</v>
      </c>
      <c r="N21" s="3" t="s">
        <v>312</v>
      </c>
      <c r="O21" s="27" t="s">
        <v>3420</v>
      </c>
      <c r="P21" s="27" t="s">
        <v>679</v>
      </c>
    </row>
    <row r="22" spans="1:16" ht="24" customHeight="1">
      <c r="A22" s="30">
        <v>45937</v>
      </c>
      <c r="B22" s="27" t="s">
        <v>227</v>
      </c>
      <c r="C22" s="27" t="s">
        <v>3501</v>
      </c>
      <c r="D22" s="27" t="s">
        <v>3508</v>
      </c>
      <c r="E22" s="10" t="s">
        <v>3509</v>
      </c>
      <c r="F22" s="36" t="s">
        <v>263</v>
      </c>
      <c r="G22" s="27" t="s">
        <v>3510</v>
      </c>
      <c r="H22" s="27" t="s">
        <v>269</v>
      </c>
      <c r="I22" s="27" t="s">
        <v>3503</v>
      </c>
      <c r="J22" s="27"/>
      <c r="K22" s="27"/>
      <c r="L22" s="27"/>
      <c r="M22" s="27" t="s">
        <v>379</v>
      </c>
      <c r="N22" s="1" t="s">
        <v>264</v>
      </c>
      <c r="O22" s="27" t="s">
        <v>3511</v>
      </c>
      <c r="P22" s="27" t="s">
        <v>3512</v>
      </c>
    </row>
    <row r="23" spans="1:16" ht="24" customHeight="1">
      <c r="A23" s="30">
        <v>45937</v>
      </c>
      <c r="B23" s="27" t="s">
        <v>227</v>
      </c>
      <c r="C23" s="27" t="s">
        <v>3501</v>
      </c>
      <c r="D23" s="27" t="s">
        <v>1071</v>
      </c>
      <c r="E23" s="10" t="s">
        <v>3530</v>
      </c>
      <c r="F23" s="36" t="s">
        <v>263</v>
      </c>
      <c r="G23" s="27" t="s">
        <v>3531</v>
      </c>
      <c r="H23" s="27" t="s">
        <v>331</v>
      </c>
      <c r="I23" s="27" t="s">
        <v>3532</v>
      </c>
      <c r="J23" s="27"/>
      <c r="K23" s="27"/>
      <c r="L23" s="27"/>
      <c r="M23" s="27" t="s">
        <v>317</v>
      </c>
      <c r="N23" s="1" t="s">
        <v>264</v>
      </c>
      <c r="O23" s="27" t="s">
        <v>3533</v>
      </c>
      <c r="P23" s="27" t="s">
        <v>3534</v>
      </c>
    </row>
    <row r="24" spans="1:16" ht="24" customHeight="1">
      <c r="A24" s="30">
        <v>45938</v>
      </c>
      <c r="B24" s="27" t="s">
        <v>201</v>
      </c>
      <c r="C24" s="27" t="s">
        <v>3501</v>
      </c>
      <c r="D24" s="27" t="s">
        <v>1071</v>
      </c>
      <c r="E24" s="10" t="s">
        <v>3530</v>
      </c>
      <c r="F24" s="36" t="s">
        <v>263</v>
      </c>
      <c r="G24" s="27" t="s">
        <v>3535</v>
      </c>
      <c r="H24" s="27" t="s">
        <v>331</v>
      </c>
      <c r="I24" s="27" t="s">
        <v>3532</v>
      </c>
      <c r="J24" s="27"/>
      <c r="K24" s="27"/>
      <c r="L24" s="27"/>
      <c r="M24" s="27" t="s">
        <v>317</v>
      </c>
      <c r="N24" s="3" t="s">
        <v>312</v>
      </c>
      <c r="O24" s="27" t="s">
        <v>3533</v>
      </c>
      <c r="P24" s="27" t="s">
        <v>3534</v>
      </c>
    </row>
    <row r="25" spans="1:16" ht="24" customHeight="1">
      <c r="A25" s="30">
        <v>45938</v>
      </c>
      <c r="B25" s="27" t="s">
        <v>201</v>
      </c>
      <c r="C25" s="27" t="s">
        <v>3501</v>
      </c>
      <c r="D25" s="27" t="s">
        <v>3513</v>
      </c>
      <c r="E25" s="10" t="s">
        <v>3509</v>
      </c>
      <c r="F25" s="36" t="s">
        <v>263</v>
      </c>
      <c r="G25" s="27" t="s">
        <v>3510</v>
      </c>
      <c r="H25" s="27" t="s">
        <v>269</v>
      </c>
      <c r="I25" s="27" t="s">
        <v>3503</v>
      </c>
      <c r="J25" s="27"/>
      <c r="K25" s="27"/>
      <c r="L25" s="27"/>
      <c r="M25" s="27" t="s">
        <v>379</v>
      </c>
      <c r="N25" s="1" t="s">
        <v>264</v>
      </c>
      <c r="O25" s="27" t="s">
        <v>3511</v>
      </c>
      <c r="P25" s="27" t="s">
        <v>3512</v>
      </c>
    </row>
    <row r="26" spans="1:16" ht="24" customHeight="1">
      <c r="A26" s="30">
        <v>45938</v>
      </c>
      <c r="B26" s="27" t="s">
        <v>201</v>
      </c>
      <c r="C26" s="27" t="s">
        <v>3501</v>
      </c>
      <c r="D26" s="27" t="s">
        <v>1071</v>
      </c>
      <c r="E26" s="10" t="s">
        <v>3536</v>
      </c>
      <c r="F26" s="36" t="s">
        <v>263</v>
      </c>
      <c r="G26" s="27" t="s">
        <v>3494</v>
      </c>
      <c r="H26" s="27" t="s">
        <v>309</v>
      </c>
      <c r="I26" s="27" t="s">
        <v>3505</v>
      </c>
      <c r="J26" s="27"/>
      <c r="K26" s="27"/>
      <c r="L26" s="27"/>
      <c r="M26" s="27" t="s">
        <v>551</v>
      </c>
      <c r="N26" s="1" t="s">
        <v>264</v>
      </c>
      <c r="O26" s="27" t="s">
        <v>3537</v>
      </c>
      <c r="P26" s="27" t="s">
        <v>3538</v>
      </c>
    </row>
    <row r="27" spans="1:16" ht="24" customHeight="1">
      <c r="A27" s="30">
        <v>45938</v>
      </c>
      <c r="B27" s="27" t="s">
        <v>201</v>
      </c>
      <c r="C27" s="27" t="s">
        <v>3501</v>
      </c>
      <c r="D27" s="27" t="s">
        <v>3473</v>
      </c>
      <c r="E27" s="10" t="s">
        <v>3539</v>
      </c>
      <c r="F27" s="36" t="s">
        <v>263</v>
      </c>
      <c r="G27" s="27" t="s">
        <v>3494</v>
      </c>
      <c r="H27" s="27" t="s">
        <v>269</v>
      </c>
      <c r="I27" s="27" t="s">
        <v>3503</v>
      </c>
      <c r="J27" s="27"/>
      <c r="K27" s="27"/>
      <c r="L27" s="27"/>
      <c r="M27" s="27" t="s">
        <v>2894</v>
      </c>
      <c r="N27" s="1" t="s">
        <v>264</v>
      </c>
      <c r="O27" s="27" t="s">
        <v>3495</v>
      </c>
      <c r="P27" s="27" t="s">
        <v>298</v>
      </c>
    </row>
    <row r="28" spans="1:16" ht="24" customHeight="1">
      <c r="A28" s="30">
        <v>45938</v>
      </c>
      <c r="B28" s="27" t="s">
        <v>201</v>
      </c>
      <c r="C28" s="27" t="s">
        <v>2827</v>
      </c>
      <c r="D28" s="27" t="s">
        <v>171</v>
      </c>
      <c r="E28" s="10" t="s">
        <v>3540</v>
      </c>
      <c r="F28" s="36" t="s">
        <v>263</v>
      </c>
      <c r="G28" s="27" t="s">
        <v>3541</v>
      </c>
      <c r="H28" s="27" t="s">
        <v>506</v>
      </c>
      <c r="I28" s="27" t="s">
        <v>3524</v>
      </c>
      <c r="J28" s="27"/>
      <c r="K28" s="27"/>
      <c r="L28" s="27"/>
      <c r="M28" s="27" t="s">
        <v>3542</v>
      </c>
      <c r="N28" s="1" t="s">
        <v>264</v>
      </c>
      <c r="O28" s="27"/>
      <c r="P28" s="27" t="s">
        <v>298</v>
      </c>
    </row>
    <row r="29" spans="1:16" ht="24" customHeight="1">
      <c r="A29" s="30">
        <v>45938</v>
      </c>
      <c r="B29" s="27" t="s">
        <v>201</v>
      </c>
      <c r="C29" s="27" t="s">
        <v>2827</v>
      </c>
      <c r="D29" s="27" t="s">
        <v>3543</v>
      </c>
      <c r="E29" s="10" t="s">
        <v>3544</v>
      </c>
      <c r="F29" s="36" t="s">
        <v>263</v>
      </c>
      <c r="G29" s="27" t="s">
        <v>2202</v>
      </c>
      <c r="H29" s="27" t="s">
        <v>295</v>
      </c>
      <c r="I29" s="27" t="s">
        <v>3505</v>
      </c>
      <c r="J29" s="27"/>
      <c r="K29" s="27"/>
      <c r="L29" s="27"/>
      <c r="M29" s="27" t="s">
        <v>583</v>
      </c>
      <c r="N29" s="1" t="s">
        <v>264</v>
      </c>
      <c r="O29" s="27"/>
      <c r="P29" s="27" t="s">
        <v>298</v>
      </c>
    </row>
    <row r="30" spans="1:16" ht="24" customHeight="1">
      <c r="A30" s="30">
        <v>45938</v>
      </c>
      <c r="B30" s="27" t="s">
        <v>201</v>
      </c>
      <c r="C30" s="27" t="s">
        <v>2827</v>
      </c>
      <c r="D30" s="27" t="s">
        <v>171</v>
      </c>
      <c r="E30" s="10" t="s">
        <v>3545</v>
      </c>
      <c r="F30" s="36" t="s">
        <v>263</v>
      </c>
      <c r="G30" s="27" t="s">
        <v>1161</v>
      </c>
      <c r="H30" s="27" t="s">
        <v>1542</v>
      </c>
      <c r="I30" s="27" t="s">
        <v>3546</v>
      </c>
      <c r="J30" s="27"/>
      <c r="K30" s="27"/>
      <c r="L30" s="27"/>
      <c r="M30" s="27" t="s">
        <v>3547</v>
      </c>
      <c r="N30" s="1" t="s">
        <v>264</v>
      </c>
      <c r="O30" s="27" t="s">
        <v>3462</v>
      </c>
      <c r="P30" s="27" t="s">
        <v>298</v>
      </c>
    </row>
    <row r="31" spans="1:16" ht="24" customHeight="1">
      <c r="A31" s="30">
        <v>45938</v>
      </c>
      <c r="B31" s="27" t="s">
        <v>201</v>
      </c>
      <c r="C31" s="27" t="s">
        <v>2827</v>
      </c>
      <c r="D31" s="27" t="s">
        <v>3517</v>
      </c>
      <c r="E31" s="10" t="s">
        <v>3509</v>
      </c>
      <c r="F31" s="36" t="s">
        <v>263</v>
      </c>
      <c r="G31" s="27" t="s">
        <v>3510</v>
      </c>
      <c r="H31" s="27" t="s">
        <v>269</v>
      </c>
      <c r="I31" s="27" t="s">
        <v>3503</v>
      </c>
      <c r="J31" s="27"/>
      <c r="K31" s="27"/>
      <c r="L31" s="27"/>
      <c r="M31" s="27" t="s">
        <v>3009</v>
      </c>
      <c r="N31" s="1" t="s">
        <v>264</v>
      </c>
      <c r="O31" s="27" t="s">
        <v>3519</v>
      </c>
      <c r="P31" s="27" t="s">
        <v>3522</v>
      </c>
    </row>
    <row r="32" spans="1:16" ht="24" customHeight="1">
      <c r="A32" s="30">
        <v>45939</v>
      </c>
      <c r="B32" s="27" t="s">
        <v>216</v>
      </c>
      <c r="C32" s="27" t="s">
        <v>2827</v>
      </c>
      <c r="D32" s="27" t="s">
        <v>3517</v>
      </c>
      <c r="E32" s="10" t="s">
        <v>3509</v>
      </c>
      <c r="F32" s="36" t="s">
        <v>263</v>
      </c>
      <c r="G32" s="27" t="s">
        <v>3510</v>
      </c>
      <c r="H32" s="27" t="s">
        <v>269</v>
      </c>
      <c r="I32" s="27" t="s">
        <v>3503</v>
      </c>
      <c r="J32" s="27"/>
      <c r="K32" s="27"/>
      <c r="L32" s="27"/>
      <c r="M32" s="27" t="s">
        <v>3009</v>
      </c>
      <c r="N32" s="1" t="s">
        <v>264</v>
      </c>
      <c r="O32" s="27" t="s">
        <v>3519</v>
      </c>
      <c r="P32" s="27" t="s">
        <v>3548</v>
      </c>
    </row>
    <row r="33" spans="1:16" ht="24" customHeight="1">
      <c r="A33" s="30">
        <v>45939</v>
      </c>
      <c r="B33" s="27" t="s">
        <v>216</v>
      </c>
      <c r="C33" s="27" t="s">
        <v>2827</v>
      </c>
      <c r="D33" s="27" t="s">
        <v>171</v>
      </c>
      <c r="E33" s="10" t="s">
        <v>3507</v>
      </c>
      <c r="F33" s="36" t="s">
        <v>263</v>
      </c>
      <c r="G33" s="27"/>
      <c r="H33" s="27" t="s">
        <v>269</v>
      </c>
      <c r="I33" s="27" t="s">
        <v>3503</v>
      </c>
      <c r="J33" s="27"/>
      <c r="K33" s="27"/>
      <c r="L33" s="27"/>
      <c r="M33" s="27" t="s">
        <v>2584</v>
      </c>
      <c r="N33" s="1" t="s">
        <v>264</v>
      </c>
      <c r="O33" s="27" t="s">
        <v>3400</v>
      </c>
      <c r="P33" s="27"/>
    </row>
    <row r="34" spans="1:16" ht="24" customHeight="1">
      <c r="A34" s="30">
        <v>45939</v>
      </c>
      <c r="B34" s="27" t="s">
        <v>216</v>
      </c>
      <c r="C34" s="27" t="s">
        <v>3501</v>
      </c>
      <c r="D34" s="27" t="s">
        <v>239</v>
      </c>
      <c r="E34" s="10" t="s">
        <v>3523</v>
      </c>
      <c r="F34" s="36" t="s">
        <v>263</v>
      </c>
      <c r="G34" s="27" t="s">
        <v>3479</v>
      </c>
      <c r="H34" s="27" t="s">
        <v>274</v>
      </c>
      <c r="I34" s="27" t="s">
        <v>3524</v>
      </c>
      <c r="J34" s="27"/>
      <c r="K34" s="27"/>
      <c r="L34" s="27"/>
      <c r="M34" s="27" t="s">
        <v>2581</v>
      </c>
      <c r="N34" s="3" t="s">
        <v>312</v>
      </c>
      <c r="O34" s="27" t="s">
        <v>3429</v>
      </c>
      <c r="P34" s="27" t="s">
        <v>321</v>
      </c>
    </row>
    <row r="35" spans="1:16" ht="24" customHeight="1">
      <c r="A35" s="30">
        <v>45939</v>
      </c>
      <c r="B35" s="27" t="s">
        <v>216</v>
      </c>
      <c r="C35" s="27" t="s">
        <v>3501</v>
      </c>
      <c r="D35" s="27" t="s">
        <v>3473</v>
      </c>
      <c r="E35" s="10" t="s">
        <v>3502</v>
      </c>
      <c r="F35" s="36" t="s">
        <v>263</v>
      </c>
      <c r="G35" s="27" t="s">
        <v>3494</v>
      </c>
      <c r="H35" s="27" t="s">
        <v>269</v>
      </c>
      <c r="I35" s="27" t="s">
        <v>3503</v>
      </c>
      <c r="J35" s="27"/>
      <c r="K35" s="27"/>
      <c r="L35" s="27"/>
      <c r="M35" s="27" t="s">
        <v>2894</v>
      </c>
      <c r="N35" s="1" t="s">
        <v>264</v>
      </c>
      <c r="O35" s="27" t="s">
        <v>3495</v>
      </c>
      <c r="P35" s="27" t="s">
        <v>298</v>
      </c>
    </row>
    <row r="36" spans="1:16" ht="24" customHeight="1">
      <c r="A36" s="30">
        <v>45939</v>
      </c>
      <c r="B36" s="27" t="s">
        <v>216</v>
      </c>
      <c r="C36" s="27" t="s">
        <v>2827</v>
      </c>
      <c r="D36" s="27" t="s">
        <v>171</v>
      </c>
      <c r="E36" s="10" t="s">
        <v>3549</v>
      </c>
      <c r="F36" s="36" t="s">
        <v>263</v>
      </c>
      <c r="G36" s="27" t="s">
        <v>3498</v>
      </c>
      <c r="H36" s="27" t="s">
        <v>269</v>
      </c>
      <c r="I36" s="27" t="s">
        <v>3550</v>
      </c>
      <c r="J36" s="27"/>
      <c r="K36" s="27"/>
      <c r="L36" s="27"/>
      <c r="M36" s="27" t="s">
        <v>355</v>
      </c>
      <c r="N36" s="1" t="s">
        <v>264</v>
      </c>
      <c r="O36" s="27" t="s">
        <v>3551</v>
      </c>
      <c r="P36" s="27" t="s">
        <v>298</v>
      </c>
    </row>
    <row r="37" spans="1:16" ht="24" customHeight="1">
      <c r="A37" s="30">
        <v>45939</v>
      </c>
      <c r="B37" s="27" t="s">
        <v>216</v>
      </c>
      <c r="C37" s="27" t="s">
        <v>2827</v>
      </c>
      <c r="D37" s="27" t="s">
        <v>239</v>
      </c>
      <c r="E37" s="10" t="s">
        <v>3552</v>
      </c>
      <c r="F37" s="36" t="s">
        <v>263</v>
      </c>
      <c r="G37" s="27" t="s">
        <v>3553</v>
      </c>
      <c r="H37" s="27" t="s">
        <v>429</v>
      </c>
      <c r="I37" s="27" t="s">
        <v>3546</v>
      </c>
      <c r="J37" s="27"/>
      <c r="K37" s="27"/>
      <c r="L37" s="27"/>
      <c r="M37" s="27" t="s">
        <v>3554</v>
      </c>
      <c r="N37" s="1" t="s">
        <v>264</v>
      </c>
      <c r="O37" s="27"/>
      <c r="P37" s="27" t="s">
        <v>3555</v>
      </c>
    </row>
    <row r="38" spans="1:16" ht="24" customHeight="1">
      <c r="A38" s="30">
        <v>45939</v>
      </c>
      <c r="B38" s="27" t="s">
        <v>216</v>
      </c>
      <c r="C38" s="27" t="s">
        <v>3529</v>
      </c>
      <c r="D38" s="27" t="s">
        <v>239</v>
      </c>
      <c r="E38" s="10" t="s">
        <v>3556</v>
      </c>
      <c r="F38" s="36" t="s">
        <v>263</v>
      </c>
      <c r="G38" s="27" t="s">
        <v>3553</v>
      </c>
      <c r="H38" s="27" t="s">
        <v>429</v>
      </c>
      <c r="I38" s="27" t="s">
        <v>3546</v>
      </c>
      <c r="J38" s="27"/>
      <c r="K38" s="27"/>
      <c r="L38" s="27"/>
      <c r="M38" s="27" t="s">
        <v>3554</v>
      </c>
      <c r="N38" s="1" t="s">
        <v>264</v>
      </c>
      <c r="O38" s="27"/>
      <c r="P38" s="27" t="s">
        <v>3557</v>
      </c>
    </row>
    <row r="39" spans="1:16" ht="24" customHeight="1">
      <c r="A39" s="30">
        <v>45939</v>
      </c>
      <c r="B39" s="27" t="s">
        <v>216</v>
      </c>
      <c r="C39" s="27" t="s">
        <v>3501</v>
      </c>
      <c r="D39" s="27" t="s">
        <v>3508</v>
      </c>
      <c r="E39" s="10" t="s">
        <v>3509</v>
      </c>
      <c r="F39" s="36" t="s">
        <v>263</v>
      </c>
      <c r="G39" s="27" t="s">
        <v>3510</v>
      </c>
      <c r="H39" s="27" t="s">
        <v>269</v>
      </c>
      <c r="I39" s="27" t="s">
        <v>3503</v>
      </c>
      <c r="J39" s="27"/>
      <c r="K39" s="27"/>
      <c r="L39" s="27"/>
      <c r="M39" s="27" t="s">
        <v>379</v>
      </c>
      <c r="N39" s="1" t="s">
        <v>264</v>
      </c>
      <c r="O39" s="27" t="s">
        <v>3511</v>
      </c>
      <c r="P39" s="27" t="s">
        <v>3512</v>
      </c>
    </row>
    <row r="40" spans="1:16" ht="24" customHeight="1">
      <c r="A40" s="30">
        <v>45940</v>
      </c>
      <c r="B40" s="27" t="s">
        <v>220</v>
      </c>
      <c r="C40" s="27" t="s">
        <v>2827</v>
      </c>
      <c r="D40" s="27" t="s">
        <v>239</v>
      </c>
      <c r="E40" s="10" t="s">
        <v>3552</v>
      </c>
      <c r="F40" s="36" t="s">
        <v>263</v>
      </c>
      <c r="G40" s="27" t="s">
        <v>3553</v>
      </c>
      <c r="H40" s="27" t="s">
        <v>429</v>
      </c>
      <c r="I40" s="27" t="s">
        <v>3546</v>
      </c>
      <c r="J40" s="27"/>
      <c r="K40" s="27"/>
      <c r="L40" s="27"/>
      <c r="M40" s="27" t="s">
        <v>3554</v>
      </c>
      <c r="N40" s="1" t="s">
        <v>264</v>
      </c>
      <c r="O40" s="27"/>
      <c r="P40" s="27" t="s">
        <v>3555</v>
      </c>
    </row>
    <row r="41" spans="1:16" ht="24" customHeight="1">
      <c r="A41" s="30">
        <v>45940</v>
      </c>
      <c r="B41" s="27" t="s">
        <v>220</v>
      </c>
      <c r="C41" s="27" t="s">
        <v>3501</v>
      </c>
      <c r="D41" s="27" t="s">
        <v>239</v>
      </c>
      <c r="E41" s="10" t="s">
        <v>3556</v>
      </c>
      <c r="F41" s="36" t="s">
        <v>263</v>
      </c>
      <c r="G41" s="27" t="s">
        <v>3553</v>
      </c>
      <c r="H41" s="27" t="s">
        <v>429</v>
      </c>
      <c r="I41" s="27" t="s">
        <v>3546</v>
      </c>
      <c r="J41" s="27"/>
      <c r="K41" s="27"/>
      <c r="L41" s="27"/>
      <c r="M41" s="27" t="s">
        <v>3554</v>
      </c>
      <c r="N41" s="1" t="s">
        <v>264</v>
      </c>
      <c r="O41" s="27"/>
      <c r="P41" s="27" t="s">
        <v>3557</v>
      </c>
    </row>
    <row r="42" spans="1:16" ht="24" customHeight="1">
      <c r="A42" s="30">
        <v>45940</v>
      </c>
      <c r="B42" s="27" t="s">
        <v>220</v>
      </c>
      <c r="C42" s="27" t="s">
        <v>3501</v>
      </c>
      <c r="D42" s="27" t="s">
        <v>3513</v>
      </c>
      <c r="E42" s="10" t="s">
        <v>3509</v>
      </c>
      <c r="F42" s="36" t="s">
        <v>263</v>
      </c>
      <c r="G42" s="27" t="s">
        <v>3510</v>
      </c>
      <c r="H42" s="27" t="s">
        <v>269</v>
      </c>
      <c r="I42" s="27" t="s">
        <v>3503</v>
      </c>
      <c r="J42" s="27"/>
      <c r="K42" s="27"/>
      <c r="L42" s="27"/>
      <c r="M42" s="27" t="s">
        <v>379</v>
      </c>
      <c r="N42" s="1" t="s">
        <v>264</v>
      </c>
      <c r="O42" s="27" t="s">
        <v>3511</v>
      </c>
      <c r="P42" s="27" t="s">
        <v>3512</v>
      </c>
    </row>
    <row r="43" spans="1:16" ht="24" customHeight="1">
      <c r="A43" s="30">
        <v>45940</v>
      </c>
      <c r="B43" s="27" t="s">
        <v>220</v>
      </c>
      <c r="C43" s="27" t="s">
        <v>2827</v>
      </c>
      <c r="D43" s="27" t="s">
        <v>171</v>
      </c>
      <c r="E43" s="10" t="s">
        <v>3558</v>
      </c>
      <c r="F43" s="36" t="s">
        <v>263</v>
      </c>
      <c r="G43" s="27" t="s">
        <v>3498</v>
      </c>
      <c r="H43" s="27" t="s">
        <v>289</v>
      </c>
      <c r="I43" s="27" t="s">
        <v>3503</v>
      </c>
      <c r="J43" s="27"/>
      <c r="K43" s="27"/>
      <c r="L43" s="27"/>
      <c r="M43" s="27" t="s">
        <v>583</v>
      </c>
      <c r="N43" s="1" t="s">
        <v>264</v>
      </c>
      <c r="O43" s="27" t="s">
        <v>3537</v>
      </c>
      <c r="P43" s="27" t="s">
        <v>3559</v>
      </c>
    </row>
    <row r="44" spans="1:16" ht="24" customHeight="1">
      <c r="A44" s="30">
        <v>45940</v>
      </c>
      <c r="B44" s="27" t="s">
        <v>220</v>
      </c>
      <c r="C44" s="27" t="s">
        <v>3501</v>
      </c>
      <c r="D44" s="27" t="s">
        <v>3473</v>
      </c>
      <c r="E44" s="10" t="s">
        <v>3502</v>
      </c>
      <c r="F44" s="36" t="s">
        <v>263</v>
      </c>
      <c r="G44" s="27" t="s">
        <v>3494</v>
      </c>
      <c r="H44" s="27" t="s">
        <v>269</v>
      </c>
      <c r="I44" s="27" t="s">
        <v>3503</v>
      </c>
      <c r="J44" s="27"/>
      <c r="K44" s="27"/>
      <c r="L44" s="27"/>
      <c r="M44" s="27" t="s">
        <v>2894</v>
      </c>
      <c r="N44" s="1" t="s">
        <v>264</v>
      </c>
      <c r="O44" s="27" t="s">
        <v>3495</v>
      </c>
      <c r="P44" s="27" t="s">
        <v>298</v>
      </c>
    </row>
    <row r="45" spans="1:16" ht="24" customHeight="1">
      <c r="A45" s="30">
        <v>45941</v>
      </c>
      <c r="B45" s="27" t="s">
        <v>266</v>
      </c>
      <c r="C45" s="27" t="s">
        <v>2827</v>
      </c>
      <c r="D45" s="27" t="s">
        <v>3560</v>
      </c>
      <c r="E45" s="10" t="s">
        <v>3561</v>
      </c>
      <c r="F45" s="36" t="s">
        <v>263</v>
      </c>
      <c r="G45" s="27"/>
      <c r="H45" s="27" t="s">
        <v>281</v>
      </c>
      <c r="I45" s="27" t="s">
        <v>3562</v>
      </c>
      <c r="J45" s="27"/>
      <c r="K45" s="27"/>
      <c r="L45" s="27"/>
      <c r="M45" s="27" t="s">
        <v>2626</v>
      </c>
      <c r="N45" s="1" t="s">
        <v>264</v>
      </c>
      <c r="O45" s="27" t="s">
        <v>3563</v>
      </c>
      <c r="P45" s="27" t="s">
        <v>3564</v>
      </c>
    </row>
    <row r="46" spans="1:16" ht="24" customHeight="1">
      <c r="A46" s="30">
        <v>45942</v>
      </c>
      <c r="B46" s="27" t="s">
        <v>267</v>
      </c>
      <c r="C46" s="27" t="s">
        <v>2608</v>
      </c>
      <c r="D46" s="27"/>
      <c r="E46" s="10"/>
      <c r="F46" s="36" t="s">
        <v>263</v>
      </c>
      <c r="G46" s="27"/>
      <c r="H46" s="27"/>
      <c r="I46" s="27"/>
      <c r="J46" s="27"/>
      <c r="K46" s="27"/>
      <c r="L46" s="27"/>
      <c r="M46" s="27"/>
      <c r="N46" s="1" t="s">
        <v>264</v>
      </c>
      <c r="O46" s="27"/>
      <c r="P46" s="27"/>
    </row>
    <row r="47" spans="1:16" ht="24" customHeight="1">
      <c r="A47" s="30">
        <v>45943</v>
      </c>
      <c r="B47" s="27" t="s">
        <v>224</v>
      </c>
      <c r="C47" s="27" t="s">
        <v>2608</v>
      </c>
      <c r="D47" s="27" t="s">
        <v>326</v>
      </c>
      <c r="E47" s="10" t="s">
        <v>3507</v>
      </c>
      <c r="F47" s="36" t="s">
        <v>263</v>
      </c>
      <c r="G47" s="27" t="s">
        <v>3565</v>
      </c>
      <c r="H47" s="27" t="s">
        <v>269</v>
      </c>
      <c r="I47" s="27" t="s">
        <v>3503</v>
      </c>
      <c r="J47" s="27"/>
      <c r="K47" s="27"/>
      <c r="L47" s="27"/>
      <c r="M47" s="27" t="s">
        <v>2584</v>
      </c>
      <c r="N47" s="1" t="s">
        <v>264</v>
      </c>
      <c r="O47" s="27" t="s">
        <v>3371</v>
      </c>
      <c r="P47" s="27"/>
    </row>
    <row r="48" spans="1:16" ht="24" customHeight="1">
      <c r="A48" s="30">
        <v>45943</v>
      </c>
      <c r="B48" s="27" t="s">
        <v>224</v>
      </c>
      <c r="C48" s="27" t="s">
        <v>3501</v>
      </c>
      <c r="D48" s="27" t="s">
        <v>3473</v>
      </c>
      <c r="E48" s="10" t="s">
        <v>3502</v>
      </c>
      <c r="F48" s="36" t="s">
        <v>263</v>
      </c>
      <c r="G48" s="27" t="s">
        <v>3494</v>
      </c>
      <c r="H48" s="27" t="s">
        <v>269</v>
      </c>
      <c r="I48" s="27" t="s">
        <v>3503</v>
      </c>
      <c r="J48" s="27"/>
      <c r="K48" s="27"/>
      <c r="L48" s="27"/>
      <c r="M48" s="27" t="s">
        <v>2894</v>
      </c>
      <c r="N48" s="1" t="s">
        <v>264</v>
      </c>
      <c r="O48" s="27" t="s">
        <v>3495</v>
      </c>
      <c r="P48" s="27" t="s">
        <v>298</v>
      </c>
    </row>
    <row r="49" spans="1:16" ht="24" customHeight="1">
      <c r="A49" s="30">
        <v>45943</v>
      </c>
      <c r="B49" s="27" t="s">
        <v>224</v>
      </c>
      <c r="C49" s="27" t="s">
        <v>2608</v>
      </c>
      <c r="D49" s="27" t="s">
        <v>171</v>
      </c>
      <c r="E49" s="10" t="s">
        <v>3566</v>
      </c>
      <c r="F49" s="36" t="s">
        <v>263</v>
      </c>
      <c r="G49" s="27" t="s">
        <v>3498</v>
      </c>
      <c r="H49" s="27" t="s">
        <v>295</v>
      </c>
      <c r="I49" s="27" t="s">
        <v>3503</v>
      </c>
      <c r="J49" s="27"/>
      <c r="K49" s="27"/>
      <c r="L49" s="27"/>
      <c r="M49" s="27" t="s">
        <v>3567</v>
      </c>
      <c r="N49" s="1" t="s">
        <v>264</v>
      </c>
      <c r="O49" s="27" t="s">
        <v>3470</v>
      </c>
      <c r="P49" s="27" t="s">
        <v>298</v>
      </c>
    </row>
    <row r="50" spans="1:16" ht="24" customHeight="1">
      <c r="A50" s="30">
        <v>45943</v>
      </c>
      <c r="B50" s="27" t="s">
        <v>224</v>
      </c>
      <c r="C50" s="27" t="s">
        <v>3501</v>
      </c>
      <c r="D50" s="27" t="s">
        <v>1071</v>
      </c>
      <c r="E50" s="10" t="s">
        <v>3568</v>
      </c>
      <c r="F50" s="36" t="s">
        <v>263</v>
      </c>
      <c r="G50" s="27"/>
      <c r="H50" s="27" t="s">
        <v>3569</v>
      </c>
      <c r="I50" s="27" t="s">
        <v>3570</v>
      </c>
      <c r="J50" s="27"/>
      <c r="K50" s="27"/>
      <c r="L50" s="27"/>
      <c r="M50" s="27" t="s">
        <v>430</v>
      </c>
      <c r="N50" s="3" t="s">
        <v>312</v>
      </c>
      <c r="O50" s="27" t="s">
        <v>3469</v>
      </c>
      <c r="P50" s="27" t="s">
        <v>3571</v>
      </c>
    </row>
    <row r="51" spans="1:16" ht="24" customHeight="1">
      <c r="A51" s="30">
        <v>45943</v>
      </c>
      <c r="B51" s="27" t="s">
        <v>224</v>
      </c>
      <c r="C51" s="27" t="s">
        <v>2608</v>
      </c>
      <c r="D51" s="27" t="s">
        <v>1055</v>
      </c>
      <c r="E51" s="10" t="s">
        <v>3572</v>
      </c>
      <c r="F51" s="36" t="s">
        <v>263</v>
      </c>
      <c r="G51" s="27" t="s">
        <v>3475</v>
      </c>
      <c r="H51" s="27" t="s">
        <v>429</v>
      </c>
      <c r="I51" s="27" t="s">
        <v>3546</v>
      </c>
      <c r="J51" s="27"/>
      <c r="K51" s="27"/>
      <c r="L51" s="27"/>
      <c r="M51" s="27" t="s">
        <v>3573</v>
      </c>
      <c r="N51" s="1" t="s">
        <v>264</v>
      </c>
      <c r="O51" s="27" t="s">
        <v>3574</v>
      </c>
      <c r="P51" s="27" t="s">
        <v>3575</v>
      </c>
    </row>
    <row r="52" spans="1:16" ht="24" customHeight="1">
      <c r="A52" s="30">
        <v>45943</v>
      </c>
      <c r="B52" s="27" t="s">
        <v>224</v>
      </c>
      <c r="C52" s="27" t="s">
        <v>3501</v>
      </c>
      <c r="D52" s="27" t="s">
        <v>1044</v>
      </c>
      <c r="E52" s="10" t="s">
        <v>3576</v>
      </c>
      <c r="F52" s="36" t="s">
        <v>263</v>
      </c>
      <c r="G52" s="27" t="s">
        <v>2321</v>
      </c>
      <c r="H52" s="27" t="s">
        <v>296</v>
      </c>
      <c r="I52" s="27" t="s">
        <v>3503</v>
      </c>
      <c r="J52" s="27"/>
      <c r="K52" s="27"/>
      <c r="L52" s="27"/>
      <c r="M52" s="27" t="s">
        <v>675</v>
      </c>
      <c r="N52" s="1" t="s">
        <v>264</v>
      </c>
      <c r="O52" s="27" t="s">
        <v>3577</v>
      </c>
      <c r="P52" s="27" t="s">
        <v>298</v>
      </c>
    </row>
    <row r="53" spans="1:16" ht="24" customHeight="1">
      <c r="A53" s="30">
        <v>45943</v>
      </c>
      <c r="B53" s="27" t="s">
        <v>224</v>
      </c>
      <c r="C53" s="27" t="s">
        <v>3501</v>
      </c>
      <c r="D53" s="27" t="s">
        <v>1071</v>
      </c>
      <c r="E53" s="10" t="s">
        <v>3578</v>
      </c>
      <c r="F53" s="36" t="s">
        <v>263</v>
      </c>
      <c r="G53" s="27" t="s">
        <v>3579</v>
      </c>
      <c r="H53" s="27" t="s">
        <v>309</v>
      </c>
      <c r="I53" s="27" t="s">
        <v>3570</v>
      </c>
      <c r="J53" s="27"/>
      <c r="K53" s="27"/>
      <c r="L53" s="27"/>
      <c r="M53" s="27" t="s">
        <v>587</v>
      </c>
      <c r="N53" s="1" t="s">
        <v>264</v>
      </c>
      <c r="O53" s="27" t="s">
        <v>3533</v>
      </c>
      <c r="P53" s="27" t="s">
        <v>3580</v>
      </c>
    </row>
    <row r="54" spans="1:16" ht="24" customHeight="1">
      <c r="A54" s="30">
        <v>45943</v>
      </c>
      <c r="B54" s="27" t="s">
        <v>224</v>
      </c>
      <c r="C54" s="27" t="s">
        <v>2608</v>
      </c>
      <c r="D54" s="27" t="s">
        <v>239</v>
      </c>
      <c r="E54" s="10" t="s">
        <v>3552</v>
      </c>
      <c r="F54" s="36" t="s">
        <v>263</v>
      </c>
      <c r="G54" s="27" t="s">
        <v>3553</v>
      </c>
      <c r="H54" s="27" t="s">
        <v>429</v>
      </c>
      <c r="I54" s="27" t="s">
        <v>3546</v>
      </c>
      <c r="J54" s="27"/>
      <c r="K54" s="27"/>
      <c r="L54" s="27"/>
      <c r="M54" s="27" t="s">
        <v>3554</v>
      </c>
      <c r="N54" s="1" t="s">
        <v>264</v>
      </c>
      <c r="O54" s="27"/>
      <c r="P54" s="27" t="s">
        <v>3555</v>
      </c>
    </row>
    <row r="55" spans="1:16" ht="24" customHeight="1">
      <c r="A55" s="30">
        <v>45944</v>
      </c>
      <c r="B55" s="27" t="s">
        <v>227</v>
      </c>
      <c r="C55" s="27" t="s">
        <v>2608</v>
      </c>
      <c r="D55" s="27" t="s">
        <v>239</v>
      </c>
      <c r="E55" s="10" t="s">
        <v>3552</v>
      </c>
      <c r="F55" s="36" t="s">
        <v>263</v>
      </c>
      <c r="G55" s="27" t="s">
        <v>3553</v>
      </c>
      <c r="H55" s="27" t="s">
        <v>429</v>
      </c>
      <c r="I55" s="27" t="s">
        <v>3546</v>
      </c>
      <c r="J55" s="27"/>
      <c r="K55" s="27"/>
      <c r="L55" s="27"/>
      <c r="M55" s="27" t="s">
        <v>3554</v>
      </c>
      <c r="N55" s="1" t="s">
        <v>264</v>
      </c>
      <c r="O55" s="27"/>
      <c r="P55" s="27" t="s">
        <v>3555</v>
      </c>
    </row>
    <row r="56" spans="1:16" ht="24" customHeight="1">
      <c r="A56" s="30">
        <v>45944</v>
      </c>
      <c r="B56" s="27" t="s">
        <v>227</v>
      </c>
      <c r="C56" s="27" t="s">
        <v>3501</v>
      </c>
      <c r="D56" s="27" t="s">
        <v>3473</v>
      </c>
      <c r="E56" s="10" t="s">
        <v>3502</v>
      </c>
      <c r="F56" s="36" t="s">
        <v>263</v>
      </c>
      <c r="G56" s="27" t="s">
        <v>3494</v>
      </c>
      <c r="H56" s="27" t="s">
        <v>269</v>
      </c>
      <c r="I56" s="27" t="s">
        <v>3503</v>
      </c>
      <c r="J56" s="27"/>
      <c r="K56" s="27"/>
      <c r="L56" s="27"/>
      <c r="M56" s="27" t="s">
        <v>2894</v>
      </c>
      <c r="N56" s="3" t="s">
        <v>312</v>
      </c>
      <c r="O56" s="27" t="s">
        <v>3495</v>
      </c>
      <c r="P56" s="27" t="s">
        <v>298</v>
      </c>
    </row>
    <row r="57" spans="1:16" ht="24" customHeight="1">
      <c r="A57" s="30">
        <v>45944</v>
      </c>
      <c r="B57" s="27" t="s">
        <v>227</v>
      </c>
      <c r="C57" s="27" t="s">
        <v>3501</v>
      </c>
      <c r="D57" s="27" t="s">
        <v>239</v>
      </c>
      <c r="E57" s="10" t="s">
        <v>3581</v>
      </c>
      <c r="F57" s="36" t="s">
        <v>263</v>
      </c>
      <c r="G57" s="27" t="s">
        <v>3553</v>
      </c>
      <c r="H57" s="27" t="s">
        <v>309</v>
      </c>
      <c r="I57" s="27" t="s">
        <v>3528</v>
      </c>
      <c r="J57" s="27"/>
      <c r="K57" s="27"/>
      <c r="L57" s="27"/>
      <c r="M57" s="27" t="s">
        <v>3582</v>
      </c>
      <c r="N57" s="1" t="s">
        <v>264</v>
      </c>
      <c r="O57" s="27" t="s">
        <v>3519</v>
      </c>
      <c r="P57" s="27" t="s">
        <v>3583</v>
      </c>
    </row>
    <row r="58" spans="1:16" ht="24" customHeight="1">
      <c r="A58" s="30">
        <v>45944</v>
      </c>
      <c r="B58" s="27" t="s">
        <v>227</v>
      </c>
      <c r="C58" s="27" t="s">
        <v>2608</v>
      </c>
      <c r="D58" s="27" t="s">
        <v>171</v>
      </c>
      <c r="E58" s="10" t="s">
        <v>3581</v>
      </c>
      <c r="F58" s="36" t="s">
        <v>263</v>
      </c>
      <c r="G58" s="27" t="s">
        <v>3553</v>
      </c>
      <c r="H58" s="27" t="s">
        <v>309</v>
      </c>
      <c r="I58" s="27" t="s">
        <v>3528</v>
      </c>
      <c r="J58" s="27"/>
      <c r="K58" s="27"/>
      <c r="L58" s="27"/>
      <c r="M58" s="27" t="s">
        <v>583</v>
      </c>
      <c r="N58" s="1" t="s">
        <v>264</v>
      </c>
      <c r="O58" s="27" t="s">
        <v>3584</v>
      </c>
      <c r="P58" s="27" t="s">
        <v>3585</v>
      </c>
    </row>
    <row r="59" spans="1:16" ht="24" customHeight="1">
      <c r="A59" s="30">
        <v>45944</v>
      </c>
      <c r="B59" s="27" t="s">
        <v>227</v>
      </c>
      <c r="C59" s="27" t="s">
        <v>2608</v>
      </c>
      <c r="D59" s="27" t="s">
        <v>326</v>
      </c>
      <c r="E59" s="10" t="s">
        <v>3586</v>
      </c>
      <c r="F59" s="36" t="s">
        <v>263</v>
      </c>
      <c r="G59" s="27" t="s">
        <v>3475</v>
      </c>
      <c r="H59" s="27" t="s">
        <v>281</v>
      </c>
      <c r="I59" s="27" t="s">
        <v>3503</v>
      </c>
      <c r="J59" s="27"/>
      <c r="K59" s="27"/>
      <c r="L59" s="27"/>
      <c r="M59" s="27" t="s">
        <v>237</v>
      </c>
      <c r="N59" s="1" t="s">
        <v>264</v>
      </c>
      <c r="O59" s="27" t="s">
        <v>3511</v>
      </c>
      <c r="P59" s="27" t="s">
        <v>2699</v>
      </c>
    </row>
    <row r="60" spans="1:16" ht="24" customHeight="1">
      <c r="A60" s="30">
        <v>45945</v>
      </c>
      <c r="B60" s="27" t="s">
        <v>201</v>
      </c>
      <c r="C60" s="27" t="s">
        <v>2608</v>
      </c>
      <c r="D60" s="27" t="s">
        <v>954</v>
      </c>
      <c r="E60" s="10" t="s">
        <v>3587</v>
      </c>
      <c r="F60" s="36" t="s">
        <v>263</v>
      </c>
      <c r="G60" s="27" t="s">
        <v>3475</v>
      </c>
      <c r="H60" s="27" t="s">
        <v>289</v>
      </c>
      <c r="I60" s="27" t="s">
        <v>3505</v>
      </c>
      <c r="J60" s="27"/>
      <c r="K60" s="27"/>
      <c r="L60" s="27"/>
      <c r="M60" s="27" t="s">
        <v>237</v>
      </c>
      <c r="N60" s="1" t="s">
        <v>264</v>
      </c>
      <c r="O60" s="27"/>
      <c r="P60" s="27" t="s">
        <v>298</v>
      </c>
    </row>
    <row r="61" spans="1:16" ht="24" customHeight="1">
      <c r="A61" s="30">
        <v>45945</v>
      </c>
      <c r="B61" s="27" t="s">
        <v>201</v>
      </c>
      <c r="C61" s="27" t="s">
        <v>3501</v>
      </c>
      <c r="D61" s="27" t="s">
        <v>3473</v>
      </c>
      <c r="E61" s="10" t="s">
        <v>3502</v>
      </c>
      <c r="F61" s="36" t="s">
        <v>263</v>
      </c>
      <c r="G61" s="27" t="s">
        <v>3494</v>
      </c>
      <c r="H61" s="27" t="s">
        <v>269</v>
      </c>
      <c r="I61" s="27" t="s">
        <v>3503</v>
      </c>
      <c r="J61" s="27"/>
      <c r="K61" s="27"/>
      <c r="L61" s="27"/>
      <c r="M61" s="27" t="s">
        <v>2894</v>
      </c>
      <c r="N61" s="3" t="s">
        <v>312</v>
      </c>
      <c r="O61" s="27" t="s">
        <v>3495</v>
      </c>
      <c r="P61" s="27" t="s">
        <v>298</v>
      </c>
    </row>
    <row r="62" spans="1:16" ht="24" customHeight="1">
      <c r="A62" s="30">
        <v>45945</v>
      </c>
      <c r="B62" s="27" t="s">
        <v>201</v>
      </c>
      <c r="C62" s="27" t="s">
        <v>3501</v>
      </c>
      <c r="D62" s="27" t="s">
        <v>3588</v>
      </c>
      <c r="E62" s="10" t="s">
        <v>3589</v>
      </c>
      <c r="F62" s="36" t="s">
        <v>263</v>
      </c>
      <c r="G62" s="27" t="s">
        <v>3527</v>
      </c>
      <c r="H62" s="27" t="s">
        <v>316</v>
      </c>
      <c r="I62" s="27" t="s">
        <v>3524</v>
      </c>
      <c r="J62" s="27"/>
      <c r="K62" s="27"/>
      <c r="L62" s="27"/>
      <c r="M62" s="27" t="s">
        <v>1001</v>
      </c>
      <c r="N62" s="1" t="s">
        <v>264</v>
      </c>
      <c r="O62" s="27" t="s">
        <v>3574</v>
      </c>
      <c r="P62" s="27" t="s">
        <v>3590</v>
      </c>
    </row>
    <row r="63" spans="1:16" ht="24" customHeight="1">
      <c r="A63" s="30">
        <v>45945</v>
      </c>
      <c r="B63" s="27" t="s">
        <v>201</v>
      </c>
      <c r="C63" s="27" t="s">
        <v>2608</v>
      </c>
      <c r="D63" s="27" t="s">
        <v>171</v>
      </c>
      <c r="E63" s="10" t="s">
        <v>3591</v>
      </c>
      <c r="F63" s="36" t="s">
        <v>263</v>
      </c>
      <c r="G63" s="27" t="s">
        <v>3553</v>
      </c>
      <c r="H63" s="27" t="s">
        <v>331</v>
      </c>
      <c r="I63" s="27" t="s">
        <v>3592</v>
      </c>
      <c r="J63" s="27"/>
      <c r="K63" s="27"/>
      <c r="L63" s="27"/>
      <c r="M63" s="27"/>
      <c r="N63" s="1" t="s">
        <v>264</v>
      </c>
      <c r="O63" s="27"/>
      <c r="P63" s="27" t="s">
        <v>3593</v>
      </c>
    </row>
    <row r="64" spans="1:16" ht="24" customHeight="1">
      <c r="A64" s="30">
        <v>45945</v>
      </c>
      <c r="B64" s="27" t="s">
        <v>201</v>
      </c>
      <c r="C64" s="27" t="s">
        <v>3501</v>
      </c>
      <c r="D64" s="27" t="s">
        <v>3588</v>
      </c>
      <c r="E64" s="10" t="s">
        <v>3594</v>
      </c>
      <c r="F64" s="36" t="s">
        <v>263</v>
      </c>
      <c r="G64" s="27" t="s">
        <v>3527</v>
      </c>
      <c r="H64" s="27" t="s">
        <v>354</v>
      </c>
      <c r="I64" s="27" t="s">
        <v>3546</v>
      </c>
      <c r="J64" s="27"/>
      <c r="K64" s="27"/>
      <c r="L64" s="27"/>
      <c r="M64" s="27" t="s">
        <v>513</v>
      </c>
      <c r="N64" s="1" t="s">
        <v>264</v>
      </c>
      <c r="O64" s="27" t="s">
        <v>3551</v>
      </c>
      <c r="P64" s="27" t="s">
        <v>3595</v>
      </c>
    </row>
    <row r="65" spans="1:16" ht="24" customHeight="1">
      <c r="A65" s="30">
        <v>45945</v>
      </c>
      <c r="B65" s="27" t="s">
        <v>201</v>
      </c>
      <c r="C65" s="27" t="s">
        <v>2608</v>
      </c>
      <c r="D65" s="27" t="s">
        <v>171</v>
      </c>
      <c r="E65" s="10" t="s">
        <v>3596</v>
      </c>
      <c r="F65" s="36" t="s">
        <v>263</v>
      </c>
      <c r="G65" s="27" t="s">
        <v>3498</v>
      </c>
      <c r="H65" s="27" t="s">
        <v>295</v>
      </c>
      <c r="I65" s="27" t="s">
        <v>3505</v>
      </c>
      <c r="J65" s="27"/>
      <c r="K65" s="27"/>
      <c r="L65" s="27"/>
      <c r="M65" s="27" t="s">
        <v>3315</v>
      </c>
      <c r="N65" s="1" t="s">
        <v>264</v>
      </c>
      <c r="O65" s="27" t="s">
        <v>3470</v>
      </c>
      <c r="P65" s="27" t="s">
        <v>298</v>
      </c>
    </row>
    <row r="66" spans="1:16" ht="24" customHeight="1">
      <c r="A66" s="30">
        <v>45946</v>
      </c>
      <c r="B66" s="27" t="s">
        <v>216</v>
      </c>
      <c r="C66" s="27" t="s">
        <v>2608</v>
      </c>
      <c r="D66" s="27" t="s">
        <v>954</v>
      </c>
      <c r="E66" s="10" t="s">
        <v>3597</v>
      </c>
      <c r="F66" s="36" t="s">
        <v>263</v>
      </c>
      <c r="G66" s="27" t="s">
        <v>3494</v>
      </c>
      <c r="H66" s="27" t="s">
        <v>289</v>
      </c>
      <c r="I66" s="27" t="s">
        <v>3505</v>
      </c>
      <c r="J66" s="27"/>
      <c r="K66" s="27"/>
      <c r="L66" s="27"/>
      <c r="M66" s="27" t="s">
        <v>237</v>
      </c>
      <c r="N66" s="1" t="s">
        <v>264</v>
      </c>
      <c r="O66" s="27" t="s">
        <v>3511</v>
      </c>
      <c r="P66" s="27" t="s">
        <v>298</v>
      </c>
    </row>
    <row r="67" spans="1:16" ht="24" customHeight="1">
      <c r="A67" s="30">
        <v>45946</v>
      </c>
      <c r="B67" s="27" t="s">
        <v>216</v>
      </c>
      <c r="C67" s="27" t="s">
        <v>3501</v>
      </c>
      <c r="D67" s="27" t="s">
        <v>3473</v>
      </c>
      <c r="E67" s="10" t="s">
        <v>3598</v>
      </c>
      <c r="F67" s="36" t="s">
        <v>263</v>
      </c>
      <c r="G67" s="27" t="s">
        <v>3494</v>
      </c>
      <c r="H67" s="27" t="s">
        <v>338</v>
      </c>
      <c r="I67" s="27" t="s">
        <v>3499</v>
      </c>
      <c r="J67" s="27"/>
      <c r="K67" s="27"/>
      <c r="L67" s="27"/>
      <c r="M67" s="27" t="s">
        <v>2894</v>
      </c>
      <c r="N67" s="1" t="s">
        <v>264</v>
      </c>
      <c r="O67" s="27" t="s">
        <v>3599</v>
      </c>
      <c r="P67" s="27" t="s">
        <v>298</v>
      </c>
    </row>
    <row r="68" spans="1:16" ht="24" customHeight="1">
      <c r="A68" s="30">
        <v>45946</v>
      </c>
      <c r="B68" s="27" t="s">
        <v>216</v>
      </c>
      <c r="C68" s="27" t="s">
        <v>3501</v>
      </c>
      <c r="D68" s="27" t="s">
        <v>3588</v>
      </c>
      <c r="E68" s="10" t="s">
        <v>3600</v>
      </c>
      <c r="F68" s="36" t="s">
        <v>263</v>
      </c>
      <c r="G68" s="27" t="s">
        <v>3601</v>
      </c>
      <c r="H68" s="27" t="s">
        <v>331</v>
      </c>
      <c r="I68" s="27" t="s">
        <v>3505</v>
      </c>
      <c r="J68" s="27"/>
      <c r="K68" s="27"/>
      <c r="L68" s="27"/>
      <c r="M68" s="27" t="s">
        <v>548</v>
      </c>
      <c r="N68" s="1" t="s">
        <v>264</v>
      </c>
      <c r="O68" s="27" t="s">
        <v>3602</v>
      </c>
      <c r="P68" s="27" t="s">
        <v>738</v>
      </c>
    </row>
    <row r="69" spans="1:16" ht="24" customHeight="1">
      <c r="A69" s="30">
        <v>45946</v>
      </c>
      <c r="B69" s="27" t="s">
        <v>216</v>
      </c>
      <c r="C69" s="27" t="s">
        <v>3501</v>
      </c>
      <c r="D69" s="27" t="s">
        <v>3588</v>
      </c>
      <c r="E69" s="10"/>
      <c r="F69" s="36" t="s">
        <v>263</v>
      </c>
      <c r="G69" s="27"/>
      <c r="H69" s="27" t="s">
        <v>309</v>
      </c>
      <c r="I69" s="27" t="s">
        <v>3505</v>
      </c>
      <c r="J69" s="27"/>
      <c r="K69" s="27"/>
      <c r="L69" s="27"/>
      <c r="M69" s="27" t="s">
        <v>548</v>
      </c>
      <c r="N69" s="1" t="s">
        <v>264</v>
      </c>
      <c r="O69" s="27" t="s">
        <v>3602</v>
      </c>
      <c r="P69" s="27"/>
    </row>
    <row r="70" spans="1:16" ht="24" customHeight="1">
      <c r="A70" s="30">
        <v>45946</v>
      </c>
      <c r="B70" s="27" t="s">
        <v>216</v>
      </c>
      <c r="C70" s="27" t="s">
        <v>2608</v>
      </c>
      <c r="D70" s="27" t="s">
        <v>171</v>
      </c>
      <c r="E70" s="10" t="s">
        <v>3507</v>
      </c>
      <c r="F70" s="36" t="s">
        <v>263</v>
      </c>
      <c r="G70" s="27"/>
      <c r="H70" s="27" t="s">
        <v>269</v>
      </c>
      <c r="I70" s="27" t="s">
        <v>3503</v>
      </c>
      <c r="J70" s="27"/>
      <c r="K70" s="27"/>
      <c r="L70" s="27"/>
      <c r="M70" s="27" t="s">
        <v>2584</v>
      </c>
      <c r="N70" s="3" t="s">
        <v>312</v>
      </c>
      <c r="O70" s="27" t="s">
        <v>3371</v>
      </c>
      <c r="P70" s="27"/>
    </row>
    <row r="71" spans="1:16" ht="24" customHeight="1">
      <c r="A71" s="30">
        <v>45946</v>
      </c>
      <c r="B71" s="27" t="s">
        <v>216</v>
      </c>
      <c r="C71" s="27" t="s">
        <v>2608</v>
      </c>
      <c r="D71" s="27" t="s">
        <v>171</v>
      </c>
      <c r="E71" s="10" t="s">
        <v>3603</v>
      </c>
      <c r="F71" s="36" t="s">
        <v>263</v>
      </c>
      <c r="G71" s="27"/>
      <c r="H71" s="27" t="s">
        <v>295</v>
      </c>
      <c r="I71" s="27" t="s">
        <v>3562</v>
      </c>
      <c r="J71" s="27"/>
      <c r="K71" s="27"/>
      <c r="L71" s="27"/>
      <c r="M71" s="27" t="s">
        <v>2835</v>
      </c>
      <c r="N71" s="1" t="s">
        <v>264</v>
      </c>
      <c r="O71" s="27" t="s">
        <v>3519</v>
      </c>
      <c r="P71" s="27" t="s">
        <v>1571</v>
      </c>
    </row>
    <row r="72" spans="1:16" ht="24" customHeight="1">
      <c r="A72" s="30">
        <v>45947</v>
      </c>
      <c r="B72" s="27" t="s">
        <v>220</v>
      </c>
      <c r="C72" s="27" t="s">
        <v>2608</v>
      </c>
      <c r="D72" s="27" t="s">
        <v>1044</v>
      </c>
      <c r="E72" s="10" t="s">
        <v>3576</v>
      </c>
      <c r="F72" s="36" t="s">
        <v>263</v>
      </c>
      <c r="G72" s="27" t="s">
        <v>2321</v>
      </c>
      <c r="H72" s="27" t="s">
        <v>296</v>
      </c>
      <c r="I72" s="27" t="s">
        <v>3503</v>
      </c>
      <c r="J72" s="27"/>
      <c r="K72" s="27"/>
      <c r="L72" s="27"/>
      <c r="M72" s="27" t="s">
        <v>675</v>
      </c>
      <c r="N72" s="3" t="s">
        <v>312</v>
      </c>
      <c r="O72" s="27" t="s">
        <v>3577</v>
      </c>
      <c r="P72" s="27" t="s">
        <v>298</v>
      </c>
    </row>
    <row r="73" spans="1:16" ht="24" customHeight="1">
      <c r="A73" s="30">
        <v>45947</v>
      </c>
      <c r="B73" s="27" t="s">
        <v>220</v>
      </c>
      <c r="C73" s="27" t="s">
        <v>3501</v>
      </c>
      <c r="D73" s="27" t="s">
        <v>3473</v>
      </c>
      <c r="E73" s="10" t="s">
        <v>3502</v>
      </c>
      <c r="F73" s="36" t="s">
        <v>263</v>
      </c>
      <c r="G73" s="27" t="s">
        <v>3494</v>
      </c>
      <c r="H73" s="27" t="s">
        <v>269</v>
      </c>
      <c r="I73" s="27" t="s">
        <v>3503</v>
      </c>
      <c r="J73" s="27"/>
      <c r="K73" s="27"/>
      <c r="L73" s="27"/>
      <c r="M73" s="27" t="s">
        <v>2894</v>
      </c>
      <c r="N73" s="3" t="s">
        <v>312</v>
      </c>
      <c r="O73" s="27" t="s">
        <v>3495</v>
      </c>
      <c r="P73" s="27" t="s">
        <v>298</v>
      </c>
    </row>
    <row r="74" spans="1:16" ht="24" customHeight="1">
      <c r="A74" s="30">
        <v>45947</v>
      </c>
      <c r="B74" s="27" t="s">
        <v>220</v>
      </c>
      <c r="C74" s="27" t="s">
        <v>3501</v>
      </c>
      <c r="D74" s="27" t="s">
        <v>3588</v>
      </c>
      <c r="E74" s="10" t="s">
        <v>3604</v>
      </c>
      <c r="F74" s="36" t="s">
        <v>263</v>
      </c>
      <c r="G74" s="27" t="s">
        <v>3605</v>
      </c>
      <c r="H74" s="27" t="s">
        <v>330</v>
      </c>
      <c r="I74" s="27" t="s">
        <v>3606</v>
      </c>
      <c r="J74" s="27"/>
      <c r="K74" s="27"/>
      <c r="L74" s="27"/>
      <c r="M74" s="27" t="s">
        <v>3607</v>
      </c>
      <c r="N74" s="3" t="s">
        <v>312</v>
      </c>
      <c r="O74" s="27" t="s">
        <v>3551</v>
      </c>
      <c r="P74" s="27" t="s">
        <v>3595</v>
      </c>
    </row>
    <row r="75" spans="1:16" ht="24" customHeight="1">
      <c r="A75" s="30">
        <v>45947</v>
      </c>
      <c r="B75" s="27" t="s">
        <v>220</v>
      </c>
      <c r="C75" s="27" t="s">
        <v>3501</v>
      </c>
      <c r="D75" s="27" t="s">
        <v>3608</v>
      </c>
      <c r="E75" s="10" t="s">
        <v>3609</v>
      </c>
      <c r="F75" s="36" t="s">
        <v>263</v>
      </c>
      <c r="G75" s="27" t="s">
        <v>3527</v>
      </c>
      <c r="H75" s="27" t="s">
        <v>429</v>
      </c>
      <c r="I75" s="27" t="s">
        <v>3610</v>
      </c>
      <c r="J75" s="27"/>
      <c r="K75" s="27"/>
      <c r="L75" s="27"/>
      <c r="M75" s="27"/>
      <c r="N75" s="1" t="s">
        <v>264</v>
      </c>
      <c r="O75" s="27"/>
      <c r="P75" s="27"/>
    </row>
    <row r="76" spans="1:16" ht="24" customHeight="1">
      <c r="A76" s="30">
        <v>45948</v>
      </c>
      <c r="B76" s="27" t="s">
        <v>266</v>
      </c>
      <c r="C76" s="27" t="s">
        <v>2608</v>
      </c>
      <c r="D76" s="27"/>
      <c r="E76" s="10"/>
      <c r="F76" s="36" t="s">
        <v>263</v>
      </c>
      <c r="G76" s="27"/>
      <c r="H76" s="27"/>
      <c r="I76" s="27"/>
      <c r="J76" s="27"/>
      <c r="K76" s="27"/>
      <c r="L76" s="27"/>
      <c r="M76" s="27"/>
      <c r="N76" s="1" t="s">
        <v>264</v>
      </c>
      <c r="O76" s="27"/>
      <c r="P76" s="27"/>
    </row>
    <row r="77" spans="1:16" ht="24" customHeight="1">
      <c r="A77" s="30">
        <v>45949</v>
      </c>
      <c r="B77" s="27" t="s">
        <v>267</v>
      </c>
      <c r="C77" s="27" t="s">
        <v>2827</v>
      </c>
      <c r="D77" s="27"/>
      <c r="E77" s="10"/>
      <c r="F77" s="36" t="s">
        <v>263</v>
      </c>
      <c r="G77" s="27"/>
      <c r="H77" s="27"/>
      <c r="I77" s="27"/>
      <c r="J77" s="27"/>
      <c r="K77" s="27"/>
      <c r="L77" s="27"/>
      <c r="M77" s="27"/>
      <c r="N77" s="1" t="s">
        <v>264</v>
      </c>
      <c r="O77" s="27"/>
      <c r="P77" s="27"/>
    </row>
    <row r="78" spans="1:16" ht="24" customHeight="1">
      <c r="A78" s="30">
        <v>45950</v>
      </c>
      <c r="B78" s="27" t="s">
        <v>224</v>
      </c>
      <c r="C78" s="27" t="s">
        <v>2608</v>
      </c>
      <c r="D78" s="27" t="s">
        <v>171</v>
      </c>
      <c r="E78" s="10" t="s">
        <v>3507</v>
      </c>
      <c r="F78" s="36" t="s">
        <v>263</v>
      </c>
      <c r="G78" s="27"/>
      <c r="H78" s="27" t="s">
        <v>269</v>
      </c>
      <c r="I78" s="27" t="s">
        <v>3503</v>
      </c>
      <c r="J78" s="27"/>
      <c r="K78" s="27"/>
      <c r="L78" s="27"/>
      <c r="M78" s="27" t="s">
        <v>2584</v>
      </c>
      <c r="N78" s="3" t="s">
        <v>312</v>
      </c>
      <c r="O78" s="27" t="s">
        <v>3371</v>
      </c>
      <c r="P78" s="27"/>
    </row>
    <row r="79" spans="1:16" ht="24" customHeight="1">
      <c r="A79" s="30">
        <v>45951</v>
      </c>
      <c r="B79" s="27" t="s">
        <v>227</v>
      </c>
      <c r="C79" s="27" t="s">
        <v>2608</v>
      </c>
      <c r="D79" s="27" t="s">
        <v>171</v>
      </c>
      <c r="E79" s="10" t="s">
        <v>3526</v>
      </c>
      <c r="F79" s="36" t="s">
        <v>263</v>
      </c>
      <c r="G79" s="27" t="s">
        <v>3527</v>
      </c>
      <c r="H79" s="27" t="s">
        <v>295</v>
      </c>
      <c r="I79" s="27" t="s">
        <v>3528</v>
      </c>
      <c r="J79" s="27"/>
      <c r="K79" s="27"/>
      <c r="L79" s="27"/>
      <c r="M79" s="27" t="s">
        <v>2835</v>
      </c>
      <c r="N79" s="3" t="s">
        <v>312</v>
      </c>
      <c r="O79" s="27" t="s">
        <v>3515</v>
      </c>
      <c r="P79" s="27" t="s">
        <v>298</v>
      </c>
    </row>
    <row r="80" spans="1:16" ht="24" customHeight="1">
      <c r="A80" s="30">
        <v>45953</v>
      </c>
      <c r="B80" s="27" t="s">
        <v>216</v>
      </c>
      <c r="C80" s="27" t="s">
        <v>2608</v>
      </c>
      <c r="D80" s="27" t="s">
        <v>171</v>
      </c>
      <c r="E80" s="10" t="s">
        <v>3507</v>
      </c>
      <c r="F80" s="36" t="s">
        <v>263</v>
      </c>
      <c r="G80" s="27"/>
      <c r="H80" s="27" t="s">
        <v>269</v>
      </c>
      <c r="I80" s="27" t="s">
        <v>3503</v>
      </c>
      <c r="J80" s="27"/>
      <c r="K80" s="27"/>
      <c r="L80" s="27"/>
      <c r="M80" s="27" t="s">
        <v>2584</v>
      </c>
      <c r="N80" s="3" t="s">
        <v>312</v>
      </c>
      <c r="O80" s="27" t="s">
        <v>3371</v>
      </c>
      <c r="P80" s="27" t="s">
        <v>3611</v>
      </c>
    </row>
    <row r="81" spans="1:16" ht="24" customHeight="1">
      <c r="A81" s="30">
        <v>45953</v>
      </c>
      <c r="B81" s="27" t="s">
        <v>216</v>
      </c>
      <c r="C81" s="27" t="s">
        <v>2608</v>
      </c>
      <c r="D81" s="27" t="s">
        <v>171</v>
      </c>
      <c r="E81" s="10" t="s">
        <v>3603</v>
      </c>
      <c r="F81" s="36" t="s">
        <v>263</v>
      </c>
      <c r="G81" s="27"/>
      <c r="H81" s="27" t="s">
        <v>295</v>
      </c>
      <c r="I81" s="27" t="s">
        <v>3562</v>
      </c>
      <c r="J81" s="27"/>
      <c r="K81" s="27"/>
      <c r="L81" s="27"/>
      <c r="M81" s="27" t="s">
        <v>2835</v>
      </c>
      <c r="N81" s="1" t="s">
        <v>264</v>
      </c>
      <c r="O81" s="27" t="s">
        <v>3519</v>
      </c>
      <c r="P81" s="27" t="s">
        <v>3612</v>
      </c>
    </row>
    <row r="82" spans="1:16" ht="24" customHeight="1">
      <c r="A82" s="30">
        <v>45953</v>
      </c>
      <c r="B82" s="27" t="s">
        <v>216</v>
      </c>
      <c r="C82" s="27" t="s">
        <v>3501</v>
      </c>
      <c r="D82" s="27" t="s">
        <v>3473</v>
      </c>
      <c r="E82" s="10" t="s">
        <v>271</v>
      </c>
      <c r="F82" s="36" t="s">
        <v>263</v>
      </c>
      <c r="G82" s="27" t="s">
        <v>3527</v>
      </c>
      <c r="H82" s="27" t="s">
        <v>429</v>
      </c>
      <c r="I82" s="27" t="s">
        <v>3532</v>
      </c>
      <c r="J82" s="27"/>
      <c r="K82" s="27"/>
      <c r="L82" s="27"/>
      <c r="M82" s="27" t="s">
        <v>513</v>
      </c>
      <c r="N82" s="1" t="s">
        <v>264</v>
      </c>
      <c r="O82" s="27" t="s">
        <v>3599</v>
      </c>
      <c r="P82" s="27" t="s">
        <v>3595</v>
      </c>
    </row>
    <row r="83" spans="1:16" ht="24" customHeight="1">
      <c r="A83" s="30">
        <v>45953</v>
      </c>
      <c r="B83" s="27" t="s">
        <v>216</v>
      </c>
      <c r="C83" s="27" t="s">
        <v>2608</v>
      </c>
      <c r="D83" s="27" t="s">
        <v>326</v>
      </c>
      <c r="E83" s="10" t="s">
        <v>3613</v>
      </c>
      <c r="F83" s="36" t="s">
        <v>263</v>
      </c>
      <c r="G83" s="27"/>
      <c r="H83" s="27" t="s">
        <v>269</v>
      </c>
      <c r="I83" s="27" t="s">
        <v>3503</v>
      </c>
      <c r="J83" s="27"/>
      <c r="K83" s="27"/>
      <c r="L83" s="27"/>
      <c r="M83" s="27" t="s">
        <v>237</v>
      </c>
      <c r="N83" s="1" t="s">
        <v>264</v>
      </c>
      <c r="O83" s="27"/>
      <c r="P83" s="27" t="s">
        <v>3614</v>
      </c>
    </row>
    <row r="84" spans="1:16" ht="24" customHeight="1">
      <c r="A84" s="30">
        <v>45953</v>
      </c>
      <c r="B84" s="27" t="s">
        <v>216</v>
      </c>
      <c r="C84" s="27" t="s">
        <v>3501</v>
      </c>
      <c r="D84" s="27" t="s">
        <v>3615</v>
      </c>
      <c r="E84" s="10" t="s">
        <v>3616</v>
      </c>
      <c r="F84" s="36" t="s">
        <v>263</v>
      </c>
      <c r="G84" s="27"/>
      <c r="H84" s="27" t="s">
        <v>289</v>
      </c>
      <c r="I84" s="27" t="s">
        <v>3528</v>
      </c>
      <c r="J84" s="27"/>
      <c r="K84" s="27"/>
      <c r="L84" s="27"/>
      <c r="M84" s="27"/>
      <c r="N84" s="1" t="s">
        <v>264</v>
      </c>
      <c r="O84" s="27"/>
      <c r="P84" s="27" t="s">
        <v>3617</v>
      </c>
    </row>
    <row r="85" spans="1:16" ht="24" customHeight="1">
      <c r="A85" s="30">
        <v>45953</v>
      </c>
      <c r="B85" s="27" t="s">
        <v>216</v>
      </c>
      <c r="C85" s="27" t="s">
        <v>2608</v>
      </c>
      <c r="D85" s="27" t="s">
        <v>954</v>
      </c>
      <c r="E85" s="10" t="s">
        <v>3587</v>
      </c>
      <c r="F85" s="36" t="s">
        <v>263</v>
      </c>
      <c r="G85" s="27" t="s">
        <v>3494</v>
      </c>
      <c r="H85" s="27" t="s">
        <v>289</v>
      </c>
      <c r="I85" s="27" t="s">
        <v>3505</v>
      </c>
      <c r="J85" s="27"/>
      <c r="K85" s="27"/>
      <c r="L85" s="27"/>
      <c r="M85" s="27" t="s">
        <v>237</v>
      </c>
      <c r="N85" s="3" t="s">
        <v>312</v>
      </c>
      <c r="O85" s="27" t="s">
        <v>3511</v>
      </c>
      <c r="P85" s="27" t="s">
        <v>298</v>
      </c>
    </row>
    <row r="86" spans="1:16" ht="24" customHeight="1">
      <c r="A86" s="30">
        <v>45954</v>
      </c>
      <c r="B86" s="27" t="s">
        <v>220</v>
      </c>
      <c r="C86" s="27" t="s">
        <v>2608</v>
      </c>
      <c r="D86" s="27" t="s">
        <v>171</v>
      </c>
      <c r="E86" s="10" t="s">
        <v>828</v>
      </c>
      <c r="F86" s="36" t="s">
        <v>263</v>
      </c>
      <c r="G86" s="27" t="s">
        <v>3498</v>
      </c>
      <c r="H86" s="27" t="s">
        <v>338</v>
      </c>
      <c r="I86" s="27" t="s">
        <v>3618</v>
      </c>
      <c r="J86" s="27"/>
      <c r="K86" s="27"/>
      <c r="L86" s="27"/>
      <c r="M86" s="27"/>
      <c r="N86" s="1" t="s">
        <v>264</v>
      </c>
      <c r="O86" s="27"/>
      <c r="P86" s="27"/>
    </row>
    <row r="87" spans="1:16" ht="24" customHeight="1">
      <c r="A87" s="30">
        <v>45954</v>
      </c>
      <c r="B87" s="27" t="s">
        <v>220</v>
      </c>
      <c r="C87" s="27" t="s">
        <v>2608</v>
      </c>
      <c r="D87" s="27" t="s">
        <v>326</v>
      </c>
      <c r="E87" s="10" t="s">
        <v>3619</v>
      </c>
      <c r="F87" s="36" t="s">
        <v>263</v>
      </c>
      <c r="G87" s="27" t="s">
        <v>3494</v>
      </c>
      <c r="H87" s="27" t="s">
        <v>289</v>
      </c>
      <c r="I87" s="27" t="s">
        <v>3620</v>
      </c>
      <c r="J87" s="27"/>
      <c r="K87" s="27"/>
      <c r="L87" s="27"/>
      <c r="M87" s="27" t="s">
        <v>237</v>
      </c>
      <c r="N87" s="3" t="s">
        <v>312</v>
      </c>
      <c r="O87" s="27"/>
      <c r="P87" s="27" t="s">
        <v>696</v>
      </c>
    </row>
    <row r="88" spans="1:16" ht="24" customHeight="1">
      <c r="A88" s="30">
        <v>45955</v>
      </c>
      <c r="B88" s="27" t="s">
        <v>266</v>
      </c>
      <c r="C88" s="27" t="s">
        <v>2608</v>
      </c>
      <c r="D88" s="27"/>
      <c r="E88" s="10"/>
      <c r="F88" s="36" t="s">
        <v>263</v>
      </c>
      <c r="G88" s="27"/>
      <c r="H88" s="27"/>
      <c r="I88" s="27"/>
      <c r="J88" s="27"/>
      <c r="K88" s="27"/>
      <c r="L88" s="27"/>
      <c r="M88" s="27"/>
      <c r="N88" s="1" t="s">
        <v>264</v>
      </c>
      <c r="O88" s="27"/>
      <c r="P88" s="27"/>
    </row>
    <row r="89" spans="1:16" ht="24" customHeight="1">
      <c r="A89" s="30">
        <v>45956</v>
      </c>
      <c r="B89" s="27" t="s">
        <v>267</v>
      </c>
      <c r="C89" s="27" t="s">
        <v>2608</v>
      </c>
      <c r="D89" s="27"/>
      <c r="E89" s="10"/>
      <c r="F89" s="36" t="s">
        <v>263</v>
      </c>
      <c r="G89" s="27"/>
      <c r="H89" s="27"/>
      <c r="I89" s="27"/>
      <c r="J89" s="27"/>
      <c r="K89" s="27"/>
      <c r="L89" s="27"/>
      <c r="M89" s="27"/>
      <c r="N89" s="1" t="s">
        <v>264</v>
      </c>
      <c r="O89" s="27"/>
      <c r="P89" s="27"/>
    </row>
    <row r="90" spans="1:16" ht="24" customHeight="1">
      <c r="A90" s="30">
        <v>45957</v>
      </c>
      <c r="B90" s="27" t="s">
        <v>224</v>
      </c>
      <c r="C90" s="27" t="s">
        <v>2608</v>
      </c>
      <c r="D90" s="27" t="s">
        <v>326</v>
      </c>
      <c r="E90" s="10" t="s">
        <v>3507</v>
      </c>
      <c r="F90" s="36" t="s">
        <v>263</v>
      </c>
      <c r="G90" s="27"/>
      <c r="H90" s="27" t="s">
        <v>269</v>
      </c>
      <c r="I90" s="27" t="s">
        <v>3503</v>
      </c>
      <c r="J90" s="27"/>
      <c r="K90" s="27"/>
      <c r="L90" s="27"/>
      <c r="M90" s="27"/>
      <c r="N90" s="1" t="s">
        <v>264</v>
      </c>
      <c r="O90" s="27"/>
      <c r="P90" s="27" t="s">
        <v>3611</v>
      </c>
    </row>
    <row r="91" spans="1:16" ht="24" customHeight="1">
      <c r="A91" s="30">
        <v>45957</v>
      </c>
      <c r="B91" s="27" t="s">
        <v>224</v>
      </c>
      <c r="C91" s="27" t="s">
        <v>2608</v>
      </c>
      <c r="D91" s="27" t="s">
        <v>171</v>
      </c>
      <c r="E91" s="10" t="s">
        <v>3507</v>
      </c>
      <c r="F91" s="36" t="s">
        <v>263</v>
      </c>
      <c r="G91" s="27"/>
      <c r="H91" s="27" t="s">
        <v>269</v>
      </c>
      <c r="I91" s="27" t="s">
        <v>3503</v>
      </c>
      <c r="J91" s="27"/>
      <c r="K91" s="27"/>
      <c r="L91" s="27"/>
      <c r="M91" s="27" t="s">
        <v>2584</v>
      </c>
      <c r="N91" s="1" t="s">
        <v>264</v>
      </c>
      <c r="O91" s="27" t="s">
        <v>3371</v>
      </c>
      <c r="P91" s="27" t="s">
        <v>3611</v>
      </c>
    </row>
    <row r="92" spans="1:16" ht="24" customHeight="1">
      <c r="A92" s="30">
        <v>45957</v>
      </c>
      <c r="B92" s="27" t="s">
        <v>224</v>
      </c>
      <c r="C92" s="27" t="s">
        <v>3621</v>
      </c>
      <c r="D92" s="27" t="s">
        <v>389</v>
      </c>
      <c r="E92" s="10" t="s">
        <v>3622</v>
      </c>
      <c r="F92" s="36" t="s">
        <v>263</v>
      </c>
      <c r="G92" s="27" t="s">
        <v>3623</v>
      </c>
      <c r="H92" s="27" t="s">
        <v>506</v>
      </c>
      <c r="I92" s="27" t="s">
        <v>3606</v>
      </c>
      <c r="J92" s="27"/>
      <c r="K92" s="27"/>
      <c r="L92" s="27"/>
      <c r="M92" s="27" t="s">
        <v>395</v>
      </c>
      <c r="N92" s="1" t="s">
        <v>264</v>
      </c>
      <c r="O92" s="27" t="s">
        <v>3624</v>
      </c>
      <c r="P92" s="27" t="s">
        <v>298</v>
      </c>
    </row>
    <row r="93" spans="1:16" ht="24" customHeight="1">
      <c r="A93" s="30">
        <v>45957</v>
      </c>
      <c r="B93" s="27" t="s">
        <v>224</v>
      </c>
      <c r="C93" s="27" t="s">
        <v>3501</v>
      </c>
      <c r="D93" s="27" t="s">
        <v>3625</v>
      </c>
      <c r="E93" s="10" t="s">
        <v>3509</v>
      </c>
      <c r="F93" s="36" t="s">
        <v>263</v>
      </c>
      <c r="G93" s="27" t="s">
        <v>3510</v>
      </c>
      <c r="H93" s="27" t="s">
        <v>269</v>
      </c>
      <c r="I93" s="27" t="s">
        <v>3503</v>
      </c>
      <c r="J93" s="27"/>
      <c r="K93" s="27"/>
      <c r="L93" s="27"/>
      <c r="M93" s="27" t="s">
        <v>379</v>
      </c>
      <c r="N93" s="1" t="s">
        <v>264</v>
      </c>
      <c r="O93" s="27" t="s">
        <v>3624</v>
      </c>
      <c r="P93" s="27" t="s">
        <v>3626</v>
      </c>
    </row>
    <row r="94" spans="1:16" ht="24" customHeight="1">
      <c r="A94" s="30">
        <v>45957</v>
      </c>
      <c r="B94" s="27" t="s">
        <v>224</v>
      </c>
      <c r="C94" s="27" t="s">
        <v>3501</v>
      </c>
      <c r="D94" s="27" t="s">
        <v>3513</v>
      </c>
      <c r="E94" s="10" t="s">
        <v>3509</v>
      </c>
      <c r="F94" s="36" t="s">
        <v>263</v>
      </c>
      <c r="G94" s="27"/>
      <c r="H94" s="27" t="s">
        <v>269</v>
      </c>
      <c r="I94" s="27" t="s">
        <v>3503</v>
      </c>
      <c r="J94" s="27"/>
      <c r="K94" s="27"/>
      <c r="L94" s="27"/>
      <c r="M94" s="27" t="s">
        <v>379</v>
      </c>
      <c r="N94" s="1" t="s">
        <v>264</v>
      </c>
      <c r="O94" s="27" t="s">
        <v>3624</v>
      </c>
      <c r="P94" s="27" t="s">
        <v>3626</v>
      </c>
    </row>
    <row r="95" spans="1:16" ht="24" customHeight="1">
      <c r="A95" s="30">
        <v>45957</v>
      </c>
      <c r="B95" s="27" t="s">
        <v>224</v>
      </c>
      <c r="C95" s="27" t="s">
        <v>3621</v>
      </c>
      <c r="D95" s="27" t="s">
        <v>389</v>
      </c>
      <c r="E95" s="10" t="s">
        <v>3627</v>
      </c>
      <c r="F95" s="36" t="s">
        <v>263</v>
      </c>
      <c r="G95" s="27" t="s">
        <v>3623</v>
      </c>
      <c r="H95" s="27" t="s">
        <v>289</v>
      </c>
      <c r="I95" s="27" t="s">
        <v>3620</v>
      </c>
      <c r="J95" s="27"/>
      <c r="K95" s="27"/>
      <c r="L95" s="27"/>
      <c r="M95" s="27" t="s">
        <v>395</v>
      </c>
      <c r="N95" s="1" t="s">
        <v>264</v>
      </c>
      <c r="O95" s="27" t="s">
        <v>3628</v>
      </c>
      <c r="P95" s="27" t="s">
        <v>3629</v>
      </c>
    </row>
    <row r="96" spans="1:16" ht="24" customHeight="1">
      <c r="A96" s="30">
        <v>45958</v>
      </c>
      <c r="B96" s="27" t="s">
        <v>227</v>
      </c>
      <c r="C96" s="27" t="s">
        <v>2608</v>
      </c>
      <c r="D96" s="27" t="s">
        <v>171</v>
      </c>
      <c r="E96" s="10" t="s">
        <v>3526</v>
      </c>
      <c r="F96" s="36" t="s">
        <v>263</v>
      </c>
      <c r="G96" s="27" t="s">
        <v>3527</v>
      </c>
      <c r="H96" s="27" t="s">
        <v>309</v>
      </c>
      <c r="I96" s="27" t="s">
        <v>3546</v>
      </c>
      <c r="J96" s="27"/>
      <c r="K96" s="27"/>
      <c r="L96" s="27"/>
      <c r="M96" s="27" t="s">
        <v>2835</v>
      </c>
      <c r="N96" s="1" t="s">
        <v>264</v>
      </c>
      <c r="O96" s="27" t="s">
        <v>3515</v>
      </c>
      <c r="P96" s="27" t="s">
        <v>298</v>
      </c>
    </row>
    <row r="97" spans="1:16" ht="24" customHeight="1">
      <c r="A97" s="30">
        <v>45958</v>
      </c>
      <c r="B97" s="27" t="s">
        <v>227</v>
      </c>
      <c r="C97" s="27" t="s">
        <v>3621</v>
      </c>
      <c r="D97" s="27" t="s">
        <v>138</v>
      </c>
      <c r="E97" s="10" t="s">
        <v>3622</v>
      </c>
      <c r="F97" s="36" t="s">
        <v>263</v>
      </c>
      <c r="G97" s="27" t="s">
        <v>3623</v>
      </c>
      <c r="H97" s="27" t="s">
        <v>506</v>
      </c>
      <c r="I97" s="27" t="s">
        <v>3524</v>
      </c>
      <c r="J97" s="27"/>
      <c r="K97" s="27"/>
      <c r="L97" s="27"/>
      <c r="M97" s="27" t="s">
        <v>395</v>
      </c>
      <c r="N97" s="1" t="s">
        <v>264</v>
      </c>
      <c r="O97" s="27" t="s">
        <v>3624</v>
      </c>
      <c r="P97" s="27" t="s">
        <v>298</v>
      </c>
    </row>
    <row r="98" spans="1:16" ht="24" customHeight="1">
      <c r="A98" s="30">
        <v>45958</v>
      </c>
      <c r="B98" s="27" t="s">
        <v>227</v>
      </c>
      <c r="C98" s="27" t="s">
        <v>2608</v>
      </c>
      <c r="D98" s="27" t="s">
        <v>171</v>
      </c>
      <c r="E98" s="10" t="s">
        <v>3630</v>
      </c>
      <c r="F98" s="36" t="s">
        <v>263</v>
      </c>
      <c r="G98" s="27" t="s">
        <v>3498</v>
      </c>
      <c r="H98" s="27" t="s">
        <v>295</v>
      </c>
      <c r="I98" s="27" t="s">
        <v>3505</v>
      </c>
      <c r="J98" s="27"/>
      <c r="K98" s="27"/>
      <c r="L98" s="27"/>
      <c r="M98" s="27" t="s">
        <v>3631</v>
      </c>
      <c r="N98" s="1" t="s">
        <v>264</v>
      </c>
      <c r="O98" s="27" t="s">
        <v>3632</v>
      </c>
      <c r="P98" s="27" t="s">
        <v>298</v>
      </c>
    </row>
    <row r="99" spans="1:16" ht="24" customHeight="1">
      <c r="A99" s="30">
        <v>45958</v>
      </c>
      <c r="B99" s="27" t="s">
        <v>227</v>
      </c>
      <c r="C99" s="27" t="s">
        <v>3501</v>
      </c>
      <c r="D99" s="27" t="s">
        <v>3625</v>
      </c>
      <c r="E99" s="10" t="s">
        <v>3509</v>
      </c>
      <c r="F99" s="36" t="s">
        <v>263</v>
      </c>
      <c r="G99" s="27" t="s">
        <v>3510</v>
      </c>
      <c r="H99" s="27" t="s">
        <v>269</v>
      </c>
      <c r="I99" s="27" t="s">
        <v>3503</v>
      </c>
      <c r="J99" s="27"/>
      <c r="K99" s="27"/>
      <c r="L99" s="27"/>
      <c r="M99" s="27" t="s">
        <v>379</v>
      </c>
      <c r="N99" s="1" t="s">
        <v>264</v>
      </c>
      <c r="O99" s="27" t="s">
        <v>3624</v>
      </c>
      <c r="P99" s="27" t="s">
        <v>3626</v>
      </c>
    </row>
    <row r="100" spans="1:16" ht="24" customHeight="1">
      <c r="A100" s="30">
        <v>45958</v>
      </c>
      <c r="B100" s="27" t="s">
        <v>227</v>
      </c>
      <c r="C100" s="27" t="s">
        <v>3501</v>
      </c>
      <c r="D100" s="27" t="s">
        <v>389</v>
      </c>
      <c r="E100" s="10" t="s">
        <v>3633</v>
      </c>
      <c r="F100" s="36" t="s">
        <v>263</v>
      </c>
      <c r="G100" s="27" t="s">
        <v>3535</v>
      </c>
      <c r="H100" s="27" t="s">
        <v>331</v>
      </c>
      <c r="I100" s="27" t="s">
        <v>3532</v>
      </c>
      <c r="J100" s="27"/>
      <c r="K100" s="27"/>
      <c r="L100" s="27"/>
      <c r="M100" s="27" t="s">
        <v>3634</v>
      </c>
      <c r="N100" s="1" t="s">
        <v>264</v>
      </c>
      <c r="O100" s="27" t="s">
        <v>3635</v>
      </c>
      <c r="P100" s="27" t="s">
        <v>3636</v>
      </c>
    </row>
    <row r="101" spans="1:16" ht="24" customHeight="1">
      <c r="A101" s="30">
        <v>45958</v>
      </c>
      <c r="B101" s="27" t="s">
        <v>227</v>
      </c>
      <c r="C101" s="27" t="s">
        <v>3501</v>
      </c>
      <c r="D101" s="27" t="s">
        <v>3513</v>
      </c>
      <c r="E101" s="10" t="s">
        <v>3509</v>
      </c>
      <c r="F101" s="36" t="s">
        <v>263</v>
      </c>
      <c r="G101" s="27" t="s">
        <v>3510</v>
      </c>
      <c r="H101" s="27" t="s">
        <v>269</v>
      </c>
      <c r="I101" s="27" t="s">
        <v>3503</v>
      </c>
      <c r="J101" s="27"/>
      <c r="K101" s="27"/>
      <c r="L101" s="27"/>
      <c r="M101" s="27" t="s">
        <v>379</v>
      </c>
      <c r="N101" s="1" t="s">
        <v>264</v>
      </c>
      <c r="O101" s="27" t="s">
        <v>3624</v>
      </c>
      <c r="P101" s="27" t="s">
        <v>3626</v>
      </c>
    </row>
    <row r="102" spans="1:16" ht="24" customHeight="1">
      <c r="A102" s="30">
        <v>45959</v>
      </c>
      <c r="B102" s="27" t="s">
        <v>201</v>
      </c>
      <c r="C102" s="27" t="s">
        <v>3621</v>
      </c>
      <c r="D102" s="27" t="s">
        <v>3625</v>
      </c>
      <c r="E102" s="10" t="s">
        <v>3509</v>
      </c>
      <c r="F102" s="36" t="s">
        <v>263</v>
      </c>
      <c r="G102" s="27" t="s">
        <v>3510</v>
      </c>
      <c r="H102" s="27" t="s">
        <v>269</v>
      </c>
      <c r="I102" s="27" t="s">
        <v>3503</v>
      </c>
      <c r="J102" s="27"/>
      <c r="K102" s="27"/>
      <c r="L102" s="27"/>
      <c r="M102" s="27" t="s">
        <v>379</v>
      </c>
      <c r="N102" s="1" t="s">
        <v>264</v>
      </c>
      <c r="O102" s="27" t="s">
        <v>3624</v>
      </c>
      <c r="P102" s="27" t="s">
        <v>3626</v>
      </c>
    </row>
    <row r="103" spans="1:16" ht="24" customHeight="1">
      <c r="A103" s="30">
        <v>45959</v>
      </c>
      <c r="B103" s="27" t="s">
        <v>201</v>
      </c>
      <c r="C103" s="27" t="s">
        <v>3621</v>
      </c>
      <c r="D103" s="27" t="s">
        <v>3513</v>
      </c>
      <c r="E103" s="10" t="s">
        <v>3509</v>
      </c>
      <c r="F103" s="36" t="s">
        <v>263</v>
      </c>
      <c r="G103" s="27" t="s">
        <v>3510</v>
      </c>
      <c r="H103" s="27" t="s">
        <v>269</v>
      </c>
      <c r="I103" s="27" t="s">
        <v>3503</v>
      </c>
      <c r="J103" s="27"/>
      <c r="K103" s="27"/>
      <c r="L103" s="27"/>
      <c r="M103" s="27" t="s">
        <v>379</v>
      </c>
      <c r="N103" s="1" t="s">
        <v>264</v>
      </c>
      <c r="O103" s="27" t="s">
        <v>3624</v>
      </c>
      <c r="P103" s="27" t="s">
        <v>3626</v>
      </c>
    </row>
    <row r="104" spans="1:16" ht="24" customHeight="1">
      <c r="A104" s="30">
        <v>45959</v>
      </c>
      <c r="B104" s="27" t="s">
        <v>201</v>
      </c>
      <c r="C104" s="27" t="s">
        <v>3621</v>
      </c>
      <c r="D104" s="27" t="s">
        <v>138</v>
      </c>
      <c r="E104" s="10" t="s">
        <v>3622</v>
      </c>
      <c r="F104" s="36" t="s">
        <v>263</v>
      </c>
      <c r="G104" s="27" t="s">
        <v>3623</v>
      </c>
      <c r="H104" s="27" t="s">
        <v>338</v>
      </c>
      <c r="I104" s="27" t="s">
        <v>3637</v>
      </c>
      <c r="J104" s="27"/>
      <c r="K104" s="27"/>
      <c r="L104" s="27"/>
      <c r="M104" s="27" t="s">
        <v>395</v>
      </c>
      <c r="N104" s="1" t="s">
        <v>264</v>
      </c>
      <c r="O104" s="27" t="s">
        <v>3624</v>
      </c>
      <c r="P104" s="27" t="s">
        <v>298</v>
      </c>
    </row>
    <row r="105" spans="1:16" ht="24" customHeight="1">
      <c r="A105" s="30">
        <v>45959</v>
      </c>
      <c r="B105" s="27" t="s">
        <v>201</v>
      </c>
      <c r="C105" s="27" t="s">
        <v>3621</v>
      </c>
      <c r="D105" s="27" t="s">
        <v>138</v>
      </c>
      <c r="E105" s="10" t="s">
        <v>3638</v>
      </c>
      <c r="F105" s="36" t="s">
        <v>263</v>
      </c>
      <c r="G105" s="27" t="s">
        <v>3498</v>
      </c>
      <c r="H105" s="27" t="s">
        <v>506</v>
      </c>
      <c r="I105" s="27" t="s">
        <v>3639</v>
      </c>
      <c r="J105" s="27"/>
      <c r="K105" s="27"/>
      <c r="L105" s="27"/>
      <c r="M105" s="27" t="s">
        <v>3634</v>
      </c>
      <c r="N105" s="1" t="s">
        <v>264</v>
      </c>
      <c r="O105" s="27" t="s">
        <v>3624</v>
      </c>
      <c r="P105" s="27" t="s">
        <v>298</v>
      </c>
    </row>
    <row r="106" spans="1:16" ht="24" customHeight="1">
      <c r="A106" s="30">
        <v>45959</v>
      </c>
      <c r="B106" s="27" t="s">
        <v>201</v>
      </c>
      <c r="C106" s="27" t="s">
        <v>2608</v>
      </c>
      <c r="D106" s="27" t="s">
        <v>2851</v>
      </c>
      <c r="E106" s="10" t="s">
        <v>3640</v>
      </c>
      <c r="F106" s="36" t="s">
        <v>263</v>
      </c>
      <c r="G106" s="27" t="s">
        <v>3531</v>
      </c>
      <c r="H106" s="27" t="s">
        <v>506</v>
      </c>
      <c r="I106" s="27" t="s">
        <v>3524</v>
      </c>
      <c r="J106" s="27"/>
      <c r="K106" s="27"/>
      <c r="L106" s="27"/>
      <c r="M106" s="27" t="s">
        <v>3641</v>
      </c>
      <c r="N106" s="1" t="s">
        <v>264</v>
      </c>
      <c r="O106" s="27" t="s">
        <v>3642</v>
      </c>
      <c r="P106" s="27" t="s">
        <v>3643</v>
      </c>
    </row>
    <row r="107" spans="1:16" ht="24" customHeight="1">
      <c r="A107" s="30">
        <v>45959</v>
      </c>
      <c r="B107" s="27" t="s">
        <v>201</v>
      </c>
      <c r="C107" s="27" t="s">
        <v>2608</v>
      </c>
      <c r="D107" s="27" t="s">
        <v>171</v>
      </c>
      <c r="E107" s="10" t="s">
        <v>3644</v>
      </c>
      <c r="F107" s="36" t="s">
        <v>263</v>
      </c>
      <c r="G107" s="27" t="s">
        <v>3498</v>
      </c>
      <c r="H107" s="27" t="s">
        <v>274</v>
      </c>
      <c r="I107" s="27" t="s">
        <v>3524</v>
      </c>
      <c r="J107" s="27"/>
      <c r="K107" s="27"/>
      <c r="L107" s="27"/>
      <c r="M107" s="27" t="s">
        <v>433</v>
      </c>
      <c r="N107" s="1" t="s">
        <v>264</v>
      </c>
      <c r="O107" s="27" t="s">
        <v>3645</v>
      </c>
      <c r="P107" s="27"/>
    </row>
    <row r="108" spans="1:16" ht="24" customHeight="1">
      <c r="A108" s="30">
        <v>45959</v>
      </c>
      <c r="B108" s="27" t="s">
        <v>201</v>
      </c>
      <c r="C108" s="27" t="s">
        <v>3501</v>
      </c>
      <c r="D108" s="27" t="s">
        <v>239</v>
      </c>
      <c r="E108" s="10" t="s">
        <v>1589</v>
      </c>
      <c r="F108" s="36" t="s">
        <v>263</v>
      </c>
      <c r="G108" s="27" t="s">
        <v>3498</v>
      </c>
      <c r="H108" s="27" t="s">
        <v>338</v>
      </c>
      <c r="I108" s="27" t="s">
        <v>3646</v>
      </c>
      <c r="J108" s="27"/>
      <c r="K108" s="27"/>
      <c r="L108" s="27"/>
      <c r="M108" s="27" t="s">
        <v>2877</v>
      </c>
      <c r="N108" s="1" t="s">
        <v>264</v>
      </c>
      <c r="O108" s="27" t="s">
        <v>3647</v>
      </c>
      <c r="P108" s="27" t="s">
        <v>298</v>
      </c>
    </row>
    <row r="109" spans="1:16" ht="24" customHeight="1">
      <c r="A109" s="30">
        <v>45959</v>
      </c>
      <c r="B109" s="27" t="s">
        <v>201</v>
      </c>
      <c r="C109" s="27" t="s">
        <v>2608</v>
      </c>
      <c r="D109" s="27" t="s">
        <v>954</v>
      </c>
      <c r="E109" s="10" t="s">
        <v>2927</v>
      </c>
      <c r="F109" s="36" t="s">
        <v>263</v>
      </c>
      <c r="G109" s="27" t="s">
        <v>3494</v>
      </c>
      <c r="H109" s="27" t="s">
        <v>309</v>
      </c>
      <c r="I109" s="27" t="s">
        <v>3503</v>
      </c>
      <c r="J109" s="27"/>
      <c r="K109" s="27"/>
      <c r="L109" s="27"/>
      <c r="M109" s="27" t="s">
        <v>237</v>
      </c>
      <c r="N109" s="3" t="s">
        <v>312</v>
      </c>
      <c r="O109" s="27" t="s">
        <v>3647</v>
      </c>
      <c r="P109" s="27" t="s">
        <v>298</v>
      </c>
    </row>
    <row r="110" spans="1:16" ht="24" customHeight="1">
      <c r="A110" s="30">
        <v>45960</v>
      </c>
      <c r="B110" s="27" t="s">
        <v>216</v>
      </c>
      <c r="C110" s="27" t="s">
        <v>2608</v>
      </c>
      <c r="D110" s="27" t="s">
        <v>3625</v>
      </c>
      <c r="E110" s="10" t="s">
        <v>3509</v>
      </c>
      <c r="F110" s="36" t="s">
        <v>263</v>
      </c>
      <c r="G110" s="27" t="s">
        <v>3510</v>
      </c>
      <c r="H110" s="27" t="s">
        <v>269</v>
      </c>
      <c r="I110" s="27" t="s">
        <v>3503</v>
      </c>
      <c r="J110" s="27"/>
      <c r="K110" s="27"/>
      <c r="L110" s="27"/>
      <c r="M110" s="27" t="s">
        <v>379</v>
      </c>
      <c r="N110" s="1" t="s">
        <v>264</v>
      </c>
      <c r="O110" s="27" t="s">
        <v>3624</v>
      </c>
      <c r="P110" s="27" t="s">
        <v>3626</v>
      </c>
    </row>
    <row r="111" spans="1:16" ht="24" customHeight="1">
      <c r="A111" s="30">
        <v>45960</v>
      </c>
      <c r="B111" s="27" t="s">
        <v>216</v>
      </c>
      <c r="C111" s="27" t="s">
        <v>2608</v>
      </c>
      <c r="D111" s="27" t="s">
        <v>1055</v>
      </c>
      <c r="E111" s="10" t="s">
        <v>3633</v>
      </c>
      <c r="F111" s="36" t="s">
        <v>263</v>
      </c>
      <c r="G111" s="27" t="s">
        <v>3475</v>
      </c>
      <c r="H111" s="27" t="s">
        <v>331</v>
      </c>
      <c r="I111" s="27" t="s">
        <v>3592</v>
      </c>
      <c r="J111" s="27"/>
      <c r="K111" s="27"/>
      <c r="L111" s="27"/>
      <c r="M111" s="27" t="s">
        <v>3648</v>
      </c>
      <c r="N111" s="1" t="s">
        <v>264</v>
      </c>
      <c r="O111" s="27" t="s">
        <v>3624</v>
      </c>
      <c r="P111" s="27" t="s">
        <v>3649</v>
      </c>
    </row>
    <row r="112" spans="1:16" ht="24" customHeight="1">
      <c r="A112" s="30">
        <v>45960</v>
      </c>
      <c r="B112" s="27" t="s">
        <v>216</v>
      </c>
      <c r="C112" s="27" t="s">
        <v>2608</v>
      </c>
      <c r="D112" s="27" t="s">
        <v>3513</v>
      </c>
      <c r="E112" s="10" t="s">
        <v>3509</v>
      </c>
      <c r="F112" s="36" t="s">
        <v>263</v>
      </c>
      <c r="G112" s="27"/>
      <c r="H112" s="27" t="s">
        <v>269</v>
      </c>
      <c r="I112" s="27" t="s">
        <v>3503</v>
      </c>
      <c r="J112" s="27"/>
      <c r="K112" s="27"/>
      <c r="L112" s="27"/>
      <c r="M112" s="27" t="s">
        <v>379</v>
      </c>
      <c r="N112" s="1" t="s">
        <v>264</v>
      </c>
      <c r="O112" s="27" t="s">
        <v>3624</v>
      </c>
      <c r="P112" s="27" t="s">
        <v>3626</v>
      </c>
    </row>
    <row r="113" spans="1:16" ht="24" customHeight="1">
      <c r="A113" s="30">
        <v>45960</v>
      </c>
      <c r="B113" s="27" t="s">
        <v>216</v>
      </c>
      <c r="C113" s="27" t="s">
        <v>2608</v>
      </c>
      <c r="D113" s="27" t="s">
        <v>171</v>
      </c>
      <c r="E113" s="10" t="s">
        <v>3650</v>
      </c>
      <c r="F113" s="36" t="s">
        <v>263</v>
      </c>
      <c r="G113" s="27" t="s">
        <v>3527</v>
      </c>
      <c r="H113" s="27" t="s">
        <v>295</v>
      </c>
      <c r="I113" s="27" t="s">
        <v>3503</v>
      </c>
      <c r="J113" s="27"/>
      <c r="K113" s="27"/>
      <c r="L113" s="27"/>
      <c r="M113" s="27" t="s">
        <v>3651</v>
      </c>
      <c r="N113" s="1" t="s">
        <v>264</v>
      </c>
      <c r="O113" s="27" t="s">
        <v>3652</v>
      </c>
      <c r="P113" s="27" t="s">
        <v>298</v>
      </c>
    </row>
    <row r="114" spans="1:16" ht="24" customHeight="1">
      <c r="A114" s="30">
        <v>45960</v>
      </c>
      <c r="B114" s="27" t="s">
        <v>216</v>
      </c>
      <c r="C114" s="27" t="s">
        <v>954</v>
      </c>
      <c r="D114" s="27" t="s">
        <v>171</v>
      </c>
      <c r="E114" s="10" t="s">
        <v>3603</v>
      </c>
      <c r="F114" s="36" t="s">
        <v>263</v>
      </c>
      <c r="G114" s="27"/>
      <c r="H114" s="27" t="s">
        <v>295</v>
      </c>
      <c r="I114" s="27" t="s">
        <v>3562</v>
      </c>
      <c r="J114" s="27"/>
      <c r="K114" s="27"/>
      <c r="L114" s="27"/>
      <c r="M114" s="27" t="s">
        <v>2835</v>
      </c>
      <c r="N114" s="1" t="s">
        <v>264</v>
      </c>
      <c r="O114" s="27" t="s">
        <v>3519</v>
      </c>
      <c r="P114" s="27" t="s">
        <v>3612</v>
      </c>
    </row>
    <row r="115" spans="1:16" ht="24" customHeight="1">
      <c r="A115" s="30">
        <v>45960</v>
      </c>
      <c r="B115" s="27" t="s">
        <v>216</v>
      </c>
      <c r="C115" s="27" t="s">
        <v>3621</v>
      </c>
      <c r="D115" s="27" t="s">
        <v>3473</v>
      </c>
      <c r="E115" s="10" t="s">
        <v>3653</v>
      </c>
      <c r="F115" s="36" t="s">
        <v>263</v>
      </c>
      <c r="G115" s="27" t="s">
        <v>3654</v>
      </c>
      <c r="H115" s="27" t="s">
        <v>506</v>
      </c>
      <c r="I115" s="27" t="s">
        <v>3639</v>
      </c>
      <c r="J115" s="27"/>
      <c r="K115" s="27"/>
      <c r="L115" s="27"/>
      <c r="M115" s="27" t="s">
        <v>379</v>
      </c>
      <c r="N115" s="1" t="s">
        <v>264</v>
      </c>
      <c r="O115" s="27" t="s">
        <v>3655</v>
      </c>
      <c r="P115" s="27" t="s">
        <v>298</v>
      </c>
    </row>
    <row r="116" spans="1:16" ht="24" customHeight="1">
      <c r="A116" s="30">
        <v>45960</v>
      </c>
      <c r="B116" s="27" t="s">
        <v>216</v>
      </c>
      <c r="C116" s="27" t="s">
        <v>2608</v>
      </c>
      <c r="D116" s="27" t="s">
        <v>171</v>
      </c>
      <c r="E116" s="10" t="s">
        <v>3507</v>
      </c>
      <c r="F116" s="36" t="s">
        <v>263</v>
      </c>
      <c r="G116" s="27"/>
      <c r="H116" s="27" t="s">
        <v>269</v>
      </c>
      <c r="I116" s="27" t="s">
        <v>3503</v>
      </c>
      <c r="J116" s="27"/>
      <c r="K116" s="27"/>
      <c r="L116" s="27"/>
      <c r="M116" s="27" t="s">
        <v>2584</v>
      </c>
      <c r="N116" s="3" t="s">
        <v>312</v>
      </c>
      <c r="O116" s="27" t="s">
        <v>3371</v>
      </c>
      <c r="P116" s="27"/>
    </row>
    <row r="117" spans="1:16" ht="24" customHeight="1">
      <c r="A117" s="30">
        <v>45961</v>
      </c>
      <c r="B117" s="27" t="s">
        <v>220</v>
      </c>
      <c r="C117" s="27" t="s">
        <v>2608</v>
      </c>
      <c r="D117" s="27" t="s">
        <v>171</v>
      </c>
      <c r="E117" s="10" t="s">
        <v>3656</v>
      </c>
      <c r="F117" s="36" t="s">
        <v>263</v>
      </c>
      <c r="G117" s="27" t="s">
        <v>3498</v>
      </c>
      <c r="H117" s="27" t="s">
        <v>274</v>
      </c>
      <c r="I117" s="27" t="s">
        <v>3524</v>
      </c>
      <c r="J117" s="27"/>
      <c r="K117" s="27"/>
      <c r="L117" s="27"/>
      <c r="M117" s="27" t="s">
        <v>3582</v>
      </c>
      <c r="N117" s="1" t="s">
        <v>264</v>
      </c>
      <c r="O117" s="27" t="s">
        <v>3657</v>
      </c>
      <c r="P117" s="27" t="s">
        <v>298</v>
      </c>
    </row>
    <row r="118" spans="1:16" ht="24" customHeight="1">
      <c r="A118" s="30">
        <v>45961</v>
      </c>
      <c r="B118" s="27" t="s">
        <v>220</v>
      </c>
      <c r="C118" s="27" t="s">
        <v>2608</v>
      </c>
      <c r="D118" s="27" t="s">
        <v>2820</v>
      </c>
      <c r="E118" s="10" t="s">
        <v>3658</v>
      </c>
      <c r="F118" s="36" t="s">
        <v>263</v>
      </c>
      <c r="G118" s="27" t="s">
        <v>2202</v>
      </c>
      <c r="H118" s="27" t="s">
        <v>295</v>
      </c>
      <c r="I118" s="27" t="s">
        <v>3528</v>
      </c>
      <c r="J118" s="27"/>
      <c r="K118" s="27"/>
      <c r="L118" s="27"/>
      <c r="M118" s="27" t="s">
        <v>3315</v>
      </c>
      <c r="N118" s="1" t="s">
        <v>264</v>
      </c>
      <c r="O118" s="27" t="s">
        <v>3477</v>
      </c>
      <c r="P118" s="27" t="s">
        <v>3659</v>
      </c>
    </row>
    <row r="119" spans="1:16" ht="24" customHeight="1">
      <c r="A119" s="30">
        <v>45961</v>
      </c>
      <c r="B119" s="27" t="s">
        <v>220</v>
      </c>
      <c r="C119" s="27" t="s">
        <v>3621</v>
      </c>
      <c r="D119" s="27" t="s">
        <v>389</v>
      </c>
      <c r="E119" s="10" t="s">
        <v>3660</v>
      </c>
      <c r="F119" s="36" t="s">
        <v>263</v>
      </c>
      <c r="G119" s="27" t="s">
        <v>3527</v>
      </c>
      <c r="H119" s="27" t="s">
        <v>295</v>
      </c>
      <c r="I119" s="27" t="s">
        <v>3505</v>
      </c>
      <c r="J119" s="27"/>
      <c r="K119" s="27"/>
      <c r="L119" s="27"/>
      <c r="M119" s="27" t="s">
        <v>357</v>
      </c>
      <c r="N119" s="1" t="s">
        <v>264</v>
      </c>
      <c r="O119" s="27" t="s">
        <v>3661</v>
      </c>
      <c r="P119" s="27" t="s">
        <v>298</v>
      </c>
    </row>
  </sheetData>
  <mergeCells count="3">
    <mergeCell ref="A1:C1"/>
    <mergeCell ref="D1:K1"/>
    <mergeCell ref="L1:P1"/>
  </mergeCells>
  <dataValidations count="2">
    <dataValidation type="list" allowBlank="1" sqref="M3:M169 N3:N119" xr:uid="{00000000-0002-0000-2700-000000000000}">
      <formula1>"Confirmed (Done),Pending Calendar Booking,Canceled"</formula1>
    </dataValidation>
    <dataValidation type="list" allowBlank="1" sqref="F3:F119" xr:uid="{00000000-0002-0000-2700-000001000000}">
      <formula1>"Big Event,Small Event"</formula1>
    </dataValidation>
  </dataValidations>
  <hyperlinks>
    <hyperlink ref="A1" location="'Dashboard'!A1" display="🏠 ⮌ RETURN TO DASHBOARD" xr:uid="{00000000-0004-0000-2700-000000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94"/>
  <sheetViews>
    <sheetView workbookViewId="0">
      <pane ySplit="2" topLeftCell="A3" activePane="bottomLeft" state="frozen"/>
      <selection pane="bottomLeft"/>
    </sheetView>
  </sheetViews>
  <sheetFormatPr defaultRowHeight="14.45"/>
  <cols>
    <col min="1" max="1" width="15" customWidth="1"/>
    <col min="2" max="2" width="12" customWidth="1"/>
    <col min="3" max="3" width="22" customWidth="1"/>
    <col min="4" max="4" width="34" customWidth="1"/>
    <col min="5" max="5" width="48" customWidth="1"/>
    <col min="6" max="6" width="15" customWidth="1"/>
    <col min="7" max="7" width="19" customWidth="1"/>
    <col min="8" max="8" width="17" customWidth="1"/>
    <col min="9" max="9" width="18" customWidth="1"/>
    <col min="10" max="10" width="22" customWidth="1"/>
    <col min="11" max="11" width="20" customWidth="1"/>
    <col min="12" max="12" width="25" customWidth="1"/>
    <col min="13" max="13" width="35" customWidth="1"/>
    <col min="14" max="14" width="25" customWidth="1"/>
    <col min="15" max="15" width="32" customWidth="1"/>
    <col min="16" max="16" width="48" customWidth="1"/>
  </cols>
  <sheetData>
    <row r="1" spans="1:16" ht="27.95" customHeight="1">
      <c r="A1" s="62" t="s">
        <v>2138</v>
      </c>
      <c r="B1" s="134"/>
      <c r="C1" s="135"/>
      <c r="D1" s="63" t="s">
        <v>3662</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45962</v>
      </c>
      <c r="B3" s="27" t="s">
        <v>266</v>
      </c>
      <c r="C3" s="27"/>
      <c r="D3" s="27"/>
      <c r="E3" s="10"/>
      <c r="F3" s="36" t="s">
        <v>263</v>
      </c>
      <c r="G3" s="27"/>
      <c r="H3" s="27"/>
      <c r="I3" s="27"/>
      <c r="J3" s="27"/>
      <c r="K3" s="27"/>
      <c r="L3" s="27"/>
      <c r="M3" s="27"/>
      <c r="N3" s="1" t="s">
        <v>264</v>
      </c>
      <c r="O3" s="27"/>
      <c r="P3" s="27"/>
    </row>
    <row r="4" spans="1:16" ht="24" customHeight="1">
      <c r="A4" s="30">
        <v>45963</v>
      </c>
      <c r="B4" s="27" t="s">
        <v>267</v>
      </c>
      <c r="C4" s="27"/>
      <c r="D4" s="27"/>
      <c r="E4" s="10"/>
      <c r="F4" s="36" t="s">
        <v>263</v>
      </c>
      <c r="G4" s="27"/>
      <c r="H4" s="27"/>
      <c r="I4" s="27"/>
      <c r="J4" s="27"/>
      <c r="K4" s="27"/>
      <c r="L4" s="27"/>
      <c r="M4" s="27"/>
      <c r="N4" s="1" t="s">
        <v>264</v>
      </c>
      <c r="O4" s="27"/>
      <c r="P4" s="27"/>
    </row>
    <row r="5" spans="1:16" ht="24" customHeight="1">
      <c r="A5" s="30">
        <v>45964</v>
      </c>
      <c r="B5" s="27" t="s">
        <v>224</v>
      </c>
      <c r="C5" s="27" t="s">
        <v>3501</v>
      </c>
      <c r="D5" s="27" t="s">
        <v>138</v>
      </c>
      <c r="E5" s="10" t="s">
        <v>3663</v>
      </c>
      <c r="F5" s="36" t="s">
        <v>263</v>
      </c>
      <c r="G5" s="27" t="s">
        <v>3664</v>
      </c>
      <c r="H5" s="27" t="s">
        <v>269</v>
      </c>
      <c r="I5" s="27" t="s">
        <v>3503</v>
      </c>
      <c r="J5" s="27"/>
      <c r="K5" s="27"/>
      <c r="L5" s="27"/>
      <c r="M5" s="27" t="s">
        <v>3665</v>
      </c>
      <c r="N5" s="1" t="s">
        <v>264</v>
      </c>
      <c r="O5" s="27" t="s">
        <v>3519</v>
      </c>
      <c r="P5" s="27" t="s">
        <v>3666</v>
      </c>
    </row>
    <row r="6" spans="1:16" ht="24" customHeight="1">
      <c r="A6" s="30">
        <v>45964</v>
      </c>
      <c r="B6" s="27" t="s">
        <v>224</v>
      </c>
      <c r="C6" s="27" t="s">
        <v>2608</v>
      </c>
      <c r="D6" s="27" t="s">
        <v>171</v>
      </c>
      <c r="E6" s="10" t="s">
        <v>3507</v>
      </c>
      <c r="F6" s="36" t="s">
        <v>263</v>
      </c>
      <c r="G6" s="27" t="s">
        <v>3654</v>
      </c>
      <c r="H6" s="27" t="s">
        <v>269</v>
      </c>
      <c r="I6" s="27" t="s">
        <v>3503</v>
      </c>
      <c r="J6" s="27"/>
      <c r="K6" s="27"/>
      <c r="L6" s="27"/>
      <c r="M6" s="27" t="s">
        <v>2584</v>
      </c>
      <c r="N6" s="1" t="s">
        <v>264</v>
      </c>
      <c r="O6" s="27" t="s">
        <v>3371</v>
      </c>
      <c r="P6" s="27" t="s">
        <v>119</v>
      </c>
    </row>
    <row r="7" spans="1:16" ht="24" customHeight="1">
      <c r="A7" s="30">
        <v>45964</v>
      </c>
      <c r="B7" s="27" t="s">
        <v>224</v>
      </c>
      <c r="C7" s="27" t="s">
        <v>3501</v>
      </c>
      <c r="D7" s="27" t="s">
        <v>3667</v>
      </c>
      <c r="E7" s="10" t="s">
        <v>3668</v>
      </c>
      <c r="F7" s="36" t="s">
        <v>263</v>
      </c>
      <c r="G7" s="27" t="s">
        <v>3510</v>
      </c>
      <c r="H7" s="27" t="s">
        <v>269</v>
      </c>
      <c r="I7" s="27" t="s">
        <v>3503</v>
      </c>
      <c r="J7" s="27" t="s">
        <v>3669</v>
      </c>
      <c r="K7" s="27"/>
      <c r="L7" s="27"/>
      <c r="M7" s="27" t="s">
        <v>379</v>
      </c>
      <c r="N7" s="1" t="s">
        <v>264</v>
      </c>
      <c r="O7" s="27" t="s">
        <v>3652</v>
      </c>
      <c r="P7" s="27" t="s">
        <v>3670</v>
      </c>
    </row>
    <row r="8" spans="1:16" ht="24" customHeight="1">
      <c r="A8" s="30">
        <v>45964</v>
      </c>
      <c r="B8" s="27" t="s">
        <v>224</v>
      </c>
      <c r="C8" s="27" t="s">
        <v>3501</v>
      </c>
      <c r="D8" s="27" t="s">
        <v>3671</v>
      </c>
      <c r="E8" s="10" t="s">
        <v>3668</v>
      </c>
      <c r="F8" s="36" t="s">
        <v>263</v>
      </c>
      <c r="G8" s="27" t="s">
        <v>3510</v>
      </c>
      <c r="H8" s="27" t="s">
        <v>269</v>
      </c>
      <c r="I8" s="27" t="s">
        <v>3503</v>
      </c>
      <c r="J8" s="27" t="s">
        <v>3669</v>
      </c>
      <c r="K8" s="27"/>
      <c r="L8" s="27"/>
      <c r="M8" s="27" t="s">
        <v>379</v>
      </c>
      <c r="N8" s="1" t="s">
        <v>264</v>
      </c>
      <c r="O8" s="27"/>
      <c r="P8" s="27" t="s">
        <v>3670</v>
      </c>
    </row>
    <row r="9" spans="1:16" ht="24" customHeight="1">
      <c r="A9" s="30">
        <v>45964</v>
      </c>
      <c r="B9" s="27" t="s">
        <v>224</v>
      </c>
      <c r="C9" s="27" t="s">
        <v>3501</v>
      </c>
      <c r="D9" s="27" t="s">
        <v>3672</v>
      </c>
      <c r="E9" s="10" t="s">
        <v>3673</v>
      </c>
      <c r="F9" s="36" t="s">
        <v>263</v>
      </c>
      <c r="G9" s="27" t="s">
        <v>3664</v>
      </c>
      <c r="H9" s="27" t="s">
        <v>296</v>
      </c>
      <c r="I9" s="27" t="s">
        <v>3674</v>
      </c>
      <c r="J9" s="27"/>
      <c r="K9" s="27"/>
      <c r="L9" s="27"/>
      <c r="M9" s="27" t="s">
        <v>785</v>
      </c>
      <c r="N9" s="1" t="s">
        <v>264</v>
      </c>
      <c r="O9" s="27"/>
      <c r="P9" s="27" t="s">
        <v>298</v>
      </c>
    </row>
    <row r="10" spans="1:16" ht="24" customHeight="1">
      <c r="A10" s="30">
        <v>45964</v>
      </c>
      <c r="B10" s="27" t="s">
        <v>224</v>
      </c>
      <c r="C10" s="27" t="s">
        <v>2608</v>
      </c>
      <c r="D10" s="27" t="s">
        <v>954</v>
      </c>
      <c r="E10" s="10" t="s">
        <v>3675</v>
      </c>
      <c r="F10" s="36" t="s">
        <v>263</v>
      </c>
      <c r="G10" s="27" t="s">
        <v>3664</v>
      </c>
      <c r="H10" s="27" t="s">
        <v>269</v>
      </c>
      <c r="I10" s="27" t="s">
        <v>3676</v>
      </c>
      <c r="J10" s="27"/>
      <c r="K10" s="27"/>
      <c r="L10" s="27"/>
      <c r="M10" s="27" t="s">
        <v>367</v>
      </c>
      <c r="N10" s="1" t="s">
        <v>264</v>
      </c>
      <c r="O10" s="27" t="s">
        <v>3677</v>
      </c>
      <c r="P10" s="27" t="s">
        <v>3678</v>
      </c>
    </row>
    <row r="11" spans="1:16" ht="24" customHeight="1">
      <c r="A11" s="30">
        <v>45964</v>
      </c>
      <c r="B11" s="27" t="s">
        <v>224</v>
      </c>
      <c r="C11" s="27" t="s">
        <v>3501</v>
      </c>
      <c r="D11" s="27" t="s">
        <v>3679</v>
      </c>
      <c r="E11" s="10" t="s">
        <v>3668</v>
      </c>
      <c r="F11" s="36" t="s">
        <v>263</v>
      </c>
      <c r="G11" s="27" t="s">
        <v>3680</v>
      </c>
      <c r="H11" s="27" t="s">
        <v>269</v>
      </c>
      <c r="I11" s="27" t="s">
        <v>3503</v>
      </c>
      <c r="J11" s="27"/>
      <c r="K11" s="27"/>
      <c r="L11" s="27"/>
      <c r="M11" s="27" t="s">
        <v>379</v>
      </c>
      <c r="N11" s="1" t="s">
        <v>264</v>
      </c>
      <c r="O11" s="27" t="s">
        <v>3681</v>
      </c>
      <c r="P11" s="27" t="s">
        <v>3682</v>
      </c>
    </row>
    <row r="12" spans="1:16" ht="24" customHeight="1">
      <c r="A12" s="30">
        <v>45965</v>
      </c>
      <c r="B12" s="27" t="s">
        <v>227</v>
      </c>
      <c r="C12" s="27" t="s">
        <v>2608</v>
      </c>
      <c r="D12" s="27" t="s">
        <v>3683</v>
      </c>
      <c r="E12" s="10" t="s">
        <v>3668</v>
      </c>
      <c r="F12" s="36" t="s">
        <v>263</v>
      </c>
      <c r="G12" s="27" t="s">
        <v>3680</v>
      </c>
      <c r="H12" s="27" t="s">
        <v>269</v>
      </c>
      <c r="I12" s="27" t="s">
        <v>3503</v>
      </c>
      <c r="J12" s="27" t="s">
        <v>3669</v>
      </c>
      <c r="K12" s="27"/>
      <c r="L12" s="27"/>
      <c r="M12" s="27" t="s">
        <v>379</v>
      </c>
      <c r="N12" s="1" t="s">
        <v>264</v>
      </c>
      <c r="O12" s="27" t="s">
        <v>3681</v>
      </c>
      <c r="P12" s="27" t="s">
        <v>3682</v>
      </c>
    </row>
    <row r="13" spans="1:16" ht="24" customHeight="1">
      <c r="A13" s="30">
        <v>45965</v>
      </c>
      <c r="B13" s="27" t="s">
        <v>227</v>
      </c>
      <c r="C13" s="27" t="s">
        <v>2608</v>
      </c>
      <c r="D13" s="27" t="s">
        <v>3684</v>
      </c>
      <c r="E13" s="10" t="s">
        <v>3668</v>
      </c>
      <c r="F13" s="36" t="s">
        <v>263</v>
      </c>
      <c r="G13" s="27"/>
      <c r="H13" s="27"/>
      <c r="I13" s="27"/>
      <c r="J13" s="27" t="s">
        <v>3669</v>
      </c>
      <c r="K13" s="27"/>
      <c r="L13" s="27"/>
      <c r="M13" s="27"/>
      <c r="N13" s="1" t="s">
        <v>264</v>
      </c>
      <c r="O13" s="27"/>
      <c r="P13" s="27"/>
    </row>
    <row r="14" spans="1:16" ht="24" customHeight="1">
      <c r="A14" s="30">
        <v>45965</v>
      </c>
      <c r="B14" s="27" t="s">
        <v>227</v>
      </c>
      <c r="C14" s="27" t="s">
        <v>3501</v>
      </c>
      <c r="D14" s="27" t="s">
        <v>3672</v>
      </c>
      <c r="E14" s="10"/>
      <c r="F14" s="36" t="s">
        <v>263</v>
      </c>
      <c r="G14" s="27"/>
      <c r="H14" s="27"/>
      <c r="I14" s="27"/>
      <c r="J14" s="27"/>
      <c r="K14" s="27"/>
      <c r="L14" s="27"/>
      <c r="M14" s="27"/>
      <c r="N14" s="1" t="s">
        <v>264</v>
      </c>
      <c r="O14" s="27"/>
      <c r="P14" s="27"/>
    </row>
    <row r="15" spans="1:16" ht="24" customHeight="1">
      <c r="A15" s="30">
        <v>45965</v>
      </c>
      <c r="B15" s="27" t="s">
        <v>227</v>
      </c>
      <c r="C15" s="27" t="s">
        <v>2608</v>
      </c>
      <c r="D15" s="27" t="s">
        <v>3685</v>
      </c>
      <c r="E15" s="10" t="s">
        <v>3686</v>
      </c>
      <c r="F15" s="36" t="s">
        <v>263</v>
      </c>
      <c r="G15" s="27" t="s">
        <v>3531</v>
      </c>
      <c r="H15" s="27" t="s">
        <v>506</v>
      </c>
      <c r="I15" s="27" t="s">
        <v>3503</v>
      </c>
      <c r="J15" s="27" t="s">
        <v>3669</v>
      </c>
      <c r="K15" s="27"/>
      <c r="L15" s="27"/>
      <c r="M15" s="27" t="s">
        <v>379</v>
      </c>
      <c r="N15" s="1" t="s">
        <v>264</v>
      </c>
      <c r="O15" s="27"/>
      <c r="P15" s="27" t="s">
        <v>3687</v>
      </c>
    </row>
    <row r="16" spans="1:16" ht="24" customHeight="1">
      <c r="A16" s="30">
        <v>45965</v>
      </c>
      <c r="B16" s="27" t="s">
        <v>227</v>
      </c>
      <c r="C16" s="27" t="s">
        <v>2608</v>
      </c>
      <c r="D16" s="27" t="s">
        <v>954</v>
      </c>
      <c r="E16" s="10" t="s">
        <v>3675</v>
      </c>
      <c r="F16" s="36" t="s">
        <v>263</v>
      </c>
      <c r="G16" s="27" t="s">
        <v>3664</v>
      </c>
      <c r="H16" s="27" t="s">
        <v>269</v>
      </c>
      <c r="I16" s="27" t="s">
        <v>3676</v>
      </c>
      <c r="J16" s="27" t="s">
        <v>3688</v>
      </c>
      <c r="K16" s="27"/>
      <c r="L16" s="27"/>
      <c r="M16" s="27" t="s">
        <v>367</v>
      </c>
      <c r="N16" s="1" t="s">
        <v>264</v>
      </c>
      <c r="O16" s="27" t="s">
        <v>3677</v>
      </c>
      <c r="P16" s="27" t="s">
        <v>3678</v>
      </c>
    </row>
    <row r="17" spans="1:16" ht="24" customHeight="1">
      <c r="A17" s="30">
        <v>45965</v>
      </c>
      <c r="B17" s="27" t="s">
        <v>227</v>
      </c>
      <c r="C17" s="27" t="s">
        <v>3501</v>
      </c>
      <c r="D17" s="27" t="s">
        <v>3667</v>
      </c>
      <c r="E17" s="10" t="s">
        <v>3668</v>
      </c>
      <c r="F17" s="36" t="s">
        <v>263</v>
      </c>
      <c r="G17" s="27" t="s">
        <v>3510</v>
      </c>
      <c r="H17" s="27" t="s">
        <v>269</v>
      </c>
      <c r="I17" s="27" t="s">
        <v>3503</v>
      </c>
      <c r="J17" s="27"/>
      <c r="K17" s="27"/>
      <c r="L17" s="27"/>
      <c r="M17" s="27" t="s">
        <v>379</v>
      </c>
      <c r="N17" s="1" t="s">
        <v>264</v>
      </c>
      <c r="O17" s="27" t="s">
        <v>3689</v>
      </c>
      <c r="P17" s="27" t="s">
        <v>3670</v>
      </c>
    </row>
    <row r="18" spans="1:16" ht="24" customHeight="1">
      <c r="A18" s="30">
        <v>45965</v>
      </c>
      <c r="B18" s="27" t="s">
        <v>227</v>
      </c>
      <c r="C18" s="27" t="s">
        <v>3501</v>
      </c>
      <c r="D18" s="27" t="s">
        <v>3671</v>
      </c>
      <c r="E18" s="10" t="s">
        <v>3668</v>
      </c>
      <c r="F18" s="36" t="s">
        <v>263</v>
      </c>
      <c r="G18" s="27" t="s">
        <v>3510</v>
      </c>
      <c r="H18" s="27" t="s">
        <v>269</v>
      </c>
      <c r="I18" s="27" t="s">
        <v>3503</v>
      </c>
      <c r="J18" s="27"/>
      <c r="K18" s="27"/>
      <c r="L18" s="27"/>
      <c r="M18" s="27" t="s">
        <v>379</v>
      </c>
      <c r="N18" s="1" t="s">
        <v>264</v>
      </c>
      <c r="O18" s="27"/>
      <c r="P18" s="27" t="s">
        <v>3670</v>
      </c>
    </row>
    <row r="19" spans="1:16" ht="24" customHeight="1">
      <c r="A19" s="30">
        <v>45965</v>
      </c>
      <c r="B19" s="27" t="s">
        <v>227</v>
      </c>
      <c r="C19" s="27" t="s">
        <v>2608</v>
      </c>
      <c r="D19" s="27" t="s">
        <v>239</v>
      </c>
      <c r="E19" s="10" t="s">
        <v>3690</v>
      </c>
      <c r="F19" s="36" t="s">
        <v>263</v>
      </c>
      <c r="G19" s="27" t="s">
        <v>3579</v>
      </c>
      <c r="H19" s="27" t="s">
        <v>295</v>
      </c>
      <c r="I19" s="27" t="s">
        <v>3505</v>
      </c>
      <c r="J19" s="27"/>
      <c r="K19" s="27"/>
      <c r="L19" s="27"/>
      <c r="M19" s="27" t="s">
        <v>3691</v>
      </c>
      <c r="N19" s="1" t="s">
        <v>264</v>
      </c>
      <c r="O19" s="27" t="s">
        <v>3652</v>
      </c>
      <c r="P19" s="27" t="s">
        <v>3692</v>
      </c>
    </row>
    <row r="20" spans="1:16" ht="24" customHeight="1">
      <c r="A20" s="30">
        <v>45965</v>
      </c>
      <c r="B20" s="27" t="s">
        <v>227</v>
      </c>
      <c r="C20" s="27" t="s">
        <v>2827</v>
      </c>
      <c r="D20" s="27" t="s">
        <v>171</v>
      </c>
      <c r="E20" s="10" t="s">
        <v>3663</v>
      </c>
      <c r="F20" s="36" t="s">
        <v>263</v>
      </c>
      <c r="G20" s="27"/>
      <c r="H20" s="27" t="s">
        <v>269</v>
      </c>
      <c r="I20" s="27" t="s">
        <v>3503</v>
      </c>
      <c r="J20" s="27"/>
      <c r="K20" s="27"/>
      <c r="L20" s="27"/>
      <c r="M20" s="27" t="s">
        <v>3665</v>
      </c>
      <c r="N20" s="1" t="s">
        <v>264</v>
      </c>
      <c r="O20" s="27" t="s">
        <v>3693</v>
      </c>
      <c r="P20" s="27" t="s">
        <v>3694</v>
      </c>
    </row>
    <row r="21" spans="1:16" ht="24" customHeight="1">
      <c r="A21" s="30">
        <v>45965</v>
      </c>
      <c r="B21" s="27" t="s">
        <v>227</v>
      </c>
      <c r="C21" s="27" t="s">
        <v>3501</v>
      </c>
      <c r="D21" s="27" t="s">
        <v>138</v>
      </c>
      <c r="E21" s="10" t="s">
        <v>3695</v>
      </c>
      <c r="F21" s="36" t="s">
        <v>263</v>
      </c>
      <c r="G21" s="27" t="s">
        <v>3696</v>
      </c>
      <c r="H21" s="27" t="s">
        <v>269</v>
      </c>
      <c r="I21" s="27" t="s">
        <v>3503</v>
      </c>
      <c r="J21" s="27"/>
      <c r="K21" s="27"/>
      <c r="L21" s="27"/>
      <c r="M21" s="27" t="s">
        <v>3697</v>
      </c>
      <c r="N21" s="1" t="s">
        <v>264</v>
      </c>
      <c r="O21" s="27" t="s">
        <v>3519</v>
      </c>
      <c r="P21" s="27" t="s">
        <v>298</v>
      </c>
    </row>
    <row r="22" spans="1:16" ht="24" customHeight="1">
      <c r="A22" s="30">
        <v>45966</v>
      </c>
      <c r="B22" s="27" t="s">
        <v>201</v>
      </c>
      <c r="C22" s="27" t="s">
        <v>3501</v>
      </c>
      <c r="D22" s="27" t="s">
        <v>3672</v>
      </c>
      <c r="E22" s="10" t="s">
        <v>3673</v>
      </c>
      <c r="F22" s="36" t="s">
        <v>263</v>
      </c>
      <c r="G22" s="27" t="s">
        <v>3664</v>
      </c>
      <c r="H22" s="27" t="s">
        <v>295</v>
      </c>
      <c r="I22" s="27" t="s">
        <v>3698</v>
      </c>
      <c r="J22" s="27"/>
      <c r="K22" s="27"/>
      <c r="L22" s="27"/>
      <c r="M22" s="27" t="s">
        <v>504</v>
      </c>
      <c r="N22" s="1" t="s">
        <v>264</v>
      </c>
      <c r="O22" s="27" t="s">
        <v>3681</v>
      </c>
      <c r="P22" s="27" t="s">
        <v>298</v>
      </c>
    </row>
    <row r="23" spans="1:16" ht="24" customHeight="1">
      <c r="A23" s="30">
        <v>45966</v>
      </c>
      <c r="B23" s="27" t="s">
        <v>201</v>
      </c>
      <c r="C23" s="27" t="s">
        <v>2827</v>
      </c>
      <c r="D23" s="27" t="s">
        <v>171</v>
      </c>
      <c r="E23" s="10" t="s">
        <v>3663</v>
      </c>
      <c r="F23" s="36" t="s">
        <v>263</v>
      </c>
      <c r="G23" s="27"/>
      <c r="H23" s="27" t="s">
        <v>269</v>
      </c>
      <c r="I23" s="27" t="s">
        <v>3503</v>
      </c>
      <c r="J23" s="27"/>
      <c r="K23" s="27"/>
      <c r="L23" s="27"/>
      <c r="M23" s="27" t="s">
        <v>3665</v>
      </c>
      <c r="N23" s="1" t="s">
        <v>264</v>
      </c>
      <c r="O23" s="27" t="s">
        <v>3693</v>
      </c>
      <c r="P23" s="27" t="s">
        <v>3694</v>
      </c>
    </row>
    <row r="24" spans="1:16" ht="24" customHeight="1">
      <c r="A24" s="30">
        <v>45966</v>
      </c>
      <c r="B24" s="27" t="s">
        <v>201</v>
      </c>
      <c r="C24" s="27" t="s">
        <v>3501</v>
      </c>
      <c r="D24" s="27" t="s">
        <v>239</v>
      </c>
      <c r="E24" s="10" t="s">
        <v>3699</v>
      </c>
      <c r="F24" s="36" t="s">
        <v>263</v>
      </c>
      <c r="G24" s="27" t="s">
        <v>3479</v>
      </c>
      <c r="H24" s="27" t="s">
        <v>295</v>
      </c>
      <c r="I24" s="27" t="s">
        <v>3505</v>
      </c>
      <c r="J24" s="27" t="s">
        <v>382</v>
      </c>
      <c r="K24" s="27"/>
      <c r="L24" s="27"/>
      <c r="M24" s="27" t="s">
        <v>3700</v>
      </c>
      <c r="N24" s="1" t="s">
        <v>264</v>
      </c>
      <c r="O24" s="27"/>
      <c r="P24" s="27" t="s">
        <v>3701</v>
      </c>
    </row>
    <row r="25" spans="1:16" ht="24" customHeight="1">
      <c r="A25" s="30">
        <v>45966</v>
      </c>
      <c r="B25" s="27" t="s">
        <v>201</v>
      </c>
      <c r="C25" s="27" t="s">
        <v>3501</v>
      </c>
      <c r="D25" s="27" t="s">
        <v>138</v>
      </c>
      <c r="E25" s="10" t="s">
        <v>3695</v>
      </c>
      <c r="F25" s="36" t="s">
        <v>263</v>
      </c>
      <c r="G25" s="27" t="s">
        <v>3696</v>
      </c>
      <c r="H25" s="27" t="s">
        <v>269</v>
      </c>
      <c r="I25" s="27" t="s">
        <v>3503</v>
      </c>
      <c r="J25" s="27"/>
      <c r="K25" s="27"/>
      <c r="L25" s="27"/>
      <c r="M25" s="27" t="s">
        <v>3697</v>
      </c>
      <c r="N25" s="1" t="s">
        <v>264</v>
      </c>
      <c r="O25" s="27" t="s">
        <v>3519</v>
      </c>
      <c r="P25" s="27" t="s">
        <v>298</v>
      </c>
    </row>
    <row r="26" spans="1:16" ht="24" customHeight="1">
      <c r="A26" s="30">
        <v>45966</v>
      </c>
      <c r="B26" s="27" t="s">
        <v>201</v>
      </c>
      <c r="C26" s="27" t="s">
        <v>3501</v>
      </c>
      <c r="D26" s="27" t="s">
        <v>3702</v>
      </c>
      <c r="E26" s="10" t="s">
        <v>3668</v>
      </c>
      <c r="F26" s="36" t="s">
        <v>263</v>
      </c>
      <c r="G26" s="27" t="s">
        <v>3510</v>
      </c>
      <c r="H26" s="27" t="s">
        <v>269</v>
      </c>
      <c r="I26" s="27" t="s">
        <v>3503</v>
      </c>
      <c r="J26" s="27"/>
      <c r="K26" s="27"/>
      <c r="L26" s="27"/>
      <c r="M26" s="27" t="s">
        <v>379</v>
      </c>
      <c r="N26" s="1" t="s">
        <v>264</v>
      </c>
      <c r="O26" s="27" t="s">
        <v>3681</v>
      </c>
      <c r="P26" s="27" t="s">
        <v>3703</v>
      </c>
    </row>
    <row r="27" spans="1:16" ht="24" customHeight="1">
      <c r="A27" s="30">
        <v>45966</v>
      </c>
      <c r="B27" s="27" t="s">
        <v>201</v>
      </c>
      <c r="C27" s="27" t="s">
        <v>3501</v>
      </c>
      <c r="D27" s="27" t="s">
        <v>3704</v>
      </c>
      <c r="E27" s="10" t="s">
        <v>3668</v>
      </c>
      <c r="F27" s="36" t="s">
        <v>263</v>
      </c>
      <c r="G27" s="27" t="s">
        <v>3680</v>
      </c>
      <c r="H27" s="27" t="s">
        <v>269</v>
      </c>
      <c r="I27" s="27" t="s">
        <v>3503</v>
      </c>
      <c r="J27" s="27"/>
      <c r="K27" s="27"/>
      <c r="L27" s="27"/>
      <c r="M27" s="27" t="s">
        <v>379</v>
      </c>
      <c r="N27" s="1" t="s">
        <v>264</v>
      </c>
      <c r="O27" s="27" t="s">
        <v>3681</v>
      </c>
      <c r="P27" s="27" t="s">
        <v>3703</v>
      </c>
    </row>
    <row r="28" spans="1:16" ht="24" customHeight="1">
      <c r="A28" s="30">
        <v>45966</v>
      </c>
      <c r="B28" s="27" t="s">
        <v>201</v>
      </c>
      <c r="C28" s="27" t="s">
        <v>3501</v>
      </c>
      <c r="D28" s="27" t="s">
        <v>3705</v>
      </c>
      <c r="E28" s="10" t="s">
        <v>3668</v>
      </c>
      <c r="F28" s="36" t="s">
        <v>263</v>
      </c>
      <c r="G28" s="27" t="s">
        <v>3680</v>
      </c>
      <c r="H28" s="27" t="s">
        <v>269</v>
      </c>
      <c r="I28" s="27" t="s">
        <v>3503</v>
      </c>
      <c r="J28" s="27"/>
      <c r="K28" s="27"/>
      <c r="L28" s="27"/>
      <c r="M28" s="27" t="s">
        <v>379</v>
      </c>
      <c r="N28" s="1" t="s">
        <v>264</v>
      </c>
      <c r="O28" s="27" t="s">
        <v>3681</v>
      </c>
      <c r="P28" s="27" t="s">
        <v>3703</v>
      </c>
    </row>
    <row r="29" spans="1:16" ht="24" customHeight="1">
      <c r="A29" s="30">
        <v>45966</v>
      </c>
      <c r="B29" s="27" t="s">
        <v>201</v>
      </c>
      <c r="C29" s="27" t="s">
        <v>3501</v>
      </c>
      <c r="D29" s="27" t="s">
        <v>3679</v>
      </c>
      <c r="E29" s="10" t="s">
        <v>3668</v>
      </c>
      <c r="F29" s="36" t="s">
        <v>263</v>
      </c>
      <c r="G29" s="27" t="s">
        <v>3706</v>
      </c>
      <c r="H29" s="27" t="s">
        <v>269</v>
      </c>
      <c r="I29" s="27" t="s">
        <v>3503</v>
      </c>
      <c r="J29" s="27"/>
      <c r="K29" s="27"/>
      <c r="L29" s="27"/>
      <c r="M29" s="27" t="s">
        <v>379</v>
      </c>
      <c r="N29" s="1" t="s">
        <v>264</v>
      </c>
      <c r="O29" s="27" t="s">
        <v>3681</v>
      </c>
      <c r="P29" s="27" t="s">
        <v>3703</v>
      </c>
    </row>
    <row r="30" spans="1:16" ht="24" customHeight="1">
      <c r="A30" s="30">
        <v>45966</v>
      </c>
      <c r="B30" s="27" t="s">
        <v>201</v>
      </c>
      <c r="C30" s="27" t="s">
        <v>3501</v>
      </c>
      <c r="D30" s="27" t="s">
        <v>3707</v>
      </c>
      <c r="E30" s="10" t="s">
        <v>3708</v>
      </c>
      <c r="F30" s="36" t="s">
        <v>263</v>
      </c>
      <c r="G30" s="27" t="s">
        <v>3531</v>
      </c>
      <c r="H30" s="27" t="s">
        <v>269</v>
      </c>
      <c r="I30" s="27" t="s">
        <v>3503</v>
      </c>
      <c r="J30" s="27"/>
      <c r="K30" s="27"/>
      <c r="L30" s="27"/>
      <c r="M30" s="27" t="s">
        <v>379</v>
      </c>
      <c r="N30" s="1" t="s">
        <v>264</v>
      </c>
      <c r="O30" s="27" t="s">
        <v>3681</v>
      </c>
      <c r="P30" s="27" t="s">
        <v>3709</v>
      </c>
    </row>
    <row r="31" spans="1:16" ht="24" customHeight="1">
      <c r="A31" s="30">
        <v>45967</v>
      </c>
      <c r="B31" s="27" t="s">
        <v>216</v>
      </c>
      <c r="C31" s="27" t="s">
        <v>3501</v>
      </c>
      <c r="D31" s="27" t="s">
        <v>3702</v>
      </c>
      <c r="E31" s="10" t="s">
        <v>3668</v>
      </c>
      <c r="F31" s="36" t="s">
        <v>263</v>
      </c>
      <c r="G31" s="27" t="s">
        <v>3510</v>
      </c>
      <c r="H31" s="27" t="s">
        <v>269</v>
      </c>
      <c r="I31" s="27" t="s">
        <v>3503</v>
      </c>
      <c r="J31" s="27"/>
      <c r="K31" s="27"/>
      <c r="L31" s="27"/>
      <c r="M31" s="27" t="s">
        <v>379</v>
      </c>
      <c r="N31" s="1" t="s">
        <v>264</v>
      </c>
      <c r="O31" s="27" t="s">
        <v>3681</v>
      </c>
      <c r="P31" s="27" t="s">
        <v>3703</v>
      </c>
    </row>
    <row r="32" spans="1:16" ht="24" customHeight="1">
      <c r="A32" s="30">
        <v>45967</v>
      </c>
      <c r="B32" s="27" t="s">
        <v>216</v>
      </c>
      <c r="C32" s="27" t="s">
        <v>3501</v>
      </c>
      <c r="D32" s="27" t="s">
        <v>3704</v>
      </c>
      <c r="E32" s="10" t="s">
        <v>3668</v>
      </c>
      <c r="F32" s="36" t="s">
        <v>263</v>
      </c>
      <c r="G32" s="27" t="s">
        <v>3680</v>
      </c>
      <c r="H32" s="27" t="s">
        <v>269</v>
      </c>
      <c r="I32" s="27" t="s">
        <v>3503</v>
      </c>
      <c r="J32" s="27"/>
      <c r="K32" s="27"/>
      <c r="L32" s="27"/>
      <c r="M32" s="27" t="s">
        <v>379</v>
      </c>
      <c r="N32" s="1" t="s">
        <v>264</v>
      </c>
      <c r="O32" s="27" t="s">
        <v>3681</v>
      </c>
      <c r="P32" s="27" t="s">
        <v>3703</v>
      </c>
    </row>
    <row r="33" spans="1:16" ht="24" customHeight="1">
      <c r="A33" s="30">
        <v>45967</v>
      </c>
      <c r="B33" s="27" t="s">
        <v>216</v>
      </c>
      <c r="C33" s="27" t="s">
        <v>3501</v>
      </c>
      <c r="D33" s="27" t="s">
        <v>3705</v>
      </c>
      <c r="E33" s="10" t="s">
        <v>3668</v>
      </c>
      <c r="F33" s="36" t="s">
        <v>263</v>
      </c>
      <c r="G33" s="27" t="s">
        <v>3680</v>
      </c>
      <c r="H33" s="27" t="s">
        <v>269</v>
      </c>
      <c r="I33" s="27" t="s">
        <v>3503</v>
      </c>
      <c r="J33" s="27"/>
      <c r="K33" s="27"/>
      <c r="L33" s="27"/>
      <c r="M33" s="27" t="s">
        <v>379</v>
      </c>
      <c r="N33" s="1" t="s">
        <v>264</v>
      </c>
      <c r="O33" s="27" t="s">
        <v>3681</v>
      </c>
      <c r="P33" s="27" t="s">
        <v>3703</v>
      </c>
    </row>
    <row r="34" spans="1:16" ht="24" customHeight="1">
      <c r="A34" s="30">
        <v>45967</v>
      </c>
      <c r="B34" s="27" t="s">
        <v>216</v>
      </c>
      <c r="C34" s="27" t="s">
        <v>3501</v>
      </c>
      <c r="D34" s="27" t="s">
        <v>3679</v>
      </c>
      <c r="E34" s="10" t="s">
        <v>3668</v>
      </c>
      <c r="F34" s="36" t="s">
        <v>263</v>
      </c>
      <c r="G34" s="27" t="s">
        <v>3706</v>
      </c>
      <c r="H34" s="27" t="s">
        <v>269</v>
      </c>
      <c r="I34" s="27" t="s">
        <v>3503</v>
      </c>
      <c r="J34" s="27"/>
      <c r="K34" s="27"/>
      <c r="L34" s="27"/>
      <c r="M34" s="27" t="s">
        <v>379</v>
      </c>
      <c r="N34" s="1" t="s">
        <v>264</v>
      </c>
      <c r="O34" s="27" t="s">
        <v>3681</v>
      </c>
      <c r="P34" s="27" t="s">
        <v>3703</v>
      </c>
    </row>
    <row r="35" spans="1:16" ht="24" customHeight="1">
      <c r="A35" s="30">
        <v>45967</v>
      </c>
      <c r="B35" s="27" t="s">
        <v>216</v>
      </c>
      <c r="C35" s="27" t="s">
        <v>3501</v>
      </c>
      <c r="D35" s="27" t="s">
        <v>3707</v>
      </c>
      <c r="E35" s="10" t="s">
        <v>3708</v>
      </c>
      <c r="F35" s="36" t="s">
        <v>263</v>
      </c>
      <c r="G35" s="27" t="s">
        <v>3531</v>
      </c>
      <c r="H35" s="27" t="s">
        <v>269</v>
      </c>
      <c r="I35" s="27" t="s">
        <v>3503</v>
      </c>
      <c r="J35" s="27"/>
      <c r="K35" s="27"/>
      <c r="L35" s="27"/>
      <c r="M35" s="27" t="s">
        <v>379</v>
      </c>
      <c r="N35" s="1" t="s">
        <v>264</v>
      </c>
      <c r="O35" s="27" t="s">
        <v>3681</v>
      </c>
      <c r="P35" s="27" t="s">
        <v>3709</v>
      </c>
    </row>
    <row r="36" spans="1:16" ht="24" customHeight="1">
      <c r="A36" s="30">
        <v>45967</v>
      </c>
      <c r="B36" s="27" t="s">
        <v>216</v>
      </c>
      <c r="C36" s="27" t="s">
        <v>2608</v>
      </c>
      <c r="D36" s="27" t="s">
        <v>954</v>
      </c>
      <c r="E36" s="10" t="s">
        <v>3675</v>
      </c>
      <c r="F36" s="36" t="s">
        <v>263</v>
      </c>
      <c r="G36" s="27" t="s">
        <v>3664</v>
      </c>
      <c r="H36" s="27" t="s">
        <v>269</v>
      </c>
      <c r="I36" s="27" t="s">
        <v>3676</v>
      </c>
      <c r="J36" s="27"/>
      <c r="K36" s="27"/>
      <c r="L36" s="27"/>
      <c r="M36" s="27" t="s">
        <v>367</v>
      </c>
      <c r="N36" s="1" t="s">
        <v>264</v>
      </c>
      <c r="O36" s="27" t="s">
        <v>3677</v>
      </c>
      <c r="P36" s="27" t="s">
        <v>3710</v>
      </c>
    </row>
    <row r="37" spans="1:16" ht="24" customHeight="1">
      <c r="A37" s="30">
        <v>45967</v>
      </c>
      <c r="B37" s="27" t="s">
        <v>216</v>
      </c>
      <c r="C37" s="27" t="s">
        <v>2608</v>
      </c>
      <c r="D37" s="27" t="s">
        <v>3711</v>
      </c>
      <c r="E37" s="10"/>
      <c r="F37" s="36" t="s">
        <v>263</v>
      </c>
      <c r="G37" s="27" t="s">
        <v>3494</v>
      </c>
      <c r="H37" s="27" t="s">
        <v>309</v>
      </c>
      <c r="I37" s="27" t="s">
        <v>3528</v>
      </c>
      <c r="J37" s="27"/>
      <c r="K37" s="27"/>
      <c r="L37" s="27"/>
      <c r="M37" s="27" t="s">
        <v>3712</v>
      </c>
      <c r="N37" s="1" t="s">
        <v>264</v>
      </c>
      <c r="O37" s="27"/>
      <c r="P37" s="27" t="s">
        <v>3713</v>
      </c>
    </row>
    <row r="38" spans="1:16" ht="24" customHeight="1">
      <c r="A38" s="30">
        <v>45967</v>
      </c>
      <c r="B38" s="27" t="s">
        <v>216</v>
      </c>
      <c r="C38" s="27" t="s">
        <v>2827</v>
      </c>
      <c r="D38" s="27" t="s">
        <v>171</v>
      </c>
      <c r="E38" s="10" t="s">
        <v>3663</v>
      </c>
      <c r="F38" s="36" t="s">
        <v>263</v>
      </c>
      <c r="G38" s="27"/>
      <c r="H38" s="27" t="s">
        <v>269</v>
      </c>
      <c r="I38" s="27" t="s">
        <v>3503</v>
      </c>
      <c r="J38" s="27"/>
      <c r="K38" s="27"/>
      <c r="L38" s="27"/>
      <c r="M38" s="27" t="s">
        <v>3665</v>
      </c>
      <c r="N38" s="1" t="s">
        <v>264</v>
      </c>
      <c r="O38" s="27" t="s">
        <v>3693</v>
      </c>
      <c r="P38" s="27" t="s">
        <v>3694</v>
      </c>
    </row>
    <row r="39" spans="1:16" ht="24" customHeight="1">
      <c r="A39" s="30">
        <v>45967</v>
      </c>
      <c r="B39" s="27" t="s">
        <v>216</v>
      </c>
      <c r="C39" s="27" t="s">
        <v>2608</v>
      </c>
      <c r="D39" s="27" t="s">
        <v>171</v>
      </c>
      <c r="E39" s="10" t="s">
        <v>3507</v>
      </c>
      <c r="F39" s="36" t="s">
        <v>263</v>
      </c>
      <c r="G39" s="27"/>
      <c r="H39" s="27" t="s">
        <v>269</v>
      </c>
      <c r="I39" s="27" t="s">
        <v>3503</v>
      </c>
      <c r="J39" s="27"/>
      <c r="K39" s="27"/>
      <c r="L39" s="27"/>
      <c r="M39" s="27" t="s">
        <v>2584</v>
      </c>
      <c r="N39" s="3" t="s">
        <v>312</v>
      </c>
      <c r="O39" s="27" t="s">
        <v>3371</v>
      </c>
      <c r="P39" s="27"/>
    </row>
    <row r="40" spans="1:16" ht="24" customHeight="1">
      <c r="A40" s="30">
        <v>45967</v>
      </c>
      <c r="B40" s="27" t="s">
        <v>216</v>
      </c>
      <c r="C40" s="27" t="s">
        <v>3501</v>
      </c>
      <c r="D40" s="27" t="s">
        <v>3672</v>
      </c>
      <c r="E40" s="10" t="s">
        <v>3714</v>
      </c>
      <c r="F40" s="36" t="s">
        <v>263</v>
      </c>
      <c r="G40" s="27"/>
      <c r="H40" s="27" t="s">
        <v>2009</v>
      </c>
      <c r="I40" s="27" t="s">
        <v>3715</v>
      </c>
      <c r="J40" s="27"/>
      <c r="K40" s="27"/>
      <c r="L40" s="27"/>
      <c r="M40" s="27" t="s">
        <v>379</v>
      </c>
      <c r="N40" s="3" t="s">
        <v>312</v>
      </c>
      <c r="O40" s="27" t="s">
        <v>3716</v>
      </c>
      <c r="P40" s="27"/>
    </row>
    <row r="41" spans="1:16" ht="24" customHeight="1">
      <c r="A41" s="30">
        <v>45967</v>
      </c>
      <c r="B41" s="27" t="s">
        <v>216</v>
      </c>
      <c r="C41" s="27" t="s">
        <v>3501</v>
      </c>
      <c r="D41" s="27" t="s">
        <v>138</v>
      </c>
      <c r="E41" s="10" t="s">
        <v>3695</v>
      </c>
      <c r="F41" s="36" t="s">
        <v>263</v>
      </c>
      <c r="G41" s="27" t="s">
        <v>3696</v>
      </c>
      <c r="H41" s="27" t="s">
        <v>269</v>
      </c>
      <c r="I41" s="27" t="s">
        <v>3503</v>
      </c>
      <c r="J41" s="27"/>
      <c r="K41" s="27"/>
      <c r="L41" s="27"/>
      <c r="M41" s="27" t="s">
        <v>3697</v>
      </c>
      <c r="N41" s="1" t="s">
        <v>264</v>
      </c>
      <c r="O41" s="27" t="s">
        <v>3519</v>
      </c>
      <c r="P41" s="27" t="s">
        <v>298</v>
      </c>
    </row>
    <row r="42" spans="1:16" ht="24" customHeight="1">
      <c r="A42" s="30">
        <v>45967</v>
      </c>
      <c r="B42" s="27" t="s">
        <v>216</v>
      </c>
      <c r="C42" s="27" t="s">
        <v>3501</v>
      </c>
      <c r="D42" s="27"/>
      <c r="E42" s="10"/>
      <c r="F42" s="36" t="s">
        <v>263</v>
      </c>
      <c r="G42" s="27"/>
      <c r="H42" s="27"/>
      <c r="I42" s="27"/>
      <c r="J42" s="27"/>
      <c r="K42" s="27"/>
      <c r="L42" s="27"/>
      <c r="M42" s="27"/>
      <c r="N42" s="1" t="s">
        <v>264</v>
      </c>
      <c r="O42" s="27"/>
      <c r="P42" s="27"/>
    </row>
    <row r="43" spans="1:16" ht="24" customHeight="1">
      <c r="A43" s="30">
        <v>45968</v>
      </c>
      <c r="B43" s="27" t="s">
        <v>220</v>
      </c>
      <c r="C43" s="27" t="s">
        <v>2608</v>
      </c>
      <c r="D43" s="27" t="s">
        <v>954</v>
      </c>
      <c r="E43" s="10" t="s">
        <v>3675</v>
      </c>
      <c r="F43" s="36" t="s">
        <v>263</v>
      </c>
      <c r="G43" s="27" t="s">
        <v>3664</v>
      </c>
      <c r="H43" s="27" t="s">
        <v>269</v>
      </c>
      <c r="I43" s="27" t="s">
        <v>3676</v>
      </c>
      <c r="J43" s="27"/>
      <c r="K43" s="27"/>
      <c r="L43" s="27"/>
      <c r="M43" s="27" t="s">
        <v>367</v>
      </c>
      <c r="N43" s="1" t="s">
        <v>264</v>
      </c>
      <c r="O43" s="27" t="s">
        <v>3677</v>
      </c>
      <c r="P43" s="27" t="s">
        <v>3678</v>
      </c>
    </row>
    <row r="44" spans="1:16" ht="24" customHeight="1">
      <c r="A44" s="30">
        <v>45968</v>
      </c>
      <c r="B44" s="27" t="s">
        <v>220</v>
      </c>
      <c r="C44" s="27" t="s">
        <v>2827</v>
      </c>
      <c r="D44" s="27" t="s">
        <v>171</v>
      </c>
      <c r="E44" s="10" t="s">
        <v>3663</v>
      </c>
      <c r="F44" s="36" t="s">
        <v>263</v>
      </c>
      <c r="G44" s="27"/>
      <c r="H44" s="27" t="s">
        <v>269</v>
      </c>
      <c r="I44" s="27" t="s">
        <v>3503</v>
      </c>
      <c r="J44" s="27"/>
      <c r="K44" s="27"/>
      <c r="L44" s="27"/>
      <c r="M44" s="27" t="s">
        <v>3665</v>
      </c>
      <c r="N44" s="1" t="s">
        <v>264</v>
      </c>
      <c r="O44" s="27" t="s">
        <v>3693</v>
      </c>
      <c r="P44" s="27" t="s">
        <v>3678</v>
      </c>
    </row>
    <row r="45" spans="1:16" ht="24" customHeight="1">
      <c r="A45" s="30">
        <v>45968</v>
      </c>
      <c r="B45" s="27" t="s">
        <v>220</v>
      </c>
      <c r="C45" s="27" t="s">
        <v>2608</v>
      </c>
      <c r="D45" s="27" t="s">
        <v>239</v>
      </c>
      <c r="E45" s="10" t="s">
        <v>3717</v>
      </c>
      <c r="F45" s="36" t="s">
        <v>263</v>
      </c>
      <c r="G45" s="27" t="s">
        <v>1161</v>
      </c>
      <c r="H45" s="27" t="s">
        <v>295</v>
      </c>
      <c r="I45" s="27" t="s">
        <v>3528</v>
      </c>
      <c r="J45" s="27"/>
      <c r="K45" s="27"/>
      <c r="L45" s="27"/>
      <c r="M45" s="27" t="s">
        <v>237</v>
      </c>
      <c r="N45" s="1" t="s">
        <v>264</v>
      </c>
      <c r="O45" s="27" t="s">
        <v>3677</v>
      </c>
      <c r="P45" s="27" t="s">
        <v>3718</v>
      </c>
    </row>
    <row r="46" spans="1:16" ht="24" customHeight="1">
      <c r="A46" s="30">
        <v>45968</v>
      </c>
      <c r="B46" s="27" t="s">
        <v>220</v>
      </c>
      <c r="C46" s="27" t="s">
        <v>3501</v>
      </c>
      <c r="D46" s="27" t="s">
        <v>3679</v>
      </c>
      <c r="E46" s="10" t="s">
        <v>3668</v>
      </c>
      <c r="F46" s="36" t="s">
        <v>263</v>
      </c>
      <c r="G46" s="27" t="s">
        <v>3706</v>
      </c>
      <c r="H46" s="27" t="s">
        <v>269</v>
      </c>
      <c r="I46" s="27" t="s">
        <v>3503</v>
      </c>
      <c r="J46" s="27"/>
      <c r="K46" s="27"/>
      <c r="L46" s="27"/>
      <c r="M46" s="27" t="s">
        <v>379</v>
      </c>
      <c r="N46" s="1" t="s">
        <v>264</v>
      </c>
      <c r="O46" s="27" t="s">
        <v>3681</v>
      </c>
      <c r="P46" s="27" t="s">
        <v>3703</v>
      </c>
    </row>
    <row r="47" spans="1:16" ht="24" customHeight="1">
      <c r="A47" s="30">
        <v>45968</v>
      </c>
      <c r="B47" s="27" t="s">
        <v>220</v>
      </c>
      <c r="C47" s="27" t="s">
        <v>3501</v>
      </c>
      <c r="D47" s="27" t="s">
        <v>138</v>
      </c>
      <c r="E47" s="10" t="s">
        <v>3695</v>
      </c>
      <c r="F47" s="36" t="s">
        <v>263</v>
      </c>
      <c r="G47" s="27" t="s">
        <v>3696</v>
      </c>
      <c r="H47" s="27" t="s">
        <v>269</v>
      </c>
      <c r="I47" s="27" t="s">
        <v>3503</v>
      </c>
      <c r="J47" s="27"/>
      <c r="K47" s="27"/>
      <c r="L47" s="27"/>
      <c r="M47" s="27" t="s">
        <v>3697</v>
      </c>
      <c r="N47" s="1" t="s">
        <v>264</v>
      </c>
      <c r="O47" s="27" t="s">
        <v>3519</v>
      </c>
      <c r="P47" s="27" t="s">
        <v>298</v>
      </c>
    </row>
    <row r="48" spans="1:16" ht="24" customHeight="1">
      <c r="A48" s="30">
        <v>45969</v>
      </c>
      <c r="B48" s="27" t="s">
        <v>266</v>
      </c>
      <c r="C48" s="27"/>
      <c r="D48" s="27"/>
      <c r="E48" s="10"/>
      <c r="F48" s="36" t="s">
        <v>263</v>
      </c>
      <c r="G48" s="27"/>
      <c r="H48" s="27"/>
      <c r="I48" s="27"/>
      <c r="J48" s="27"/>
      <c r="K48" s="27"/>
      <c r="L48" s="27"/>
      <c r="M48" s="27"/>
      <c r="N48" s="1" t="s">
        <v>264</v>
      </c>
      <c r="O48" s="27"/>
      <c r="P48" s="27"/>
    </row>
    <row r="49" spans="1:16" ht="24" customHeight="1">
      <c r="A49" s="30">
        <v>45970</v>
      </c>
      <c r="B49" s="27" t="s">
        <v>267</v>
      </c>
      <c r="C49" s="27"/>
      <c r="D49" s="27"/>
      <c r="E49" s="10"/>
      <c r="F49" s="36" t="s">
        <v>263</v>
      </c>
      <c r="G49" s="27"/>
      <c r="H49" s="27"/>
      <c r="I49" s="27"/>
      <c r="J49" s="27"/>
      <c r="K49" s="27"/>
      <c r="L49" s="27"/>
      <c r="M49" s="27"/>
      <c r="N49" s="1" t="s">
        <v>264</v>
      </c>
      <c r="O49" s="27"/>
      <c r="P49" s="27"/>
    </row>
    <row r="50" spans="1:16" ht="24" customHeight="1">
      <c r="A50" s="30">
        <v>45971</v>
      </c>
      <c r="B50" s="27" t="s">
        <v>224</v>
      </c>
      <c r="C50" s="27" t="s">
        <v>3501</v>
      </c>
      <c r="D50" s="27" t="s">
        <v>138</v>
      </c>
      <c r="E50" s="10" t="s">
        <v>3695</v>
      </c>
      <c r="F50" s="36" t="s">
        <v>263</v>
      </c>
      <c r="G50" s="27" t="s">
        <v>3696</v>
      </c>
      <c r="H50" s="27" t="s">
        <v>269</v>
      </c>
      <c r="I50" s="27" t="s">
        <v>3503</v>
      </c>
      <c r="J50" s="27"/>
      <c r="K50" s="27"/>
      <c r="L50" s="27"/>
      <c r="M50" s="27" t="s">
        <v>3697</v>
      </c>
      <c r="N50" s="1" t="s">
        <v>264</v>
      </c>
      <c r="O50" s="27" t="s">
        <v>3519</v>
      </c>
      <c r="P50" s="27" t="s">
        <v>298</v>
      </c>
    </row>
    <row r="51" spans="1:16" ht="24" customHeight="1">
      <c r="A51" s="30">
        <v>45971</v>
      </c>
      <c r="B51" s="27" t="s">
        <v>224</v>
      </c>
      <c r="C51" s="27" t="s">
        <v>3501</v>
      </c>
      <c r="D51" s="27" t="s">
        <v>3672</v>
      </c>
      <c r="E51" s="10" t="s">
        <v>3719</v>
      </c>
      <c r="F51" s="36" t="s">
        <v>263</v>
      </c>
      <c r="G51" s="27"/>
      <c r="H51" s="27" t="s">
        <v>274</v>
      </c>
      <c r="I51" s="27" t="s">
        <v>3646</v>
      </c>
      <c r="J51" s="27"/>
      <c r="K51" s="27"/>
      <c r="L51" s="27"/>
      <c r="M51" s="27" t="s">
        <v>507</v>
      </c>
      <c r="N51" s="1" t="s">
        <v>264</v>
      </c>
      <c r="O51" s="27" t="s">
        <v>3677</v>
      </c>
      <c r="P51" s="27" t="s">
        <v>3720</v>
      </c>
    </row>
    <row r="52" spans="1:16" ht="24" customHeight="1">
      <c r="A52" s="30">
        <v>45971</v>
      </c>
      <c r="B52" s="27" t="s">
        <v>224</v>
      </c>
      <c r="C52" s="27" t="s">
        <v>2608</v>
      </c>
      <c r="D52" s="27" t="s">
        <v>2782</v>
      </c>
      <c r="E52" s="10" t="s">
        <v>3668</v>
      </c>
      <c r="F52" s="36" t="s">
        <v>263</v>
      </c>
      <c r="G52" s="27" t="s">
        <v>3510</v>
      </c>
      <c r="H52" s="27" t="s">
        <v>269</v>
      </c>
      <c r="I52" s="27" t="s">
        <v>3503</v>
      </c>
      <c r="J52" s="27"/>
      <c r="K52" s="27"/>
      <c r="L52" s="27"/>
      <c r="M52" s="27" t="s">
        <v>367</v>
      </c>
      <c r="N52" s="1" t="s">
        <v>264</v>
      </c>
      <c r="O52" s="27" t="s">
        <v>3721</v>
      </c>
      <c r="P52" s="27" t="s">
        <v>3722</v>
      </c>
    </row>
    <row r="53" spans="1:16" ht="24" customHeight="1">
      <c r="A53" s="30">
        <v>45971</v>
      </c>
      <c r="B53" s="27" t="s">
        <v>224</v>
      </c>
      <c r="C53" s="27" t="s">
        <v>2608</v>
      </c>
      <c r="D53" s="27" t="s">
        <v>171</v>
      </c>
      <c r="E53" s="10" t="s">
        <v>3507</v>
      </c>
      <c r="F53" s="36" t="s">
        <v>263</v>
      </c>
      <c r="G53" s="27"/>
      <c r="H53" s="27" t="s">
        <v>269</v>
      </c>
      <c r="I53" s="27" t="s">
        <v>3503</v>
      </c>
      <c r="J53" s="27"/>
      <c r="K53" s="27"/>
      <c r="L53" s="27"/>
      <c r="M53" s="27" t="s">
        <v>2584</v>
      </c>
      <c r="N53" s="1" t="s">
        <v>264</v>
      </c>
      <c r="O53" s="27" t="s">
        <v>3371</v>
      </c>
      <c r="P53" s="27"/>
    </row>
    <row r="54" spans="1:16" ht="24" customHeight="1">
      <c r="A54" s="30">
        <v>45972</v>
      </c>
      <c r="B54" s="27" t="s">
        <v>227</v>
      </c>
      <c r="C54" s="27" t="s">
        <v>2608</v>
      </c>
      <c r="D54" s="27" t="s">
        <v>2782</v>
      </c>
      <c r="E54" s="10" t="s">
        <v>3668</v>
      </c>
      <c r="F54" s="36" t="s">
        <v>263</v>
      </c>
      <c r="G54" s="27" t="s">
        <v>3510</v>
      </c>
      <c r="H54" s="27" t="s">
        <v>269</v>
      </c>
      <c r="I54" s="27" t="s">
        <v>3503</v>
      </c>
      <c r="J54" s="27"/>
      <c r="K54" s="27"/>
      <c r="L54" s="27"/>
      <c r="M54" s="27" t="s">
        <v>367</v>
      </c>
      <c r="N54" s="1" t="s">
        <v>264</v>
      </c>
      <c r="O54" s="27" t="s">
        <v>3721</v>
      </c>
      <c r="P54" s="27" t="s">
        <v>3722</v>
      </c>
    </row>
    <row r="55" spans="1:16" ht="24" customHeight="1">
      <c r="A55" s="30">
        <v>45972</v>
      </c>
      <c r="B55" s="27" t="s">
        <v>227</v>
      </c>
      <c r="C55" s="27" t="s">
        <v>2608</v>
      </c>
      <c r="D55" s="27" t="s">
        <v>1050</v>
      </c>
      <c r="E55" s="10" t="s">
        <v>3723</v>
      </c>
      <c r="F55" s="36" t="s">
        <v>263</v>
      </c>
      <c r="G55" s="27" t="s">
        <v>3527</v>
      </c>
      <c r="H55" s="27" t="s">
        <v>295</v>
      </c>
      <c r="I55" s="27" t="s">
        <v>3528</v>
      </c>
      <c r="J55" s="27"/>
      <c r="K55" s="27"/>
      <c r="L55" s="27"/>
      <c r="M55" s="27" t="s">
        <v>370</v>
      </c>
      <c r="N55" s="1" t="s">
        <v>264</v>
      </c>
      <c r="O55" s="27"/>
      <c r="P55" s="27"/>
    </row>
    <row r="56" spans="1:16" ht="24" customHeight="1">
      <c r="A56" s="30">
        <v>45972</v>
      </c>
      <c r="B56" s="27" t="s">
        <v>227</v>
      </c>
      <c r="C56" s="27" t="s">
        <v>2608</v>
      </c>
      <c r="D56" s="27" t="s">
        <v>2715</v>
      </c>
      <c r="E56" s="10" t="s">
        <v>3724</v>
      </c>
      <c r="F56" s="36" t="s">
        <v>263</v>
      </c>
      <c r="G56" s="27" t="s">
        <v>3541</v>
      </c>
      <c r="H56" s="27" t="s">
        <v>330</v>
      </c>
      <c r="I56" s="27" t="s">
        <v>3725</v>
      </c>
      <c r="J56" s="27"/>
      <c r="K56" s="27"/>
      <c r="L56" s="27"/>
      <c r="M56" s="27" t="s">
        <v>237</v>
      </c>
      <c r="N56" s="1" t="s">
        <v>264</v>
      </c>
      <c r="O56" s="27"/>
      <c r="P56" s="27" t="s">
        <v>3726</v>
      </c>
    </row>
    <row r="57" spans="1:16" ht="24" customHeight="1">
      <c r="A57" s="30">
        <v>45972</v>
      </c>
      <c r="B57" s="27" t="s">
        <v>227</v>
      </c>
      <c r="C57" s="27" t="s">
        <v>2608</v>
      </c>
      <c r="D57" s="27" t="s">
        <v>171</v>
      </c>
      <c r="E57" s="10" t="s">
        <v>3727</v>
      </c>
      <c r="F57" s="36" t="s">
        <v>263</v>
      </c>
      <c r="G57" s="27" t="s">
        <v>3498</v>
      </c>
      <c r="H57" s="27" t="s">
        <v>315</v>
      </c>
      <c r="I57" s="27" t="s">
        <v>3524</v>
      </c>
      <c r="J57" s="27" t="s">
        <v>382</v>
      </c>
      <c r="K57" s="27"/>
      <c r="L57" s="27"/>
      <c r="M57" s="27" t="s">
        <v>3728</v>
      </c>
      <c r="N57" s="1" t="s">
        <v>264</v>
      </c>
      <c r="O57" s="27"/>
      <c r="P57" s="27" t="s">
        <v>3729</v>
      </c>
    </row>
    <row r="58" spans="1:16" ht="24" customHeight="1">
      <c r="A58" s="30">
        <v>45972</v>
      </c>
      <c r="B58" s="27" t="s">
        <v>227</v>
      </c>
      <c r="C58" s="27" t="s">
        <v>2608</v>
      </c>
      <c r="D58" s="27" t="s">
        <v>171</v>
      </c>
      <c r="E58" s="10" t="s">
        <v>3730</v>
      </c>
      <c r="F58" s="36" t="s">
        <v>263</v>
      </c>
      <c r="G58" s="27" t="s">
        <v>3498</v>
      </c>
      <c r="H58" s="27" t="s">
        <v>359</v>
      </c>
      <c r="I58" s="27" t="s">
        <v>3505</v>
      </c>
      <c r="J58" s="27" t="s">
        <v>610</v>
      </c>
      <c r="K58" s="27" t="s">
        <v>369</v>
      </c>
      <c r="L58" s="27"/>
      <c r="M58" s="27" t="s">
        <v>367</v>
      </c>
      <c r="N58" s="1" t="s">
        <v>264</v>
      </c>
      <c r="O58" s="27"/>
      <c r="P58" s="27" t="s">
        <v>298</v>
      </c>
    </row>
    <row r="59" spans="1:16" ht="24" customHeight="1">
      <c r="A59" s="30">
        <v>45972</v>
      </c>
      <c r="B59" s="27" t="s">
        <v>227</v>
      </c>
      <c r="C59" s="27" t="s">
        <v>3501</v>
      </c>
      <c r="D59" s="27" t="s">
        <v>239</v>
      </c>
      <c r="E59" s="10" t="s">
        <v>3731</v>
      </c>
      <c r="F59" s="36" t="s">
        <v>263</v>
      </c>
      <c r="G59" s="27" t="s">
        <v>3490</v>
      </c>
      <c r="H59" s="27" t="s">
        <v>315</v>
      </c>
      <c r="I59" s="27" t="s">
        <v>3732</v>
      </c>
      <c r="J59" s="27" t="s">
        <v>610</v>
      </c>
      <c r="K59" s="27"/>
      <c r="L59" s="27"/>
      <c r="M59" s="27" t="s">
        <v>3733</v>
      </c>
      <c r="N59" s="1" t="s">
        <v>264</v>
      </c>
      <c r="O59" s="27"/>
      <c r="P59" s="27" t="s">
        <v>3734</v>
      </c>
    </row>
    <row r="60" spans="1:16" ht="24" customHeight="1">
      <c r="A60" s="30">
        <v>45972</v>
      </c>
      <c r="B60" s="27" t="s">
        <v>227</v>
      </c>
      <c r="C60" s="27" t="s">
        <v>3501</v>
      </c>
      <c r="D60" s="27" t="s">
        <v>138</v>
      </c>
      <c r="E60" s="10" t="s">
        <v>3695</v>
      </c>
      <c r="F60" s="36" t="s">
        <v>263</v>
      </c>
      <c r="G60" s="27" t="s">
        <v>3696</v>
      </c>
      <c r="H60" s="27" t="s">
        <v>269</v>
      </c>
      <c r="I60" s="27" t="s">
        <v>3503</v>
      </c>
      <c r="J60" s="27"/>
      <c r="K60" s="27"/>
      <c r="L60" s="27"/>
      <c r="M60" s="27" t="s">
        <v>3697</v>
      </c>
      <c r="N60" s="1" t="s">
        <v>264</v>
      </c>
      <c r="O60" s="27" t="s">
        <v>3519</v>
      </c>
      <c r="P60" s="27" t="s">
        <v>298</v>
      </c>
    </row>
    <row r="61" spans="1:16" ht="24" customHeight="1">
      <c r="A61" s="30">
        <v>45972</v>
      </c>
      <c r="B61" s="27" t="s">
        <v>227</v>
      </c>
      <c r="C61" s="27" t="s">
        <v>3501</v>
      </c>
      <c r="D61" s="27" t="s">
        <v>3672</v>
      </c>
      <c r="E61" s="10"/>
      <c r="F61" s="36" t="s">
        <v>263</v>
      </c>
      <c r="G61" s="27"/>
      <c r="H61" s="27" t="s">
        <v>289</v>
      </c>
      <c r="I61" s="27" t="s">
        <v>3620</v>
      </c>
      <c r="J61" s="27"/>
      <c r="K61" s="27"/>
      <c r="L61" s="27"/>
      <c r="M61" s="27"/>
      <c r="N61" s="1" t="s">
        <v>264</v>
      </c>
      <c r="O61" s="27"/>
      <c r="P61" s="27"/>
    </row>
    <row r="62" spans="1:16" ht="24" customHeight="1">
      <c r="A62" s="30">
        <v>45973</v>
      </c>
      <c r="B62" s="27" t="s">
        <v>201</v>
      </c>
      <c r="C62" s="27" t="s">
        <v>2827</v>
      </c>
      <c r="D62" s="27" t="s">
        <v>2782</v>
      </c>
      <c r="E62" s="10" t="s">
        <v>3668</v>
      </c>
      <c r="F62" s="36" t="s">
        <v>263</v>
      </c>
      <c r="G62" s="27" t="s">
        <v>3510</v>
      </c>
      <c r="H62" s="27" t="s">
        <v>269</v>
      </c>
      <c r="I62" s="27" t="s">
        <v>3503</v>
      </c>
      <c r="J62" s="27"/>
      <c r="K62" s="27"/>
      <c r="L62" s="27"/>
      <c r="M62" s="27" t="s">
        <v>367</v>
      </c>
      <c r="N62" s="1" t="s">
        <v>264</v>
      </c>
      <c r="O62" s="27" t="s">
        <v>3721</v>
      </c>
      <c r="P62" s="27" t="s">
        <v>3722</v>
      </c>
    </row>
    <row r="63" spans="1:16" ht="24" customHeight="1">
      <c r="A63" s="30">
        <v>45973</v>
      </c>
      <c r="B63" s="27" t="s">
        <v>201</v>
      </c>
      <c r="C63" s="27" t="s">
        <v>2827</v>
      </c>
      <c r="D63" s="27" t="s">
        <v>462</v>
      </c>
      <c r="E63" s="10" t="s">
        <v>3735</v>
      </c>
      <c r="F63" s="36" t="s">
        <v>263</v>
      </c>
      <c r="G63" s="27" t="s">
        <v>3736</v>
      </c>
      <c r="H63" s="27" t="s">
        <v>289</v>
      </c>
      <c r="I63" s="27" t="s">
        <v>3505</v>
      </c>
      <c r="J63" s="27"/>
      <c r="K63" s="27"/>
      <c r="L63" s="27"/>
      <c r="M63" s="27" t="s">
        <v>237</v>
      </c>
      <c r="N63" s="1" t="s">
        <v>264</v>
      </c>
      <c r="O63" s="27" t="s">
        <v>3677</v>
      </c>
      <c r="P63" s="27" t="s">
        <v>3737</v>
      </c>
    </row>
    <row r="64" spans="1:16" ht="24" customHeight="1">
      <c r="A64" s="30">
        <v>45973</v>
      </c>
      <c r="B64" s="27" t="s">
        <v>201</v>
      </c>
      <c r="C64" s="27" t="s">
        <v>2827</v>
      </c>
      <c r="D64" s="27" t="s">
        <v>3296</v>
      </c>
      <c r="E64" s="10" t="s">
        <v>3738</v>
      </c>
      <c r="F64" s="36" t="s">
        <v>263</v>
      </c>
      <c r="G64" s="27" t="s">
        <v>2202</v>
      </c>
      <c r="H64" s="27" t="s">
        <v>315</v>
      </c>
      <c r="I64" s="27" t="s">
        <v>3524</v>
      </c>
      <c r="J64" s="27"/>
      <c r="K64" s="27"/>
      <c r="L64" s="27"/>
      <c r="M64" s="27"/>
      <c r="N64" s="1" t="s">
        <v>264</v>
      </c>
      <c r="O64" s="27" t="s">
        <v>2603</v>
      </c>
      <c r="P64" s="27" t="s">
        <v>2843</v>
      </c>
    </row>
    <row r="65" spans="1:16" ht="24" customHeight="1">
      <c r="A65" s="30">
        <v>45973</v>
      </c>
      <c r="B65" s="27" t="s">
        <v>201</v>
      </c>
      <c r="C65" s="27" t="s">
        <v>2827</v>
      </c>
      <c r="D65" s="27" t="s">
        <v>171</v>
      </c>
      <c r="E65" s="10" t="s">
        <v>3739</v>
      </c>
      <c r="F65" s="36" t="s">
        <v>263</v>
      </c>
      <c r="G65" s="27" t="s">
        <v>3541</v>
      </c>
      <c r="H65" s="27" t="s">
        <v>295</v>
      </c>
      <c r="I65" s="27" t="s">
        <v>3528</v>
      </c>
      <c r="J65" s="27"/>
      <c r="K65" s="27"/>
      <c r="L65" s="27"/>
      <c r="M65" s="27"/>
      <c r="N65" s="3" t="s">
        <v>312</v>
      </c>
      <c r="O65" s="27" t="s">
        <v>3677</v>
      </c>
      <c r="P65" s="27" t="s">
        <v>3740</v>
      </c>
    </row>
    <row r="66" spans="1:16" ht="24" customHeight="1">
      <c r="A66" s="30">
        <v>45973</v>
      </c>
      <c r="B66" s="27" t="s">
        <v>201</v>
      </c>
      <c r="C66" s="27" t="s">
        <v>3529</v>
      </c>
      <c r="D66" s="27" t="s">
        <v>239</v>
      </c>
      <c r="E66" s="10" t="s">
        <v>3738</v>
      </c>
      <c r="F66" s="36" t="s">
        <v>263</v>
      </c>
      <c r="G66" s="27" t="s">
        <v>2202</v>
      </c>
      <c r="H66" s="27" t="s">
        <v>315</v>
      </c>
      <c r="I66" s="27" t="s">
        <v>3524</v>
      </c>
      <c r="J66" s="27"/>
      <c r="K66" s="27"/>
      <c r="L66" s="27"/>
      <c r="M66" s="27"/>
      <c r="N66" s="1" t="s">
        <v>264</v>
      </c>
      <c r="O66" s="27" t="s">
        <v>2603</v>
      </c>
      <c r="P66" s="27" t="s">
        <v>2843</v>
      </c>
    </row>
    <row r="67" spans="1:16" ht="24" customHeight="1">
      <c r="A67" s="30">
        <v>45973</v>
      </c>
      <c r="B67" s="27" t="s">
        <v>201</v>
      </c>
      <c r="C67" s="27" t="s">
        <v>3529</v>
      </c>
      <c r="D67" s="27" t="s">
        <v>3672</v>
      </c>
      <c r="E67" s="10" t="s">
        <v>3741</v>
      </c>
      <c r="F67" s="36" t="s">
        <v>263</v>
      </c>
      <c r="G67" s="27" t="s">
        <v>3742</v>
      </c>
      <c r="H67" s="27" t="s">
        <v>295</v>
      </c>
      <c r="I67" s="27" t="s">
        <v>3505</v>
      </c>
      <c r="J67" s="27"/>
      <c r="K67" s="27"/>
      <c r="L67" s="27"/>
      <c r="M67" s="27" t="s">
        <v>2668</v>
      </c>
      <c r="N67" s="3" t="s">
        <v>312</v>
      </c>
      <c r="O67" s="27" t="s">
        <v>3743</v>
      </c>
      <c r="P67" s="27" t="s">
        <v>298</v>
      </c>
    </row>
    <row r="68" spans="1:16" ht="24" customHeight="1">
      <c r="A68" s="30">
        <v>45973</v>
      </c>
      <c r="B68" s="27" t="s">
        <v>201</v>
      </c>
      <c r="C68" s="27" t="s">
        <v>3501</v>
      </c>
      <c r="D68" s="27" t="s">
        <v>138</v>
      </c>
      <c r="E68" s="10" t="s">
        <v>3695</v>
      </c>
      <c r="F68" s="36" t="s">
        <v>263</v>
      </c>
      <c r="G68" s="27" t="s">
        <v>3696</v>
      </c>
      <c r="H68" s="27" t="s">
        <v>269</v>
      </c>
      <c r="I68" s="27" t="s">
        <v>3503</v>
      </c>
      <c r="J68" s="27"/>
      <c r="K68" s="27"/>
      <c r="L68" s="27"/>
      <c r="M68" s="27" t="s">
        <v>3697</v>
      </c>
      <c r="N68" s="1" t="s">
        <v>264</v>
      </c>
      <c r="O68" s="27" t="s">
        <v>3519</v>
      </c>
      <c r="P68" s="27" t="s">
        <v>298</v>
      </c>
    </row>
    <row r="69" spans="1:16" ht="24" customHeight="1">
      <c r="A69" s="30">
        <v>45974</v>
      </c>
      <c r="B69" s="27" t="s">
        <v>216</v>
      </c>
      <c r="C69" s="27" t="s">
        <v>3501</v>
      </c>
      <c r="D69" s="27" t="s">
        <v>138</v>
      </c>
      <c r="E69" s="10" t="s">
        <v>3695</v>
      </c>
      <c r="F69" s="36" t="s">
        <v>263</v>
      </c>
      <c r="G69" s="27" t="s">
        <v>3696</v>
      </c>
      <c r="H69" s="27" t="s">
        <v>269</v>
      </c>
      <c r="I69" s="27" t="s">
        <v>3503</v>
      </c>
      <c r="J69" s="27"/>
      <c r="K69" s="27"/>
      <c r="L69" s="27"/>
      <c r="M69" s="27" t="s">
        <v>3697</v>
      </c>
      <c r="N69" s="1" t="s">
        <v>264</v>
      </c>
      <c r="O69" s="27" t="s">
        <v>3519</v>
      </c>
      <c r="P69" s="27" t="s">
        <v>298</v>
      </c>
    </row>
    <row r="70" spans="1:16" ht="24" customHeight="1">
      <c r="A70" s="30">
        <v>45974</v>
      </c>
      <c r="B70" s="27" t="s">
        <v>216</v>
      </c>
      <c r="C70" s="27" t="s">
        <v>2608</v>
      </c>
      <c r="D70" s="27" t="s">
        <v>462</v>
      </c>
      <c r="E70" s="10" t="s">
        <v>3744</v>
      </c>
      <c r="F70" s="36" t="s">
        <v>263</v>
      </c>
      <c r="G70" s="27" t="s">
        <v>3531</v>
      </c>
      <c r="H70" s="27" t="s">
        <v>269</v>
      </c>
      <c r="I70" s="27" t="s">
        <v>3503</v>
      </c>
      <c r="J70" s="27"/>
      <c r="K70" s="27"/>
      <c r="L70" s="27"/>
      <c r="M70" s="27" t="s">
        <v>237</v>
      </c>
      <c r="N70" s="1" t="s">
        <v>264</v>
      </c>
      <c r="O70" s="27" t="s">
        <v>3745</v>
      </c>
      <c r="P70" s="27" t="s">
        <v>3746</v>
      </c>
    </row>
    <row r="71" spans="1:16" ht="24" customHeight="1">
      <c r="A71" s="30">
        <v>45975</v>
      </c>
      <c r="B71" s="27" t="s">
        <v>220</v>
      </c>
      <c r="C71" s="27" t="s">
        <v>2608</v>
      </c>
      <c r="D71" s="27" t="s">
        <v>171</v>
      </c>
      <c r="E71" s="10" t="s">
        <v>3747</v>
      </c>
      <c r="F71" s="36" t="s">
        <v>263</v>
      </c>
      <c r="G71" s="27"/>
      <c r="H71" s="27" t="s">
        <v>281</v>
      </c>
      <c r="I71" s="27" t="s">
        <v>3606</v>
      </c>
      <c r="J71" s="27"/>
      <c r="K71" s="27"/>
      <c r="L71" s="27"/>
      <c r="M71" s="27" t="s">
        <v>237</v>
      </c>
      <c r="N71" s="3" t="s">
        <v>312</v>
      </c>
      <c r="O71" s="27" t="s">
        <v>3661</v>
      </c>
      <c r="P71" s="27" t="s">
        <v>3748</v>
      </c>
    </row>
    <row r="72" spans="1:16" ht="24" customHeight="1">
      <c r="A72" s="30">
        <v>45975</v>
      </c>
      <c r="B72" s="27" t="s">
        <v>220</v>
      </c>
      <c r="C72" s="27" t="s">
        <v>2608</v>
      </c>
      <c r="D72" s="27" t="s">
        <v>171</v>
      </c>
      <c r="E72" s="10" t="s">
        <v>3749</v>
      </c>
      <c r="F72" s="36" t="s">
        <v>263</v>
      </c>
      <c r="G72" s="27" t="s">
        <v>3498</v>
      </c>
      <c r="H72" s="27" t="s">
        <v>295</v>
      </c>
      <c r="I72" s="27" t="s">
        <v>3528</v>
      </c>
      <c r="J72" s="27"/>
      <c r="K72" s="27"/>
      <c r="L72" s="27"/>
      <c r="M72" s="27" t="s">
        <v>2835</v>
      </c>
      <c r="N72" s="1" t="s">
        <v>264</v>
      </c>
      <c r="O72" s="27" t="s">
        <v>3677</v>
      </c>
      <c r="P72" s="27" t="s">
        <v>3750</v>
      </c>
    </row>
    <row r="73" spans="1:16" ht="24" customHeight="1">
      <c r="A73" s="30">
        <v>45975</v>
      </c>
      <c r="B73" s="27" t="s">
        <v>220</v>
      </c>
      <c r="C73" s="27" t="s">
        <v>3501</v>
      </c>
      <c r="D73" s="27" t="s">
        <v>3672</v>
      </c>
      <c r="E73" s="10" t="s">
        <v>3673</v>
      </c>
      <c r="F73" s="36" t="s">
        <v>263</v>
      </c>
      <c r="G73" s="27" t="s">
        <v>3664</v>
      </c>
      <c r="H73" s="27" t="s">
        <v>289</v>
      </c>
      <c r="I73" s="27" t="s">
        <v>3620</v>
      </c>
      <c r="J73" s="27"/>
      <c r="K73" s="27"/>
      <c r="L73" s="27"/>
      <c r="M73" s="27" t="s">
        <v>785</v>
      </c>
      <c r="N73" s="1" t="s">
        <v>264</v>
      </c>
      <c r="O73" s="27" t="s">
        <v>3677</v>
      </c>
      <c r="P73" s="27" t="s">
        <v>3751</v>
      </c>
    </row>
    <row r="74" spans="1:16" ht="24" customHeight="1">
      <c r="A74" s="30">
        <v>45975</v>
      </c>
      <c r="B74" s="27" t="s">
        <v>220</v>
      </c>
      <c r="C74" s="27" t="s">
        <v>3501</v>
      </c>
      <c r="D74" s="27" t="s">
        <v>138</v>
      </c>
      <c r="E74" s="10" t="s">
        <v>3695</v>
      </c>
      <c r="F74" s="36" t="s">
        <v>263</v>
      </c>
      <c r="G74" s="27" t="s">
        <v>3696</v>
      </c>
      <c r="H74" s="27" t="s">
        <v>269</v>
      </c>
      <c r="I74" s="27" t="s">
        <v>3503</v>
      </c>
      <c r="J74" s="27"/>
      <c r="K74" s="27"/>
      <c r="L74" s="27"/>
      <c r="M74" s="27" t="s">
        <v>3697</v>
      </c>
      <c r="N74" s="1" t="s">
        <v>264</v>
      </c>
      <c r="O74" s="27" t="s">
        <v>3519</v>
      </c>
      <c r="P74" s="27" t="s">
        <v>298</v>
      </c>
    </row>
    <row r="75" spans="1:16" ht="24" customHeight="1">
      <c r="A75" s="30">
        <v>45975</v>
      </c>
      <c r="B75" s="27" t="s">
        <v>220</v>
      </c>
      <c r="C75" s="27" t="s">
        <v>3501</v>
      </c>
      <c r="D75" s="27" t="s">
        <v>1267</v>
      </c>
      <c r="E75" s="10" t="s">
        <v>3752</v>
      </c>
      <c r="F75" s="36" t="s">
        <v>263</v>
      </c>
      <c r="G75" s="27" t="s">
        <v>3490</v>
      </c>
      <c r="H75" s="27" t="s">
        <v>350</v>
      </c>
      <c r="I75" s="27" t="s">
        <v>3570</v>
      </c>
      <c r="J75" s="27"/>
      <c r="K75" s="27"/>
      <c r="L75" s="27"/>
      <c r="M75" s="27" t="s">
        <v>3753</v>
      </c>
      <c r="N75" s="1" t="s">
        <v>264</v>
      </c>
      <c r="O75" s="27" t="s">
        <v>3754</v>
      </c>
      <c r="P75" s="27" t="s">
        <v>298</v>
      </c>
    </row>
    <row r="76" spans="1:16" ht="24" customHeight="1">
      <c r="A76" s="30">
        <v>45975</v>
      </c>
      <c r="B76" s="27" t="s">
        <v>220</v>
      </c>
      <c r="C76" s="27" t="s">
        <v>3501</v>
      </c>
      <c r="D76" s="27" t="s">
        <v>3755</v>
      </c>
      <c r="E76" s="10" t="s">
        <v>3756</v>
      </c>
      <c r="F76" s="36" t="s">
        <v>263</v>
      </c>
      <c r="G76" s="27" t="s">
        <v>3510</v>
      </c>
      <c r="H76" s="27" t="s">
        <v>269</v>
      </c>
      <c r="I76" s="27" t="s">
        <v>3503</v>
      </c>
      <c r="J76" s="27"/>
      <c r="K76" s="27"/>
      <c r="L76" s="27"/>
      <c r="M76" s="27" t="s">
        <v>3757</v>
      </c>
      <c r="N76" s="1" t="s">
        <v>264</v>
      </c>
      <c r="O76" s="27" t="s">
        <v>3745</v>
      </c>
      <c r="P76" s="27" t="s">
        <v>3758</v>
      </c>
    </row>
    <row r="77" spans="1:16" ht="24" customHeight="1">
      <c r="A77" s="30">
        <v>45976</v>
      </c>
      <c r="B77" s="27" t="s">
        <v>266</v>
      </c>
      <c r="C77" s="27" t="s">
        <v>2608</v>
      </c>
      <c r="D77" s="27" t="s">
        <v>300</v>
      </c>
      <c r="E77" s="10"/>
      <c r="F77" s="36" t="s">
        <v>263</v>
      </c>
      <c r="G77" s="27"/>
      <c r="H77" s="27" t="s">
        <v>269</v>
      </c>
      <c r="I77" s="27" t="s">
        <v>3503</v>
      </c>
      <c r="J77" s="27"/>
      <c r="K77" s="27"/>
      <c r="L77" s="27"/>
      <c r="M77" s="27" t="s">
        <v>602</v>
      </c>
      <c r="N77" s="1" t="s">
        <v>264</v>
      </c>
      <c r="O77" s="27" t="s">
        <v>3759</v>
      </c>
      <c r="P77" s="27" t="s">
        <v>3760</v>
      </c>
    </row>
    <row r="78" spans="1:16" ht="24" customHeight="1">
      <c r="A78" s="30">
        <v>45977</v>
      </c>
      <c r="B78" s="27" t="s">
        <v>267</v>
      </c>
      <c r="C78" s="27"/>
      <c r="D78" s="27"/>
      <c r="E78" s="10"/>
      <c r="F78" s="36" t="s">
        <v>263</v>
      </c>
      <c r="G78" s="27"/>
      <c r="H78" s="27"/>
      <c r="I78" s="27"/>
      <c r="J78" s="27"/>
      <c r="K78" s="27"/>
      <c r="L78" s="27"/>
      <c r="M78" s="27"/>
      <c r="N78" s="1" t="s">
        <v>264</v>
      </c>
      <c r="O78" s="27"/>
      <c r="P78" s="27"/>
    </row>
    <row r="79" spans="1:16" ht="24" customHeight="1">
      <c r="A79" s="30">
        <v>45978</v>
      </c>
      <c r="B79" s="27" t="s">
        <v>224</v>
      </c>
      <c r="C79" s="27" t="s">
        <v>2608</v>
      </c>
      <c r="D79" s="27" t="s">
        <v>462</v>
      </c>
      <c r="E79" s="10" t="s">
        <v>3507</v>
      </c>
      <c r="F79" s="36" t="s">
        <v>263</v>
      </c>
      <c r="G79" s="27"/>
      <c r="H79" s="27" t="s">
        <v>269</v>
      </c>
      <c r="I79" s="27" t="s">
        <v>3503</v>
      </c>
      <c r="J79" s="27"/>
      <c r="K79" s="27"/>
      <c r="L79" s="27"/>
      <c r="M79" s="27" t="s">
        <v>2584</v>
      </c>
      <c r="N79" s="1" t="s">
        <v>264</v>
      </c>
      <c r="O79" s="27" t="s">
        <v>3371</v>
      </c>
      <c r="P79" s="27" t="s">
        <v>3611</v>
      </c>
    </row>
    <row r="80" spans="1:16" ht="24" customHeight="1">
      <c r="A80" s="30">
        <v>45978</v>
      </c>
      <c r="B80" s="27" t="s">
        <v>224</v>
      </c>
      <c r="C80" s="27" t="s">
        <v>3501</v>
      </c>
      <c r="D80" s="27" t="s">
        <v>3761</v>
      </c>
      <c r="E80" s="10" t="s">
        <v>3668</v>
      </c>
      <c r="F80" s="36" t="s">
        <v>263</v>
      </c>
      <c r="G80" s="27" t="s">
        <v>3510</v>
      </c>
      <c r="H80" s="27" t="s">
        <v>269</v>
      </c>
      <c r="I80" s="27" t="s">
        <v>3503</v>
      </c>
      <c r="J80" s="27"/>
      <c r="K80" s="27"/>
      <c r="L80" s="27"/>
      <c r="M80" s="27" t="s">
        <v>367</v>
      </c>
      <c r="N80" s="1" t="s">
        <v>264</v>
      </c>
      <c r="O80" s="27" t="s">
        <v>3762</v>
      </c>
      <c r="P80" s="27" t="s">
        <v>3763</v>
      </c>
    </row>
    <row r="81" spans="1:16" ht="24" customHeight="1">
      <c r="A81" s="30">
        <v>45978</v>
      </c>
      <c r="B81" s="27" t="s">
        <v>224</v>
      </c>
      <c r="C81" s="27" t="s">
        <v>2608</v>
      </c>
      <c r="D81" s="27" t="s">
        <v>171</v>
      </c>
      <c r="E81" s="10" t="s">
        <v>3507</v>
      </c>
      <c r="F81" s="36" t="s">
        <v>263</v>
      </c>
      <c r="G81" s="27"/>
      <c r="H81" s="27" t="s">
        <v>269</v>
      </c>
      <c r="I81" s="27" t="s">
        <v>3503</v>
      </c>
      <c r="J81" s="27"/>
      <c r="K81" s="27"/>
      <c r="L81" s="27"/>
      <c r="M81" s="27" t="s">
        <v>2584</v>
      </c>
      <c r="N81" s="1" t="s">
        <v>264</v>
      </c>
      <c r="O81" s="27" t="s">
        <v>3371</v>
      </c>
      <c r="P81" s="27" t="s">
        <v>3611</v>
      </c>
    </row>
    <row r="82" spans="1:16" ht="24" customHeight="1">
      <c r="A82" s="30">
        <v>45978</v>
      </c>
      <c r="B82" s="27" t="s">
        <v>224</v>
      </c>
      <c r="C82" s="27" t="s">
        <v>2608</v>
      </c>
      <c r="D82" s="27" t="s">
        <v>239</v>
      </c>
      <c r="E82" s="10" t="s">
        <v>3764</v>
      </c>
      <c r="F82" s="36" t="s">
        <v>263</v>
      </c>
      <c r="G82" s="27" t="s">
        <v>3498</v>
      </c>
      <c r="H82" s="27" t="s">
        <v>274</v>
      </c>
      <c r="I82" s="27" t="s">
        <v>3646</v>
      </c>
      <c r="J82" s="27"/>
      <c r="K82" s="27"/>
      <c r="L82" s="27"/>
      <c r="M82" s="27" t="s">
        <v>367</v>
      </c>
      <c r="N82" s="1" t="s">
        <v>264</v>
      </c>
      <c r="O82" s="27" t="s">
        <v>3716</v>
      </c>
      <c r="P82" s="27" t="s">
        <v>298</v>
      </c>
    </row>
    <row r="83" spans="1:16" ht="24" customHeight="1">
      <c r="A83" s="30">
        <v>45978</v>
      </c>
      <c r="B83" s="27" t="s">
        <v>224</v>
      </c>
      <c r="C83" s="27" t="s">
        <v>3501</v>
      </c>
      <c r="D83" s="27" t="s">
        <v>3765</v>
      </c>
      <c r="E83" s="10" t="s">
        <v>3668</v>
      </c>
      <c r="F83" s="36" t="s">
        <v>263</v>
      </c>
      <c r="G83" s="27" t="s">
        <v>3680</v>
      </c>
      <c r="H83" s="27" t="s">
        <v>269</v>
      </c>
      <c r="I83" s="27" t="s">
        <v>3503</v>
      </c>
      <c r="J83" s="27"/>
      <c r="K83" s="27"/>
      <c r="L83" s="27"/>
      <c r="M83" s="27" t="s">
        <v>379</v>
      </c>
      <c r="N83" s="1" t="s">
        <v>264</v>
      </c>
      <c r="O83" s="27"/>
      <c r="P83" s="27" t="s">
        <v>3766</v>
      </c>
    </row>
    <row r="84" spans="1:16" ht="24" customHeight="1">
      <c r="A84" s="30">
        <v>45978</v>
      </c>
      <c r="B84" s="27" t="s">
        <v>224</v>
      </c>
      <c r="C84" s="27" t="s">
        <v>3501</v>
      </c>
      <c r="D84" s="27" t="s">
        <v>3767</v>
      </c>
      <c r="E84" s="10" t="s">
        <v>3668</v>
      </c>
      <c r="F84" s="36" t="s">
        <v>263</v>
      </c>
      <c r="G84" s="27" t="s">
        <v>3510</v>
      </c>
      <c r="H84" s="27" t="s">
        <v>269</v>
      </c>
      <c r="I84" s="27" t="s">
        <v>3503</v>
      </c>
      <c r="J84" s="27"/>
      <c r="K84" s="27"/>
      <c r="L84" s="27"/>
      <c r="M84" s="27" t="s">
        <v>379</v>
      </c>
      <c r="N84" s="1" t="s">
        <v>264</v>
      </c>
      <c r="O84" s="27"/>
      <c r="P84" s="27" t="s">
        <v>3766</v>
      </c>
    </row>
    <row r="85" spans="1:16" ht="24" customHeight="1">
      <c r="A85" s="30">
        <v>45978</v>
      </c>
      <c r="B85" s="27" t="s">
        <v>224</v>
      </c>
      <c r="C85" s="27" t="s">
        <v>3501</v>
      </c>
      <c r="D85" s="27" t="s">
        <v>3768</v>
      </c>
      <c r="E85" s="10" t="s">
        <v>3769</v>
      </c>
      <c r="F85" s="36" t="s">
        <v>263</v>
      </c>
      <c r="G85" s="27" t="s">
        <v>3605</v>
      </c>
      <c r="H85" s="27" t="s">
        <v>3770</v>
      </c>
      <c r="I85" s="27" t="s">
        <v>3546</v>
      </c>
      <c r="J85" s="27"/>
      <c r="K85" s="27"/>
      <c r="L85" s="27"/>
      <c r="M85" s="27" t="s">
        <v>3771</v>
      </c>
      <c r="N85" s="1" t="s">
        <v>264</v>
      </c>
      <c r="O85" s="27" t="s">
        <v>3754</v>
      </c>
      <c r="P85" s="27" t="s">
        <v>3772</v>
      </c>
    </row>
    <row r="86" spans="1:16" ht="24" customHeight="1">
      <c r="A86" s="30">
        <v>45978</v>
      </c>
      <c r="B86" s="27" t="s">
        <v>224</v>
      </c>
      <c r="C86" s="27" t="s">
        <v>3501</v>
      </c>
      <c r="D86" s="27" t="s">
        <v>3773</v>
      </c>
      <c r="E86" s="10" t="s">
        <v>3668</v>
      </c>
      <c r="F86" s="36" t="s">
        <v>263</v>
      </c>
      <c r="G86" s="27" t="s">
        <v>3510</v>
      </c>
      <c r="H86" s="27" t="s">
        <v>269</v>
      </c>
      <c r="I86" s="27" t="s">
        <v>3503</v>
      </c>
      <c r="J86" s="27"/>
      <c r="K86" s="27"/>
      <c r="L86" s="27"/>
      <c r="M86" s="27" t="s">
        <v>367</v>
      </c>
      <c r="N86" s="1" t="s">
        <v>264</v>
      </c>
      <c r="O86" s="27" t="s">
        <v>3762</v>
      </c>
      <c r="P86" s="27" t="s">
        <v>3774</v>
      </c>
    </row>
    <row r="87" spans="1:16" ht="24" customHeight="1">
      <c r="A87" s="30">
        <v>45978</v>
      </c>
      <c r="B87" s="27" t="s">
        <v>224</v>
      </c>
      <c r="C87" s="27" t="s">
        <v>3501</v>
      </c>
      <c r="D87" s="27" t="s">
        <v>3768</v>
      </c>
      <c r="E87" s="10" t="s">
        <v>3775</v>
      </c>
      <c r="F87" s="36" t="s">
        <v>263</v>
      </c>
      <c r="G87" s="27"/>
      <c r="H87" s="27" t="s">
        <v>295</v>
      </c>
      <c r="I87" s="27" t="s">
        <v>2405</v>
      </c>
      <c r="J87" s="27"/>
      <c r="K87" s="27"/>
      <c r="L87" s="27"/>
      <c r="M87" s="27" t="s">
        <v>3776</v>
      </c>
      <c r="N87" s="1" t="s">
        <v>264</v>
      </c>
      <c r="O87" s="27" t="s">
        <v>3745</v>
      </c>
      <c r="P87" s="27" t="s">
        <v>298</v>
      </c>
    </row>
    <row r="88" spans="1:16" ht="24" customHeight="1">
      <c r="A88" s="30">
        <v>45978</v>
      </c>
      <c r="B88" s="27" t="s">
        <v>224</v>
      </c>
      <c r="C88" s="27" t="s">
        <v>3501</v>
      </c>
      <c r="D88" s="27" t="s">
        <v>138</v>
      </c>
      <c r="E88" s="10" t="s">
        <v>3695</v>
      </c>
      <c r="F88" s="36" t="s">
        <v>263</v>
      </c>
      <c r="G88" s="27" t="s">
        <v>3696</v>
      </c>
      <c r="H88" s="27" t="s">
        <v>269</v>
      </c>
      <c r="I88" s="27" t="s">
        <v>3503</v>
      </c>
      <c r="J88" s="27"/>
      <c r="K88" s="27"/>
      <c r="L88" s="27"/>
      <c r="M88" s="27" t="s">
        <v>3697</v>
      </c>
      <c r="N88" s="1" t="s">
        <v>264</v>
      </c>
      <c r="O88" s="27" t="s">
        <v>3519</v>
      </c>
      <c r="P88" s="27" t="s">
        <v>298</v>
      </c>
    </row>
    <row r="89" spans="1:16" ht="24" customHeight="1">
      <c r="A89" s="30">
        <v>45978</v>
      </c>
      <c r="B89" s="27" t="s">
        <v>224</v>
      </c>
      <c r="C89" s="27" t="s">
        <v>3501</v>
      </c>
      <c r="D89" s="27" t="s">
        <v>3755</v>
      </c>
      <c r="E89" s="10" t="s">
        <v>3756</v>
      </c>
      <c r="F89" s="36" t="s">
        <v>263</v>
      </c>
      <c r="G89" s="27" t="s">
        <v>3510</v>
      </c>
      <c r="H89" s="27" t="s">
        <v>269</v>
      </c>
      <c r="I89" s="27" t="s">
        <v>3503</v>
      </c>
      <c r="J89" s="27"/>
      <c r="K89" s="27"/>
      <c r="L89" s="27"/>
      <c r="M89" s="27" t="s">
        <v>3757</v>
      </c>
      <c r="N89" s="1" t="s">
        <v>264</v>
      </c>
      <c r="O89" s="27" t="s">
        <v>3745</v>
      </c>
      <c r="P89" s="27" t="s">
        <v>3758</v>
      </c>
    </row>
    <row r="90" spans="1:16" ht="24" customHeight="1">
      <c r="A90" s="30">
        <v>45978</v>
      </c>
      <c r="B90" s="27" t="s">
        <v>224</v>
      </c>
      <c r="C90" s="27" t="s">
        <v>3501</v>
      </c>
      <c r="D90" s="27" t="s">
        <v>3777</v>
      </c>
      <c r="E90" s="10" t="s">
        <v>3756</v>
      </c>
      <c r="F90" s="36" t="s">
        <v>263</v>
      </c>
      <c r="G90" s="27" t="s">
        <v>3510</v>
      </c>
      <c r="H90" s="27" t="s">
        <v>269</v>
      </c>
      <c r="I90" s="27" t="s">
        <v>3503</v>
      </c>
      <c r="J90" s="27"/>
      <c r="K90" s="27"/>
      <c r="L90" s="27"/>
      <c r="M90" s="27" t="s">
        <v>367</v>
      </c>
      <c r="N90" s="1" t="s">
        <v>264</v>
      </c>
      <c r="O90" s="27" t="s">
        <v>3778</v>
      </c>
      <c r="P90" s="27" t="s">
        <v>3779</v>
      </c>
    </row>
    <row r="91" spans="1:16" ht="24" customHeight="1">
      <c r="A91" s="30">
        <v>45979</v>
      </c>
      <c r="B91" s="27" t="s">
        <v>227</v>
      </c>
      <c r="C91" s="27" t="s">
        <v>3501</v>
      </c>
      <c r="D91" s="27" t="s">
        <v>3777</v>
      </c>
      <c r="E91" s="10"/>
      <c r="F91" s="36" t="s">
        <v>263</v>
      </c>
      <c r="G91" s="27"/>
      <c r="H91" s="27"/>
      <c r="I91" s="27"/>
      <c r="J91" s="27"/>
      <c r="K91" s="27"/>
      <c r="L91" s="27"/>
      <c r="M91" s="27"/>
      <c r="N91" s="1" t="s">
        <v>264</v>
      </c>
      <c r="O91" s="27"/>
      <c r="P91" s="27"/>
    </row>
    <row r="92" spans="1:16" ht="24" customHeight="1">
      <c r="A92" s="30">
        <v>45979</v>
      </c>
      <c r="B92" s="27" t="s">
        <v>227</v>
      </c>
      <c r="C92" s="27" t="s">
        <v>3501</v>
      </c>
      <c r="D92" s="27" t="s">
        <v>3755</v>
      </c>
      <c r="E92" s="10" t="s">
        <v>3756</v>
      </c>
      <c r="F92" s="36" t="s">
        <v>263</v>
      </c>
      <c r="G92" s="27" t="s">
        <v>3510</v>
      </c>
      <c r="H92" s="27" t="s">
        <v>269</v>
      </c>
      <c r="I92" s="27" t="s">
        <v>3503</v>
      </c>
      <c r="J92" s="27"/>
      <c r="K92" s="27"/>
      <c r="L92" s="27"/>
      <c r="M92" s="27" t="s">
        <v>3757</v>
      </c>
      <c r="N92" s="1" t="s">
        <v>264</v>
      </c>
      <c r="O92" s="27" t="s">
        <v>3745</v>
      </c>
      <c r="P92" s="27" t="s">
        <v>3758</v>
      </c>
    </row>
    <row r="93" spans="1:16" ht="24" customHeight="1">
      <c r="A93" s="30">
        <v>45979</v>
      </c>
      <c r="B93" s="27" t="s">
        <v>227</v>
      </c>
      <c r="C93" s="27" t="s">
        <v>3501</v>
      </c>
      <c r="D93" s="27" t="s">
        <v>239</v>
      </c>
      <c r="E93" s="10" t="s">
        <v>2495</v>
      </c>
      <c r="F93" s="36" t="s">
        <v>263</v>
      </c>
      <c r="G93" s="27" t="s">
        <v>3479</v>
      </c>
      <c r="H93" s="27" t="s">
        <v>295</v>
      </c>
      <c r="I93" s="27" t="s">
        <v>3528</v>
      </c>
      <c r="J93" s="27"/>
      <c r="K93" s="27"/>
      <c r="L93" s="27"/>
      <c r="M93" s="27" t="s">
        <v>367</v>
      </c>
      <c r="N93" s="3" t="s">
        <v>312</v>
      </c>
      <c r="O93" s="27" t="s">
        <v>3677</v>
      </c>
      <c r="P93" s="27" t="s">
        <v>298</v>
      </c>
    </row>
    <row r="94" spans="1:16" ht="24" customHeight="1">
      <c r="A94" s="30">
        <v>45979</v>
      </c>
      <c r="B94" s="27" t="s">
        <v>227</v>
      </c>
      <c r="C94" s="27" t="s">
        <v>2608</v>
      </c>
      <c r="D94" s="27" t="s">
        <v>171</v>
      </c>
      <c r="E94" s="10" t="s">
        <v>3780</v>
      </c>
      <c r="F94" s="36" t="s">
        <v>263</v>
      </c>
      <c r="G94" s="27" t="s">
        <v>3498</v>
      </c>
      <c r="H94" s="27" t="s">
        <v>295</v>
      </c>
      <c r="I94" s="27" t="s">
        <v>3505</v>
      </c>
      <c r="J94" s="27"/>
      <c r="K94" s="27"/>
      <c r="L94" s="27"/>
      <c r="M94" s="27" t="s">
        <v>3781</v>
      </c>
      <c r="N94" s="1" t="s">
        <v>264</v>
      </c>
      <c r="O94" s="27" t="s">
        <v>3661</v>
      </c>
      <c r="P94" s="27" t="s">
        <v>321</v>
      </c>
    </row>
    <row r="95" spans="1:16" ht="24" customHeight="1">
      <c r="A95" s="30">
        <v>45979</v>
      </c>
      <c r="B95" s="27" t="s">
        <v>227</v>
      </c>
      <c r="C95" s="27" t="s">
        <v>3501</v>
      </c>
      <c r="D95" s="27" t="s">
        <v>239</v>
      </c>
      <c r="E95" s="10" t="s">
        <v>3782</v>
      </c>
      <c r="F95" s="36" t="s">
        <v>263</v>
      </c>
      <c r="G95" s="27" t="s">
        <v>3498</v>
      </c>
      <c r="H95" s="27" t="s">
        <v>295</v>
      </c>
      <c r="I95" s="27" t="s">
        <v>3503</v>
      </c>
      <c r="J95" s="27"/>
      <c r="K95" s="27"/>
      <c r="L95" s="27"/>
      <c r="M95" s="27" t="s">
        <v>3771</v>
      </c>
      <c r="N95" s="1" t="s">
        <v>264</v>
      </c>
      <c r="O95" s="27" t="s">
        <v>3624</v>
      </c>
      <c r="P95" s="27" t="s">
        <v>298</v>
      </c>
    </row>
    <row r="96" spans="1:16" ht="24" customHeight="1">
      <c r="A96" s="30">
        <v>45979</v>
      </c>
      <c r="B96" s="27" t="s">
        <v>227</v>
      </c>
      <c r="C96" s="27" t="s">
        <v>3501</v>
      </c>
      <c r="D96" s="27" t="s">
        <v>138</v>
      </c>
      <c r="E96" s="10" t="s">
        <v>3695</v>
      </c>
      <c r="F96" s="36" t="s">
        <v>263</v>
      </c>
      <c r="G96" s="27" t="s">
        <v>3696</v>
      </c>
      <c r="H96" s="27" t="s">
        <v>269</v>
      </c>
      <c r="I96" s="27" t="s">
        <v>3503</v>
      </c>
      <c r="J96" s="27"/>
      <c r="K96" s="27"/>
      <c r="L96" s="27"/>
      <c r="M96" s="27" t="s">
        <v>3697</v>
      </c>
      <c r="N96" s="1" t="s">
        <v>264</v>
      </c>
      <c r="O96" s="27" t="s">
        <v>3519</v>
      </c>
      <c r="P96" s="27" t="s">
        <v>298</v>
      </c>
    </row>
    <row r="97" spans="1:16" ht="24" customHeight="1">
      <c r="A97" s="30">
        <v>45979</v>
      </c>
      <c r="B97" s="27" t="s">
        <v>227</v>
      </c>
      <c r="C97" s="27" t="s">
        <v>2608</v>
      </c>
      <c r="D97" s="27" t="s">
        <v>462</v>
      </c>
      <c r="E97" s="10" t="s">
        <v>327</v>
      </c>
      <c r="F97" s="36" t="s">
        <v>263</v>
      </c>
      <c r="G97" s="27" t="s">
        <v>3475</v>
      </c>
      <c r="H97" s="27" t="s">
        <v>281</v>
      </c>
      <c r="I97" s="27" t="s">
        <v>3562</v>
      </c>
      <c r="J97" s="27"/>
      <c r="K97" s="27"/>
      <c r="L97" s="27"/>
      <c r="M97" s="27" t="s">
        <v>237</v>
      </c>
      <c r="N97" s="1" t="s">
        <v>264</v>
      </c>
      <c r="O97" s="27" t="s">
        <v>3677</v>
      </c>
      <c r="P97" s="27" t="s">
        <v>3783</v>
      </c>
    </row>
    <row r="98" spans="1:16" ht="24" customHeight="1">
      <c r="A98" s="30">
        <v>45980</v>
      </c>
      <c r="B98" s="27" t="s">
        <v>201</v>
      </c>
      <c r="C98" s="27" t="s">
        <v>2608</v>
      </c>
      <c r="D98" s="27" t="s">
        <v>171</v>
      </c>
      <c r="E98" s="10" t="s">
        <v>3784</v>
      </c>
      <c r="F98" s="36" t="s">
        <v>263</v>
      </c>
      <c r="G98" s="27" t="s">
        <v>3742</v>
      </c>
      <c r="H98" s="27" t="s">
        <v>315</v>
      </c>
      <c r="I98" s="27" t="s">
        <v>3524</v>
      </c>
      <c r="J98" s="27"/>
      <c r="K98" s="27"/>
      <c r="L98" s="27"/>
      <c r="M98" s="27" t="s">
        <v>378</v>
      </c>
      <c r="N98" s="1" t="s">
        <v>264</v>
      </c>
      <c r="O98" s="27" t="s">
        <v>3778</v>
      </c>
      <c r="P98" s="27" t="s">
        <v>3785</v>
      </c>
    </row>
    <row r="99" spans="1:16" ht="24" customHeight="1">
      <c r="A99" s="30">
        <v>45980</v>
      </c>
      <c r="B99" s="27" t="s">
        <v>201</v>
      </c>
      <c r="C99" s="27" t="s">
        <v>2608</v>
      </c>
      <c r="D99" s="27" t="s">
        <v>462</v>
      </c>
      <c r="E99" s="10" t="s">
        <v>327</v>
      </c>
      <c r="F99" s="36" t="s">
        <v>263</v>
      </c>
      <c r="G99" s="27" t="s">
        <v>3475</v>
      </c>
      <c r="H99" s="27" t="s">
        <v>281</v>
      </c>
      <c r="I99" s="27" t="s">
        <v>3562</v>
      </c>
      <c r="J99" s="27"/>
      <c r="K99" s="27"/>
      <c r="L99" s="27"/>
      <c r="M99" s="27" t="s">
        <v>237</v>
      </c>
      <c r="N99" s="1" t="s">
        <v>264</v>
      </c>
      <c r="O99" s="27" t="s">
        <v>3677</v>
      </c>
      <c r="P99" s="27" t="s">
        <v>3783</v>
      </c>
    </row>
    <row r="100" spans="1:16" ht="24" customHeight="1">
      <c r="A100" s="30">
        <v>45980</v>
      </c>
      <c r="B100" s="27" t="s">
        <v>201</v>
      </c>
      <c r="C100" s="27" t="s">
        <v>2608</v>
      </c>
      <c r="D100" s="27" t="s">
        <v>239</v>
      </c>
      <c r="E100" s="10" t="s">
        <v>3786</v>
      </c>
      <c r="F100" s="36" t="s">
        <v>263</v>
      </c>
      <c r="G100" s="27" t="s">
        <v>3490</v>
      </c>
      <c r="H100" s="27" t="s">
        <v>295</v>
      </c>
      <c r="I100" s="27" t="s">
        <v>2405</v>
      </c>
      <c r="J100" s="27"/>
      <c r="K100" s="27"/>
      <c r="L100" s="27"/>
      <c r="M100" s="27" t="s">
        <v>3787</v>
      </c>
      <c r="N100" s="1" t="s">
        <v>264</v>
      </c>
      <c r="O100" s="27" t="s">
        <v>3745</v>
      </c>
      <c r="P100" s="27" t="s">
        <v>3788</v>
      </c>
    </row>
    <row r="101" spans="1:16" ht="24" customHeight="1">
      <c r="A101" s="30">
        <v>45980</v>
      </c>
      <c r="B101" s="27" t="s">
        <v>201</v>
      </c>
      <c r="C101" s="27" t="s">
        <v>2608</v>
      </c>
      <c r="D101" s="27" t="s">
        <v>171</v>
      </c>
      <c r="E101" s="10" t="s">
        <v>2927</v>
      </c>
      <c r="F101" s="36" t="s">
        <v>263</v>
      </c>
      <c r="G101" s="27" t="s">
        <v>3475</v>
      </c>
      <c r="H101" s="27" t="s">
        <v>289</v>
      </c>
      <c r="I101" s="27" t="s">
        <v>3789</v>
      </c>
      <c r="J101" s="27"/>
      <c r="K101" s="27"/>
      <c r="L101" s="27"/>
      <c r="M101" s="27" t="s">
        <v>237</v>
      </c>
      <c r="N101" s="1" t="s">
        <v>264</v>
      </c>
      <c r="O101" s="27"/>
      <c r="P101" s="27" t="s">
        <v>3790</v>
      </c>
    </row>
    <row r="102" spans="1:16" ht="24" customHeight="1">
      <c r="A102" s="30">
        <v>45980</v>
      </c>
      <c r="B102" s="27" t="s">
        <v>201</v>
      </c>
      <c r="C102" s="27" t="s">
        <v>3501</v>
      </c>
      <c r="D102" s="27" t="s">
        <v>3777</v>
      </c>
      <c r="E102" s="10" t="s">
        <v>3668</v>
      </c>
      <c r="F102" s="36" t="s">
        <v>263</v>
      </c>
      <c r="G102" s="27" t="s">
        <v>3510</v>
      </c>
      <c r="H102" s="27" t="s">
        <v>269</v>
      </c>
      <c r="I102" s="27" t="s">
        <v>3503</v>
      </c>
      <c r="J102" s="27"/>
      <c r="K102" s="27"/>
      <c r="L102" s="27"/>
      <c r="M102" s="27" t="s">
        <v>367</v>
      </c>
      <c r="N102" s="1" t="s">
        <v>264</v>
      </c>
      <c r="O102" s="27" t="s">
        <v>3762</v>
      </c>
      <c r="P102" s="27" t="s">
        <v>3774</v>
      </c>
    </row>
    <row r="103" spans="1:16" ht="24" customHeight="1">
      <c r="A103" s="30">
        <v>45980</v>
      </c>
      <c r="B103" s="27" t="s">
        <v>201</v>
      </c>
      <c r="C103" s="27" t="s">
        <v>3501</v>
      </c>
      <c r="D103" s="27" t="s">
        <v>348</v>
      </c>
      <c r="E103" s="10" t="s">
        <v>3791</v>
      </c>
      <c r="F103" s="36" t="s">
        <v>263</v>
      </c>
      <c r="G103" s="27" t="s">
        <v>3498</v>
      </c>
      <c r="H103" s="27" t="s">
        <v>309</v>
      </c>
      <c r="I103" s="27" t="s">
        <v>3528</v>
      </c>
      <c r="J103" s="27"/>
      <c r="K103" s="27"/>
      <c r="L103" s="27"/>
      <c r="M103" s="27" t="s">
        <v>1997</v>
      </c>
      <c r="N103" s="3" t="s">
        <v>312</v>
      </c>
      <c r="O103" s="27" t="s">
        <v>3792</v>
      </c>
      <c r="P103" s="27" t="s">
        <v>3793</v>
      </c>
    </row>
    <row r="104" spans="1:16" ht="24" customHeight="1">
      <c r="A104" s="30">
        <v>45980</v>
      </c>
      <c r="B104" s="27" t="s">
        <v>201</v>
      </c>
      <c r="C104" s="27" t="s">
        <v>3501</v>
      </c>
      <c r="D104" s="27" t="s">
        <v>348</v>
      </c>
      <c r="E104" s="10" t="s">
        <v>3794</v>
      </c>
      <c r="F104" s="36" t="s">
        <v>263</v>
      </c>
      <c r="G104" s="27" t="s">
        <v>3494</v>
      </c>
      <c r="H104" s="27" t="s">
        <v>309</v>
      </c>
      <c r="I104" s="27" t="s">
        <v>3570</v>
      </c>
      <c r="J104" s="27"/>
      <c r="K104" s="27"/>
      <c r="L104" s="27"/>
      <c r="M104" s="27" t="s">
        <v>3795</v>
      </c>
      <c r="N104" s="1" t="s">
        <v>264</v>
      </c>
      <c r="O104" s="27" t="s">
        <v>3778</v>
      </c>
      <c r="P104" s="27" t="s">
        <v>298</v>
      </c>
    </row>
    <row r="105" spans="1:16" ht="24" customHeight="1">
      <c r="A105" s="30">
        <v>45980</v>
      </c>
      <c r="B105" s="27" t="s">
        <v>201</v>
      </c>
      <c r="C105" s="27" t="s">
        <v>3501</v>
      </c>
      <c r="D105" s="27" t="s">
        <v>138</v>
      </c>
      <c r="E105" s="10" t="s">
        <v>3695</v>
      </c>
      <c r="F105" s="36" t="s">
        <v>263</v>
      </c>
      <c r="G105" s="27" t="s">
        <v>3696</v>
      </c>
      <c r="H105" s="27" t="s">
        <v>946</v>
      </c>
      <c r="I105" s="27" t="s">
        <v>3503</v>
      </c>
      <c r="J105" s="27"/>
      <c r="K105" s="27"/>
      <c r="L105" s="27"/>
      <c r="M105" s="27" t="s">
        <v>3697</v>
      </c>
      <c r="N105" s="1" t="s">
        <v>264</v>
      </c>
      <c r="O105" s="27" t="s">
        <v>3519</v>
      </c>
      <c r="P105" s="27" t="s">
        <v>298</v>
      </c>
    </row>
    <row r="106" spans="1:16" ht="24" customHeight="1">
      <c r="A106" s="30">
        <v>45980</v>
      </c>
      <c r="B106" s="27" t="s">
        <v>201</v>
      </c>
      <c r="C106" s="27" t="s">
        <v>3501</v>
      </c>
      <c r="D106" s="27" t="s">
        <v>3755</v>
      </c>
      <c r="E106" s="10" t="s">
        <v>3756</v>
      </c>
      <c r="F106" s="36" t="s">
        <v>263</v>
      </c>
      <c r="G106" s="27" t="s">
        <v>3510</v>
      </c>
      <c r="H106" s="27" t="s">
        <v>269</v>
      </c>
      <c r="I106" s="27" t="s">
        <v>3503</v>
      </c>
      <c r="J106" s="27"/>
      <c r="K106" s="27"/>
      <c r="L106" s="27"/>
      <c r="M106" s="27" t="s">
        <v>3757</v>
      </c>
      <c r="N106" s="1" t="s">
        <v>264</v>
      </c>
      <c r="O106" s="27" t="s">
        <v>3745</v>
      </c>
      <c r="P106" s="27" t="s">
        <v>3758</v>
      </c>
    </row>
    <row r="107" spans="1:16" ht="24" customHeight="1">
      <c r="A107" s="30">
        <v>45980</v>
      </c>
      <c r="B107" s="27" t="s">
        <v>201</v>
      </c>
      <c r="C107" s="27" t="s">
        <v>3501</v>
      </c>
      <c r="D107" s="27"/>
      <c r="E107" s="10"/>
      <c r="F107" s="36" t="s">
        <v>263</v>
      </c>
      <c r="G107" s="27"/>
      <c r="H107" s="27"/>
      <c r="I107" s="27"/>
      <c r="J107" s="27"/>
      <c r="K107" s="27"/>
      <c r="L107" s="27"/>
      <c r="M107" s="27"/>
      <c r="N107" s="1" t="s">
        <v>264</v>
      </c>
      <c r="O107" s="27"/>
      <c r="P107" s="27"/>
    </row>
    <row r="108" spans="1:16" ht="24" customHeight="1">
      <c r="A108" s="30">
        <v>45981</v>
      </c>
      <c r="B108" s="27" t="s">
        <v>216</v>
      </c>
      <c r="C108" s="27" t="s">
        <v>2608</v>
      </c>
      <c r="D108" s="27" t="s">
        <v>235</v>
      </c>
      <c r="E108" s="10" t="s">
        <v>3507</v>
      </c>
      <c r="F108" s="36" t="s">
        <v>263</v>
      </c>
      <c r="G108" s="27" t="s">
        <v>3623</v>
      </c>
      <c r="H108" s="27" t="s">
        <v>269</v>
      </c>
      <c r="I108" s="27" t="s">
        <v>3503</v>
      </c>
      <c r="J108" s="27"/>
      <c r="K108" s="27"/>
      <c r="L108" s="27"/>
      <c r="M108" s="27" t="s">
        <v>237</v>
      </c>
      <c r="N108" s="1" t="s">
        <v>264</v>
      </c>
      <c r="O108" s="27" t="s">
        <v>3745</v>
      </c>
      <c r="P108" s="27" t="s">
        <v>3796</v>
      </c>
    </row>
    <row r="109" spans="1:16" ht="24" customHeight="1">
      <c r="A109" s="30">
        <v>45981</v>
      </c>
      <c r="B109" s="27" t="s">
        <v>216</v>
      </c>
      <c r="C109" s="27" t="s">
        <v>3501</v>
      </c>
      <c r="D109" s="27" t="s">
        <v>3777</v>
      </c>
      <c r="E109" s="10" t="s">
        <v>3668</v>
      </c>
      <c r="F109" s="36" t="s">
        <v>263</v>
      </c>
      <c r="G109" s="27" t="s">
        <v>3510</v>
      </c>
      <c r="H109" s="27" t="s">
        <v>269</v>
      </c>
      <c r="I109" s="27" t="s">
        <v>3503</v>
      </c>
      <c r="J109" s="27"/>
      <c r="K109" s="27"/>
      <c r="L109" s="27"/>
      <c r="M109" s="27" t="s">
        <v>367</v>
      </c>
      <c r="N109" s="1" t="s">
        <v>264</v>
      </c>
      <c r="O109" s="27" t="s">
        <v>3762</v>
      </c>
      <c r="P109" s="27" t="s">
        <v>3774</v>
      </c>
    </row>
    <row r="110" spans="1:16" ht="24" customHeight="1">
      <c r="A110" s="30">
        <v>45981</v>
      </c>
      <c r="B110" s="27" t="s">
        <v>216</v>
      </c>
      <c r="C110" s="27" t="s">
        <v>3501</v>
      </c>
      <c r="D110" s="27" t="s">
        <v>3755</v>
      </c>
      <c r="E110" s="10" t="s">
        <v>3756</v>
      </c>
      <c r="F110" s="36" t="s">
        <v>263</v>
      </c>
      <c r="G110" s="27" t="s">
        <v>3510</v>
      </c>
      <c r="H110" s="27" t="s">
        <v>269</v>
      </c>
      <c r="I110" s="27" t="s">
        <v>3503</v>
      </c>
      <c r="J110" s="27"/>
      <c r="K110" s="27"/>
      <c r="L110" s="27"/>
      <c r="M110" s="27" t="s">
        <v>3757</v>
      </c>
      <c r="N110" s="1" t="s">
        <v>264</v>
      </c>
      <c r="O110" s="27" t="s">
        <v>3745</v>
      </c>
      <c r="P110" s="27" t="s">
        <v>3758</v>
      </c>
    </row>
    <row r="111" spans="1:16" ht="24" customHeight="1">
      <c r="A111" s="30">
        <v>45981</v>
      </c>
      <c r="B111" s="27" t="s">
        <v>216</v>
      </c>
      <c r="C111" s="27" t="s">
        <v>2608</v>
      </c>
      <c r="D111" s="27" t="s">
        <v>462</v>
      </c>
      <c r="E111" s="10" t="s">
        <v>3797</v>
      </c>
      <c r="F111" s="36" t="s">
        <v>263</v>
      </c>
      <c r="G111" s="27"/>
      <c r="H111" s="27" t="s">
        <v>269</v>
      </c>
      <c r="I111" s="27" t="s">
        <v>3503</v>
      </c>
      <c r="J111" s="27"/>
      <c r="K111" s="27"/>
      <c r="L111" s="27"/>
      <c r="M111" s="27" t="s">
        <v>237</v>
      </c>
      <c r="N111" s="1" t="s">
        <v>264</v>
      </c>
      <c r="O111" s="27"/>
      <c r="P111" s="27" t="s">
        <v>3785</v>
      </c>
    </row>
    <row r="112" spans="1:16" ht="24" customHeight="1">
      <c r="A112" s="30">
        <v>45981</v>
      </c>
      <c r="B112" s="27" t="s">
        <v>216</v>
      </c>
      <c r="C112" s="27" t="s">
        <v>2608</v>
      </c>
      <c r="D112" s="27" t="s">
        <v>171</v>
      </c>
      <c r="E112" s="10" t="s">
        <v>3749</v>
      </c>
      <c r="F112" s="36" t="s">
        <v>263</v>
      </c>
      <c r="G112" s="27" t="s">
        <v>3498</v>
      </c>
      <c r="H112" s="27" t="s">
        <v>483</v>
      </c>
      <c r="I112" s="27" t="s">
        <v>3503</v>
      </c>
      <c r="J112" s="27"/>
      <c r="K112" s="27"/>
      <c r="L112" s="27"/>
      <c r="M112" s="27" t="s">
        <v>2835</v>
      </c>
      <c r="N112" s="1" t="s">
        <v>264</v>
      </c>
      <c r="O112" s="27"/>
      <c r="P112" s="27" t="s">
        <v>298</v>
      </c>
    </row>
    <row r="113" spans="1:16" ht="24" customHeight="1">
      <c r="A113" s="30">
        <v>45981</v>
      </c>
      <c r="B113" s="27" t="s">
        <v>216</v>
      </c>
      <c r="C113" s="27" t="s">
        <v>3501</v>
      </c>
      <c r="D113" s="27" t="s">
        <v>348</v>
      </c>
      <c r="E113" s="10" t="s">
        <v>3798</v>
      </c>
      <c r="F113" s="36" t="s">
        <v>263</v>
      </c>
      <c r="G113" s="27" t="s">
        <v>3605</v>
      </c>
      <c r="H113" s="27" t="s">
        <v>295</v>
      </c>
      <c r="I113" s="27" t="s">
        <v>2405</v>
      </c>
      <c r="J113" s="27"/>
      <c r="K113" s="27"/>
      <c r="L113" s="27"/>
      <c r="M113" s="27" t="s">
        <v>3771</v>
      </c>
      <c r="N113" s="1" t="s">
        <v>264</v>
      </c>
      <c r="O113" s="27" t="s">
        <v>3799</v>
      </c>
      <c r="P113" s="27" t="s">
        <v>3800</v>
      </c>
    </row>
    <row r="114" spans="1:16" ht="24" customHeight="1">
      <c r="A114" s="30">
        <v>45981</v>
      </c>
      <c r="B114" s="27" t="s">
        <v>216</v>
      </c>
      <c r="C114" s="27" t="s">
        <v>3501</v>
      </c>
      <c r="D114" s="27" t="s">
        <v>3773</v>
      </c>
      <c r="E114" s="10" t="s">
        <v>3668</v>
      </c>
      <c r="F114" s="36" t="s">
        <v>263</v>
      </c>
      <c r="G114" s="27" t="s">
        <v>3510</v>
      </c>
      <c r="H114" s="27" t="s">
        <v>269</v>
      </c>
      <c r="I114" s="27" t="s">
        <v>3503</v>
      </c>
      <c r="J114" s="27"/>
      <c r="K114" s="27"/>
      <c r="L114" s="27"/>
      <c r="M114" s="27" t="s">
        <v>367</v>
      </c>
      <c r="N114" s="1" t="s">
        <v>264</v>
      </c>
      <c r="O114" s="27" t="s">
        <v>3762</v>
      </c>
      <c r="P114" s="27" t="s">
        <v>3774</v>
      </c>
    </row>
    <row r="115" spans="1:16" ht="24" customHeight="1">
      <c r="A115" s="30">
        <v>45981</v>
      </c>
      <c r="B115" s="27" t="s">
        <v>216</v>
      </c>
      <c r="C115" s="27" t="s">
        <v>3501</v>
      </c>
      <c r="D115" s="27" t="s">
        <v>3801</v>
      </c>
      <c r="E115" s="10" t="s">
        <v>3802</v>
      </c>
      <c r="F115" s="36" t="s">
        <v>263</v>
      </c>
      <c r="G115" s="27" t="s">
        <v>3494</v>
      </c>
      <c r="H115" s="27" t="s">
        <v>295</v>
      </c>
      <c r="I115" s="27" t="s">
        <v>3528</v>
      </c>
      <c r="J115" s="27"/>
      <c r="K115" s="27"/>
      <c r="L115" s="27"/>
      <c r="M115" s="27" t="s">
        <v>3206</v>
      </c>
      <c r="N115" s="1" t="s">
        <v>264</v>
      </c>
      <c r="O115" s="27" t="s">
        <v>3803</v>
      </c>
      <c r="P115" s="27" t="s">
        <v>321</v>
      </c>
    </row>
    <row r="116" spans="1:16" ht="24" customHeight="1">
      <c r="A116" s="30">
        <v>45981</v>
      </c>
      <c r="B116" s="27" t="s">
        <v>216</v>
      </c>
      <c r="C116" s="27" t="s">
        <v>3501</v>
      </c>
      <c r="D116" s="27" t="s">
        <v>138</v>
      </c>
      <c r="E116" s="10" t="s">
        <v>3695</v>
      </c>
      <c r="F116" s="36" t="s">
        <v>263</v>
      </c>
      <c r="G116" s="27" t="s">
        <v>3696</v>
      </c>
      <c r="H116" s="27" t="s">
        <v>269</v>
      </c>
      <c r="I116" s="27" t="s">
        <v>3503</v>
      </c>
      <c r="J116" s="27"/>
      <c r="K116" s="27"/>
      <c r="L116" s="27"/>
      <c r="M116" s="27" t="s">
        <v>3697</v>
      </c>
      <c r="N116" s="1" t="s">
        <v>264</v>
      </c>
      <c r="O116" s="27" t="s">
        <v>3519</v>
      </c>
      <c r="P116" s="27" t="s">
        <v>298</v>
      </c>
    </row>
    <row r="117" spans="1:16" ht="24" customHeight="1">
      <c r="A117" s="30">
        <v>45982</v>
      </c>
      <c r="B117" s="27" t="s">
        <v>220</v>
      </c>
      <c r="C117" s="27" t="s">
        <v>2608</v>
      </c>
      <c r="D117" s="27" t="s">
        <v>171</v>
      </c>
      <c r="E117" s="10" t="s">
        <v>3804</v>
      </c>
      <c r="F117" s="36" t="s">
        <v>263</v>
      </c>
      <c r="G117" s="27" t="s">
        <v>3498</v>
      </c>
      <c r="H117" s="27" t="s">
        <v>309</v>
      </c>
      <c r="I117" s="27" t="s">
        <v>3805</v>
      </c>
      <c r="J117" s="27"/>
      <c r="K117" s="27"/>
      <c r="L117" s="27"/>
      <c r="M117" s="27" t="s">
        <v>355</v>
      </c>
      <c r="N117" s="1" t="s">
        <v>264</v>
      </c>
      <c r="O117" s="27"/>
      <c r="P117" s="27" t="s">
        <v>298</v>
      </c>
    </row>
    <row r="118" spans="1:16" ht="24" customHeight="1">
      <c r="A118" s="30">
        <v>45982</v>
      </c>
      <c r="B118" s="27" t="s">
        <v>220</v>
      </c>
      <c r="C118" s="27" t="s">
        <v>2608</v>
      </c>
      <c r="D118" s="27" t="s">
        <v>462</v>
      </c>
      <c r="E118" s="10" t="s">
        <v>3806</v>
      </c>
      <c r="F118" s="36" t="s">
        <v>263</v>
      </c>
      <c r="G118" s="27" t="s">
        <v>3494</v>
      </c>
      <c r="H118" s="27" t="s">
        <v>275</v>
      </c>
      <c r="I118" s="27" t="s">
        <v>3503</v>
      </c>
      <c r="J118" s="27"/>
      <c r="K118" s="27"/>
      <c r="L118" s="27"/>
      <c r="M118" s="27" t="s">
        <v>237</v>
      </c>
      <c r="N118" s="1" t="s">
        <v>264</v>
      </c>
      <c r="O118" s="27"/>
      <c r="P118" s="27" t="s">
        <v>3807</v>
      </c>
    </row>
    <row r="119" spans="1:16" ht="24" customHeight="1">
      <c r="A119" s="30">
        <v>45982</v>
      </c>
      <c r="B119" s="27" t="s">
        <v>220</v>
      </c>
      <c r="C119" s="27" t="s">
        <v>3501</v>
      </c>
      <c r="D119" s="27" t="s">
        <v>348</v>
      </c>
      <c r="E119" s="10" t="s">
        <v>3808</v>
      </c>
      <c r="F119" s="36" t="s">
        <v>263</v>
      </c>
      <c r="G119" s="27"/>
      <c r="H119" s="27"/>
      <c r="I119" s="27"/>
      <c r="J119" s="27"/>
      <c r="K119" s="27"/>
      <c r="L119" s="27"/>
      <c r="M119" s="27"/>
      <c r="N119" s="1" t="s">
        <v>264</v>
      </c>
      <c r="O119" s="27"/>
      <c r="P119" s="27" t="s">
        <v>3809</v>
      </c>
    </row>
    <row r="120" spans="1:16" ht="24" customHeight="1">
      <c r="A120" s="30">
        <v>45982</v>
      </c>
      <c r="B120" s="27" t="s">
        <v>220</v>
      </c>
      <c r="C120" s="27" t="s">
        <v>3501</v>
      </c>
      <c r="D120" s="27" t="s">
        <v>3755</v>
      </c>
      <c r="E120" s="10" t="s">
        <v>3756</v>
      </c>
      <c r="F120" s="36" t="s">
        <v>263</v>
      </c>
      <c r="G120" s="27" t="s">
        <v>3510</v>
      </c>
      <c r="H120" s="27" t="s">
        <v>269</v>
      </c>
      <c r="I120" s="27" t="s">
        <v>3503</v>
      </c>
      <c r="J120" s="27"/>
      <c r="K120" s="27"/>
      <c r="L120" s="27"/>
      <c r="M120" s="27" t="s">
        <v>3757</v>
      </c>
      <c r="N120" s="1" t="s">
        <v>264</v>
      </c>
      <c r="O120" s="27" t="s">
        <v>3745</v>
      </c>
      <c r="P120" s="27" t="s">
        <v>3758</v>
      </c>
    </row>
    <row r="121" spans="1:16" ht="24" customHeight="1">
      <c r="A121" s="30">
        <v>45982</v>
      </c>
      <c r="B121" s="27" t="s">
        <v>220</v>
      </c>
      <c r="C121" s="27" t="s">
        <v>3501</v>
      </c>
      <c r="D121" s="27" t="s">
        <v>138</v>
      </c>
      <c r="E121" s="10" t="s">
        <v>3695</v>
      </c>
      <c r="F121" s="36" t="s">
        <v>263</v>
      </c>
      <c r="G121" s="27" t="s">
        <v>3696</v>
      </c>
      <c r="H121" s="27" t="s">
        <v>269</v>
      </c>
      <c r="I121" s="27" t="s">
        <v>3503</v>
      </c>
      <c r="J121" s="27"/>
      <c r="K121" s="27"/>
      <c r="L121" s="27"/>
      <c r="M121" s="27" t="s">
        <v>3697</v>
      </c>
      <c r="N121" s="1" t="s">
        <v>264</v>
      </c>
      <c r="O121" s="27" t="s">
        <v>3519</v>
      </c>
      <c r="P121" s="27" t="s">
        <v>298</v>
      </c>
    </row>
    <row r="122" spans="1:16" ht="24" customHeight="1">
      <c r="A122" s="30">
        <v>45983</v>
      </c>
      <c r="B122" s="27" t="s">
        <v>266</v>
      </c>
      <c r="C122" s="27" t="s">
        <v>2608</v>
      </c>
      <c r="D122" s="27" t="s">
        <v>300</v>
      </c>
      <c r="E122" s="10"/>
      <c r="F122" s="36" t="s">
        <v>263</v>
      </c>
      <c r="G122" s="27"/>
      <c r="H122" s="27" t="s">
        <v>269</v>
      </c>
      <c r="I122" s="27" t="s">
        <v>3503</v>
      </c>
      <c r="J122" s="27" t="s">
        <v>382</v>
      </c>
      <c r="K122" s="27"/>
      <c r="L122" s="27"/>
      <c r="M122" s="27" t="s">
        <v>3810</v>
      </c>
      <c r="N122" s="1" t="s">
        <v>264</v>
      </c>
      <c r="O122" s="27" t="s">
        <v>3759</v>
      </c>
      <c r="P122" s="27" t="s">
        <v>3811</v>
      </c>
    </row>
    <row r="123" spans="1:16" ht="24" customHeight="1">
      <c r="A123" s="30">
        <v>45984</v>
      </c>
      <c r="B123" s="27" t="s">
        <v>267</v>
      </c>
      <c r="C123" s="27"/>
      <c r="D123" s="27"/>
      <c r="E123" s="10"/>
      <c r="F123" s="36" t="s">
        <v>263</v>
      </c>
      <c r="G123" s="27"/>
      <c r="H123" s="27"/>
      <c r="I123" s="27"/>
      <c r="J123" s="27"/>
      <c r="K123" s="27"/>
      <c r="L123" s="27"/>
      <c r="M123" s="27"/>
      <c r="N123" s="1" t="s">
        <v>264</v>
      </c>
      <c r="O123" s="27"/>
      <c r="P123" s="27"/>
    </row>
    <row r="124" spans="1:16" ht="24" customHeight="1">
      <c r="A124" s="30">
        <v>45985</v>
      </c>
      <c r="B124" s="27" t="s">
        <v>224</v>
      </c>
      <c r="C124" s="27" t="s">
        <v>3501</v>
      </c>
      <c r="D124" s="27" t="s">
        <v>736</v>
      </c>
      <c r="E124" s="10" t="s">
        <v>3812</v>
      </c>
      <c r="F124" s="36" t="s">
        <v>263</v>
      </c>
      <c r="G124" s="27" t="s">
        <v>3498</v>
      </c>
      <c r="H124" s="27" t="s">
        <v>338</v>
      </c>
      <c r="I124" s="27" t="s">
        <v>3637</v>
      </c>
      <c r="J124" s="27"/>
      <c r="K124" s="27"/>
      <c r="L124" s="27"/>
      <c r="M124" s="27" t="s">
        <v>379</v>
      </c>
      <c r="N124" s="3" t="s">
        <v>312</v>
      </c>
      <c r="O124" s="27" t="s">
        <v>3635</v>
      </c>
      <c r="P124" s="27" t="s">
        <v>298</v>
      </c>
    </row>
    <row r="125" spans="1:16" ht="24" customHeight="1">
      <c r="A125" s="30">
        <v>45985</v>
      </c>
      <c r="B125" s="27" t="s">
        <v>224</v>
      </c>
      <c r="C125" s="27" t="s">
        <v>2608</v>
      </c>
      <c r="D125" s="27" t="s">
        <v>954</v>
      </c>
      <c r="E125" s="10" t="s">
        <v>3813</v>
      </c>
      <c r="F125" s="36" t="s">
        <v>263</v>
      </c>
      <c r="G125" s="27" t="s">
        <v>3475</v>
      </c>
      <c r="H125" s="27" t="s">
        <v>274</v>
      </c>
      <c r="I125" s="27" t="s">
        <v>3524</v>
      </c>
      <c r="J125" s="27"/>
      <c r="K125" s="27"/>
      <c r="L125" s="27"/>
      <c r="M125" s="27" t="s">
        <v>367</v>
      </c>
      <c r="N125" s="1" t="s">
        <v>264</v>
      </c>
      <c r="O125" s="27" t="s">
        <v>3814</v>
      </c>
      <c r="P125" s="27" t="s">
        <v>3815</v>
      </c>
    </row>
    <row r="126" spans="1:16" ht="24" customHeight="1">
      <c r="A126" s="30">
        <v>45985</v>
      </c>
      <c r="B126" s="27" t="s">
        <v>224</v>
      </c>
      <c r="C126" s="27" t="s">
        <v>2608</v>
      </c>
      <c r="D126" s="27" t="s">
        <v>3816</v>
      </c>
      <c r="E126" s="10" t="s">
        <v>3668</v>
      </c>
      <c r="F126" s="36" t="s">
        <v>263</v>
      </c>
      <c r="G126" s="27" t="s">
        <v>3510</v>
      </c>
      <c r="H126" s="27" t="s">
        <v>269</v>
      </c>
      <c r="I126" s="27" t="s">
        <v>3503</v>
      </c>
      <c r="J126" s="27"/>
      <c r="K126" s="27"/>
      <c r="L126" s="27"/>
      <c r="M126" s="27" t="s">
        <v>367</v>
      </c>
      <c r="N126" s="1" t="s">
        <v>264</v>
      </c>
      <c r="O126" s="27"/>
      <c r="P126" s="27" t="s">
        <v>3817</v>
      </c>
    </row>
    <row r="127" spans="1:16" ht="24" customHeight="1">
      <c r="A127" s="30">
        <v>45985</v>
      </c>
      <c r="B127" s="27" t="s">
        <v>224</v>
      </c>
      <c r="C127" s="27" t="s">
        <v>2608</v>
      </c>
      <c r="D127" s="27" t="s">
        <v>3818</v>
      </c>
      <c r="E127" s="10" t="s">
        <v>3668</v>
      </c>
      <c r="F127" s="36" t="s">
        <v>263</v>
      </c>
      <c r="G127" s="27" t="s">
        <v>3510</v>
      </c>
      <c r="H127" s="27" t="s">
        <v>269</v>
      </c>
      <c r="I127" s="27" t="s">
        <v>3503</v>
      </c>
      <c r="J127" s="27"/>
      <c r="K127" s="27"/>
      <c r="L127" s="27"/>
      <c r="M127" s="27" t="s">
        <v>699</v>
      </c>
      <c r="N127" s="1" t="s">
        <v>264</v>
      </c>
      <c r="O127" s="27"/>
      <c r="P127" s="27" t="s">
        <v>3758</v>
      </c>
    </row>
    <row r="128" spans="1:16" ht="24" customHeight="1">
      <c r="A128" s="30">
        <v>45985</v>
      </c>
      <c r="B128" s="27" t="s">
        <v>224</v>
      </c>
      <c r="C128" s="27" t="s">
        <v>2608</v>
      </c>
      <c r="D128" s="27" t="s">
        <v>2963</v>
      </c>
      <c r="E128" s="10" t="s">
        <v>3819</v>
      </c>
      <c r="F128" s="36" t="s">
        <v>263</v>
      </c>
      <c r="G128" s="27" t="s">
        <v>3664</v>
      </c>
      <c r="H128" s="27" t="s">
        <v>331</v>
      </c>
      <c r="I128" s="27" t="s">
        <v>3820</v>
      </c>
      <c r="J128" s="27"/>
      <c r="K128" s="27"/>
      <c r="L128" s="27"/>
      <c r="M128" s="27" t="s">
        <v>367</v>
      </c>
      <c r="N128" s="1" t="s">
        <v>264</v>
      </c>
      <c r="O128" s="27"/>
      <c r="P128" s="27" t="s">
        <v>3821</v>
      </c>
    </row>
    <row r="129" spans="1:16" ht="24" customHeight="1">
      <c r="A129" s="30">
        <v>45985</v>
      </c>
      <c r="B129" s="27" t="s">
        <v>224</v>
      </c>
      <c r="C129" s="27" t="s">
        <v>3501</v>
      </c>
      <c r="D129" s="27" t="s">
        <v>239</v>
      </c>
      <c r="E129" s="10" t="s">
        <v>1160</v>
      </c>
      <c r="F129" s="36" t="s">
        <v>263</v>
      </c>
      <c r="G129" s="27" t="s">
        <v>3490</v>
      </c>
      <c r="H129" s="27" t="s">
        <v>338</v>
      </c>
      <c r="I129" s="27" t="s">
        <v>3618</v>
      </c>
      <c r="J129" s="27"/>
      <c r="K129" s="27"/>
      <c r="L129" s="27"/>
      <c r="M129" s="27" t="s">
        <v>3822</v>
      </c>
      <c r="N129" s="1" t="s">
        <v>264</v>
      </c>
      <c r="O129" s="27" t="s">
        <v>3823</v>
      </c>
      <c r="P129" s="27" t="s">
        <v>3824</v>
      </c>
    </row>
    <row r="130" spans="1:16" ht="24" customHeight="1">
      <c r="A130" s="30">
        <v>45985</v>
      </c>
      <c r="B130" s="27" t="s">
        <v>224</v>
      </c>
      <c r="C130" s="27" t="s">
        <v>3501</v>
      </c>
      <c r="D130" s="27" t="s">
        <v>138</v>
      </c>
      <c r="E130" s="10" t="s">
        <v>3695</v>
      </c>
      <c r="F130" s="36" t="s">
        <v>263</v>
      </c>
      <c r="G130" s="27" t="s">
        <v>3696</v>
      </c>
      <c r="H130" s="27" t="s">
        <v>269</v>
      </c>
      <c r="I130" s="27" t="s">
        <v>3503</v>
      </c>
      <c r="J130" s="27"/>
      <c r="K130" s="27"/>
      <c r="L130" s="27"/>
      <c r="M130" s="27" t="s">
        <v>3697</v>
      </c>
      <c r="N130" s="1" t="s">
        <v>264</v>
      </c>
      <c r="O130" s="27" t="s">
        <v>3519</v>
      </c>
      <c r="P130" s="27" t="s">
        <v>3825</v>
      </c>
    </row>
    <row r="131" spans="1:16" ht="24" customHeight="1">
      <c r="A131" s="30">
        <v>45985</v>
      </c>
      <c r="B131" s="27" t="s">
        <v>224</v>
      </c>
      <c r="C131" s="27" t="s">
        <v>3501</v>
      </c>
      <c r="D131" s="27" t="s">
        <v>348</v>
      </c>
      <c r="E131" s="10" t="s">
        <v>3826</v>
      </c>
      <c r="F131" s="36" t="s">
        <v>263</v>
      </c>
      <c r="G131" s="27" t="s">
        <v>3498</v>
      </c>
      <c r="H131" s="27" t="s">
        <v>309</v>
      </c>
      <c r="I131" s="27" t="s">
        <v>3528</v>
      </c>
      <c r="J131" s="27"/>
      <c r="K131" s="27"/>
      <c r="L131" s="27"/>
      <c r="M131" s="27" t="s">
        <v>351</v>
      </c>
      <c r="N131" s="1" t="s">
        <v>264</v>
      </c>
      <c r="O131" s="27" t="s">
        <v>3792</v>
      </c>
      <c r="P131" s="27" t="s">
        <v>321</v>
      </c>
    </row>
    <row r="132" spans="1:16" ht="24" customHeight="1">
      <c r="A132" s="30">
        <v>45985</v>
      </c>
      <c r="B132" s="27" t="s">
        <v>224</v>
      </c>
      <c r="C132" s="27" t="s">
        <v>3501</v>
      </c>
      <c r="D132" s="27" t="s">
        <v>348</v>
      </c>
      <c r="E132" s="10" t="s">
        <v>3827</v>
      </c>
      <c r="F132" s="36" t="s">
        <v>263</v>
      </c>
      <c r="G132" s="27" t="s">
        <v>3541</v>
      </c>
      <c r="H132" s="27" t="s">
        <v>452</v>
      </c>
      <c r="I132" s="27" t="s">
        <v>3618</v>
      </c>
      <c r="J132" s="27"/>
      <c r="K132" s="27"/>
      <c r="L132" s="27"/>
      <c r="M132" s="27" t="s">
        <v>3828</v>
      </c>
      <c r="N132" s="1" t="s">
        <v>264</v>
      </c>
      <c r="O132" s="27" t="s">
        <v>3759</v>
      </c>
      <c r="P132" s="27" t="s">
        <v>298</v>
      </c>
    </row>
    <row r="133" spans="1:16" ht="24" customHeight="1">
      <c r="A133" s="30">
        <v>45985</v>
      </c>
      <c r="B133" s="27" t="s">
        <v>224</v>
      </c>
      <c r="C133" s="27" t="s">
        <v>3501</v>
      </c>
      <c r="D133" s="27" t="s">
        <v>3829</v>
      </c>
      <c r="E133" s="10"/>
      <c r="F133" s="36" t="s">
        <v>263</v>
      </c>
      <c r="G133" s="27" t="s">
        <v>3498</v>
      </c>
      <c r="H133" s="27" t="s">
        <v>309</v>
      </c>
      <c r="I133" s="27" t="s">
        <v>3570</v>
      </c>
      <c r="J133" s="27"/>
      <c r="K133" s="27"/>
      <c r="L133" s="27"/>
      <c r="M133" s="27" t="s">
        <v>351</v>
      </c>
      <c r="N133" s="3" t="s">
        <v>312</v>
      </c>
      <c r="O133" s="27" t="s">
        <v>3803</v>
      </c>
      <c r="P133" s="27" t="s">
        <v>298</v>
      </c>
    </row>
    <row r="134" spans="1:16" ht="24" customHeight="1">
      <c r="A134" s="30">
        <v>45985</v>
      </c>
      <c r="B134" s="27" t="s">
        <v>224</v>
      </c>
      <c r="C134" s="27" t="s">
        <v>3501</v>
      </c>
      <c r="D134" s="27" t="s">
        <v>138</v>
      </c>
      <c r="E134" s="10" t="s">
        <v>3695</v>
      </c>
      <c r="F134" s="36" t="s">
        <v>263</v>
      </c>
      <c r="G134" s="27" t="s">
        <v>3696</v>
      </c>
      <c r="H134" s="27" t="s">
        <v>269</v>
      </c>
      <c r="I134" s="27" t="s">
        <v>3503</v>
      </c>
      <c r="J134" s="27"/>
      <c r="K134" s="27"/>
      <c r="L134" s="27"/>
      <c r="M134" s="27" t="s">
        <v>3697</v>
      </c>
      <c r="N134" s="1" t="s">
        <v>264</v>
      </c>
      <c r="O134" s="27" t="s">
        <v>3519</v>
      </c>
      <c r="P134" s="27" t="s">
        <v>3830</v>
      </c>
    </row>
    <row r="135" spans="1:16" ht="24" customHeight="1">
      <c r="A135" s="30">
        <v>45985</v>
      </c>
      <c r="B135" s="27" t="s">
        <v>224</v>
      </c>
      <c r="C135" s="27" t="s">
        <v>3831</v>
      </c>
      <c r="D135" s="27" t="s">
        <v>2851</v>
      </c>
      <c r="E135" s="10" t="s">
        <v>3668</v>
      </c>
      <c r="F135" s="36" t="s">
        <v>263</v>
      </c>
      <c r="G135" s="27" t="s">
        <v>3510</v>
      </c>
      <c r="H135" s="27" t="s">
        <v>269</v>
      </c>
      <c r="I135" s="27" t="s">
        <v>3503</v>
      </c>
      <c r="J135" s="27"/>
      <c r="K135" s="27"/>
      <c r="L135" s="27"/>
      <c r="M135" s="27" t="s">
        <v>507</v>
      </c>
      <c r="N135" s="1" t="s">
        <v>264</v>
      </c>
      <c r="O135" s="27" t="s">
        <v>3832</v>
      </c>
      <c r="P135" s="27" t="s">
        <v>3833</v>
      </c>
    </row>
    <row r="136" spans="1:16" ht="24" customHeight="1">
      <c r="A136" s="30">
        <v>45985</v>
      </c>
      <c r="B136" s="27" t="s">
        <v>224</v>
      </c>
      <c r="C136" s="27" t="s">
        <v>3831</v>
      </c>
      <c r="D136" s="27" t="s">
        <v>3834</v>
      </c>
      <c r="E136" s="10" t="s">
        <v>3668</v>
      </c>
      <c r="F136" s="36" t="s">
        <v>263</v>
      </c>
      <c r="G136" s="27" t="s">
        <v>3510</v>
      </c>
      <c r="H136" s="27" t="s">
        <v>269</v>
      </c>
      <c r="I136" s="27" t="s">
        <v>3503</v>
      </c>
      <c r="J136" s="27"/>
      <c r="K136" s="27"/>
      <c r="L136" s="27"/>
      <c r="M136" s="27" t="s">
        <v>507</v>
      </c>
      <c r="N136" s="1" t="s">
        <v>264</v>
      </c>
      <c r="O136" s="27" t="s">
        <v>3832</v>
      </c>
      <c r="P136" s="27" t="s">
        <v>3833</v>
      </c>
    </row>
    <row r="137" spans="1:16" ht="24" customHeight="1">
      <c r="A137" s="30">
        <v>45985</v>
      </c>
      <c r="B137" s="27" t="s">
        <v>224</v>
      </c>
      <c r="C137" s="27" t="s">
        <v>3835</v>
      </c>
      <c r="D137" s="27" t="s">
        <v>3836</v>
      </c>
      <c r="E137" s="10" t="s">
        <v>3668</v>
      </c>
      <c r="F137" s="36" t="s">
        <v>263</v>
      </c>
      <c r="G137" s="27" t="s">
        <v>3510</v>
      </c>
      <c r="H137" s="27" t="s">
        <v>269</v>
      </c>
      <c r="I137" s="27" t="s">
        <v>3503</v>
      </c>
      <c r="J137" s="27"/>
      <c r="K137" s="27"/>
      <c r="L137" s="27"/>
      <c r="M137" s="27" t="s">
        <v>367</v>
      </c>
      <c r="N137" s="1" t="s">
        <v>264</v>
      </c>
      <c r="O137" s="27" t="s">
        <v>3837</v>
      </c>
      <c r="P137" s="27" t="s">
        <v>3817</v>
      </c>
    </row>
    <row r="138" spans="1:16" ht="24" customHeight="1">
      <c r="A138" s="30">
        <v>45985</v>
      </c>
      <c r="B138" s="27" t="s">
        <v>224</v>
      </c>
      <c r="C138" s="27" t="s">
        <v>3835</v>
      </c>
      <c r="D138" s="27" t="s">
        <v>3838</v>
      </c>
      <c r="E138" s="10" t="s">
        <v>3668</v>
      </c>
      <c r="F138" s="36" t="s">
        <v>263</v>
      </c>
      <c r="G138" s="27" t="s">
        <v>3510</v>
      </c>
      <c r="H138" s="27" t="s">
        <v>269</v>
      </c>
      <c r="I138" s="27" t="s">
        <v>3503</v>
      </c>
      <c r="J138" s="27"/>
      <c r="K138" s="27"/>
      <c r="L138" s="27"/>
      <c r="M138" s="27" t="s">
        <v>367</v>
      </c>
      <c r="N138" s="1" t="s">
        <v>264</v>
      </c>
      <c r="O138" s="27" t="s">
        <v>3837</v>
      </c>
      <c r="P138" s="27" t="s">
        <v>3817</v>
      </c>
    </row>
    <row r="139" spans="1:16" ht="24" customHeight="1">
      <c r="A139" s="30">
        <v>45985</v>
      </c>
      <c r="B139" s="27" t="s">
        <v>224</v>
      </c>
      <c r="C139" s="27" t="s">
        <v>3835</v>
      </c>
      <c r="D139" s="27" t="s">
        <v>1071</v>
      </c>
      <c r="E139" s="10" t="s">
        <v>3539</v>
      </c>
      <c r="F139" s="36" t="s">
        <v>263</v>
      </c>
      <c r="G139" s="27" t="s">
        <v>3498</v>
      </c>
      <c r="H139" s="27" t="s">
        <v>309</v>
      </c>
      <c r="I139" s="27" t="s">
        <v>2405</v>
      </c>
      <c r="J139" s="27"/>
      <c r="K139" s="27"/>
      <c r="L139" s="27"/>
      <c r="M139" s="27" t="s">
        <v>351</v>
      </c>
      <c r="N139" s="1" t="s">
        <v>264</v>
      </c>
      <c r="O139" s="27" t="s">
        <v>3839</v>
      </c>
      <c r="P139" s="27" t="s">
        <v>321</v>
      </c>
    </row>
    <row r="140" spans="1:16" ht="24" customHeight="1">
      <c r="A140" s="30">
        <v>45986</v>
      </c>
      <c r="B140" s="27" t="s">
        <v>227</v>
      </c>
      <c r="C140" s="27" t="s">
        <v>3835</v>
      </c>
      <c r="D140" s="27" t="s">
        <v>3836</v>
      </c>
      <c r="E140" s="10" t="s">
        <v>3668</v>
      </c>
      <c r="F140" s="36" t="s">
        <v>263</v>
      </c>
      <c r="G140" s="27" t="s">
        <v>3510</v>
      </c>
      <c r="H140" s="27" t="s">
        <v>269</v>
      </c>
      <c r="I140" s="27" t="s">
        <v>3503</v>
      </c>
      <c r="J140" s="27"/>
      <c r="K140" s="27"/>
      <c r="L140" s="27"/>
      <c r="M140" s="27" t="s">
        <v>367</v>
      </c>
      <c r="N140" s="1" t="s">
        <v>264</v>
      </c>
      <c r="O140" s="27" t="s">
        <v>3837</v>
      </c>
      <c r="P140" s="27" t="s">
        <v>3817</v>
      </c>
    </row>
    <row r="141" spans="1:16" ht="24" customHeight="1">
      <c r="A141" s="30">
        <v>45986</v>
      </c>
      <c r="B141" s="27" t="s">
        <v>227</v>
      </c>
      <c r="C141" s="27" t="s">
        <v>3835</v>
      </c>
      <c r="D141" s="27" t="s">
        <v>3838</v>
      </c>
      <c r="E141" s="10" t="s">
        <v>3668</v>
      </c>
      <c r="F141" s="36" t="s">
        <v>263</v>
      </c>
      <c r="G141" s="27" t="s">
        <v>3510</v>
      </c>
      <c r="H141" s="27" t="s">
        <v>269</v>
      </c>
      <c r="I141" s="27" t="s">
        <v>3503</v>
      </c>
      <c r="J141" s="27"/>
      <c r="K141" s="27"/>
      <c r="L141" s="27"/>
      <c r="M141" s="27" t="s">
        <v>367</v>
      </c>
      <c r="N141" s="1" t="s">
        <v>264</v>
      </c>
      <c r="O141" s="27" t="s">
        <v>3837</v>
      </c>
      <c r="P141" s="27" t="s">
        <v>3817</v>
      </c>
    </row>
    <row r="142" spans="1:16" ht="24" customHeight="1">
      <c r="A142" s="30">
        <v>45986</v>
      </c>
      <c r="B142" s="27" t="s">
        <v>227</v>
      </c>
      <c r="C142" s="27" t="s">
        <v>2608</v>
      </c>
      <c r="D142" s="27" t="s">
        <v>326</v>
      </c>
      <c r="E142" s="10" t="s">
        <v>3695</v>
      </c>
      <c r="F142" s="36" t="s">
        <v>263</v>
      </c>
      <c r="G142" s="27" t="s">
        <v>3696</v>
      </c>
      <c r="H142" s="27" t="s">
        <v>330</v>
      </c>
      <c r="I142" s="27" t="s">
        <v>3503</v>
      </c>
      <c r="J142" s="27"/>
      <c r="K142" s="27"/>
      <c r="L142" s="27"/>
      <c r="M142" s="27" t="s">
        <v>3697</v>
      </c>
      <c r="N142" s="1" t="s">
        <v>264</v>
      </c>
      <c r="O142" s="27" t="s">
        <v>3814</v>
      </c>
      <c r="P142" s="27" t="s">
        <v>3840</v>
      </c>
    </row>
    <row r="143" spans="1:16" ht="24" customHeight="1">
      <c r="A143" s="30">
        <v>45986</v>
      </c>
      <c r="B143" s="27" t="s">
        <v>227</v>
      </c>
      <c r="C143" s="27" t="s">
        <v>2608</v>
      </c>
      <c r="D143" s="27" t="s">
        <v>171</v>
      </c>
      <c r="E143" s="10" t="s">
        <v>3841</v>
      </c>
      <c r="F143" s="36" t="s">
        <v>263</v>
      </c>
      <c r="G143" s="27" t="s">
        <v>3475</v>
      </c>
      <c r="H143" s="27" t="s">
        <v>331</v>
      </c>
      <c r="I143" s="27" t="s">
        <v>3820</v>
      </c>
      <c r="J143" s="27"/>
      <c r="K143" s="27"/>
      <c r="L143" s="27"/>
      <c r="M143" s="27" t="s">
        <v>320</v>
      </c>
      <c r="N143" s="1" t="s">
        <v>264</v>
      </c>
      <c r="O143" s="27" t="s">
        <v>3814</v>
      </c>
      <c r="P143" s="27" t="s">
        <v>3842</v>
      </c>
    </row>
    <row r="144" spans="1:16" ht="24" customHeight="1">
      <c r="A144" s="30">
        <v>45986</v>
      </c>
      <c r="B144" s="27" t="s">
        <v>227</v>
      </c>
      <c r="C144" s="27" t="s">
        <v>2608</v>
      </c>
      <c r="D144" s="27" t="s">
        <v>326</v>
      </c>
      <c r="E144" s="10" t="s">
        <v>3843</v>
      </c>
      <c r="F144" s="36" t="s">
        <v>263</v>
      </c>
      <c r="G144" s="27" t="s">
        <v>3475</v>
      </c>
      <c r="H144" s="27" t="s">
        <v>309</v>
      </c>
      <c r="I144" s="27" t="s">
        <v>3570</v>
      </c>
      <c r="J144" s="27"/>
      <c r="K144" s="27"/>
      <c r="L144" s="27"/>
      <c r="M144" s="27" t="s">
        <v>3844</v>
      </c>
      <c r="N144" s="1" t="s">
        <v>264</v>
      </c>
      <c r="O144" s="27" t="s">
        <v>3814</v>
      </c>
      <c r="P144" s="27" t="s">
        <v>298</v>
      </c>
    </row>
    <row r="145" spans="1:16" ht="24" customHeight="1">
      <c r="A145" s="30">
        <v>45986</v>
      </c>
      <c r="B145" s="27" t="s">
        <v>227</v>
      </c>
      <c r="C145" s="27" t="s">
        <v>2608</v>
      </c>
      <c r="D145" s="27" t="s">
        <v>171</v>
      </c>
      <c r="E145" s="10" t="s">
        <v>3845</v>
      </c>
      <c r="F145" s="36" t="s">
        <v>263</v>
      </c>
      <c r="G145" s="27" t="s">
        <v>3664</v>
      </c>
      <c r="H145" s="27" t="s">
        <v>331</v>
      </c>
      <c r="I145" s="27" t="s">
        <v>3820</v>
      </c>
      <c r="J145" s="27"/>
      <c r="K145" s="27"/>
      <c r="L145" s="27"/>
      <c r="M145" s="27" t="s">
        <v>699</v>
      </c>
      <c r="N145" s="1" t="s">
        <v>264</v>
      </c>
      <c r="O145" s="27" t="s">
        <v>3837</v>
      </c>
      <c r="P145" s="27" t="s">
        <v>3846</v>
      </c>
    </row>
    <row r="146" spans="1:16" ht="24" customHeight="1">
      <c r="A146" s="30">
        <v>45986</v>
      </c>
      <c r="B146" s="27" t="s">
        <v>227</v>
      </c>
      <c r="C146" s="27" t="s">
        <v>2608</v>
      </c>
      <c r="D146" s="27" t="s">
        <v>171</v>
      </c>
      <c r="E146" s="10" t="s">
        <v>3847</v>
      </c>
      <c r="F146" s="36" t="s">
        <v>263</v>
      </c>
      <c r="G146" s="27"/>
      <c r="H146" s="27" t="s">
        <v>338</v>
      </c>
      <c r="I146" s="27" t="s">
        <v>3646</v>
      </c>
      <c r="J146" s="27"/>
      <c r="K146" s="27"/>
      <c r="L146" s="27"/>
      <c r="M146" s="27" t="s">
        <v>3848</v>
      </c>
      <c r="N146" s="1" t="s">
        <v>264</v>
      </c>
      <c r="O146" s="27" t="s">
        <v>3551</v>
      </c>
      <c r="P146" s="27" t="s">
        <v>3849</v>
      </c>
    </row>
    <row r="147" spans="1:16" ht="24" customHeight="1">
      <c r="A147" s="30">
        <v>45986</v>
      </c>
      <c r="B147" s="27" t="s">
        <v>227</v>
      </c>
      <c r="C147" s="27" t="s">
        <v>2608</v>
      </c>
      <c r="D147" s="27" t="s">
        <v>171</v>
      </c>
      <c r="E147" s="10" t="s">
        <v>3695</v>
      </c>
      <c r="F147" s="36" t="s">
        <v>263</v>
      </c>
      <c r="G147" s="27" t="s">
        <v>3696</v>
      </c>
      <c r="H147" s="27" t="s">
        <v>896</v>
      </c>
      <c r="I147" s="27" t="s">
        <v>3850</v>
      </c>
      <c r="J147" s="27"/>
      <c r="K147" s="27"/>
      <c r="L147" s="27"/>
      <c r="M147" s="27" t="s">
        <v>3697</v>
      </c>
      <c r="N147" s="1" t="s">
        <v>264</v>
      </c>
      <c r="O147" s="27" t="s">
        <v>3851</v>
      </c>
      <c r="P147" s="27" t="s">
        <v>3748</v>
      </c>
    </row>
    <row r="148" spans="1:16" ht="24" customHeight="1">
      <c r="A148" s="30">
        <v>45986</v>
      </c>
      <c r="B148" s="27" t="s">
        <v>227</v>
      </c>
      <c r="C148" s="27" t="s">
        <v>3501</v>
      </c>
      <c r="D148" s="27" t="s">
        <v>348</v>
      </c>
      <c r="E148" s="10" t="s">
        <v>3826</v>
      </c>
      <c r="F148" s="36" t="s">
        <v>263</v>
      </c>
      <c r="G148" s="27" t="s">
        <v>3498</v>
      </c>
      <c r="H148" s="27" t="s">
        <v>309</v>
      </c>
      <c r="I148" s="27" t="s">
        <v>3528</v>
      </c>
      <c r="J148" s="27"/>
      <c r="K148" s="27"/>
      <c r="L148" s="27"/>
      <c r="M148" s="27" t="s">
        <v>351</v>
      </c>
      <c r="N148" s="1" t="s">
        <v>264</v>
      </c>
      <c r="O148" s="27" t="s">
        <v>3792</v>
      </c>
      <c r="P148" s="27"/>
    </row>
    <row r="149" spans="1:16" ht="24" customHeight="1">
      <c r="A149" s="30">
        <v>45986</v>
      </c>
      <c r="B149" s="27" t="s">
        <v>227</v>
      </c>
      <c r="C149" s="27" t="s">
        <v>3501</v>
      </c>
      <c r="D149" s="27" t="s">
        <v>348</v>
      </c>
      <c r="E149" s="10"/>
      <c r="F149" s="36" t="s">
        <v>263</v>
      </c>
      <c r="G149" s="27"/>
      <c r="H149" s="27" t="s">
        <v>506</v>
      </c>
      <c r="I149" s="27" t="s">
        <v>3524</v>
      </c>
      <c r="J149" s="27"/>
      <c r="K149" s="27"/>
      <c r="L149" s="27"/>
      <c r="M149" s="27" t="s">
        <v>507</v>
      </c>
      <c r="N149" s="1" t="s">
        <v>264</v>
      </c>
      <c r="O149" s="27" t="s">
        <v>3852</v>
      </c>
      <c r="P149" s="27" t="s">
        <v>298</v>
      </c>
    </row>
    <row r="150" spans="1:16" ht="24" customHeight="1">
      <c r="A150" s="30">
        <v>45986</v>
      </c>
      <c r="B150" s="27" t="s">
        <v>227</v>
      </c>
      <c r="C150" s="27" t="s">
        <v>3501</v>
      </c>
      <c r="D150" s="27" t="s">
        <v>348</v>
      </c>
      <c r="E150" s="10"/>
      <c r="F150" s="36" t="s">
        <v>263</v>
      </c>
      <c r="G150" s="27"/>
      <c r="H150" s="27" t="s">
        <v>331</v>
      </c>
      <c r="I150" s="27" t="s">
        <v>3820</v>
      </c>
      <c r="J150" s="27"/>
      <c r="K150" s="27"/>
      <c r="L150" s="27"/>
      <c r="M150" s="27" t="s">
        <v>2938</v>
      </c>
      <c r="N150" s="1" t="s">
        <v>264</v>
      </c>
      <c r="O150" s="27" t="s">
        <v>3853</v>
      </c>
      <c r="P150" s="27" t="s">
        <v>298</v>
      </c>
    </row>
    <row r="151" spans="1:16" ht="24" customHeight="1">
      <c r="A151" s="30">
        <v>45986</v>
      </c>
      <c r="B151" s="27" t="s">
        <v>227</v>
      </c>
      <c r="C151" s="27" t="s">
        <v>3501</v>
      </c>
      <c r="D151" s="27" t="s">
        <v>138</v>
      </c>
      <c r="E151" s="10" t="s">
        <v>3695</v>
      </c>
      <c r="F151" s="36" t="s">
        <v>263</v>
      </c>
      <c r="G151" s="27" t="s">
        <v>3696</v>
      </c>
      <c r="H151" s="27" t="s">
        <v>269</v>
      </c>
      <c r="I151" s="27" t="s">
        <v>3532</v>
      </c>
      <c r="J151" s="27"/>
      <c r="K151" s="27"/>
      <c r="L151" s="27"/>
      <c r="M151" s="27" t="s">
        <v>3697</v>
      </c>
      <c r="N151" s="1" t="s">
        <v>264</v>
      </c>
      <c r="O151" s="27" t="s">
        <v>3519</v>
      </c>
      <c r="P151" s="27" t="s">
        <v>3840</v>
      </c>
    </row>
    <row r="152" spans="1:16" ht="24" customHeight="1">
      <c r="A152" s="30">
        <v>45986</v>
      </c>
      <c r="B152" s="27" t="s">
        <v>227</v>
      </c>
      <c r="C152" s="27" t="s">
        <v>3501</v>
      </c>
      <c r="D152" s="27" t="s">
        <v>138</v>
      </c>
      <c r="E152" s="10" t="s">
        <v>3854</v>
      </c>
      <c r="F152" s="36" t="s">
        <v>263</v>
      </c>
      <c r="G152" s="27"/>
      <c r="H152" s="27" t="s">
        <v>309</v>
      </c>
      <c r="I152" s="27" t="s">
        <v>3503</v>
      </c>
      <c r="J152" s="27"/>
      <c r="K152" s="27"/>
      <c r="L152" s="27"/>
      <c r="M152" s="27" t="s">
        <v>688</v>
      </c>
      <c r="N152" s="1" t="s">
        <v>264</v>
      </c>
      <c r="O152" s="27" t="s">
        <v>3803</v>
      </c>
      <c r="P152" s="27" t="s">
        <v>3855</v>
      </c>
    </row>
    <row r="153" spans="1:16" ht="24" customHeight="1">
      <c r="A153" s="30">
        <v>45986</v>
      </c>
      <c r="B153" s="27" t="s">
        <v>227</v>
      </c>
      <c r="C153" s="27" t="s">
        <v>3831</v>
      </c>
      <c r="D153" s="27" t="s">
        <v>2851</v>
      </c>
      <c r="E153" s="10" t="s">
        <v>3668</v>
      </c>
      <c r="F153" s="36" t="s">
        <v>263</v>
      </c>
      <c r="G153" s="27" t="s">
        <v>3510</v>
      </c>
      <c r="H153" s="27" t="s">
        <v>269</v>
      </c>
      <c r="I153" s="27" t="s">
        <v>3503</v>
      </c>
      <c r="J153" s="27"/>
      <c r="K153" s="27"/>
      <c r="L153" s="27"/>
      <c r="M153" s="27" t="s">
        <v>507</v>
      </c>
      <c r="N153" s="1" t="s">
        <v>264</v>
      </c>
      <c r="O153" s="27" t="s">
        <v>3832</v>
      </c>
      <c r="P153" s="27" t="s">
        <v>3833</v>
      </c>
    </row>
    <row r="154" spans="1:16" ht="24" customHeight="1">
      <c r="A154" s="30">
        <v>45986</v>
      </c>
      <c r="B154" s="27" t="s">
        <v>227</v>
      </c>
      <c r="C154" s="27" t="s">
        <v>3831</v>
      </c>
      <c r="D154" s="27" t="s">
        <v>3834</v>
      </c>
      <c r="E154" s="10" t="s">
        <v>3668</v>
      </c>
      <c r="F154" s="36" t="s">
        <v>263</v>
      </c>
      <c r="G154" s="27" t="s">
        <v>3510</v>
      </c>
      <c r="H154" s="27" t="s">
        <v>269</v>
      </c>
      <c r="I154" s="27" t="s">
        <v>3503</v>
      </c>
      <c r="J154" s="27"/>
      <c r="K154" s="27"/>
      <c r="L154" s="27"/>
      <c r="M154" s="27" t="s">
        <v>507</v>
      </c>
      <c r="N154" s="1" t="s">
        <v>264</v>
      </c>
      <c r="O154" s="27" t="s">
        <v>3832</v>
      </c>
      <c r="P154" s="27" t="s">
        <v>3833</v>
      </c>
    </row>
    <row r="155" spans="1:16" ht="24" customHeight="1">
      <c r="A155" s="30">
        <v>45986</v>
      </c>
      <c r="B155" s="27" t="s">
        <v>227</v>
      </c>
      <c r="C155" s="27" t="s">
        <v>2608</v>
      </c>
      <c r="D155" s="27" t="s">
        <v>2765</v>
      </c>
      <c r="E155" s="10" t="s">
        <v>3856</v>
      </c>
      <c r="F155" s="36" t="s">
        <v>263</v>
      </c>
      <c r="G155" s="27" t="s">
        <v>3510</v>
      </c>
      <c r="H155" s="27" t="s">
        <v>269</v>
      </c>
      <c r="I155" s="27" t="s">
        <v>3503</v>
      </c>
      <c r="J155" s="27"/>
      <c r="K155" s="27"/>
      <c r="L155" s="27"/>
      <c r="M155" s="27" t="s">
        <v>335</v>
      </c>
      <c r="N155" s="1" t="s">
        <v>264</v>
      </c>
      <c r="O155" s="27" t="s">
        <v>3837</v>
      </c>
      <c r="P155" s="27" t="s">
        <v>3857</v>
      </c>
    </row>
    <row r="156" spans="1:16" ht="24" customHeight="1">
      <c r="A156" s="30">
        <v>45986</v>
      </c>
      <c r="B156" s="27" t="s">
        <v>227</v>
      </c>
      <c r="C156" s="27" t="s">
        <v>2608</v>
      </c>
      <c r="D156" s="27" t="s">
        <v>3858</v>
      </c>
      <c r="E156" s="10" t="s">
        <v>3668</v>
      </c>
      <c r="F156" s="36" t="s">
        <v>263</v>
      </c>
      <c r="G156" s="27" t="s">
        <v>3510</v>
      </c>
      <c r="H156" s="27" t="s">
        <v>269</v>
      </c>
      <c r="I156" s="27" t="s">
        <v>3503</v>
      </c>
      <c r="J156" s="27"/>
      <c r="K156" s="27"/>
      <c r="L156" s="27"/>
      <c r="M156" s="27" t="s">
        <v>699</v>
      </c>
      <c r="N156" s="1" t="s">
        <v>264</v>
      </c>
      <c r="O156" s="27"/>
      <c r="P156" s="27" t="s">
        <v>3758</v>
      </c>
    </row>
    <row r="157" spans="1:16" ht="24" customHeight="1">
      <c r="A157" s="30">
        <v>45987</v>
      </c>
      <c r="B157" s="27" t="s">
        <v>201</v>
      </c>
      <c r="C157" s="27" t="s">
        <v>2608</v>
      </c>
      <c r="D157" s="27" t="s">
        <v>3859</v>
      </c>
      <c r="E157" s="10" t="s">
        <v>3668</v>
      </c>
      <c r="F157" s="36" t="s">
        <v>263</v>
      </c>
      <c r="G157" s="27" t="s">
        <v>3510</v>
      </c>
      <c r="H157" s="27" t="s">
        <v>269</v>
      </c>
      <c r="I157" s="27" t="s">
        <v>3503</v>
      </c>
      <c r="J157" s="27"/>
      <c r="K157" s="27"/>
      <c r="L157" s="27"/>
      <c r="M157" s="27" t="s">
        <v>699</v>
      </c>
      <c r="N157" s="1" t="s">
        <v>264</v>
      </c>
      <c r="O157" s="27"/>
      <c r="P157" s="27" t="s">
        <v>3758</v>
      </c>
    </row>
    <row r="158" spans="1:16" ht="24" customHeight="1">
      <c r="A158" s="30">
        <v>45987</v>
      </c>
      <c r="B158" s="27" t="s">
        <v>201</v>
      </c>
      <c r="C158" s="27" t="s">
        <v>2608</v>
      </c>
      <c r="D158" s="27" t="s">
        <v>2686</v>
      </c>
      <c r="E158" s="10" t="s">
        <v>3856</v>
      </c>
      <c r="F158" s="36" t="s">
        <v>263</v>
      </c>
      <c r="G158" s="27" t="s">
        <v>3510</v>
      </c>
      <c r="H158" s="27" t="s">
        <v>269</v>
      </c>
      <c r="I158" s="27" t="s">
        <v>3503</v>
      </c>
      <c r="J158" s="27"/>
      <c r="K158" s="27"/>
      <c r="L158" s="27"/>
      <c r="M158" s="27" t="s">
        <v>335</v>
      </c>
      <c r="N158" s="1" t="s">
        <v>264</v>
      </c>
      <c r="O158" s="27" t="s">
        <v>3837</v>
      </c>
      <c r="P158" s="27" t="s">
        <v>3857</v>
      </c>
    </row>
    <row r="159" spans="1:16" ht="24" customHeight="1">
      <c r="A159" s="30">
        <v>45987</v>
      </c>
      <c r="B159" s="27" t="s">
        <v>201</v>
      </c>
      <c r="C159" s="27" t="s">
        <v>3831</v>
      </c>
      <c r="D159" s="27" t="s">
        <v>2851</v>
      </c>
      <c r="E159" s="10" t="s">
        <v>3668</v>
      </c>
      <c r="F159" s="36" t="s">
        <v>263</v>
      </c>
      <c r="G159" s="27" t="s">
        <v>3510</v>
      </c>
      <c r="H159" s="27" t="s">
        <v>269</v>
      </c>
      <c r="I159" s="27" t="s">
        <v>3503</v>
      </c>
      <c r="J159" s="27"/>
      <c r="K159" s="27"/>
      <c r="L159" s="27"/>
      <c r="M159" s="27" t="s">
        <v>507</v>
      </c>
      <c r="N159" s="1" t="s">
        <v>264</v>
      </c>
      <c r="O159" s="27" t="s">
        <v>3832</v>
      </c>
      <c r="P159" s="27" t="s">
        <v>3833</v>
      </c>
    </row>
    <row r="160" spans="1:16" ht="24" customHeight="1">
      <c r="A160" s="30">
        <v>45987</v>
      </c>
      <c r="B160" s="27" t="s">
        <v>201</v>
      </c>
      <c r="C160" s="27" t="s">
        <v>3831</v>
      </c>
      <c r="D160" s="27" t="s">
        <v>3834</v>
      </c>
      <c r="E160" s="10" t="s">
        <v>3668</v>
      </c>
      <c r="F160" s="36" t="s">
        <v>263</v>
      </c>
      <c r="G160" s="27" t="s">
        <v>3510</v>
      </c>
      <c r="H160" s="27" t="s">
        <v>269</v>
      </c>
      <c r="I160" s="27" t="s">
        <v>3503</v>
      </c>
      <c r="J160" s="27"/>
      <c r="K160" s="27"/>
      <c r="L160" s="27"/>
      <c r="M160" s="27" t="s">
        <v>507</v>
      </c>
      <c r="N160" s="1" t="s">
        <v>264</v>
      </c>
      <c r="O160" s="27" t="s">
        <v>3832</v>
      </c>
      <c r="P160" s="27" t="s">
        <v>3833</v>
      </c>
    </row>
    <row r="161" spans="1:16" ht="24" customHeight="1">
      <c r="A161" s="30">
        <v>45987</v>
      </c>
      <c r="B161" s="27" t="s">
        <v>201</v>
      </c>
      <c r="C161" s="27" t="s">
        <v>3501</v>
      </c>
      <c r="D161" s="27" t="s">
        <v>3672</v>
      </c>
      <c r="E161" s="10" t="s">
        <v>3860</v>
      </c>
      <c r="F161" s="36" t="s">
        <v>263</v>
      </c>
      <c r="G161" s="27" t="s">
        <v>3498</v>
      </c>
      <c r="H161" s="27" t="s">
        <v>506</v>
      </c>
      <c r="I161" s="27" t="s">
        <v>3524</v>
      </c>
      <c r="J161" s="27"/>
      <c r="K161" s="27"/>
      <c r="L161" s="27"/>
      <c r="M161" s="27" t="s">
        <v>507</v>
      </c>
      <c r="N161" s="1" t="s">
        <v>264</v>
      </c>
      <c r="O161" s="27" t="s">
        <v>3745</v>
      </c>
      <c r="P161" s="27" t="s">
        <v>298</v>
      </c>
    </row>
    <row r="162" spans="1:16" ht="24" customHeight="1">
      <c r="A162" s="30">
        <v>45987</v>
      </c>
      <c r="B162" s="27" t="s">
        <v>201</v>
      </c>
      <c r="C162" s="27" t="s">
        <v>3501</v>
      </c>
      <c r="D162" s="27" t="s">
        <v>3672</v>
      </c>
      <c r="E162" s="10" t="s">
        <v>3861</v>
      </c>
      <c r="F162" s="36" t="s">
        <v>263</v>
      </c>
      <c r="G162" s="27" t="s">
        <v>3605</v>
      </c>
      <c r="H162" s="27" t="s">
        <v>275</v>
      </c>
      <c r="I162" s="27" t="s">
        <v>3820</v>
      </c>
      <c r="J162" s="27"/>
      <c r="K162" s="27"/>
      <c r="L162" s="27"/>
      <c r="M162" s="27" t="s">
        <v>507</v>
      </c>
      <c r="N162" s="1" t="s">
        <v>264</v>
      </c>
      <c r="O162" s="27" t="s">
        <v>3814</v>
      </c>
      <c r="P162" s="27" t="s">
        <v>298</v>
      </c>
    </row>
    <row r="163" spans="1:16" ht="24" customHeight="1">
      <c r="A163" s="30">
        <v>45987</v>
      </c>
      <c r="B163" s="27" t="s">
        <v>201</v>
      </c>
      <c r="C163" s="27" t="s">
        <v>3501</v>
      </c>
      <c r="D163" s="27" t="s">
        <v>3672</v>
      </c>
      <c r="E163" s="10" t="s">
        <v>3826</v>
      </c>
      <c r="F163" s="36" t="s">
        <v>263</v>
      </c>
      <c r="G163" s="27" t="s">
        <v>3498</v>
      </c>
      <c r="H163" s="27" t="s">
        <v>289</v>
      </c>
      <c r="I163" s="27" t="s">
        <v>3505</v>
      </c>
      <c r="J163" s="27"/>
      <c r="K163" s="27"/>
      <c r="L163" s="27"/>
      <c r="M163" s="27" t="s">
        <v>351</v>
      </c>
      <c r="N163" s="1" t="s">
        <v>264</v>
      </c>
      <c r="O163" s="27" t="s">
        <v>3792</v>
      </c>
      <c r="P163" s="27"/>
    </row>
    <row r="164" spans="1:16" ht="24" customHeight="1">
      <c r="A164" s="30">
        <v>45987</v>
      </c>
      <c r="B164" s="27" t="s">
        <v>201</v>
      </c>
      <c r="C164" s="27" t="s">
        <v>3501</v>
      </c>
      <c r="D164" s="27" t="s">
        <v>138</v>
      </c>
      <c r="E164" s="10" t="s">
        <v>3695</v>
      </c>
      <c r="F164" s="36" t="s">
        <v>263</v>
      </c>
      <c r="G164" s="27" t="s">
        <v>3696</v>
      </c>
      <c r="H164" s="27" t="s">
        <v>269</v>
      </c>
      <c r="I164" s="27" t="s">
        <v>3503</v>
      </c>
      <c r="J164" s="27"/>
      <c r="K164" s="27"/>
      <c r="L164" s="27"/>
      <c r="M164" s="27" t="s">
        <v>3697</v>
      </c>
      <c r="N164" s="1" t="s">
        <v>264</v>
      </c>
      <c r="O164" s="27" t="s">
        <v>3519</v>
      </c>
      <c r="P164" s="27" t="s">
        <v>3830</v>
      </c>
    </row>
    <row r="165" spans="1:16" ht="24" customHeight="1">
      <c r="A165" s="30">
        <v>45987</v>
      </c>
      <c r="B165" s="27" t="s">
        <v>201</v>
      </c>
      <c r="C165" s="27" t="s">
        <v>2608</v>
      </c>
      <c r="D165" s="27" t="s">
        <v>326</v>
      </c>
      <c r="E165" s="10" t="s">
        <v>2927</v>
      </c>
      <c r="F165" s="36" t="s">
        <v>263</v>
      </c>
      <c r="G165" s="27" t="s">
        <v>3736</v>
      </c>
      <c r="H165" s="27" t="s">
        <v>289</v>
      </c>
      <c r="I165" s="27" t="s">
        <v>3505</v>
      </c>
      <c r="J165" s="27"/>
      <c r="K165" s="27"/>
      <c r="L165" s="27"/>
      <c r="M165" s="27" t="s">
        <v>237</v>
      </c>
      <c r="N165" s="1" t="s">
        <v>264</v>
      </c>
      <c r="O165" s="27" t="s">
        <v>3677</v>
      </c>
      <c r="P165" s="27" t="s">
        <v>307</v>
      </c>
    </row>
    <row r="166" spans="1:16" ht="24" customHeight="1">
      <c r="A166" s="30">
        <v>45987</v>
      </c>
      <c r="B166" s="27" t="s">
        <v>201</v>
      </c>
      <c r="C166" s="27" t="s">
        <v>3501</v>
      </c>
      <c r="D166" s="27" t="s">
        <v>239</v>
      </c>
      <c r="E166" s="10" t="s">
        <v>3862</v>
      </c>
      <c r="F166" s="36" t="s">
        <v>263</v>
      </c>
      <c r="G166" s="27" t="s">
        <v>3490</v>
      </c>
      <c r="H166" s="27" t="s">
        <v>295</v>
      </c>
      <c r="I166" s="27" t="s">
        <v>3528</v>
      </c>
      <c r="J166" s="27"/>
      <c r="K166" s="27"/>
      <c r="L166" s="27"/>
      <c r="M166" s="27" t="s">
        <v>507</v>
      </c>
      <c r="N166" s="1" t="s">
        <v>264</v>
      </c>
      <c r="O166" s="27" t="s">
        <v>3721</v>
      </c>
      <c r="P166" s="27" t="s">
        <v>3863</v>
      </c>
    </row>
    <row r="167" spans="1:16" ht="24" customHeight="1">
      <c r="A167" s="30">
        <v>45987</v>
      </c>
      <c r="B167" s="27" t="s">
        <v>201</v>
      </c>
      <c r="C167" s="27" t="s">
        <v>2608</v>
      </c>
      <c r="D167" s="27" t="s">
        <v>171</v>
      </c>
      <c r="E167" s="10" t="s">
        <v>3864</v>
      </c>
      <c r="F167" s="36" t="s">
        <v>263</v>
      </c>
      <c r="G167" s="27" t="s">
        <v>3498</v>
      </c>
      <c r="H167" s="27" t="s">
        <v>309</v>
      </c>
      <c r="I167" s="27" t="s">
        <v>3528</v>
      </c>
      <c r="J167" s="27"/>
      <c r="K167" s="27"/>
      <c r="L167" s="27"/>
      <c r="M167" s="27" t="s">
        <v>2835</v>
      </c>
      <c r="N167" s="1" t="s">
        <v>264</v>
      </c>
      <c r="O167" s="27" t="s">
        <v>3778</v>
      </c>
      <c r="P167" s="27" t="s">
        <v>298</v>
      </c>
    </row>
    <row r="168" spans="1:16" ht="24" customHeight="1">
      <c r="A168" s="30">
        <v>45987</v>
      </c>
      <c r="B168" s="27" t="s">
        <v>201</v>
      </c>
      <c r="C168" s="27" t="s">
        <v>2608</v>
      </c>
      <c r="D168" s="27"/>
      <c r="E168" s="10"/>
      <c r="F168" s="36" t="s">
        <v>263</v>
      </c>
      <c r="G168" s="27"/>
      <c r="H168" s="27"/>
      <c r="I168" s="27"/>
      <c r="J168" s="27"/>
      <c r="K168" s="27"/>
      <c r="L168" s="27"/>
      <c r="M168" s="27"/>
      <c r="N168" s="1" t="s">
        <v>264</v>
      </c>
      <c r="O168" s="27"/>
      <c r="P168" s="27"/>
    </row>
    <row r="169" spans="1:16" ht="24" customHeight="1">
      <c r="A169" s="30">
        <v>45987</v>
      </c>
      <c r="B169" s="27" t="s">
        <v>201</v>
      </c>
      <c r="C169" s="27" t="s">
        <v>2608</v>
      </c>
      <c r="D169" s="27" t="s">
        <v>239</v>
      </c>
      <c r="E169" s="10" t="s">
        <v>3865</v>
      </c>
      <c r="F169" s="36" t="s">
        <v>263</v>
      </c>
      <c r="G169" s="27" t="s">
        <v>3498</v>
      </c>
      <c r="H169" s="27" t="s">
        <v>295</v>
      </c>
      <c r="I169" s="27" t="s">
        <v>3505</v>
      </c>
      <c r="J169" s="27"/>
      <c r="K169" s="27"/>
      <c r="L169" s="27"/>
      <c r="M169" s="27" t="s">
        <v>461</v>
      </c>
      <c r="N169" s="1" t="s">
        <v>264</v>
      </c>
      <c r="O169" s="27" t="s">
        <v>3762</v>
      </c>
      <c r="P169" s="27" t="s">
        <v>298</v>
      </c>
    </row>
    <row r="170" spans="1:16" ht="24" customHeight="1">
      <c r="A170" s="30">
        <v>45987</v>
      </c>
      <c r="B170" s="27" t="s">
        <v>201</v>
      </c>
      <c r="C170" s="27" t="s">
        <v>3835</v>
      </c>
      <c r="D170" s="27" t="s">
        <v>3836</v>
      </c>
      <c r="E170" s="10" t="s">
        <v>3668</v>
      </c>
      <c r="F170" s="36" t="s">
        <v>263</v>
      </c>
      <c r="G170" s="27" t="s">
        <v>3510</v>
      </c>
      <c r="H170" s="27" t="s">
        <v>269</v>
      </c>
      <c r="I170" s="27" t="s">
        <v>3503</v>
      </c>
      <c r="J170" s="27"/>
      <c r="K170" s="27"/>
      <c r="L170" s="27"/>
      <c r="M170" s="27" t="s">
        <v>367</v>
      </c>
      <c r="N170" s="1" t="s">
        <v>264</v>
      </c>
      <c r="O170" s="27" t="s">
        <v>3837</v>
      </c>
      <c r="P170" s="27" t="s">
        <v>3817</v>
      </c>
    </row>
    <row r="171" spans="1:16" ht="24" customHeight="1">
      <c r="A171" s="30">
        <v>45987</v>
      </c>
      <c r="B171" s="27" t="s">
        <v>201</v>
      </c>
      <c r="C171" s="27" t="s">
        <v>3835</v>
      </c>
      <c r="D171" s="27" t="s">
        <v>3838</v>
      </c>
      <c r="E171" s="10" t="s">
        <v>3668</v>
      </c>
      <c r="F171" s="36" t="s">
        <v>263</v>
      </c>
      <c r="G171" s="27" t="s">
        <v>3510</v>
      </c>
      <c r="H171" s="27" t="s">
        <v>269</v>
      </c>
      <c r="I171" s="27" t="s">
        <v>3503</v>
      </c>
      <c r="J171" s="27"/>
      <c r="K171" s="27"/>
      <c r="L171" s="27"/>
      <c r="M171" s="27" t="s">
        <v>367</v>
      </c>
      <c r="N171" s="1" t="s">
        <v>264</v>
      </c>
      <c r="O171" s="27" t="s">
        <v>3837</v>
      </c>
      <c r="P171" s="27" t="s">
        <v>3817</v>
      </c>
    </row>
    <row r="172" spans="1:16" ht="24" customHeight="1">
      <c r="A172" s="30">
        <v>45988</v>
      </c>
      <c r="B172" s="27" t="s">
        <v>216</v>
      </c>
      <c r="C172" s="27" t="s">
        <v>3835</v>
      </c>
      <c r="D172" s="27" t="s">
        <v>3836</v>
      </c>
      <c r="E172" s="10" t="s">
        <v>3668</v>
      </c>
      <c r="F172" s="36" t="s">
        <v>263</v>
      </c>
      <c r="G172" s="27" t="s">
        <v>3510</v>
      </c>
      <c r="H172" s="27" t="s">
        <v>269</v>
      </c>
      <c r="I172" s="27" t="s">
        <v>3503</v>
      </c>
      <c r="J172" s="27"/>
      <c r="K172" s="27"/>
      <c r="L172" s="27"/>
      <c r="M172" s="27" t="s">
        <v>367</v>
      </c>
      <c r="N172" s="1" t="s">
        <v>264</v>
      </c>
      <c r="O172" s="27" t="s">
        <v>3837</v>
      </c>
      <c r="P172" s="27" t="s">
        <v>3817</v>
      </c>
    </row>
    <row r="173" spans="1:16" ht="24" customHeight="1">
      <c r="A173" s="30">
        <v>45988</v>
      </c>
      <c r="B173" s="27" t="s">
        <v>216</v>
      </c>
      <c r="C173" s="27" t="s">
        <v>3835</v>
      </c>
      <c r="D173" s="27" t="s">
        <v>3838</v>
      </c>
      <c r="E173" s="10" t="s">
        <v>3668</v>
      </c>
      <c r="F173" s="36" t="s">
        <v>263</v>
      </c>
      <c r="G173" s="27" t="s">
        <v>3510</v>
      </c>
      <c r="H173" s="27" t="s">
        <v>269</v>
      </c>
      <c r="I173" s="27" t="s">
        <v>3503</v>
      </c>
      <c r="J173" s="27"/>
      <c r="K173" s="27"/>
      <c r="L173" s="27"/>
      <c r="M173" s="27" t="s">
        <v>367</v>
      </c>
      <c r="N173" s="1" t="s">
        <v>264</v>
      </c>
      <c r="O173" s="27" t="s">
        <v>3837</v>
      </c>
      <c r="P173" s="27" t="s">
        <v>3817</v>
      </c>
    </row>
    <row r="174" spans="1:16" ht="24" customHeight="1">
      <c r="A174" s="30">
        <v>45988</v>
      </c>
      <c r="B174" s="27" t="s">
        <v>216</v>
      </c>
      <c r="C174" s="27" t="s">
        <v>2608</v>
      </c>
      <c r="D174" s="27" t="s">
        <v>3816</v>
      </c>
      <c r="E174" s="10" t="s">
        <v>3668</v>
      </c>
      <c r="F174" s="36" t="s">
        <v>263</v>
      </c>
      <c r="G174" s="27" t="s">
        <v>3510</v>
      </c>
      <c r="H174" s="27" t="s">
        <v>269</v>
      </c>
      <c r="I174" s="27" t="s">
        <v>3503</v>
      </c>
      <c r="J174" s="27"/>
      <c r="K174" s="27"/>
      <c r="L174" s="27"/>
      <c r="M174" s="27" t="s">
        <v>367</v>
      </c>
      <c r="N174" s="1" t="s">
        <v>264</v>
      </c>
      <c r="O174" s="27"/>
      <c r="P174" s="27" t="s">
        <v>3817</v>
      </c>
    </row>
    <row r="175" spans="1:16" ht="24" customHeight="1">
      <c r="A175" s="30">
        <v>45988</v>
      </c>
      <c r="B175" s="27" t="s">
        <v>216</v>
      </c>
      <c r="C175" s="27" t="s">
        <v>2608</v>
      </c>
      <c r="D175" s="27" t="s">
        <v>171</v>
      </c>
      <c r="E175" s="10" t="s">
        <v>3866</v>
      </c>
      <c r="F175" s="36" t="s">
        <v>263</v>
      </c>
      <c r="G175" s="27" t="s">
        <v>3498</v>
      </c>
      <c r="H175" s="27" t="s">
        <v>275</v>
      </c>
      <c r="I175" s="27" t="s">
        <v>3715</v>
      </c>
      <c r="J175" s="27"/>
      <c r="K175" s="27"/>
      <c r="L175" s="27"/>
      <c r="M175" s="27" t="s">
        <v>3867</v>
      </c>
      <c r="N175" s="1" t="s">
        <v>264</v>
      </c>
      <c r="O175" s="27" t="s">
        <v>3868</v>
      </c>
      <c r="P175" s="27" t="s">
        <v>298</v>
      </c>
    </row>
    <row r="176" spans="1:16" ht="24" customHeight="1">
      <c r="A176" s="30">
        <v>45988</v>
      </c>
      <c r="B176" s="27" t="s">
        <v>216</v>
      </c>
      <c r="C176" s="27" t="s">
        <v>3501</v>
      </c>
      <c r="D176" s="27" t="s">
        <v>239</v>
      </c>
      <c r="E176" s="10" t="s">
        <v>1155</v>
      </c>
      <c r="F176" s="36" t="s">
        <v>263</v>
      </c>
      <c r="G176" s="27" t="s">
        <v>2320</v>
      </c>
      <c r="H176" s="27" t="s">
        <v>295</v>
      </c>
      <c r="I176" s="27" t="s">
        <v>3505</v>
      </c>
      <c r="J176" s="27" t="s">
        <v>3869</v>
      </c>
      <c r="K176" s="27"/>
      <c r="L176" s="27"/>
      <c r="M176" s="27" t="s">
        <v>339</v>
      </c>
      <c r="N176" s="3" t="s">
        <v>312</v>
      </c>
      <c r="O176" s="27" t="s">
        <v>3429</v>
      </c>
      <c r="P176" s="27" t="s">
        <v>3870</v>
      </c>
    </row>
    <row r="177" spans="1:16" ht="24" customHeight="1">
      <c r="A177" s="30">
        <v>45988</v>
      </c>
      <c r="B177" s="27" t="s">
        <v>216</v>
      </c>
      <c r="C177" s="27" t="s">
        <v>3501</v>
      </c>
      <c r="D177" s="27" t="s">
        <v>3672</v>
      </c>
      <c r="E177" s="10"/>
      <c r="F177" s="36" t="s">
        <v>263</v>
      </c>
      <c r="G177" s="27" t="s">
        <v>3494</v>
      </c>
      <c r="H177" s="27" t="s">
        <v>289</v>
      </c>
      <c r="I177" s="27" t="s">
        <v>3620</v>
      </c>
      <c r="J177" s="27"/>
      <c r="K177" s="27"/>
      <c r="L177" s="27"/>
      <c r="M177" s="27" t="s">
        <v>532</v>
      </c>
      <c r="N177" s="1" t="s">
        <v>264</v>
      </c>
      <c r="O177" s="27" t="s">
        <v>3871</v>
      </c>
      <c r="P177" s="27" t="s">
        <v>298</v>
      </c>
    </row>
    <row r="178" spans="1:16" ht="24" customHeight="1">
      <c r="A178" s="30">
        <v>45988</v>
      </c>
      <c r="B178" s="27" t="s">
        <v>216</v>
      </c>
      <c r="C178" s="27" t="s">
        <v>3501</v>
      </c>
      <c r="D178" s="27" t="s">
        <v>138</v>
      </c>
      <c r="E178" s="10" t="s">
        <v>3872</v>
      </c>
      <c r="F178" s="36" t="s">
        <v>263</v>
      </c>
      <c r="G178" s="27" t="s">
        <v>3873</v>
      </c>
      <c r="H178" s="27" t="s">
        <v>269</v>
      </c>
      <c r="I178" s="27" t="s">
        <v>3524</v>
      </c>
      <c r="J178" s="27"/>
      <c r="K178" s="27"/>
      <c r="L178" s="27"/>
      <c r="M178" s="27" t="s">
        <v>367</v>
      </c>
      <c r="N178" s="1" t="s">
        <v>264</v>
      </c>
      <c r="O178" s="27" t="s">
        <v>3754</v>
      </c>
      <c r="P178" s="27" t="s">
        <v>298</v>
      </c>
    </row>
    <row r="179" spans="1:16" ht="24" customHeight="1">
      <c r="A179" s="30">
        <v>45988</v>
      </c>
      <c r="B179" s="27" t="s">
        <v>216</v>
      </c>
      <c r="C179" s="27" t="s">
        <v>3831</v>
      </c>
      <c r="D179" s="27" t="s">
        <v>2851</v>
      </c>
      <c r="E179" s="10" t="s">
        <v>3668</v>
      </c>
      <c r="F179" s="36" t="s">
        <v>263</v>
      </c>
      <c r="G179" s="27" t="s">
        <v>3510</v>
      </c>
      <c r="H179" s="27" t="s">
        <v>269</v>
      </c>
      <c r="I179" s="27" t="s">
        <v>3503</v>
      </c>
      <c r="J179" s="27"/>
      <c r="K179" s="27"/>
      <c r="L179" s="27"/>
      <c r="M179" s="27" t="s">
        <v>507</v>
      </c>
      <c r="N179" s="1" t="s">
        <v>264</v>
      </c>
      <c r="O179" s="27" t="s">
        <v>3832</v>
      </c>
      <c r="P179" s="27" t="s">
        <v>3833</v>
      </c>
    </row>
    <row r="180" spans="1:16" ht="24" customHeight="1">
      <c r="A180" s="30">
        <v>45988</v>
      </c>
      <c r="B180" s="27" t="s">
        <v>216</v>
      </c>
      <c r="C180" s="27" t="s">
        <v>3831</v>
      </c>
      <c r="D180" s="27" t="s">
        <v>3834</v>
      </c>
      <c r="E180" s="10" t="s">
        <v>3668</v>
      </c>
      <c r="F180" s="36" t="s">
        <v>263</v>
      </c>
      <c r="G180" s="27" t="s">
        <v>3510</v>
      </c>
      <c r="H180" s="27" t="s">
        <v>269</v>
      </c>
      <c r="I180" s="27" t="s">
        <v>3503</v>
      </c>
      <c r="J180" s="27"/>
      <c r="K180" s="27"/>
      <c r="L180" s="27"/>
      <c r="M180" s="27" t="s">
        <v>507</v>
      </c>
      <c r="N180" s="1" t="s">
        <v>264</v>
      </c>
      <c r="O180" s="27" t="s">
        <v>3832</v>
      </c>
      <c r="P180" s="27" t="s">
        <v>3833</v>
      </c>
    </row>
    <row r="181" spans="1:16" ht="24" customHeight="1">
      <c r="A181" s="30">
        <v>45988</v>
      </c>
      <c r="B181" s="27" t="s">
        <v>216</v>
      </c>
      <c r="C181" s="27" t="s">
        <v>3501</v>
      </c>
      <c r="D181" s="27" t="s">
        <v>138</v>
      </c>
      <c r="E181" s="10" t="s">
        <v>3695</v>
      </c>
      <c r="F181" s="36" t="s">
        <v>263</v>
      </c>
      <c r="G181" s="27" t="s">
        <v>3696</v>
      </c>
      <c r="H181" s="27" t="s">
        <v>429</v>
      </c>
      <c r="I181" s="27" t="s">
        <v>3503</v>
      </c>
      <c r="J181" s="27"/>
      <c r="K181" s="27"/>
      <c r="L181" s="27"/>
      <c r="M181" s="27" t="s">
        <v>3697</v>
      </c>
      <c r="N181" s="1" t="s">
        <v>264</v>
      </c>
      <c r="O181" s="27" t="s">
        <v>3519</v>
      </c>
      <c r="P181" s="27" t="s">
        <v>285</v>
      </c>
    </row>
    <row r="182" spans="1:16" ht="24" customHeight="1">
      <c r="A182" s="30">
        <v>45988</v>
      </c>
      <c r="B182" s="27" t="s">
        <v>216</v>
      </c>
      <c r="C182" s="27" t="s">
        <v>2608</v>
      </c>
      <c r="D182" s="27" t="s">
        <v>3296</v>
      </c>
      <c r="E182" s="10" t="s">
        <v>3874</v>
      </c>
      <c r="F182" s="36" t="s">
        <v>263</v>
      </c>
      <c r="G182" s="27" t="s">
        <v>2202</v>
      </c>
      <c r="H182" s="27" t="s">
        <v>295</v>
      </c>
      <c r="I182" s="27" t="s">
        <v>3503</v>
      </c>
      <c r="J182" s="27"/>
      <c r="K182" s="27"/>
      <c r="L182" s="27"/>
      <c r="M182" s="27" t="s">
        <v>339</v>
      </c>
      <c r="N182" s="3" t="s">
        <v>312</v>
      </c>
      <c r="O182" s="27"/>
      <c r="P182" s="27" t="s">
        <v>3875</v>
      </c>
    </row>
    <row r="183" spans="1:16" ht="24" customHeight="1">
      <c r="A183" s="30">
        <v>45988</v>
      </c>
      <c r="B183" s="27" t="s">
        <v>216</v>
      </c>
      <c r="C183" s="27" t="s">
        <v>3501</v>
      </c>
      <c r="D183" s="27" t="s">
        <v>239</v>
      </c>
      <c r="E183" s="10" t="s">
        <v>3874</v>
      </c>
      <c r="F183" s="36" t="s">
        <v>263</v>
      </c>
      <c r="G183" s="27" t="s">
        <v>2202</v>
      </c>
      <c r="H183" s="27" t="s">
        <v>295</v>
      </c>
      <c r="I183" s="27" t="s">
        <v>3503</v>
      </c>
      <c r="J183" s="27"/>
      <c r="K183" s="27"/>
      <c r="L183" s="27"/>
      <c r="M183" s="27" t="s">
        <v>339</v>
      </c>
      <c r="N183" s="3" t="s">
        <v>312</v>
      </c>
      <c r="O183" s="27"/>
      <c r="P183" s="27" t="s">
        <v>3875</v>
      </c>
    </row>
    <row r="184" spans="1:16" ht="24" customHeight="1">
      <c r="A184" s="30">
        <v>45988</v>
      </c>
      <c r="B184" s="27" t="s">
        <v>216</v>
      </c>
      <c r="C184" s="27" t="s">
        <v>2608</v>
      </c>
      <c r="D184" s="27" t="s">
        <v>3818</v>
      </c>
      <c r="E184" s="10" t="s">
        <v>3668</v>
      </c>
      <c r="F184" s="36" t="s">
        <v>263</v>
      </c>
      <c r="G184" s="27" t="s">
        <v>3510</v>
      </c>
      <c r="H184" s="27" t="s">
        <v>269</v>
      </c>
      <c r="I184" s="27" t="s">
        <v>3503</v>
      </c>
      <c r="J184" s="27"/>
      <c r="K184" s="27"/>
      <c r="L184" s="27"/>
      <c r="M184" s="27" t="s">
        <v>699</v>
      </c>
      <c r="N184" s="1" t="s">
        <v>264</v>
      </c>
      <c r="O184" s="27"/>
      <c r="P184" s="27" t="s">
        <v>3758</v>
      </c>
    </row>
    <row r="185" spans="1:16" ht="24" customHeight="1">
      <c r="A185" s="30">
        <v>45989</v>
      </c>
      <c r="B185" s="27" t="s">
        <v>220</v>
      </c>
      <c r="C185" s="27" t="s">
        <v>2608</v>
      </c>
      <c r="D185" s="27" t="s">
        <v>3818</v>
      </c>
      <c r="E185" s="10" t="s">
        <v>3668</v>
      </c>
      <c r="F185" s="36" t="s">
        <v>263</v>
      </c>
      <c r="G185" s="27" t="s">
        <v>3510</v>
      </c>
      <c r="H185" s="27" t="s">
        <v>269</v>
      </c>
      <c r="I185" s="27" t="s">
        <v>3503</v>
      </c>
      <c r="J185" s="27"/>
      <c r="K185" s="27"/>
      <c r="L185" s="27"/>
      <c r="M185" s="27" t="s">
        <v>699</v>
      </c>
      <c r="N185" s="1" t="s">
        <v>264</v>
      </c>
      <c r="O185" s="27"/>
      <c r="P185" s="27" t="s">
        <v>3758</v>
      </c>
    </row>
    <row r="186" spans="1:16" ht="24" customHeight="1">
      <c r="A186" s="30">
        <v>45989</v>
      </c>
      <c r="B186" s="27" t="s">
        <v>220</v>
      </c>
      <c r="C186" s="27" t="s">
        <v>2608</v>
      </c>
      <c r="D186" s="27" t="s">
        <v>171</v>
      </c>
      <c r="E186" s="10" t="s">
        <v>3876</v>
      </c>
      <c r="F186" s="36" t="s">
        <v>263</v>
      </c>
      <c r="G186" s="27" t="s">
        <v>3527</v>
      </c>
      <c r="H186" s="27" t="s">
        <v>506</v>
      </c>
      <c r="I186" s="27" t="s">
        <v>3524</v>
      </c>
      <c r="J186" s="27"/>
      <c r="K186" s="27"/>
      <c r="L186" s="27"/>
      <c r="M186" s="27" t="s">
        <v>699</v>
      </c>
      <c r="N186" s="1" t="s">
        <v>264</v>
      </c>
      <c r="O186" s="27"/>
      <c r="P186" s="27" t="s">
        <v>321</v>
      </c>
    </row>
    <row r="187" spans="1:16" ht="24" customHeight="1">
      <c r="A187" s="30">
        <v>45989</v>
      </c>
      <c r="B187" s="27" t="s">
        <v>220</v>
      </c>
      <c r="C187" s="27" t="s">
        <v>3501</v>
      </c>
      <c r="D187" s="27" t="s">
        <v>3672</v>
      </c>
      <c r="E187" s="10" t="s">
        <v>3877</v>
      </c>
      <c r="F187" s="36" t="s">
        <v>263</v>
      </c>
      <c r="G187" s="27" t="s">
        <v>1161</v>
      </c>
      <c r="H187" s="27" t="s">
        <v>331</v>
      </c>
      <c r="I187" s="27" t="s">
        <v>3820</v>
      </c>
      <c r="J187" s="27"/>
      <c r="K187" s="27"/>
      <c r="L187" s="27"/>
      <c r="M187" s="27" t="s">
        <v>2938</v>
      </c>
      <c r="N187" s="1" t="s">
        <v>264</v>
      </c>
      <c r="O187" s="27"/>
      <c r="P187" s="27" t="s">
        <v>298</v>
      </c>
    </row>
    <row r="188" spans="1:16" ht="24" customHeight="1">
      <c r="A188" s="30">
        <v>45989</v>
      </c>
      <c r="B188" s="27" t="s">
        <v>220</v>
      </c>
      <c r="C188" s="27" t="s">
        <v>3501</v>
      </c>
      <c r="D188" s="27" t="s">
        <v>3672</v>
      </c>
      <c r="E188" s="10" t="s">
        <v>3826</v>
      </c>
      <c r="F188" s="36" t="s">
        <v>263</v>
      </c>
      <c r="G188" s="27" t="s">
        <v>3498</v>
      </c>
      <c r="H188" s="27" t="s">
        <v>309</v>
      </c>
      <c r="I188" s="27" t="s">
        <v>3528</v>
      </c>
      <c r="J188" s="27"/>
      <c r="K188" s="27"/>
      <c r="L188" s="27"/>
      <c r="M188" s="27" t="s">
        <v>351</v>
      </c>
      <c r="N188" s="1" t="s">
        <v>264</v>
      </c>
      <c r="O188" s="27" t="s">
        <v>3792</v>
      </c>
      <c r="P188" s="27"/>
    </row>
    <row r="189" spans="1:16" ht="24" customHeight="1">
      <c r="A189" s="30">
        <v>45989</v>
      </c>
      <c r="B189" s="27" t="s">
        <v>220</v>
      </c>
      <c r="C189" s="27" t="s">
        <v>3835</v>
      </c>
      <c r="D189" s="27" t="s">
        <v>3878</v>
      </c>
      <c r="E189" s="10" t="s">
        <v>3879</v>
      </c>
      <c r="F189" s="36" t="s">
        <v>263</v>
      </c>
      <c r="G189" s="27" t="s">
        <v>3498</v>
      </c>
      <c r="H189" s="27" t="s">
        <v>289</v>
      </c>
      <c r="I189" s="27" t="s">
        <v>2405</v>
      </c>
      <c r="J189" s="27"/>
      <c r="K189" s="27"/>
      <c r="L189" s="27"/>
      <c r="M189" s="27" t="s">
        <v>3880</v>
      </c>
      <c r="N189" s="1" t="s">
        <v>264</v>
      </c>
      <c r="O189" s="27" t="s">
        <v>3881</v>
      </c>
      <c r="P189" s="27" t="s">
        <v>298</v>
      </c>
    </row>
    <row r="190" spans="1:16" ht="24" customHeight="1">
      <c r="A190" s="30">
        <v>45989</v>
      </c>
      <c r="B190" s="27" t="s">
        <v>220</v>
      </c>
      <c r="C190" s="27" t="s">
        <v>3835</v>
      </c>
      <c r="D190" s="27" t="s">
        <v>3838</v>
      </c>
      <c r="E190" s="10" t="s">
        <v>3668</v>
      </c>
      <c r="F190" s="36" t="s">
        <v>263</v>
      </c>
      <c r="G190" s="27" t="s">
        <v>3510</v>
      </c>
      <c r="H190" s="27" t="s">
        <v>269</v>
      </c>
      <c r="I190" s="27" t="s">
        <v>3503</v>
      </c>
      <c r="J190" s="27"/>
      <c r="K190" s="27"/>
      <c r="L190" s="27"/>
      <c r="M190" s="27" t="s">
        <v>367</v>
      </c>
      <c r="N190" s="1" t="s">
        <v>264</v>
      </c>
      <c r="O190" s="27" t="s">
        <v>3837</v>
      </c>
      <c r="P190" s="27" t="s">
        <v>3817</v>
      </c>
    </row>
    <row r="191" spans="1:16" ht="24" customHeight="1">
      <c r="A191" s="30">
        <v>45989</v>
      </c>
      <c r="B191" s="27" t="s">
        <v>220</v>
      </c>
      <c r="C191" s="27" t="s">
        <v>3501</v>
      </c>
      <c r="D191" s="27" t="s">
        <v>138</v>
      </c>
      <c r="E191" s="10" t="s">
        <v>3695</v>
      </c>
      <c r="F191" s="36" t="s">
        <v>263</v>
      </c>
      <c r="G191" s="27" t="s">
        <v>3696</v>
      </c>
      <c r="H191" s="27" t="s">
        <v>269</v>
      </c>
      <c r="I191" s="27" t="s">
        <v>3503</v>
      </c>
      <c r="J191" s="27"/>
      <c r="K191" s="27"/>
      <c r="L191" s="27"/>
      <c r="M191" s="27" t="s">
        <v>3697</v>
      </c>
      <c r="N191" s="1" t="s">
        <v>264</v>
      </c>
      <c r="O191" s="27" t="s">
        <v>3519</v>
      </c>
      <c r="P191" s="27" t="s">
        <v>3830</v>
      </c>
    </row>
    <row r="192" spans="1:16" ht="24" customHeight="1">
      <c r="A192" s="30">
        <v>45989</v>
      </c>
      <c r="B192" s="27" t="s">
        <v>220</v>
      </c>
      <c r="C192" s="27" t="s">
        <v>2608</v>
      </c>
      <c r="D192" s="27" t="s">
        <v>171</v>
      </c>
      <c r="E192" s="10" t="s">
        <v>3882</v>
      </c>
      <c r="F192" s="36" t="s">
        <v>263</v>
      </c>
      <c r="G192" s="27" t="s">
        <v>3541</v>
      </c>
      <c r="H192" s="27" t="s">
        <v>295</v>
      </c>
      <c r="I192" s="27" t="s">
        <v>3505</v>
      </c>
      <c r="J192" s="27"/>
      <c r="K192" s="27"/>
      <c r="L192" s="27"/>
      <c r="M192" s="27" t="s">
        <v>688</v>
      </c>
      <c r="N192" s="1" t="s">
        <v>264</v>
      </c>
      <c r="O192" s="27" t="s">
        <v>3852</v>
      </c>
      <c r="P192" s="27" t="s">
        <v>298</v>
      </c>
    </row>
    <row r="193" spans="1:16" ht="24" customHeight="1">
      <c r="A193" s="30">
        <v>45990</v>
      </c>
      <c r="B193" s="27" t="s">
        <v>266</v>
      </c>
      <c r="C193" s="27"/>
      <c r="D193" s="27"/>
      <c r="E193" s="10"/>
      <c r="F193" s="36" t="s">
        <v>263</v>
      </c>
      <c r="G193" s="27"/>
      <c r="H193" s="27"/>
      <c r="I193" s="27"/>
      <c r="J193" s="27"/>
      <c r="K193" s="27"/>
      <c r="L193" s="27"/>
      <c r="M193" s="27"/>
      <c r="N193" s="1" t="s">
        <v>264</v>
      </c>
      <c r="O193" s="27"/>
      <c r="P193" s="27"/>
    </row>
    <row r="194" spans="1:16" ht="24" customHeight="1">
      <c r="A194" s="30">
        <v>45991</v>
      </c>
      <c r="B194" s="27" t="s">
        <v>267</v>
      </c>
      <c r="C194" s="27"/>
      <c r="D194" s="27"/>
      <c r="E194" s="10"/>
      <c r="F194" s="36" t="s">
        <v>263</v>
      </c>
      <c r="G194" s="27"/>
      <c r="H194" s="27"/>
      <c r="I194" s="27"/>
      <c r="J194" s="27"/>
      <c r="K194" s="27"/>
      <c r="L194" s="27"/>
      <c r="M194" s="27"/>
      <c r="N194" s="1" t="s">
        <v>264</v>
      </c>
      <c r="O194" s="27"/>
      <c r="P194" s="27"/>
    </row>
  </sheetData>
  <mergeCells count="3">
    <mergeCell ref="A1:C1"/>
    <mergeCell ref="D1:K1"/>
    <mergeCell ref="L1:P1"/>
  </mergeCells>
  <dataValidations count="2">
    <dataValidation type="list" allowBlank="1" sqref="M3:M244 N3:N194" xr:uid="{00000000-0002-0000-2800-000000000000}">
      <formula1>"Confirmed (Done),Pending Calendar Booking,Canceled"</formula1>
    </dataValidation>
    <dataValidation type="list" allowBlank="1" sqref="F3:F194" xr:uid="{00000000-0002-0000-2800-000001000000}">
      <formula1>"Big Event,Small Event"</formula1>
    </dataValidation>
  </dataValidations>
  <hyperlinks>
    <hyperlink ref="A1" location="'Dashboard'!A1" display="🏠 ⮌ RETURN TO DASHBOARD" xr:uid="{00000000-0004-0000-2800-000000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86"/>
  <sheetViews>
    <sheetView workbookViewId="0">
      <pane ySplit="2" topLeftCell="A3" activePane="bottomLeft" state="frozen"/>
      <selection pane="bottomLeft"/>
    </sheetView>
  </sheetViews>
  <sheetFormatPr defaultRowHeight="14.45"/>
  <cols>
    <col min="1" max="1" width="15" customWidth="1"/>
    <col min="2" max="2" width="12" customWidth="1"/>
    <col min="3" max="3" width="22" customWidth="1"/>
    <col min="4" max="4" width="28" customWidth="1"/>
    <col min="5" max="5" width="12" customWidth="1"/>
    <col min="6" max="6" width="15" customWidth="1"/>
    <col min="7" max="7" width="36" customWidth="1"/>
    <col min="8" max="8" width="17" customWidth="1"/>
    <col min="9" max="9" width="18" customWidth="1"/>
    <col min="10" max="10" width="22" customWidth="1"/>
    <col min="11" max="11" width="20" customWidth="1"/>
    <col min="12" max="12" width="25" customWidth="1"/>
    <col min="13" max="13" width="15" customWidth="1"/>
    <col min="14" max="14" width="25" customWidth="1"/>
    <col min="15" max="15" width="32" customWidth="1"/>
    <col min="16" max="16" width="22" customWidth="1"/>
  </cols>
  <sheetData>
    <row r="1" spans="1:16" ht="27.95" customHeight="1">
      <c r="A1" s="62" t="s">
        <v>2138</v>
      </c>
      <c r="B1" s="134"/>
      <c r="C1" s="135"/>
      <c r="D1" s="63" t="s">
        <v>3883</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45992</v>
      </c>
      <c r="B3" s="27" t="s">
        <v>224</v>
      </c>
      <c r="C3" s="27" t="s">
        <v>2608</v>
      </c>
      <c r="D3" s="27" t="s">
        <v>171</v>
      </c>
      <c r="E3" s="10"/>
      <c r="F3" s="36" t="s">
        <v>263</v>
      </c>
      <c r="G3" s="27" t="s">
        <v>236</v>
      </c>
      <c r="H3" s="27" t="s">
        <v>3884</v>
      </c>
      <c r="I3" s="27" t="s">
        <v>3885</v>
      </c>
      <c r="J3" s="27" t="s">
        <v>3886</v>
      </c>
      <c r="K3" s="27"/>
      <c r="L3" s="27"/>
      <c r="M3" s="27"/>
      <c r="N3" s="1" t="s">
        <v>264</v>
      </c>
      <c r="O3" s="27" t="s">
        <v>237</v>
      </c>
      <c r="P3" s="27"/>
    </row>
    <row r="4" spans="1:16" ht="24" customHeight="1">
      <c r="A4" s="30">
        <v>45992</v>
      </c>
      <c r="B4" s="27" t="s">
        <v>224</v>
      </c>
      <c r="C4" s="27" t="s">
        <v>2608</v>
      </c>
      <c r="D4" s="27" t="s">
        <v>3887</v>
      </c>
      <c r="E4" s="10"/>
      <c r="F4" s="36" t="s">
        <v>263</v>
      </c>
      <c r="G4" s="27" t="s">
        <v>236</v>
      </c>
      <c r="H4" s="27" t="s">
        <v>3888</v>
      </c>
      <c r="I4" s="27" t="s">
        <v>3885</v>
      </c>
      <c r="J4" s="27" t="s">
        <v>3886</v>
      </c>
      <c r="K4" s="27"/>
      <c r="L4" s="27"/>
      <c r="M4" s="27"/>
      <c r="N4" s="1" t="s">
        <v>264</v>
      </c>
      <c r="O4" s="27" t="s">
        <v>237</v>
      </c>
      <c r="P4" s="27"/>
    </row>
    <row r="5" spans="1:16" ht="24" customHeight="1">
      <c r="A5" s="30">
        <v>45993</v>
      </c>
      <c r="B5" s="27" t="s">
        <v>227</v>
      </c>
      <c r="C5" s="27" t="s">
        <v>3501</v>
      </c>
      <c r="D5" s="27" t="s">
        <v>3672</v>
      </c>
      <c r="E5" s="10" t="s">
        <v>202</v>
      </c>
      <c r="F5" s="36" t="s">
        <v>263</v>
      </c>
      <c r="G5" s="27" t="s">
        <v>3889</v>
      </c>
      <c r="H5" s="27"/>
      <c r="I5" s="27"/>
      <c r="J5" s="27"/>
      <c r="K5" s="27"/>
      <c r="L5" s="27"/>
      <c r="M5" s="27"/>
      <c r="N5" s="1" t="s">
        <v>264</v>
      </c>
      <c r="O5" s="27"/>
      <c r="P5" s="27"/>
    </row>
    <row r="6" spans="1:16" ht="24" customHeight="1">
      <c r="A6" s="30">
        <v>45993</v>
      </c>
      <c r="B6" s="27" t="s">
        <v>227</v>
      </c>
      <c r="C6" s="27" t="s">
        <v>3501</v>
      </c>
      <c r="D6" s="27" t="s">
        <v>389</v>
      </c>
      <c r="E6" s="10" t="s">
        <v>202</v>
      </c>
      <c r="F6" s="36" t="s">
        <v>263</v>
      </c>
      <c r="G6" s="27" t="s">
        <v>3889</v>
      </c>
      <c r="H6" s="27" t="s">
        <v>3605</v>
      </c>
      <c r="I6" s="27" t="s">
        <v>3885</v>
      </c>
      <c r="J6" s="27" t="s">
        <v>3886</v>
      </c>
      <c r="K6" s="27"/>
      <c r="L6" s="27"/>
      <c r="M6" s="27"/>
      <c r="N6" s="1" t="s">
        <v>264</v>
      </c>
      <c r="O6" s="27" t="s">
        <v>346</v>
      </c>
      <c r="P6" s="27"/>
    </row>
    <row r="7" spans="1:16" ht="24" customHeight="1">
      <c r="A7" s="30">
        <v>45993</v>
      </c>
      <c r="B7" s="27" t="s">
        <v>227</v>
      </c>
      <c r="C7" s="27" t="s">
        <v>2608</v>
      </c>
      <c r="D7" s="27" t="s">
        <v>1044</v>
      </c>
      <c r="E7" s="10"/>
      <c r="F7" s="36" t="s">
        <v>263</v>
      </c>
      <c r="G7" s="27" t="s">
        <v>674</v>
      </c>
      <c r="H7" s="27" t="s">
        <v>3479</v>
      </c>
      <c r="I7" s="27" t="s">
        <v>3620</v>
      </c>
      <c r="J7" s="27" t="s">
        <v>3505</v>
      </c>
      <c r="K7" s="27"/>
      <c r="L7" s="27"/>
      <c r="M7" s="27"/>
      <c r="N7" s="3" t="s">
        <v>312</v>
      </c>
      <c r="O7" s="27" t="s">
        <v>774</v>
      </c>
      <c r="P7" s="27" t="s">
        <v>3890</v>
      </c>
    </row>
    <row r="8" spans="1:16" ht="24" customHeight="1">
      <c r="A8" s="30">
        <v>45993</v>
      </c>
      <c r="B8" s="27" t="s">
        <v>227</v>
      </c>
      <c r="C8" s="27"/>
      <c r="D8" s="27"/>
      <c r="E8" s="10"/>
      <c r="F8" s="36" t="s">
        <v>263</v>
      </c>
      <c r="G8" s="27"/>
      <c r="H8" s="27"/>
      <c r="I8" s="27"/>
      <c r="J8" s="27"/>
      <c r="K8" s="27"/>
      <c r="L8" s="27"/>
      <c r="M8" s="27"/>
      <c r="N8" s="1" t="s">
        <v>264</v>
      </c>
      <c r="O8" s="27"/>
      <c r="P8" s="27"/>
    </row>
    <row r="9" spans="1:16" ht="24" customHeight="1">
      <c r="A9" s="30">
        <v>45994</v>
      </c>
      <c r="B9" s="27" t="s">
        <v>201</v>
      </c>
      <c r="C9" s="27" t="s">
        <v>3501</v>
      </c>
      <c r="D9" s="27" t="s">
        <v>239</v>
      </c>
      <c r="E9" s="10"/>
      <c r="F9" s="36" t="s">
        <v>263</v>
      </c>
      <c r="G9" s="27" t="s">
        <v>3891</v>
      </c>
      <c r="H9" s="27" t="s">
        <v>3498</v>
      </c>
      <c r="I9" s="27" t="s">
        <v>3546</v>
      </c>
      <c r="J9" s="27" t="s">
        <v>3620</v>
      </c>
      <c r="K9" s="27" t="s">
        <v>369</v>
      </c>
      <c r="L9" s="27"/>
      <c r="M9" s="27" t="s">
        <v>369</v>
      </c>
      <c r="N9" s="3" t="s">
        <v>312</v>
      </c>
      <c r="O9" s="27" t="s">
        <v>3892</v>
      </c>
      <c r="P9" s="27" t="s">
        <v>3803</v>
      </c>
    </row>
    <row r="10" spans="1:16" ht="24" customHeight="1">
      <c r="A10" s="30">
        <v>45994</v>
      </c>
      <c r="B10" s="27" t="s">
        <v>201</v>
      </c>
      <c r="C10" s="27" t="s">
        <v>3501</v>
      </c>
      <c r="D10" s="27" t="s">
        <v>3672</v>
      </c>
      <c r="E10" s="10" t="s">
        <v>3893</v>
      </c>
      <c r="F10" s="36" t="s">
        <v>263</v>
      </c>
      <c r="G10" s="27" t="s">
        <v>3894</v>
      </c>
      <c r="H10" s="27" t="s">
        <v>3579</v>
      </c>
      <c r="I10" s="27" t="s">
        <v>3895</v>
      </c>
      <c r="J10" s="27" t="s">
        <v>3550</v>
      </c>
      <c r="K10" s="27" t="s">
        <v>369</v>
      </c>
      <c r="L10" s="27"/>
      <c r="M10" s="27"/>
      <c r="N10" s="1" t="s">
        <v>264</v>
      </c>
      <c r="O10" s="27" t="s">
        <v>587</v>
      </c>
      <c r="P10" s="27" t="s">
        <v>3871</v>
      </c>
    </row>
    <row r="11" spans="1:16" ht="24" customHeight="1">
      <c r="A11" s="30">
        <v>45994</v>
      </c>
      <c r="B11" s="27" t="s">
        <v>201</v>
      </c>
      <c r="C11" s="27" t="s">
        <v>3501</v>
      </c>
      <c r="D11" s="27" t="s">
        <v>3672</v>
      </c>
      <c r="E11" s="10" t="s">
        <v>3893</v>
      </c>
      <c r="F11" s="36" t="s">
        <v>263</v>
      </c>
      <c r="G11" s="27" t="s">
        <v>3896</v>
      </c>
      <c r="H11" s="27" t="s">
        <v>3498</v>
      </c>
      <c r="I11" s="27" t="s">
        <v>3570</v>
      </c>
      <c r="J11" s="27" t="s">
        <v>3528</v>
      </c>
      <c r="K11" s="27" t="s">
        <v>369</v>
      </c>
      <c r="L11" s="27"/>
      <c r="M11" s="27" t="s">
        <v>369</v>
      </c>
      <c r="N11" s="1" t="s">
        <v>264</v>
      </c>
      <c r="O11" s="27" t="s">
        <v>830</v>
      </c>
      <c r="P11" s="27" t="s">
        <v>3897</v>
      </c>
    </row>
    <row r="12" spans="1:16" ht="24" customHeight="1">
      <c r="A12" s="30">
        <v>45994</v>
      </c>
      <c r="B12" s="27" t="s">
        <v>201</v>
      </c>
      <c r="C12" s="27" t="s">
        <v>2608</v>
      </c>
      <c r="D12" s="27" t="s">
        <v>3898</v>
      </c>
      <c r="E12" s="10"/>
      <c r="F12" s="36" t="s">
        <v>263</v>
      </c>
      <c r="G12" s="27" t="s">
        <v>3735</v>
      </c>
      <c r="H12" s="27" t="s">
        <v>3494</v>
      </c>
      <c r="I12" s="27" t="s">
        <v>3546</v>
      </c>
      <c r="J12" s="27" t="s">
        <v>3505</v>
      </c>
      <c r="K12" s="27"/>
      <c r="L12" s="27"/>
      <c r="M12" s="27"/>
      <c r="N12" s="1" t="s">
        <v>264</v>
      </c>
      <c r="O12" s="27" t="s">
        <v>237</v>
      </c>
      <c r="P12" s="27" t="s">
        <v>3890</v>
      </c>
    </row>
    <row r="13" spans="1:16" ht="24" customHeight="1">
      <c r="A13" s="30">
        <v>45994</v>
      </c>
      <c r="B13" s="27" t="s">
        <v>201</v>
      </c>
      <c r="C13" s="27" t="s">
        <v>2608</v>
      </c>
      <c r="D13" s="27" t="s">
        <v>171</v>
      </c>
      <c r="E13" s="10"/>
      <c r="F13" s="36" t="s">
        <v>263</v>
      </c>
      <c r="G13" s="27" t="s">
        <v>3899</v>
      </c>
      <c r="H13" s="27" t="s">
        <v>3498</v>
      </c>
      <c r="I13" s="27" t="s">
        <v>3637</v>
      </c>
      <c r="J13" s="27" t="s">
        <v>3524</v>
      </c>
      <c r="K13" s="27" t="s">
        <v>369</v>
      </c>
      <c r="L13" s="27"/>
      <c r="M13" s="27" t="s">
        <v>369</v>
      </c>
      <c r="N13" s="1" t="s">
        <v>264</v>
      </c>
      <c r="O13" s="27" t="s">
        <v>367</v>
      </c>
      <c r="P13" s="27" t="s">
        <v>3837</v>
      </c>
    </row>
    <row r="14" spans="1:16" ht="24" customHeight="1">
      <c r="A14" s="30">
        <v>45994</v>
      </c>
      <c r="B14" s="27" t="s">
        <v>201</v>
      </c>
      <c r="C14" s="27" t="s">
        <v>2608</v>
      </c>
      <c r="D14" s="27" t="s">
        <v>171</v>
      </c>
      <c r="E14" s="10"/>
      <c r="F14" s="36" t="s">
        <v>263</v>
      </c>
      <c r="G14" s="27" t="s">
        <v>946</v>
      </c>
      <c r="H14" s="27" t="s">
        <v>3498</v>
      </c>
      <c r="I14" s="27" t="s">
        <v>3546</v>
      </c>
      <c r="J14" s="27" t="s">
        <v>3528</v>
      </c>
      <c r="K14" s="27"/>
      <c r="L14" s="27"/>
      <c r="M14" s="27"/>
      <c r="N14" s="1" t="s">
        <v>264</v>
      </c>
      <c r="O14" s="27" t="s">
        <v>763</v>
      </c>
      <c r="P14" s="27"/>
    </row>
    <row r="15" spans="1:16" ht="24" customHeight="1">
      <c r="A15" s="30">
        <v>45995</v>
      </c>
      <c r="B15" s="27" t="s">
        <v>216</v>
      </c>
      <c r="C15" s="27" t="s">
        <v>2608</v>
      </c>
      <c r="D15" s="27" t="s">
        <v>171</v>
      </c>
      <c r="E15" s="10"/>
      <c r="F15" s="36" t="s">
        <v>263</v>
      </c>
      <c r="G15" s="27" t="s">
        <v>3900</v>
      </c>
      <c r="H15" s="27" t="s">
        <v>3498</v>
      </c>
      <c r="I15" s="27" t="s">
        <v>3637</v>
      </c>
      <c r="J15" s="27" t="s">
        <v>3646</v>
      </c>
      <c r="K15" s="27" t="s">
        <v>369</v>
      </c>
      <c r="L15" s="27"/>
      <c r="M15" s="27" t="s">
        <v>369</v>
      </c>
      <c r="N15" s="1" t="s">
        <v>264</v>
      </c>
      <c r="O15" s="27" t="s">
        <v>335</v>
      </c>
      <c r="P15" s="27" t="s">
        <v>3881</v>
      </c>
    </row>
    <row r="16" spans="1:16" ht="24" customHeight="1">
      <c r="A16" s="30">
        <v>45995</v>
      </c>
      <c r="B16" s="27" t="s">
        <v>216</v>
      </c>
      <c r="C16" s="27" t="s">
        <v>3501</v>
      </c>
      <c r="D16" s="27" t="s">
        <v>3672</v>
      </c>
      <c r="E16" s="10" t="s">
        <v>3893</v>
      </c>
      <c r="F16" s="36" t="s">
        <v>263</v>
      </c>
      <c r="G16" s="27" t="s">
        <v>3901</v>
      </c>
      <c r="H16" s="27" t="s">
        <v>3605</v>
      </c>
      <c r="I16" s="27" t="s">
        <v>3499</v>
      </c>
      <c r="J16" s="27" t="s">
        <v>3532</v>
      </c>
      <c r="K16" s="27"/>
      <c r="L16" s="27"/>
      <c r="M16" s="27"/>
      <c r="N16" s="1" t="s">
        <v>264</v>
      </c>
      <c r="O16" s="27" t="s">
        <v>3902</v>
      </c>
      <c r="P16" s="27" t="s">
        <v>3903</v>
      </c>
    </row>
    <row r="17" spans="1:16" ht="24" customHeight="1">
      <c r="A17" s="30">
        <v>45995</v>
      </c>
      <c r="B17" s="27" t="s">
        <v>216</v>
      </c>
      <c r="C17" s="27" t="s">
        <v>2608</v>
      </c>
      <c r="D17" s="27" t="s">
        <v>171</v>
      </c>
      <c r="E17" s="10"/>
      <c r="F17" s="36" t="s">
        <v>263</v>
      </c>
      <c r="G17" s="27" t="s">
        <v>3904</v>
      </c>
      <c r="H17" s="27" t="s">
        <v>3475</v>
      </c>
      <c r="I17" s="27" t="s">
        <v>3546</v>
      </c>
      <c r="J17" s="27" t="s">
        <v>3620</v>
      </c>
      <c r="K17" s="27"/>
      <c r="L17" s="27"/>
      <c r="M17" s="27"/>
      <c r="N17" s="1" t="s">
        <v>264</v>
      </c>
      <c r="O17" s="27" t="s">
        <v>3905</v>
      </c>
      <c r="P17" s="27" t="s">
        <v>3906</v>
      </c>
    </row>
    <row r="18" spans="1:16" ht="24" customHeight="1">
      <c r="A18" s="30">
        <v>45995</v>
      </c>
      <c r="B18" s="27" t="s">
        <v>216</v>
      </c>
      <c r="C18" s="27" t="s">
        <v>3501</v>
      </c>
      <c r="D18" s="27" t="s">
        <v>3672</v>
      </c>
      <c r="E18" s="10" t="s">
        <v>3893</v>
      </c>
      <c r="F18" s="36" t="s">
        <v>263</v>
      </c>
      <c r="G18" s="27" t="s">
        <v>1140</v>
      </c>
      <c r="H18" s="27" t="s">
        <v>3527</v>
      </c>
      <c r="I18" s="27" t="s">
        <v>3646</v>
      </c>
      <c r="J18" s="27" t="s">
        <v>3499</v>
      </c>
      <c r="K18" s="27"/>
      <c r="L18" s="27"/>
      <c r="M18" s="27"/>
      <c r="N18" s="1" t="s">
        <v>264</v>
      </c>
      <c r="O18" s="27" t="s">
        <v>3907</v>
      </c>
      <c r="P18" s="27" t="s">
        <v>3903</v>
      </c>
    </row>
    <row r="19" spans="1:16" ht="24" customHeight="1">
      <c r="A19" s="30">
        <v>45995</v>
      </c>
      <c r="B19" s="27" t="s">
        <v>216</v>
      </c>
      <c r="C19" s="27" t="s">
        <v>3501</v>
      </c>
      <c r="D19" s="27" t="s">
        <v>3672</v>
      </c>
      <c r="E19" s="10"/>
      <c r="F19" s="36" t="s">
        <v>263</v>
      </c>
      <c r="G19" s="27" t="s">
        <v>2666</v>
      </c>
      <c r="H19" s="27" t="s">
        <v>1161</v>
      </c>
      <c r="I19" s="27" t="s">
        <v>3715</v>
      </c>
      <c r="J19" s="27" t="s">
        <v>3528</v>
      </c>
      <c r="K19" s="27"/>
      <c r="L19" s="27"/>
      <c r="M19" s="27"/>
      <c r="N19" s="1" t="s">
        <v>264</v>
      </c>
      <c r="O19" s="27" t="s">
        <v>2835</v>
      </c>
      <c r="P19" s="27" t="s">
        <v>3906</v>
      </c>
    </row>
    <row r="20" spans="1:16" ht="24" customHeight="1">
      <c r="A20" s="30">
        <v>45996</v>
      </c>
      <c r="B20" s="27" t="s">
        <v>220</v>
      </c>
      <c r="C20" s="27" t="s">
        <v>2608</v>
      </c>
      <c r="D20" s="27" t="s">
        <v>954</v>
      </c>
      <c r="E20" s="10"/>
      <c r="F20" s="36" t="s">
        <v>263</v>
      </c>
      <c r="G20" s="27" t="s">
        <v>331</v>
      </c>
      <c r="H20" s="27" t="s">
        <v>3541</v>
      </c>
      <c r="I20" s="27" t="s">
        <v>3895</v>
      </c>
      <c r="J20" s="27" t="s">
        <v>3505</v>
      </c>
      <c r="K20" s="27"/>
      <c r="L20" s="27"/>
      <c r="M20" s="27"/>
      <c r="N20" s="1" t="s">
        <v>264</v>
      </c>
      <c r="O20" s="27" t="s">
        <v>237</v>
      </c>
      <c r="P20" s="27" t="s">
        <v>3908</v>
      </c>
    </row>
    <row r="21" spans="1:16" ht="24" customHeight="1">
      <c r="A21" s="30">
        <v>45996</v>
      </c>
      <c r="B21" s="27" t="s">
        <v>220</v>
      </c>
      <c r="C21" s="27" t="s">
        <v>2608</v>
      </c>
      <c r="D21" s="27" t="s">
        <v>171</v>
      </c>
      <c r="E21" s="10"/>
      <c r="F21" s="36" t="s">
        <v>263</v>
      </c>
      <c r="G21" s="27" t="s">
        <v>3909</v>
      </c>
      <c r="H21" s="27" t="s">
        <v>3498</v>
      </c>
      <c r="I21" s="27" t="s">
        <v>3570</v>
      </c>
      <c r="J21" s="27" t="s">
        <v>3528</v>
      </c>
      <c r="K21" s="27" t="s">
        <v>369</v>
      </c>
      <c r="L21" s="27"/>
      <c r="M21" s="27" t="s">
        <v>369</v>
      </c>
      <c r="N21" s="3" t="s">
        <v>312</v>
      </c>
      <c r="O21" s="27" t="s">
        <v>3910</v>
      </c>
      <c r="P21" s="27" t="s">
        <v>3868</v>
      </c>
    </row>
    <row r="22" spans="1:16" ht="24" customHeight="1">
      <c r="A22" s="30">
        <v>45997</v>
      </c>
      <c r="B22" s="27" t="s">
        <v>266</v>
      </c>
      <c r="C22" s="27" t="s">
        <v>2608</v>
      </c>
      <c r="D22" s="27" t="s">
        <v>3911</v>
      </c>
      <c r="E22" s="10"/>
      <c r="F22" s="36" t="s">
        <v>263</v>
      </c>
      <c r="G22" s="27"/>
      <c r="H22" s="27"/>
      <c r="I22" s="27"/>
      <c r="J22" s="27"/>
      <c r="K22" s="27"/>
      <c r="L22" s="27"/>
      <c r="M22" s="27"/>
      <c r="N22" s="1" t="s">
        <v>264</v>
      </c>
      <c r="O22" s="27" t="s">
        <v>3912</v>
      </c>
      <c r="P22" s="27"/>
    </row>
    <row r="23" spans="1:16" ht="24" customHeight="1">
      <c r="A23" s="30">
        <v>45998</v>
      </c>
      <c r="B23" s="27" t="s">
        <v>267</v>
      </c>
      <c r="C23" s="27"/>
      <c r="D23" s="27"/>
      <c r="E23" s="10"/>
      <c r="F23" s="36" t="s">
        <v>263</v>
      </c>
      <c r="G23" s="27"/>
      <c r="H23" s="27"/>
      <c r="I23" s="27"/>
      <c r="J23" s="27"/>
      <c r="K23" s="27"/>
      <c r="L23" s="27"/>
      <c r="M23" s="27"/>
      <c r="N23" s="1" t="s">
        <v>264</v>
      </c>
      <c r="O23" s="27"/>
      <c r="P23" s="27"/>
    </row>
    <row r="24" spans="1:16" ht="24" customHeight="1">
      <c r="A24" s="30">
        <v>45999</v>
      </c>
      <c r="B24" s="27" t="s">
        <v>224</v>
      </c>
      <c r="C24" s="27" t="s">
        <v>3501</v>
      </c>
      <c r="D24" s="27" t="s">
        <v>3913</v>
      </c>
      <c r="E24" s="10" t="s">
        <v>3893</v>
      </c>
      <c r="F24" s="36" t="s">
        <v>263</v>
      </c>
      <c r="G24" s="27" t="s">
        <v>3914</v>
      </c>
      <c r="H24" s="27" t="s">
        <v>3915</v>
      </c>
      <c r="I24" s="27" t="s">
        <v>3895</v>
      </c>
      <c r="J24" s="27" t="s">
        <v>3820</v>
      </c>
      <c r="K24" s="27" t="s">
        <v>1445</v>
      </c>
      <c r="L24" s="27"/>
      <c r="M24" s="27" t="s">
        <v>610</v>
      </c>
      <c r="N24" s="1" t="s">
        <v>264</v>
      </c>
      <c r="O24" s="27" t="s">
        <v>719</v>
      </c>
      <c r="P24" s="27" t="s">
        <v>3916</v>
      </c>
    </row>
    <row r="25" spans="1:16" ht="24" customHeight="1">
      <c r="A25" s="30">
        <v>45999</v>
      </c>
      <c r="B25" s="27" t="s">
        <v>224</v>
      </c>
      <c r="C25" s="27" t="s">
        <v>2608</v>
      </c>
      <c r="D25" s="27" t="s">
        <v>1050</v>
      </c>
      <c r="E25" s="10"/>
      <c r="F25" s="36" t="s">
        <v>263</v>
      </c>
      <c r="G25" s="27" t="s">
        <v>3917</v>
      </c>
      <c r="H25" s="27" t="s">
        <v>3918</v>
      </c>
      <c r="I25" s="27" t="s">
        <v>3885</v>
      </c>
      <c r="J25" s="27" t="s">
        <v>3503</v>
      </c>
      <c r="K25" s="27"/>
      <c r="L25" s="27"/>
      <c r="M25" s="27"/>
      <c r="N25" s="1" t="s">
        <v>264</v>
      </c>
      <c r="O25" s="27" t="s">
        <v>237</v>
      </c>
      <c r="P25" s="27"/>
    </row>
    <row r="26" spans="1:16" ht="24" customHeight="1">
      <c r="A26" s="30">
        <v>45999</v>
      </c>
      <c r="B26" s="27" t="s">
        <v>224</v>
      </c>
      <c r="C26" s="27" t="s">
        <v>2608</v>
      </c>
      <c r="D26" s="27" t="s">
        <v>326</v>
      </c>
      <c r="E26" s="10"/>
      <c r="F26" s="36" t="s">
        <v>263</v>
      </c>
      <c r="G26" s="27" t="s">
        <v>3917</v>
      </c>
      <c r="H26" s="27" t="s">
        <v>3531</v>
      </c>
      <c r="I26" s="27" t="s">
        <v>3885</v>
      </c>
      <c r="J26" s="27" t="s">
        <v>3503</v>
      </c>
      <c r="K26" s="27"/>
      <c r="L26" s="27"/>
      <c r="M26" s="27"/>
      <c r="N26" s="1" t="s">
        <v>264</v>
      </c>
      <c r="O26" s="27" t="s">
        <v>237</v>
      </c>
      <c r="P26" s="27"/>
    </row>
    <row r="27" spans="1:16" ht="24" customHeight="1">
      <c r="A27" s="30">
        <v>45999</v>
      </c>
      <c r="B27" s="27" t="s">
        <v>224</v>
      </c>
      <c r="C27" s="27" t="s">
        <v>2608</v>
      </c>
      <c r="D27" s="27" t="s">
        <v>239</v>
      </c>
      <c r="E27" s="10"/>
      <c r="F27" s="36" t="s">
        <v>263</v>
      </c>
      <c r="G27" s="27" t="s">
        <v>674</v>
      </c>
      <c r="H27" s="27" t="s">
        <v>3479</v>
      </c>
      <c r="I27" s="27" t="s">
        <v>3620</v>
      </c>
      <c r="J27" s="27" t="s">
        <v>3919</v>
      </c>
      <c r="K27" s="27"/>
      <c r="L27" s="27"/>
      <c r="M27" s="27"/>
      <c r="N27" s="1" t="s">
        <v>264</v>
      </c>
      <c r="O27" s="27" t="s">
        <v>3027</v>
      </c>
      <c r="P27" s="27" t="s">
        <v>3903</v>
      </c>
    </row>
    <row r="28" spans="1:16" ht="24" customHeight="1">
      <c r="A28" s="30">
        <v>46000</v>
      </c>
      <c r="B28" s="27" t="s">
        <v>227</v>
      </c>
      <c r="C28" s="27" t="s">
        <v>3501</v>
      </c>
      <c r="D28" s="27" t="s">
        <v>239</v>
      </c>
      <c r="E28" s="10"/>
      <c r="F28" s="36" t="s">
        <v>263</v>
      </c>
      <c r="G28" s="27" t="s">
        <v>3920</v>
      </c>
      <c r="H28" s="27" t="s">
        <v>3553</v>
      </c>
      <c r="I28" s="27" t="s">
        <v>3570</v>
      </c>
      <c r="J28" s="27" t="s">
        <v>3921</v>
      </c>
      <c r="K28" s="27"/>
      <c r="L28" s="27"/>
      <c r="M28" s="27"/>
      <c r="N28" s="1" t="s">
        <v>264</v>
      </c>
      <c r="O28" s="27" t="s">
        <v>3922</v>
      </c>
      <c r="P28" s="27" t="s">
        <v>3868</v>
      </c>
    </row>
    <row r="29" spans="1:16" ht="24" customHeight="1">
      <c r="A29" s="30">
        <v>46000</v>
      </c>
      <c r="B29" s="27" t="s">
        <v>227</v>
      </c>
      <c r="C29" s="27" t="s">
        <v>3501</v>
      </c>
      <c r="D29" s="27" t="s">
        <v>239</v>
      </c>
      <c r="E29" s="10"/>
      <c r="F29" s="36" t="s">
        <v>263</v>
      </c>
      <c r="G29" s="27" t="s">
        <v>1589</v>
      </c>
      <c r="H29" s="27" t="s">
        <v>3490</v>
      </c>
      <c r="I29" s="27" t="s">
        <v>3570</v>
      </c>
      <c r="J29" s="27" t="s">
        <v>3528</v>
      </c>
      <c r="K29" s="27" t="s">
        <v>369</v>
      </c>
      <c r="L29" s="27"/>
      <c r="M29" s="27" t="s">
        <v>369</v>
      </c>
      <c r="N29" s="3" t="s">
        <v>312</v>
      </c>
      <c r="O29" s="27" t="s">
        <v>367</v>
      </c>
      <c r="P29" s="27" t="s">
        <v>3923</v>
      </c>
    </row>
    <row r="30" spans="1:16" ht="24" customHeight="1">
      <c r="A30" s="30">
        <v>46000</v>
      </c>
      <c r="B30" s="27" t="s">
        <v>227</v>
      </c>
      <c r="C30" s="27" t="s">
        <v>2608</v>
      </c>
      <c r="D30" s="27" t="s">
        <v>3887</v>
      </c>
      <c r="E30" s="10"/>
      <c r="F30" s="36" t="s">
        <v>263</v>
      </c>
      <c r="G30" s="27" t="s">
        <v>3924</v>
      </c>
      <c r="H30" s="27" t="s">
        <v>3494</v>
      </c>
      <c r="I30" s="27" t="s">
        <v>3895</v>
      </c>
      <c r="J30" s="27" t="s">
        <v>3606</v>
      </c>
      <c r="K30" s="27"/>
      <c r="L30" s="27"/>
      <c r="M30" s="27"/>
      <c r="N30" s="1" t="s">
        <v>264</v>
      </c>
      <c r="O30" s="27" t="s">
        <v>1435</v>
      </c>
      <c r="P30" s="27" t="s">
        <v>3897</v>
      </c>
    </row>
    <row r="31" spans="1:16" ht="24" customHeight="1">
      <c r="A31" s="30">
        <v>46000</v>
      </c>
      <c r="B31" s="27" t="s">
        <v>227</v>
      </c>
      <c r="C31" s="27" t="s">
        <v>2608</v>
      </c>
      <c r="D31" s="27" t="s">
        <v>3887</v>
      </c>
      <c r="E31" s="10"/>
      <c r="F31" s="36" t="s">
        <v>263</v>
      </c>
      <c r="G31" s="27" t="s">
        <v>1837</v>
      </c>
      <c r="H31" s="27" t="s">
        <v>3541</v>
      </c>
      <c r="I31" s="27" t="s">
        <v>3532</v>
      </c>
      <c r="J31" s="27" t="s">
        <v>3503</v>
      </c>
      <c r="K31" s="27" t="s">
        <v>369</v>
      </c>
      <c r="L31" s="27"/>
      <c r="M31" s="27" t="s">
        <v>369</v>
      </c>
      <c r="N31" s="1" t="s">
        <v>264</v>
      </c>
      <c r="O31" s="27" t="s">
        <v>237</v>
      </c>
      <c r="P31" s="27"/>
    </row>
    <row r="32" spans="1:16" ht="24" customHeight="1">
      <c r="A32" s="30">
        <v>46001</v>
      </c>
      <c r="B32" s="27" t="s">
        <v>201</v>
      </c>
      <c r="C32" s="27" t="s">
        <v>2608</v>
      </c>
      <c r="D32" s="27" t="s">
        <v>954</v>
      </c>
      <c r="E32" s="10"/>
      <c r="F32" s="36" t="s">
        <v>263</v>
      </c>
      <c r="G32" s="27" t="s">
        <v>2927</v>
      </c>
      <c r="H32" s="27"/>
      <c r="I32" s="27" t="s">
        <v>3546</v>
      </c>
      <c r="J32" s="27" t="s">
        <v>3505</v>
      </c>
      <c r="K32" s="27" t="s">
        <v>369</v>
      </c>
      <c r="L32" s="27"/>
      <c r="M32" s="27" t="s">
        <v>369</v>
      </c>
      <c r="N32" s="1" t="s">
        <v>264</v>
      </c>
      <c r="O32" s="27" t="s">
        <v>237</v>
      </c>
      <c r="P32" s="27"/>
    </row>
    <row r="33" spans="1:16" ht="24" customHeight="1">
      <c r="A33" s="30">
        <v>46001</v>
      </c>
      <c r="B33" s="27" t="s">
        <v>201</v>
      </c>
      <c r="C33" s="27" t="s">
        <v>3501</v>
      </c>
      <c r="D33" s="27" t="s">
        <v>3672</v>
      </c>
      <c r="E33" s="10" t="s">
        <v>3893</v>
      </c>
      <c r="F33" s="36" t="s">
        <v>263</v>
      </c>
      <c r="G33" s="27" t="s">
        <v>3925</v>
      </c>
      <c r="H33" s="27" t="s">
        <v>3541</v>
      </c>
      <c r="I33" s="27" t="s">
        <v>3715</v>
      </c>
      <c r="J33" s="27" t="s">
        <v>3620</v>
      </c>
      <c r="K33" s="27"/>
      <c r="L33" s="27"/>
      <c r="M33" s="27"/>
      <c r="N33" s="1" t="s">
        <v>264</v>
      </c>
      <c r="O33" s="27"/>
      <c r="P33" s="27"/>
    </row>
    <row r="34" spans="1:16" ht="24" customHeight="1">
      <c r="A34" s="30">
        <v>46001</v>
      </c>
      <c r="B34" s="27" t="s">
        <v>201</v>
      </c>
      <c r="C34" s="27" t="s">
        <v>2608</v>
      </c>
      <c r="D34" s="27" t="s">
        <v>171</v>
      </c>
      <c r="E34" s="10"/>
      <c r="F34" s="36" t="s">
        <v>263</v>
      </c>
      <c r="G34" s="27" t="s">
        <v>3252</v>
      </c>
      <c r="H34" s="27" t="s">
        <v>3498</v>
      </c>
      <c r="I34" s="27" t="s">
        <v>3715</v>
      </c>
      <c r="J34" s="27" t="s">
        <v>3528</v>
      </c>
      <c r="K34" s="27" t="s">
        <v>382</v>
      </c>
      <c r="L34" s="27"/>
      <c r="M34" s="27" t="s">
        <v>369</v>
      </c>
      <c r="N34" s="1" t="s">
        <v>264</v>
      </c>
      <c r="O34" s="27" t="s">
        <v>3926</v>
      </c>
      <c r="P34" s="27" t="s">
        <v>3927</v>
      </c>
    </row>
    <row r="35" spans="1:16" ht="24" customHeight="1">
      <c r="A35" s="30">
        <v>46001</v>
      </c>
      <c r="B35" s="27" t="s">
        <v>201</v>
      </c>
      <c r="C35" s="27" t="s">
        <v>3501</v>
      </c>
      <c r="D35" s="27" t="s">
        <v>389</v>
      </c>
      <c r="E35" s="10" t="s">
        <v>3928</v>
      </c>
      <c r="F35" s="36" t="s">
        <v>263</v>
      </c>
      <c r="G35" s="27" t="s">
        <v>331</v>
      </c>
      <c r="H35" s="27" t="s">
        <v>3527</v>
      </c>
      <c r="I35" s="27" t="s">
        <v>3550</v>
      </c>
      <c r="J35" s="27" t="s">
        <v>3524</v>
      </c>
      <c r="K35" s="27" t="s">
        <v>1445</v>
      </c>
      <c r="L35" s="27"/>
      <c r="M35" s="27" t="s">
        <v>369</v>
      </c>
      <c r="N35" s="1" t="s">
        <v>264</v>
      </c>
      <c r="O35" s="27" t="s">
        <v>3929</v>
      </c>
      <c r="P35" s="27" t="s">
        <v>3930</v>
      </c>
    </row>
    <row r="36" spans="1:16" ht="24" customHeight="1">
      <c r="A36" s="30">
        <v>46001</v>
      </c>
      <c r="B36" s="27" t="s">
        <v>201</v>
      </c>
      <c r="C36" s="27" t="s">
        <v>2608</v>
      </c>
      <c r="D36" s="27" t="s">
        <v>3887</v>
      </c>
      <c r="E36" s="10"/>
      <c r="F36" s="36" t="s">
        <v>263</v>
      </c>
      <c r="G36" s="27" t="s">
        <v>331</v>
      </c>
      <c r="H36" s="27" t="s">
        <v>3494</v>
      </c>
      <c r="I36" s="27" t="s">
        <v>3895</v>
      </c>
      <c r="J36" s="27" t="s">
        <v>3505</v>
      </c>
      <c r="K36" s="27"/>
      <c r="L36" s="27"/>
      <c r="M36" s="27"/>
      <c r="N36" s="1" t="s">
        <v>264</v>
      </c>
      <c r="O36" s="27" t="s">
        <v>237</v>
      </c>
      <c r="P36" s="27" t="s">
        <v>3890</v>
      </c>
    </row>
    <row r="37" spans="1:16" ht="24" customHeight="1">
      <c r="A37" s="30">
        <v>46002</v>
      </c>
      <c r="B37" s="27" t="s">
        <v>216</v>
      </c>
      <c r="C37" s="27" t="s">
        <v>2608</v>
      </c>
      <c r="D37" s="27" t="s">
        <v>3887</v>
      </c>
      <c r="E37" s="10"/>
      <c r="F37" s="36" t="s">
        <v>263</v>
      </c>
      <c r="G37" s="27" t="s">
        <v>331</v>
      </c>
      <c r="H37" s="27" t="s">
        <v>3494</v>
      </c>
      <c r="I37" s="27" t="s">
        <v>3895</v>
      </c>
      <c r="J37" s="27" t="s">
        <v>3505</v>
      </c>
      <c r="K37" s="27"/>
      <c r="L37" s="27"/>
      <c r="M37" s="27"/>
      <c r="N37" s="1" t="s">
        <v>264</v>
      </c>
      <c r="O37" s="27" t="s">
        <v>237</v>
      </c>
      <c r="P37" s="27" t="s">
        <v>3890</v>
      </c>
    </row>
    <row r="38" spans="1:16" ht="24" customHeight="1">
      <c r="A38" s="30">
        <v>46002</v>
      </c>
      <c r="B38" s="27" t="s">
        <v>216</v>
      </c>
      <c r="C38" s="27" t="s">
        <v>2608</v>
      </c>
      <c r="D38" s="27" t="s">
        <v>954</v>
      </c>
      <c r="E38" s="10"/>
      <c r="F38" s="36" t="s">
        <v>263</v>
      </c>
      <c r="G38" s="27" t="s">
        <v>3925</v>
      </c>
      <c r="H38" s="27" t="s">
        <v>3541</v>
      </c>
      <c r="I38" s="27" t="s">
        <v>3606</v>
      </c>
      <c r="J38" s="27" t="s">
        <v>3505</v>
      </c>
      <c r="K38" s="27"/>
      <c r="L38" s="27"/>
      <c r="M38" s="27"/>
      <c r="N38" s="1" t="s">
        <v>264</v>
      </c>
      <c r="O38" s="27" t="s">
        <v>370</v>
      </c>
      <c r="P38" s="27"/>
    </row>
    <row r="39" spans="1:16" ht="24" customHeight="1">
      <c r="A39" s="30">
        <v>46002</v>
      </c>
      <c r="B39" s="27" t="s">
        <v>216</v>
      </c>
      <c r="C39" s="27" t="s">
        <v>2608</v>
      </c>
      <c r="D39" s="27" t="s">
        <v>171</v>
      </c>
      <c r="E39" s="10"/>
      <c r="F39" s="36" t="s">
        <v>263</v>
      </c>
      <c r="G39" s="27" t="s">
        <v>3931</v>
      </c>
      <c r="H39" s="27" t="s">
        <v>3475</v>
      </c>
      <c r="I39" s="27" t="s">
        <v>3715</v>
      </c>
      <c r="J39" s="27" t="s">
        <v>3503</v>
      </c>
      <c r="K39" s="27"/>
      <c r="L39" s="27"/>
      <c r="M39" s="27"/>
      <c r="N39" s="1" t="s">
        <v>264</v>
      </c>
      <c r="O39" s="27" t="s">
        <v>3932</v>
      </c>
      <c r="P39" s="27" t="s">
        <v>3906</v>
      </c>
    </row>
    <row r="40" spans="1:16" ht="24" customHeight="1">
      <c r="A40" s="30">
        <v>46002</v>
      </c>
      <c r="B40" s="27" t="s">
        <v>216</v>
      </c>
      <c r="C40" s="27" t="s">
        <v>3501</v>
      </c>
      <c r="D40" s="27" t="s">
        <v>3672</v>
      </c>
      <c r="E40" s="10" t="s">
        <v>208</v>
      </c>
      <c r="F40" s="36" t="s">
        <v>263</v>
      </c>
      <c r="G40" s="27" t="s">
        <v>2666</v>
      </c>
      <c r="H40" s="27" t="s">
        <v>1161</v>
      </c>
      <c r="I40" s="27" t="s">
        <v>3715</v>
      </c>
      <c r="J40" s="27" t="s">
        <v>3528</v>
      </c>
      <c r="K40" s="27"/>
      <c r="L40" s="27"/>
      <c r="M40" s="27"/>
      <c r="N40" s="1" t="s">
        <v>264</v>
      </c>
      <c r="O40" s="27" t="s">
        <v>2835</v>
      </c>
      <c r="P40" s="27" t="s">
        <v>3906</v>
      </c>
    </row>
    <row r="41" spans="1:16" ht="24" customHeight="1">
      <c r="A41" s="30">
        <v>46002</v>
      </c>
      <c r="B41" s="27" t="s">
        <v>216</v>
      </c>
      <c r="C41" s="27" t="s">
        <v>3501</v>
      </c>
      <c r="D41" s="27" t="s">
        <v>239</v>
      </c>
      <c r="E41" s="10" t="s">
        <v>208</v>
      </c>
      <c r="F41" s="36" t="s">
        <v>263</v>
      </c>
      <c r="G41" s="27" t="s">
        <v>3933</v>
      </c>
      <c r="H41" s="27" t="s">
        <v>3579</v>
      </c>
      <c r="I41" s="27" t="s">
        <v>3732</v>
      </c>
      <c r="J41" s="27" t="s">
        <v>3934</v>
      </c>
      <c r="K41" s="27"/>
      <c r="L41" s="27"/>
      <c r="M41" s="27"/>
      <c r="N41" s="1" t="s">
        <v>264</v>
      </c>
      <c r="O41" s="27" t="s">
        <v>1102</v>
      </c>
      <c r="P41" s="27" t="s">
        <v>3935</v>
      </c>
    </row>
    <row r="42" spans="1:16" ht="24" customHeight="1">
      <c r="A42" s="30">
        <v>46003</v>
      </c>
      <c r="B42" s="27" t="s">
        <v>220</v>
      </c>
      <c r="C42" s="27" t="s">
        <v>3501</v>
      </c>
      <c r="D42" s="27" t="s">
        <v>3672</v>
      </c>
      <c r="E42" s="10" t="s">
        <v>208</v>
      </c>
      <c r="F42" s="36" t="s">
        <v>263</v>
      </c>
      <c r="G42" s="27" t="s">
        <v>331</v>
      </c>
      <c r="H42" s="27" t="s">
        <v>3527</v>
      </c>
      <c r="I42" s="27" t="s">
        <v>3715</v>
      </c>
      <c r="J42" s="27" t="s">
        <v>3528</v>
      </c>
      <c r="K42" s="27"/>
      <c r="L42" s="27"/>
      <c r="M42" s="27"/>
      <c r="N42" s="1" t="s">
        <v>264</v>
      </c>
      <c r="O42" s="27" t="s">
        <v>370</v>
      </c>
      <c r="P42" s="27" t="s">
        <v>3897</v>
      </c>
    </row>
    <row r="43" spans="1:16" ht="24" customHeight="1">
      <c r="A43" s="30">
        <v>46003</v>
      </c>
      <c r="B43" s="27" t="s">
        <v>220</v>
      </c>
      <c r="C43" s="27" t="s">
        <v>2608</v>
      </c>
      <c r="D43" s="27" t="s">
        <v>171</v>
      </c>
      <c r="E43" s="10"/>
      <c r="F43" s="36" t="s">
        <v>263</v>
      </c>
      <c r="G43" s="27" t="s">
        <v>3936</v>
      </c>
      <c r="H43" s="27" t="s">
        <v>3527</v>
      </c>
      <c r="I43" s="27" t="s">
        <v>3570</v>
      </c>
      <c r="J43" s="27" t="s">
        <v>3503</v>
      </c>
      <c r="K43" s="27"/>
      <c r="L43" s="27"/>
      <c r="M43" s="27"/>
      <c r="N43" s="1" t="s">
        <v>264</v>
      </c>
      <c r="O43" s="27" t="s">
        <v>1369</v>
      </c>
      <c r="P43" s="27"/>
    </row>
    <row r="44" spans="1:16" ht="24" customHeight="1">
      <c r="A44" s="30">
        <v>46004</v>
      </c>
      <c r="B44" s="27" t="s">
        <v>266</v>
      </c>
      <c r="C44" s="27" t="s">
        <v>2608</v>
      </c>
      <c r="D44" s="27" t="s">
        <v>300</v>
      </c>
      <c r="E44" s="10"/>
      <c r="F44" s="36" t="s">
        <v>263</v>
      </c>
      <c r="G44" s="27"/>
      <c r="H44" s="27"/>
      <c r="I44" s="27" t="s">
        <v>3885</v>
      </c>
      <c r="J44" s="27" t="s">
        <v>3503</v>
      </c>
      <c r="K44" s="27"/>
      <c r="L44" s="27"/>
      <c r="M44" s="27"/>
      <c r="N44" s="1" t="s">
        <v>264</v>
      </c>
      <c r="O44" s="27" t="s">
        <v>760</v>
      </c>
      <c r="P44" s="27"/>
    </row>
    <row r="45" spans="1:16" ht="24" customHeight="1">
      <c r="A45" s="30">
        <v>46005</v>
      </c>
      <c r="B45" s="27" t="s">
        <v>267</v>
      </c>
      <c r="C45" s="27"/>
      <c r="D45" s="27"/>
      <c r="E45" s="10"/>
      <c r="F45" s="36" t="s">
        <v>263</v>
      </c>
      <c r="G45" s="27"/>
      <c r="H45" s="27"/>
      <c r="I45" s="27"/>
      <c r="J45" s="27"/>
      <c r="K45" s="27"/>
      <c r="L45" s="27"/>
      <c r="M45" s="27"/>
      <c r="N45" s="1" t="s">
        <v>264</v>
      </c>
      <c r="O45" s="27"/>
      <c r="P45" s="27"/>
    </row>
    <row r="46" spans="1:16" ht="24" customHeight="1">
      <c r="A46" s="30">
        <v>46005</v>
      </c>
      <c r="B46" s="27" t="s">
        <v>267</v>
      </c>
      <c r="C46" s="27"/>
      <c r="D46" s="27"/>
      <c r="E46" s="10"/>
      <c r="F46" s="36" t="s">
        <v>263</v>
      </c>
      <c r="G46" s="27"/>
      <c r="H46" s="27"/>
      <c r="I46" s="27"/>
      <c r="J46" s="27"/>
      <c r="K46" s="27"/>
      <c r="L46" s="27"/>
      <c r="M46" s="27"/>
      <c r="N46" s="1" t="s">
        <v>264</v>
      </c>
      <c r="O46" s="27"/>
      <c r="P46" s="27"/>
    </row>
    <row r="47" spans="1:16" ht="24" customHeight="1">
      <c r="A47" s="30">
        <v>46006</v>
      </c>
      <c r="B47" s="27" t="s">
        <v>224</v>
      </c>
      <c r="C47" s="27" t="s">
        <v>2608</v>
      </c>
      <c r="D47" s="27" t="s">
        <v>326</v>
      </c>
      <c r="E47" s="10"/>
      <c r="F47" s="36" t="s">
        <v>263</v>
      </c>
      <c r="G47" s="27" t="s">
        <v>236</v>
      </c>
      <c r="H47" s="27" t="s">
        <v>3605</v>
      </c>
      <c r="I47" s="27" t="s">
        <v>3885</v>
      </c>
      <c r="J47" s="27" t="s">
        <v>3503</v>
      </c>
      <c r="K47" s="27"/>
      <c r="L47" s="27"/>
      <c r="M47" s="27"/>
      <c r="N47" s="1" t="s">
        <v>264</v>
      </c>
      <c r="O47" s="27" t="s">
        <v>237</v>
      </c>
      <c r="P47" s="27"/>
    </row>
    <row r="48" spans="1:16" ht="24" customHeight="1">
      <c r="A48" s="30">
        <v>46006</v>
      </c>
      <c r="B48" s="27" t="s">
        <v>224</v>
      </c>
      <c r="C48" s="27" t="s">
        <v>2608</v>
      </c>
      <c r="D48" s="27" t="s">
        <v>171</v>
      </c>
      <c r="E48" s="10"/>
      <c r="F48" s="36" t="s">
        <v>263</v>
      </c>
      <c r="G48" s="27" t="s">
        <v>946</v>
      </c>
      <c r="H48" s="27" t="s">
        <v>3605</v>
      </c>
      <c r="I48" s="27" t="s">
        <v>3885</v>
      </c>
      <c r="J48" s="27" t="s">
        <v>3503</v>
      </c>
      <c r="K48" s="27" t="s">
        <v>610</v>
      </c>
      <c r="L48" s="27"/>
      <c r="M48" s="27" t="s">
        <v>369</v>
      </c>
      <c r="N48" s="1" t="s">
        <v>264</v>
      </c>
      <c r="O48" s="27" t="s">
        <v>3937</v>
      </c>
      <c r="P48" s="27" t="s">
        <v>3923</v>
      </c>
    </row>
    <row r="49" spans="1:16" ht="24" customHeight="1">
      <c r="A49" s="30">
        <v>46006</v>
      </c>
      <c r="B49" s="27" t="s">
        <v>224</v>
      </c>
      <c r="C49" s="27" t="s">
        <v>2608</v>
      </c>
      <c r="D49" s="27" t="s">
        <v>954</v>
      </c>
      <c r="E49" s="10"/>
      <c r="F49" s="36" t="s">
        <v>263</v>
      </c>
      <c r="G49" s="27" t="s">
        <v>3925</v>
      </c>
      <c r="H49" s="27" t="s">
        <v>3541</v>
      </c>
      <c r="I49" s="27" t="s">
        <v>3606</v>
      </c>
      <c r="J49" s="27" t="s">
        <v>3505</v>
      </c>
      <c r="K49" s="27"/>
      <c r="L49" s="27"/>
      <c r="M49" s="27"/>
      <c r="N49" s="1" t="s">
        <v>264</v>
      </c>
      <c r="O49" s="27"/>
      <c r="P49" s="27"/>
    </row>
    <row r="50" spans="1:16" ht="24" customHeight="1">
      <c r="A50" s="30">
        <v>46006</v>
      </c>
      <c r="B50" s="27" t="s">
        <v>224</v>
      </c>
      <c r="C50" s="27" t="s">
        <v>3501</v>
      </c>
      <c r="D50" s="27" t="s">
        <v>3672</v>
      </c>
      <c r="E50" s="10" t="s">
        <v>208</v>
      </c>
      <c r="F50" s="36" t="s">
        <v>263</v>
      </c>
      <c r="G50" s="27" t="s">
        <v>3938</v>
      </c>
      <c r="H50" s="27" t="s">
        <v>3527</v>
      </c>
      <c r="I50" s="27" t="s">
        <v>3646</v>
      </c>
      <c r="J50" s="27" t="s">
        <v>3499</v>
      </c>
      <c r="K50" s="27"/>
      <c r="L50" s="27"/>
      <c r="M50" s="27"/>
      <c r="N50" s="1" t="s">
        <v>264</v>
      </c>
      <c r="O50" s="27" t="s">
        <v>367</v>
      </c>
      <c r="P50" s="27"/>
    </row>
    <row r="51" spans="1:16" ht="24" customHeight="1">
      <c r="A51" s="30">
        <v>46006</v>
      </c>
      <c r="B51" s="27" t="s">
        <v>224</v>
      </c>
      <c r="C51" s="27" t="s">
        <v>3501</v>
      </c>
      <c r="D51" s="27" t="s">
        <v>3672</v>
      </c>
      <c r="E51" s="10" t="s">
        <v>208</v>
      </c>
      <c r="F51" s="36" t="s">
        <v>263</v>
      </c>
      <c r="G51" s="27" t="s">
        <v>946</v>
      </c>
      <c r="H51" s="27" t="s">
        <v>3475</v>
      </c>
      <c r="I51" s="27" t="s">
        <v>3715</v>
      </c>
      <c r="J51" s="27" t="s">
        <v>3503</v>
      </c>
      <c r="K51" s="27"/>
      <c r="L51" s="27"/>
      <c r="M51" s="27"/>
      <c r="N51" s="1" t="s">
        <v>264</v>
      </c>
      <c r="O51" s="27" t="s">
        <v>370</v>
      </c>
      <c r="P51" s="27" t="s">
        <v>3906</v>
      </c>
    </row>
    <row r="52" spans="1:16" ht="24" customHeight="1">
      <c r="A52" s="30">
        <v>46007</v>
      </c>
      <c r="B52" s="27" t="s">
        <v>227</v>
      </c>
      <c r="C52" s="27" t="s">
        <v>2608</v>
      </c>
      <c r="D52" s="27" t="s">
        <v>171</v>
      </c>
      <c r="E52" s="10"/>
      <c r="F52" s="36" t="s">
        <v>263</v>
      </c>
      <c r="G52" s="27" t="s">
        <v>946</v>
      </c>
      <c r="H52" s="27" t="s">
        <v>3605</v>
      </c>
      <c r="I52" s="27" t="s">
        <v>3885</v>
      </c>
      <c r="J52" s="27" t="s">
        <v>3503</v>
      </c>
      <c r="K52" s="27" t="s">
        <v>610</v>
      </c>
      <c r="L52" s="27"/>
      <c r="M52" s="27" t="s">
        <v>369</v>
      </c>
      <c r="N52" s="1" t="s">
        <v>264</v>
      </c>
      <c r="O52" s="27" t="s">
        <v>3937</v>
      </c>
      <c r="P52" s="27" t="s">
        <v>3923</v>
      </c>
    </row>
    <row r="53" spans="1:16" ht="24" customHeight="1">
      <c r="A53" s="30">
        <v>46007</v>
      </c>
      <c r="B53" s="27" t="s">
        <v>227</v>
      </c>
      <c r="C53" s="27" t="s">
        <v>2608</v>
      </c>
      <c r="D53" s="27" t="s">
        <v>954</v>
      </c>
      <c r="E53" s="10"/>
      <c r="F53" s="36" t="s">
        <v>263</v>
      </c>
      <c r="G53" s="27" t="s">
        <v>3925</v>
      </c>
      <c r="H53" s="27" t="s">
        <v>3541</v>
      </c>
      <c r="I53" s="27" t="s">
        <v>3606</v>
      </c>
      <c r="J53" s="27" t="s">
        <v>3546</v>
      </c>
      <c r="K53" s="27"/>
      <c r="L53" s="27"/>
      <c r="M53" s="27"/>
      <c r="N53" s="1" t="s">
        <v>264</v>
      </c>
      <c r="O53" s="27"/>
      <c r="P53" s="27"/>
    </row>
    <row r="54" spans="1:16" ht="24" customHeight="1">
      <c r="A54" s="30">
        <v>46007</v>
      </c>
      <c r="B54" s="27" t="s">
        <v>227</v>
      </c>
      <c r="C54" s="27" t="s">
        <v>3501</v>
      </c>
      <c r="D54" s="27" t="s">
        <v>3672</v>
      </c>
      <c r="E54" s="10" t="s">
        <v>208</v>
      </c>
      <c r="F54" s="36" t="s">
        <v>263</v>
      </c>
      <c r="G54" s="27" t="s">
        <v>3108</v>
      </c>
      <c r="H54" s="27" t="s">
        <v>3490</v>
      </c>
      <c r="I54" s="27" t="s">
        <v>3550</v>
      </c>
      <c r="J54" s="27" t="s">
        <v>3934</v>
      </c>
      <c r="K54" s="27"/>
      <c r="L54" s="27"/>
      <c r="M54" s="27" t="s">
        <v>610</v>
      </c>
      <c r="N54" s="1" t="s">
        <v>264</v>
      </c>
      <c r="O54" s="27" t="s">
        <v>532</v>
      </c>
      <c r="P54" s="27" t="s">
        <v>3754</v>
      </c>
    </row>
    <row r="55" spans="1:16" ht="24" customHeight="1">
      <c r="A55" s="30">
        <v>46007</v>
      </c>
      <c r="B55" s="27" t="s">
        <v>227</v>
      </c>
      <c r="C55" s="27" t="s">
        <v>3501</v>
      </c>
      <c r="D55" s="27" t="s">
        <v>239</v>
      </c>
      <c r="E55" s="10" t="s">
        <v>208</v>
      </c>
      <c r="F55" s="36" t="s">
        <v>263</v>
      </c>
      <c r="G55" s="27" t="s">
        <v>3939</v>
      </c>
      <c r="H55" s="27" t="s">
        <v>3479</v>
      </c>
      <c r="I55" s="27" t="s">
        <v>3940</v>
      </c>
      <c r="J55" s="27" t="s">
        <v>3639</v>
      </c>
      <c r="K55" s="27" t="s">
        <v>369</v>
      </c>
      <c r="L55" s="27"/>
      <c r="M55" s="27" t="s">
        <v>369</v>
      </c>
      <c r="N55" s="1" t="s">
        <v>264</v>
      </c>
      <c r="O55" s="27" t="s">
        <v>1612</v>
      </c>
      <c r="P55" s="27"/>
    </row>
    <row r="56" spans="1:16" ht="24" customHeight="1">
      <c r="A56" s="30">
        <v>46007</v>
      </c>
      <c r="B56" s="27" t="s">
        <v>227</v>
      </c>
      <c r="C56" s="27" t="s">
        <v>3501</v>
      </c>
      <c r="D56" s="27" t="s">
        <v>3672</v>
      </c>
      <c r="E56" s="10" t="s">
        <v>960</v>
      </c>
      <c r="F56" s="36" t="s">
        <v>263</v>
      </c>
      <c r="G56" s="27" t="s">
        <v>946</v>
      </c>
      <c r="H56" s="27" t="s">
        <v>3475</v>
      </c>
      <c r="I56" s="27" t="s">
        <v>3715</v>
      </c>
      <c r="J56" s="27" t="s">
        <v>3503</v>
      </c>
      <c r="K56" s="27"/>
      <c r="L56" s="27"/>
      <c r="M56" s="27"/>
      <c r="N56" s="1" t="s">
        <v>264</v>
      </c>
      <c r="O56" s="27" t="s">
        <v>370</v>
      </c>
      <c r="P56" s="27" t="s">
        <v>3906</v>
      </c>
    </row>
    <row r="57" spans="1:16" ht="24" customHeight="1">
      <c r="A57" s="30">
        <v>46007</v>
      </c>
      <c r="B57" s="27" t="s">
        <v>227</v>
      </c>
      <c r="C57" s="27" t="s">
        <v>3501</v>
      </c>
      <c r="D57" s="27" t="s">
        <v>3672</v>
      </c>
      <c r="E57" s="10" t="s">
        <v>960</v>
      </c>
      <c r="F57" s="36" t="s">
        <v>263</v>
      </c>
      <c r="G57" s="27" t="s">
        <v>975</v>
      </c>
      <c r="H57" s="27" t="s">
        <v>3490</v>
      </c>
      <c r="I57" s="27" t="s">
        <v>3941</v>
      </c>
      <c r="J57" s="27" t="s">
        <v>3942</v>
      </c>
      <c r="K57" s="27" t="s">
        <v>369</v>
      </c>
      <c r="L57" s="27"/>
      <c r="M57" s="27" t="s">
        <v>369</v>
      </c>
      <c r="N57" s="1" t="s">
        <v>264</v>
      </c>
      <c r="O57" s="27" t="s">
        <v>378</v>
      </c>
      <c r="P57" s="27" t="s">
        <v>3943</v>
      </c>
    </row>
    <row r="58" spans="1:16" ht="24" customHeight="1">
      <c r="A58" s="30">
        <v>46007</v>
      </c>
      <c r="B58" s="27" t="s">
        <v>227</v>
      </c>
      <c r="C58" s="27" t="s">
        <v>3501</v>
      </c>
      <c r="D58" s="27" t="s">
        <v>3672</v>
      </c>
      <c r="E58" s="10" t="s">
        <v>960</v>
      </c>
      <c r="F58" s="36" t="s">
        <v>263</v>
      </c>
      <c r="G58" s="27"/>
      <c r="H58" s="27" t="s">
        <v>3527</v>
      </c>
      <c r="I58" s="27" t="s">
        <v>3532</v>
      </c>
      <c r="J58" s="27" t="s">
        <v>3944</v>
      </c>
      <c r="K58" s="27"/>
      <c r="L58" s="27"/>
      <c r="M58" s="27"/>
      <c r="N58" s="1" t="s">
        <v>264</v>
      </c>
      <c r="O58" s="27" t="s">
        <v>378</v>
      </c>
      <c r="P58" s="27" t="s">
        <v>3945</v>
      </c>
    </row>
    <row r="59" spans="1:16" ht="24" customHeight="1">
      <c r="A59" s="30">
        <v>46007</v>
      </c>
      <c r="B59" s="27" t="s">
        <v>227</v>
      </c>
      <c r="C59" s="27" t="s">
        <v>2608</v>
      </c>
      <c r="D59" s="27" t="s">
        <v>326</v>
      </c>
      <c r="E59" s="10"/>
      <c r="F59" s="36" t="s">
        <v>263</v>
      </c>
      <c r="G59" s="27" t="s">
        <v>3946</v>
      </c>
      <c r="H59" s="27" t="s">
        <v>3527</v>
      </c>
      <c r="I59" s="27" t="s">
        <v>3715</v>
      </c>
      <c r="J59" s="27" t="s">
        <v>3570</v>
      </c>
      <c r="K59" s="27"/>
      <c r="L59" s="27"/>
      <c r="M59" s="27"/>
      <c r="N59" s="1" t="s">
        <v>264</v>
      </c>
      <c r="O59" s="27" t="s">
        <v>335</v>
      </c>
      <c r="P59" s="27" t="s">
        <v>3947</v>
      </c>
    </row>
    <row r="60" spans="1:16" ht="24" customHeight="1">
      <c r="A60" s="30">
        <v>46008</v>
      </c>
      <c r="B60" s="27" t="s">
        <v>201</v>
      </c>
      <c r="C60" s="27" t="s">
        <v>2608</v>
      </c>
      <c r="D60" s="27" t="s">
        <v>326</v>
      </c>
      <c r="E60" s="10"/>
      <c r="F60" s="36" t="s">
        <v>263</v>
      </c>
      <c r="G60" s="27" t="s">
        <v>2927</v>
      </c>
      <c r="H60" s="27" t="s">
        <v>3494</v>
      </c>
      <c r="I60" s="27" t="s">
        <v>3546</v>
      </c>
      <c r="J60" s="27" t="s">
        <v>3505</v>
      </c>
      <c r="K60" s="27"/>
      <c r="L60" s="27"/>
      <c r="M60" s="27"/>
      <c r="N60" s="1" t="s">
        <v>264</v>
      </c>
      <c r="O60" s="27"/>
      <c r="P60" s="27"/>
    </row>
    <row r="61" spans="1:16" ht="24" customHeight="1">
      <c r="A61" s="30">
        <v>46008</v>
      </c>
      <c r="B61" s="27" t="s">
        <v>201</v>
      </c>
      <c r="C61" s="27" t="s">
        <v>2608</v>
      </c>
      <c r="D61" s="27" t="s">
        <v>239</v>
      </c>
      <c r="E61" s="10"/>
      <c r="F61" s="36" t="s">
        <v>263</v>
      </c>
      <c r="G61" s="27" t="s">
        <v>3948</v>
      </c>
      <c r="H61" s="27" t="s">
        <v>3742</v>
      </c>
      <c r="I61" s="27" t="s">
        <v>3570</v>
      </c>
      <c r="J61" s="27" t="s">
        <v>3505</v>
      </c>
      <c r="K61" s="27"/>
      <c r="L61" s="27"/>
      <c r="M61" s="27"/>
      <c r="N61" s="1" t="s">
        <v>264</v>
      </c>
      <c r="O61" s="27" t="s">
        <v>2639</v>
      </c>
      <c r="P61" s="27"/>
    </row>
    <row r="62" spans="1:16" ht="24" customHeight="1">
      <c r="A62" s="30">
        <v>46008</v>
      </c>
      <c r="B62" s="27" t="s">
        <v>201</v>
      </c>
      <c r="C62" s="27" t="s">
        <v>2608</v>
      </c>
      <c r="D62" s="27" t="s">
        <v>171</v>
      </c>
      <c r="E62" s="10"/>
      <c r="F62" s="36" t="s">
        <v>263</v>
      </c>
      <c r="G62" s="27" t="s">
        <v>946</v>
      </c>
      <c r="H62" s="27" t="s">
        <v>3605</v>
      </c>
      <c r="I62" s="27" t="s">
        <v>3885</v>
      </c>
      <c r="J62" s="27" t="s">
        <v>3503</v>
      </c>
      <c r="K62" s="27" t="s">
        <v>610</v>
      </c>
      <c r="L62" s="27"/>
      <c r="M62" s="27" t="s">
        <v>369</v>
      </c>
      <c r="N62" s="1" t="s">
        <v>264</v>
      </c>
      <c r="O62" s="27" t="s">
        <v>3937</v>
      </c>
      <c r="P62" s="27" t="s">
        <v>3923</v>
      </c>
    </row>
    <row r="63" spans="1:16" ht="24" customHeight="1">
      <c r="A63" s="30">
        <v>46008</v>
      </c>
      <c r="B63" s="27" t="s">
        <v>201</v>
      </c>
      <c r="C63" s="27" t="s">
        <v>2608</v>
      </c>
      <c r="D63" s="27" t="s">
        <v>954</v>
      </c>
      <c r="E63" s="10"/>
      <c r="F63" s="36" t="s">
        <v>263</v>
      </c>
      <c r="G63" s="27" t="s">
        <v>3925</v>
      </c>
      <c r="H63" s="27" t="s">
        <v>3541</v>
      </c>
      <c r="I63" s="27" t="s">
        <v>3606</v>
      </c>
      <c r="J63" s="27" t="s">
        <v>3505</v>
      </c>
      <c r="K63" s="27"/>
      <c r="L63" s="27"/>
      <c r="M63" s="27"/>
      <c r="N63" s="1" t="s">
        <v>264</v>
      </c>
      <c r="O63" s="27"/>
      <c r="P63" s="27"/>
    </row>
    <row r="64" spans="1:16" ht="24" customHeight="1">
      <c r="A64" s="30">
        <v>46008</v>
      </c>
      <c r="B64" s="27" t="s">
        <v>201</v>
      </c>
      <c r="C64" s="27" t="s">
        <v>3501</v>
      </c>
      <c r="D64" s="27" t="s">
        <v>1013</v>
      </c>
      <c r="E64" s="10" t="s">
        <v>202</v>
      </c>
      <c r="F64" s="36" t="s">
        <v>263</v>
      </c>
      <c r="G64" s="27" t="s">
        <v>946</v>
      </c>
      <c r="H64" s="27" t="s">
        <v>3475</v>
      </c>
      <c r="I64" s="27" t="s">
        <v>3715</v>
      </c>
      <c r="J64" s="27" t="s">
        <v>3503</v>
      </c>
      <c r="K64" s="27"/>
      <c r="L64" s="27"/>
      <c r="M64" s="27"/>
      <c r="N64" s="1" t="s">
        <v>264</v>
      </c>
      <c r="O64" s="27" t="s">
        <v>370</v>
      </c>
      <c r="P64" s="27" t="s">
        <v>3906</v>
      </c>
    </row>
    <row r="65" spans="1:16" ht="24" customHeight="1">
      <c r="A65" s="30">
        <v>46009</v>
      </c>
      <c r="B65" s="27" t="s">
        <v>216</v>
      </c>
      <c r="C65" s="27" t="s">
        <v>2608</v>
      </c>
      <c r="D65" s="27" t="s">
        <v>171</v>
      </c>
      <c r="E65" s="10"/>
      <c r="F65" s="36" t="s">
        <v>263</v>
      </c>
      <c r="G65" s="27" t="s">
        <v>946</v>
      </c>
      <c r="H65" s="27" t="s">
        <v>3605</v>
      </c>
      <c r="I65" s="27" t="s">
        <v>3885</v>
      </c>
      <c r="J65" s="27" t="s">
        <v>3503</v>
      </c>
      <c r="K65" s="27" t="s">
        <v>610</v>
      </c>
      <c r="L65" s="27"/>
      <c r="M65" s="27" t="s">
        <v>369</v>
      </c>
      <c r="N65" s="1" t="s">
        <v>264</v>
      </c>
      <c r="O65" s="27" t="s">
        <v>3937</v>
      </c>
      <c r="P65" s="27" t="s">
        <v>3923</v>
      </c>
    </row>
    <row r="66" spans="1:16" ht="24" customHeight="1">
      <c r="A66" s="30">
        <v>46009</v>
      </c>
      <c r="B66" s="27" t="s">
        <v>216</v>
      </c>
      <c r="C66" s="27" t="s">
        <v>2608</v>
      </c>
      <c r="D66" s="27" t="s">
        <v>239</v>
      </c>
      <c r="E66" s="10"/>
      <c r="F66" s="36" t="s">
        <v>263</v>
      </c>
      <c r="G66" s="27" t="s">
        <v>3169</v>
      </c>
      <c r="H66" s="27" t="s">
        <v>3475</v>
      </c>
      <c r="I66" s="27" t="s">
        <v>3546</v>
      </c>
      <c r="J66" s="27" t="s">
        <v>3528</v>
      </c>
      <c r="K66" s="27"/>
      <c r="L66" s="27"/>
      <c r="M66" s="27"/>
      <c r="N66" s="1" t="s">
        <v>264</v>
      </c>
      <c r="O66" s="27" t="s">
        <v>237</v>
      </c>
      <c r="P66" s="27"/>
    </row>
    <row r="67" spans="1:16" ht="24" customHeight="1">
      <c r="A67" s="30">
        <v>46009</v>
      </c>
      <c r="B67" s="27" t="s">
        <v>216</v>
      </c>
      <c r="C67" s="27" t="s">
        <v>2608</v>
      </c>
      <c r="D67" s="27" t="s">
        <v>326</v>
      </c>
      <c r="E67" s="10"/>
      <c r="F67" s="36" t="s">
        <v>263</v>
      </c>
      <c r="G67" s="27" t="s">
        <v>658</v>
      </c>
      <c r="H67" s="27" t="s">
        <v>3527</v>
      </c>
      <c r="I67" s="27" t="s">
        <v>3570</v>
      </c>
      <c r="J67" s="27" t="s">
        <v>3505</v>
      </c>
      <c r="K67" s="27"/>
      <c r="L67" s="27"/>
      <c r="M67" s="27"/>
      <c r="N67" s="1" t="s">
        <v>264</v>
      </c>
      <c r="O67" s="27" t="s">
        <v>688</v>
      </c>
      <c r="P67" s="27" t="s">
        <v>3949</v>
      </c>
    </row>
    <row r="68" spans="1:16" ht="24" customHeight="1">
      <c r="A68" s="30">
        <v>46009</v>
      </c>
      <c r="B68" s="27" t="s">
        <v>216</v>
      </c>
      <c r="C68" s="27" t="s">
        <v>2608</v>
      </c>
      <c r="D68" s="27" t="s">
        <v>954</v>
      </c>
      <c r="E68" s="10"/>
      <c r="F68" s="36" t="s">
        <v>263</v>
      </c>
      <c r="G68" s="27" t="s">
        <v>3950</v>
      </c>
      <c r="H68" s="27" t="s">
        <v>3527</v>
      </c>
      <c r="I68" s="27" t="s">
        <v>3528</v>
      </c>
      <c r="J68" s="27" t="s">
        <v>3503</v>
      </c>
      <c r="K68" s="27"/>
      <c r="L68" s="27"/>
      <c r="M68" s="27"/>
      <c r="N68" s="1" t="s">
        <v>264</v>
      </c>
      <c r="O68" s="27" t="s">
        <v>688</v>
      </c>
      <c r="P68" s="27" t="s">
        <v>3949</v>
      </c>
    </row>
    <row r="69" spans="1:16" ht="24" customHeight="1">
      <c r="A69" s="30">
        <v>46009</v>
      </c>
      <c r="B69" s="27" t="s">
        <v>216</v>
      </c>
      <c r="C69" s="27" t="s">
        <v>3501</v>
      </c>
      <c r="D69" s="27" t="s">
        <v>1013</v>
      </c>
      <c r="E69" s="10" t="s">
        <v>202</v>
      </c>
      <c r="F69" s="36" t="s">
        <v>263</v>
      </c>
      <c r="G69" s="27" t="s">
        <v>946</v>
      </c>
      <c r="H69" s="27" t="s">
        <v>3475</v>
      </c>
      <c r="I69" s="27" t="s">
        <v>3715</v>
      </c>
      <c r="J69" s="27" t="s">
        <v>3503</v>
      </c>
      <c r="K69" s="27"/>
      <c r="L69" s="27"/>
      <c r="M69" s="27"/>
      <c r="N69" s="1" t="s">
        <v>264</v>
      </c>
      <c r="O69" s="27" t="s">
        <v>370</v>
      </c>
      <c r="P69" s="27" t="s">
        <v>3906</v>
      </c>
    </row>
    <row r="70" spans="1:16" ht="24" customHeight="1">
      <c r="A70" s="30">
        <v>46009</v>
      </c>
      <c r="B70" s="27" t="s">
        <v>216</v>
      </c>
      <c r="C70" s="27" t="s">
        <v>3501</v>
      </c>
      <c r="D70" s="27" t="s">
        <v>3672</v>
      </c>
      <c r="E70" s="10" t="s">
        <v>3928</v>
      </c>
      <c r="F70" s="36" t="s">
        <v>263</v>
      </c>
      <c r="G70" s="27" t="s">
        <v>2666</v>
      </c>
      <c r="H70" s="27"/>
      <c r="I70" s="27" t="s">
        <v>3715</v>
      </c>
      <c r="J70" s="27" t="s">
        <v>3528</v>
      </c>
      <c r="K70" s="27"/>
      <c r="L70" s="27"/>
      <c r="M70" s="27"/>
      <c r="N70" s="1" t="s">
        <v>264</v>
      </c>
      <c r="O70" s="27" t="s">
        <v>351</v>
      </c>
      <c r="P70" s="27" t="s">
        <v>3906</v>
      </c>
    </row>
    <row r="71" spans="1:16" ht="24" customHeight="1">
      <c r="A71" s="30">
        <v>46010</v>
      </c>
      <c r="B71" s="27" t="s">
        <v>220</v>
      </c>
      <c r="C71" s="27" t="s">
        <v>3501</v>
      </c>
      <c r="D71" s="27" t="s">
        <v>239</v>
      </c>
      <c r="E71" s="10" t="s">
        <v>202</v>
      </c>
      <c r="F71" s="36" t="s">
        <v>263</v>
      </c>
      <c r="G71" s="27" t="s">
        <v>3948</v>
      </c>
      <c r="H71" s="27" t="s">
        <v>3490</v>
      </c>
      <c r="I71" s="27" t="s">
        <v>3570</v>
      </c>
      <c r="J71" s="27" t="s">
        <v>3505</v>
      </c>
      <c r="K71" s="27"/>
      <c r="L71" s="27"/>
      <c r="M71" s="27"/>
      <c r="N71" s="1" t="s">
        <v>264</v>
      </c>
      <c r="O71" s="27" t="s">
        <v>393</v>
      </c>
      <c r="P71" s="27" t="s">
        <v>3945</v>
      </c>
    </row>
    <row r="72" spans="1:16" ht="24" customHeight="1">
      <c r="A72" s="30">
        <v>46010</v>
      </c>
      <c r="B72" s="27" t="s">
        <v>220</v>
      </c>
      <c r="C72" s="27" t="s">
        <v>3501</v>
      </c>
      <c r="D72" s="27" t="s">
        <v>3672</v>
      </c>
      <c r="E72" s="10" t="s">
        <v>3928</v>
      </c>
      <c r="F72" s="36" t="s">
        <v>263</v>
      </c>
      <c r="G72" s="27" t="s">
        <v>331</v>
      </c>
      <c r="H72" s="27" t="s">
        <v>3475</v>
      </c>
      <c r="I72" s="27" t="s">
        <v>3499</v>
      </c>
      <c r="J72" s="27" t="s">
        <v>3532</v>
      </c>
      <c r="K72" s="27" t="s">
        <v>369</v>
      </c>
      <c r="L72" s="27"/>
      <c r="M72" s="27" t="s">
        <v>369</v>
      </c>
      <c r="N72" s="1" t="s">
        <v>264</v>
      </c>
      <c r="O72" s="27" t="s">
        <v>646</v>
      </c>
      <c r="P72" s="27" t="s">
        <v>3935</v>
      </c>
    </row>
    <row r="73" spans="1:16" ht="24" customHeight="1">
      <c r="A73" s="30">
        <v>46010</v>
      </c>
      <c r="B73" s="27" t="s">
        <v>220</v>
      </c>
      <c r="C73" s="27" t="s">
        <v>2608</v>
      </c>
      <c r="D73" s="27" t="s">
        <v>171</v>
      </c>
      <c r="E73" s="10"/>
      <c r="F73" s="36" t="s">
        <v>263</v>
      </c>
      <c r="G73" s="27" t="s">
        <v>946</v>
      </c>
      <c r="H73" s="27" t="s">
        <v>3605</v>
      </c>
      <c r="I73" s="27" t="s">
        <v>3885</v>
      </c>
      <c r="J73" s="27" t="s">
        <v>3503</v>
      </c>
      <c r="K73" s="27" t="s">
        <v>610</v>
      </c>
      <c r="L73" s="27"/>
      <c r="M73" s="27" t="s">
        <v>369</v>
      </c>
      <c r="N73" s="1" t="s">
        <v>264</v>
      </c>
      <c r="O73" s="27" t="s">
        <v>3937</v>
      </c>
      <c r="P73" s="27" t="s">
        <v>3923</v>
      </c>
    </row>
    <row r="74" spans="1:16" ht="24" customHeight="1">
      <c r="A74" s="30">
        <v>46010</v>
      </c>
      <c r="B74" s="27" t="s">
        <v>220</v>
      </c>
      <c r="C74" s="27" t="s">
        <v>3501</v>
      </c>
      <c r="D74" s="27" t="s">
        <v>3951</v>
      </c>
      <c r="E74" s="10" t="s">
        <v>3952</v>
      </c>
      <c r="F74" s="36" t="s">
        <v>263</v>
      </c>
      <c r="G74" s="27" t="s">
        <v>3953</v>
      </c>
      <c r="H74" s="27" t="s">
        <v>3527</v>
      </c>
      <c r="I74" s="27" t="s">
        <v>2404</v>
      </c>
      <c r="J74" s="27" t="s">
        <v>3528</v>
      </c>
      <c r="K74" s="27"/>
      <c r="L74" s="27"/>
      <c r="M74" s="27"/>
      <c r="N74" s="1" t="s">
        <v>264</v>
      </c>
      <c r="O74" s="27" t="s">
        <v>3954</v>
      </c>
      <c r="P74" s="27" t="s">
        <v>3792</v>
      </c>
    </row>
    <row r="75" spans="1:16" ht="24" customHeight="1">
      <c r="A75" s="30">
        <v>46011</v>
      </c>
      <c r="B75" s="27" t="s">
        <v>266</v>
      </c>
      <c r="C75" s="27"/>
      <c r="D75" s="27"/>
      <c r="E75" s="10"/>
      <c r="F75" s="36" t="s">
        <v>263</v>
      </c>
      <c r="G75" s="27"/>
      <c r="H75" s="27"/>
      <c r="I75" s="27"/>
      <c r="J75" s="27"/>
      <c r="K75" s="27"/>
      <c r="L75" s="27"/>
      <c r="M75" s="27"/>
      <c r="N75" s="1" t="s">
        <v>264</v>
      </c>
      <c r="O75" s="27"/>
      <c r="P75" s="27"/>
    </row>
    <row r="76" spans="1:16" ht="24" customHeight="1">
      <c r="A76" s="30">
        <v>46012</v>
      </c>
      <c r="B76" s="27" t="s">
        <v>267</v>
      </c>
      <c r="C76" s="27"/>
      <c r="D76" s="27"/>
      <c r="E76" s="10"/>
      <c r="F76" s="36" t="s">
        <v>263</v>
      </c>
      <c r="G76" s="27"/>
      <c r="H76" s="27"/>
      <c r="I76" s="27"/>
      <c r="J76" s="27"/>
      <c r="K76" s="27"/>
      <c r="L76" s="27"/>
      <c r="M76" s="27"/>
      <c r="N76" s="1" t="s">
        <v>264</v>
      </c>
      <c r="O76" s="27"/>
      <c r="P76" s="27"/>
    </row>
    <row r="77" spans="1:16" ht="24" customHeight="1">
      <c r="A77" s="30">
        <v>46013</v>
      </c>
      <c r="B77" s="27" t="s">
        <v>224</v>
      </c>
      <c r="C77" s="27"/>
      <c r="D77" s="27"/>
      <c r="E77" s="10"/>
      <c r="F77" s="36" t="s">
        <v>263</v>
      </c>
      <c r="G77" s="27"/>
      <c r="H77" s="27"/>
      <c r="I77" s="27"/>
      <c r="J77" s="27"/>
      <c r="K77" s="27"/>
      <c r="L77" s="27"/>
      <c r="M77" s="27"/>
      <c r="N77" s="1" t="s">
        <v>264</v>
      </c>
      <c r="O77" s="27"/>
      <c r="P77" s="27"/>
    </row>
    <row r="78" spans="1:16" ht="24" customHeight="1">
      <c r="A78" s="30">
        <v>46014</v>
      </c>
      <c r="B78" s="27" t="s">
        <v>227</v>
      </c>
      <c r="C78" s="27" t="s">
        <v>2608</v>
      </c>
      <c r="D78" s="27" t="s">
        <v>171</v>
      </c>
      <c r="E78" s="10"/>
      <c r="F78" s="36" t="s">
        <v>263</v>
      </c>
      <c r="G78" s="27" t="s">
        <v>3955</v>
      </c>
      <c r="H78" s="27"/>
      <c r="I78" s="27" t="s">
        <v>3885</v>
      </c>
      <c r="J78" s="27" t="s">
        <v>3503</v>
      </c>
      <c r="K78" s="27" t="s">
        <v>369</v>
      </c>
      <c r="L78" s="27"/>
      <c r="M78" s="27" t="s">
        <v>369</v>
      </c>
      <c r="N78" s="1" t="s">
        <v>264</v>
      </c>
      <c r="O78" s="27" t="s">
        <v>3956</v>
      </c>
      <c r="P78" s="27"/>
    </row>
    <row r="79" spans="1:16" ht="24" customHeight="1">
      <c r="A79" s="30">
        <v>46015</v>
      </c>
      <c r="B79" s="27" t="s">
        <v>201</v>
      </c>
      <c r="C79" s="27" t="s">
        <v>2608</v>
      </c>
      <c r="D79" s="27" t="s">
        <v>171</v>
      </c>
      <c r="E79" s="10"/>
      <c r="F79" s="36" t="s">
        <v>263</v>
      </c>
      <c r="G79" s="27" t="s">
        <v>3955</v>
      </c>
      <c r="H79" s="27"/>
      <c r="I79" s="27" t="s">
        <v>3885</v>
      </c>
      <c r="J79" s="27" t="s">
        <v>3503</v>
      </c>
      <c r="K79" s="27" t="s">
        <v>369</v>
      </c>
      <c r="L79" s="27"/>
      <c r="M79" s="27" t="s">
        <v>369</v>
      </c>
      <c r="N79" s="1" t="s">
        <v>264</v>
      </c>
      <c r="O79" s="27" t="s">
        <v>3956</v>
      </c>
      <c r="P79" s="27"/>
    </row>
    <row r="80" spans="1:16" ht="24" customHeight="1">
      <c r="A80" s="30">
        <v>46016</v>
      </c>
      <c r="B80" s="27" t="s">
        <v>216</v>
      </c>
      <c r="C80" s="27" t="s">
        <v>2608</v>
      </c>
      <c r="D80" s="27" t="s">
        <v>171</v>
      </c>
      <c r="E80" s="10"/>
      <c r="F80" s="36" t="s">
        <v>263</v>
      </c>
      <c r="G80" s="27" t="s">
        <v>3955</v>
      </c>
      <c r="H80" s="27"/>
      <c r="I80" s="27" t="s">
        <v>3885</v>
      </c>
      <c r="J80" s="27" t="s">
        <v>3503</v>
      </c>
      <c r="K80" s="27" t="s">
        <v>369</v>
      </c>
      <c r="L80" s="27"/>
      <c r="M80" s="27" t="s">
        <v>369</v>
      </c>
      <c r="N80" s="1" t="s">
        <v>264</v>
      </c>
      <c r="O80" s="27" t="s">
        <v>3956</v>
      </c>
      <c r="P80" s="27"/>
    </row>
    <row r="81" spans="1:16" ht="24" customHeight="1">
      <c r="A81" s="30">
        <v>46017</v>
      </c>
      <c r="B81" s="27" t="s">
        <v>220</v>
      </c>
      <c r="C81" s="27" t="s">
        <v>2608</v>
      </c>
      <c r="D81" s="27" t="s">
        <v>171</v>
      </c>
      <c r="E81" s="10"/>
      <c r="F81" s="36" t="s">
        <v>263</v>
      </c>
      <c r="G81" s="27" t="s">
        <v>3955</v>
      </c>
      <c r="H81" s="27"/>
      <c r="I81" s="27" t="s">
        <v>3885</v>
      </c>
      <c r="J81" s="27" t="s">
        <v>3503</v>
      </c>
      <c r="K81" s="27" t="s">
        <v>369</v>
      </c>
      <c r="L81" s="27"/>
      <c r="M81" s="27" t="s">
        <v>369</v>
      </c>
      <c r="N81" s="1" t="s">
        <v>264</v>
      </c>
      <c r="O81" s="27" t="s">
        <v>3956</v>
      </c>
      <c r="P81" s="27"/>
    </row>
    <row r="82" spans="1:16" ht="24" customHeight="1">
      <c r="A82" s="30">
        <v>46018</v>
      </c>
      <c r="B82" s="27" t="s">
        <v>266</v>
      </c>
      <c r="C82" s="27"/>
      <c r="D82" s="27"/>
      <c r="E82" s="10"/>
      <c r="F82" s="36" t="s">
        <v>263</v>
      </c>
      <c r="G82" s="27"/>
      <c r="H82" s="27"/>
      <c r="I82" s="27"/>
      <c r="J82" s="27"/>
      <c r="K82" s="27"/>
      <c r="L82" s="27"/>
      <c r="M82" s="27"/>
      <c r="N82" s="1" t="s">
        <v>264</v>
      </c>
      <c r="O82" s="27"/>
      <c r="P82" s="27"/>
    </row>
    <row r="83" spans="1:16" ht="24" customHeight="1">
      <c r="A83" s="30">
        <v>46019</v>
      </c>
      <c r="B83" s="27" t="s">
        <v>267</v>
      </c>
      <c r="C83" s="27"/>
      <c r="D83" s="27"/>
      <c r="E83" s="10"/>
      <c r="F83" s="36" t="s">
        <v>263</v>
      </c>
      <c r="G83" s="27"/>
      <c r="H83" s="27"/>
      <c r="I83" s="27"/>
      <c r="J83" s="27"/>
      <c r="K83" s="27"/>
      <c r="L83" s="27"/>
      <c r="M83" s="27"/>
      <c r="N83" s="1" t="s">
        <v>264</v>
      </c>
      <c r="O83" s="27"/>
      <c r="P83" s="27"/>
    </row>
    <row r="84" spans="1:16" ht="24" customHeight="1">
      <c r="A84" s="30">
        <v>46020</v>
      </c>
      <c r="B84" s="27" t="s">
        <v>224</v>
      </c>
      <c r="C84" s="27" t="s">
        <v>2608</v>
      </c>
      <c r="D84" s="27" t="s">
        <v>171</v>
      </c>
      <c r="E84" s="10"/>
      <c r="F84" s="36" t="s">
        <v>263</v>
      </c>
      <c r="G84" s="27"/>
      <c r="H84" s="27"/>
      <c r="I84" s="27"/>
      <c r="J84" s="27"/>
      <c r="K84" s="27"/>
      <c r="L84" s="27"/>
      <c r="M84" s="27"/>
      <c r="N84" s="1" t="s">
        <v>264</v>
      </c>
      <c r="O84" s="27"/>
      <c r="P84" s="27"/>
    </row>
    <row r="85" spans="1:16" ht="24" customHeight="1">
      <c r="A85" s="30">
        <v>46021</v>
      </c>
      <c r="B85" s="27" t="s">
        <v>227</v>
      </c>
      <c r="C85" s="27" t="s">
        <v>2608</v>
      </c>
      <c r="D85" s="27" t="s">
        <v>171</v>
      </c>
      <c r="E85" s="10"/>
      <c r="F85" s="36" t="s">
        <v>263</v>
      </c>
      <c r="G85" s="27"/>
      <c r="H85" s="27"/>
      <c r="I85" s="27"/>
      <c r="J85" s="27"/>
      <c r="K85" s="27"/>
      <c r="L85" s="27"/>
      <c r="M85" s="27"/>
      <c r="N85" s="1" t="s">
        <v>264</v>
      </c>
      <c r="O85" s="27"/>
      <c r="P85" s="27"/>
    </row>
    <row r="86" spans="1:16" ht="24" customHeight="1">
      <c r="A86" s="30">
        <v>46022</v>
      </c>
      <c r="B86" s="27" t="s">
        <v>201</v>
      </c>
      <c r="C86" s="27" t="s">
        <v>2608</v>
      </c>
      <c r="D86" s="27" t="s">
        <v>171</v>
      </c>
      <c r="E86" s="10"/>
      <c r="F86" s="36" t="s">
        <v>263</v>
      </c>
      <c r="G86" s="27"/>
      <c r="H86" s="27"/>
      <c r="I86" s="27"/>
      <c r="J86" s="27"/>
      <c r="K86" s="27"/>
      <c r="L86" s="27"/>
      <c r="M86" s="27"/>
      <c r="N86" s="1" t="s">
        <v>264</v>
      </c>
      <c r="O86" s="27"/>
      <c r="P86" s="27"/>
    </row>
  </sheetData>
  <mergeCells count="3">
    <mergeCell ref="A1:C1"/>
    <mergeCell ref="D1:K1"/>
    <mergeCell ref="L1:P1"/>
  </mergeCells>
  <dataValidations count="2">
    <dataValidation type="list" allowBlank="1" sqref="M3:M136 N3:N86" xr:uid="{00000000-0002-0000-2900-000000000000}">
      <formula1>"Confirmed (Done),Pending Calendar Booking,Canceled"</formula1>
    </dataValidation>
    <dataValidation type="list" allowBlank="1" sqref="F3:F86" xr:uid="{00000000-0002-0000-2900-000001000000}">
      <formula1>"Big Event,Small Event"</formula1>
    </dataValidation>
  </dataValidations>
  <hyperlinks>
    <hyperlink ref="A1" location="'Dashboard'!A1" display="🏠 ⮌ RETURN TO DASHBOARD" xr:uid="{00000000-0004-0000-2900-000000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6"/>
  <sheetViews>
    <sheetView workbookViewId="0">
      <pane ySplit="2" topLeftCell="A3" activePane="bottomLeft" state="frozen"/>
      <selection pane="bottomLeft"/>
    </sheetView>
  </sheetViews>
  <sheetFormatPr defaultRowHeight="14.45"/>
  <cols>
    <col min="1" max="1" width="15" customWidth="1"/>
    <col min="2" max="2" width="12" customWidth="1"/>
    <col min="3" max="3" width="26" customWidth="1"/>
    <col min="4" max="4" width="28" customWidth="1"/>
    <col min="5" max="5" width="21" customWidth="1"/>
    <col min="6" max="6" width="15" customWidth="1"/>
    <col min="7" max="7" width="19" customWidth="1"/>
    <col min="8" max="8" width="17" customWidth="1"/>
    <col min="9" max="9" width="18" customWidth="1"/>
    <col min="10" max="10" width="22" customWidth="1"/>
    <col min="11" max="11" width="20" customWidth="1"/>
    <col min="12" max="12" width="25" customWidth="1"/>
    <col min="13" max="13" width="15" customWidth="1"/>
    <col min="14" max="14" width="25" customWidth="1"/>
    <col min="15" max="15" width="32" customWidth="1"/>
    <col min="16" max="16" width="19" customWidth="1"/>
  </cols>
  <sheetData>
    <row r="1" spans="1:16" ht="27.95" customHeight="1">
      <c r="A1" s="62" t="s">
        <v>2138</v>
      </c>
      <c r="B1" s="134"/>
      <c r="C1" s="135"/>
      <c r="D1" s="63" t="s">
        <v>3957</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45349</v>
      </c>
      <c r="B3" s="27" t="s">
        <v>227</v>
      </c>
      <c r="C3" s="27" t="s">
        <v>3958</v>
      </c>
      <c r="D3" s="27" t="s">
        <v>3959</v>
      </c>
      <c r="E3" s="10">
        <v>0.625</v>
      </c>
      <c r="F3" s="36" t="s">
        <v>263</v>
      </c>
      <c r="G3" s="27" t="s">
        <v>290</v>
      </c>
      <c r="H3" s="27" t="s">
        <v>610</v>
      </c>
      <c r="I3" s="27" t="s">
        <v>3960</v>
      </c>
      <c r="J3" s="27"/>
      <c r="K3" s="27" t="s">
        <v>3691</v>
      </c>
      <c r="L3" s="27"/>
      <c r="M3" s="30" t="s">
        <v>3961</v>
      </c>
      <c r="N3" s="1" t="s">
        <v>264</v>
      </c>
      <c r="O3" s="27"/>
      <c r="P3" s="27"/>
    </row>
    <row r="4" spans="1:16" ht="24" customHeight="1">
      <c r="A4" s="30">
        <v>45350</v>
      </c>
      <c r="B4" s="27" t="s">
        <v>201</v>
      </c>
      <c r="C4" s="27" t="s">
        <v>3958</v>
      </c>
      <c r="D4" s="27" t="s">
        <v>3962</v>
      </c>
      <c r="E4" s="10">
        <v>0.34375</v>
      </c>
      <c r="F4" s="36" t="s">
        <v>263</v>
      </c>
      <c r="G4" s="27" t="s">
        <v>274</v>
      </c>
      <c r="H4" s="27" t="s">
        <v>610</v>
      </c>
      <c r="I4" s="27" t="s">
        <v>3960</v>
      </c>
      <c r="J4" s="27"/>
      <c r="K4" s="27" t="s">
        <v>539</v>
      </c>
      <c r="L4" s="27"/>
      <c r="M4" s="30" t="s">
        <v>3963</v>
      </c>
      <c r="N4" s="1" t="s">
        <v>264</v>
      </c>
      <c r="O4" s="27"/>
      <c r="P4" s="27"/>
    </row>
    <row r="5" spans="1:16" ht="24" customHeight="1">
      <c r="A5" s="30">
        <v>45350</v>
      </c>
      <c r="B5" s="27" t="s">
        <v>201</v>
      </c>
      <c r="C5" s="27" t="s">
        <v>3964</v>
      </c>
      <c r="D5" s="27" t="s">
        <v>2995</v>
      </c>
      <c r="E5" s="10">
        <v>0.625</v>
      </c>
      <c r="F5" s="36" t="s">
        <v>263</v>
      </c>
      <c r="G5" s="27" t="s">
        <v>270</v>
      </c>
      <c r="H5" s="27" t="s">
        <v>610</v>
      </c>
      <c r="I5" s="27" t="s">
        <v>369</v>
      </c>
      <c r="J5" s="27" t="s">
        <v>369</v>
      </c>
      <c r="K5" s="27" t="s">
        <v>3965</v>
      </c>
      <c r="L5" s="27"/>
      <c r="M5" s="27"/>
      <c r="N5" s="1" t="s">
        <v>264</v>
      </c>
      <c r="O5" s="27"/>
      <c r="P5" s="27"/>
    </row>
    <row r="6" spans="1:16" ht="24" customHeight="1">
      <c r="A6" s="30">
        <v>45351</v>
      </c>
      <c r="B6" s="27" t="s">
        <v>216</v>
      </c>
      <c r="C6" s="27" t="s">
        <v>3958</v>
      </c>
      <c r="D6" s="27" t="s">
        <v>3966</v>
      </c>
      <c r="E6" s="10">
        <v>0.64583333333333337</v>
      </c>
      <c r="F6" s="36" t="s">
        <v>263</v>
      </c>
      <c r="G6" s="27" t="s">
        <v>290</v>
      </c>
      <c r="H6" s="27" t="s">
        <v>610</v>
      </c>
      <c r="I6" s="27" t="s">
        <v>3960</v>
      </c>
      <c r="J6" s="27"/>
      <c r="K6" s="27" t="s">
        <v>2835</v>
      </c>
      <c r="L6" s="27"/>
      <c r="M6" s="30" t="s">
        <v>3967</v>
      </c>
      <c r="N6" s="1" t="s">
        <v>264</v>
      </c>
      <c r="O6" s="27"/>
      <c r="P6" s="27"/>
    </row>
  </sheetData>
  <mergeCells count="3">
    <mergeCell ref="A1:C1"/>
    <mergeCell ref="D1:K1"/>
    <mergeCell ref="L1:P1"/>
  </mergeCells>
  <dataValidations count="2">
    <dataValidation type="list" allowBlank="1" sqref="M3:M56 N3:N6" xr:uid="{00000000-0002-0000-2A00-000000000000}">
      <formula1>"Confirmed (Done),Pending Calendar Booking,Canceled"</formula1>
    </dataValidation>
    <dataValidation type="list" allowBlank="1" sqref="F3:F6" xr:uid="{00000000-0002-0000-2A00-000001000000}">
      <formula1>"Big Event,Small Event"</formula1>
    </dataValidation>
  </dataValidations>
  <hyperlinks>
    <hyperlink ref="A1" location="'Dashboard'!A1" display="🏠 ⮌ RETURN TO DASHBOARD" xr:uid="{00000000-0004-0000-2A00-000000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36"/>
  <sheetViews>
    <sheetView workbookViewId="0">
      <pane ySplit="2" topLeftCell="A3" activePane="bottomLeft" state="frozen"/>
      <selection pane="bottomLeft"/>
    </sheetView>
  </sheetViews>
  <sheetFormatPr defaultRowHeight="14.45"/>
  <cols>
    <col min="1" max="1" width="15" customWidth="1"/>
    <col min="2" max="2" width="12" customWidth="1"/>
    <col min="3" max="3" width="28" customWidth="1"/>
    <col min="4" max="4" width="48" customWidth="1"/>
    <col min="5" max="5" width="21" customWidth="1"/>
    <col min="6" max="6" width="15" customWidth="1"/>
    <col min="7" max="7" width="19" customWidth="1"/>
    <col min="8" max="8" width="17" customWidth="1"/>
    <col min="9" max="9" width="18" customWidth="1"/>
    <col min="10" max="10" width="22" customWidth="1"/>
    <col min="11" max="11" width="48" customWidth="1"/>
    <col min="12" max="12" width="25" customWidth="1"/>
    <col min="13" max="13" width="16" customWidth="1"/>
    <col min="14" max="14" width="25" customWidth="1"/>
    <col min="15" max="15" width="32" customWidth="1"/>
    <col min="16" max="16" width="19" customWidth="1"/>
  </cols>
  <sheetData>
    <row r="1" spans="1:16" ht="27.95" customHeight="1">
      <c r="A1" s="62" t="s">
        <v>2138</v>
      </c>
      <c r="B1" s="134"/>
      <c r="C1" s="135"/>
      <c r="D1" s="63" t="s">
        <v>3968</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45352</v>
      </c>
      <c r="B3" s="27" t="s">
        <v>220</v>
      </c>
      <c r="C3" s="27" t="s">
        <v>3958</v>
      </c>
      <c r="D3" s="27" t="s">
        <v>3969</v>
      </c>
      <c r="E3" s="10">
        <v>0.60416666666666663</v>
      </c>
      <c r="F3" s="36" t="s">
        <v>263</v>
      </c>
      <c r="G3" s="27" t="s">
        <v>270</v>
      </c>
      <c r="H3" s="27" t="s">
        <v>369</v>
      </c>
      <c r="I3" s="27" t="s">
        <v>3960</v>
      </c>
      <c r="J3" s="27" t="s">
        <v>610</v>
      </c>
      <c r="K3" s="27" t="s">
        <v>769</v>
      </c>
      <c r="L3" s="27"/>
      <c r="M3" s="30" t="s">
        <v>3970</v>
      </c>
      <c r="N3" s="1" t="s">
        <v>264</v>
      </c>
      <c r="O3" s="27"/>
      <c r="P3" s="27"/>
    </row>
    <row r="4" spans="1:16" ht="24" customHeight="1">
      <c r="A4" s="30">
        <v>45353</v>
      </c>
      <c r="B4" s="27" t="s">
        <v>266</v>
      </c>
      <c r="C4" s="27"/>
      <c r="D4" s="27"/>
      <c r="E4" s="10"/>
      <c r="F4" s="36" t="s">
        <v>263</v>
      </c>
      <c r="G4" s="27"/>
      <c r="H4" s="27"/>
      <c r="I4" s="27"/>
      <c r="J4" s="27"/>
      <c r="K4" s="27"/>
      <c r="L4" s="27"/>
      <c r="M4" s="27"/>
      <c r="N4" s="1" t="s">
        <v>264</v>
      </c>
      <c r="O4" s="27"/>
      <c r="P4" s="27"/>
    </row>
    <row r="5" spans="1:16" ht="24" customHeight="1">
      <c r="A5" s="30">
        <v>45354</v>
      </c>
      <c r="B5" s="27" t="s">
        <v>267</v>
      </c>
      <c r="C5" s="27"/>
      <c r="D5" s="27"/>
      <c r="E5" s="10"/>
      <c r="F5" s="36" t="s">
        <v>263</v>
      </c>
      <c r="G5" s="27"/>
      <c r="H5" s="27"/>
      <c r="I5" s="27"/>
      <c r="J5" s="27"/>
      <c r="K5" s="27"/>
      <c r="L5" s="27"/>
      <c r="M5" s="27"/>
      <c r="N5" s="1" t="s">
        <v>264</v>
      </c>
      <c r="O5" s="27"/>
      <c r="P5" s="27"/>
    </row>
    <row r="6" spans="1:16" ht="24" customHeight="1">
      <c r="A6" s="30">
        <v>45355</v>
      </c>
      <c r="B6" s="27" t="s">
        <v>224</v>
      </c>
      <c r="C6" s="27"/>
      <c r="D6" s="27"/>
      <c r="E6" s="10"/>
      <c r="F6" s="36" t="s">
        <v>263</v>
      </c>
      <c r="G6" s="27"/>
      <c r="H6" s="27"/>
      <c r="I6" s="27"/>
      <c r="J6" s="27"/>
      <c r="K6" s="27"/>
      <c r="L6" s="27"/>
      <c r="M6" s="27"/>
      <c r="N6" s="1" t="s">
        <v>264</v>
      </c>
      <c r="O6" s="27"/>
      <c r="P6" s="27"/>
    </row>
    <row r="7" spans="1:16" ht="24" customHeight="1">
      <c r="A7" s="30">
        <v>45356</v>
      </c>
      <c r="B7" s="27" t="s">
        <v>227</v>
      </c>
      <c r="C7" s="27"/>
      <c r="D7" s="27"/>
      <c r="E7" s="10"/>
      <c r="F7" s="36" t="s">
        <v>263</v>
      </c>
      <c r="G7" s="27"/>
      <c r="H7" s="27"/>
      <c r="I7" s="27"/>
      <c r="J7" s="27"/>
      <c r="K7" s="27"/>
      <c r="L7" s="27"/>
      <c r="M7" s="27"/>
      <c r="N7" s="1" t="s">
        <v>264</v>
      </c>
      <c r="O7" s="27"/>
      <c r="P7" s="27"/>
    </row>
    <row r="8" spans="1:16" ht="24" customHeight="1">
      <c r="A8" s="30">
        <v>45357</v>
      </c>
      <c r="B8" s="27" t="s">
        <v>201</v>
      </c>
      <c r="C8" s="27"/>
      <c r="D8" s="27"/>
      <c r="E8" s="10"/>
      <c r="F8" s="36" t="s">
        <v>263</v>
      </c>
      <c r="G8" s="27"/>
      <c r="H8" s="27"/>
      <c r="I8" s="27"/>
      <c r="J8" s="27"/>
      <c r="K8" s="27"/>
      <c r="L8" s="27"/>
      <c r="M8" s="27"/>
      <c r="N8" s="1" t="s">
        <v>264</v>
      </c>
      <c r="O8" s="27"/>
      <c r="P8" s="27"/>
    </row>
    <row r="9" spans="1:16" ht="24" customHeight="1">
      <c r="A9" s="30">
        <v>45358</v>
      </c>
      <c r="B9" s="27" t="s">
        <v>216</v>
      </c>
      <c r="C9" s="27"/>
      <c r="D9" s="27"/>
      <c r="E9" s="10"/>
      <c r="F9" s="36" t="s">
        <v>263</v>
      </c>
      <c r="G9" s="27"/>
      <c r="H9" s="27"/>
      <c r="I9" s="27"/>
      <c r="J9" s="27"/>
      <c r="K9" s="27"/>
      <c r="L9" s="27"/>
      <c r="M9" s="27"/>
      <c r="N9" s="1" t="s">
        <v>264</v>
      </c>
      <c r="O9" s="27"/>
      <c r="P9" s="27"/>
    </row>
    <row r="10" spans="1:16" ht="24" customHeight="1">
      <c r="A10" s="30">
        <v>45359</v>
      </c>
      <c r="B10" s="27" t="s">
        <v>220</v>
      </c>
      <c r="C10" s="27" t="s">
        <v>3971</v>
      </c>
      <c r="D10" s="27" t="s">
        <v>3972</v>
      </c>
      <c r="E10" s="10" t="s">
        <v>3973</v>
      </c>
      <c r="F10" s="36" t="s">
        <v>263</v>
      </c>
      <c r="G10" s="27" t="s">
        <v>3974</v>
      </c>
      <c r="H10" s="27" t="s">
        <v>1490</v>
      </c>
      <c r="I10" s="27" t="s">
        <v>3960</v>
      </c>
      <c r="J10" s="27"/>
      <c r="K10" s="27" t="s">
        <v>1386</v>
      </c>
      <c r="L10" s="27"/>
      <c r="M10" s="27"/>
      <c r="N10" s="1" t="s">
        <v>264</v>
      </c>
      <c r="O10" s="27"/>
      <c r="P10" s="27"/>
    </row>
    <row r="11" spans="1:16" ht="24" customHeight="1">
      <c r="A11" s="30">
        <v>45360</v>
      </c>
      <c r="B11" s="27" t="s">
        <v>266</v>
      </c>
      <c r="C11" s="27"/>
      <c r="D11" s="27"/>
      <c r="E11" s="10"/>
      <c r="F11" s="36" t="s">
        <v>263</v>
      </c>
      <c r="G11" s="27"/>
      <c r="H11" s="27"/>
      <c r="I11" s="27"/>
      <c r="J11" s="27"/>
      <c r="K11" s="27"/>
      <c r="L11" s="27"/>
      <c r="M11" s="27"/>
      <c r="N11" s="1" t="s">
        <v>264</v>
      </c>
      <c r="O11" s="27"/>
      <c r="P11" s="27"/>
    </row>
    <row r="12" spans="1:16" ht="24" customHeight="1">
      <c r="A12" s="30">
        <v>45361</v>
      </c>
      <c r="B12" s="27" t="s">
        <v>267</v>
      </c>
      <c r="C12" s="27"/>
      <c r="D12" s="27" t="s">
        <v>3975</v>
      </c>
      <c r="E12" s="10"/>
      <c r="F12" s="36" t="s">
        <v>263</v>
      </c>
      <c r="G12" s="27"/>
      <c r="H12" s="27"/>
      <c r="I12" s="27"/>
      <c r="J12" s="27"/>
      <c r="K12" s="27"/>
      <c r="L12" s="27"/>
      <c r="M12" s="27"/>
      <c r="N12" s="1" t="s">
        <v>264</v>
      </c>
      <c r="O12" s="27"/>
      <c r="P12" s="27"/>
    </row>
    <row r="13" spans="1:16" ht="24" customHeight="1">
      <c r="A13" s="30">
        <v>45362</v>
      </c>
      <c r="B13" s="27" t="s">
        <v>224</v>
      </c>
      <c r="C13" s="27"/>
      <c r="D13" s="27"/>
      <c r="E13" s="10"/>
      <c r="F13" s="36" t="s">
        <v>263</v>
      </c>
      <c r="G13" s="27"/>
      <c r="H13" s="27"/>
      <c r="I13" s="27"/>
      <c r="J13" s="27"/>
      <c r="K13" s="27"/>
      <c r="L13" s="27"/>
      <c r="M13" s="27"/>
      <c r="N13" s="1" t="s">
        <v>264</v>
      </c>
      <c r="O13" s="27"/>
      <c r="P13" s="27"/>
    </row>
    <row r="14" spans="1:16" ht="24" customHeight="1">
      <c r="A14" s="30">
        <v>45363</v>
      </c>
      <c r="B14" s="27" t="s">
        <v>227</v>
      </c>
      <c r="C14" s="27" t="s">
        <v>3958</v>
      </c>
      <c r="D14" s="27" t="s">
        <v>3976</v>
      </c>
      <c r="E14" s="10">
        <v>0.61458333333333337</v>
      </c>
      <c r="F14" s="36" t="s">
        <v>263</v>
      </c>
      <c r="G14" s="27" t="s">
        <v>270</v>
      </c>
      <c r="H14" s="27" t="s">
        <v>369</v>
      </c>
      <c r="I14" s="27" t="s">
        <v>3960</v>
      </c>
      <c r="J14" s="27" t="s">
        <v>610</v>
      </c>
      <c r="K14" s="27" t="s">
        <v>3977</v>
      </c>
      <c r="L14" s="27"/>
      <c r="M14" s="27"/>
      <c r="N14" s="1" t="s">
        <v>264</v>
      </c>
      <c r="O14" s="27"/>
      <c r="P14" s="27"/>
    </row>
    <row r="15" spans="1:16" ht="24" customHeight="1">
      <c r="A15" s="30">
        <v>45364</v>
      </c>
      <c r="B15" s="27" t="s">
        <v>201</v>
      </c>
      <c r="C15" s="27" t="s">
        <v>3958</v>
      </c>
      <c r="D15" s="27"/>
      <c r="E15" s="10"/>
      <c r="F15" s="36" t="s">
        <v>263</v>
      </c>
      <c r="G15" s="27"/>
      <c r="H15" s="27"/>
      <c r="I15" s="27"/>
      <c r="J15" s="27"/>
      <c r="K15" s="27"/>
      <c r="L15" s="27"/>
      <c r="M15" s="27"/>
      <c r="N15" s="1" t="s">
        <v>264</v>
      </c>
      <c r="O15" s="27"/>
      <c r="P15" s="27"/>
    </row>
    <row r="16" spans="1:16" ht="24" customHeight="1">
      <c r="A16" s="30">
        <v>45365</v>
      </c>
      <c r="B16" s="27" t="s">
        <v>216</v>
      </c>
      <c r="C16" s="27" t="s">
        <v>3958</v>
      </c>
      <c r="D16" s="27" t="s">
        <v>3978</v>
      </c>
      <c r="E16" s="10">
        <v>0.60416666666666663</v>
      </c>
      <c r="F16" s="36" t="s">
        <v>263</v>
      </c>
      <c r="G16" s="27" t="s">
        <v>290</v>
      </c>
      <c r="H16" s="27" t="s">
        <v>369</v>
      </c>
      <c r="I16" s="27" t="s">
        <v>3960</v>
      </c>
      <c r="J16" s="27" t="s">
        <v>369</v>
      </c>
      <c r="K16" s="27" t="s">
        <v>3979</v>
      </c>
      <c r="L16" s="27"/>
      <c r="M16" s="30" t="s">
        <v>3970</v>
      </c>
      <c r="N16" s="1" t="s">
        <v>264</v>
      </c>
      <c r="O16" s="27"/>
      <c r="P16" s="27"/>
    </row>
    <row r="17" spans="1:16" ht="24" customHeight="1">
      <c r="A17" s="30">
        <v>45366</v>
      </c>
      <c r="B17" s="27" t="s">
        <v>220</v>
      </c>
      <c r="C17" s="27" t="s">
        <v>3958</v>
      </c>
      <c r="D17" s="27" t="s">
        <v>3980</v>
      </c>
      <c r="E17" s="10">
        <v>0.60416666666666663</v>
      </c>
      <c r="F17" s="36" t="s">
        <v>263</v>
      </c>
      <c r="G17" s="27" t="s">
        <v>290</v>
      </c>
      <c r="H17" s="27" t="s">
        <v>610</v>
      </c>
      <c r="I17" s="27" t="s">
        <v>3960</v>
      </c>
      <c r="J17" s="27" t="s">
        <v>369</v>
      </c>
      <c r="K17" s="27" t="s">
        <v>927</v>
      </c>
      <c r="L17" s="27"/>
      <c r="M17" s="30" t="s">
        <v>3970</v>
      </c>
      <c r="N17" s="1" t="s">
        <v>264</v>
      </c>
      <c r="O17" s="27"/>
      <c r="P17" s="27"/>
    </row>
    <row r="18" spans="1:16" ht="24" customHeight="1">
      <c r="A18" s="30">
        <v>45367</v>
      </c>
      <c r="B18" s="27" t="s">
        <v>266</v>
      </c>
      <c r="C18" s="27"/>
      <c r="D18" s="27"/>
      <c r="E18" s="10"/>
      <c r="F18" s="36" t="s">
        <v>263</v>
      </c>
      <c r="G18" s="27"/>
      <c r="H18" s="27"/>
      <c r="I18" s="27"/>
      <c r="J18" s="27"/>
      <c r="K18" s="27"/>
      <c r="L18" s="27"/>
      <c r="M18" s="27"/>
      <c r="N18" s="1" t="s">
        <v>264</v>
      </c>
      <c r="O18" s="27"/>
      <c r="P18" s="27"/>
    </row>
    <row r="19" spans="1:16" ht="24" customHeight="1">
      <c r="A19" s="30">
        <v>45368</v>
      </c>
      <c r="B19" s="27" t="s">
        <v>267</v>
      </c>
      <c r="C19" s="27"/>
      <c r="D19" s="27"/>
      <c r="E19" s="10"/>
      <c r="F19" s="36" t="s">
        <v>263</v>
      </c>
      <c r="G19" s="27"/>
      <c r="H19" s="27"/>
      <c r="I19" s="27"/>
      <c r="J19" s="27"/>
      <c r="K19" s="27"/>
      <c r="L19" s="27"/>
      <c r="M19" s="27"/>
      <c r="N19" s="1" t="s">
        <v>264</v>
      </c>
      <c r="O19" s="27"/>
      <c r="P19" s="27"/>
    </row>
    <row r="20" spans="1:16" ht="24" customHeight="1">
      <c r="A20" s="30">
        <v>45369</v>
      </c>
      <c r="B20" s="27" t="s">
        <v>224</v>
      </c>
      <c r="C20" s="27"/>
      <c r="D20" s="27"/>
      <c r="E20" s="10"/>
      <c r="F20" s="36" t="s">
        <v>263</v>
      </c>
      <c r="G20" s="27"/>
      <c r="H20" s="27"/>
      <c r="I20" s="27"/>
      <c r="J20" s="27"/>
      <c r="K20" s="27"/>
      <c r="L20" s="27"/>
      <c r="M20" s="27"/>
      <c r="N20" s="1" t="s">
        <v>264</v>
      </c>
      <c r="O20" s="27"/>
      <c r="P20" s="27"/>
    </row>
    <row r="21" spans="1:16" ht="24" customHeight="1">
      <c r="A21" s="30">
        <v>45370</v>
      </c>
      <c r="B21" s="27" t="s">
        <v>227</v>
      </c>
      <c r="C21" s="27" t="s">
        <v>3958</v>
      </c>
      <c r="D21" s="27" t="s">
        <v>3981</v>
      </c>
      <c r="E21" s="10">
        <v>0.60416666666666663</v>
      </c>
      <c r="F21" s="36" t="s">
        <v>263</v>
      </c>
      <c r="G21" s="27" t="s">
        <v>296</v>
      </c>
      <c r="H21" s="27" t="s">
        <v>369</v>
      </c>
      <c r="I21" s="27" t="s">
        <v>3960</v>
      </c>
      <c r="J21" s="27" t="s">
        <v>369</v>
      </c>
      <c r="K21" s="27" t="s">
        <v>3977</v>
      </c>
      <c r="L21" s="27"/>
      <c r="M21" s="30" t="s">
        <v>3982</v>
      </c>
      <c r="N21" s="1" t="s">
        <v>264</v>
      </c>
      <c r="O21" s="27"/>
      <c r="P21" s="27"/>
    </row>
    <row r="22" spans="1:16" ht="24" customHeight="1">
      <c r="A22" s="30">
        <v>45370</v>
      </c>
      <c r="B22" s="27" t="s">
        <v>227</v>
      </c>
      <c r="C22" s="27" t="s">
        <v>3983</v>
      </c>
      <c r="D22" s="27" t="s">
        <v>3984</v>
      </c>
      <c r="E22" s="10">
        <v>0.625</v>
      </c>
      <c r="F22" s="36" t="s">
        <v>263</v>
      </c>
      <c r="G22" s="27" t="s">
        <v>290</v>
      </c>
      <c r="H22" s="27" t="s">
        <v>610</v>
      </c>
      <c r="I22" s="27" t="s">
        <v>3960</v>
      </c>
      <c r="J22" s="27" t="s">
        <v>610</v>
      </c>
      <c r="K22" s="27" t="s">
        <v>703</v>
      </c>
      <c r="L22" s="27"/>
      <c r="M22" s="30" t="s">
        <v>3985</v>
      </c>
      <c r="N22" s="1" t="s">
        <v>264</v>
      </c>
      <c r="O22" s="27"/>
      <c r="P22" s="27"/>
    </row>
    <row r="23" spans="1:16" ht="24" customHeight="1">
      <c r="A23" s="30">
        <v>45371</v>
      </c>
      <c r="B23" s="27" t="s">
        <v>201</v>
      </c>
      <c r="C23" s="27" t="s">
        <v>501</v>
      </c>
      <c r="D23" s="27" t="s">
        <v>3986</v>
      </c>
      <c r="E23" s="10">
        <v>0.5</v>
      </c>
      <c r="F23" s="36" t="s">
        <v>263</v>
      </c>
      <c r="G23" s="27" t="s">
        <v>1342</v>
      </c>
      <c r="H23" s="27" t="s">
        <v>271</v>
      </c>
      <c r="I23" s="27" t="s">
        <v>610</v>
      </c>
      <c r="J23" s="27" t="s">
        <v>610</v>
      </c>
      <c r="K23" s="27" t="s">
        <v>1386</v>
      </c>
      <c r="L23" s="27"/>
      <c r="M23" s="30" t="s">
        <v>3987</v>
      </c>
      <c r="N23" s="1" t="s">
        <v>264</v>
      </c>
      <c r="O23" s="27"/>
      <c r="P23" s="27"/>
    </row>
    <row r="24" spans="1:16" ht="24" customHeight="1">
      <c r="A24" s="30">
        <v>45371</v>
      </c>
      <c r="B24" s="27" t="s">
        <v>201</v>
      </c>
      <c r="C24" s="27" t="s">
        <v>3958</v>
      </c>
      <c r="D24" s="27" t="s">
        <v>3988</v>
      </c>
      <c r="E24" s="10">
        <v>0.375</v>
      </c>
      <c r="F24" s="36" t="s">
        <v>263</v>
      </c>
      <c r="G24" s="27" t="s">
        <v>506</v>
      </c>
      <c r="H24" s="27" t="s">
        <v>610</v>
      </c>
      <c r="I24" s="27" t="s">
        <v>3960</v>
      </c>
      <c r="J24" s="27" t="s">
        <v>610</v>
      </c>
      <c r="K24" s="27" t="s">
        <v>3025</v>
      </c>
      <c r="L24" s="27"/>
      <c r="M24" s="30" t="s">
        <v>3982</v>
      </c>
      <c r="N24" s="1" t="s">
        <v>264</v>
      </c>
      <c r="O24" s="27"/>
      <c r="P24" s="27"/>
    </row>
    <row r="25" spans="1:16" ht="24" customHeight="1">
      <c r="A25" s="30">
        <v>45371</v>
      </c>
      <c r="B25" s="27" t="s">
        <v>201</v>
      </c>
      <c r="C25" s="27" t="s">
        <v>3958</v>
      </c>
      <c r="D25" s="27" t="s">
        <v>3989</v>
      </c>
      <c r="E25" s="10">
        <v>0.625</v>
      </c>
      <c r="F25" s="36" t="s">
        <v>263</v>
      </c>
      <c r="G25" s="27" t="s">
        <v>290</v>
      </c>
      <c r="H25" s="27" t="s">
        <v>369</v>
      </c>
      <c r="I25" s="27" t="s">
        <v>3960</v>
      </c>
      <c r="J25" s="27" t="s">
        <v>610</v>
      </c>
      <c r="K25" s="27" t="s">
        <v>351</v>
      </c>
      <c r="L25" s="27"/>
      <c r="M25" s="30" t="s">
        <v>3982</v>
      </c>
      <c r="N25" s="1" t="s">
        <v>264</v>
      </c>
      <c r="O25" s="27"/>
      <c r="P25" s="27"/>
    </row>
    <row r="26" spans="1:16" ht="24" customHeight="1">
      <c r="A26" s="30">
        <v>45372</v>
      </c>
      <c r="B26" s="27" t="s">
        <v>216</v>
      </c>
      <c r="C26" s="27" t="s">
        <v>239</v>
      </c>
      <c r="D26" s="27" t="s">
        <v>3990</v>
      </c>
      <c r="E26" s="10">
        <v>0.5</v>
      </c>
      <c r="F26" s="36" t="s">
        <v>263</v>
      </c>
      <c r="G26" s="27" t="s">
        <v>289</v>
      </c>
      <c r="H26" s="27"/>
      <c r="I26" s="27" t="s">
        <v>610</v>
      </c>
      <c r="J26" s="27" t="s">
        <v>610</v>
      </c>
      <c r="K26" s="27" t="s">
        <v>3991</v>
      </c>
      <c r="L26" s="27"/>
      <c r="M26" s="30" t="s">
        <v>3992</v>
      </c>
      <c r="N26" s="1" t="s">
        <v>264</v>
      </c>
      <c r="O26" s="27"/>
      <c r="P26" s="27"/>
    </row>
    <row r="27" spans="1:16" ht="24" customHeight="1">
      <c r="A27" s="30">
        <v>45373</v>
      </c>
      <c r="B27" s="27" t="s">
        <v>220</v>
      </c>
      <c r="C27" s="27"/>
      <c r="D27" s="27"/>
      <c r="E27" s="10"/>
      <c r="F27" s="36" t="s">
        <v>263</v>
      </c>
      <c r="G27" s="27"/>
      <c r="H27" s="27"/>
      <c r="I27" s="27"/>
      <c r="J27" s="27"/>
      <c r="K27" s="27"/>
      <c r="L27" s="27"/>
      <c r="M27" s="27"/>
      <c r="N27" s="1" t="s">
        <v>264</v>
      </c>
      <c r="O27" s="27"/>
      <c r="P27" s="27"/>
    </row>
    <row r="28" spans="1:16" ht="24" customHeight="1">
      <c r="A28" s="30">
        <v>45374</v>
      </c>
      <c r="B28" s="27" t="s">
        <v>266</v>
      </c>
      <c r="C28" s="27"/>
      <c r="D28" s="27"/>
      <c r="E28" s="10"/>
      <c r="F28" s="36" t="s">
        <v>263</v>
      </c>
      <c r="G28" s="27"/>
      <c r="H28" s="27"/>
      <c r="I28" s="27"/>
      <c r="J28" s="27"/>
      <c r="K28" s="27"/>
      <c r="L28" s="27"/>
      <c r="M28" s="27"/>
      <c r="N28" s="1" t="s">
        <v>264</v>
      </c>
      <c r="O28" s="27"/>
      <c r="P28" s="27"/>
    </row>
    <row r="29" spans="1:16" ht="24" customHeight="1">
      <c r="A29" s="30">
        <v>45375</v>
      </c>
      <c r="B29" s="27" t="s">
        <v>267</v>
      </c>
      <c r="C29" s="27"/>
      <c r="D29" s="27"/>
      <c r="E29" s="10"/>
      <c r="F29" s="36" t="s">
        <v>263</v>
      </c>
      <c r="G29" s="27"/>
      <c r="H29" s="27"/>
      <c r="I29" s="27"/>
      <c r="J29" s="27"/>
      <c r="K29" s="27"/>
      <c r="L29" s="27"/>
      <c r="M29" s="27"/>
      <c r="N29" s="1" t="s">
        <v>264</v>
      </c>
      <c r="O29" s="27"/>
      <c r="P29" s="27"/>
    </row>
    <row r="30" spans="1:16" ht="24" customHeight="1">
      <c r="A30" s="30">
        <v>45376</v>
      </c>
      <c r="B30" s="27" t="s">
        <v>224</v>
      </c>
      <c r="C30" s="27"/>
      <c r="D30" s="27"/>
      <c r="E30" s="10"/>
      <c r="F30" s="36" t="s">
        <v>263</v>
      </c>
      <c r="G30" s="27"/>
      <c r="H30" s="27"/>
      <c r="I30" s="27"/>
      <c r="J30" s="27"/>
      <c r="K30" s="27"/>
      <c r="L30" s="27"/>
      <c r="M30" s="27"/>
      <c r="N30" s="1" t="s">
        <v>264</v>
      </c>
      <c r="O30" s="27"/>
      <c r="P30" s="27"/>
    </row>
    <row r="31" spans="1:16" ht="24" customHeight="1">
      <c r="A31" s="30">
        <v>45377</v>
      </c>
      <c r="B31" s="27" t="s">
        <v>227</v>
      </c>
      <c r="C31" s="27"/>
      <c r="D31" s="27"/>
      <c r="E31" s="10"/>
      <c r="F31" s="36" t="s">
        <v>263</v>
      </c>
      <c r="G31" s="27"/>
      <c r="H31" s="27"/>
      <c r="I31" s="27"/>
      <c r="J31" s="27"/>
      <c r="K31" s="27"/>
      <c r="L31" s="27"/>
      <c r="M31" s="27"/>
      <c r="N31" s="1" t="s">
        <v>264</v>
      </c>
      <c r="O31" s="27"/>
      <c r="P31" s="27"/>
    </row>
    <row r="32" spans="1:16" ht="24" customHeight="1">
      <c r="A32" s="30">
        <v>45378</v>
      </c>
      <c r="B32" s="27" t="s">
        <v>201</v>
      </c>
      <c r="C32" s="27" t="s">
        <v>3958</v>
      </c>
      <c r="D32" s="27" t="s">
        <v>3993</v>
      </c>
      <c r="E32" s="10">
        <v>0.375</v>
      </c>
      <c r="F32" s="36" t="s">
        <v>263</v>
      </c>
      <c r="G32" s="27" t="s">
        <v>274</v>
      </c>
      <c r="H32" s="27" t="s">
        <v>369</v>
      </c>
      <c r="I32" s="27" t="s">
        <v>3960</v>
      </c>
      <c r="J32" s="27" t="s">
        <v>610</v>
      </c>
      <c r="K32" s="27" t="s">
        <v>3994</v>
      </c>
      <c r="L32" s="27"/>
      <c r="M32" s="30" t="s">
        <v>3995</v>
      </c>
      <c r="N32" s="1" t="s">
        <v>264</v>
      </c>
      <c r="O32" s="27"/>
      <c r="P32" s="27"/>
    </row>
    <row r="33" spans="1:16" ht="24" customHeight="1">
      <c r="A33" s="30">
        <v>45379</v>
      </c>
      <c r="B33" s="27" t="s">
        <v>216</v>
      </c>
      <c r="C33" s="27" t="s">
        <v>3958</v>
      </c>
      <c r="D33" s="27" t="s">
        <v>3996</v>
      </c>
      <c r="E33" s="10">
        <v>0.33333333333333331</v>
      </c>
      <c r="F33" s="36" t="s">
        <v>263</v>
      </c>
      <c r="G33" s="27" t="s">
        <v>315</v>
      </c>
      <c r="H33" s="27" t="s">
        <v>369</v>
      </c>
      <c r="I33" s="27" t="s">
        <v>3960</v>
      </c>
      <c r="J33" s="27" t="s">
        <v>610</v>
      </c>
      <c r="K33" s="27" t="s">
        <v>3997</v>
      </c>
      <c r="L33" s="27"/>
      <c r="M33" s="30" t="s">
        <v>3998</v>
      </c>
      <c r="N33" s="1" t="s">
        <v>264</v>
      </c>
      <c r="O33" s="27"/>
      <c r="P33" s="27"/>
    </row>
    <row r="34" spans="1:16" ht="24" customHeight="1">
      <c r="A34" s="30">
        <v>45380</v>
      </c>
      <c r="B34" s="27" t="s">
        <v>220</v>
      </c>
      <c r="C34" s="27"/>
      <c r="D34" s="27"/>
      <c r="E34" s="10"/>
      <c r="F34" s="36" t="s">
        <v>263</v>
      </c>
      <c r="G34" s="27"/>
      <c r="H34" s="27"/>
      <c r="I34" s="27"/>
      <c r="J34" s="27"/>
      <c r="K34" s="27"/>
      <c r="L34" s="27"/>
      <c r="M34" s="27"/>
      <c r="N34" s="1" t="s">
        <v>264</v>
      </c>
      <c r="O34" s="27"/>
      <c r="P34" s="27"/>
    </row>
    <row r="35" spans="1:16" ht="24" customHeight="1">
      <c r="A35" s="30">
        <v>45381</v>
      </c>
      <c r="B35" s="27" t="s">
        <v>266</v>
      </c>
      <c r="C35" s="27"/>
      <c r="D35" s="27"/>
      <c r="E35" s="10"/>
      <c r="F35" s="36" t="s">
        <v>263</v>
      </c>
      <c r="G35" s="27"/>
      <c r="H35" s="27"/>
      <c r="I35" s="27"/>
      <c r="J35" s="27"/>
      <c r="K35" s="27"/>
      <c r="L35" s="27"/>
      <c r="M35" s="27"/>
      <c r="N35" s="1" t="s">
        <v>264</v>
      </c>
      <c r="O35" s="27"/>
      <c r="P35" s="27"/>
    </row>
    <row r="36" spans="1:16" ht="24" customHeight="1">
      <c r="A36" s="30">
        <v>45382</v>
      </c>
      <c r="B36" s="27" t="s">
        <v>267</v>
      </c>
      <c r="C36" s="27"/>
      <c r="D36" s="27"/>
      <c r="E36" s="10"/>
      <c r="F36" s="36" t="s">
        <v>263</v>
      </c>
      <c r="G36" s="27"/>
      <c r="H36" s="27"/>
      <c r="I36" s="27"/>
      <c r="J36" s="27"/>
      <c r="K36" s="27"/>
      <c r="L36" s="27"/>
      <c r="M36" s="27"/>
      <c r="N36" s="1" t="s">
        <v>264</v>
      </c>
      <c r="O36" s="27"/>
      <c r="P36" s="27"/>
    </row>
  </sheetData>
  <mergeCells count="3">
    <mergeCell ref="A1:C1"/>
    <mergeCell ref="D1:K1"/>
    <mergeCell ref="L1:P1"/>
  </mergeCells>
  <dataValidations count="2">
    <dataValidation type="list" allowBlank="1" sqref="M3:M86 N3:N36" xr:uid="{00000000-0002-0000-2B00-000000000000}">
      <formula1>"Confirmed (Done),Pending Calendar Booking,Canceled"</formula1>
    </dataValidation>
    <dataValidation type="list" allowBlank="1" sqref="F3:F36" xr:uid="{00000000-0002-0000-2B00-000001000000}">
      <formula1>"Big Event,Small Event"</formula1>
    </dataValidation>
  </dataValidations>
  <hyperlinks>
    <hyperlink ref="A1" location="'Dashboard'!A1" display="🏠 ⮌ RETURN TO DASHBOARD" xr:uid="{00000000-0004-0000-2B00-000000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39"/>
  <sheetViews>
    <sheetView workbookViewId="0">
      <pane ySplit="2" topLeftCell="A3" activePane="bottomLeft" state="frozen"/>
      <selection pane="bottomLeft"/>
    </sheetView>
  </sheetViews>
  <sheetFormatPr defaultRowHeight="14.45"/>
  <cols>
    <col min="1" max="1" width="15" customWidth="1"/>
    <col min="2" max="2" width="12" customWidth="1"/>
    <col min="3" max="3" width="33" customWidth="1"/>
    <col min="4" max="4" width="48" customWidth="1"/>
    <col min="5" max="5" width="21" customWidth="1"/>
    <col min="6" max="6" width="15" customWidth="1"/>
    <col min="7" max="7" width="19" customWidth="1"/>
    <col min="8" max="8" width="26" customWidth="1"/>
    <col min="9" max="9" width="18" customWidth="1"/>
    <col min="10" max="10" width="48" customWidth="1"/>
    <col min="11" max="11" width="40" customWidth="1"/>
    <col min="12" max="12" width="25" customWidth="1"/>
    <col min="13" max="13" width="16" customWidth="1"/>
    <col min="14" max="14" width="25" customWidth="1"/>
    <col min="15" max="15" width="37" customWidth="1"/>
    <col min="16" max="16" width="19" customWidth="1"/>
  </cols>
  <sheetData>
    <row r="1" spans="1:16" ht="27.95" customHeight="1">
      <c r="A1" s="62" t="s">
        <v>2138</v>
      </c>
      <c r="B1" s="134"/>
      <c r="C1" s="135"/>
      <c r="D1" s="63" t="s">
        <v>3999</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t="s">
        <v>4000</v>
      </c>
      <c r="B3" s="27" t="s">
        <v>4001</v>
      </c>
      <c r="C3" s="27" t="s">
        <v>4002</v>
      </c>
      <c r="D3" s="27" t="s">
        <v>4003</v>
      </c>
      <c r="E3" s="10">
        <v>0.33333333333333331</v>
      </c>
      <c r="F3" s="36" t="s">
        <v>263</v>
      </c>
      <c r="G3" s="27" t="s">
        <v>270</v>
      </c>
      <c r="H3" s="27" t="s">
        <v>271</v>
      </c>
      <c r="I3" s="27"/>
      <c r="J3" s="27"/>
      <c r="K3" s="27" t="s">
        <v>2584</v>
      </c>
      <c r="L3" s="27"/>
      <c r="M3" s="27"/>
      <c r="N3" s="1" t="s">
        <v>264</v>
      </c>
      <c r="O3" s="27"/>
      <c r="P3" s="27"/>
    </row>
    <row r="4" spans="1:16" ht="24" customHeight="1">
      <c r="A4" s="30" t="s">
        <v>4004</v>
      </c>
      <c r="B4" s="27" t="s">
        <v>4005</v>
      </c>
      <c r="C4" s="27" t="s">
        <v>4006</v>
      </c>
      <c r="D4" s="27"/>
      <c r="E4" s="10"/>
      <c r="F4" s="36" t="s">
        <v>263</v>
      </c>
      <c r="G4" s="27"/>
      <c r="H4" s="27"/>
      <c r="I4" s="27"/>
      <c r="J4" s="27" t="s">
        <v>4007</v>
      </c>
      <c r="K4" s="27" t="s">
        <v>4008</v>
      </c>
      <c r="L4" s="27"/>
      <c r="M4" s="30" t="s">
        <v>4009</v>
      </c>
      <c r="N4" s="1" t="s">
        <v>264</v>
      </c>
      <c r="O4" s="27"/>
      <c r="P4" s="27"/>
    </row>
    <row r="5" spans="1:16" ht="24" customHeight="1">
      <c r="A5" s="30" t="s">
        <v>4004</v>
      </c>
      <c r="B5" s="27" t="s">
        <v>4005</v>
      </c>
      <c r="C5" s="27" t="s">
        <v>4010</v>
      </c>
      <c r="D5" s="27"/>
      <c r="E5" s="10" t="s">
        <v>4011</v>
      </c>
      <c r="F5" s="36" t="s">
        <v>263</v>
      </c>
      <c r="G5" s="27"/>
      <c r="H5" s="27" t="s">
        <v>369</v>
      </c>
      <c r="I5" s="27" t="s">
        <v>369</v>
      </c>
      <c r="J5" s="27" t="s">
        <v>4007</v>
      </c>
      <c r="K5" s="27" t="s">
        <v>4008</v>
      </c>
      <c r="L5" s="27"/>
      <c r="M5" s="30" t="s">
        <v>4009</v>
      </c>
      <c r="N5" s="1" t="s">
        <v>264</v>
      </c>
      <c r="O5" s="27"/>
      <c r="P5" s="27"/>
    </row>
    <row r="6" spans="1:16" ht="24" customHeight="1">
      <c r="A6" s="30" t="s">
        <v>4004</v>
      </c>
      <c r="B6" s="27" t="s">
        <v>4005</v>
      </c>
      <c r="C6" s="27" t="s">
        <v>4012</v>
      </c>
      <c r="D6" s="27" t="s">
        <v>353</v>
      </c>
      <c r="E6" s="10">
        <v>0.60416666666666663</v>
      </c>
      <c r="F6" s="36" t="s">
        <v>263</v>
      </c>
      <c r="G6" s="27" t="s">
        <v>296</v>
      </c>
      <c r="H6" s="27" t="s">
        <v>369</v>
      </c>
      <c r="I6" s="27" t="s">
        <v>4013</v>
      </c>
      <c r="J6" s="27" t="s">
        <v>1725</v>
      </c>
      <c r="K6" s="27" t="s">
        <v>4008</v>
      </c>
      <c r="L6" s="27"/>
      <c r="M6" s="30" t="s">
        <v>4009</v>
      </c>
      <c r="N6" s="1" t="s">
        <v>264</v>
      </c>
      <c r="O6" s="27"/>
      <c r="P6" s="27"/>
    </row>
    <row r="7" spans="1:16" ht="24" customHeight="1">
      <c r="A7" s="30" t="s">
        <v>4014</v>
      </c>
      <c r="B7" s="27" t="s">
        <v>4015</v>
      </c>
      <c r="C7" s="27" t="s">
        <v>4006</v>
      </c>
      <c r="D7" s="27" t="s">
        <v>4016</v>
      </c>
      <c r="E7" s="10" t="s">
        <v>4011</v>
      </c>
      <c r="F7" s="36" t="s">
        <v>263</v>
      </c>
      <c r="G7" s="27"/>
      <c r="H7" s="27"/>
      <c r="I7" s="27" t="s">
        <v>369</v>
      </c>
      <c r="J7" s="27" t="s">
        <v>4007</v>
      </c>
      <c r="K7" s="27" t="s">
        <v>4008</v>
      </c>
      <c r="L7" s="27"/>
      <c r="M7" s="30" t="s">
        <v>4009</v>
      </c>
      <c r="N7" s="1" t="s">
        <v>264</v>
      </c>
      <c r="O7" s="27"/>
      <c r="P7" s="27"/>
    </row>
    <row r="8" spans="1:16" ht="24" customHeight="1">
      <c r="A8" s="30" t="s">
        <v>4014</v>
      </c>
      <c r="B8" s="27" t="s">
        <v>4015</v>
      </c>
      <c r="C8" s="27" t="s">
        <v>4010</v>
      </c>
      <c r="D8" s="27" t="s">
        <v>4016</v>
      </c>
      <c r="E8" s="10" t="s">
        <v>4011</v>
      </c>
      <c r="F8" s="36" t="s">
        <v>263</v>
      </c>
      <c r="G8" s="27"/>
      <c r="H8" s="27"/>
      <c r="I8" s="27"/>
      <c r="J8" s="27" t="s">
        <v>4007</v>
      </c>
      <c r="K8" s="27" t="s">
        <v>4008</v>
      </c>
      <c r="L8" s="27"/>
      <c r="M8" s="30" t="s">
        <v>4009</v>
      </c>
      <c r="N8" s="1" t="s">
        <v>264</v>
      </c>
      <c r="O8" s="27"/>
      <c r="P8" s="27"/>
    </row>
    <row r="9" spans="1:16" ht="24" customHeight="1">
      <c r="A9" s="30" t="s">
        <v>4014</v>
      </c>
      <c r="B9" s="27" t="s">
        <v>4015</v>
      </c>
      <c r="C9" s="27" t="s">
        <v>4012</v>
      </c>
      <c r="D9" s="27" t="s">
        <v>353</v>
      </c>
      <c r="E9" s="10">
        <v>0.625</v>
      </c>
      <c r="F9" s="36" t="s">
        <v>263</v>
      </c>
      <c r="G9" s="27" t="s">
        <v>296</v>
      </c>
      <c r="H9" s="27" t="s">
        <v>610</v>
      </c>
      <c r="I9" s="27" t="s">
        <v>4013</v>
      </c>
      <c r="J9" s="27" t="s">
        <v>610</v>
      </c>
      <c r="K9" s="27" t="s">
        <v>4017</v>
      </c>
      <c r="L9" s="27"/>
      <c r="M9" s="30" t="s">
        <v>4018</v>
      </c>
      <c r="N9" s="1" t="s">
        <v>264</v>
      </c>
      <c r="O9" s="27"/>
      <c r="P9" s="27"/>
    </row>
    <row r="10" spans="1:16" ht="24" customHeight="1">
      <c r="A10" s="30" t="s">
        <v>4019</v>
      </c>
      <c r="B10" s="27" t="s">
        <v>4020</v>
      </c>
      <c r="C10" s="27" t="s">
        <v>4012</v>
      </c>
      <c r="D10" s="27" t="s">
        <v>4021</v>
      </c>
      <c r="E10" s="10">
        <v>0.64583333333333337</v>
      </c>
      <c r="F10" s="36" t="s">
        <v>263</v>
      </c>
      <c r="G10" s="27" t="s">
        <v>290</v>
      </c>
      <c r="H10" s="27" t="s">
        <v>610</v>
      </c>
      <c r="I10" s="27"/>
      <c r="J10" s="27" t="s">
        <v>369</v>
      </c>
      <c r="K10" s="27" t="s">
        <v>351</v>
      </c>
      <c r="L10" s="27"/>
      <c r="M10" s="30" t="s">
        <v>3995</v>
      </c>
      <c r="N10" s="1" t="s">
        <v>264</v>
      </c>
      <c r="O10" s="27"/>
      <c r="P10" s="27"/>
    </row>
    <row r="11" spans="1:16" ht="24" customHeight="1">
      <c r="A11" s="30" t="s">
        <v>4022</v>
      </c>
      <c r="B11" s="27" t="s">
        <v>4023</v>
      </c>
      <c r="C11" s="27" t="s">
        <v>4012</v>
      </c>
      <c r="D11" s="27" t="s">
        <v>658</v>
      </c>
      <c r="E11" s="10">
        <v>0.60416666666666663</v>
      </c>
      <c r="F11" s="36" t="s">
        <v>263</v>
      </c>
      <c r="G11" s="27" t="s">
        <v>290</v>
      </c>
      <c r="H11" s="27" t="s">
        <v>369</v>
      </c>
      <c r="I11" s="27" t="s">
        <v>3960</v>
      </c>
      <c r="J11" s="27" t="s">
        <v>610</v>
      </c>
      <c r="K11" s="27" t="s">
        <v>4024</v>
      </c>
      <c r="L11" s="27"/>
      <c r="M11" s="30" t="s">
        <v>3985</v>
      </c>
      <c r="N11" s="3" t="s">
        <v>312</v>
      </c>
      <c r="O11" s="27" t="s">
        <v>4025</v>
      </c>
      <c r="P11" s="27"/>
    </row>
    <row r="12" spans="1:16" ht="24" customHeight="1">
      <c r="A12" s="30" t="s">
        <v>4026</v>
      </c>
      <c r="B12" s="27" t="s">
        <v>4027</v>
      </c>
      <c r="C12" s="27"/>
      <c r="D12" s="27"/>
      <c r="E12" s="10"/>
      <c r="F12" s="36" t="s">
        <v>263</v>
      </c>
      <c r="G12" s="27"/>
      <c r="H12" s="27"/>
      <c r="I12" s="27"/>
      <c r="J12" s="27"/>
      <c r="K12" s="27"/>
      <c r="L12" s="27"/>
      <c r="M12" s="27"/>
      <c r="N12" s="1" t="s">
        <v>264</v>
      </c>
      <c r="O12" s="27"/>
      <c r="P12" s="27"/>
    </row>
    <row r="13" spans="1:16" ht="24" customHeight="1">
      <c r="A13" s="30" t="s">
        <v>4028</v>
      </c>
      <c r="B13" s="27" t="s">
        <v>4029</v>
      </c>
      <c r="C13" s="27"/>
      <c r="D13" s="27"/>
      <c r="E13" s="10"/>
      <c r="F13" s="36" t="s">
        <v>263</v>
      </c>
      <c r="G13" s="27"/>
      <c r="H13" s="27"/>
      <c r="I13" s="27"/>
      <c r="J13" s="27"/>
      <c r="K13" s="27"/>
      <c r="L13" s="27"/>
      <c r="M13" s="27"/>
      <c r="N13" s="1" t="s">
        <v>264</v>
      </c>
      <c r="O13" s="27"/>
      <c r="P13" s="27"/>
    </row>
    <row r="14" spans="1:16" ht="24" customHeight="1">
      <c r="A14" s="30" t="s">
        <v>4030</v>
      </c>
      <c r="B14" s="27" t="s">
        <v>4001</v>
      </c>
      <c r="C14" s="27" t="s">
        <v>4002</v>
      </c>
      <c r="D14" s="27" t="s">
        <v>4003</v>
      </c>
      <c r="E14" s="10">
        <v>0.33333333333333331</v>
      </c>
      <c r="F14" s="36" t="s">
        <v>263</v>
      </c>
      <c r="G14" s="27" t="s">
        <v>270</v>
      </c>
      <c r="H14" s="27" t="s">
        <v>369</v>
      </c>
      <c r="I14" s="27" t="s">
        <v>369</v>
      </c>
      <c r="J14" s="27" t="s">
        <v>369</v>
      </c>
      <c r="K14" s="27" t="s">
        <v>2584</v>
      </c>
      <c r="L14" s="27"/>
      <c r="M14" s="30" t="s">
        <v>4031</v>
      </c>
      <c r="N14" s="1" t="s">
        <v>264</v>
      </c>
      <c r="O14" s="27"/>
      <c r="P14" s="27"/>
    </row>
    <row r="15" spans="1:16" ht="24" customHeight="1">
      <c r="A15" s="30" t="s">
        <v>4032</v>
      </c>
      <c r="B15" s="27" t="s">
        <v>4005</v>
      </c>
      <c r="C15" s="27" t="s">
        <v>3971</v>
      </c>
      <c r="D15" s="27" t="s">
        <v>4033</v>
      </c>
      <c r="E15" s="10">
        <v>0.60416666666666663</v>
      </c>
      <c r="F15" s="36" t="s">
        <v>263</v>
      </c>
      <c r="G15" s="27" t="s">
        <v>290</v>
      </c>
      <c r="H15" s="27" t="s">
        <v>610</v>
      </c>
      <c r="I15" s="27" t="s">
        <v>369</v>
      </c>
      <c r="J15" s="27" t="s">
        <v>369</v>
      </c>
      <c r="K15" s="27" t="s">
        <v>4034</v>
      </c>
      <c r="L15" s="27"/>
      <c r="M15" s="30" t="s">
        <v>4035</v>
      </c>
      <c r="N15" s="1" t="s">
        <v>264</v>
      </c>
      <c r="O15" s="27"/>
      <c r="P15" s="27"/>
    </row>
    <row r="16" spans="1:16" ht="24" customHeight="1">
      <c r="A16" s="30" t="s">
        <v>4036</v>
      </c>
      <c r="B16" s="27" t="s">
        <v>4015</v>
      </c>
      <c r="C16" s="27"/>
      <c r="D16" s="27"/>
      <c r="E16" s="10"/>
      <c r="F16" s="36" t="s">
        <v>263</v>
      </c>
      <c r="G16" s="27"/>
      <c r="H16" s="27"/>
      <c r="I16" s="27"/>
      <c r="J16" s="27"/>
      <c r="K16" s="27"/>
      <c r="L16" s="27"/>
      <c r="M16" s="27"/>
      <c r="N16" s="1" t="s">
        <v>264</v>
      </c>
      <c r="O16" s="27"/>
      <c r="P16" s="27"/>
    </row>
    <row r="17" spans="1:16" ht="24" customHeight="1">
      <c r="A17" s="30" t="s">
        <v>4037</v>
      </c>
      <c r="B17" s="27" t="s">
        <v>4020</v>
      </c>
      <c r="C17" s="27" t="s">
        <v>4012</v>
      </c>
      <c r="D17" s="27" t="s">
        <v>3966</v>
      </c>
      <c r="E17" s="10">
        <v>0.625</v>
      </c>
      <c r="F17" s="36" t="s">
        <v>263</v>
      </c>
      <c r="G17" s="27" t="s">
        <v>290</v>
      </c>
      <c r="H17" s="27" t="s">
        <v>610</v>
      </c>
      <c r="I17" s="27"/>
      <c r="J17" s="27" t="s">
        <v>610</v>
      </c>
      <c r="K17" s="27" t="s">
        <v>2835</v>
      </c>
      <c r="L17" s="27"/>
      <c r="M17" s="30" t="s">
        <v>4038</v>
      </c>
      <c r="N17" s="1" t="s">
        <v>264</v>
      </c>
      <c r="O17" s="27"/>
      <c r="P17" s="27"/>
    </row>
    <row r="18" spans="1:16" ht="24" customHeight="1">
      <c r="A18" s="30" t="s">
        <v>4039</v>
      </c>
      <c r="B18" s="27" t="s">
        <v>4023</v>
      </c>
      <c r="C18" s="27" t="s">
        <v>4012</v>
      </c>
      <c r="D18" s="27" t="s">
        <v>828</v>
      </c>
      <c r="E18" s="10">
        <v>0.625</v>
      </c>
      <c r="F18" s="36" t="s">
        <v>263</v>
      </c>
      <c r="G18" s="27" t="s">
        <v>460</v>
      </c>
      <c r="H18" s="27" t="s">
        <v>610</v>
      </c>
      <c r="I18" s="27" t="s">
        <v>369</v>
      </c>
      <c r="J18" s="27" t="s">
        <v>369</v>
      </c>
      <c r="K18" s="27" t="s">
        <v>4040</v>
      </c>
      <c r="L18" s="27"/>
      <c r="M18" s="30" t="s">
        <v>4041</v>
      </c>
      <c r="N18" s="3" t="s">
        <v>312</v>
      </c>
      <c r="O18" s="27" t="s">
        <v>901</v>
      </c>
      <c r="P18" s="27"/>
    </row>
    <row r="19" spans="1:16" ht="24" customHeight="1">
      <c r="A19" s="30" t="s">
        <v>4042</v>
      </c>
      <c r="B19" s="27" t="s">
        <v>4027</v>
      </c>
      <c r="C19" s="27" t="s">
        <v>4043</v>
      </c>
      <c r="D19" s="27" t="s">
        <v>4044</v>
      </c>
      <c r="E19" s="10">
        <v>0.375</v>
      </c>
      <c r="F19" s="36" t="s">
        <v>263</v>
      </c>
      <c r="G19" s="27" t="s">
        <v>270</v>
      </c>
      <c r="H19" s="27" t="s">
        <v>382</v>
      </c>
      <c r="I19" s="27" t="s">
        <v>382</v>
      </c>
      <c r="J19" s="27" t="s">
        <v>4045</v>
      </c>
      <c r="K19" s="27" t="s">
        <v>4046</v>
      </c>
      <c r="L19" s="27"/>
      <c r="M19" s="30" t="s">
        <v>3995</v>
      </c>
      <c r="N19" s="3" t="s">
        <v>312</v>
      </c>
      <c r="O19" s="27" t="s">
        <v>901</v>
      </c>
      <c r="P19" s="27"/>
    </row>
    <row r="20" spans="1:16" ht="24" customHeight="1">
      <c r="A20" s="30">
        <v>45396</v>
      </c>
      <c r="B20" s="27" t="s">
        <v>267</v>
      </c>
      <c r="C20" s="27"/>
      <c r="D20" s="27"/>
      <c r="E20" s="10"/>
      <c r="F20" s="36" t="s">
        <v>263</v>
      </c>
      <c r="G20" s="27"/>
      <c r="H20" s="27"/>
      <c r="I20" s="27"/>
      <c r="J20" s="27"/>
      <c r="K20" s="27"/>
      <c r="L20" s="27"/>
      <c r="M20" s="27"/>
      <c r="N20" s="1" t="s">
        <v>264</v>
      </c>
      <c r="O20" s="27"/>
      <c r="P20" s="27"/>
    </row>
    <row r="21" spans="1:16" ht="24" customHeight="1">
      <c r="A21" s="30">
        <v>45397</v>
      </c>
      <c r="B21" s="27" t="s">
        <v>224</v>
      </c>
      <c r="C21" s="27" t="s">
        <v>4002</v>
      </c>
      <c r="D21" s="27" t="s">
        <v>4003</v>
      </c>
      <c r="E21" s="10">
        <v>0.33333333333333331</v>
      </c>
      <c r="F21" s="36" t="s">
        <v>263</v>
      </c>
      <c r="G21" s="27" t="s">
        <v>270</v>
      </c>
      <c r="H21" s="27" t="s">
        <v>369</v>
      </c>
      <c r="I21" s="27" t="s">
        <v>369</v>
      </c>
      <c r="J21" s="27" t="s">
        <v>369</v>
      </c>
      <c r="K21" s="27" t="s">
        <v>2584</v>
      </c>
      <c r="L21" s="27"/>
      <c r="M21" s="27"/>
      <c r="N21" s="1" t="s">
        <v>264</v>
      </c>
      <c r="O21" s="27"/>
      <c r="P21" s="27"/>
    </row>
    <row r="22" spans="1:16" ht="24" customHeight="1">
      <c r="A22" s="30">
        <v>45398</v>
      </c>
      <c r="B22" s="27" t="s">
        <v>227</v>
      </c>
      <c r="C22" s="27" t="s">
        <v>4012</v>
      </c>
      <c r="D22" s="27" t="s">
        <v>4047</v>
      </c>
      <c r="E22" s="10">
        <v>0.33333333333333331</v>
      </c>
      <c r="F22" s="36" t="s">
        <v>263</v>
      </c>
      <c r="G22" s="27" t="s">
        <v>274</v>
      </c>
      <c r="H22" s="27" t="s">
        <v>610</v>
      </c>
      <c r="I22" s="27" t="s">
        <v>3960</v>
      </c>
      <c r="J22" s="27" t="s">
        <v>369</v>
      </c>
      <c r="K22" s="27" t="s">
        <v>4048</v>
      </c>
      <c r="L22" s="27"/>
      <c r="M22" s="30" t="s">
        <v>4049</v>
      </c>
      <c r="N22" s="3" t="s">
        <v>312</v>
      </c>
      <c r="O22" s="27" t="s">
        <v>4050</v>
      </c>
      <c r="P22" s="27"/>
    </row>
    <row r="23" spans="1:16" ht="24" customHeight="1">
      <c r="A23" s="30">
        <v>45399</v>
      </c>
      <c r="B23" s="27" t="s">
        <v>201</v>
      </c>
      <c r="C23" s="27" t="s">
        <v>4012</v>
      </c>
      <c r="D23" s="27" t="s">
        <v>4051</v>
      </c>
      <c r="E23" s="10">
        <v>0.625</v>
      </c>
      <c r="F23" s="36" t="s">
        <v>263</v>
      </c>
      <c r="G23" s="27" t="s">
        <v>296</v>
      </c>
      <c r="H23" s="27" t="s">
        <v>4052</v>
      </c>
      <c r="I23" s="27"/>
      <c r="J23" s="27" t="s">
        <v>369</v>
      </c>
      <c r="K23" s="27" t="s">
        <v>4053</v>
      </c>
      <c r="L23" s="27"/>
      <c r="M23" s="30" t="s">
        <v>4035</v>
      </c>
      <c r="N23" s="1" t="s">
        <v>264</v>
      </c>
      <c r="O23" s="27"/>
      <c r="P23" s="27"/>
    </row>
    <row r="24" spans="1:16" ht="24" customHeight="1">
      <c r="A24" s="30">
        <v>45400</v>
      </c>
      <c r="B24" s="27" t="s">
        <v>216</v>
      </c>
      <c r="C24" s="27" t="s">
        <v>4012</v>
      </c>
      <c r="D24" s="27" t="s">
        <v>828</v>
      </c>
      <c r="E24" s="10">
        <v>0.625</v>
      </c>
      <c r="F24" s="36" t="s">
        <v>263</v>
      </c>
      <c r="G24" s="27" t="s">
        <v>460</v>
      </c>
      <c r="H24" s="27" t="s">
        <v>610</v>
      </c>
      <c r="I24" s="27" t="s">
        <v>369</v>
      </c>
      <c r="J24" s="27" t="s">
        <v>369</v>
      </c>
      <c r="K24" s="27" t="s">
        <v>4040</v>
      </c>
      <c r="L24" s="27"/>
      <c r="M24" s="30" t="s">
        <v>4054</v>
      </c>
      <c r="N24" s="1" t="s">
        <v>264</v>
      </c>
      <c r="O24" s="27"/>
      <c r="P24" s="27"/>
    </row>
    <row r="25" spans="1:16" ht="24" customHeight="1">
      <c r="A25" s="30">
        <v>45400</v>
      </c>
      <c r="B25" s="27" t="s">
        <v>216</v>
      </c>
      <c r="C25" s="27" t="s">
        <v>4012</v>
      </c>
      <c r="D25" s="27" t="s">
        <v>4055</v>
      </c>
      <c r="E25" s="10" t="s">
        <v>4056</v>
      </c>
      <c r="F25" s="36" t="s">
        <v>263</v>
      </c>
      <c r="G25" s="27"/>
      <c r="H25" s="27"/>
      <c r="I25" s="27"/>
      <c r="J25" s="27"/>
      <c r="K25" s="27" t="s">
        <v>1208</v>
      </c>
      <c r="L25" s="27"/>
      <c r="M25" s="27"/>
      <c r="N25" s="1" t="s">
        <v>264</v>
      </c>
      <c r="O25" s="27"/>
      <c r="P25" s="27"/>
    </row>
    <row r="26" spans="1:16" ht="24" customHeight="1">
      <c r="A26" s="30">
        <v>45401</v>
      </c>
      <c r="B26" s="27" t="s">
        <v>220</v>
      </c>
      <c r="C26" s="27" t="s">
        <v>4012</v>
      </c>
      <c r="D26" s="27" t="s">
        <v>2944</v>
      </c>
      <c r="E26" s="10">
        <v>0.625</v>
      </c>
      <c r="F26" s="36" t="s">
        <v>263</v>
      </c>
      <c r="G26" s="27" t="s">
        <v>698</v>
      </c>
      <c r="H26" s="27" t="s">
        <v>610</v>
      </c>
      <c r="I26" s="27" t="s">
        <v>369</v>
      </c>
      <c r="J26" s="27" t="s">
        <v>369</v>
      </c>
      <c r="K26" s="27" t="s">
        <v>4034</v>
      </c>
      <c r="L26" s="27"/>
      <c r="M26" s="30" t="s">
        <v>4057</v>
      </c>
      <c r="N26" s="1" t="s">
        <v>264</v>
      </c>
      <c r="O26" s="27"/>
      <c r="P26" s="27"/>
    </row>
    <row r="27" spans="1:16" ht="24" customHeight="1">
      <c r="A27" s="30">
        <v>45402</v>
      </c>
      <c r="B27" s="27" t="s">
        <v>266</v>
      </c>
      <c r="C27" s="27" t="s">
        <v>4058</v>
      </c>
      <c r="D27" s="27" t="s">
        <v>300</v>
      </c>
      <c r="E27" s="10">
        <v>0.375</v>
      </c>
      <c r="F27" s="36" t="s">
        <v>263</v>
      </c>
      <c r="G27" s="27" t="s">
        <v>270</v>
      </c>
      <c r="H27" s="27" t="s">
        <v>382</v>
      </c>
      <c r="I27" s="27"/>
      <c r="J27" s="27"/>
      <c r="K27" s="27" t="s">
        <v>4046</v>
      </c>
      <c r="L27" s="27"/>
      <c r="M27" s="30" t="s">
        <v>4059</v>
      </c>
      <c r="N27" s="3" t="s">
        <v>312</v>
      </c>
      <c r="O27" s="27" t="s">
        <v>4060</v>
      </c>
      <c r="P27" s="27"/>
    </row>
    <row r="28" spans="1:16" ht="24" customHeight="1">
      <c r="A28" s="30">
        <v>45403</v>
      </c>
      <c r="B28" s="27" t="s">
        <v>267</v>
      </c>
      <c r="C28" s="27"/>
      <c r="D28" s="27"/>
      <c r="E28" s="10"/>
      <c r="F28" s="36" t="s">
        <v>263</v>
      </c>
      <c r="G28" s="27"/>
      <c r="H28" s="27"/>
      <c r="I28" s="27"/>
      <c r="J28" s="27"/>
      <c r="K28" s="27"/>
      <c r="L28" s="27"/>
      <c r="M28" s="27"/>
      <c r="N28" s="1" t="s">
        <v>264</v>
      </c>
      <c r="O28" s="27"/>
      <c r="P28" s="27"/>
    </row>
    <row r="29" spans="1:16" ht="24" customHeight="1">
      <c r="A29" s="30">
        <v>45404</v>
      </c>
      <c r="B29" s="27" t="s">
        <v>224</v>
      </c>
      <c r="C29" s="27" t="s">
        <v>4012</v>
      </c>
      <c r="D29" s="27" t="s">
        <v>4061</v>
      </c>
      <c r="E29" s="10">
        <v>0.33333333333333331</v>
      </c>
      <c r="F29" s="36" t="s">
        <v>263</v>
      </c>
      <c r="G29" s="27" t="s">
        <v>270</v>
      </c>
      <c r="H29" s="27" t="s">
        <v>610</v>
      </c>
      <c r="I29" s="27" t="s">
        <v>3960</v>
      </c>
      <c r="J29" s="27" t="s">
        <v>4062</v>
      </c>
      <c r="K29" s="27" t="s">
        <v>2584</v>
      </c>
      <c r="L29" s="27"/>
      <c r="M29" s="30" t="s">
        <v>4031</v>
      </c>
      <c r="N29" s="1" t="s">
        <v>264</v>
      </c>
      <c r="O29" s="27"/>
      <c r="P29" s="27"/>
    </row>
    <row r="30" spans="1:16" ht="24" customHeight="1">
      <c r="A30" s="30">
        <v>45404</v>
      </c>
      <c r="B30" s="27" t="s">
        <v>224</v>
      </c>
      <c r="C30" s="27" t="s">
        <v>4063</v>
      </c>
      <c r="D30" s="27" t="s">
        <v>4064</v>
      </c>
      <c r="E30" s="10">
        <v>0.33333333333333331</v>
      </c>
      <c r="F30" s="36" t="s">
        <v>263</v>
      </c>
      <c r="G30" s="27" t="s">
        <v>270</v>
      </c>
      <c r="H30" s="27" t="s">
        <v>610</v>
      </c>
      <c r="I30" s="27"/>
      <c r="J30" s="27"/>
      <c r="K30" s="27"/>
      <c r="L30" s="27"/>
      <c r="M30" s="30" t="s">
        <v>4031</v>
      </c>
      <c r="N30" s="1" t="s">
        <v>264</v>
      </c>
      <c r="O30" s="27"/>
      <c r="P30" s="27"/>
    </row>
    <row r="31" spans="1:16" ht="24" customHeight="1">
      <c r="A31" s="30">
        <v>45405</v>
      </c>
      <c r="B31" s="27" t="s">
        <v>227</v>
      </c>
      <c r="C31" s="27" t="s">
        <v>4012</v>
      </c>
      <c r="D31" s="27" t="s">
        <v>4065</v>
      </c>
      <c r="E31" s="10">
        <v>0.61458333333333337</v>
      </c>
      <c r="F31" s="36" t="s">
        <v>263</v>
      </c>
      <c r="G31" s="27" t="s">
        <v>290</v>
      </c>
      <c r="H31" s="27" t="s">
        <v>610</v>
      </c>
      <c r="I31" s="27" t="s">
        <v>369</v>
      </c>
      <c r="J31" s="27" t="s">
        <v>369</v>
      </c>
      <c r="K31" s="27" t="s">
        <v>2602</v>
      </c>
      <c r="L31" s="27"/>
      <c r="M31" s="30" t="s">
        <v>4057</v>
      </c>
      <c r="N31" s="1" t="s">
        <v>264</v>
      </c>
      <c r="O31" s="27"/>
      <c r="P31" s="27"/>
    </row>
    <row r="32" spans="1:16" ht="24" customHeight="1">
      <c r="A32" s="30">
        <v>45406</v>
      </c>
      <c r="B32" s="27" t="s">
        <v>201</v>
      </c>
      <c r="C32" s="27" t="s">
        <v>4012</v>
      </c>
      <c r="D32" s="27" t="s">
        <v>4066</v>
      </c>
      <c r="E32" s="10">
        <v>0.60416666666666663</v>
      </c>
      <c r="F32" s="36" t="s">
        <v>263</v>
      </c>
      <c r="G32" s="27" t="s">
        <v>544</v>
      </c>
      <c r="H32" s="27" t="s">
        <v>610</v>
      </c>
      <c r="I32" s="27" t="s">
        <v>369</v>
      </c>
      <c r="J32" s="27" t="s">
        <v>369</v>
      </c>
      <c r="K32" s="27" t="s">
        <v>688</v>
      </c>
      <c r="L32" s="27"/>
      <c r="M32" s="30" t="s">
        <v>4067</v>
      </c>
      <c r="N32" s="1" t="s">
        <v>264</v>
      </c>
      <c r="O32" s="27"/>
      <c r="P32" s="27"/>
    </row>
    <row r="33" spans="1:16" ht="24" customHeight="1">
      <c r="A33" s="30">
        <v>45407</v>
      </c>
      <c r="B33" s="27" t="s">
        <v>216</v>
      </c>
      <c r="C33" s="27" t="s">
        <v>4012</v>
      </c>
      <c r="D33" s="27" t="s">
        <v>4068</v>
      </c>
      <c r="E33" s="10">
        <v>0.625</v>
      </c>
      <c r="F33" s="36" t="s">
        <v>263</v>
      </c>
      <c r="G33" s="27" t="s">
        <v>290</v>
      </c>
      <c r="H33" s="27" t="s">
        <v>610</v>
      </c>
      <c r="I33" s="27" t="s">
        <v>369</v>
      </c>
      <c r="J33" s="27" t="s">
        <v>369</v>
      </c>
      <c r="K33" s="27" t="s">
        <v>4069</v>
      </c>
      <c r="L33" s="27"/>
      <c r="M33" s="30" t="s">
        <v>4070</v>
      </c>
      <c r="N33" s="1" t="s">
        <v>264</v>
      </c>
      <c r="O33" s="27"/>
      <c r="P33" s="27"/>
    </row>
    <row r="34" spans="1:16" ht="24" customHeight="1">
      <c r="A34" s="30">
        <v>45407</v>
      </c>
      <c r="B34" s="27" t="s">
        <v>216</v>
      </c>
      <c r="C34" s="27" t="s">
        <v>4012</v>
      </c>
      <c r="D34" s="27" t="s">
        <v>4071</v>
      </c>
      <c r="E34" s="10" t="s">
        <v>4072</v>
      </c>
      <c r="F34" s="36" t="s">
        <v>263</v>
      </c>
      <c r="G34" s="27" t="s">
        <v>331</v>
      </c>
      <c r="H34" s="27" t="s">
        <v>610</v>
      </c>
      <c r="I34" s="27" t="s">
        <v>369</v>
      </c>
      <c r="J34" s="27" t="s">
        <v>369</v>
      </c>
      <c r="K34" s="27" t="s">
        <v>783</v>
      </c>
      <c r="L34" s="27"/>
      <c r="M34" s="30">
        <v>45405</v>
      </c>
      <c r="N34" s="1" t="s">
        <v>264</v>
      </c>
      <c r="O34" s="27"/>
      <c r="P34" s="27"/>
    </row>
    <row r="35" spans="1:16" ht="24" customHeight="1">
      <c r="A35" s="30">
        <v>45408</v>
      </c>
      <c r="B35" s="27" t="s">
        <v>220</v>
      </c>
      <c r="C35" s="27"/>
      <c r="D35" s="27"/>
      <c r="E35" s="10"/>
      <c r="F35" s="36" t="s">
        <v>263</v>
      </c>
      <c r="G35" s="27"/>
      <c r="H35" s="27"/>
      <c r="I35" s="27"/>
      <c r="J35" s="27"/>
      <c r="K35" s="27"/>
      <c r="L35" s="27"/>
      <c r="M35" s="27"/>
      <c r="N35" s="1" t="s">
        <v>264</v>
      </c>
      <c r="O35" s="27"/>
      <c r="P35" s="27"/>
    </row>
    <row r="36" spans="1:16" ht="24" customHeight="1">
      <c r="A36" s="30">
        <v>45409</v>
      </c>
      <c r="B36" s="27" t="s">
        <v>266</v>
      </c>
      <c r="C36" s="27"/>
      <c r="D36" s="27"/>
      <c r="E36" s="10"/>
      <c r="F36" s="36" t="s">
        <v>263</v>
      </c>
      <c r="G36" s="27"/>
      <c r="H36" s="27"/>
      <c r="I36" s="27"/>
      <c r="J36" s="27"/>
      <c r="K36" s="27"/>
      <c r="L36" s="27"/>
      <c r="M36" s="27"/>
      <c r="N36" s="1" t="s">
        <v>264</v>
      </c>
      <c r="O36" s="27"/>
      <c r="P36" s="27"/>
    </row>
    <row r="37" spans="1:16" ht="24" customHeight="1">
      <c r="A37" s="30">
        <v>45410</v>
      </c>
      <c r="B37" s="27" t="s">
        <v>267</v>
      </c>
      <c r="C37" s="27"/>
      <c r="D37" s="27"/>
      <c r="E37" s="10"/>
      <c r="F37" s="36" t="s">
        <v>263</v>
      </c>
      <c r="G37" s="27"/>
      <c r="H37" s="27"/>
      <c r="I37" s="27"/>
      <c r="J37" s="27"/>
      <c r="K37" s="27"/>
      <c r="L37" s="27"/>
      <c r="M37" s="27"/>
      <c r="N37" s="1" t="s">
        <v>264</v>
      </c>
      <c r="O37" s="27"/>
      <c r="P37" s="27"/>
    </row>
    <row r="38" spans="1:16" ht="24" customHeight="1">
      <c r="A38" s="30">
        <v>45411</v>
      </c>
      <c r="B38" s="27" t="s">
        <v>224</v>
      </c>
      <c r="C38" s="27" t="s">
        <v>4063</v>
      </c>
      <c r="D38" s="27" t="s">
        <v>4073</v>
      </c>
      <c r="E38" s="10">
        <v>0.33333333333333331</v>
      </c>
      <c r="F38" s="36" t="s">
        <v>263</v>
      </c>
      <c r="G38" s="27" t="s">
        <v>270</v>
      </c>
      <c r="H38" s="27" t="s">
        <v>610</v>
      </c>
      <c r="I38" s="27" t="s">
        <v>610</v>
      </c>
      <c r="J38" s="27" t="s">
        <v>4074</v>
      </c>
      <c r="K38" s="27" t="s">
        <v>2584</v>
      </c>
      <c r="L38" s="27"/>
      <c r="M38" s="27"/>
      <c r="N38" s="1" t="s">
        <v>264</v>
      </c>
      <c r="O38" s="27"/>
      <c r="P38" s="27"/>
    </row>
    <row r="39" spans="1:16" ht="24" customHeight="1">
      <c r="A39" s="30">
        <v>45412</v>
      </c>
      <c r="B39" s="27" t="s">
        <v>227</v>
      </c>
      <c r="C39" s="27" t="s">
        <v>4012</v>
      </c>
      <c r="D39" s="27" t="s">
        <v>4075</v>
      </c>
      <c r="E39" s="10">
        <v>0.625</v>
      </c>
      <c r="F39" s="36" t="s">
        <v>263</v>
      </c>
      <c r="G39" s="27" t="s">
        <v>290</v>
      </c>
      <c r="H39" s="27" t="s">
        <v>610</v>
      </c>
      <c r="I39" s="27" t="s">
        <v>369</v>
      </c>
      <c r="J39" s="27"/>
      <c r="K39" s="27" t="s">
        <v>2021</v>
      </c>
      <c r="L39" s="27"/>
      <c r="M39" s="30" t="s">
        <v>4038</v>
      </c>
      <c r="N39" s="1" t="s">
        <v>264</v>
      </c>
      <c r="O39" s="27"/>
      <c r="P39" s="27"/>
    </row>
  </sheetData>
  <mergeCells count="3">
    <mergeCell ref="A1:C1"/>
    <mergeCell ref="D1:K1"/>
    <mergeCell ref="L1:P1"/>
  </mergeCells>
  <dataValidations count="2">
    <dataValidation type="list" allowBlank="1" sqref="M3:M89 N3:N39" xr:uid="{00000000-0002-0000-2C00-000000000000}">
      <formula1>"Confirmed (Done),Pending Calendar Booking,Canceled"</formula1>
    </dataValidation>
    <dataValidation type="list" allowBlank="1" sqref="F3:F39" xr:uid="{00000000-0002-0000-2C00-000001000000}">
      <formula1>"Big Event,Small Event"</formula1>
    </dataValidation>
  </dataValidations>
  <hyperlinks>
    <hyperlink ref="A1" location="'Dashboard'!A1" display="🏠 ⮌ RETURN TO DASHBOARD" xr:uid="{00000000-0004-0000-2C00-000000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53"/>
  <sheetViews>
    <sheetView workbookViewId="0">
      <pane ySplit="2" topLeftCell="A3" activePane="bottomLeft" state="frozen"/>
      <selection pane="bottomLeft"/>
    </sheetView>
  </sheetViews>
  <sheetFormatPr defaultRowHeight="14.45"/>
  <cols>
    <col min="1" max="1" width="15" customWidth="1"/>
    <col min="2" max="2" width="12" customWidth="1"/>
    <col min="3" max="3" width="30" customWidth="1"/>
    <col min="4" max="4" width="48" customWidth="1"/>
    <col min="5" max="5" width="17" customWidth="1"/>
    <col min="6" max="6" width="15" customWidth="1"/>
    <col min="7" max="8" width="24" customWidth="1"/>
    <col min="9" max="9" width="48" customWidth="1"/>
    <col min="10" max="10" width="31" customWidth="1"/>
    <col min="11" max="11" width="20" customWidth="1"/>
    <col min="12" max="12" width="25" customWidth="1"/>
    <col min="13" max="13" width="37" customWidth="1"/>
    <col min="14" max="14" width="25" customWidth="1"/>
    <col min="15" max="15" width="45" customWidth="1"/>
    <col min="16" max="16" width="48" customWidth="1"/>
  </cols>
  <sheetData>
    <row r="1" spans="1:16" ht="27.95" customHeight="1">
      <c r="A1" s="62" t="s">
        <v>2138</v>
      </c>
      <c r="B1" s="134"/>
      <c r="C1" s="135"/>
      <c r="D1" s="63" t="s">
        <v>4076</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45413</v>
      </c>
      <c r="B3" s="27" t="s">
        <v>201</v>
      </c>
      <c r="C3" s="27" t="s">
        <v>239</v>
      </c>
      <c r="D3" s="27" t="s">
        <v>4077</v>
      </c>
      <c r="E3" s="10" t="s">
        <v>4078</v>
      </c>
      <c r="F3" s="38" t="s">
        <v>294</v>
      </c>
      <c r="G3" s="27" t="s">
        <v>295</v>
      </c>
      <c r="H3" s="27" t="s">
        <v>270</v>
      </c>
      <c r="I3" s="27" t="s">
        <v>382</v>
      </c>
      <c r="J3" s="27" t="s">
        <v>4079</v>
      </c>
      <c r="K3" s="27" t="s">
        <v>610</v>
      </c>
      <c r="L3" s="27"/>
      <c r="M3" s="27" t="s">
        <v>2631</v>
      </c>
      <c r="N3" s="1" t="s">
        <v>264</v>
      </c>
      <c r="O3" s="27" t="s">
        <v>4080</v>
      </c>
      <c r="P3" s="27"/>
    </row>
    <row r="4" spans="1:16" ht="24" customHeight="1">
      <c r="A4" s="30">
        <v>45413</v>
      </c>
      <c r="B4" s="27" t="s">
        <v>201</v>
      </c>
      <c r="C4" s="27" t="s">
        <v>3958</v>
      </c>
      <c r="D4" s="27" t="s">
        <v>353</v>
      </c>
      <c r="E4" s="10" t="s">
        <v>4081</v>
      </c>
      <c r="F4" s="36" t="s">
        <v>263</v>
      </c>
      <c r="G4" s="27" t="s">
        <v>4082</v>
      </c>
      <c r="H4" s="27" t="s">
        <v>1405</v>
      </c>
      <c r="I4" s="27" t="s">
        <v>610</v>
      </c>
      <c r="J4" s="27" t="s">
        <v>610</v>
      </c>
      <c r="K4" s="27" t="s">
        <v>610</v>
      </c>
      <c r="L4" s="27"/>
      <c r="M4" s="27" t="s">
        <v>4083</v>
      </c>
      <c r="N4" s="1" t="s">
        <v>264</v>
      </c>
      <c r="O4" s="27" t="s">
        <v>4084</v>
      </c>
      <c r="P4" s="27"/>
    </row>
    <row r="5" spans="1:16" ht="24" customHeight="1">
      <c r="A5" s="30">
        <v>45414</v>
      </c>
      <c r="B5" s="27" t="s">
        <v>216</v>
      </c>
      <c r="C5" s="27" t="s">
        <v>3958</v>
      </c>
      <c r="D5" s="27" t="s">
        <v>4085</v>
      </c>
      <c r="E5" s="10" t="s">
        <v>4081</v>
      </c>
      <c r="F5" s="36" t="s">
        <v>263</v>
      </c>
      <c r="G5" s="27" t="s">
        <v>1405</v>
      </c>
      <c r="H5" s="27" t="s">
        <v>270</v>
      </c>
      <c r="I5" s="27" t="s">
        <v>610</v>
      </c>
      <c r="J5" s="27" t="s">
        <v>610</v>
      </c>
      <c r="K5" s="27" t="s">
        <v>610</v>
      </c>
      <c r="L5" s="27"/>
      <c r="M5" s="27" t="s">
        <v>4086</v>
      </c>
      <c r="N5" s="1" t="s">
        <v>264</v>
      </c>
      <c r="O5" s="27" t="s">
        <v>4087</v>
      </c>
      <c r="P5" s="27" t="s">
        <v>679</v>
      </c>
    </row>
    <row r="6" spans="1:16" ht="24" customHeight="1">
      <c r="A6" s="30">
        <v>45414</v>
      </c>
      <c r="B6" s="27" t="s">
        <v>216</v>
      </c>
      <c r="C6" s="27" t="s">
        <v>3958</v>
      </c>
      <c r="D6" s="27" t="s">
        <v>4088</v>
      </c>
      <c r="E6" s="10" t="s">
        <v>4081</v>
      </c>
      <c r="F6" s="36" t="s">
        <v>263</v>
      </c>
      <c r="G6" s="27" t="s">
        <v>316</v>
      </c>
      <c r="H6" s="27" t="s">
        <v>354</v>
      </c>
      <c r="I6" s="27" t="s">
        <v>610</v>
      </c>
      <c r="J6" s="27" t="s">
        <v>610</v>
      </c>
      <c r="K6" s="27" t="s">
        <v>610</v>
      </c>
      <c r="L6" s="27"/>
      <c r="M6" s="27" t="s">
        <v>4089</v>
      </c>
      <c r="N6" s="1" t="s">
        <v>264</v>
      </c>
      <c r="O6" s="27" t="s">
        <v>4090</v>
      </c>
      <c r="P6" s="27" t="s">
        <v>679</v>
      </c>
    </row>
    <row r="7" spans="1:16" ht="24" customHeight="1">
      <c r="A7" s="30">
        <v>45415</v>
      </c>
      <c r="B7" s="27" t="s">
        <v>220</v>
      </c>
      <c r="C7" s="27" t="s">
        <v>3958</v>
      </c>
      <c r="D7" s="27" t="s">
        <v>4091</v>
      </c>
      <c r="E7" s="10" t="s">
        <v>4092</v>
      </c>
      <c r="F7" s="36" t="s">
        <v>263</v>
      </c>
      <c r="G7" s="27" t="s">
        <v>506</v>
      </c>
      <c r="H7" s="27" t="s">
        <v>354</v>
      </c>
      <c r="I7" s="27" t="s">
        <v>369</v>
      </c>
      <c r="J7" s="27" t="s">
        <v>4093</v>
      </c>
      <c r="K7" s="27" t="s">
        <v>610</v>
      </c>
      <c r="L7" s="27"/>
      <c r="M7" s="27" t="s">
        <v>4094</v>
      </c>
      <c r="N7" s="1" t="s">
        <v>264</v>
      </c>
      <c r="O7" s="27" t="s">
        <v>4095</v>
      </c>
      <c r="P7" s="27"/>
    </row>
    <row r="8" spans="1:16" ht="24" customHeight="1">
      <c r="A8" s="30">
        <v>45415</v>
      </c>
      <c r="B8" s="27" t="s">
        <v>220</v>
      </c>
      <c r="C8" s="27" t="s">
        <v>3958</v>
      </c>
      <c r="D8" s="27" t="s">
        <v>4096</v>
      </c>
      <c r="E8" s="10" t="s">
        <v>2914</v>
      </c>
      <c r="F8" s="36" t="s">
        <v>263</v>
      </c>
      <c r="G8" s="27" t="s">
        <v>295</v>
      </c>
      <c r="H8" s="27" t="s">
        <v>270</v>
      </c>
      <c r="I8" s="27" t="s">
        <v>382</v>
      </c>
      <c r="J8" s="27" t="s">
        <v>4079</v>
      </c>
      <c r="K8" s="27" t="s">
        <v>610</v>
      </c>
      <c r="L8" s="27"/>
      <c r="M8" s="27" t="s">
        <v>2631</v>
      </c>
      <c r="N8" s="1" t="s">
        <v>264</v>
      </c>
      <c r="O8" s="27" t="s">
        <v>4097</v>
      </c>
      <c r="P8" s="27"/>
    </row>
    <row r="9" spans="1:16" ht="24" customHeight="1">
      <c r="A9" s="30">
        <v>45416</v>
      </c>
      <c r="B9" s="27" t="s">
        <v>266</v>
      </c>
      <c r="C9" s="27"/>
      <c r="D9" s="27"/>
      <c r="E9" s="10"/>
      <c r="F9" s="36" t="s">
        <v>263</v>
      </c>
      <c r="G9" s="27"/>
      <c r="H9" s="27"/>
      <c r="I9" s="27"/>
      <c r="J9" s="27"/>
      <c r="K9" s="27"/>
      <c r="L9" s="27"/>
      <c r="M9" s="27"/>
      <c r="N9" s="1" t="s">
        <v>264</v>
      </c>
      <c r="O9" s="27"/>
      <c r="P9" s="27"/>
    </row>
    <row r="10" spans="1:16" ht="24" customHeight="1">
      <c r="A10" s="30">
        <v>45417</v>
      </c>
      <c r="B10" s="27" t="s">
        <v>267</v>
      </c>
      <c r="C10" s="27"/>
      <c r="D10" s="27"/>
      <c r="E10" s="10"/>
      <c r="F10" s="36" t="s">
        <v>263</v>
      </c>
      <c r="G10" s="27"/>
      <c r="H10" s="27"/>
      <c r="I10" s="27"/>
      <c r="J10" s="27"/>
      <c r="K10" s="27"/>
      <c r="L10" s="27"/>
      <c r="M10" s="27"/>
      <c r="N10" s="1" t="s">
        <v>264</v>
      </c>
      <c r="O10" s="27"/>
      <c r="P10" s="27"/>
    </row>
    <row r="11" spans="1:16" ht="24" customHeight="1">
      <c r="A11" s="30">
        <v>45418</v>
      </c>
      <c r="B11" s="27" t="s">
        <v>224</v>
      </c>
      <c r="C11" s="27" t="s">
        <v>3958</v>
      </c>
      <c r="D11" s="27" t="s">
        <v>4098</v>
      </c>
      <c r="E11" s="10" t="s">
        <v>4081</v>
      </c>
      <c r="F11" s="36" t="s">
        <v>263</v>
      </c>
      <c r="G11" s="27" t="s">
        <v>448</v>
      </c>
      <c r="H11" s="27" t="s">
        <v>411</v>
      </c>
      <c r="I11" s="27" t="s">
        <v>610</v>
      </c>
      <c r="J11" s="27" t="s">
        <v>4093</v>
      </c>
      <c r="K11" s="27" t="s">
        <v>610</v>
      </c>
      <c r="L11" s="27"/>
      <c r="M11" s="27" t="s">
        <v>4099</v>
      </c>
      <c r="N11" s="1" t="s">
        <v>264</v>
      </c>
      <c r="O11" s="27" t="s">
        <v>4100</v>
      </c>
      <c r="P11" s="27"/>
    </row>
    <row r="12" spans="1:16" ht="24" customHeight="1">
      <c r="A12" s="30">
        <v>45418</v>
      </c>
      <c r="B12" s="27" t="s">
        <v>224</v>
      </c>
      <c r="C12" s="27" t="s">
        <v>4101</v>
      </c>
      <c r="D12" s="27" t="s">
        <v>4003</v>
      </c>
      <c r="E12" s="10" t="s">
        <v>4102</v>
      </c>
      <c r="F12" s="36" t="s">
        <v>263</v>
      </c>
      <c r="G12" s="27" t="s">
        <v>269</v>
      </c>
      <c r="H12" s="27" t="s">
        <v>270</v>
      </c>
      <c r="I12" s="27" t="s">
        <v>610</v>
      </c>
      <c r="J12" s="27" t="s">
        <v>610</v>
      </c>
      <c r="K12" s="27" t="s">
        <v>610</v>
      </c>
      <c r="L12" s="27"/>
      <c r="M12" s="27" t="s">
        <v>2584</v>
      </c>
      <c r="N12" s="1" t="s">
        <v>264</v>
      </c>
      <c r="O12" s="27"/>
      <c r="P12" s="27"/>
    </row>
    <row r="13" spans="1:16" ht="24" customHeight="1">
      <c r="A13" s="30">
        <v>45419</v>
      </c>
      <c r="B13" s="27" t="s">
        <v>227</v>
      </c>
      <c r="C13" s="27" t="s">
        <v>3958</v>
      </c>
      <c r="D13" s="27" t="s">
        <v>4103</v>
      </c>
      <c r="E13" s="10" t="s">
        <v>4081</v>
      </c>
      <c r="F13" s="36" t="s">
        <v>263</v>
      </c>
      <c r="G13" s="27" t="s">
        <v>274</v>
      </c>
      <c r="H13" s="27" t="s">
        <v>330</v>
      </c>
      <c r="I13" s="27" t="s">
        <v>610</v>
      </c>
      <c r="J13" s="27" t="s">
        <v>4093</v>
      </c>
      <c r="K13" s="27" t="s">
        <v>610</v>
      </c>
      <c r="L13" s="27"/>
      <c r="M13" s="27" t="s">
        <v>4104</v>
      </c>
      <c r="N13" s="1" t="s">
        <v>264</v>
      </c>
      <c r="O13" s="27" t="s">
        <v>4100</v>
      </c>
      <c r="P13" s="27"/>
    </row>
    <row r="14" spans="1:16" ht="24" customHeight="1">
      <c r="A14" s="30">
        <v>45419</v>
      </c>
      <c r="B14" s="27" t="s">
        <v>227</v>
      </c>
      <c r="C14" s="27" t="s">
        <v>3958</v>
      </c>
      <c r="D14" s="27"/>
      <c r="E14" s="10"/>
      <c r="F14" s="36" t="s">
        <v>263</v>
      </c>
      <c r="G14" s="27"/>
      <c r="H14" s="27"/>
      <c r="I14" s="27"/>
      <c r="J14" s="27"/>
      <c r="K14" s="27"/>
      <c r="L14" s="27"/>
      <c r="M14" s="27"/>
      <c r="N14" s="1" t="s">
        <v>264</v>
      </c>
      <c r="O14" s="27"/>
      <c r="P14" s="27"/>
    </row>
    <row r="15" spans="1:16" ht="24" customHeight="1">
      <c r="A15" s="30">
        <v>45420</v>
      </c>
      <c r="B15" s="27" t="s">
        <v>201</v>
      </c>
      <c r="C15" s="27" t="s">
        <v>3958</v>
      </c>
      <c r="D15" s="27" t="s">
        <v>353</v>
      </c>
      <c r="E15" s="10" t="s">
        <v>4081</v>
      </c>
      <c r="F15" s="36" t="s">
        <v>263</v>
      </c>
      <c r="G15" s="27" t="s">
        <v>289</v>
      </c>
      <c r="H15" s="27" t="s">
        <v>359</v>
      </c>
      <c r="I15" s="27" t="s">
        <v>369</v>
      </c>
      <c r="J15" s="27" t="s">
        <v>610</v>
      </c>
      <c r="K15" s="27" t="s">
        <v>610</v>
      </c>
      <c r="L15" s="27"/>
      <c r="M15" s="27" t="s">
        <v>1139</v>
      </c>
      <c r="N15" s="1" t="s">
        <v>264</v>
      </c>
      <c r="O15" s="27" t="s">
        <v>4084</v>
      </c>
      <c r="P15" s="27"/>
    </row>
    <row r="16" spans="1:16" ht="24" customHeight="1">
      <c r="A16" s="30">
        <v>45421</v>
      </c>
      <c r="B16" s="27" t="s">
        <v>216</v>
      </c>
      <c r="C16" s="27" t="s">
        <v>3958</v>
      </c>
      <c r="D16" s="27" t="s">
        <v>4105</v>
      </c>
      <c r="E16" s="10" t="s">
        <v>4106</v>
      </c>
      <c r="F16" s="36" t="s">
        <v>263</v>
      </c>
      <c r="G16" s="27" t="s">
        <v>289</v>
      </c>
      <c r="H16" s="27" t="s">
        <v>359</v>
      </c>
      <c r="I16" s="27" t="s">
        <v>610</v>
      </c>
      <c r="J16" s="27" t="s">
        <v>610</v>
      </c>
      <c r="K16" s="27" t="s">
        <v>610</v>
      </c>
      <c r="L16" s="27"/>
      <c r="M16" s="27" t="s">
        <v>4107</v>
      </c>
      <c r="N16" s="1" t="s">
        <v>264</v>
      </c>
      <c r="O16" s="27"/>
      <c r="P16" s="27"/>
    </row>
    <row r="17" spans="1:16" ht="24" customHeight="1">
      <c r="A17" s="30">
        <v>45421</v>
      </c>
      <c r="B17" s="27" t="s">
        <v>216</v>
      </c>
      <c r="C17" s="27" t="s">
        <v>3958</v>
      </c>
      <c r="D17" s="27" t="s">
        <v>3966</v>
      </c>
      <c r="E17" s="10"/>
      <c r="F17" s="36" t="s">
        <v>263</v>
      </c>
      <c r="G17" s="27" t="s">
        <v>359</v>
      </c>
      <c r="H17" s="27" t="s">
        <v>290</v>
      </c>
      <c r="I17" s="27" t="s">
        <v>610</v>
      </c>
      <c r="J17" s="27" t="s">
        <v>610</v>
      </c>
      <c r="K17" s="27" t="s">
        <v>610</v>
      </c>
      <c r="L17" s="27"/>
      <c r="M17" s="27" t="s">
        <v>1707</v>
      </c>
      <c r="N17" s="1" t="s">
        <v>264</v>
      </c>
      <c r="O17" s="27" t="s">
        <v>4090</v>
      </c>
      <c r="P17" s="27"/>
    </row>
    <row r="18" spans="1:16" ht="24" customHeight="1">
      <c r="A18" s="30">
        <v>45421</v>
      </c>
      <c r="B18" s="27" t="s">
        <v>216</v>
      </c>
      <c r="C18" s="27" t="s">
        <v>3958</v>
      </c>
      <c r="D18" s="27" t="s">
        <v>4108</v>
      </c>
      <c r="E18" s="10" t="s">
        <v>4081</v>
      </c>
      <c r="F18" s="36" t="s">
        <v>263</v>
      </c>
      <c r="G18" s="27" t="s">
        <v>359</v>
      </c>
      <c r="H18" s="27" t="s">
        <v>290</v>
      </c>
      <c r="I18" s="27" t="s">
        <v>610</v>
      </c>
      <c r="J18" s="27" t="s">
        <v>610</v>
      </c>
      <c r="K18" s="27" t="s">
        <v>610</v>
      </c>
      <c r="L18" s="27"/>
      <c r="M18" s="27" t="s">
        <v>4109</v>
      </c>
      <c r="N18" s="1" t="s">
        <v>264</v>
      </c>
      <c r="O18" s="27"/>
      <c r="P18" s="27"/>
    </row>
    <row r="19" spans="1:16" ht="24" customHeight="1">
      <c r="A19" s="30">
        <v>45422</v>
      </c>
      <c r="B19" s="27" t="s">
        <v>220</v>
      </c>
      <c r="C19" s="27" t="s">
        <v>3958</v>
      </c>
      <c r="D19" s="27" t="s">
        <v>4110</v>
      </c>
      <c r="E19" s="10"/>
      <c r="F19" s="36" t="s">
        <v>263</v>
      </c>
      <c r="G19" s="27" t="s">
        <v>281</v>
      </c>
      <c r="H19" s="27" t="s">
        <v>315</v>
      </c>
      <c r="I19" s="27" t="s">
        <v>369</v>
      </c>
      <c r="J19" s="27" t="s">
        <v>610</v>
      </c>
      <c r="K19" s="27" t="s">
        <v>610</v>
      </c>
      <c r="L19" s="27"/>
      <c r="M19" s="27" t="s">
        <v>1707</v>
      </c>
      <c r="N19" s="1" t="s">
        <v>264</v>
      </c>
      <c r="O19" s="27" t="s">
        <v>4111</v>
      </c>
      <c r="P19" s="27" t="s">
        <v>679</v>
      </c>
    </row>
    <row r="20" spans="1:16" ht="24" customHeight="1">
      <c r="A20" s="30">
        <v>45423</v>
      </c>
      <c r="B20" s="27" t="s">
        <v>266</v>
      </c>
      <c r="C20" s="27"/>
      <c r="D20" s="27"/>
      <c r="E20" s="10"/>
      <c r="F20" s="36" t="s">
        <v>263</v>
      </c>
      <c r="G20" s="27"/>
      <c r="H20" s="27"/>
      <c r="I20" s="27"/>
      <c r="J20" s="27"/>
      <c r="K20" s="27"/>
      <c r="L20" s="27"/>
      <c r="M20" s="27"/>
      <c r="N20" s="1" t="s">
        <v>264</v>
      </c>
      <c r="O20" s="27"/>
      <c r="P20" s="27"/>
    </row>
    <row r="21" spans="1:16" ht="24" customHeight="1">
      <c r="A21" s="30">
        <v>45424</v>
      </c>
      <c r="B21" s="27" t="s">
        <v>267</v>
      </c>
      <c r="C21" s="27"/>
      <c r="D21" s="27"/>
      <c r="E21" s="10"/>
      <c r="F21" s="36" t="s">
        <v>263</v>
      </c>
      <c r="G21" s="27"/>
      <c r="H21" s="27"/>
      <c r="I21" s="27"/>
      <c r="J21" s="27"/>
      <c r="K21" s="27"/>
      <c r="L21" s="27"/>
      <c r="M21" s="27"/>
      <c r="N21" s="1" t="s">
        <v>264</v>
      </c>
      <c r="O21" s="27"/>
      <c r="P21" s="27"/>
    </row>
    <row r="22" spans="1:16" ht="24" customHeight="1">
      <c r="A22" s="30">
        <v>45425</v>
      </c>
      <c r="B22" s="27" t="s">
        <v>224</v>
      </c>
      <c r="C22" s="27" t="s">
        <v>4101</v>
      </c>
      <c r="D22" s="27" t="s">
        <v>4003</v>
      </c>
      <c r="E22" s="10" t="s">
        <v>4102</v>
      </c>
      <c r="F22" s="36" t="s">
        <v>263</v>
      </c>
      <c r="G22" s="27" t="s">
        <v>269</v>
      </c>
      <c r="H22" s="27" t="s">
        <v>270</v>
      </c>
      <c r="I22" s="27" t="s">
        <v>610</v>
      </c>
      <c r="J22" s="27" t="s">
        <v>610</v>
      </c>
      <c r="K22" s="27" t="s">
        <v>610</v>
      </c>
      <c r="L22" s="27"/>
      <c r="M22" s="27" t="s">
        <v>2584</v>
      </c>
      <c r="N22" s="1" t="s">
        <v>264</v>
      </c>
      <c r="O22" s="27"/>
      <c r="P22" s="27"/>
    </row>
    <row r="23" spans="1:16" ht="24" customHeight="1">
      <c r="A23" s="30">
        <v>45426</v>
      </c>
      <c r="B23" s="27" t="s">
        <v>227</v>
      </c>
      <c r="C23" s="27" t="s">
        <v>3958</v>
      </c>
      <c r="D23" s="27" t="s">
        <v>353</v>
      </c>
      <c r="E23" s="10" t="s">
        <v>2315</v>
      </c>
      <c r="F23" s="36" t="s">
        <v>263</v>
      </c>
      <c r="G23" s="27" t="s">
        <v>295</v>
      </c>
      <c r="H23" s="27" t="s">
        <v>270</v>
      </c>
      <c r="I23" s="27" t="s">
        <v>610</v>
      </c>
      <c r="J23" s="27" t="s">
        <v>610</v>
      </c>
      <c r="K23" s="27" t="s">
        <v>610</v>
      </c>
      <c r="L23" s="27"/>
      <c r="M23" s="27" t="s">
        <v>4112</v>
      </c>
      <c r="N23" s="1" t="s">
        <v>264</v>
      </c>
      <c r="O23" s="27" t="s">
        <v>4113</v>
      </c>
      <c r="P23" s="27"/>
    </row>
    <row r="24" spans="1:16" ht="24" customHeight="1">
      <c r="A24" s="30">
        <v>45427</v>
      </c>
      <c r="B24" s="27" t="s">
        <v>201</v>
      </c>
      <c r="C24" s="27"/>
      <c r="D24" s="27"/>
      <c r="E24" s="10"/>
      <c r="F24" s="36" t="s">
        <v>263</v>
      </c>
      <c r="G24" s="27"/>
      <c r="H24" s="27"/>
      <c r="I24" s="27"/>
      <c r="J24" s="27"/>
      <c r="K24" s="27"/>
      <c r="L24" s="27"/>
      <c r="M24" s="27"/>
      <c r="N24" s="1" t="s">
        <v>264</v>
      </c>
      <c r="O24" s="27"/>
      <c r="P24" s="27"/>
    </row>
    <row r="25" spans="1:16" ht="24" customHeight="1">
      <c r="A25" s="30">
        <v>45428</v>
      </c>
      <c r="B25" s="27" t="s">
        <v>216</v>
      </c>
      <c r="C25" s="27" t="s">
        <v>3958</v>
      </c>
      <c r="D25" s="27" t="s">
        <v>4114</v>
      </c>
      <c r="E25" s="10"/>
      <c r="F25" s="36" t="s">
        <v>263</v>
      </c>
      <c r="G25" s="27" t="s">
        <v>315</v>
      </c>
      <c r="H25" s="27" t="s">
        <v>429</v>
      </c>
      <c r="I25" s="27" t="s">
        <v>4115</v>
      </c>
      <c r="J25" s="27" t="s">
        <v>610</v>
      </c>
      <c r="K25" s="27" t="s">
        <v>610</v>
      </c>
      <c r="L25" s="27"/>
      <c r="M25" s="27" t="s">
        <v>1707</v>
      </c>
      <c r="N25" s="1" t="s">
        <v>264</v>
      </c>
      <c r="O25" s="27" t="s">
        <v>4090</v>
      </c>
      <c r="P25" s="27"/>
    </row>
    <row r="26" spans="1:16" ht="24" customHeight="1">
      <c r="A26" s="30">
        <v>45428</v>
      </c>
      <c r="B26" s="27" t="s">
        <v>216</v>
      </c>
      <c r="C26" s="27" t="s">
        <v>3958</v>
      </c>
      <c r="D26" s="27" t="s">
        <v>353</v>
      </c>
      <c r="E26" s="10" t="s">
        <v>4116</v>
      </c>
      <c r="F26" s="36" t="s">
        <v>263</v>
      </c>
      <c r="G26" s="27" t="s">
        <v>295</v>
      </c>
      <c r="H26" s="27" t="s">
        <v>290</v>
      </c>
      <c r="I26" s="27" t="s">
        <v>610</v>
      </c>
      <c r="J26" s="27" t="s">
        <v>610</v>
      </c>
      <c r="K26" s="27" t="s">
        <v>610</v>
      </c>
      <c r="L26" s="27"/>
      <c r="M26" s="27" t="s">
        <v>4117</v>
      </c>
      <c r="N26" s="1" t="s">
        <v>264</v>
      </c>
      <c r="O26" s="27" t="s">
        <v>4100</v>
      </c>
      <c r="P26" s="27"/>
    </row>
    <row r="27" spans="1:16" ht="24" customHeight="1">
      <c r="A27" s="30">
        <v>45429</v>
      </c>
      <c r="B27" s="27" t="s">
        <v>220</v>
      </c>
      <c r="C27" s="27" t="s">
        <v>3971</v>
      </c>
      <c r="D27" s="27" t="s">
        <v>353</v>
      </c>
      <c r="E27" s="10" t="s">
        <v>4118</v>
      </c>
      <c r="F27" s="36" t="s">
        <v>263</v>
      </c>
      <c r="G27" s="27" t="s">
        <v>295</v>
      </c>
      <c r="H27" s="27" t="s">
        <v>4119</v>
      </c>
      <c r="I27" s="27" t="s">
        <v>610</v>
      </c>
      <c r="J27" s="27" t="s">
        <v>4120</v>
      </c>
      <c r="K27" s="27" t="s">
        <v>610</v>
      </c>
      <c r="L27" s="27"/>
      <c r="M27" s="27" t="s">
        <v>4083</v>
      </c>
      <c r="N27" s="1" t="s">
        <v>264</v>
      </c>
      <c r="O27" s="27" t="s">
        <v>4121</v>
      </c>
      <c r="P27" s="27"/>
    </row>
    <row r="28" spans="1:16" ht="24" customHeight="1">
      <c r="A28" s="30">
        <v>45430</v>
      </c>
      <c r="B28" s="27" t="s">
        <v>266</v>
      </c>
      <c r="C28" s="27"/>
      <c r="D28" s="27"/>
      <c r="E28" s="10"/>
      <c r="F28" s="36" t="s">
        <v>263</v>
      </c>
      <c r="G28" s="27"/>
      <c r="H28" s="27"/>
      <c r="I28" s="27"/>
      <c r="J28" s="27"/>
      <c r="K28" s="27"/>
      <c r="L28" s="27"/>
      <c r="M28" s="27"/>
      <c r="N28" s="1" t="s">
        <v>264</v>
      </c>
      <c r="O28" s="27"/>
      <c r="P28" s="27"/>
    </row>
    <row r="29" spans="1:16" ht="24" customHeight="1">
      <c r="A29" s="30">
        <v>45431</v>
      </c>
      <c r="B29" s="27" t="s">
        <v>267</v>
      </c>
      <c r="C29" s="27"/>
      <c r="D29" s="27"/>
      <c r="E29" s="10"/>
      <c r="F29" s="36" t="s">
        <v>263</v>
      </c>
      <c r="G29" s="27"/>
      <c r="H29" s="27"/>
      <c r="I29" s="27"/>
      <c r="J29" s="27"/>
      <c r="K29" s="27"/>
      <c r="L29" s="27"/>
      <c r="M29" s="27"/>
      <c r="N29" s="1" t="s">
        <v>264</v>
      </c>
      <c r="O29" s="27"/>
      <c r="P29" s="27"/>
    </row>
    <row r="30" spans="1:16" ht="24" customHeight="1">
      <c r="A30" s="30">
        <v>45432</v>
      </c>
      <c r="B30" s="27" t="s">
        <v>224</v>
      </c>
      <c r="C30" s="27" t="s">
        <v>4101</v>
      </c>
      <c r="D30" s="27" t="s">
        <v>4122</v>
      </c>
      <c r="E30" s="10" t="s">
        <v>4123</v>
      </c>
      <c r="F30" s="36" t="s">
        <v>263</v>
      </c>
      <c r="G30" s="27" t="s">
        <v>269</v>
      </c>
      <c r="H30" s="27" t="s">
        <v>270</v>
      </c>
      <c r="I30" s="27"/>
      <c r="J30" s="27"/>
      <c r="K30" s="27"/>
      <c r="L30" s="27"/>
      <c r="M30" s="27" t="s">
        <v>2584</v>
      </c>
      <c r="N30" s="1" t="s">
        <v>264</v>
      </c>
      <c r="O30" s="27" t="s">
        <v>4124</v>
      </c>
      <c r="P30" s="27"/>
    </row>
    <row r="31" spans="1:16" ht="24" customHeight="1">
      <c r="A31" s="30">
        <v>45432</v>
      </c>
      <c r="B31" s="27" t="s">
        <v>224</v>
      </c>
      <c r="C31" s="27" t="s">
        <v>3958</v>
      </c>
      <c r="D31" s="27" t="s">
        <v>4003</v>
      </c>
      <c r="E31" s="10" t="s">
        <v>4125</v>
      </c>
      <c r="F31" s="36" t="s">
        <v>263</v>
      </c>
      <c r="G31" s="27" t="s">
        <v>269</v>
      </c>
      <c r="H31" s="27" t="s">
        <v>270</v>
      </c>
      <c r="I31" s="27" t="s">
        <v>4126</v>
      </c>
      <c r="J31" s="27" t="s">
        <v>382</v>
      </c>
      <c r="K31" s="27" t="s">
        <v>610</v>
      </c>
      <c r="L31" s="27"/>
      <c r="M31" s="27" t="s">
        <v>2584</v>
      </c>
      <c r="N31" s="1" t="s">
        <v>264</v>
      </c>
      <c r="O31" s="27" t="s">
        <v>4111</v>
      </c>
      <c r="P31" s="27"/>
    </row>
    <row r="32" spans="1:16" ht="24" customHeight="1">
      <c r="A32" s="30">
        <v>45433</v>
      </c>
      <c r="B32" s="27" t="s">
        <v>227</v>
      </c>
      <c r="C32" s="27"/>
      <c r="D32" s="27"/>
      <c r="E32" s="10"/>
      <c r="F32" s="36" t="s">
        <v>263</v>
      </c>
      <c r="G32" s="27"/>
      <c r="H32" s="27"/>
      <c r="I32" s="27"/>
      <c r="J32" s="27"/>
      <c r="K32" s="27"/>
      <c r="L32" s="27"/>
      <c r="M32" s="27"/>
      <c r="N32" s="1" t="s">
        <v>264</v>
      </c>
      <c r="O32" s="27"/>
      <c r="P32" s="27"/>
    </row>
    <row r="33" spans="1:16" ht="24" customHeight="1">
      <c r="A33" s="30">
        <v>45434</v>
      </c>
      <c r="B33" s="27" t="s">
        <v>201</v>
      </c>
      <c r="C33" s="27" t="s">
        <v>239</v>
      </c>
      <c r="D33" s="27" t="s">
        <v>3361</v>
      </c>
      <c r="E33" s="10">
        <v>100</v>
      </c>
      <c r="F33" s="38" t="s">
        <v>294</v>
      </c>
      <c r="G33" s="27" t="s">
        <v>483</v>
      </c>
      <c r="H33" s="27" t="s">
        <v>460</v>
      </c>
      <c r="I33" s="27" t="s">
        <v>610</v>
      </c>
      <c r="J33" s="27" t="s">
        <v>4079</v>
      </c>
      <c r="K33" s="27" t="s">
        <v>610</v>
      </c>
      <c r="L33" s="27"/>
      <c r="M33" s="27" t="s">
        <v>2631</v>
      </c>
      <c r="N33" s="1" t="s">
        <v>264</v>
      </c>
      <c r="O33" s="27" t="s">
        <v>4111</v>
      </c>
      <c r="P33" s="27"/>
    </row>
    <row r="34" spans="1:16" ht="24" customHeight="1">
      <c r="A34" s="30">
        <v>45435</v>
      </c>
      <c r="B34" s="27" t="s">
        <v>216</v>
      </c>
      <c r="C34" s="27" t="s">
        <v>4127</v>
      </c>
      <c r="D34" s="27" t="s">
        <v>4128</v>
      </c>
      <c r="E34" s="10">
        <v>50</v>
      </c>
      <c r="F34" s="36" t="s">
        <v>263</v>
      </c>
      <c r="G34" s="27" t="s">
        <v>506</v>
      </c>
      <c r="H34" s="27" t="s">
        <v>354</v>
      </c>
      <c r="I34" s="27" t="s">
        <v>4129</v>
      </c>
      <c r="J34" s="27" t="s">
        <v>610</v>
      </c>
      <c r="K34" s="27" t="s">
        <v>610</v>
      </c>
      <c r="L34" s="27"/>
      <c r="M34" s="27" t="s">
        <v>4130</v>
      </c>
      <c r="N34" s="1" t="s">
        <v>264</v>
      </c>
      <c r="O34" s="27" t="s">
        <v>4131</v>
      </c>
      <c r="P34" s="27"/>
    </row>
    <row r="35" spans="1:16" ht="24" customHeight="1">
      <c r="A35" s="30">
        <v>45435</v>
      </c>
      <c r="B35" s="27" t="s">
        <v>216</v>
      </c>
      <c r="C35" s="27" t="s">
        <v>3958</v>
      </c>
      <c r="D35" s="27" t="s">
        <v>4132</v>
      </c>
      <c r="E35" s="10" t="s">
        <v>4133</v>
      </c>
      <c r="F35" s="36" t="s">
        <v>263</v>
      </c>
      <c r="G35" s="27" t="s">
        <v>338</v>
      </c>
      <c r="H35" s="27" t="s">
        <v>270</v>
      </c>
      <c r="I35" s="27" t="s">
        <v>4126</v>
      </c>
      <c r="J35" s="27" t="s">
        <v>610</v>
      </c>
      <c r="K35" s="27" t="s">
        <v>610</v>
      </c>
      <c r="L35" s="27"/>
      <c r="M35" s="27" t="s">
        <v>4134</v>
      </c>
      <c r="N35" s="1" t="s">
        <v>264</v>
      </c>
      <c r="O35" s="27"/>
      <c r="P35" s="27"/>
    </row>
    <row r="36" spans="1:16" ht="24" customHeight="1">
      <c r="A36" s="30">
        <v>45436</v>
      </c>
      <c r="B36" s="27" t="s">
        <v>220</v>
      </c>
      <c r="C36" s="27" t="s">
        <v>3958</v>
      </c>
      <c r="D36" s="27" t="s">
        <v>4135</v>
      </c>
      <c r="E36" s="10">
        <v>50</v>
      </c>
      <c r="F36" s="36" t="s">
        <v>263</v>
      </c>
      <c r="G36" s="27" t="s">
        <v>309</v>
      </c>
      <c r="H36" s="27" t="s">
        <v>295</v>
      </c>
      <c r="I36" s="27" t="s">
        <v>610</v>
      </c>
      <c r="J36" s="27" t="s">
        <v>610</v>
      </c>
      <c r="K36" s="27" t="s">
        <v>610</v>
      </c>
      <c r="L36" s="27"/>
      <c r="M36" s="27" t="s">
        <v>4136</v>
      </c>
      <c r="N36" s="1" t="s">
        <v>264</v>
      </c>
      <c r="O36" s="27" t="s">
        <v>4137</v>
      </c>
      <c r="P36" s="27" t="s">
        <v>679</v>
      </c>
    </row>
    <row r="37" spans="1:16" ht="24" customHeight="1">
      <c r="A37" s="30">
        <v>45436</v>
      </c>
      <c r="B37" s="27" t="s">
        <v>220</v>
      </c>
      <c r="C37" s="27" t="s">
        <v>3958</v>
      </c>
      <c r="D37" s="27" t="s">
        <v>2944</v>
      </c>
      <c r="E37" s="10"/>
      <c r="F37" s="36" t="s">
        <v>263</v>
      </c>
      <c r="G37" s="27" t="s">
        <v>295</v>
      </c>
      <c r="H37" s="27" t="s">
        <v>290</v>
      </c>
      <c r="I37" s="27" t="s">
        <v>610</v>
      </c>
      <c r="J37" s="27" t="s">
        <v>610</v>
      </c>
      <c r="K37" s="27" t="s">
        <v>610</v>
      </c>
      <c r="L37" s="27"/>
      <c r="M37" s="27" t="s">
        <v>688</v>
      </c>
      <c r="N37" s="1" t="s">
        <v>264</v>
      </c>
      <c r="O37" s="27" t="s">
        <v>4138</v>
      </c>
      <c r="P37" s="27"/>
    </row>
    <row r="38" spans="1:16" ht="24" customHeight="1">
      <c r="A38" s="30">
        <v>45436</v>
      </c>
      <c r="B38" s="27" t="s">
        <v>220</v>
      </c>
      <c r="C38" s="27" t="s">
        <v>3958</v>
      </c>
      <c r="D38" s="27" t="s">
        <v>4139</v>
      </c>
      <c r="E38" s="10">
        <v>60</v>
      </c>
      <c r="F38" s="36" t="s">
        <v>263</v>
      </c>
      <c r="G38" s="27" t="s">
        <v>295</v>
      </c>
      <c r="H38" s="27" t="s">
        <v>296</v>
      </c>
      <c r="I38" s="27" t="s">
        <v>610</v>
      </c>
      <c r="J38" s="27" t="s">
        <v>610</v>
      </c>
      <c r="K38" s="27" t="s">
        <v>610</v>
      </c>
      <c r="L38" s="27"/>
      <c r="M38" s="27" t="s">
        <v>783</v>
      </c>
      <c r="N38" s="3" t="s">
        <v>312</v>
      </c>
      <c r="O38" s="27" t="s">
        <v>4124</v>
      </c>
      <c r="P38" s="27" t="s">
        <v>679</v>
      </c>
    </row>
    <row r="39" spans="1:16" ht="24" customHeight="1">
      <c r="A39" s="30">
        <v>45437</v>
      </c>
      <c r="B39" s="27" t="s">
        <v>266</v>
      </c>
      <c r="C39" s="27"/>
      <c r="D39" s="27"/>
      <c r="E39" s="10"/>
      <c r="F39" s="36" t="s">
        <v>263</v>
      </c>
      <c r="G39" s="27"/>
      <c r="H39" s="27"/>
      <c r="I39" s="27"/>
      <c r="J39" s="27"/>
      <c r="K39" s="27"/>
      <c r="L39" s="27"/>
      <c r="M39" s="27"/>
      <c r="N39" s="1" t="s">
        <v>264</v>
      </c>
      <c r="O39" s="27"/>
      <c r="P39" s="27"/>
    </row>
    <row r="40" spans="1:16" ht="24" customHeight="1">
      <c r="A40" s="30">
        <v>45438</v>
      </c>
      <c r="B40" s="27" t="s">
        <v>267</v>
      </c>
      <c r="C40" s="27"/>
      <c r="D40" s="27"/>
      <c r="E40" s="10"/>
      <c r="F40" s="36" t="s">
        <v>263</v>
      </c>
      <c r="G40" s="27"/>
      <c r="H40" s="27"/>
      <c r="I40" s="27"/>
      <c r="J40" s="27"/>
      <c r="K40" s="27"/>
      <c r="L40" s="27"/>
      <c r="M40" s="27"/>
      <c r="N40" s="1" t="s">
        <v>264</v>
      </c>
      <c r="O40" s="27"/>
      <c r="P40" s="27"/>
    </row>
    <row r="41" spans="1:16" ht="24" customHeight="1">
      <c r="A41" s="30">
        <v>45439</v>
      </c>
      <c r="B41" s="27" t="s">
        <v>224</v>
      </c>
      <c r="C41" s="27" t="s">
        <v>4127</v>
      </c>
      <c r="D41" s="27" t="s">
        <v>236</v>
      </c>
      <c r="E41" s="10" t="s">
        <v>4125</v>
      </c>
      <c r="F41" s="36" t="s">
        <v>263</v>
      </c>
      <c r="G41" s="27" t="s">
        <v>269</v>
      </c>
      <c r="H41" s="27" t="s">
        <v>270</v>
      </c>
      <c r="I41" s="27" t="s">
        <v>4140</v>
      </c>
      <c r="J41" s="27" t="s">
        <v>610</v>
      </c>
      <c r="K41" s="27"/>
      <c r="L41" s="27"/>
      <c r="M41" s="27" t="s">
        <v>2584</v>
      </c>
      <c r="N41" s="1" t="s">
        <v>264</v>
      </c>
      <c r="O41" s="27" t="s">
        <v>4141</v>
      </c>
      <c r="P41" s="27"/>
    </row>
    <row r="42" spans="1:16" ht="24" customHeight="1">
      <c r="A42" s="30">
        <v>45439</v>
      </c>
      <c r="B42" s="27" t="s">
        <v>224</v>
      </c>
      <c r="C42" s="27" t="s">
        <v>3958</v>
      </c>
      <c r="D42" s="27" t="s">
        <v>3993</v>
      </c>
      <c r="E42" s="10" t="s">
        <v>4142</v>
      </c>
      <c r="F42" s="36" t="s">
        <v>263</v>
      </c>
      <c r="G42" s="27" t="s">
        <v>4143</v>
      </c>
      <c r="H42" s="27" t="s">
        <v>4143</v>
      </c>
      <c r="I42" s="27"/>
      <c r="J42" s="27"/>
      <c r="K42" s="27"/>
      <c r="L42" s="27"/>
      <c r="M42" s="27" t="s">
        <v>688</v>
      </c>
      <c r="N42" s="1" t="s">
        <v>264</v>
      </c>
      <c r="O42" s="27" t="s">
        <v>4111</v>
      </c>
      <c r="P42" s="27"/>
    </row>
    <row r="43" spans="1:16" ht="24" customHeight="1">
      <c r="A43" s="30">
        <v>45440</v>
      </c>
      <c r="B43" s="27" t="s">
        <v>227</v>
      </c>
      <c r="C43" s="27" t="s">
        <v>3958</v>
      </c>
      <c r="D43" s="27" t="s">
        <v>4144</v>
      </c>
      <c r="E43" s="10">
        <v>40</v>
      </c>
      <c r="F43" s="36" t="s">
        <v>263</v>
      </c>
      <c r="G43" s="27" t="s">
        <v>506</v>
      </c>
      <c r="H43" s="27" t="s">
        <v>429</v>
      </c>
      <c r="I43" s="27" t="s">
        <v>610</v>
      </c>
      <c r="J43" s="27" t="s">
        <v>610</v>
      </c>
      <c r="K43" s="27" t="s">
        <v>610</v>
      </c>
      <c r="L43" s="27"/>
      <c r="M43" s="27" t="s">
        <v>688</v>
      </c>
      <c r="N43" s="1" t="s">
        <v>264</v>
      </c>
      <c r="O43" s="27" t="s">
        <v>4137</v>
      </c>
      <c r="P43" s="27"/>
    </row>
    <row r="44" spans="1:16" ht="24" customHeight="1">
      <c r="A44" s="30">
        <v>45440</v>
      </c>
      <c r="B44" s="27" t="s">
        <v>227</v>
      </c>
      <c r="C44" s="27" t="s">
        <v>239</v>
      </c>
      <c r="D44" s="27" t="s">
        <v>4145</v>
      </c>
      <c r="E44" s="10"/>
      <c r="F44" s="36" t="s">
        <v>263</v>
      </c>
      <c r="G44" s="27" t="s">
        <v>269</v>
      </c>
      <c r="H44" s="27" t="s">
        <v>1397</v>
      </c>
      <c r="I44" s="27" t="s">
        <v>369</v>
      </c>
      <c r="J44" s="27" t="s">
        <v>382</v>
      </c>
      <c r="K44" s="27" t="s">
        <v>610</v>
      </c>
      <c r="L44" s="27"/>
      <c r="M44" s="27" t="s">
        <v>688</v>
      </c>
      <c r="N44" s="3" t="s">
        <v>312</v>
      </c>
      <c r="O44" s="27" t="s">
        <v>4146</v>
      </c>
      <c r="P44" s="27"/>
    </row>
    <row r="45" spans="1:16" ht="24" customHeight="1">
      <c r="A45" s="30">
        <v>45440</v>
      </c>
      <c r="B45" s="27" t="s">
        <v>227</v>
      </c>
      <c r="C45" s="27" t="s">
        <v>3958</v>
      </c>
      <c r="D45" s="27" t="s">
        <v>4147</v>
      </c>
      <c r="E45" s="10">
        <v>29</v>
      </c>
      <c r="F45" s="36" t="s">
        <v>263</v>
      </c>
      <c r="G45" s="27" t="s">
        <v>331</v>
      </c>
      <c r="H45" s="27" t="s">
        <v>639</v>
      </c>
      <c r="I45" s="27" t="s">
        <v>369</v>
      </c>
      <c r="J45" s="27" t="s">
        <v>382</v>
      </c>
      <c r="K45" s="27" t="s">
        <v>610</v>
      </c>
      <c r="L45" s="27"/>
      <c r="M45" s="27" t="s">
        <v>2596</v>
      </c>
      <c r="N45" s="1" t="s">
        <v>264</v>
      </c>
      <c r="O45" s="27" t="s">
        <v>4148</v>
      </c>
      <c r="P45" s="27" t="s">
        <v>4149</v>
      </c>
    </row>
    <row r="46" spans="1:16" ht="24" customHeight="1">
      <c r="A46" s="30">
        <v>45440</v>
      </c>
      <c r="B46" s="27" t="s">
        <v>227</v>
      </c>
      <c r="C46" s="27" t="s">
        <v>3958</v>
      </c>
      <c r="D46" s="27" t="s">
        <v>4150</v>
      </c>
      <c r="E46" s="10"/>
      <c r="F46" s="36" t="s">
        <v>263</v>
      </c>
      <c r="G46" s="27" t="s">
        <v>359</v>
      </c>
      <c r="H46" s="27" t="s">
        <v>296</v>
      </c>
      <c r="I46" s="27" t="s">
        <v>369</v>
      </c>
      <c r="J46" s="27" t="s">
        <v>382</v>
      </c>
      <c r="K46" s="27" t="s">
        <v>610</v>
      </c>
      <c r="L46" s="27"/>
      <c r="M46" s="27" t="s">
        <v>688</v>
      </c>
      <c r="N46" s="3" t="s">
        <v>312</v>
      </c>
      <c r="O46" s="27" t="s">
        <v>4148</v>
      </c>
      <c r="P46" s="27" t="s">
        <v>679</v>
      </c>
    </row>
    <row r="47" spans="1:16" ht="24" customHeight="1">
      <c r="A47" s="30">
        <v>45440</v>
      </c>
      <c r="B47" s="27" t="s">
        <v>227</v>
      </c>
      <c r="C47" s="27" t="s">
        <v>3958</v>
      </c>
      <c r="D47" s="27" t="s">
        <v>4151</v>
      </c>
      <c r="E47" s="10"/>
      <c r="F47" s="36" t="s">
        <v>263</v>
      </c>
      <c r="G47" s="27" t="s">
        <v>698</v>
      </c>
      <c r="H47" s="27" t="s">
        <v>290</v>
      </c>
      <c r="I47" s="27" t="s">
        <v>610</v>
      </c>
      <c r="J47" s="27" t="s">
        <v>382</v>
      </c>
      <c r="K47" s="27" t="s">
        <v>610</v>
      </c>
      <c r="L47" s="27"/>
      <c r="M47" s="27" t="s">
        <v>688</v>
      </c>
      <c r="N47" s="1" t="s">
        <v>264</v>
      </c>
      <c r="O47" s="27" t="s">
        <v>4148</v>
      </c>
      <c r="P47" s="27"/>
    </row>
    <row r="48" spans="1:16" ht="24" customHeight="1">
      <c r="A48" s="30">
        <v>45441</v>
      </c>
      <c r="B48" s="27" t="s">
        <v>201</v>
      </c>
      <c r="C48" s="27" t="s">
        <v>4127</v>
      </c>
      <c r="D48" s="27" t="s">
        <v>4152</v>
      </c>
      <c r="E48" s="10">
        <v>50</v>
      </c>
      <c r="F48" s="36" t="s">
        <v>263</v>
      </c>
      <c r="G48" s="27" t="s">
        <v>275</v>
      </c>
      <c r="H48" s="27" t="s">
        <v>289</v>
      </c>
      <c r="I48" s="27" t="s">
        <v>4153</v>
      </c>
      <c r="J48" s="27" t="s">
        <v>610</v>
      </c>
      <c r="K48" s="27" t="s">
        <v>610</v>
      </c>
      <c r="L48" s="27"/>
      <c r="M48" s="27" t="s">
        <v>4154</v>
      </c>
      <c r="N48" s="1" t="s">
        <v>264</v>
      </c>
      <c r="O48" s="27" t="s">
        <v>4155</v>
      </c>
      <c r="P48" s="27"/>
    </row>
    <row r="49" spans="1:16" ht="24" customHeight="1">
      <c r="A49" s="30">
        <v>45441</v>
      </c>
      <c r="B49" s="27" t="s">
        <v>201</v>
      </c>
      <c r="C49" s="27" t="s">
        <v>3958</v>
      </c>
      <c r="D49" s="27" t="s">
        <v>4156</v>
      </c>
      <c r="E49" s="10">
        <v>50</v>
      </c>
      <c r="F49" s="36" t="s">
        <v>263</v>
      </c>
      <c r="G49" s="27" t="s">
        <v>896</v>
      </c>
      <c r="H49" s="27" t="s">
        <v>483</v>
      </c>
      <c r="I49" s="27" t="s">
        <v>610</v>
      </c>
      <c r="J49" s="27" t="s">
        <v>4157</v>
      </c>
      <c r="K49" s="27" t="s">
        <v>610</v>
      </c>
      <c r="L49" s="27"/>
      <c r="M49" s="27" t="s">
        <v>583</v>
      </c>
      <c r="N49" s="1" t="s">
        <v>264</v>
      </c>
      <c r="O49" s="27" t="s">
        <v>4158</v>
      </c>
      <c r="P49" s="27"/>
    </row>
    <row r="50" spans="1:16" ht="24" customHeight="1">
      <c r="A50" s="30">
        <v>45441</v>
      </c>
      <c r="B50" s="27" t="s">
        <v>201</v>
      </c>
      <c r="C50" s="27" t="s">
        <v>3958</v>
      </c>
      <c r="D50" s="27" t="s">
        <v>3966</v>
      </c>
      <c r="E50" s="10"/>
      <c r="F50" s="36" t="s">
        <v>263</v>
      </c>
      <c r="G50" s="27" t="s">
        <v>359</v>
      </c>
      <c r="H50" s="27" t="s">
        <v>290</v>
      </c>
      <c r="I50" s="27" t="s">
        <v>610</v>
      </c>
      <c r="J50" s="27" t="s">
        <v>610</v>
      </c>
      <c r="K50" s="27" t="s">
        <v>610</v>
      </c>
      <c r="L50" s="27"/>
      <c r="M50" s="27" t="s">
        <v>1707</v>
      </c>
      <c r="N50" s="1" t="s">
        <v>264</v>
      </c>
      <c r="O50" s="27" t="s">
        <v>4090</v>
      </c>
      <c r="P50" s="27"/>
    </row>
    <row r="51" spans="1:16" ht="24" customHeight="1">
      <c r="A51" s="30">
        <v>45442</v>
      </c>
      <c r="B51" s="27" t="s">
        <v>216</v>
      </c>
      <c r="C51" s="27" t="s">
        <v>239</v>
      </c>
      <c r="D51" s="27" t="s">
        <v>4159</v>
      </c>
      <c r="E51" s="10"/>
      <c r="F51" s="36" t="s">
        <v>263</v>
      </c>
      <c r="G51" s="27" t="s">
        <v>295</v>
      </c>
      <c r="H51" s="27" t="s">
        <v>270</v>
      </c>
      <c r="I51" s="27"/>
      <c r="J51" s="27" t="s">
        <v>4079</v>
      </c>
      <c r="K51" s="27"/>
      <c r="L51" s="27"/>
      <c r="M51" s="27" t="s">
        <v>2631</v>
      </c>
      <c r="N51" s="1" t="s">
        <v>264</v>
      </c>
      <c r="O51" s="27"/>
      <c r="P51" s="27"/>
    </row>
    <row r="52" spans="1:16" ht="24" customHeight="1">
      <c r="A52" s="30">
        <v>45443</v>
      </c>
      <c r="B52" s="27" t="s">
        <v>220</v>
      </c>
      <c r="C52" s="27" t="s">
        <v>3958</v>
      </c>
      <c r="D52" s="27" t="s">
        <v>4160</v>
      </c>
      <c r="E52" s="10">
        <v>50</v>
      </c>
      <c r="F52" s="36" t="s">
        <v>263</v>
      </c>
      <c r="G52" s="27" t="s">
        <v>309</v>
      </c>
      <c r="H52" s="27" t="s">
        <v>295</v>
      </c>
      <c r="I52" s="27" t="s">
        <v>369</v>
      </c>
      <c r="J52" s="27" t="s">
        <v>4157</v>
      </c>
      <c r="K52" s="27" t="s">
        <v>610</v>
      </c>
      <c r="L52" s="27"/>
      <c r="M52" s="27" t="s">
        <v>4161</v>
      </c>
      <c r="N52" s="1" t="s">
        <v>264</v>
      </c>
      <c r="O52" s="27" t="s">
        <v>4162</v>
      </c>
      <c r="P52" s="27"/>
    </row>
    <row r="53" spans="1:16" ht="24" customHeight="1">
      <c r="A53" s="30">
        <v>45443</v>
      </c>
      <c r="B53" s="27" t="s">
        <v>220</v>
      </c>
      <c r="C53" s="27" t="s">
        <v>3958</v>
      </c>
      <c r="D53" s="27" t="s">
        <v>4163</v>
      </c>
      <c r="E53" s="10"/>
      <c r="F53" s="36" t="s">
        <v>263</v>
      </c>
      <c r="G53" s="27" t="s">
        <v>295</v>
      </c>
      <c r="H53" s="27" t="s">
        <v>290</v>
      </c>
      <c r="I53" s="27" t="s">
        <v>369</v>
      </c>
      <c r="J53" s="27" t="s">
        <v>4164</v>
      </c>
      <c r="K53" s="27" t="s">
        <v>610</v>
      </c>
      <c r="L53" s="27"/>
      <c r="M53" s="27" t="s">
        <v>2900</v>
      </c>
      <c r="N53" s="1" t="s">
        <v>264</v>
      </c>
      <c r="O53" s="27" t="s">
        <v>4131</v>
      </c>
      <c r="P53" s="27"/>
    </row>
  </sheetData>
  <mergeCells count="3">
    <mergeCell ref="A1:C1"/>
    <mergeCell ref="D1:K1"/>
    <mergeCell ref="L1:P1"/>
  </mergeCells>
  <dataValidations count="2">
    <dataValidation type="list" allowBlank="1" sqref="M3:M103 N3:N53" xr:uid="{00000000-0002-0000-2D00-000000000000}">
      <formula1>"Confirmed (Done),Pending Calendar Booking,Canceled"</formula1>
    </dataValidation>
    <dataValidation type="list" allowBlank="1" sqref="F3:F53" xr:uid="{00000000-0002-0000-2D00-000001000000}">
      <formula1>"Big Event,Small Event"</formula1>
    </dataValidation>
  </dataValidations>
  <hyperlinks>
    <hyperlink ref="A1" location="'Dashboard'!A1" display="🏠 ⮌ RETURN TO DASHBOARD" xr:uid="{00000000-0004-0000-2D00-000000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45"/>
  <sheetViews>
    <sheetView workbookViewId="0">
      <pane ySplit="2" topLeftCell="A3" activePane="bottomLeft" state="frozen"/>
      <selection pane="bottomLeft"/>
    </sheetView>
  </sheetViews>
  <sheetFormatPr defaultRowHeight="14.45"/>
  <cols>
    <col min="1" max="1" width="15" customWidth="1"/>
    <col min="2" max="2" width="12" customWidth="1"/>
    <col min="3" max="3" width="26" customWidth="1"/>
    <col min="4" max="4" width="48" customWidth="1"/>
    <col min="5" max="5" width="12" customWidth="1"/>
    <col min="6" max="6" width="15" customWidth="1"/>
    <col min="7" max="7" width="19" customWidth="1"/>
    <col min="8" max="8" width="17" customWidth="1"/>
    <col min="9" max="9" width="48" customWidth="1"/>
    <col min="10" max="10" width="27" customWidth="1"/>
    <col min="11" max="11" width="20" customWidth="1"/>
    <col min="12" max="12" width="25" customWidth="1"/>
    <col min="13" max="13" width="48" customWidth="1"/>
    <col min="14" max="14" width="25" customWidth="1"/>
    <col min="15" max="15" width="32" customWidth="1"/>
    <col min="16" max="16" width="48" customWidth="1"/>
  </cols>
  <sheetData>
    <row r="1" spans="1:16" ht="27.95" customHeight="1">
      <c r="A1" s="62" t="s">
        <v>2138</v>
      </c>
      <c r="B1" s="134"/>
      <c r="C1" s="135"/>
      <c r="D1" s="63" t="s">
        <v>4165</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45444</v>
      </c>
      <c r="B3" s="27" t="s">
        <v>266</v>
      </c>
      <c r="C3" s="27"/>
      <c r="D3" s="27"/>
      <c r="E3" s="10"/>
      <c r="F3" s="36" t="s">
        <v>263</v>
      </c>
      <c r="G3" s="27"/>
      <c r="H3" s="27"/>
      <c r="I3" s="27"/>
      <c r="J3" s="27"/>
      <c r="K3" s="27"/>
      <c r="L3" s="27"/>
      <c r="M3" s="27"/>
      <c r="N3" s="1" t="s">
        <v>264</v>
      </c>
      <c r="O3" s="27"/>
      <c r="P3" s="27"/>
    </row>
    <row r="4" spans="1:16" ht="24" customHeight="1">
      <c r="A4" s="30">
        <v>45445</v>
      </c>
      <c r="B4" s="27" t="s">
        <v>267</v>
      </c>
      <c r="C4" s="27"/>
      <c r="D4" s="27"/>
      <c r="E4" s="10"/>
      <c r="F4" s="36" t="s">
        <v>263</v>
      </c>
      <c r="G4" s="27"/>
      <c r="H4" s="27"/>
      <c r="I4" s="27"/>
      <c r="J4" s="27"/>
      <c r="K4" s="27"/>
      <c r="L4" s="27"/>
      <c r="M4" s="27"/>
      <c r="N4" s="1" t="s">
        <v>264</v>
      </c>
      <c r="O4" s="27"/>
      <c r="P4" s="27"/>
    </row>
    <row r="5" spans="1:16" ht="24" customHeight="1">
      <c r="A5" s="30">
        <v>45446</v>
      </c>
      <c r="B5" s="27" t="s">
        <v>224</v>
      </c>
      <c r="C5" s="27" t="s">
        <v>4166</v>
      </c>
      <c r="D5" s="27" t="s">
        <v>4167</v>
      </c>
      <c r="E5" s="10"/>
      <c r="F5" s="36" t="s">
        <v>263</v>
      </c>
      <c r="G5" s="27" t="s">
        <v>269</v>
      </c>
      <c r="H5" s="27" t="s">
        <v>270</v>
      </c>
      <c r="I5" s="27" t="s">
        <v>4140</v>
      </c>
      <c r="J5" s="27" t="s">
        <v>2617</v>
      </c>
      <c r="K5" s="27" t="s">
        <v>531</v>
      </c>
      <c r="L5" s="27"/>
      <c r="M5" s="27" t="s">
        <v>2584</v>
      </c>
      <c r="N5" s="1" t="s">
        <v>264</v>
      </c>
      <c r="O5" s="27" t="s">
        <v>4168</v>
      </c>
      <c r="P5" s="27" t="s">
        <v>4169</v>
      </c>
    </row>
    <row r="6" spans="1:16" ht="24" customHeight="1">
      <c r="A6" s="30">
        <v>45446</v>
      </c>
      <c r="B6" s="27" t="s">
        <v>224</v>
      </c>
      <c r="C6" s="27" t="s">
        <v>171</v>
      </c>
      <c r="D6" s="27" t="s">
        <v>4170</v>
      </c>
      <c r="E6" s="10">
        <v>30</v>
      </c>
      <c r="F6" s="36" t="s">
        <v>263</v>
      </c>
      <c r="G6" s="27" t="s">
        <v>281</v>
      </c>
      <c r="H6" s="27" t="s">
        <v>506</v>
      </c>
      <c r="I6" s="27" t="s">
        <v>369</v>
      </c>
      <c r="J6" s="27" t="s">
        <v>4171</v>
      </c>
      <c r="K6" s="27" t="s">
        <v>610</v>
      </c>
      <c r="L6" s="27"/>
      <c r="M6" s="27" t="s">
        <v>4172</v>
      </c>
      <c r="N6" s="1" t="s">
        <v>264</v>
      </c>
      <c r="O6" s="27" t="s">
        <v>4173</v>
      </c>
      <c r="P6" s="27"/>
    </row>
    <row r="7" spans="1:16" ht="24" customHeight="1">
      <c r="A7" s="30">
        <v>45446</v>
      </c>
      <c r="B7" s="27" t="s">
        <v>224</v>
      </c>
      <c r="C7" s="27" t="s">
        <v>171</v>
      </c>
      <c r="D7" s="27" t="s">
        <v>4174</v>
      </c>
      <c r="E7" s="10">
        <v>70</v>
      </c>
      <c r="F7" s="36" t="s">
        <v>263</v>
      </c>
      <c r="G7" s="27" t="s">
        <v>295</v>
      </c>
      <c r="H7" s="27" t="s">
        <v>270</v>
      </c>
      <c r="I7" s="27" t="s">
        <v>369</v>
      </c>
      <c r="J7" s="27" t="s">
        <v>4093</v>
      </c>
      <c r="K7" s="27" t="s">
        <v>610</v>
      </c>
      <c r="L7" s="27"/>
      <c r="M7" s="27" t="s">
        <v>2631</v>
      </c>
      <c r="N7" s="1" t="s">
        <v>264</v>
      </c>
      <c r="O7" s="27" t="s">
        <v>4175</v>
      </c>
      <c r="P7" s="27"/>
    </row>
    <row r="8" spans="1:16" ht="24" customHeight="1">
      <c r="A8" s="30">
        <v>45447</v>
      </c>
      <c r="B8" s="27" t="s">
        <v>227</v>
      </c>
      <c r="C8" s="27" t="s">
        <v>171</v>
      </c>
      <c r="D8" s="27" t="s">
        <v>4176</v>
      </c>
      <c r="E8" s="10">
        <v>50</v>
      </c>
      <c r="F8" s="36" t="s">
        <v>263</v>
      </c>
      <c r="G8" s="27" t="s">
        <v>295</v>
      </c>
      <c r="H8" s="27" t="s">
        <v>296</v>
      </c>
      <c r="I8" s="27" t="s">
        <v>369</v>
      </c>
      <c r="J8" s="27" t="s">
        <v>4093</v>
      </c>
      <c r="K8" s="27" t="s">
        <v>369</v>
      </c>
      <c r="L8" s="27"/>
      <c r="M8" s="27" t="s">
        <v>4177</v>
      </c>
      <c r="N8" s="1" t="s">
        <v>264</v>
      </c>
      <c r="O8" s="27" t="s">
        <v>4178</v>
      </c>
      <c r="P8" s="27"/>
    </row>
    <row r="9" spans="1:16" ht="24" customHeight="1">
      <c r="A9" s="30">
        <v>45448</v>
      </c>
      <c r="B9" s="27" t="s">
        <v>201</v>
      </c>
      <c r="C9" s="27" t="s">
        <v>171</v>
      </c>
      <c r="D9" s="27" t="s">
        <v>4179</v>
      </c>
      <c r="E9" s="10">
        <v>60</v>
      </c>
      <c r="F9" s="36" t="s">
        <v>263</v>
      </c>
      <c r="G9" s="27" t="s">
        <v>309</v>
      </c>
      <c r="H9" s="27" t="s">
        <v>295</v>
      </c>
      <c r="I9" s="27" t="s">
        <v>369</v>
      </c>
      <c r="J9" s="27" t="s">
        <v>4180</v>
      </c>
      <c r="K9" s="27" t="s">
        <v>369</v>
      </c>
      <c r="L9" s="27"/>
      <c r="M9" s="27" t="s">
        <v>4181</v>
      </c>
      <c r="N9" s="1" t="s">
        <v>264</v>
      </c>
      <c r="O9" s="27" t="s">
        <v>4178</v>
      </c>
      <c r="P9" s="27"/>
    </row>
    <row r="10" spans="1:16" ht="24" customHeight="1">
      <c r="A10" s="30">
        <v>45448</v>
      </c>
      <c r="B10" s="27" t="s">
        <v>201</v>
      </c>
      <c r="C10" s="27" t="s">
        <v>171</v>
      </c>
      <c r="D10" s="27" t="s">
        <v>4182</v>
      </c>
      <c r="E10" s="10">
        <v>30</v>
      </c>
      <c r="F10" s="36" t="s">
        <v>263</v>
      </c>
      <c r="G10" s="27" t="s">
        <v>295</v>
      </c>
      <c r="H10" s="27" t="s">
        <v>290</v>
      </c>
      <c r="I10" s="27" t="s">
        <v>369</v>
      </c>
      <c r="J10" s="27" t="s">
        <v>4093</v>
      </c>
      <c r="K10" s="27" t="s">
        <v>610</v>
      </c>
      <c r="L10" s="27"/>
      <c r="M10" s="27" t="s">
        <v>4183</v>
      </c>
      <c r="N10" s="1" t="s">
        <v>264</v>
      </c>
      <c r="O10" s="27" t="s">
        <v>4184</v>
      </c>
      <c r="P10" s="27"/>
    </row>
    <row r="11" spans="1:16" ht="24" customHeight="1">
      <c r="A11" s="30">
        <v>45449</v>
      </c>
      <c r="B11" s="27" t="s">
        <v>216</v>
      </c>
      <c r="C11" s="27" t="s">
        <v>171</v>
      </c>
      <c r="D11" s="27"/>
      <c r="E11" s="10">
        <v>30</v>
      </c>
      <c r="F11" s="36" t="s">
        <v>263</v>
      </c>
      <c r="G11" s="27" t="s">
        <v>483</v>
      </c>
      <c r="H11" s="27" t="s">
        <v>290</v>
      </c>
      <c r="I11" s="27" t="s">
        <v>369</v>
      </c>
      <c r="J11" s="27" t="s">
        <v>369</v>
      </c>
      <c r="K11" s="27" t="s">
        <v>610</v>
      </c>
      <c r="L11" s="27"/>
      <c r="M11" s="27" t="s">
        <v>4185</v>
      </c>
      <c r="N11" s="3" t="s">
        <v>312</v>
      </c>
      <c r="O11" s="27" t="s">
        <v>4186</v>
      </c>
      <c r="P11" s="27" t="s">
        <v>3238</v>
      </c>
    </row>
    <row r="12" spans="1:16" ht="24" customHeight="1">
      <c r="A12" s="30">
        <v>45450</v>
      </c>
      <c r="B12" s="27" t="s">
        <v>220</v>
      </c>
      <c r="C12" s="27" t="s">
        <v>171</v>
      </c>
      <c r="D12" s="27" t="s">
        <v>3984</v>
      </c>
      <c r="E12" s="10">
        <v>40</v>
      </c>
      <c r="F12" s="36" t="s">
        <v>263</v>
      </c>
      <c r="G12" s="27" t="s">
        <v>295</v>
      </c>
      <c r="H12" s="27" t="s">
        <v>290</v>
      </c>
      <c r="I12" s="27" t="s">
        <v>369</v>
      </c>
      <c r="J12" s="27" t="s">
        <v>4093</v>
      </c>
      <c r="K12" s="27" t="s">
        <v>369</v>
      </c>
      <c r="L12" s="27"/>
      <c r="M12" s="27" t="s">
        <v>4187</v>
      </c>
      <c r="N12" s="1" t="s">
        <v>264</v>
      </c>
      <c r="O12" s="27" t="s">
        <v>4188</v>
      </c>
      <c r="P12" s="27"/>
    </row>
    <row r="13" spans="1:16" ht="24" customHeight="1">
      <c r="A13" s="30">
        <v>45451</v>
      </c>
      <c r="B13" s="27" t="s">
        <v>266</v>
      </c>
      <c r="C13" s="27"/>
      <c r="D13" s="27"/>
      <c r="E13" s="10"/>
      <c r="F13" s="36" t="s">
        <v>263</v>
      </c>
      <c r="G13" s="27"/>
      <c r="H13" s="27"/>
      <c r="I13" s="27"/>
      <c r="J13" s="27"/>
      <c r="K13" s="27"/>
      <c r="L13" s="27"/>
      <c r="M13" s="27"/>
      <c r="N13" s="1" t="s">
        <v>264</v>
      </c>
      <c r="O13" s="27"/>
      <c r="P13" s="27"/>
    </row>
    <row r="14" spans="1:16" ht="24" customHeight="1">
      <c r="A14" s="30">
        <v>45452</v>
      </c>
      <c r="B14" s="27" t="s">
        <v>267</v>
      </c>
      <c r="C14" s="27"/>
      <c r="D14" s="27"/>
      <c r="E14" s="10"/>
      <c r="F14" s="36" t="s">
        <v>263</v>
      </c>
      <c r="G14" s="27"/>
      <c r="H14" s="27"/>
      <c r="I14" s="27"/>
      <c r="J14" s="27"/>
      <c r="K14" s="27"/>
      <c r="L14" s="27"/>
      <c r="M14" s="27"/>
      <c r="N14" s="1" t="s">
        <v>264</v>
      </c>
      <c r="O14" s="27"/>
      <c r="P14" s="27"/>
    </row>
    <row r="15" spans="1:16" ht="24" customHeight="1">
      <c r="A15" s="30">
        <v>45453</v>
      </c>
      <c r="B15" s="27" t="s">
        <v>224</v>
      </c>
      <c r="C15" s="27" t="s">
        <v>4166</v>
      </c>
      <c r="D15" s="27" t="s">
        <v>4167</v>
      </c>
      <c r="E15" s="10">
        <v>40</v>
      </c>
      <c r="F15" s="36" t="s">
        <v>263</v>
      </c>
      <c r="G15" s="27" t="s">
        <v>269</v>
      </c>
      <c r="H15" s="27" t="s">
        <v>270</v>
      </c>
      <c r="I15" s="27" t="s">
        <v>4189</v>
      </c>
      <c r="J15" s="27" t="s">
        <v>4093</v>
      </c>
      <c r="K15" s="27" t="s">
        <v>369</v>
      </c>
      <c r="L15" s="27"/>
      <c r="M15" s="27" t="s">
        <v>2584</v>
      </c>
      <c r="N15" s="1" t="s">
        <v>264</v>
      </c>
      <c r="O15" s="27"/>
      <c r="P15" s="27" t="s">
        <v>4190</v>
      </c>
    </row>
    <row r="16" spans="1:16" ht="24" customHeight="1">
      <c r="A16" s="30">
        <v>45454</v>
      </c>
      <c r="B16" s="27" t="s">
        <v>227</v>
      </c>
      <c r="C16" s="27" t="s">
        <v>171</v>
      </c>
      <c r="D16" s="27" t="s">
        <v>4191</v>
      </c>
      <c r="E16" s="10">
        <v>70</v>
      </c>
      <c r="F16" s="36" t="s">
        <v>263</v>
      </c>
      <c r="G16" s="27" t="s">
        <v>506</v>
      </c>
      <c r="H16" s="27" t="s">
        <v>275</v>
      </c>
      <c r="I16" s="27" t="s">
        <v>4192</v>
      </c>
      <c r="J16" s="27" t="s">
        <v>4093</v>
      </c>
      <c r="K16" s="27" t="s">
        <v>369</v>
      </c>
      <c r="L16" s="27"/>
      <c r="M16" s="27" t="s">
        <v>2950</v>
      </c>
      <c r="N16" s="1" t="s">
        <v>264</v>
      </c>
      <c r="O16" s="27" t="s">
        <v>4193</v>
      </c>
      <c r="P16" s="27"/>
    </row>
    <row r="17" spans="1:16" ht="24" customHeight="1">
      <c r="A17" s="30">
        <v>45454</v>
      </c>
      <c r="B17" s="27" t="s">
        <v>227</v>
      </c>
      <c r="C17" s="27" t="s">
        <v>171</v>
      </c>
      <c r="D17" s="27" t="s">
        <v>4194</v>
      </c>
      <c r="E17" s="10" t="s">
        <v>4195</v>
      </c>
      <c r="F17" s="38" t="s">
        <v>294</v>
      </c>
      <c r="G17" s="27" t="s">
        <v>295</v>
      </c>
      <c r="H17" s="27" t="s">
        <v>296</v>
      </c>
      <c r="I17" s="27" t="s">
        <v>610</v>
      </c>
      <c r="J17" s="27" t="s">
        <v>4157</v>
      </c>
      <c r="K17" s="27" t="s">
        <v>369</v>
      </c>
      <c r="L17" s="27"/>
      <c r="M17" s="27" t="s">
        <v>4181</v>
      </c>
      <c r="N17" s="1" t="s">
        <v>264</v>
      </c>
      <c r="O17" s="27" t="s">
        <v>4196</v>
      </c>
      <c r="P17" s="27"/>
    </row>
    <row r="18" spans="1:16" ht="24" customHeight="1">
      <c r="A18" s="30">
        <v>45455</v>
      </c>
      <c r="B18" s="27" t="s">
        <v>201</v>
      </c>
      <c r="C18" s="27" t="s">
        <v>4166</v>
      </c>
      <c r="D18" s="27" t="s">
        <v>4197</v>
      </c>
      <c r="E18" s="10"/>
      <c r="F18" s="36" t="s">
        <v>263</v>
      </c>
      <c r="G18" s="27" t="s">
        <v>354</v>
      </c>
      <c r="H18" s="27" t="s">
        <v>275</v>
      </c>
      <c r="I18" s="27" t="s">
        <v>610</v>
      </c>
      <c r="J18" s="27" t="s">
        <v>610</v>
      </c>
      <c r="K18" s="27" t="s">
        <v>610</v>
      </c>
      <c r="L18" s="27"/>
      <c r="M18" s="27" t="s">
        <v>2596</v>
      </c>
      <c r="N18" s="1" t="s">
        <v>264</v>
      </c>
      <c r="O18" s="27" t="s">
        <v>4184</v>
      </c>
      <c r="P18" s="27" t="s">
        <v>4198</v>
      </c>
    </row>
    <row r="19" spans="1:16" ht="24" customHeight="1">
      <c r="A19" s="30">
        <v>45455</v>
      </c>
      <c r="B19" s="27" t="s">
        <v>201</v>
      </c>
      <c r="C19" s="27" t="s">
        <v>171</v>
      </c>
      <c r="D19" s="27" t="s">
        <v>4199</v>
      </c>
      <c r="E19" s="10">
        <v>40</v>
      </c>
      <c r="F19" s="36" t="s">
        <v>263</v>
      </c>
      <c r="G19" s="27" t="s">
        <v>309</v>
      </c>
      <c r="H19" s="27" t="s">
        <v>295</v>
      </c>
      <c r="I19" s="27" t="s">
        <v>610</v>
      </c>
      <c r="J19" s="27" t="s">
        <v>369</v>
      </c>
      <c r="K19" s="27" t="s">
        <v>369</v>
      </c>
      <c r="L19" s="27"/>
      <c r="M19" s="27" t="s">
        <v>4200</v>
      </c>
      <c r="N19" s="1" t="s">
        <v>264</v>
      </c>
      <c r="O19" s="27" t="s">
        <v>4201</v>
      </c>
      <c r="P19" s="27"/>
    </row>
    <row r="20" spans="1:16" ht="24" customHeight="1">
      <c r="A20" s="30">
        <v>45455</v>
      </c>
      <c r="B20" s="27" t="s">
        <v>201</v>
      </c>
      <c r="C20" s="27" t="s">
        <v>171</v>
      </c>
      <c r="D20" s="27" t="s">
        <v>4202</v>
      </c>
      <c r="E20" s="10">
        <v>70</v>
      </c>
      <c r="F20" s="36" t="s">
        <v>263</v>
      </c>
      <c r="G20" s="27" t="s">
        <v>295</v>
      </c>
      <c r="H20" s="27" t="s">
        <v>290</v>
      </c>
      <c r="I20" s="27" t="s">
        <v>369</v>
      </c>
      <c r="J20" s="27" t="s">
        <v>369</v>
      </c>
      <c r="K20" s="27" t="s">
        <v>369</v>
      </c>
      <c r="L20" s="27"/>
      <c r="M20" s="27" t="s">
        <v>3965</v>
      </c>
      <c r="N20" s="1" t="s">
        <v>264</v>
      </c>
      <c r="O20" s="27" t="s">
        <v>4203</v>
      </c>
      <c r="P20" s="27"/>
    </row>
    <row r="21" spans="1:16" ht="24" customHeight="1">
      <c r="A21" s="30">
        <v>45456</v>
      </c>
      <c r="B21" s="27" t="s">
        <v>216</v>
      </c>
      <c r="C21" s="27" t="s">
        <v>171</v>
      </c>
      <c r="D21" s="27" t="s">
        <v>4204</v>
      </c>
      <c r="E21" s="10">
        <v>60</v>
      </c>
      <c r="F21" s="36" t="s">
        <v>263</v>
      </c>
      <c r="G21" s="27" t="s">
        <v>295</v>
      </c>
      <c r="H21" s="27" t="s">
        <v>296</v>
      </c>
      <c r="I21" s="27"/>
      <c r="J21" s="27" t="s">
        <v>369</v>
      </c>
      <c r="K21" s="27" t="s">
        <v>369</v>
      </c>
      <c r="L21" s="27"/>
      <c r="M21" s="27" t="s">
        <v>4205</v>
      </c>
      <c r="N21" s="1" t="s">
        <v>264</v>
      </c>
      <c r="O21" s="27" t="s">
        <v>4206</v>
      </c>
      <c r="P21" s="27"/>
    </row>
    <row r="22" spans="1:16" ht="24" customHeight="1">
      <c r="A22" s="30">
        <v>45457</v>
      </c>
      <c r="B22" s="27" t="s">
        <v>220</v>
      </c>
      <c r="C22" s="27" t="s">
        <v>4166</v>
      </c>
      <c r="D22" s="27" t="s">
        <v>4207</v>
      </c>
      <c r="E22" s="10"/>
      <c r="F22" s="36" t="s">
        <v>263</v>
      </c>
      <c r="G22" s="27" t="s">
        <v>350</v>
      </c>
      <c r="H22" s="27" t="s">
        <v>290</v>
      </c>
      <c r="I22" s="27" t="s">
        <v>369</v>
      </c>
      <c r="J22" s="27" t="s">
        <v>369</v>
      </c>
      <c r="K22" s="27" t="s">
        <v>369</v>
      </c>
      <c r="L22" s="27"/>
      <c r="M22" s="27" t="s">
        <v>4208</v>
      </c>
      <c r="N22" s="1" t="s">
        <v>264</v>
      </c>
      <c r="O22" s="27" t="s">
        <v>4209</v>
      </c>
      <c r="P22" s="27" t="s">
        <v>4210</v>
      </c>
    </row>
    <row r="23" spans="1:16" ht="24" customHeight="1">
      <c r="A23" s="30">
        <v>45457</v>
      </c>
      <c r="B23" s="27" t="s">
        <v>220</v>
      </c>
      <c r="C23" s="27" t="s">
        <v>171</v>
      </c>
      <c r="D23" s="27" t="s">
        <v>4211</v>
      </c>
      <c r="E23" s="10">
        <v>60</v>
      </c>
      <c r="F23" s="36" t="s">
        <v>263</v>
      </c>
      <c r="G23" s="27" t="s">
        <v>295</v>
      </c>
      <c r="H23" s="27" t="s">
        <v>503</v>
      </c>
      <c r="I23" s="27" t="s">
        <v>610</v>
      </c>
      <c r="J23" s="27" t="s">
        <v>369</v>
      </c>
      <c r="K23" s="27" t="s">
        <v>369</v>
      </c>
      <c r="L23" s="27"/>
      <c r="M23" s="27" t="s">
        <v>4212</v>
      </c>
      <c r="N23" s="1" t="s">
        <v>264</v>
      </c>
      <c r="O23" s="27" t="s">
        <v>4196</v>
      </c>
      <c r="P23" s="27"/>
    </row>
    <row r="24" spans="1:16" ht="24" customHeight="1">
      <c r="A24" s="30">
        <v>45458</v>
      </c>
      <c r="B24" s="27" t="s">
        <v>266</v>
      </c>
      <c r="C24" s="27"/>
      <c r="D24" s="27"/>
      <c r="E24" s="10"/>
      <c r="F24" s="36" t="s">
        <v>263</v>
      </c>
      <c r="G24" s="27"/>
      <c r="H24" s="27"/>
      <c r="I24" s="27"/>
      <c r="J24" s="27"/>
      <c r="K24" s="27"/>
      <c r="L24" s="27"/>
      <c r="M24" s="27"/>
      <c r="N24" s="1" t="s">
        <v>264</v>
      </c>
      <c r="O24" s="27"/>
      <c r="P24" s="27"/>
    </row>
    <row r="25" spans="1:16" ht="24" customHeight="1">
      <c r="A25" s="30">
        <v>45459</v>
      </c>
      <c r="B25" s="27" t="s">
        <v>267</v>
      </c>
      <c r="C25" s="27"/>
      <c r="D25" s="27"/>
      <c r="E25" s="10"/>
      <c r="F25" s="36" t="s">
        <v>263</v>
      </c>
      <c r="G25" s="27"/>
      <c r="H25" s="27"/>
      <c r="I25" s="27"/>
      <c r="J25" s="27"/>
      <c r="K25" s="27"/>
      <c r="L25" s="27"/>
      <c r="M25" s="27"/>
      <c r="N25" s="1" t="s">
        <v>264</v>
      </c>
      <c r="O25" s="27"/>
      <c r="P25" s="27"/>
    </row>
    <row r="26" spans="1:16" ht="24" customHeight="1">
      <c r="A26" s="30">
        <v>45460</v>
      </c>
      <c r="B26" s="27" t="s">
        <v>224</v>
      </c>
      <c r="C26" s="27"/>
      <c r="D26" s="27"/>
      <c r="E26" s="10"/>
      <c r="F26" s="36" t="s">
        <v>263</v>
      </c>
      <c r="G26" s="27"/>
      <c r="H26" s="27"/>
      <c r="I26" s="27"/>
      <c r="J26" s="27"/>
      <c r="K26" s="27"/>
      <c r="L26" s="27"/>
      <c r="M26" s="27"/>
      <c r="N26" s="1" t="s">
        <v>264</v>
      </c>
      <c r="O26" s="27"/>
      <c r="P26" s="27"/>
    </row>
    <row r="27" spans="1:16" ht="24" customHeight="1">
      <c r="A27" s="30">
        <v>45461</v>
      </c>
      <c r="B27" s="27" t="s">
        <v>227</v>
      </c>
      <c r="C27" s="27" t="s">
        <v>171</v>
      </c>
      <c r="D27" s="27" t="s">
        <v>4213</v>
      </c>
      <c r="E27" s="10">
        <v>50</v>
      </c>
      <c r="F27" s="36" t="s">
        <v>263</v>
      </c>
      <c r="G27" s="27" t="s">
        <v>295</v>
      </c>
      <c r="H27" s="27" t="s">
        <v>296</v>
      </c>
      <c r="I27" s="27" t="s">
        <v>610</v>
      </c>
      <c r="J27" s="27" t="s">
        <v>610</v>
      </c>
      <c r="K27" s="27" t="s">
        <v>369</v>
      </c>
      <c r="L27" s="27"/>
      <c r="M27" s="27" t="s">
        <v>4214</v>
      </c>
      <c r="N27" s="1" t="s">
        <v>264</v>
      </c>
      <c r="O27" s="27" t="s">
        <v>4196</v>
      </c>
      <c r="P27" s="27"/>
    </row>
    <row r="28" spans="1:16" ht="24" customHeight="1">
      <c r="A28" s="30">
        <v>45462</v>
      </c>
      <c r="B28" s="27" t="s">
        <v>201</v>
      </c>
      <c r="C28" s="27" t="s">
        <v>171</v>
      </c>
      <c r="D28" s="27" t="s">
        <v>4215</v>
      </c>
      <c r="E28" s="10">
        <v>40</v>
      </c>
      <c r="F28" s="36" t="s">
        <v>263</v>
      </c>
      <c r="G28" s="27" t="s">
        <v>295</v>
      </c>
      <c r="H28" s="27" t="s">
        <v>296</v>
      </c>
      <c r="I28" s="27" t="s">
        <v>610</v>
      </c>
      <c r="J28" s="27" t="s">
        <v>369</v>
      </c>
      <c r="K28" s="27" t="s">
        <v>610</v>
      </c>
      <c r="L28" s="27"/>
      <c r="M28" s="27" t="s">
        <v>4216</v>
      </c>
      <c r="N28" s="3" t="s">
        <v>312</v>
      </c>
      <c r="O28" s="27" t="s">
        <v>4209</v>
      </c>
      <c r="P28" s="27" t="s">
        <v>4217</v>
      </c>
    </row>
    <row r="29" spans="1:16" ht="24" customHeight="1">
      <c r="A29" s="30">
        <v>45463</v>
      </c>
      <c r="B29" s="27" t="s">
        <v>216</v>
      </c>
      <c r="C29" s="27" t="s">
        <v>171</v>
      </c>
      <c r="D29" s="27" t="s">
        <v>4218</v>
      </c>
      <c r="E29" s="10">
        <v>80</v>
      </c>
      <c r="F29" s="36" t="s">
        <v>263</v>
      </c>
      <c r="G29" s="27" t="s">
        <v>315</v>
      </c>
      <c r="H29" s="27" t="s">
        <v>354</v>
      </c>
      <c r="I29" s="27" t="s">
        <v>610</v>
      </c>
      <c r="J29" s="27" t="s">
        <v>610</v>
      </c>
      <c r="K29" s="27" t="s">
        <v>369</v>
      </c>
      <c r="L29" s="27"/>
      <c r="M29" s="27" t="s">
        <v>4219</v>
      </c>
      <c r="N29" s="1" t="s">
        <v>264</v>
      </c>
      <c r="O29" s="27" t="s">
        <v>4209</v>
      </c>
      <c r="P29" s="27"/>
    </row>
    <row r="30" spans="1:16" ht="24" customHeight="1">
      <c r="A30" s="30">
        <v>45463</v>
      </c>
      <c r="B30" s="27" t="s">
        <v>216</v>
      </c>
      <c r="C30" s="27" t="s">
        <v>4166</v>
      </c>
      <c r="D30" s="27" t="s">
        <v>4220</v>
      </c>
      <c r="E30" s="10">
        <v>50</v>
      </c>
      <c r="F30" s="36" t="s">
        <v>263</v>
      </c>
      <c r="G30" s="27" t="s">
        <v>331</v>
      </c>
      <c r="H30" s="27" t="s">
        <v>309</v>
      </c>
      <c r="I30" s="27" t="s">
        <v>4221</v>
      </c>
      <c r="J30" s="27"/>
      <c r="K30" s="27"/>
      <c r="L30" s="27"/>
      <c r="M30" s="27" t="s">
        <v>4222</v>
      </c>
      <c r="N30" s="1" t="s">
        <v>264</v>
      </c>
      <c r="O30" s="27" t="s">
        <v>4223</v>
      </c>
      <c r="P30" s="27" t="s">
        <v>4224</v>
      </c>
    </row>
    <row r="31" spans="1:16" ht="24" customHeight="1">
      <c r="A31" s="30">
        <v>45463</v>
      </c>
      <c r="B31" s="27" t="s">
        <v>216</v>
      </c>
      <c r="C31" s="27" t="s">
        <v>171</v>
      </c>
      <c r="D31" s="27" t="s">
        <v>4225</v>
      </c>
      <c r="E31" s="10">
        <v>23</v>
      </c>
      <c r="F31" s="36" t="s">
        <v>263</v>
      </c>
      <c r="G31" s="27" t="s">
        <v>295</v>
      </c>
      <c r="H31" s="27" t="s">
        <v>290</v>
      </c>
      <c r="I31" s="27" t="s">
        <v>610</v>
      </c>
      <c r="J31" s="27" t="s">
        <v>369</v>
      </c>
      <c r="K31" s="27" t="s">
        <v>369</v>
      </c>
      <c r="L31" s="27"/>
      <c r="M31" s="27" t="s">
        <v>4226</v>
      </c>
      <c r="N31" s="1" t="s">
        <v>264</v>
      </c>
      <c r="O31" s="27" t="s">
        <v>4223</v>
      </c>
      <c r="P31" s="27" t="s">
        <v>4227</v>
      </c>
    </row>
    <row r="32" spans="1:16" ht="24" customHeight="1">
      <c r="A32" s="30">
        <v>45464</v>
      </c>
      <c r="B32" s="27" t="s">
        <v>220</v>
      </c>
      <c r="C32" s="27" t="s">
        <v>4166</v>
      </c>
      <c r="D32" s="27" t="s">
        <v>828</v>
      </c>
      <c r="E32" s="10">
        <v>50</v>
      </c>
      <c r="F32" s="36" t="s">
        <v>263</v>
      </c>
      <c r="G32" s="27" t="s">
        <v>315</v>
      </c>
      <c r="H32" s="27" t="s">
        <v>354</v>
      </c>
      <c r="I32" s="27" t="s">
        <v>610</v>
      </c>
      <c r="J32" s="27" t="s">
        <v>610</v>
      </c>
      <c r="K32" s="27" t="s">
        <v>369</v>
      </c>
      <c r="L32" s="27"/>
      <c r="M32" s="27" t="s">
        <v>4228</v>
      </c>
      <c r="N32" s="1" t="s">
        <v>264</v>
      </c>
      <c r="O32" s="27" t="s">
        <v>4229</v>
      </c>
      <c r="P32" s="27"/>
    </row>
    <row r="33" spans="1:16" ht="24" customHeight="1">
      <c r="A33" s="30">
        <v>45464</v>
      </c>
      <c r="B33" s="27" t="s">
        <v>220</v>
      </c>
      <c r="C33" s="27" t="s">
        <v>171</v>
      </c>
      <c r="D33" s="27" t="s">
        <v>4230</v>
      </c>
      <c r="E33" s="10">
        <v>50</v>
      </c>
      <c r="F33" s="36" t="s">
        <v>263</v>
      </c>
      <c r="G33" s="27" t="s">
        <v>295</v>
      </c>
      <c r="H33" s="27" t="s">
        <v>296</v>
      </c>
      <c r="I33" s="27" t="s">
        <v>610</v>
      </c>
      <c r="J33" s="27" t="s">
        <v>369</v>
      </c>
      <c r="K33" s="27" t="s">
        <v>369</v>
      </c>
      <c r="L33" s="27"/>
      <c r="M33" s="27" t="s">
        <v>4231</v>
      </c>
      <c r="N33" s="1" t="s">
        <v>264</v>
      </c>
      <c r="O33" s="27" t="s">
        <v>4196</v>
      </c>
      <c r="P33" s="27" t="s">
        <v>4232</v>
      </c>
    </row>
    <row r="34" spans="1:16" ht="24" customHeight="1">
      <c r="A34" s="30">
        <v>45465</v>
      </c>
      <c r="B34" s="27" t="s">
        <v>266</v>
      </c>
      <c r="C34" s="27"/>
      <c r="D34" s="27"/>
      <c r="E34" s="10"/>
      <c r="F34" s="36" t="s">
        <v>263</v>
      </c>
      <c r="G34" s="27"/>
      <c r="H34" s="27"/>
      <c r="I34" s="27"/>
      <c r="J34" s="27"/>
      <c r="K34" s="27"/>
      <c r="L34" s="27"/>
      <c r="M34" s="27"/>
      <c r="N34" s="1" t="s">
        <v>264</v>
      </c>
      <c r="O34" s="27"/>
      <c r="P34" s="27"/>
    </row>
    <row r="35" spans="1:16" ht="24" customHeight="1">
      <c r="A35" s="30">
        <v>45466</v>
      </c>
      <c r="B35" s="27" t="s">
        <v>267</v>
      </c>
      <c r="C35" s="27"/>
      <c r="D35" s="27"/>
      <c r="E35" s="10"/>
      <c r="F35" s="36" t="s">
        <v>263</v>
      </c>
      <c r="G35" s="27"/>
      <c r="H35" s="27"/>
      <c r="I35" s="27"/>
      <c r="J35" s="27"/>
      <c r="K35" s="27"/>
      <c r="L35" s="27"/>
      <c r="M35" s="27"/>
      <c r="N35" s="1" t="s">
        <v>264</v>
      </c>
      <c r="O35" s="27"/>
      <c r="P35" s="27"/>
    </row>
    <row r="36" spans="1:16" ht="24" customHeight="1">
      <c r="A36" s="30">
        <v>45467</v>
      </c>
      <c r="B36" s="27" t="s">
        <v>224</v>
      </c>
      <c r="C36" s="27" t="s">
        <v>4166</v>
      </c>
      <c r="D36" s="27" t="s">
        <v>236</v>
      </c>
      <c r="E36" s="10">
        <v>40</v>
      </c>
      <c r="F36" s="36" t="s">
        <v>263</v>
      </c>
      <c r="G36" s="27" t="s">
        <v>269</v>
      </c>
      <c r="H36" s="27" t="s">
        <v>270</v>
      </c>
      <c r="I36" s="27" t="s">
        <v>4189</v>
      </c>
      <c r="J36" s="27" t="s">
        <v>610</v>
      </c>
      <c r="K36" s="27" t="s">
        <v>369</v>
      </c>
      <c r="L36" s="27"/>
      <c r="M36" s="27" t="s">
        <v>2584</v>
      </c>
      <c r="N36" s="1" t="s">
        <v>264</v>
      </c>
      <c r="O36" s="27"/>
      <c r="P36" s="27" t="s">
        <v>4233</v>
      </c>
    </row>
    <row r="37" spans="1:16" ht="24" customHeight="1">
      <c r="A37" s="30">
        <v>45467</v>
      </c>
      <c r="B37" s="27" t="s">
        <v>224</v>
      </c>
      <c r="C37" s="27" t="s">
        <v>171</v>
      </c>
      <c r="D37" s="27" t="s">
        <v>4234</v>
      </c>
      <c r="E37" s="10">
        <v>60</v>
      </c>
      <c r="F37" s="36" t="s">
        <v>263</v>
      </c>
      <c r="G37" s="27" t="s">
        <v>4235</v>
      </c>
      <c r="H37" s="27" t="s">
        <v>354</v>
      </c>
      <c r="I37" s="27" t="s">
        <v>610</v>
      </c>
      <c r="J37" s="27" t="s">
        <v>369</v>
      </c>
      <c r="K37" s="27" t="s">
        <v>369</v>
      </c>
      <c r="L37" s="27"/>
      <c r="M37" s="27" t="s">
        <v>4236</v>
      </c>
      <c r="N37" s="3" t="s">
        <v>312</v>
      </c>
      <c r="O37" s="27"/>
      <c r="P37" s="27" t="s">
        <v>4237</v>
      </c>
    </row>
    <row r="38" spans="1:16" ht="24" customHeight="1">
      <c r="A38" s="30">
        <v>45468</v>
      </c>
      <c r="B38" s="27" t="s">
        <v>227</v>
      </c>
      <c r="C38" s="27"/>
      <c r="D38" s="27"/>
      <c r="E38" s="10"/>
      <c r="F38" s="36" t="s">
        <v>263</v>
      </c>
      <c r="G38" s="27"/>
      <c r="H38" s="27"/>
      <c r="I38" s="27"/>
      <c r="J38" s="27"/>
      <c r="K38" s="27"/>
      <c r="L38" s="27"/>
      <c r="M38" s="27"/>
      <c r="N38" s="1" t="s">
        <v>264</v>
      </c>
      <c r="O38" s="27"/>
      <c r="P38" s="27"/>
    </row>
    <row r="39" spans="1:16" ht="24" customHeight="1">
      <c r="A39" s="30">
        <v>45469</v>
      </c>
      <c r="B39" s="27" t="s">
        <v>201</v>
      </c>
      <c r="C39" s="27" t="s">
        <v>239</v>
      </c>
      <c r="D39" s="27" t="s">
        <v>4238</v>
      </c>
      <c r="E39" s="10">
        <v>100</v>
      </c>
      <c r="F39" s="38" t="s">
        <v>294</v>
      </c>
      <c r="G39" s="27" t="s">
        <v>295</v>
      </c>
      <c r="H39" s="27" t="s">
        <v>296</v>
      </c>
      <c r="I39" s="27"/>
      <c r="J39" s="27" t="s">
        <v>369</v>
      </c>
      <c r="K39" s="27" t="s">
        <v>369</v>
      </c>
      <c r="L39" s="27"/>
      <c r="M39" s="27" t="s">
        <v>4239</v>
      </c>
      <c r="N39" s="1" t="s">
        <v>264</v>
      </c>
      <c r="O39" s="27" t="s">
        <v>4206</v>
      </c>
      <c r="P39" s="27"/>
    </row>
    <row r="40" spans="1:16" ht="24" customHeight="1">
      <c r="A40" s="30">
        <v>45470</v>
      </c>
      <c r="B40" s="27" t="s">
        <v>216</v>
      </c>
      <c r="C40" s="27" t="s">
        <v>4240</v>
      </c>
      <c r="D40" s="27" t="s">
        <v>4241</v>
      </c>
      <c r="E40" s="10">
        <v>50</v>
      </c>
      <c r="F40" s="36" t="s">
        <v>263</v>
      </c>
      <c r="G40" s="27" t="s">
        <v>275</v>
      </c>
      <c r="H40" s="27" t="s">
        <v>309</v>
      </c>
      <c r="I40" s="27" t="s">
        <v>369</v>
      </c>
      <c r="J40" s="27" t="s">
        <v>369</v>
      </c>
      <c r="K40" s="27" t="s">
        <v>610</v>
      </c>
      <c r="L40" s="27"/>
      <c r="M40" s="27" t="s">
        <v>4242</v>
      </c>
      <c r="N40" s="1" t="s">
        <v>264</v>
      </c>
      <c r="O40" s="27" t="s">
        <v>4243</v>
      </c>
      <c r="P40" s="27"/>
    </row>
    <row r="41" spans="1:16" ht="24" customHeight="1">
      <c r="A41" s="30">
        <v>45470</v>
      </c>
      <c r="B41" s="27" t="s">
        <v>216</v>
      </c>
      <c r="C41" s="27" t="s">
        <v>239</v>
      </c>
      <c r="D41" s="27" t="s">
        <v>4238</v>
      </c>
      <c r="E41" s="10">
        <v>100</v>
      </c>
      <c r="F41" s="38" t="s">
        <v>294</v>
      </c>
      <c r="G41" s="27" t="s">
        <v>295</v>
      </c>
      <c r="H41" s="27" t="s">
        <v>296</v>
      </c>
      <c r="I41" s="27"/>
      <c r="J41" s="27" t="s">
        <v>369</v>
      </c>
      <c r="K41" s="27" t="s">
        <v>369</v>
      </c>
      <c r="L41" s="27"/>
      <c r="M41" s="27" t="s">
        <v>2631</v>
      </c>
      <c r="N41" s="3" t="s">
        <v>312</v>
      </c>
      <c r="O41" s="27" t="s">
        <v>4206</v>
      </c>
      <c r="P41" s="27" t="s">
        <v>4244</v>
      </c>
    </row>
    <row r="42" spans="1:16" ht="24" customHeight="1">
      <c r="A42" s="30">
        <v>45471</v>
      </c>
      <c r="B42" s="27" t="s">
        <v>220</v>
      </c>
      <c r="C42" s="27" t="s">
        <v>171</v>
      </c>
      <c r="D42" s="27" t="s">
        <v>4245</v>
      </c>
      <c r="E42" s="10">
        <v>20</v>
      </c>
      <c r="F42" s="36" t="s">
        <v>263</v>
      </c>
      <c r="G42" s="27" t="s">
        <v>275</v>
      </c>
      <c r="H42" s="27" t="s">
        <v>350</v>
      </c>
      <c r="I42" s="27" t="s">
        <v>610</v>
      </c>
      <c r="J42" s="27" t="s">
        <v>369</v>
      </c>
      <c r="K42" s="27" t="s">
        <v>369</v>
      </c>
      <c r="L42" s="27"/>
      <c r="M42" s="27" t="s">
        <v>4246</v>
      </c>
      <c r="N42" s="1" t="s">
        <v>264</v>
      </c>
      <c r="O42" s="27" t="s">
        <v>4243</v>
      </c>
      <c r="P42" s="27"/>
    </row>
    <row r="43" spans="1:16" ht="24" customHeight="1">
      <c r="A43" s="30">
        <v>45471</v>
      </c>
      <c r="B43" s="27" t="s">
        <v>220</v>
      </c>
      <c r="C43" s="27" t="s">
        <v>239</v>
      </c>
      <c r="D43" s="27" t="s">
        <v>4247</v>
      </c>
      <c r="E43" s="10">
        <v>100</v>
      </c>
      <c r="F43" s="38" t="s">
        <v>294</v>
      </c>
      <c r="G43" s="27" t="s">
        <v>295</v>
      </c>
      <c r="H43" s="27" t="s">
        <v>270</v>
      </c>
      <c r="I43" s="27"/>
      <c r="J43" s="27" t="s">
        <v>369</v>
      </c>
      <c r="K43" s="27" t="s">
        <v>369</v>
      </c>
      <c r="L43" s="27"/>
      <c r="M43" s="27" t="s">
        <v>2631</v>
      </c>
      <c r="N43" s="3" t="s">
        <v>312</v>
      </c>
      <c r="O43" s="27" t="s">
        <v>4206</v>
      </c>
      <c r="P43" s="27" t="s">
        <v>4248</v>
      </c>
    </row>
    <row r="44" spans="1:16" ht="24" customHeight="1">
      <c r="A44" s="30">
        <v>45472</v>
      </c>
      <c r="B44" s="27" t="s">
        <v>266</v>
      </c>
      <c r="C44" s="27"/>
      <c r="D44" s="27"/>
      <c r="E44" s="10"/>
      <c r="F44" s="36" t="s">
        <v>263</v>
      </c>
      <c r="G44" s="27"/>
      <c r="H44" s="27"/>
      <c r="I44" s="27"/>
      <c r="J44" s="27"/>
      <c r="K44" s="27"/>
      <c r="L44" s="27"/>
      <c r="M44" s="27"/>
      <c r="N44" s="1" t="s">
        <v>264</v>
      </c>
      <c r="O44" s="27"/>
      <c r="P44" s="27"/>
    </row>
    <row r="45" spans="1:16" ht="24" customHeight="1">
      <c r="A45" s="30">
        <v>45473</v>
      </c>
      <c r="B45" s="27" t="s">
        <v>267</v>
      </c>
      <c r="C45" s="27"/>
      <c r="D45" s="27"/>
      <c r="E45" s="10"/>
      <c r="F45" s="36" t="s">
        <v>263</v>
      </c>
      <c r="G45" s="27"/>
      <c r="H45" s="27"/>
      <c r="I45" s="27"/>
      <c r="J45" s="27"/>
      <c r="K45" s="27"/>
      <c r="L45" s="27"/>
      <c r="M45" s="27"/>
      <c r="N45" s="1" t="s">
        <v>264</v>
      </c>
      <c r="O45" s="27"/>
      <c r="P45" s="27"/>
    </row>
  </sheetData>
  <mergeCells count="3">
    <mergeCell ref="A1:C1"/>
    <mergeCell ref="D1:K1"/>
    <mergeCell ref="L1:P1"/>
  </mergeCells>
  <dataValidations count="2">
    <dataValidation type="list" allowBlank="1" sqref="M3:M95 N3:N45" xr:uid="{00000000-0002-0000-2E00-000000000000}">
      <formula1>"Confirmed (Done),Pending Calendar Booking,Canceled"</formula1>
    </dataValidation>
    <dataValidation type="list" allowBlank="1" sqref="F3:F45" xr:uid="{00000000-0002-0000-2E00-000001000000}">
      <formula1>"Big Event,Small Event"</formula1>
    </dataValidation>
  </dataValidations>
  <hyperlinks>
    <hyperlink ref="A1" location="'Dashboard'!A1" display="🏠 ⮌ RETURN TO DASHBOARD" xr:uid="{00000000-0004-0000-2E00-000000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66"/>
  <sheetViews>
    <sheetView workbookViewId="0">
      <pane ySplit="2" topLeftCell="A3" activePane="bottomLeft" state="frozen"/>
      <selection pane="bottomLeft"/>
    </sheetView>
  </sheetViews>
  <sheetFormatPr defaultRowHeight="14.45"/>
  <cols>
    <col min="1" max="1" width="15" customWidth="1"/>
    <col min="2" max="2" width="12" customWidth="1"/>
    <col min="3" max="3" width="30" customWidth="1"/>
    <col min="4" max="4" width="48" customWidth="1"/>
    <col min="5" max="5" width="12" customWidth="1"/>
    <col min="6" max="6" width="15" customWidth="1"/>
    <col min="7" max="7" width="19" customWidth="1"/>
    <col min="8" max="8" width="17" customWidth="1"/>
    <col min="9" max="9" width="34" customWidth="1"/>
    <col min="10" max="10" width="22" customWidth="1"/>
    <col min="11" max="11" width="48" customWidth="1"/>
    <col min="12" max="12" width="25" customWidth="1"/>
    <col min="13" max="13" width="15" customWidth="1"/>
    <col min="14" max="14" width="25" customWidth="1"/>
    <col min="15" max="15" width="48" customWidth="1"/>
    <col min="16" max="16" width="36" customWidth="1"/>
  </cols>
  <sheetData>
    <row r="1" spans="1:16" ht="27.95" customHeight="1">
      <c r="A1" s="62" t="s">
        <v>2138</v>
      </c>
      <c r="B1" s="134"/>
      <c r="C1" s="135"/>
      <c r="D1" s="63" t="s">
        <v>4249</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45474</v>
      </c>
      <c r="B3" s="27" t="s">
        <v>224</v>
      </c>
      <c r="C3" s="27" t="s">
        <v>239</v>
      </c>
      <c r="D3" s="27" t="s">
        <v>4247</v>
      </c>
      <c r="E3" s="10"/>
      <c r="F3" s="36" t="s">
        <v>263</v>
      </c>
      <c r="G3" s="27" t="s">
        <v>295</v>
      </c>
      <c r="H3" s="27" t="s">
        <v>270</v>
      </c>
      <c r="I3" s="27"/>
      <c r="J3" s="27" t="s">
        <v>369</v>
      </c>
      <c r="K3" s="27" t="s">
        <v>4250</v>
      </c>
      <c r="L3" s="27"/>
      <c r="M3" s="30" t="s">
        <v>4206</v>
      </c>
      <c r="N3" s="3" t="s">
        <v>312</v>
      </c>
      <c r="O3" s="27" t="s">
        <v>4248</v>
      </c>
      <c r="P3" s="27" t="s">
        <v>4251</v>
      </c>
    </row>
    <row r="4" spans="1:16" ht="24" customHeight="1">
      <c r="A4" s="30">
        <v>45474</v>
      </c>
      <c r="B4" s="27" t="s">
        <v>224</v>
      </c>
      <c r="C4" s="27" t="s">
        <v>171</v>
      </c>
      <c r="D4" s="27" t="s">
        <v>4252</v>
      </c>
      <c r="E4" s="10">
        <v>37</v>
      </c>
      <c r="F4" s="36" t="s">
        <v>263</v>
      </c>
      <c r="G4" s="27" t="s">
        <v>295</v>
      </c>
      <c r="H4" s="27" t="s">
        <v>290</v>
      </c>
      <c r="I4" s="27" t="s">
        <v>4253</v>
      </c>
      <c r="J4" s="27" t="s">
        <v>369</v>
      </c>
      <c r="K4" s="27" t="s">
        <v>4254</v>
      </c>
      <c r="L4" s="27"/>
      <c r="M4" s="30" t="s">
        <v>4243</v>
      </c>
      <c r="N4" s="1" t="s">
        <v>264</v>
      </c>
      <c r="O4" s="27" t="s">
        <v>3135</v>
      </c>
      <c r="P4" s="27"/>
    </row>
    <row r="5" spans="1:16" ht="24" customHeight="1">
      <c r="A5" s="30">
        <v>45475</v>
      </c>
      <c r="B5" s="27" t="s">
        <v>227</v>
      </c>
      <c r="C5" s="27" t="s">
        <v>171</v>
      </c>
      <c r="D5" s="27" t="s">
        <v>4255</v>
      </c>
      <c r="E5" s="10">
        <v>50</v>
      </c>
      <c r="F5" s="36" t="s">
        <v>263</v>
      </c>
      <c r="G5" s="27" t="s">
        <v>281</v>
      </c>
      <c r="H5" s="27" t="s">
        <v>506</v>
      </c>
      <c r="I5" s="27" t="s">
        <v>369</v>
      </c>
      <c r="J5" s="27" t="s">
        <v>369</v>
      </c>
      <c r="K5" s="27" t="s">
        <v>4256</v>
      </c>
      <c r="L5" s="27"/>
      <c r="M5" s="30" t="s">
        <v>4257</v>
      </c>
      <c r="N5" s="1" t="s">
        <v>264</v>
      </c>
      <c r="O5" s="27" t="s">
        <v>3135</v>
      </c>
      <c r="P5" s="27"/>
    </row>
    <row r="6" spans="1:16" ht="24" customHeight="1">
      <c r="A6" s="30">
        <v>45475</v>
      </c>
      <c r="B6" s="27" t="s">
        <v>227</v>
      </c>
      <c r="C6" s="27" t="s">
        <v>171</v>
      </c>
      <c r="D6" s="27" t="s">
        <v>4258</v>
      </c>
      <c r="E6" s="10">
        <v>50</v>
      </c>
      <c r="F6" s="36" t="s">
        <v>263</v>
      </c>
      <c r="G6" s="27" t="s">
        <v>295</v>
      </c>
      <c r="H6" s="27" t="s">
        <v>270</v>
      </c>
      <c r="I6" s="27"/>
      <c r="J6" s="27"/>
      <c r="K6" s="27" t="s">
        <v>4259</v>
      </c>
      <c r="L6" s="27"/>
      <c r="M6" s="30" t="s">
        <v>4260</v>
      </c>
      <c r="N6" s="1" t="s">
        <v>264</v>
      </c>
      <c r="O6" s="27" t="s">
        <v>3135</v>
      </c>
      <c r="P6" s="27"/>
    </row>
    <row r="7" spans="1:16" ht="24" customHeight="1">
      <c r="A7" s="30">
        <v>45476</v>
      </c>
      <c r="B7" s="27" t="s">
        <v>201</v>
      </c>
      <c r="C7" s="27" t="s">
        <v>171</v>
      </c>
      <c r="D7" s="27" t="s">
        <v>4261</v>
      </c>
      <c r="E7" s="10">
        <v>35</v>
      </c>
      <c r="F7" s="36" t="s">
        <v>263</v>
      </c>
      <c r="G7" s="27" t="s">
        <v>296</v>
      </c>
      <c r="H7" s="27" t="s">
        <v>290</v>
      </c>
      <c r="I7" s="27" t="s">
        <v>369</v>
      </c>
      <c r="J7" s="27" t="s">
        <v>369</v>
      </c>
      <c r="K7" s="27" t="s">
        <v>4262</v>
      </c>
      <c r="L7" s="27"/>
      <c r="M7" s="30" t="s">
        <v>4263</v>
      </c>
      <c r="N7" s="1" t="s">
        <v>264</v>
      </c>
      <c r="O7" s="27" t="s">
        <v>3135</v>
      </c>
      <c r="P7" s="27"/>
    </row>
    <row r="8" spans="1:16" ht="24" customHeight="1">
      <c r="A8" s="30">
        <v>45476</v>
      </c>
      <c r="B8" s="27" t="s">
        <v>201</v>
      </c>
      <c r="C8" s="27" t="s">
        <v>239</v>
      </c>
      <c r="D8" s="27" t="s">
        <v>4247</v>
      </c>
      <c r="E8" s="10"/>
      <c r="F8" s="36" t="s">
        <v>263</v>
      </c>
      <c r="G8" s="27" t="s">
        <v>359</v>
      </c>
      <c r="H8" s="27" t="s">
        <v>296</v>
      </c>
      <c r="I8" s="27"/>
      <c r="J8" s="27" t="s">
        <v>369</v>
      </c>
      <c r="K8" s="27" t="s">
        <v>4264</v>
      </c>
      <c r="L8" s="27"/>
      <c r="M8" s="30" t="s">
        <v>4206</v>
      </c>
      <c r="N8" s="1" t="s">
        <v>264</v>
      </c>
      <c r="O8" s="27" t="s">
        <v>3135</v>
      </c>
      <c r="P8" s="27"/>
    </row>
    <row r="9" spans="1:16" ht="24" customHeight="1">
      <c r="A9" s="30">
        <v>45477</v>
      </c>
      <c r="B9" s="27" t="s">
        <v>216</v>
      </c>
      <c r="C9" s="27" t="s">
        <v>171</v>
      </c>
      <c r="D9" s="27" t="s">
        <v>4265</v>
      </c>
      <c r="E9" s="10">
        <v>24</v>
      </c>
      <c r="F9" s="36" t="s">
        <v>263</v>
      </c>
      <c r="G9" s="27" t="s">
        <v>338</v>
      </c>
      <c r="H9" s="27" t="s">
        <v>330</v>
      </c>
      <c r="I9" s="27" t="s">
        <v>369</v>
      </c>
      <c r="J9" s="27" t="s">
        <v>369</v>
      </c>
      <c r="K9" s="27" t="s">
        <v>4266</v>
      </c>
      <c r="L9" s="27"/>
      <c r="M9" s="30" t="s">
        <v>4267</v>
      </c>
      <c r="N9" s="1" t="s">
        <v>264</v>
      </c>
      <c r="O9" s="27" t="s">
        <v>3135</v>
      </c>
      <c r="P9" s="27"/>
    </row>
    <row r="10" spans="1:16" ht="24" customHeight="1">
      <c r="A10" s="30">
        <v>45477</v>
      </c>
      <c r="B10" s="27" t="s">
        <v>216</v>
      </c>
      <c r="C10" s="27" t="s">
        <v>239</v>
      </c>
      <c r="D10" s="27" t="s">
        <v>4268</v>
      </c>
      <c r="E10" s="10">
        <v>100</v>
      </c>
      <c r="F10" s="38" t="s">
        <v>294</v>
      </c>
      <c r="G10" s="27" t="s">
        <v>506</v>
      </c>
      <c r="H10" s="27" t="s">
        <v>429</v>
      </c>
      <c r="I10" s="27" t="s">
        <v>369</v>
      </c>
      <c r="J10" s="27" t="s">
        <v>369</v>
      </c>
      <c r="K10" s="27" t="s">
        <v>4269</v>
      </c>
      <c r="L10" s="27"/>
      <c r="M10" s="30" t="s">
        <v>4263</v>
      </c>
      <c r="N10" s="1" t="s">
        <v>264</v>
      </c>
      <c r="O10" s="27" t="s">
        <v>4270</v>
      </c>
      <c r="P10" s="27"/>
    </row>
    <row r="11" spans="1:16" ht="24" customHeight="1">
      <c r="A11" s="30">
        <v>45477</v>
      </c>
      <c r="B11" s="27" t="s">
        <v>216</v>
      </c>
      <c r="C11" s="27" t="s">
        <v>171</v>
      </c>
      <c r="D11" s="27" t="s">
        <v>4271</v>
      </c>
      <c r="E11" s="10"/>
      <c r="F11" s="36" t="s">
        <v>263</v>
      </c>
      <c r="G11" s="27" t="s">
        <v>295</v>
      </c>
      <c r="H11" s="27" t="s">
        <v>270</v>
      </c>
      <c r="I11" s="27" t="s">
        <v>369</v>
      </c>
      <c r="J11" s="27" t="s">
        <v>369</v>
      </c>
      <c r="K11" s="27" t="s">
        <v>3195</v>
      </c>
      <c r="L11" s="27"/>
      <c r="M11" s="30" t="s">
        <v>4272</v>
      </c>
      <c r="N11" s="3" t="s">
        <v>312</v>
      </c>
      <c r="O11" s="27" t="s">
        <v>4273</v>
      </c>
      <c r="P11" s="27"/>
    </row>
    <row r="12" spans="1:16" ht="24" customHeight="1">
      <c r="A12" s="30">
        <v>45478</v>
      </c>
      <c r="B12" s="27" t="s">
        <v>220</v>
      </c>
      <c r="C12" s="27" t="s">
        <v>171</v>
      </c>
      <c r="D12" s="27" t="s">
        <v>4271</v>
      </c>
      <c r="E12" s="10"/>
      <c r="F12" s="36" t="s">
        <v>263</v>
      </c>
      <c r="G12" s="27" t="s">
        <v>295</v>
      </c>
      <c r="H12" s="27" t="s">
        <v>296</v>
      </c>
      <c r="I12" s="27" t="s">
        <v>369</v>
      </c>
      <c r="J12" s="27" t="s">
        <v>369</v>
      </c>
      <c r="K12" s="27" t="s">
        <v>3195</v>
      </c>
      <c r="L12" s="27"/>
      <c r="M12" s="30" t="s">
        <v>4272</v>
      </c>
      <c r="N12" s="1" t="s">
        <v>264</v>
      </c>
      <c r="O12" s="27" t="s">
        <v>4273</v>
      </c>
      <c r="P12" s="27"/>
    </row>
    <row r="13" spans="1:16" ht="24" customHeight="1">
      <c r="A13" s="30">
        <v>45479</v>
      </c>
      <c r="B13" s="27" t="s">
        <v>266</v>
      </c>
      <c r="C13" s="27"/>
      <c r="D13" s="27"/>
      <c r="E13" s="10"/>
      <c r="F13" s="36" t="s">
        <v>263</v>
      </c>
      <c r="G13" s="27"/>
      <c r="H13" s="27"/>
      <c r="I13" s="27"/>
      <c r="J13" s="27"/>
      <c r="K13" s="27"/>
      <c r="L13" s="27"/>
      <c r="M13" s="27"/>
      <c r="N13" s="1" t="s">
        <v>264</v>
      </c>
      <c r="O13" s="27"/>
      <c r="P13" s="27"/>
    </row>
    <row r="14" spans="1:16" ht="24" customHeight="1">
      <c r="A14" s="30">
        <v>45480</v>
      </c>
      <c r="B14" s="27" t="s">
        <v>267</v>
      </c>
      <c r="C14" s="27"/>
      <c r="D14" s="27"/>
      <c r="E14" s="10"/>
      <c r="F14" s="36" t="s">
        <v>263</v>
      </c>
      <c r="G14" s="27"/>
      <c r="H14" s="27"/>
      <c r="I14" s="27"/>
      <c r="J14" s="27"/>
      <c r="K14" s="27"/>
      <c r="L14" s="27"/>
      <c r="M14" s="27"/>
      <c r="N14" s="1" t="s">
        <v>264</v>
      </c>
      <c r="O14" s="27"/>
      <c r="P14" s="27"/>
    </row>
    <row r="15" spans="1:16" ht="24" customHeight="1">
      <c r="A15" s="30">
        <v>45481</v>
      </c>
      <c r="B15" s="27" t="s">
        <v>224</v>
      </c>
      <c r="C15" s="27" t="s">
        <v>239</v>
      </c>
      <c r="D15" s="27" t="s">
        <v>4274</v>
      </c>
      <c r="E15" s="10">
        <v>60</v>
      </c>
      <c r="F15" s="36" t="s">
        <v>263</v>
      </c>
      <c r="G15" s="27" t="s">
        <v>296</v>
      </c>
      <c r="H15" s="27" t="s">
        <v>1168</v>
      </c>
      <c r="I15" s="27"/>
      <c r="J15" s="27"/>
      <c r="K15" s="27"/>
      <c r="L15" s="27"/>
      <c r="M15" s="27"/>
      <c r="N15" s="1" t="s">
        <v>264</v>
      </c>
      <c r="O15" s="27" t="s">
        <v>3135</v>
      </c>
      <c r="P15" s="27"/>
    </row>
    <row r="16" spans="1:16" ht="24" customHeight="1">
      <c r="A16" s="30">
        <v>45481</v>
      </c>
      <c r="B16" s="27" t="s">
        <v>224</v>
      </c>
      <c r="C16" s="27" t="s">
        <v>4275</v>
      </c>
      <c r="D16" s="27" t="s">
        <v>236</v>
      </c>
      <c r="E16" s="10">
        <v>45</v>
      </c>
      <c r="F16" s="36" t="s">
        <v>263</v>
      </c>
      <c r="G16" s="27" t="s">
        <v>269</v>
      </c>
      <c r="H16" s="27" t="s">
        <v>270</v>
      </c>
      <c r="I16" s="27" t="s">
        <v>369</v>
      </c>
      <c r="J16" s="27" t="s">
        <v>369</v>
      </c>
      <c r="K16" s="27"/>
      <c r="L16" s="27"/>
      <c r="M16" s="27"/>
      <c r="N16" s="1" t="s">
        <v>264</v>
      </c>
      <c r="O16" s="27" t="s">
        <v>4276</v>
      </c>
      <c r="P16" s="27"/>
    </row>
    <row r="17" spans="1:16" ht="24" customHeight="1">
      <c r="A17" s="30">
        <v>45481</v>
      </c>
      <c r="B17" s="27" t="s">
        <v>224</v>
      </c>
      <c r="C17" s="27" t="s">
        <v>4277</v>
      </c>
      <c r="D17" s="27" t="s">
        <v>4278</v>
      </c>
      <c r="E17" s="10">
        <v>1</v>
      </c>
      <c r="F17" s="36" t="s">
        <v>263</v>
      </c>
      <c r="G17" s="27" t="s">
        <v>604</v>
      </c>
      <c r="H17" s="27" t="s">
        <v>270</v>
      </c>
      <c r="I17" s="27" t="s">
        <v>369</v>
      </c>
      <c r="J17" s="27" t="s">
        <v>369</v>
      </c>
      <c r="K17" s="27" t="s">
        <v>369</v>
      </c>
      <c r="L17" s="27"/>
      <c r="M17" s="27"/>
      <c r="N17" s="1" t="s">
        <v>264</v>
      </c>
      <c r="O17" s="27" t="s">
        <v>4279</v>
      </c>
      <c r="P17" s="27"/>
    </row>
    <row r="18" spans="1:16" ht="24" customHeight="1">
      <c r="A18" s="30">
        <v>45481</v>
      </c>
      <c r="B18" s="27" t="s">
        <v>224</v>
      </c>
      <c r="C18" s="27" t="s">
        <v>4280</v>
      </c>
      <c r="D18" s="27" t="s">
        <v>4281</v>
      </c>
      <c r="E18" s="10">
        <v>1</v>
      </c>
      <c r="F18" s="36" t="s">
        <v>263</v>
      </c>
      <c r="G18" s="27" t="s">
        <v>604</v>
      </c>
      <c r="H18" s="27" t="s">
        <v>270</v>
      </c>
      <c r="I18" s="27"/>
      <c r="J18" s="27"/>
      <c r="K18" s="27"/>
      <c r="L18" s="27"/>
      <c r="M18" s="27"/>
      <c r="N18" s="1" t="s">
        <v>264</v>
      </c>
      <c r="O18" s="27" t="s">
        <v>4279</v>
      </c>
      <c r="P18" s="27"/>
    </row>
    <row r="19" spans="1:16" ht="24" customHeight="1">
      <c r="A19" s="30">
        <v>45481</v>
      </c>
      <c r="B19" s="27" t="s">
        <v>224</v>
      </c>
      <c r="C19" s="27" t="s">
        <v>171</v>
      </c>
      <c r="D19" s="27" t="s">
        <v>4218</v>
      </c>
      <c r="E19" s="10">
        <v>50</v>
      </c>
      <c r="F19" s="36" t="s">
        <v>263</v>
      </c>
      <c r="G19" s="27" t="s">
        <v>295</v>
      </c>
      <c r="H19" s="27" t="s">
        <v>503</v>
      </c>
      <c r="I19" s="27"/>
      <c r="J19" s="27"/>
      <c r="K19" s="27" t="s">
        <v>4282</v>
      </c>
      <c r="L19" s="27"/>
      <c r="M19" s="27"/>
      <c r="N19" s="1" t="s">
        <v>264</v>
      </c>
      <c r="O19" s="27" t="s">
        <v>4283</v>
      </c>
      <c r="P19" s="27"/>
    </row>
    <row r="20" spans="1:16" ht="24" customHeight="1">
      <c r="A20" s="30">
        <v>45481</v>
      </c>
      <c r="B20" s="27" t="s">
        <v>224</v>
      </c>
      <c r="C20" s="27" t="s">
        <v>1112</v>
      </c>
      <c r="D20" s="27"/>
      <c r="E20" s="10"/>
      <c r="F20" s="36" t="s">
        <v>263</v>
      </c>
      <c r="G20" s="27"/>
      <c r="H20" s="27"/>
      <c r="I20" s="27"/>
      <c r="J20" s="27"/>
      <c r="K20" s="27"/>
      <c r="L20" s="27"/>
      <c r="M20" s="27"/>
      <c r="N20" s="1" t="s">
        <v>264</v>
      </c>
      <c r="O20" s="27" t="s">
        <v>4284</v>
      </c>
      <c r="P20" s="27"/>
    </row>
    <row r="21" spans="1:16" ht="24" customHeight="1">
      <c r="A21" s="30">
        <v>45482</v>
      </c>
      <c r="B21" s="27" t="s">
        <v>227</v>
      </c>
      <c r="C21" s="27" t="s">
        <v>937</v>
      </c>
      <c r="D21" s="27" t="s">
        <v>4285</v>
      </c>
      <c r="E21" s="10">
        <v>70</v>
      </c>
      <c r="F21" s="36" t="s">
        <v>263</v>
      </c>
      <c r="G21" s="27" t="s">
        <v>295</v>
      </c>
      <c r="H21" s="27" t="s">
        <v>290</v>
      </c>
      <c r="I21" s="27" t="s">
        <v>369</v>
      </c>
      <c r="J21" s="27" t="s">
        <v>369</v>
      </c>
      <c r="K21" s="27" t="s">
        <v>4286</v>
      </c>
      <c r="L21" s="27"/>
      <c r="M21" s="30" t="s">
        <v>4186</v>
      </c>
      <c r="N21" s="1" t="s">
        <v>264</v>
      </c>
      <c r="O21" s="27"/>
      <c r="P21" s="27"/>
    </row>
    <row r="22" spans="1:16" ht="24" customHeight="1">
      <c r="A22" s="30">
        <v>45482</v>
      </c>
      <c r="B22" s="27" t="s">
        <v>227</v>
      </c>
      <c r="C22" s="27" t="s">
        <v>4280</v>
      </c>
      <c r="D22" s="27" t="s">
        <v>4281</v>
      </c>
      <c r="E22" s="10">
        <v>1</v>
      </c>
      <c r="F22" s="36" t="s">
        <v>263</v>
      </c>
      <c r="G22" s="27" t="s">
        <v>604</v>
      </c>
      <c r="H22" s="27" t="s">
        <v>270</v>
      </c>
      <c r="I22" s="27"/>
      <c r="J22" s="27"/>
      <c r="K22" s="27"/>
      <c r="L22" s="27"/>
      <c r="M22" s="27"/>
      <c r="N22" s="1" t="s">
        <v>264</v>
      </c>
      <c r="O22" s="27" t="s">
        <v>4287</v>
      </c>
      <c r="P22" s="27"/>
    </row>
    <row r="23" spans="1:16" ht="24" customHeight="1">
      <c r="A23" s="30">
        <v>45482</v>
      </c>
      <c r="B23" s="27" t="s">
        <v>227</v>
      </c>
      <c r="C23" s="27" t="s">
        <v>4288</v>
      </c>
      <c r="D23" s="27" t="s">
        <v>4289</v>
      </c>
      <c r="E23" s="10">
        <v>1</v>
      </c>
      <c r="F23" s="36" t="s">
        <v>263</v>
      </c>
      <c r="G23" s="27" t="s">
        <v>269</v>
      </c>
      <c r="H23" s="27" t="s">
        <v>544</v>
      </c>
      <c r="I23" s="27" t="s">
        <v>369</v>
      </c>
      <c r="J23" s="27"/>
      <c r="K23" s="27"/>
      <c r="L23" s="27"/>
      <c r="M23" s="27"/>
      <c r="N23" s="1" t="s">
        <v>264</v>
      </c>
      <c r="O23" s="27" t="s">
        <v>4290</v>
      </c>
      <c r="P23" s="27"/>
    </row>
    <row r="24" spans="1:16" ht="24" customHeight="1">
      <c r="A24" s="30" t="s">
        <v>4291</v>
      </c>
      <c r="B24" s="27" t="s">
        <v>227</v>
      </c>
      <c r="C24" s="27" t="s">
        <v>1112</v>
      </c>
      <c r="D24" s="27"/>
      <c r="E24" s="10"/>
      <c r="F24" s="36" t="s">
        <v>263</v>
      </c>
      <c r="G24" s="27"/>
      <c r="H24" s="27"/>
      <c r="I24" s="27"/>
      <c r="J24" s="27"/>
      <c r="K24" s="27"/>
      <c r="L24" s="27"/>
      <c r="M24" s="27"/>
      <c r="N24" s="1" t="s">
        <v>264</v>
      </c>
      <c r="O24" s="27" t="s">
        <v>4284</v>
      </c>
      <c r="P24" s="27"/>
    </row>
    <row r="25" spans="1:16" ht="24" customHeight="1">
      <c r="A25" s="30" t="s">
        <v>4292</v>
      </c>
      <c r="B25" s="27" t="s">
        <v>201</v>
      </c>
      <c r="C25" s="27" t="s">
        <v>4280</v>
      </c>
      <c r="D25" s="27" t="s">
        <v>4281</v>
      </c>
      <c r="E25" s="10">
        <v>1</v>
      </c>
      <c r="F25" s="36" t="s">
        <v>263</v>
      </c>
      <c r="G25" s="27" t="s">
        <v>269</v>
      </c>
      <c r="H25" s="27" t="s">
        <v>270</v>
      </c>
      <c r="I25" s="27"/>
      <c r="J25" s="27"/>
      <c r="K25" s="27"/>
      <c r="L25" s="27"/>
      <c r="M25" s="27"/>
      <c r="N25" s="1" t="s">
        <v>264</v>
      </c>
      <c r="O25" s="27" t="s">
        <v>4287</v>
      </c>
      <c r="P25" s="27"/>
    </row>
    <row r="26" spans="1:16" ht="24" customHeight="1">
      <c r="A26" s="30" t="s">
        <v>4292</v>
      </c>
      <c r="B26" s="27" t="s">
        <v>201</v>
      </c>
      <c r="C26" s="27" t="s">
        <v>4293</v>
      </c>
      <c r="D26" s="27" t="s">
        <v>4289</v>
      </c>
      <c r="E26" s="10">
        <v>1</v>
      </c>
      <c r="F26" s="36" t="s">
        <v>263</v>
      </c>
      <c r="G26" s="27" t="s">
        <v>269</v>
      </c>
      <c r="H26" s="27" t="s">
        <v>544</v>
      </c>
      <c r="I26" s="27" t="s">
        <v>369</v>
      </c>
      <c r="J26" s="27"/>
      <c r="K26" s="27"/>
      <c r="L26" s="27"/>
      <c r="M26" s="27"/>
      <c r="N26" s="1" t="s">
        <v>264</v>
      </c>
      <c r="O26" s="27" t="s">
        <v>4290</v>
      </c>
      <c r="P26" s="27"/>
    </row>
    <row r="27" spans="1:16" ht="24" customHeight="1">
      <c r="A27" s="30" t="s">
        <v>4292</v>
      </c>
      <c r="B27" s="27" t="s">
        <v>201</v>
      </c>
      <c r="C27" s="27" t="s">
        <v>4294</v>
      </c>
      <c r="D27" s="27" t="s">
        <v>4295</v>
      </c>
      <c r="E27" s="10"/>
      <c r="F27" s="36" t="s">
        <v>263</v>
      </c>
      <c r="G27" s="27" t="s">
        <v>269</v>
      </c>
      <c r="H27" s="27" t="s">
        <v>270</v>
      </c>
      <c r="I27" s="27"/>
      <c r="J27" s="27"/>
      <c r="K27" s="27"/>
      <c r="L27" s="27"/>
      <c r="M27" s="27"/>
      <c r="N27" s="1" t="s">
        <v>264</v>
      </c>
      <c r="O27" s="27" t="s">
        <v>4296</v>
      </c>
      <c r="P27" s="27"/>
    </row>
    <row r="28" spans="1:16" ht="24" customHeight="1">
      <c r="A28" s="30">
        <v>45483</v>
      </c>
      <c r="B28" s="27" t="s">
        <v>201</v>
      </c>
      <c r="C28" s="27" t="s">
        <v>937</v>
      </c>
      <c r="D28" s="27" t="s">
        <v>4297</v>
      </c>
      <c r="E28" s="10">
        <v>70</v>
      </c>
      <c r="F28" s="36" t="s">
        <v>263</v>
      </c>
      <c r="G28" s="27" t="s">
        <v>289</v>
      </c>
      <c r="H28" s="27" t="s">
        <v>296</v>
      </c>
      <c r="I28" s="27" t="s">
        <v>369</v>
      </c>
      <c r="J28" s="27"/>
      <c r="K28" s="27" t="s">
        <v>1194</v>
      </c>
      <c r="L28" s="27"/>
      <c r="M28" s="30" t="s">
        <v>4298</v>
      </c>
      <c r="N28" s="1" t="s">
        <v>264</v>
      </c>
      <c r="O28" s="27" t="s">
        <v>3135</v>
      </c>
      <c r="P28" s="27"/>
    </row>
    <row r="29" spans="1:16" ht="24" customHeight="1">
      <c r="A29" s="30">
        <v>45483</v>
      </c>
      <c r="B29" s="27" t="s">
        <v>201</v>
      </c>
      <c r="C29" s="27" t="s">
        <v>4299</v>
      </c>
      <c r="D29" s="27" t="s">
        <v>271</v>
      </c>
      <c r="E29" s="10"/>
      <c r="F29" s="36" t="s">
        <v>263</v>
      </c>
      <c r="G29" s="27" t="s">
        <v>331</v>
      </c>
      <c r="H29" s="27" t="s">
        <v>309</v>
      </c>
      <c r="I29" s="27"/>
      <c r="J29" s="27"/>
      <c r="K29" s="27" t="s">
        <v>1386</v>
      </c>
      <c r="L29" s="27"/>
      <c r="M29" s="27"/>
      <c r="N29" s="1" t="s">
        <v>264</v>
      </c>
      <c r="O29" s="27" t="s">
        <v>4300</v>
      </c>
      <c r="P29" s="27"/>
    </row>
    <row r="30" spans="1:16" ht="24" customHeight="1">
      <c r="A30" s="30">
        <v>45483</v>
      </c>
      <c r="B30" s="27" t="s">
        <v>201</v>
      </c>
      <c r="C30" s="27" t="s">
        <v>4240</v>
      </c>
      <c r="D30" s="27" t="s">
        <v>4301</v>
      </c>
      <c r="E30" s="10">
        <v>14</v>
      </c>
      <c r="F30" s="36" t="s">
        <v>263</v>
      </c>
      <c r="G30" s="27" t="s">
        <v>275</v>
      </c>
      <c r="H30" s="27" t="s">
        <v>460</v>
      </c>
      <c r="I30" s="27" t="s">
        <v>369</v>
      </c>
      <c r="J30" s="27" t="s">
        <v>369</v>
      </c>
      <c r="K30" s="27"/>
      <c r="L30" s="27"/>
      <c r="M30" s="27"/>
      <c r="N30" s="1" t="s">
        <v>264</v>
      </c>
      <c r="O30" s="27" t="s">
        <v>4302</v>
      </c>
      <c r="P30" s="27"/>
    </row>
    <row r="31" spans="1:16" ht="24" customHeight="1">
      <c r="A31" s="30">
        <v>45483</v>
      </c>
      <c r="B31" s="27" t="s">
        <v>201</v>
      </c>
      <c r="C31" s="27" t="s">
        <v>4275</v>
      </c>
      <c r="D31" s="27" t="s">
        <v>4303</v>
      </c>
      <c r="E31" s="10">
        <v>35</v>
      </c>
      <c r="F31" s="36" t="s">
        <v>263</v>
      </c>
      <c r="G31" s="27" t="s">
        <v>315</v>
      </c>
      <c r="H31" s="27" t="s">
        <v>4304</v>
      </c>
      <c r="I31" s="27" t="s">
        <v>610</v>
      </c>
      <c r="J31" s="27" t="s">
        <v>369</v>
      </c>
      <c r="K31" s="27" t="s">
        <v>4305</v>
      </c>
      <c r="L31" s="27"/>
      <c r="M31" s="30" t="s">
        <v>4306</v>
      </c>
      <c r="N31" s="1" t="s">
        <v>264</v>
      </c>
      <c r="O31" s="27" t="s">
        <v>4307</v>
      </c>
      <c r="P31" s="27"/>
    </row>
    <row r="32" spans="1:16" ht="24" customHeight="1">
      <c r="A32" s="30">
        <v>45483</v>
      </c>
      <c r="B32" s="27" t="s">
        <v>201</v>
      </c>
      <c r="C32" s="27" t="s">
        <v>4275</v>
      </c>
      <c r="D32" s="27" t="s">
        <v>4308</v>
      </c>
      <c r="E32" s="10">
        <v>28</v>
      </c>
      <c r="F32" s="36" t="s">
        <v>263</v>
      </c>
      <c r="G32" s="27" t="s">
        <v>4304</v>
      </c>
      <c r="H32" s="27" t="s">
        <v>270</v>
      </c>
      <c r="I32" s="27" t="s">
        <v>369</v>
      </c>
      <c r="J32" s="27" t="s">
        <v>369</v>
      </c>
      <c r="K32" s="27" t="s">
        <v>2596</v>
      </c>
      <c r="L32" s="27"/>
      <c r="M32" s="27" t="s">
        <v>4309</v>
      </c>
      <c r="N32" s="1" t="s">
        <v>264</v>
      </c>
      <c r="O32" s="27" t="s">
        <v>4310</v>
      </c>
      <c r="P32" s="27"/>
    </row>
    <row r="33" spans="1:16" ht="24" customHeight="1">
      <c r="A33" s="30">
        <v>45484</v>
      </c>
      <c r="B33" s="27" t="s">
        <v>216</v>
      </c>
      <c r="C33" s="27" t="s">
        <v>171</v>
      </c>
      <c r="D33" s="27" t="s">
        <v>4311</v>
      </c>
      <c r="E33" s="10">
        <v>20</v>
      </c>
      <c r="F33" s="36" t="s">
        <v>263</v>
      </c>
      <c r="G33" s="27" t="s">
        <v>295</v>
      </c>
      <c r="H33" s="27" t="s">
        <v>296</v>
      </c>
      <c r="I33" s="27" t="s">
        <v>369</v>
      </c>
      <c r="J33" s="27" t="s">
        <v>369</v>
      </c>
      <c r="K33" s="27" t="s">
        <v>4312</v>
      </c>
      <c r="L33" s="27"/>
      <c r="M33" s="30" t="s">
        <v>4292</v>
      </c>
      <c r="N33" s="1" t="s">
        <v>264</v>
      </c>
      <c r="O33" s="27" t="s">
        <v>4283</v>
      </c>
      <c r="P33" s="27"/>
    </row>
    <row r="34" spans="1:16" ht="24" customHeight="1">
      <c r="A34" s="30">
        <v>45484</v>
      </c>
      <c r="B34" s="27" t="s">
        <v>216</v>
      </c>
      <c r="C34" s="27" t="s">
        <v>171</v>
      </c>
      <c r="D34" s="27" t="s">
        <v>4313</v>
      </c>
      <c r="E34" s="10">
        <v>40</v>
      </c>
      <c r="F34" s="36" t="s">
        <v>263</v>
      </c>
      <c r="G34" s="27" t="s">
        <v>295</v>
      </c>
      <c r="H34" s="27" t="s">
        <v>290</v>
      </c>
      <c r="I34" s="27" t="s">
        <v>369</v>
      </c>
      <c r="J34" s="27" t="s">
        <v>369</v>
      </c>
      <c r="K34" s="27" t="s">
        <v>4314</v>
      </c>
      <c r="L34" s="27"/>
      <c r="M34" s="30" t="s">
        <v>4298</v>
      </c>
      <c r="N34" s="3" t="s">
        <v>312</v>
      </c>
      <c r="O34" s="27" t="s">
        <v>3135</v>
      </c>
      <c r="P34" s="27" t="s">
        <v>4315</v>
      </c>
    </row>
    <row r="35" spans="1:16" ht="24" customHeight="1">
      <c r="A35" s="30">
        <v>45485</v>
      </c>
      <c r="B35" s="27" t="s">
        <v>220</v>
      </c>
      <c r="C35" s="27"/>
      <c r="D35" s="27"/>
      <c r="E35" s="10"/>
      <c r="F35" s="36" t="s">
        <v>263</v>
      </c>
      <c r="G35" s="27"/>
      <c r="H35" s="27"/>
      <c r="I35" s="27"/>
      <c r="J35" s="27"/>
      <c r="K35" s="27"/>
      <c r="L35" s="27"/>
      <c r="M35" s="27"/>
      <c r="N35" s="1" t="s">
        <v>264</v>
      </c>
      <c r="O35" s="27"/>
      <c r="P35" s="27"/>
    </row>
    <row r="36" spans="1:16" ht="24" customHeight="1">
      <c r="A36" s="30">
        <v>45486</v>
      </c>
      <c r="B36" s="27" t="s">
        <v>266</v>
      </c>
      <c r="C36" s="27"/>
      <c r="D36" s="27"/>
      <c r="E36" s="10"/>
      <c r="F36" s="36" t="s">
        <v>263</v>
      </c>
      <c r="G36" s="27"/>
      <c r="H36" s="27"/>
      <c r="I36" s="27"/>
      <c r="J36" s="27"/>
      <c r="K36" s="27"/>
      <c r="L36" s="27"/>
      <c r="M36" s="27"/>
      <c r="N36" s="1" t="s">
        <v>264</v>
      </c>
      <c r="O36" s="27"/>
      <c r="P36" s="27"/>
    </row>
    <row r="37" spans="1:16" ht="24" customHeight="1">
      <c r="A37" s="30">
        <v>45487</v>
      </c>
      <c r="B37" s="27" t="s">
        <v>267</v>
      </c>
      <c r="C37" s="27"/>
      <c r="D37" s="27"/>
      <c r="E37" s="10"/>
      <c r="F37" s="36" t="s">
        <v>263</v>
      </c>
      <c r="G37" s="27"/>
      <c r="H37" s="27"/>
      <c r="I37" s="27"/>
      <c r="J37" s="27"/>
      <c r="K37" s="27"/>
      <c r="L37" s="27"/>
      <c r="M37" s="27"/>
      <c r="N37" s="1" t="s">
        <v>264</v>
      </c>
      <c r="O37" s="27"/>
      <c r="P37" s="27"/>
    </row>
    <row r="38" spans="1:16" ht="24" customHeight="1">
      <c r="A38" s="30">
        <v>45488</v>
      </c>
      <c r="B38" s="27" t="s">
        <v>224</v>
      </c>
      <c r="C38" s="27" t="s">
        <v>4275</v>
      </c>
      <c r="D38" s="27" t="s">
        <v>236</v>
      </c>
      <c r="E38" s="10">
        <v>21</v>
      </c>
      <c r="F38" s="36" t="s">
        <v>263</v>
      </c>
      <c r="G38" s="27" t="s">
        <v>269</v>
      </c>
      <c r="H38" s="27" t="s">
        <v>544</v>
      </c>
      <c r="I38" s="27" t="s">
        <v>369</v>
      </c>
      <c r="J38" s="27" t="s">
        <v>369</v>
      </c>
      <c r="K38" s="27" t="s">
        <v>2584</v>
      </c>
      <c r="L38" s="27"/>
      <c r="M38" s="27"/>
      <c r="N38" s="1" t="s">
        <v>264</v>
      </c>
      <c r="O38" s="27" t="s">
        <v>4316</v>
      </c>
      <c r="P38" s="27"/>
    </row>
    <row r="39" spans="1:16" ht="24" customHeight="1">
      <c r="A39" s="30">
        <v>45489</v>
      </c>
      <c r="B39" s="27" t="s">
        <v>227</v>
      </c>
      <c r="C39" s="27" t="s">
        <v>4275</v>
      </c>
      <c r="D39" s="27" t="s">
        <v>4317</v>
      </c>
      <c r="E39" s="10">
        <v>40</v>
      </c>
      <c r="F39" s="36" t="s">
        <v>263</v>
      </c>
      <c r="G39" s="27" t="s">
        <v>506</v>
      </c>
      <c r="H39" s="27" t="s">
        <v>275</v>
      </c>
      <c r="I39" s="27" t="s">
        <v>369</v>
      </c>
      <c r="J39" s="27" t="s">
        <v>369</v>
      </c>
      <c r="K39" s="27" t="s">
        <v>4318</v>
      </c>
      <c r="L39" s="27"/>
      <c r="M39" s="30" t="s">
        <v>4292</v>
      </c>
      <c r="N39" s="1" t="s">
        <v>264</v>
      </c>
      <c r="O39" s="27" t="s">
        <v>4319</v>
      </c>
      <c r="P39" s="27"/>
    </row>
    <row r="40" spans="1:16" ht="24" customHeight="1">
      <c r="A40" s="30" t="s">
        <v>4320</v>
      </c>
      <c r="B40" s="27" t="s">
        <v>227</v>
      </c>
      <c r="C40" s="27" t="s">
        <v>171</v>
      </c>
      <c r="D40" s="27" t="s">
        <v>4321</v>
      </c>
      <c r="E40" s="10">
        <v>40</v>
      </c>
      <c r="F40" s="36" t="s">
        <v>263</v>
      </c>
      <c r="G40" s="27" t="s">
        <v>295</v>
      </c>
      <c r="H40" s="27" t="s">
        <v>296</v>
      </c>
      <c r="I40" s="27" t="s">
        <v>369</v>
      </c>
      <c r="J40" s="27" t="s">
        <v>369</v>
      </c>
      <c r="K40" s="27" t="s">
        <v>4322</v>
      </c>
      <c r="L40" s="27"/>
      <c r="M40" s="30" t="s">
        <v>4323</v>
      </c>
      <c r="N40" s="1" t="s">
        <v>264</v>
      </c>
      <c r="O40" s="27"/>
      <c r="P40" s="27"/>
    </row>
    <row r="41" spans="1:16" ht="24" customHeight="1">
      <c r="A41" s="30">
        <v>45490</v>
      </c>
      <c r="B41" s="27" t="s">
        <v>201</v>
      </c>
      <c r="C41" s="27" t="s">
        <v>239</v>
      </c>
      <c r="D41" s="27" t="s">
        <v>4324</v>
      </c>
      <c r="E41" s="10">
        <v>100</v>
      </c>
      <c r="F41" s="38" t="s">
        <v>294</v>
      </c>
      <c r="G41" s="27" t="s">
        <v>359</v>
      </c>
      <c r="H41" s="27" t="s">
        <v>296</v>
      </c>
      <c r="I41" s="27"/>
      <c r="J41" s="27"/>
      <c r="K41" s="27" t="s">
        <v>4325</v>
      </c>
      <c r="L41" s="27"/>
      <c r="M41" s="30" t="s">
        <v>4326</v>
      </c>
      <c r="N41" s="1" t="s">
        <v>264</v>
      </c>
      <c r="O41" s="27"/>
      <c r="P41" s="27"/>
    </row>
    <row r="42" spans="1:16" ht="24" customHeight="1">
      <c r="A42" s="30">
        <v>45491</v>
      </c>
      <c r="B42" s="27" t="s">
        <v>216</v>
      </c>
      <c r="C42" s="27" t="s">
        <v>4275</v>
      </c>
      <c r="D42" s="27" t="s">
        <v>4327</v>
      </c>
      <c r="E42" s="10">
        <v>30</v>
      </c>
      <c r="F42" s="36" t="s">
        <v>263</v>
      </c>
      <c r="G42" s="27" t="s">
        <v>269</v>
      </c>
      <c r="H42" s="27" t="s">
        <v>270</v>
      </c>
      <c r="I42" s="27" t="s">
        <v>382</v>
      </c>
      <c r="J42" s="27" t="s">
        <v>369</v>
      </c>
      <c r="K42" s="27" t="s">
        <v>2596</v>
      </c>
      <c r="L42" s="27"/>
      <c r="M42" s="30" t="s">
        <v>4229</v>
      </c>
      <c r="N42" s="1" t="s">
        <v>264</v>
      </c>
      <c r="O42" s="27" t="s">
        <v>4328</v>
      </c>
      <c r="P42" s="27"/>
    </row>
    <row r="43" spans="1:16" ht="24" customHeight="1">
      <c r="A43" s="30">
        <v>45492</v>
      </c>
      <c r="B43" s="27" t="s">
        <v>220</v>
      </c>
      <c r="C43" s="27" t="s">
        <v>4275</v>
      </c>
      <c r="D43" s="27" t="s">
        <v>4327</v>
      </c>
      <c r="E43" s="10">
        <v>50</v>
      </c>
      <c r="F43" s="36" t="s">
        <v>263</v>
      </c>
      <c r="G43" s="27" t="s">
        <v>269</v>
      </c>
      <c r="H43" s="27" t="s">
        <v>270</v>
      </c>
      <c r="I43" s="27" t="s">
        <v>382</v>
      </c>
      <c r="J43" s="27" t="s">
        <v>369</v>
      </c>
      <c r="K43" s="27" t="s">
        <v>2596</v>
      </c>
      <c r="L43" s="27"/>
      <c r="M43" s="30" t="s">
        <v>4229</v>
      </c>
      <c r="N43" s="1" t="s">
        <v>264</v>
      </c>
      <c r="O43" s="27" t="s">
        <v>4328</v>
      </c>
      <c r="P43" s="27"/>
    </row>
    <row r="44" spans="1:16" ht="24" customHeight="1">
      <c r="A44" s="30">
        <v>45493</v>
      </c>
      <c r="B44" s="27" t="s">
        <v>266</v>
      </c>
      <c r="C44" s="27"/>
      <c r="D44" s="27"/>
      <c r="E44" s="10"/>
      <c r="F44" s="36" t="s">
        <v>263</v>
      </c>
      <c r="G44" s="27"/>
      <c r="H44" s="27"/>
      <c r="I44" s="27"/>
      <c r="J44" s="27"/>
      <c r="K44" s="27"/>
      <c r="L44" s="27"/>
      <c r="M44" s="27"/>
      <c r="N44" s="1" t="s">
        <v>264</v>
      </c>
      <c r="O44" s="27"/>
      <c r="P44" s="27"/>
    </row>
    <row r="45" spans="1:16" ht="24" customHeight="1">
      <c r="A45" s="30">
        <v>45494</v>
      </c>
      <c r="B45" s="27" t="s">
        <v>267</v>
      </c>
      <c r="C45" s="27"/>
      <c r="D45" s="27"/>
      <c r="E45" s="10"/>
      <c r="F45" s="36" t="s">
        <v>263</v>
      </c>
      <c r="G45" s="27"/>
      <c r="H45" s="27"/>
      <c r="I45" s="27"/>
      <c r="J45" s="27"/>
      <c r="K45" s="27"/>
      <c r="L45" s="27"/>
      <c r="M45" s="27"/>
      <c r="N45" s="1" t="s">
        <v>264</v>
      </c>
      <c r="O45" s="27"/>
      <c r="P45" s="27"/>
    </row>
    <row r="46" spans="1:16" ht="24" customHeight="1">
      <c r="A46" s="30">
        <v>45495</v>
      </c>
      <c r="B46" s="27" t="s">
        <v>224</v>
      </c>
      <c r="C46" s="27" t="s">
        <v>4101</v>
      </c>
      <c r="D46" s="27" t="s">
        <v>236</v>
      </c>
      <c r="E46" s="10">
        <v>60</v>
      </c>
      <c r="F46" s="36" t="s">
        <v>263</v>
      </c>
      <c r="G46" s="27" t="s">
        <v>269</v>
      </c>
      <c r="H46" s="27" t="s">
        <v>544</v>
      </c>
      <c r="I46" s="27" t="s">
        <v>610</v>
      </c>
      <c r="J46" s="27" t="s">
        <v>369</v>
      </c>
      <c r="K46" s="27"/>
      <c r="L46" s="27"/>
      <c r="M46" s="27"/>
      <c r="N46" s="1" t="s">
        <v>264</v>
      </c>
      <c r="O46" s="27"/>
      <c r="P46" s="27"/>
    </row>
    <row r="47" spans="1:16" ht="24" customHeight="1">
      <c r="A47" s="30">
        <v>45496</v>
      </c>
      <c r="B47" s="27" t="s">
        <v>227</v>
      </c>
      <c r="C47" s="27" t="s">
        <v>937</v>
      </c>
      <c r="D47" s="27" t="s">
        <v>4329</v>
      </c>
      <c r="E47" s="10">
        <v>50</v>
      </c>
      <c r="F47" s="36" t="s">
        <v>263</v>
      </c>
      <c r="G47" s="27" t="s">
        <v>338</v>
      </c>
      <c r="H47" s="27" t="s">
        <v>429</v>
      </c>
      <c r="I47" s="27" t="s">
        <v>610</v>
      </c>
      <c r="J47" s="27" t="s">
        <v>369</v>
      </c>
      <c r="K47" s="27" t="s">
        <v>4330</v>
      </c>
      <c r="L47" s="27"/>
      <c r="M47" s="30" t="s">
        <v>4331</v>
      </c>
      <c r="N47" s="1" t="s">
        <v>264</v>
      </c>
      <c r="O47" s="27" t="s">
        <v>3135</v>
      </c>
      <c r="P47" s="27"/>
    </row>
    <row r="48" spans="1:16" ht="24" customHeight="1">
      <c r="A48" s="30">
        <v>45496</v>
      </c>
      <c r="B48" s="27" t="s">
        <v>227</v>
      </c>
      <c r="C48" s="27" t="s">
        <v>4275</v>
      </c>
      <c r="D48" s="27" t="s">
        <v>4332</v>
      </c>
      <c r="E48" s="10">
        <v>30</v>
      </c>
      <c r="F48" s="36" t="s">
        <v>263</v>
      </c>
      <c r="G48" s="27" t="s">
        <v>315</v>
      </c>
      <c r="H48" s="27" t="s">
        <v>330</v>
      </c>
      <c r="I48" s="27" t="s">
        <v>369</v>
      </c>
      <c r="J48" s="27"/>
      <c r="K48" s="27" t="s">
        <v>4333</v>
      </c>
      <c r="L48" s="27"/>
      <c r="M48" s="30" t="s">
        <v>4323</v>
      </c>
      <c r="N48" s="1" t="s">
        <v>264</v>
      </c>
      <c r="O48" s="27" t="s">
        <v>4334</v>
      </c>
      <c r="P48" s="27"/>
    </row>
    <row r="49" spans="1:16" ht="24" customHeight="1">
      <c r="A49" s="30">
        <v>45496</v>
      </c>
      <c r="B49" s="27" t="s">
        <v>227</v>
      </c>
      <c r="C49" s="27" t="s">
        <v>937</v>
      </c>
      <c r="D49" s="27" t="s">
        <v>2601</v>
      </c>
      <c r="E49" s="10">
        <v>40</v>
      </c>
      <c r="F49" s="36" t="s">
        <v>263</v>
      </c>
      <c r="G49" s="27" t="s">
        <v>295</v>
      </c>
      <c r="H49" s="27" t="s">
        <v>290</v>
      </c>
      <c r="I49" s="27" t="s">
        <v>369</v>
      </c>
      <c r="J49" s="27" t="s">
        <v>369</v>
      </c>
      <c r="K49" s="27" t="s">
        <v>4314</v>
      </c>
      <c r="L49" s="27"/>
      <c r="M49" s="30" t="s">
        <v>4298</v>
      </c>
      <c r="N49" s="3" t="s">
        <v>312</v>
      </c>
      <c r="O49" s="27" t="s">
        <v>3135</v>
      </c>
      <c r="P49" s="27" t="s">
        <v>4335</v>
      </c>
    </row>
    <row r="50" spans="1:16" ht="24" customHeight="1">
      <c r="A50" s="30">
        <v>45497</v>
      </c>
      <c r="B50" s="27" t="s">
        <v>201</v>
      </c>
      <c r="C50" s="27" t="s">
        <v>937</v>
      </c>
      <c r="D50" s="27" t="s">
        <v>4336</v>
      </c>
      <c r="E50" s="10">
        <v>60</v>
      </c>
      <c r="F50" s="36" t="s">
        <v>263</v>
      </c>
      <c r="G50" s="27" t="s">
        <v>315</v>
      </c>
      <c r="H50" s="27" t="s">
        <v>429</v>
      </c>
      <c r="I50" s="27" t="s">
        <v>369</v>
      </c>
      <c r="J50" s="27" t="s">
        <v>369</v>
      </c>
      <c r="K50" s="27" t="s">
        <v>4337</v>
      </c>
      <c r="L50" s="27"/>
      <c r="M50" s="30" t="s">
        <v>4338</v>
      </c>
      <c r="N50" s="1" t="s">
        <v>264</v>
      </c>
      <c r="O50" s="27" t="s">
        <v>3135</v>
      </c>
      <c r="P50" s="27"/>
    </row>
    <row r="51" spans="1:16" ht="24" customHeight="1">
      <c r="A51" s="30">
        <v>45497</v>
      </c>
      <c r="B51" s="27" t="s">
        <v>201</v>
      </c>
      <c r="C51" s="27" t="s">
        <v>239</v>
      </c>
      <c r="D51" s="27"/>
      <c r="E51" s="10"/>
      <c r="F51" s="36" t="s">
        <v>263</v>
      </c>
      <c r="G51" s="27" t="s">
        <v>295</v>
      </c>
      <c r="H51" s="27" t="s">
        <v>296</v>
      </c>
      <c r="I51" s="27" t="s">
        <v>369</v>
      </c>
      <c r="J51" s="27" t="s">
        <v>369</v>
      </c>
      <c r="K51" s="27" t="s">
        <v>2593</v>
      </c>
      <c r="L51" s="27"/>
      <c r="M51" s="30" t="s">
        <v>4292</v>
      </c>
      <c r="N51" s="3" t="s">
        <v>312</v>
      </c>
      <c r="O51" s="27"/>
      <c r="P51" s="27" t="s">
        <v>4339</v>
      </c>
    </row>
    <row r="52" spans="1:16" ht="24" customHeight="1">
      <c r="A52" s="30">
        <v>45498</v>
      </c>
      <c r="B52" s="27" t="s">
        <v>216</v>
      </c>
      <c r="C52" s="27" t="s">
        <v>4240</v>
      </c>
      <c r="D52" s="27"/>
      <c r="E52" s="10"/>
      <c r="F52" s="36" t="s">
        <v>263</v>
      </c>
      <c r="G52" s="27"/>
      <c r="H52" s="27"/>
      <c r="I52" s="27"/>
      <c r="J52" s="27"/>
      <c r="K52" s="27" t="s">
        <v>2596</v>
      </c>
      <c r="L52" s="27"/>
      <c r="M52" s="27"/>
      <c r="N52" s="1" t="s">
        <v>264</v>
      </c>
      <c r="O52" s="27"/>
      <c r="P52" s="27"/>
    </row>
    <row r="53" spans="1:16" ht="24" customHeight="1">
      <c r="A53" s="30">
        <v>45498</v>
      </c>
      <c r="B53" s="27" t="s">
        <v>216</v>
      </c>
      <c r="C53" s="27" t="s">
        <v>171</v>
      </c>
      <c r="D53" s="27" t="s">
        <v>3966</v>
      </c>
      <c r="E53" s="10">
        <v>51</v>
      </c>
      <c r="F53" s="36" t="s">
        <v>263</v>
      </c>
      <c r="G53" s="27" t="s">
        <v>295</v>
      </c>
      <c r="H53" s="27" t="s">
        <v>290</v>
      </c>
      <c r="I53" s="27" t="s">
        <v>369</v>
      </c>
      <c r="J53" s="27"/>
      <c r="K53" s="27" t="s">
        <v>4330</v>
      </c>
      <c r="L53" s="27"/>
      <c r="M53" s="30" t="s">
        <v>4340</v>
      </c>
      <c r="N53" s="3" t="s">
        <v>312</v>
      </c>
      <c r="O53" s="27" t="s">
        <v>3135</v>
      </c>
      <c r="P53" s="27"/>
    </row>
    <row r="54" spans="1:16" ht="24" customHeight="1">
      <c r="A54" s="30">
        <v>45498</v>
      </c>
      <c r="B54" s="27" t="s">
        <v>216</v>
      </c>
      <c r="C54" s="27" t="s">
        <v>937</v>
      </c>
      <c r="D54" s="27" t="s">
        <v>4068</v>
      </c>
      <c r="E54" s="10">
        <v>45</v>
      </c>
      <c r="F54" s="36" t="s">
        <v>263</v>
      </c>
      <c r="G54" s="27" t="s">
        <v>295</v>
      </c>
      <c r="H54" s="27" t="s">
        <v>290</v>
      </c>
      <c r="I54" s="27" t="s">
        <v>369</v>
      </c>
      <c r="J54" s="27" t="s">
        <v>369</v>
      </c>
      <c r="K54" s="27" t="s">
        <v>4341</v>
      </c>
      <c r="L54" s="27"/>
      <c r="M54" s="30" t="s">
        <v>4342</v>
      </c>
      <c r="N54" s="3" t="s">
        <v>312</v>
      </c>
      <c r="O54" s="27"/>
      <c r="P54" s="27" t="s">
        <v>4343</v>
      </c>
    </row>
    <row r="55" spans="1:16" ht="24" customHeight="1">
      <c r="A55" s="30">
        <v>45498</v>
      </c>
      <c r="B55" s="27" t="s">
        <v>216</v>
      </c>
      <c r="C55" s="27" t="s">
        <v>4240</v>
      </c>
      <c r="D55" s="27"/>
      <c r="E55" s="10"/>
      <c r="F55" s="36" t="s">
        <v>263</v>
      </c>
      <c r="G55" s="27"/>
      <c r="H55" s="27"/>
      <c r="I55" s="27"/>
      <c r="J55" s="27"/>
      <c r="K55" s="27" t="s">
        <v>2596</v>
      </c>
      <c r="L55" s="27"/>
      <c r="M55" s="27"/>
      <c r="N55" s="1" t="s">
        <v>264</v>
      </c>
      <c r="O55" s="27"/>
      <c r="P55" s="27"/>
    </row>
    <row r="56" spans="1:16" ht="24" customHeight="1">
      <c r="A56" s="30">
        <v>45499</v>
      </c>
      <c r="B56" s="27" t="s">
        <v>220</v>
      </c>
      <c r="C56" s="27" t="s">
        <v>239</v>
      </c>
      <c r="D56" s="27" t="s">
        <v>4344</v>
      </c>
      <c r="E56" s="10" t="s">
        <v>4133</v>
      </c>
      <c r="F56" s="36" t="s">
        <v>263</v>
      </c>
      <c r="G56" s="27" t="s">
        <v>295</v>
      </c>
      <c r="H56" s="27" t="s">
        <v>359</v>
      </c>
      <c r="I56" s="27" t="s">
        <v>369</v>
      </c>
      <c r="J56" s="27" t="s">
        <v>369</v>
      </c>
      <c r="K56" s="27" t="s">
        <v>4083</v>
      </c>
      <c r="L56" s="27"/>
      <c r="M56" s="30" t="s">
        <v>4340</v>
      </c>
      <c r="N56" s="1" t="s">
        <v>264</v>
      </c>
      <c r="O56" s="27"/>
      <c r="P56" s="27"/>
    </row>
    <row r="57" spans="1:16" ht="24" customHeight="1">
      <c r="A57" s="30">
        <v>45499</v>
      </c>
      <c r="B57" s="27" t="s">
        <v>220</v>
      </c>
      <c r="C57" s="27" t="s">
        <v>171</v>
      </c>
      <c r="D57" s="27" t="s">
        <v>4215</v>
      </c>
      <c r="E57" s="10">
        <v>40</v>
      </c>
      <c r="F57" s="36" t="s">
        <v>263</v>
      </c>
      <c r="G57" s="27" t="s">
        <v>295</v>
      </c>
      <c r="H57" s="27" t="s">
        <v>296</v>
      </c>
      <c r="I57" s="27" t="s">
        <v>610</v>
      </c>
      <c r="J57" s="27" t="s">
        <v>610</v>
      </c>
      <c r="K57" s="27" t="s">
        <v>4216</v>
      </c>
      <c r="L57" s="27"/>
      <c r="M57" s="30" t="s">
        <v>4209</v>
      </c>
      <c r="N57" s="3" t="s">
        <v>312</v>
      </c>
      <c r="O57" s="27"/>
      <c r="P57" s="27" t="s">
        <v>4345</v>
      </c>
    </row>
    <row r="58" spans="1:16" ht="24" customHeight="1">
      <c r="A58" s="30">
        <v>45500</v>
      </c>
      <c r="B58" s="27" t="s">
        <v>266</v>
      </c>
      <c r="C58" s="27"/>
      <c r="D58" s="27"/>
      <c r="E58" s="10"/>
      <c r="F58" s="36" t="s">
        <v>263</v>
      </c>
      <c r="G58" s="27"/>
      <c r="H58" s="27"/>
      <c r="I58" s="27"/>
      <c r="J58" s="27"/>
      <c r="K58" s="27"/>
      <c r="L58" s="27"/>
      <c r="M58" s="27"/>
      <c r="N58" s="1" t="s">
        <v>264</v>
      </c>
      <c r="O58" s="27"/>
      <c r="P58" s="27"/>
    </row>
    <row r="59" spans="1:16" ht="24" customHeight="1">
      <c r="A59" s="30">
        <v>45501</v>
      </c>
      <c r="B59" s="27" t="s">
        <v>267</v>
      </c>
      <c r="C59" s="27"/>
      <c r="D59" s="27"/>
      <c r="E59" s="10"/>
      <c r="F59" s="36" t="s">
        <v>263</v>
      </c>
      <c r="G59" s="27"/>
      <c r="H59" s="27"/>
      <c r="I59" s="27"/>
      <c r="J59" s="27"/>
      <c r="K59" s="27"/>
      <c r="L59" s="27"/>
      <c r="M59" s="27"/>
      <c r="N59" s="1" t="s">
        <v>264</v>
      </c>
      <c r="O59" s="27"/>
      <c r="P59" s="27"/>
    </row>
    <row r="60" spans="1:16" ht="24" customHeight="1">
      <c r="A60" s="30">
        <v>45502</v>
      </c>
      <c r="B60" s="27" t="s">
        <v>224</v>
      </c>
      <c r="C60" s="27" t="s">
        <v>4275</v>
      </c>
      <c r="D60" s="27" t="s">
        <v>236</v>
      </c>
      <c r="E60" s="10">
        <v>35</v>
      </c>
      <c r="F60" s="36" t="s">
        <v>263</v>
      </c>
      <c r="G60" s="27"/>
      <c r="H60" s="27"/>
      <c r="I60" s="27"/>
      <c r="J60" s="27"/>
      <c r="K60" s="27" t="s">
        <v>2584</v>
      </c>
      <c r="L60" s="27"/>
      <c r="M60" s="27"/>
      <c r="N60" s="1" t="s">
        <v>264</v>
      </c>
      <c r="O60" s="27" t="s">
        <v>4346</v>
      </c>
      <c r="P60" s="27"/>
    </row>
    <row r="61" spans="1:16" ht="24" customHeight="1">
      <c r="A61" s="30">
        <v>45502</v>
      </c>
      <c r="B61" s="27" t="s">
        <v>224</v>
      </c>
      <c r="C61" s="27" t="s">
        <v>4240</v>
      </c>
      <c r="D61" s="27" t="s">
        <v>4347</v>
      </c>
      <c r="E61" s="10">
        <v>15</v>
      </c>
      <c r="F61" s="36" t="s">
        <v>263</v>
      </c>
      <c r="G61" s="27" t="s">
        <v>269</v>
      </c>
      <c r="H61" s="27" t="s">
        <v>270</v>
      </c>
      <c r="I61" s="27"/>
      <c r="J61" s="27"/>
      <c r="K61" s="27" t="s">
        <v>2596</v>
      </c>
      <c r="L61" s="27"/>
      <c r="M61" s="27"/>
      <c r="N61" s="1" t="s">
        <v>264</v>
      </c>
      <c r="O61" s="27" t="s">
        <v>4348</v>
      </c>
      <c r="P61" s="27"/>
    </row>
    <row r="62" spans="1:16" ht="24" customHeight="1">
      <c r="A62" s="30">
        <v>45503</v>
      </c>
      <c r="B62" s="27" t="s">
        <v>227</v>
      </c>
      <c r="C62" s="27" t="s">
        <v>171</v>
      </c>
      <c r="D62" s="27" t="s">
        <v>4349</v>
      </c>
      <c r="E62" s="10">
        <v>40</v>
      </c>
      <c r="F62" s="36" t="s">
        <v>263</v>
      </c>
      <c r="G62" s="27" t="s">
        <v>295</v>
      </c>
      <c r="H62" s="27" t="s">
        <v>290</v>
      </c>
      <c r="I62" s="27" t="s">
        <v>369</v>
      </c>
      <c r="J62" s="27" t="s">
        <v>369</v>
      </c>
      <c r="K62" s="27" t="s">
        <v>4314</v>
      </c>
      <c r="L62" s="27"/>
      <c r="M62" s="30" t="s">
        <v>4350</v>
      </c>
      <c r="N62" s="1" t="s">
        <v>264</v>
      </c>
      <c r="O62" s="27" t="s">
        <v>3135</v>
      </c>
      <c r="P62" s="27"/>
    </row>
    <row r="63" spans="1:16" ht="24" customHeight="1">
      <c r="A63" s="30">
        <v>45503</v>
      </c>
      <c r="B63" s="27" t="s">
        <v>227</v>
      </c>
      <c r="C63" s="27" t="s">
        <v>171</v>
      </c>
      <c r="D63" s="27" t="s">
        <v>4351</v>
      </c>
      <c r="E63" s="10">
        <v>50</v>
      </c>
      <c r="F63" s="36" t="s">
        <v>263</v>
      </c>
      <c r="G63" s="27" t="s">
        <v>315</v>
      </c>
      <c r="H63" s="27" t="s">
        <v>429</v>
      </c>
      <c r="I63" s="27" t="s">
        <v>369</v>
      </c>
      <c r="J63" s="27" t="s">
        <v>369</v>
      </c>
      <c r="K63" s="27" t="s">
        <v>4352</v>
      </c>
      <c r="L63" s="27"/>
      <c r="M63" s="30" t="s">
        <v>4353</v>
      </c>
      <c r="N63" s="1" t="s">
        <v>264</v>
      </c>
      <c r="O63" s="27" t="s">
        <v>3135</v>
      </c>
      <c r="P63" s="27"/>
    </row>
    <row r="64" spans="1:16" ht="24" customHeight="1">
      <c r="A64" s="30">
        <v>45503</v>
      </c>
      <c r="B64" s="27" t="s">
        <v>227</v>
      </c>
      <c r="C64" s="27" t="s">
        <v>4240</v>
      </c>
      <c r="D64" s="27" t="s">
        <v>4347</v>
      </c>
      <c r="E64" s="10">
        <v>15</v>
      </c>
      <c r="F64" s="36" t="s">
        <v>263</v>
      </c>
      <c r="G64" s="27" t="s">
        <v>269</v>
      </c>
      <c r="H64" s="27" t="s">
        <v>270</v>
      </c>
      <c r="I64" s="27" t="s">
        <v>369</v>
      </c>
      <c r="J64" s="27" t="s">
        <v>369</v>
      </c>
      <c r="K64" s="27" t="s">
        <v>369</v>
      </c>
      <c r="L64" s="27"/>
      <c r="M64" s="27"/>
      <c r="N64" s="1" t="s">
        <v>264</v>
      </c>
      <c r="O64" s="27" t="s">
        <v>4354</v>
      </c>
      <c r="P64" s="27"/>
    </row>
    <row r="65" spans="1:16" ht="24" customHeight="1">
      <c r="A65" s="30">
        <v>45504</v>
      </c>
      <c r="B65" s="27" t="s">
        <v>201</v>
      </c>
      <c r="C65" s="27" t="s">
        <v>4355</v>
      </c>
      <c r="D65" s="27" t="s">
        <v>4356</v>
      </c>
      <c r="E65" s="10">
        <v>14</v>
      </c>
      <c r="F65" s="36" t="s">
        <v>263</v>
      </c>
      <c r="G65" s="27" t="s">
        <v>506</v>
      </c>
      <c r="H65" s="27" t="s">
        <v>429</v>
      </c>
      <c r="I65" s="27"/>
      <c r="J65" s="27"/>
      <c r="K65" s="27" t="s">
        <v>4357</v>
      </c>
      <c r="L65" s="27"/>
      <c r="M65" s="30" t="s">
        <v>4340</v>
      </c>
      <c r="N65" s="3" t="s">
        <v>312</v>
      </c>
      <c r="O65" s="27" t="s">
        <v>4358</v>
      </c>
      <c r="P65" s="27" t="s">
        <v>1181</v>
      </c>
    </row>
    <row r="66" spans="1:16" ht="24" customHeight="1">
      <c r="A66" s="30">
        <v>45504</v>
      </c>
      <c r="B66" s="27" t="s">
        <v>201</v>
      </c>
      <c r="C66" s="27" t="s">
        <v>171</v>
      </c>
      <c r="D66" s="27" t="s">
        <v>4359</v>
      </c>
      <c r="E66" s="10">
        <v>45</v>
      </c>
      <c r="F66" s="36" t="s">
        <v>263</v>
      </c>
      <c r="G66" s="27" t="s">
        <v>295</v>
      </c>
      <c r="H66" s="27" t="s">
        <v>296</v>
      </c>
      <c r="I66" s="27"/>
      <c r="J66" s="27"/>
      <c r="K66" s="27" t="s">
        <v>4360</v>
      </c>
      <c r="L66" s="27"/>
      <c r="M66" s="30" t="s">
        <v>4361</v>
      </c>
      <c r="N66" s="1" t="s">
        <v>264</v>
      </c>
      <c r="O66" s="27"/>
      <c r="P66" s="27"/>
    </row>
  </sheetData>
  <mergeCells count="3">
    <mergeCell ref="A1:C1"/>
    <mergeCell ref="D1:K1"/>
    <mergeCell ref="L1:P1"/>
  </mergeCells>
  <dataValidations count="2">
    <dataValidation type="list" allowBlank="1" sqref="M3:M116 N3:N66" xr:uid="{00000000-0002-0000-2F00-000000000000}">
      <formula1>"Confirmed (Done),Pending Calendar Booking,Canceled"</formula1>
    </dataValidation>
    <dataValidation type="list" allowBlank="1" sqref="F3:F66" xr:uid="{00000000-0002-0000-2F00-000001000000}">
      <formula1>"Big Event,Small Event"</formula1>
    </dataValidation>
  </dataValidations>
  <hyperlinks>
    <hyperlink ref="A1" location="'Dashboard'!A1" display="🏠 ⮌ RETURN TO DASHBOARD" xr:uid="{00000000-0004-0000-2F00-000000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67"/>
  <sheetViews>
    <sheetView workbookViewId="0">
      <pane ySplit="2" topLeftCell="A3" activePane="bottomLeft" state="frozen"/>
      <selection pane="bottomLeft"/>
    </sheetView>
  </sheetViews>
  <sheetFormatPr defaultRowHeight="14.45"/>
  <cols>
    <col min="1" max="1" width="15" customWidth="1"/>
    <col min="2" max="2" width="12" customWidth="1"/>
    <col min="3" max="3" width="30" customWidth="1"/>
    <col min="4" max="4" width="48" customWidth="1"/>
    <col min="5" max="5" width="12" customWidth="1"/>
    <col min="6" max="6" width="15" customWidth="1"/>
    <col min="7" max="7" width="19" customWidth="1"/>
    <col min="8" max="8" width="17" customWidth="1"/>
    <col min="9" max="9" width="45" customWidth="1"/>
    <col min="10" max="10" width="23" customWidth="1"/>
    <col min="11" max="11" width="20" customWidth="1"/>
    <col min="12" max="12" width="25" customWidth="1"/>
    <col min="13" max="13" width="48" customWidth="1"/>
    <col min="14" max="14" width="25" customWidth="1"/>
    <col min="15" max="15" width="32" customWidth="1"/>
    <col min="16" max="16" width="48" customWidth="1"/>
  </cols>
  <sheetData>
    <row r="1" spans="1:16" ht="27.95" customHeight="1">
      <c r="A1" s="62" t="s">
        <v>2138</v>
      </c>
      <c r="B1" s="134"/>
      <c r="C1" s="135"/>
      <c r="D1" s="63" t="s">
        <v>4362</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t="s">
        <v>4363</v>
      </c>
      <c r="B3" s="27" t="s">
        <v>2152</v>
      </c>
      <c r="C3" s="27" t="s">
        <v>4364</v>
      </c>
      <c r="D3" s="27" t="s">
        <v>4365</v>
      </c>
      <c r="E3" s="10">
        <v>40</v>
      </c>
      <c r="F3" s="36" t="s">
        <v>263</v>
      </c>
      <c r="G3" s="27" t="s">
        <v>331</v>
      </c>
      <c r="H3" s="27" t="s">
        <v>350</v>
      </c>
      <c r="I3" s="27" t="s">
        <v>369</v>
      </c>
      <c r="J3" s="27" t="s">
        <v>382</v>
      </c>
      <c r="K3" s="27"/>
      <c r="L3" s="27"/>
      <c r="M3" s="27" t="s">
        <v>4366</v>
      </c>
      <c r="N3" s="1" t="s">
        <v>264</v>
      </c>
      <c r="O3" s="27" t="s">
        <v>4367</v>
      </c>
      <c r="P3" s="27" t="s">
        <v>4368</v>
      </c>
    </row>
    <row r="4" spans="1:16" ht="24" customHeight="1">
      <c r="A4" s="30" t="s">
        <v>4363</v>
      </c>
      <c r="B4" s="27" t="s">
        <v>2152</v>
      </c>
      <c r="C4" s="27" t="s">
        <v>4364</v>
      </c>
      <c r="D4" s="27" t="s">
        <v>4369</v>
      </c>
      <c r="E4" s="10">
        <v>60</v>
      </c>
      <c r="F4" s="36" t="s">
        <v>263</v>
      </c>
      <c r="G4" s="27" t="s">
        <v>315</v>
      </c>
      <c r="H4" s="27" t="s">
        <v>429</v>
      </c>
      <c r="I4" s="27" t="s">
        <v>4370</v>
      </c>
      <c r="J4" s="27" t="s">
        <v>4371</v>
      </c>
      <c r="K4" s="27" t="s">
        <v>369</v>
      </c>
      <c r="L4" s="27"/>
      <c r="M4" s="27" t="s">
        <v>4372</v>
      </c>
      <c r="N4" s="1" t="s">
        <v>264</v>
      </c>
      <c r="O4" s="27" t="s">
        <v>4373</v>
      </c>
      <c r="P4" s="27" t="s">
        <v>4368</v>
      </c>
    </row>
    <row r="5" spans="1:16" ht="24" customHeight="1">
      <c r="A5" s="30" t="s">
        <v>4363</v>
      </c>
      <c r="B5" s="27" t="s">
        <v>2152</v>
      </c>
      <c r="C5" s="27" t="s">
        <v>4240</v>
      </c>
      <c r="D5" s="27" t="s">
        <v>4347</v>
      </c>
      <c r="E5" s="10">
        <v>15</v>
      </c>
      <c r="F5" s="36" t="s">
        <v>263</v>
      </c>
      <c r="G5" s="27" t="s">
        <v>269</v>
      </c>
      <c r="H5" s="27" t="s">
        <v>309</v>
      </c>
      <c r="I5" s="27" t="s">
        <v>382</v>
      </c>
      <c r="J5" s="27"/>
      <c r="K5" s="27" t="s">
        <v>369</v>
      </c>
      <c r="L5" s="27"/>
      <c r="M5" s="27" t="s">
        <v>4374</v>
      </c>
      <c r="N5" s="1" t="s">
        <v>264</v>
      </c>
      <c r="O5" s="27"/>
      <c r="P5" s="27" t="s">
        <v>4375</v>
      </c>
    </row>
    <row r="6" spans="1:16" ht="24" customHeight="1">
      <c r="A6" s="30">
        <v>45505</v>
      </c>
      <c r="B6" s="27" t="s">
        <v>216</v>
      </c>
      <c r="C6" s="27" t="s">
        <v>937</v>
      </c>
      <c r="D6" s="27" t="s">
        <v>4327</v>
      </c>
      <c r="E6" s="10">
        <v>30</v>
      </c>
      <c r="F6" s="36" t="s">
        <v>263</v>
      </c>
      <c r="G6" s="27" t="s">
        <v>269</v>
      </c>
      <c r="H6" s="27" t="s">
        <v>270</v>
      </c>
      <c r="I6" s="27" t="s">
        <v>382</v>
      </c>
      <c r="J6" s="27" t="s">
        <v>369</v>
      </c>
      <c r="K6" s="27" t="s">
        <v>369</v>
      </c>
      <c r="L6" s="27"/>
      <c r="M6" s="27" t="s">
        <v>4374</v>
      </c>
      <c r="N6" s="3" t="s">
        <v>312</v>
      </c>
      <c r="O6" s="27" t="s">
        <v>4229</v>
      </c>
      <c r="P6" s="27" t="s">
        <v>4328</v>
      </c>
    </row>
    <row r="7" spans="1:16" ht="24" customHeight="1">
      <c r="A7" s="30">
        <v>45505</v>
      </c>
      <c r="B7" s="27" t="s">
        <v>216</v>
      </c>
      <c r="C7" s="27" t="s">
        <v>4364</v>
      </c>
      <c r="D7" s="27" t="s">
        <v>4376</v>
      </c>
      <c r="E7" s="10"/>
      <c r="F7" s="36" t="s">
        <v>263</v>
      </c>
      <c r="G7" s="27" t="s">
        <v>295</v>
      </c>
      <c r="H7" s="27" t="s">
        <v>359</v>
      </c>
      <c r="I7" s="27" t="s">
        <v>369</v>
      </c>
      <c r="J7" s="27"/>
      <c r="K7" s="27"/>
      <c r="L7" s="27"/>
      <c r="M7" s="27" t="s">
        <v>4377</v>
      </c>
      <c r="N7" s="1" t="s">
        <v>264</v>
      </c>
      <c r="O7" s="27" t="s">
        <v>4378</v>
      </c>
      <c r="P7" s="27"/>
    </row>
    <row r="8" spans="1:16" ht="24" customHeight="1">
      <c r="A8" s="30">
        <v>45506</v>
      </c>
      <c r="B8" s="27" t="s">
        <v>220</v>
      </c>
      <c r="C8" s="27" t="s">
        <v>937</v>
      </c>
      <c r="D8" s="27" t="s">
        <v>4327</v>
      </c>
      <c r="E8" s="10">
        <v>30</v>
      </c>
      <c r="F8" s="36" t="s">
        <v>263</v>
      </c>
      <c r="G8" s="27" t="s">
        <v>269</v>
      </c>
      <c r="H8" s="27" t="s">
        <v>270</v>
      </c>
      <c r="I8" s="27" t="s">
        <v>382</v>
      </c>
      <c r="J8" s="27" t="s">
        <v>369</v>
      </c>
      <c r="K8" s="27" t="s">
        <v>369</v>
      </c>
      <c r="L8" s="27"/>
      <c r="M8" s="27" t="s">
        <v>4374</v>
      </c>
      <c r="N8" s="3" t="s">
        <v>312</v>
      </c>
      <c r="O8" s="27" t="s">
        <v>4229</v>
      </c>
      <c r="P8" s="27" t="s">
        <v>4328</v>
      </c>
    </row>
    <row r="9" spans="1:16" ht="24" customHeight="1">
      <c r="A9" s="30">
        <v>45506</v>
      </c>
      <c r="B9" s="27" t="s">
        <v>220</v>
      </c>
      <c r="C9" s="27" t="s">
        <v>171</v>
      </c>
      <c r="D9" s="27" t="s">
        <v>4379</v>
      </c>
      <c r="E9" s="10">
        <v>41</v>
      </c>
      <c r="F9" s="36" t="s">
        <v>263</v>
      </c>
      <c r="G9" s="27" t="s">
        <v>330</v>
      </c>
      <c r="H9" s="27" t="s">
        <v>354</v>
      </c>
      <c r="I9" s="27" t="s">
        <v>382</v>
      </c>
      <c r="J9" s="27" t="s">
        <v>369</v>
      </c>
      <c r="K9" s="27"/>
      <c r="L9" s="27"/>
      <c r="M9" s="27" t="s">
        <v>4366</v>
      </c>
      <c r="N9" s="3" t="s">
        <v>312</v>
      </c>
      <c r="O9" s="27" t="s">
        <v>4380</v>
      </c>
      <c r="P9" s="27" t="s">
        <v>4368</v>
      </c>
    </row>
    <row r="10" spans="1:16" ht="24" customHeight="1">
      <c r="A10" s="30">
        <v>45506</v>
      </c>
      <c r="B10" s="27" t="s">
        <v>220</v>
      </c>
      <c r="C10" s="27" t="s">
        <v>171</v>
      </c>
      <c r="D10" s="27" t="s">
        <v>4068</v>
      </c>
      <c r="E10" s="10">
        <v>45</v>
      </c>
      <c r="F10" s="36" t="s">
        <v>263</v>
      </c>
      <c r="G10" s="27" t="s">
        <v>295</v>
      </c>
      <c r="H10" s="27" t="s">
        <v>290</v>
      </c>
      <c r="I10" s="27"/>
      <c r="J10" s="27" t="s">
        <v>4341</v>
      </c>
      <c r="K10" s="27" t="s">
        <v>4342</v>
      </c>
      <c r="L10" s="27"/>
      <c r="M10" s="27" t="s">
        <v>4381</v>
      </c>
      <c r="N10" s="3" t="s">
        <v>312</v>
      </c>
      <c r="O10" s="27"/>
      <c r="P10" s="27" t="s">
        <v>4382</v>
      </c>
    </row>
    <row r="11" spans="1:16" ht="24" customHeight="1">
      <c r="A11" s="30">
        <v>45507</v>
      </c>
      <c r="B11" s="27" t="s">
        <v>266</v>
      </c>
      <c r="C11" s="27"/>
      <c r="D11" s="27"/>
      <c r="E11" s="10"/>
      <c r="F11" s="36" t="s">
        <v>263</v>
      </c>
      <c r="G11" s="27"/>
      <c r="H11" s="27"/>
      <c r="I11" s="27"/>
      <c r="J11" s="27"/>
      <c r="K11" s="27"/>
      <c r="L11" s="27"/>
      <c r="M11" s="27"/>
      <c r="N11" s="1" t="s">
        <v>264</v>
      </c>
      <c r="O11" s="27"/>
      <c r="P11" s="27"/>
    </row>
    <row r="12" spans="1:16" ht="24" customHeight="1">
      <c r="A12" s="30">
        <v>45508</v>
      </c>
      <c r="B12" s="27" t="s">
        <v>267</v>
      </c>
      <c r="C12" s="27"/>
      <c r="D12" s="27"/>
      <c r="E12" s="10"/>
      <c r="F12" s="36" t="s">
        <v>263</v>
      </c>
      <c r="G12" s="27"/>
      <c r="H12" s="27"/>
      <c r="I12" s="27"/>
      <c r="J12" s="27"/>
      <c r="K12" s="27"/>
      <c r="L12" s="27"/>
      <c r="M12" s="27"/>
      <c r="N12" s="1" t="s">
        <v>264</v>
      </c>
      <c r="O12" s="27"/>
      <c r="P12" s="27"/>
    </row>
    <row r="13" spans="1:16" ht="24" customHeight="1">
      <c r="A13" s="30">
        <v>45509</v>
      </c>
      <c r="B13" s="27" t="s">
        <v>224</v>
      </c>
      <c r="C13" s="27"/>
      <c r="D13" s="27"/>
      <c r="E13" s="10"/>
      <c r="F13" s="36" t="s">
        <v>263</v>
      </c>
      <c r="G13" s="27"/>
      <c r="H13" s="27"/>
      <c r="I13" s="27"/>
      <c r="J13" s="27"/>
      <c r="K13" s="27"/>
      <c r="L13" s="27"/>
      <c r="M13" s="27" t="s">
        <v>4383</v>
      </c>
      <c r="N13" s="1" t="s">
        <v>264</v>
      </c>
      <c r="O13" s="27"/>
      <c r="P13" s="27"/>
    </row>
    <row r="14" spans="1:16" ht="24" customHeight="1">
      <c r="A14" s="30">
        <v>45509</v>
      </c>
      <c r="B14" s="27" t="s">
        <v>224</v>
      </c>
      <c r="C14" s="27" t="s">
        <v>4275</v>
      </c>
      <c r="D14" s="27" t="s">
        <v>236</v>
      </c>
      <c r="E14" s="10">
        <v>18</v>
      </c>
      <c r="F14" s="36" t="s">
        <v>263</v>
      </c>
      <c r="G14" s="27" t="s">
        <v>269</v>
      </c>
      <c r="H14" s="27" t="s">
        <v>270</v>
      </c>
      <c r="I14" s="27" t="s">
        <v>382</v>
      </c>
      <c r="J14" s="27" t="s">
        <v>382</v>
      </c>
      <c r="K14" s="27" t="s">
        <v>369</v>
      </c>
      <c r="L14" s="27"/>
      <c r="M14" s="27" t="s">
        <v>2584</v>
      </c>
      <c r="N14" s="1" t="s">
        <v>264</v>
      </c>
      <c r="O14" s="27"/>
      <c r="P14" s="27" t="s">
        <v>4384</v>
      </c>
    </row>
    <row r="15" spans="1:16" ht="24" customHeight="1">
      <c r="A15" s="30">
        <v>45509</v>
      </c>
      <c r="B15" s="27" t="s">
        <v>224</v>
      </c>
      <c r="C15" s="27" t="s">
        <v>4364</v>
      </c>
      <c r="D15" s="27" t="s">
        <v>236</v>
      </c>
      <c r="E15" s="10">
        <v>62</v>
      </c>
      <c r="F15" s="36" t="s">
        <v>263</v>
      </c>
      <c r="G15" s="27" t="s">
        <v>269</v>
      </c>
      <c r="H15" s="27" t="s">
        <v>270</v>
      </c>
      <c r="I15" s="27" t="s">
        <v>382</v>
      </c>
      <c r="J15" s="27" t="s">
        <v>382</v>
      </c>
      <c r="K15" s="27" t="s">
        <v>369</v>
      </c>
      <c r="L15" s="27"/>
      <c r="M15" s="27" t="s">
        <v>2584</v>
      </c>
      <c r="N15" s="1" t="s">
        <v>264</v>
      </c>
      <c r="O15" s="27"/>
      <c r="P15" s="27" t="s">
        <v>4385</v>
      </c>
    </row>
    <row r="16" spans="1:16" ht="24" customHeight="1">
      <c r="A16" s="30">
        <v>45510</v>
      </c>
      <c r="B16" s="27" t="s">
        <v>227</v>
      </c>
      <c r="C16" s="27" t="s">
        <v>4275</v>
      </c>
      <c r="D16" s="27" t="s">
        <v>1863</v>
      </c>
      <c r="E16" s="10">
        <v>45</v>
      </c>
      <c r="F16" s="36" t="s">
        <v>263</v>
      </c>
      <c r="G16" s="27" t="s">
        <v>269</v>
      </c>
      <c r="H16" s="27" t="s">
        <v>270</v>
      </c>
      <c r="I16" s="27"/>
      <c r="J16" s="27"/>
      <c r="K16" s="27"/>
      <c r="L16" s="27"/>
      <c r="M16" s="27" t="s">
        <v>4386</v>
      </c>
      <c r="N16" s="1" t="s">
        <v>264</v>
      </c>
      <c r="O16" s="27"/>
      <c r="P16" s="27"/>
    </row>
    <row r="17" spans="1:16" ht="24" customHeight="1">
      <c r="A17" s="30">
        <v>45510</v>
      </c>
      <c r="B17" s="27" t="s">
        <v>227</v>
      </c>
      <c r="C17" s="27" t="s">
        <v>4364</v>
      </c>
      <c r="D17" s="27" t="s">
        <v>3730</v>
      </c>
      <c r="E17" s="10">
        <v>18</v>
      </c>
      <c r="F17" s="36" t="s">
        <v>263</v>
      </c>
      <c r="G17" s="27" t="s">
        <v>315</v>
      </c>
      <c r="H17" s="27" t="s">
        <v>330</v>
      </c>
      <c r="I17" s="27"/>
      <c r="J17" s="27"/>
      <c r="K17" s="27"/>
      <c r="L17" s="27"/>
      <c r="M17" s="27" t="s">
        <v>4387</v>
      </c>
      <c r="N17" s="1" t="s">
        <v>264</v>
      </c>
      <c r="O17" s="27"/>
      <c r="P17" s="27"/>
    </row>
    <row r="18" spans="1:16" ht="24" customHeight="1">
      <c r="A18" s="30">
        <v>45510</v>
      </c>
      <c r="B18" s="27" t="s">
        <v>227</v>
      </c>
      <c r="C18" s="27" t="s">
        <v>4364</v>
      </c>
      <c r="D18" s="27" t="s">
        <v>4388</v>
      </c>
      <c r="E18" s="10">
        <v>25</v>
      </c>
      <c r="F18" s="36" t="s">
        <v>263</v>
      </c>
      <c r="G18" s="27" t="s">
        <v>296</v>
      </c>
      <c r="H18" s="27" t="s">
        <v>1941</v>
      </c>
      <c r="I18" s="27"/>
      <c r="J18" s="27"/>
      <c r="K18" s="27"/>
      <c r="L18" s="27"/>
      <c r="M18" s="27" t="s">
        <v>4389</v>
      </c>
      <c r="N18" s="1" t="s">
        <v>264</v>
      </c>
      <c r="O18" s="27"/>
      <c r="P18" s="27" t="s">
        <v>4390</v>
      </c>
    </row>
    <row r="19" spans="1:16" ht="24" customHeight="1">
      <c r="A19" s="30">
        <v>45511</v>
      </c>
      <c r="B19" s="27" t="s">
        <v>201</v>
      </c>
      <c r="C19" s="27" t="s">
        <v>4275</v>
      </c>
      <c r="D19" s="27" t="s">
        <v>1863</v>
      </c>
      <c r="E19" s="10">
        <v>45</v>
      </c>
      <c r="F19" s="36" t="s">
        <v>263</v>
      </c>
      <c r="G19" s="27" t="s">
        <v>269</v>
      </c>
      <c r="H19" s="27" t="s">
        <v>270</v>
      </c>
      <c r="I19" s="27"/>
      <c r="J19" s="27"/>
      <c r="K19" s="27"/>
      <c r="L19" s="27"/>
      <c r="M19" s="27" t="s">
        <v>4386</v>
      </c>
      <c r="N19" s="1" t="s">
        <v>264</v>
      </c>
      <c r="O19" s="27"/>
      <c r="P19" s="27"/>
    </row>
    <row r="20" spans="1:16" ht="24" customHeight="1">
      <c r="A20" s="30">
        <v>45511</v>
      </c>
      <c r="B20" s="27" t="s">
        <v>201</v>
      </c>
      <c r="C20" s="27" t="s">
        <v>4364</v>
      </c>
      <c r="D20" s="27" t="s">
        <v>4391</v>
      </c>
      <c r="E20" s="10">
        <v>40</v>
      </c>
      <c r="F20" s="36" t="s">
        <v>263</v>
      </c>
      <c r="G20" s="27" t="s">
        <v>330</v>
      </c>
      <c r="H20" s="27" t="s">
        <v>331</v>
      </c>
      <c r="I20" s="27" t="s">
        <v>369</v>
      </c>
      <c r="J20" s="27" t="s">
        <v>369</v>
      </c>
      <c r="K20" s="27" t="s">
        <v>369</v>
      </c>
      <c r="L20" s="27"/>
      <c r="M20" s="27" t="s">
        <v>335</v>
      </c>
      <c r="N20" s="1" t="s">
        <v>264</v>
      </c>
      <c r="O20" s="27"/>
      <c r="P20" s="27" t="s">
        <v>4392</v>
      </c>
    </row>
    <row r="21" spans="1:16" ht="24" customHeight="1">
      <c r="A21" s="30">
        <v>45511</v>
      </c>
      <c r="B21" s="27" t="s">
        <v>201</v>
      </c>
      <c r="C21" s="27" t="s">
        <v>4364</v>
      </c>
      <c r="D21" s="27" t="s">
        <v>4393</v>
      </c>
      <c r="E21" s="10">
        <v>100</v>
      </c>
      <c r="F21" s="38" t="s">
        <v>294</v>
      </c>
      <c r="G21" s="27" t="s">
        <v>274</v>
      </c>
      <c r="H21" s="27" t="s">
        <v>946</v>
      </c>
      <c r="I21" s="27" t="s">
        <v>382</v>
      </c>
      <c r="J21" s="27"/>
      <c r="K21" s="27"/>
      <c r="L21" s="27"/>
      <c r="M21" s="27" t="s">
        <v>4394</v>
      </c>
      <c r="N21" s="3" t="s">
        <v>312</v>
      </c>
      <c r="O21" s="27" t="s">
        <v>4395</v>
      </c>
      <c r="P21" s="27"/>
    </row>
    <row r="22" spans="1:16" ht="24" customHeight="1">
      <c r="A22" s="30">
        <v>45511</v>
      </c>
      <c r="B22" s="27" t="s">
        <v>201</v>
      </c>
      <c r="C22" s="27" t="s">
        <v>4364</v>
      </c>
      <c r="D22" s="27" t="s">
        <v>4396</v>
      </c>
      <c r="E22" s="10">
        <v>50</v>
      </c>
      <c r="F22" s="36" t="s">
        <v>263</v>
      </c>
      <c r="G22" s="27" t="s">
        <v>295</v>
      </c>
      <c r="H22" s="27" t="s">
        <v>296</v>
      </c>
      <c r="I22" s="27" t="s">
        <v>610</v>
      </c>
      <c r="J22" s="27" t="s">
        <v>369</v>
      </c>
      <c r="K22" s="27" t="s">
        <v>369</v>
      </c>
      <c r="L22" s="27"/>
      <c r="M22" s="27" t="s">
        <v>351</v>
      </c>
      <c r="N22" s="1" t="s">
        <v>264</v>
      </c>
      <c r="O22" s="27" t="s">
        <v>4373</v>
      </c>
      <c r="P22" s="27"/>
    </row>
    <row r="23" spans="1:16" ht="24" customHeight="1">
      <c r="A23" s="30">
        <v>45511</v>
      </c>
      <c r="B23" s="27" t="s">
        <v>201</v>
      </c>
      <c r="C23" s="27" t="s">
        <v>4364</v>
      </c>
      <c r="D23" s="27" t="s">
        <v>4397</v>
      </c>
      <c r="E23" s="10">
        <v>45</v>
      </c>
      <c r="F23" s="36" t="s">
        <v>263</v>
      </c>
      <c r="G23" s="27" t="s">
        <v>296</v>
      </c>
      <c r="H23" s="27" t="s">
        <v>270</v>
      </c>
      <c r="I23" s="27" t="s">
        <v>369</v>
      </c>
      <c r="J23" s="27" t="s">
        <v>369</v>
      </c>
      <c r="K23" s="27" t="s">
        <v>369</v>
      </c>
      <c r="L23" s="27"/>
      <c r="M23" s="27" t="s">
        <v>2631</v>
      </c>
      <c r="N23" s="1" t="s">
        <v>264</v>
      </c>
      <c r="O23" s="27"/>
      <c r="P23" s="27"/>
    </row>
    <row r="24" spans="1:16" ht="24" customHeight="1">
      <c r="A24" s="30">
        <v>45512</v>
      </c>
      <c r="B24" s="27" t="s">
        <v>216</v>
      </c>
      <c r="C24" s="27" t="s">
        <v>4275</v>
      </c>
      <c r="D24" s="27" t="s">
        <v>1863</v>
      </c>
      <c r="E24" s="10">
        <v>45</v>
      </c>
      <c r="F24" s="36" t="s">
        <v>263</v>
      </c>
      <c r="G24" s="27" t="s">
        <v>269</v>
      </c>
      <c r="H24" s="27" t="s">
        <v>270</v>
      </c>
      <c r="I24" s="27" t="s">
        <v>369</v>
      </c>
      <c r="J24" s="27" t="s">
        <v>369</v>
      </c>
      <c r="K24" s="27" t="s">
        <v>369</v>
      </c>
      <c r="L24" s="27"/>
      <c r="M24" s="27" t="s">
        <v>4386</v>
      </c>
      <c r="N24" s="1" t="s">
        <v>264</v>
      </c>
      <c r="O24" s="27"/>
      <c r="P24" s="27"/>
    </row>
    <row r="25" spans="1:16" ht="24" customHeight="1">
      <c r="A25" s="30">
        <v>45512</v>
      </c>
      <c r="B25" s="27" t="s">
        <v>216</v>
      </c>
      <c r="C25" s="27" t="s">
        <v>4364</v>
      </c>
      <c r="D25" s="27" t="s">
        <v>4397</v>
      </c>
      <c r="E25" s="10">
        <v>45</v>
      </c>
      <c r="F25" s="36" t="s">
        <v>263</v>
      </c>
      <c r="G25" s="27" t="s">
        <v>506</v>
      </c>
      <c r="H25" s="27" t="s">
        <v>429</v>
      </c>
      <c r="I25" s="27" t="s">
        <v>369</v>
      </c>
      <c r="J25" s="27" t="s">
        <v>369</v>
      </c>
      <c r="K25" s="27" t="s">
        <v>369</v>
      </c>
      <c r="L25" s="27"/>
      <c r="M25" s="27" t="s">
        <v>2631</v>
      </c>
      <c r="N25" s="1" t="s">
        <v>264</v>
      </c>
      <c r="O25" s="27" t="s">
        <v>4398</v>
      </c>
      <c r="P25" s="27"/>
    </row>
    <row r="26" spans="1:16" ht="24" customHeight="1">
      <c r="A26" s="30">
        <v>45512</v>
      </c>
      <c r="B26" s="27" t="s">
        <v>216</v>
      </c>
      <c r="C26" s="27" t="s">
        <v>4364</v>
      </c>
      <c r="D26" s="27" t="s">
        <v>4399</v>
      </c>
      <c r="E26" s="10">
        <v>50</v>
      </c>
      <c r="F26" s="36" t="s">
        <v>263</v>
      </c>
      <c r="G26" s="27" t="s">
        <v>295</v>
      </c>
      <c r="H26" s="27" t="s">
        <v>290</v>
      </c>
      <c r="I26" s="27" t="s">
        <v>369</v>
      </c>
      <c r="J26" s="27" t="s">
        <v>369</v>
      </c>
      <c r="K26" s="27" t="s">
        <v>369</v>
      </c>
      <c r="L26" s="27"/>
      <c r="M26" s="27" t="s">
        <v>1194</v>
      </c>
      <c r="N26" s="1" t="s">
        <v>264</v>
      </c>
      <c r="O26" s="27" t="s">
        <v>4363</v>
      </c>
      <c r="P26" s="27"/>
    </row>
    <row r="27" spans="1:16" ht="24" customHeight="1">
      <c r="A27" s="30">
        <v>45512</v>
      </c>
      <c r="B27" s="27" t="s">
        <v>216</v>
      </c>
      <c r="C27" s="27" t="s">
        <v>4364</v>
      </c>
      <c r="D27" s="27" t="s">
        <v>4397</v>
      </c>
      <c r="E27" s="10">
        <v>45</v>
      </c>
      <c r="F27" s="36" t="s">
        <v>263</v>
      </c>
      <c r="G27" s="27" t="s">
        <v>290</v>
      </c>
      <c r="H27" s="27" t="s">
        <v>270</v>
      </c>
      <c r="I27" s="27" t="s">
        <v>369</v>
      </c>
      <c r="J27" s="27" t="s">
        <v>369</v>
      </c>
      <c r="K27" s="27" t="s">
        <v>369</v>
      </c>
      <c r="L27" s="27"/>
      <c r="M27" s="27" t="s">
        <v>2631</v>
      </c>
      <c r="N27" s="1" t="s">
        <v>264</v>
      </c>
      <c r="O27" s="27"/>
      <c r="P27" s="27"/>
    </row>
    <row r="28" spans="1:16" ht="24" customHeight="1">
      <c r="A28" s="30">
        <v>45513</v>
      </c>
      <c r="B28" s="27" t="s">
        <v>220</v>
      </c>
      <c r="C28" s="27" t="s">
        <v>4275</v>
      </c>
      <c r="D28" s="27" t="s">
        <v>1863</v>
      </c>
      <c r="E28" s="10">
        <v>45</v>
      </c>
      <c r="F28" s="36" t="s">
        <v>263</v>
      </c>
      <c r="G28" s="27" t="s">
        <v>269</v>
      </c>
      <c r="H28" s="27" t="s">
        <v>270</v>
      </c>
      <c r="I28" s="27" t="s">
        <v>369</v>
      </c>
      <c r="J28" s="27" t="s">
        <v>369</v>
      </c>
      <c r="K28" s="27" t="s">
        <v>369</v>
      </c>
      <c r="L28" s="27"/>
      <c r="M28" s="27" t="s">
        <v>4386</v>
      </c>
      <c r="N28" s="1" t="s">
        <v>264</v>
      </c>
      <c r="O28" s="27"/>
      <c r="P28" s="27"/>
    </row>
    <row r="29" spans="1:16" ht="24" customHeight="1">
      <c r="A29" s="30">
        <v>45513</v>
      </c>
      <c r="B29" s="27" t="s">
        <v>220</v>
      </c>
      <c r="C29" s="27" t="s">
        <v>4364</v>
      </c>
      <c r="D29" s="27" t="s">
        <v>4397</v>
      </c>
      <c r="E29" s="10">
        <v>45</v>
      </c>
      <c r="F29" s="36" t="s">
        <v>263</v>
      </c>
      <c r="G29" s="27" t="s">
        <v>506</v>
      </c>
      <c r="H29" s="27" t="s">
        <v>429</v>
      </c>
      <c r="I29" s="27" t="s">
        <v>369</v>
      </c>
      <c r="J29" s="27" t="s">
        <v>369</v>
      </c>
      <c r="K29" s="27" t="s">
        <v>369</v>
      </c>
      <c r="L29" s="27"/>
      <c r="M29" s="27" t="s">
        <v>2631</v>
      </c>
      <c r="N29" s="1" t="s">
        <v>264</v>
      </c>
      <c r="O29" s="27" t="s">
        <v>4398</v>
      </c>
      <c r="P29" s="27"/>
    </row>
    <row r="30" spans="1:16" ht="24" customHeight="1">
      <c r="A30" s="30">
        <v>45513</v>
      </c>
      <c r="B30" s="27" t="s">
        <v>220</v>
      </c>
      <c r="C30" s="27" t="s">
        <v>4364</v>
      </c>
      <c r="D30" s="27" t="s">
        <v>658</v>
      </c>
      <c r="E30" s="10">
        <v>50</v>
      </c>
      <c r="F30" s="36" t="s">
        <v>263</v>
      </c>
      <c r="G30" s="27" t="s">
        <v>350</v>
      </c>
      <c r="H30" s="27" t="s">
        <v>270</v>
      </c>
      <c r="I30" s="27" t="s">
        <v>369</v>
      </c>
      <c r="J30" s="27" t="s">
        <v>369</v>
      </c>
      <c r="K30" s="27" t="s">
        <v>369</v>
      </c>
      <c r="L30" s="27"/>
      <c r="M30" s="27" t="s">
        <v>688</v>
      </c>
      <c r="N30" s="1" t="s">
        <v>264</v>
      </c>
      <c r="O30" s="27" t="s">
        <v>4400</v>
      </c>
      <c r="P30" s="27" t="s">
        <v>2595</v>
      </c>
    </row>
    <row r="31" spans="1:16" ht="24" customHeight="1">
      <c r="A31" s="30">
        <v>45513</v>
      </c>
      <c r="B31" s="27" t="s">
        <v>220</v>
      </c>
      <c r="C31" s="27" t="s">
        <v>4364</v>
      </c>
      <c r="D31" s="27" t="s">
        <v>4401</v>
      </c>
      <c r="E31" s="10">
        <v>60</v>
      </c>
      <c r="F31" s="36" t="s">
        <v>263</v>
      </c>
      <c r="G31" s="27" t="s">
        <v>295</v>
      </c>
      <c r="H31" s="27" t="s">
        <v>296</v>
      </c>
      <c r="I31" s="27" t="s">
        <v>369</v>
      </c>
      <c r="J31" s="27" t="s">
        <v>369</v>
      </c>
      <c r="K31" s="27" t="s">
        <v>369</v>
      </c>
      <c r="L31" s="27"/>
      <c r="M31" s="27" t="s">
        <v>4402</v>
      </c>
      <c r="N31" s="1" t="s">
        <v>264</v>
      </c>
      <c r="O31" s="27" t="s">
        <v>4403</v>
      </c>
      <c r="P31" s="27" t="s">
        <v>4404</v>
      </c>
    </row>
    <row r="32" spans="1:16" ht="24" customHeight="1">
      <c r="A32" s="30">
        <v>45513</v>
      </c>
      <c r="B32" s="27" t="s">
        <v>220</v>
      </c>
      <c r="C32" s="27" t="s">
        <v>1188</v>
      </c>
      <c r="D32" s="27" t="s">
        <v>4397</v>
      </c>
      <c r="E32" s="10">
        <v>45</v>
      </c>
      <c r="F32" s="36" t="s">
        <v>263</v>
      </c>
      <c r="G32" s="27" t="s">
        <v>359</v>
      </c>
      <c r="H32" s="27" t="s">
        <v>290</v>
      </c>
      <c r="I32" s="27" t="s">
        <v>369</v>
      </c>
      <c r="J32" s="27" t="s">
        <v>369</v>
      </c>
      <c r="K32" s="27" t="s">
        <v>369</v>
      </c>
      <c r="L32" s="27"/>
      <c r="M32" s="27" t="s">
        <v>2631</v>
      </c>
      <c r="N32" s="1" t="s">
        <v>264</v>
      </c>
      <c r="O32" s="27" t="s">
        <v>4398</v>
      </c>
      <c r="P32" s="27"/>
    </row>
    <row r="33" spans="1:16" ht="24" customHeight="1">
      <c r="A33" s="30">
        <v>45514</v>
      </c>
      <c r="B33" s="27" t="s">
        <v>266</v>
      </c>
      <c r="C33" s="27"/>
      <c r="D33" s="27"/>
      <c r="E33" s="10"/>
      <c r="F33" s="36" t="s">
        <v>263</v>
      </c>
      <c r="G33" s="27"/>
      <c r="H33" s="27"/>
      <c r="I33" s="27"/>
      <c r="J33" s="27"/>
      <c r="K33" s="27"/>
      <c r="L33" s="27"/>
      <c r="M33" s="27"/>
      <c r="N33" s="1" t="s">
        <v>264</v>
      </c>
      <c r="O33" s="27"/>
      <c r="P33" s="27"/>
    </row>
    <row r="34" spans="1:16" ht="24" customHeight="1">
      <c r="A34" s="30">
        <v>45515</v>
      </c>
      <c r="B34" s="27" t="s">
        <v>267</v>
      </c>
      <c r="C34" s="27"/>
      <c r="D34" s="27"/>
      <c r="E34" s="10"/>
      <c r="F34" s="36" t="s">
        <v>263</v>
      </c>
      <c r="G34" s="27"/>
      <c r="H34" s="27"/>
      <c r="I34" s="27"/>
      <c r="J34" s="27"/>
      <c r="K34" s="27"/>
      <c r="L34" s="27"/>
      <c r="M34" s="27"/>
      <c r="N34" s="1" t="s">
        <v>264</v>
      </c>
      <c r="O34" s="27"/>
      <c r="P34" s="27"/>
    </row>
    <row r="35" spans="1:16" ht="24" customHeight="1">
      <c r="A35" s="30">
        <v>45516</v>
      </c>
      <c r="B35" s="27" t="s">
        <v>224</v>
      </c>
      <c r="C35" s="27" t="s">
        <v>4355</v>
      </c>
      <c r="D35" s="27" t="s">
        <v>236</v>
      </c>
      <c r="E35" s="10">
        <v>40</v>
      </c>
      <c r="F35" s="36" t="s">
        <v>263</v>
      </c>
      <c r="G35" s="27" t="s">
        <v>269</v>
      </c>
      <c r="H35" s="27" t="s">
        <v>270</v>
      </c>
      <c r="I35" s="27"/>
      <c r="J35" s="27"/>
      <c r="K35" s="27"/>
      <c r="L35" s="27"/>
      <c r="M35" s="27"/>
      <c r="N35" s="1" t="s">
        <v>264</v>
      </c>
      <c r="O35" s="27"/>
      <c r="P35" s="27"/>
    </row>
    <row r="36" spans="1:16" ht="24" customHeight="1">
      <c r="A36" s="30">
        <v>45516</v>
      </c>
      <c r="B36" s="27" t="s">
        <v>224</v>
      </c>
      <c r="C36" s="27" t="s">
        <v>171</v>
      </c>
      <c r="D36" s="27" t="s">
        <v>4405</v>
      </c>
      <c r="E36" s="10">
        <v>50</v>
      </c>
      <c r="F36" s="36" t="s">
        <v>263</v>
      </c>
      <c r="G36" s="27" t="s">
        <v>4406</v>
      </c>
      <c r="H36" s="27" t="s">
        <v>4407</v>
      </c>
      <c r="I36" s="27"/>
      <c r="J36" s="27"/>
      <c r="K36" s="27"/>
      <c r="L36" s="27"/>
      <c r="M36" s="27" t="s">
        <v>4408</v>
      </c>
      <c r="N36" s="1" t="s">
        <v>264</v>
      </c>
      <c r="O36" s="27"/>
      <c r="P36" s="27"/>
    </row>
    <row r="37" spans="1:16" ht="24" customHeight="1">
      <c r="A37" s="30">
        <v>45516</v>
      </c>
      <c r="B37" s="27" t="s">
        <v>224</v>
      </c>
      <c r="C37" s="27" t="s">
        <v>4355</v>
      </c>
      <c r="D37" s="27" t="s">
        <v>4409</v>
      </c>
      <c r="E37" s="10" t="s">
        <v>4410</v>
      </c>
      <c r="F37" s="36" t="s">
        <v>263</v>
      </c>
      <c r="G37" s="27" t="s">
        <v>270</v>
      </c>
      <c r="H37" s="27"/>
      <c r="I37" s="27"/>
      <c r="J37" s="27"/>
      <c r="K37" s="27"/>
      <c r="L37" s="27"/>
      <c r="M37" s="27" t="s">
        <v>4411</v>
      </c>
      <c r="N37" s="1" t="s">
        <v>264</v>
      </c>
      <c r="O37" s="27"/>
      <c r="P37" s="27"/>
    </row>
    <row r="38" spans="1:16" ht="24" customHeight="1">
      <c r="A38" s="30">
        <v>45517</v>
      </c>
      <c r="B38" s="27" t="s">
        <v>227</v>
      </c>
      <c r="C38" s="27" t="s">
        <v>4412</v>
      </c>
      <c r="D38" s="27" t="s">
        <v>4255</v>
      </c>
      <c r="E38" s="10">
        <v>35</v>
      </c>
      <c r="F38" s="36" t="s">
        <v>263</v>
      </c>
      <c r="G38" s="27" t="s">
        <v>281</v>
      </c>
      <c r="H38" s="27" t="s">
        <v>506</v>
      </c>
      <c r="I38" s="27" t="s">
        <v>369</v>
      </c>
      <c r="J38" s="27" t="s">
        <v>382</v>
      </c>
      <c r="K38" s="27" t="s">
        <v>369</v>
      </c>
      <c r="L38" s="27"/>
      <c r="M38" s="27" t="s">
        <v>4413</v>
      </c>
      <c r="N38" s="1" t="s">
        <v>264</v>
      </c>
      <c r="O38" s="27" t="s">
        <v>4342</v>
      </c>
      <c r="P38" s="27" t="s">
        <v>4414</v>
      </c>
    </row>
    <row r="39" spans="1:16" ht="24" customHeight="1">
      <c r="A39" s="30">
        <v>45882</v>
      </c>
      <c r="B39" s="27" t="s">
        <v>201</v>
      </c>
      <c r="C39" s="27" t="s">
        <v>4275</v>
      </c>
      <c r="D39" s="27" t="s">
        <v>1863</v>
      </c>
      <c r="E39" s="10">
        <v>45</v>
      </c>
      <c r="F39" s="36" t="s">
        <v>263</v>
      </c>
      <c r="G39" s="27" t="s">
        <v>269</v>
      </c>
      <c r="H39" s="27" t="s">
        <v>270</v>
      </c>
      <c r="I39" s="27" t="s">
        <v>369</v>
      </c>
      <c r="J39" s="27" t="s">
        <v>369</v>
      </c>
      <c r="K39" s="27" t="s">
        <v>369</v>
      </c>
      <c r="L39" s="27"/>
      <c r="M39" s="27" t="s">
        <v>4386</v>
      </c>
      <c r="N39" s="1" t="s">
        <v>264</v>
      </c>
      <c r="O39" s="27"/>
      <c r="P39" s="27"/>
    </row>
    <row r="40" spans="1:16" ht="24" customHeight="1">
      <c r="A40" s="30">
        <v>45517</v>
      </c>
      <c r="B40" s="27" t="s">
        <v>227</v>
      </c>
      <c r="C40" s="27" t="s">
        <v>171</v>
      </c>
      <c r="D40" s="27" t="s">
        <v>4409</v>
      </c>
      <c r="E40" s="10" t="s">
        <v>4410</v>
      </c>
      <c r="F40" s="36" t="s">
        <v>263</v>
      </c>
      <c r="G40" s="27" t="s">
        <v>269</v>
      </c>
      <c r="H40" s="27" t="s">
        <v>270</v>
      </c>
      <c r="I40" s="27" t="s">
        <v>610</v>
      </c>
      <c r="J40" s="27" t="s">
        <v>369</v>
      </c>
      <c r="K40" s="27" t="s">
        <v>369</v>
      </c>
      <c r="L40" s="27"/>
      <c r="M40" s="27" t="s">
        <v>4415</v>
      </c>
      <c r="N40" s="1" t="s">
        <v>264</v>
      </c>
      <c r="O40" s="27" t="s">
        <v>4267</v>
      </c>
      <c r="P40" s="27"/>
    </row>
    <row r="41" spans="1:16" ht="24" customHeight="1">
      <c r="A41" s="30">
        <v>45518</v>
      </c>
      <c r="B41" s="27" t="s">
        <v>201</v>
      </c>
      <c r="C41" s="27" t="s">
        <v>4275</v>
      </c>
      <c r="D41" s="27" t="s">
        <v>4416</v>
      </c>
      <c r="E41" s="10">
        <v>45</v>
      </c>
      <c r="F41" s="36" t="s">
        <v>263</v>
      </c>
      <c r="G41" s="27" t="s">
        <v>315</v>
      </c>
      <c r="H41" s="27" t="s">
        <v>354</v>
      </c>
      <c r="I41" s="27" t="s">
        <v>369</v>
      </c>
      <c r="J41" s="27" t="s">
        <v>369</v>
      </c>
      <c r="K41" s="27" t="s">
        <v>369</v>
      </c>
      <c r="L41" s="27"/>
      <c r="M41" s="27" t="s">
        <v>4417</v>
      </c>
      <c r="N41" s="1" t="s">
        <v>264</v>
      </c>
      <c r="O41" s="27" t="s">
        <v>4418</v>
      </c>
      <c r="P41" s="27"/>
    </row>
    <row r="42" spans="1:16" ht="24" customHeight="1">
      <c r="A42" s="30">
        <v>45518</v>
      </c>
      <c r="B42" s="27" t="s">
        <v>201</v>
      </c>
      <c r="C42" s="27" t="s">
        <v>171</v>
      </c>
      <c r="D42" s="27" t="s">
        <v>4419</v>
      </c>
      <c r="E42" s="10">
        <v>40</v>
      </c>
      <c r="F42" s="36" t="s">
        <v>263</v>
      </c>
      <c r="G42" s="27" t="s">
        <v>295</v>
      </c>
      <c r="H42" s="27" t="s">
        <v>290</v>
      </c>
      <c r="I42" s="27" t="s">
        <v>369</v>
      </c>
      <c r="J42" s="27" t="s">
        <v>369</v>
      </c>
      <c r="K42" s="27" t="s">
        <v>369</v>
      </c>
      <c r="L42" s="27"/>
      <c r="M42" s="27" t="s">
        <v>4411</v>
      </c>
      <c r="N42" s="1" t="s">
        <v>264</v>
      </c>
      <c r="O42" s="27" t="s">
        <v>4363</v>
      </c>
      <c r="P42" s="27"/>
    </row>
    <row r="43" spans="1:16" ht="24" customHeight="1">
      <c r="A43" s="30">
        <v>45519</v>
      </c>
      <c r="B43" s="27" t="s">
        <v>216</v>
      </c>
      <c r="C43" s="27"/>
      <c r="D43" s="27"/>
      <c r="E43" s="10"/>
      <c r="F43" s="36" t="s">
        <v>263</v>
      </c>
      <c r="G43" s="27"/>
      <c r="H43" s="27"/>
      <c r="I43" s="27"/>
      <c r="J43" s="27"/>
      <c r="K43" s="27"/>
      <c r="L43" s="27"/>
      <c r="M43" s="27"/>
      <c r="N43" s="1" t="s">
        <v>264</v>
      </c>
      <c r="O43" s="27"/>
      <c r="P43" s="27"/>
    </row>
    <row r="44" spans="1:16" ht="24" customHeight="1">
      <c r="A44" s="30">
        <v>45520</v>
      </c>
      <c r="B44" s="27" t="s">
        <v>220</v>
      </c>
      <c r="C44" s="27" t="s">
        <v>171</v>
      </c>
      <c r="D44" s="27" t="s">
        <v>4401</v>
      </c>
      <c r="E44" s="10">
        <v>60</v>
      </c>
      <c r="F44" s="36" t="s">
        <v>263</v>
      </c>
      <c r="G44" s="27" t="s">
        <v>295</v>
      </c>
      <c r="H44" s="27" t="s">
        <v>296</v>
      </c>
      <c r="I44" s="27" t="s">
        <v>369</v>
      </c>
      <c r="J44" s="27" t="s">
        <v>369</v>
      </c>
      <c r="K44" s="27" t="s">
        <v>369</v>
      </c>
      <c r="L44" s="27"/>
      <c r="M44" s="27" t="s">
        <v>4402</v>
      </c>
      <c r="N44" s="3" t="s">
        <v>312</v>
      </c>
      <c r="O44" s="27"/>
      <c r="P44" s="27" t="s">
        <v>679</v>
      </c>
    </row>
    <row r="45" spans="1:16" ht="24" customHeight="1">
      <c r="A45" s="30">
        <v>45520</v>
      </c>
      <c r="B45" s="27" t="s">
        <v>220</v>
      </c>
      <c r="C45" s="27" t="s">
        <v>171</v>
      </c>
      <c r="D45" s="27" t="s">
        <v>4420</v>
      </c>
      <c r="E45" s="10">
        <v>45</v>
      </c>
      <c r="F45" s="36" t="s">
        <v>263</v>
      </c>
      <c r="G45" s="27" t="s">
        <v>330</v>
      </c>
      <c r="H45" s="27" t="s">
        <v>331</v>
      </c>
      <c r="I45" s="27" t="s">
        <v>4421</v>
      </c>
      <c r="J45" s="27" t="s">
        <v>369</v>
      </c>
      <c r="K45" s="27" t="s">
        <v>369</v>
      </c>
      <c r="L45" s="27"/>
      <c r="M45" s="27" t="s">
        <v>2639</v>
      </c>
      <c r="N45" s="1" t="s">
        <v>264</v>
      </c>
      <c r="O45" s="27" t="s">
        <v>4422</v>
      </c>
      <c r="P45" s="27"/>
    </row>
    <row r="46" spans="1:16" ht="24" customHeight="1">
      <c r="A46" s="30">
        <v>45521</v>
      </c>
      <c r="B46" s="27" t="s">
        <v>266</v>
      </c>
      <c r="C46" s="27"/>
      <c r="D46" s="27"/>
      <c r="E46" s="10"/>
      <c r="F46" s="36" t="s">
        <v>263</v>
      </c>
      <c r="G46" s="27"/>
      <c r="H46" s="27"/>
      <c r="I46" s="27"/>
      <c r="J46" s="27"/>
      <c r="K46" s="27"/>
      <c r="L46" s="27"/>
      <c r="M46" s="27"/>
      <c r="N46" s="1" t="s">
        <v>264</v>
      </c>
      <c r="O46" s="27"/>
      <c r="P46" s="27"/>
    </row>
    <row r="47" spans="1:16" ht="24" customHeight="1">
      <c r="A47" s="30">
        <v>45522</v>
      </c>
      <c r="B47" s="27" t="s">
        <v>267</v>
      </c>
      <c r="C47" s="27"/>
      <c r="D47" s="27"/>
      <c r="E47" s="10"/>
      <c r="F47" s="36" t="s">
        <v>263</v>
      </c>
      <c r="G47" s="27"/>
      <c r="H47" s="27"/>
      <c r="I47" s="27"/>
      <c r="J47" s="27"/>
      <c r="K47" s="27"/>
      <c r="L47" s="27"/>
      <c r="M47" s="27"/>
      <c r="N47" s="1" t="s">
        <v>264</v>
      </c>
      <c r="O47" s="27"/>
      <c r="P47" s="27"/>
    </row>
    <row r="48" spans="1:16" ht="24" customHeight="1">
      <c r="A48" s="30">
        <v>45523</v>
      </c>
      <c r="B48" s="27" t="s">
        <v>224</v>
      </c>
      <c r="C48" s="27" t="s">
        <v>4355</v>
      </c>
      <c r="D48" s="27" t="s">
        <v>236</v>
      </c>
      <c r="E48" s="10">
        <v>48</v>
      </c>
      <c r="F48" s="36" t="s">
        <v>263</v>
      </c>
      <c r="G48" s="27" t="s">
        <v>269</v>
      </c>
      <c r="H48" s="27" t="s">
        <v>270</v>
      </c>
      <c r="I48" s="27" t="s">
        <v>369</v>
      </c>
      <c r="J48" s="27" t="s">
        <v>369</v>
      </c>
      <c r="K48" s="27" t="s">
        <v>369</v>
      </c>
      <c r="L48" s="27"/>
      <c r="M48" s="27"/>
      <c r="N48" s="1" t="s">
        <v>264</v>
      </c>
      <c r="O48" s="27"/>
      <c r="P48" s="27"/>
    </row>
    <row r="49" spans="1:16" ht="24" customHeight="1">
      <c r="A49" s="30">
        <v>45524</v>
      </c>
      <c r="B49" s="27" t="s">
        <v>227</v>
      </c>
      <c r="C49" s="27" t="s">
        <v>171</v>
      </c>
      <c r="D49" s="27" t="s">
        <v>4423</v>
      </c>
      <c r="E49" s="10">
        <v>50</v>
      </c>
      <c r="F49" s="36" t="s">
        <v>263</v>
      </c>
      <c r="G49" s="27" t="s">
        <v>295</v>
      </c>
      <c r="H49" s="27" t="s">
        <v>296</v>
      </c>
      <c r="I49" s="27"/>
      <c r="J49" s="27"/>
      <c r="K49" s="27"/>
      <c r="L49" s="27"/>
      <c r="M49" s="27" t="s">
        <v>4424</v>
      </c>
      <c r="N49" s="1" t="s">
        <v>264</v>
      </c>
      <c r="O49" s="27" t="s">
        <v>4425</v>
      </c>
      <c r="P49" s="27"/>
    </row>
    <row r="50" spans="1:16" ht="24" customHeight="1">
      <c r="A50" s="30">
        <v>45525</v>
      </c>
      <c r="B50" s="27" t="s">
        <v>201</v>
      </c>
      <c r="C50" s="27" t="s">
        <v>239</v>
      </c>
      <c r="D50" s="27" t="s">
        <v>3993</v>
      </c>
      <c r="E50" s="10">
        <v>100</v>
      </c>
      <c r="F50" s="38" t="s">
        <v>294</v>
      </c>
      <c r="G50" s="27" t="s">
        <v>338</v>
      </c>
      <c r="H50" s="27" t="s">
        <v>330</v>
      </c>
      <c r="I50" s="27"/>
      <c r="J50" s="27"/>
      <c r="K50" s="27"/>
      <c r="L50" s="27"/>
      <c r="M50" s="27" t="s">
        <v>688</v>
      </c>
      <c r="N50" s="1" t="s">
        <v>264</v>
      </c>
      <c r="O50" s="27" t="s">
        <v>4426</v>
      </c>
      <c r="P50" s="27"/>
    </row>
    <row r="51" spans="1:16" ht="24" customHeight="1">
      <c r="A51" s="30">
        <v>45525</v>
      </c>
      <c r="B51" s="27" t="s">
        <v>201</v>
      </c>
      <c r="C51" s="27" t="s">
        <v>239</v>
      </c>
      <c r="D51" s="27" t="s">
        <v>4427</v>
      </c>
      <c r="E51" s="10">
        <v>100</v>
      </c>
      <c r="F51" s="38" t="s">
        <v>294</v>
      </c>
      <c r="G51" s="27" t="s">
        <v>359</v>
      </c>
      <c r="H51" s="27" t="s">
        <v>270</v>
      </c>
      <c r="I51" s="27"/>
      <c r="J51" s="27"/>
      <c r="K51" s="27"/>
      <c r="L51" s="27"/>
      <c r="M51" s="27" t="s">
        <v>351</v>
      </c>
      <c r="N51" s="1" t="s">
        <v>264</v>
      </c>
      <c r="O51" s="27"/>
      <c r="P51" s="27"/>
    </row>
    <row r="52" spans="1:16" ht="24" customHeight="1">
      <c r="A52" s="30">
        <v>45526</v>
      </c>
      <c r="B52" s="27" t="s">
        <v>216</v>
      </c>
      <c r="C52" s="27" t="s">
        <v>239</v>
      </c>
      <c r="D52" s="27" t="s">
        <v>3361</v>
      </c>
      <c r="E52" s="10">
        <v>100</v>
      </c>
      <c r="F52" s="38" t="s">
        <v>294</v>
      </c>
      <c r="G52" s="27" t="s">
        <v>295</v>
      </c>
      <c r="H52" s="27" t="s">
        <v>296</v>
      </c>
      <c r="I52" s="27"/>
      <c r="J52" s="27"/>
      <c r="K52" s="27"/>
      <c r="L52" s="27"/>
      <c r="M52" s="27" t="s">
        <v>4386</v>
      </c>
      <c r="N52" s="3" t="s">
        <v>312</v>
      </c>
      <c r="O52" s="27" t="s">
        <v>4428</v>
      </c>
      <c r="P52" s="27" t="s">
        <v>4429</v>
      </c>
    </row>
    <row r="53" spans="1:16" ht="24" customHeight="1">
      <c r="A53" s="30">
        <v>45526</v>
      </c>
      <c r="B53" s="27" t="s">
        <v>216</v>
      </c>
      <c r="C53" s="27" t="s">
        <v>937</v>
      </c>
      <c r="D53" s="27" t="s">
        <v>4327</v>
      </c>
      <c r="E53" s="10">
        <v>30</v>
      </c>
      <c r="F53" s="36" t="s">
        <v>263</v>
      </c>
      <c r="G53" s="27" t="s">
        <v>269</v>
      </c>
      <c r="H53" s="27" t="s">
        <v>270</v>
      </c>
      <c r="I53" s="27" t="s">
        <v>382</v>
      </c>
      <c r="J53" s="27" t="s">
        <v>369</v>
      </c>
      <c r="K53" s="27" t="s">
        <v>369</v>
      </c>
      <c r="L53" s="27"/>
      <c r="M53" s="27" t="s">
        <v>4374</v>
      </c>
      <c r="N53" s="3" t="s">
        <v>312</v>
      </c>
      <c r="O53" s="27" t="s">
        <v>4229</v>
      </c>
      <c r="P53" s="27" t="s">
        <v>4328</v>
      </c>
    </row>
    <row r="54" spans="1:16" ht="24" customHeight="1">
      <c r="A54" s="30">
        <v>45527</v>
      </c>
      <c r="B54" s="27" t="s">
        <v>220</v>
      </c>
      <c r="C54" s="27" t="s">
        <v>937</v>
      </c>
      <c r="D54" s="27" t="s">
        <v>4327</v>
      </c>
      <c r="E54" s="10">
        <v>30</v>
      </c>
      <c r="F54" s="36" t="s">
        <v>263</v>
      </c>
      <c r="G54" s="27" t="s">
        <v>269</v>
      </c>
      <c r="H54" s="27" t="s">
        <v>270</v>
      </c>
      <c r="I54" s="27" t="s">
        <v>382</v>
      </c>
      <c r="J54" s="27" t="s">
        <v>369</v>
      </c>
      <c r="K54" s="27" t="s">
        <v>369</v>
      </c>
      <c r="L54" s="27"/>
      <c r="M54" s="27" t="s">
        <v>4374</v>
      </c>
      <c r="N54" s="3" t="s">
        <v>312</v>
      </c>
      <c r="O54" s="27" t="s">
        <v>4229</v>
      </c>
      <c r="P54" s="27" t="s">
        <v>4328</v>
      </c>
    </row>
    <row r="55" spans="1:16" ht="24" customHeight="1">
      <c r="A55" s="30">
        <v>45528</v>
      </c>
      <c r="B55" s="27" t="s">
        <v>266</v>
      </c>
      <c r="C55" s="27"/>
      <c r="D55" s="27"/>
      <c r="E55" s="10"/>
      <c r="F55" s="36" t="s">
        <v>263</v>
      </c>
      <c r="G55" s="27"/>
      <c r="H55" s="27"/>
      <c r="I55" s="27"/>
      <c r="J55" s="27"/>
      <c r="K55" s="27"/>
      <c r="L55" s="27"/>
      <c r="M55" s="27"/>
      <c r="N55" s="1" t="s">
        <v>264</v>
      </c>
      <c r="O55" s="27"/>
      <c r="P55" s="27"/>
    </row>
    <row r="56" spans="1:16" ht="24" customHeight="1">
      <c r="A56" s="30">
        <v>45529</v>
      </c>
      <c r="B56" s="27" t="s">
        <v>267</v>
      </c>
      <c r="C56" s="27"/>
      <c r="D56" s="27"/>
      <c r="E56" s="10"/>
      <c r="F56" s="36" t="s">
        <v>263</v>
      </c>
      <c r="G56" s="27"/>
      <c r="H56" s="27"/>
      <c r="I56" s="27"/>
      <c r="J56" s="27"/>
      <c r="K56" s="27"/>
      <c r="L56" s="27"/>
      <c r="M56" s="27"/>
      <c r="N56" s="1" t="s">
        <v>264</v>
      </c>
      <c r="O56" s="27"/>
      <c r="P56" s="27"/>
    </row>
    <row r="57" spans="1:16" ht="24" customHeight="1">
      <c r="A57" s="30">
        <v>45530</v>
      </c>
      <c r="B57" s="27" t="s">
        <v>224</v>
      </c>
      <c r="C57" s="27" t="s">
        <v>2797</v>
      </c>
      <c r="D57" s="27" t="s">
        <v>236</v>
      </c>
      <c r="E57" s="10">
        <v>23</v>
      </c>
      <c r="F57" s="36" t="s">
        <v>263</v>
      </c>
      <c r="G57" s="27" t="s">
        <v>269</v>
      </c>
      <c r="H57" s="27" t="s">
        <v>270</v>
      </c>
      <c r="I57" s="27"/>
      <c r="J57" s="27"/>
      <c r="K57" s="27"/>
      <c r="L57" s="27"/>
      <c r="M57" s="27"/>
      <c r="N57" s="1" t="s">
        <v>264</v>
      </c>
      <c r="O57" s="27"/>
      <c r="P57" s="27"/>
    </row>
    <row r="58" spans="1:16" ht="24" customHeight="1">
      <c r="A58" s="30">
        <v>45531</v>
      </c>
      <c r="B58" s="27" t="s">
        <v>227</v>
      </c>
      <c r="C58" s="27" t="s">
        <v>937</v>
      </c>
      <c r="D58" s="27" t="s">
        <v>4430</v>
      </c>
      <c r="E58" s="10"/>
      <c r="F58" s="36" t="s">
        <v>263</v>
      </c>
      <c r="G58" s="27" t="s">
        <v>295</v>
      </c>
      <c r="H58" s="27" t="s">
        <v>290</v>
      </c>
      <c r="I58" s="27" t="s">
        <v>382</v>
      </c>
      <c r="J58" s="27" t="s">
        <v>369</v>
      </c>
      <c r="K58" s="27" t="s">
        <v>369</v>
      </c>
      <c r="L58" s="27"/>
      <c r="M58" s="27" t="s">
        <v>4372</v>
      </c>
      <c r="N58" s="1" t="s">
        <v>264</v>
      </c>
      <c r="O58" s="27" t="s">
        <v>4373</v>
      </c>
      <c r="P58" s="27"/>
    </row>
    <row r="59" spans="1:16" ht="24" customHeight="1">
      <c r="A59" s="30">
        <v>45532</v>
      </c>
      <c r="B59" s="27" t="s">
        <v>201</v>
      </c>
      <c r="C59" s="27" t="s">
        <v>239</v>
      </c>
      <c r="D59" s="27" t="s">
        <v>3361</v>
      </c>
      <c r="E59" s="10">
        <v>120</v>
      </c>
      <c r="F59" s="38" t="s">
        <v>294</v>
      </c>
      <c r="G59" s="27" t="s">
        <v>295</v>
      </c>
      <c r="H59" s="27" t="s">
        <v>296</v>
      </c>
      <c r="I59" s="27"/>
      <c r="J59" s="27"/>
      <c r="K59" s="27"/>
      <c r="L59" s="27"/>
      <c r="M59" s="27" t="s">
        <v>2631</v>
      </c>
      <c r="N59" s="3" t="s">
        <v>312</v>
      </c>
      <c r="O59" s="27" t="s">
        <v>4431</v>
      </c>
      <c r="P59" s="27" t="s">
        <v>4432</v>
      </c>
    </row>
    <row r="60" spans="1:16" ht="24" customHeight="1">
      <c r="A60" s="30">
        <v>45532</v>
      </c>
      <c r="B60" s="27" t="s">
        <v>201</v>
      </c>
      <c r="C60" s="27" t="s">
        <v>171</v>
      </c>
      <c r="D60" s="27" t="s">
        <v>4433</v>
      </c>
      <c r="E60" s="10">
        <v>60</v>
      </c>
      <c r="F60" s="36" t="s">
        <v>263</v>
      </c>
      <c r="G60" s="27" t="s">
        <v>290</v>
      </c>
      <c r="H60" s="27" t="s">
        <v>1168</v>
      </c>
      <c r="I60" s="27"/>
      <c r="J60" s="27"/>
      <c r="K60" s="27"/>
      <c r="L60" s="27"/>
      <c r="M60" s="27" t="s">
        <v>4434</v>
      </c>
      <c r="N60" s="1" t="s">
        <v>264</v>
      </c>
      <c r="O60" s="27"/>
      <c r="P60" s="27"/>
    </row>
    <row r="61" spans="1:16" ht="24" customHeight="1">
      <c r="A61" s="30">
        <v>45532</v>
      </c>
      <c r="B61" s="27" t="s">
        <v>201</v>
      </c>
      <c r="C61" s="27" t="s">
        <v>171</v>
      </c>
      <c r="D61" s="27" t="s">
        <v>4435</v>
      </c>
      <c r="E61" s="10">
        <v>20</v>
      </c>
      <c r="F61" s="36" t="s">
        <v>263</v>
      </c>
      <c r="G61" s="27" t="s">
        <v>309</v>
      </c>
      <c r="H61" s="27" t="s">
        <v>290</v>
      </c>
      <c r="I61" s="27"/>
      <c r="J61" s="27"/>
      <c r="K61" s="27"/>
      <c r="L61" s="27"/>
      <c r="M61" s="27" t="s">
        <v>4436</v>
      </c>
      <c r="N61" s="1" t="s">
        <v>264</v>
      </c>
      <c r="O61" s="27" t="s">
        <v>4437</v>
      </c>
      <c r="P61" s="27"/>
    </row>
    <row r="62" spans="1:16" ht="24" customHeight="1">
      <c r="A62" s="30">
        <v>45533</v>
      </c>
      <c r="B62" s="27" t="s">
        <v>216</v>
      </c>
      <c r="C62" s="27" t="s">
        <v>239</v>
      </c>
      <c r="D62" s="27" t="s">
        <v>4438</v>
      </c>
      <c r="E62" s="10" t="s">
        <v>2192</v>
      </c>
      <c r="F62" s="36" t="s">
        <v>263</v>
      </c>
      <c r="G62" s="27" t="s">
        <v>290</v>
      </c>
      <c r="H62" s="27" t="s">
        <v>3351</v>
      </c>
      <c r="I62" s="27"/>
      <c r="J62" s="27"/>
      <c r="K62" s="27"/>
      <c r="L62" s="27"/>
      <c r="M62" s="27" t="s">
        <v>4439</v>
      </c>
      <c r="N62" s="3" t="s">
        <v>312</v>
      </c>
      <c r="O62" s="27"/>
      <c r="P62" s="27" t="s">
        <v>4440</v>
      </c>
    </row>
    <row r="63" spans="1:16" ht="24" customHeight="1">
      <c r="A63" s="30">
        <v>45533</v>
      </c>
      <c r="B63" s="27" t="s">
        <v>216</v>
      </c>
      <c r="C63" s="27" t="s">
        <v>239</v>
      </c>
      <c r="D63" s="27" t="s">
        <v>4369</v>
      </c>
      <c r="E63" s="10" t="s">
        <v>2202</v>
      </c>
      <c r="F63" s="38" t="s">
        <v>294</v>
      </c>
      <c r="G63" s="27" t="s">
        <v>295</v>
      </c>
      <c r="H63" s="27" t="s">
        <v>290</v>
      </c>
      <c r="I63" s="27"/>
      <c r="J63" s="27"/>
      <c r="K63" s="27"/>
      <c r="L63" s="27"/>
      <c r="M63" s="27" t="s">
        <v>4441</v>
      </c>
      <c r="N63" s="3" t="s">
        <v>312</v>
      </c>
      <c r="O63" s="27" t="s">
        <v>4350</v>
      </c>
      <c r="P63" s="27" t="s">
        <v>4442</v>
      </c>
    </row>
    <row r="64" spans="1:16" ht="24" customHeight="1">
      <c r="A64" s="30">
        <v>45533</v>
      </c>
      <c r="B64" s="27" t="s">
        <v>216</v>
      </c>
      <c r="C64" s="27" t="s">
        <v>4443</v>
      </c>
      <c r="D64" s="27" t="s">
        <v>4444</v>
      </c>
      <c r="E64" s="10">
        <v>35</v>
      </c>
      <c r="F64" s="36" t="s">
        <v>263</v>
      </c>
      <c r="G64" s="27" t="s">
        <v>275</v>
      </c>
      <c r="H64" s="27" t="s">
        <v>309</v>
      </c>
      <c r="I64" s="27"/>
      <c r="J64" s="27"/>
      <c r="K64" s="27"/>
      <c r="L64" s="27"/>
      <c r="M64" s="27" t="s">
        <v>4445</v>
      </c>
      <c r="N64" s="1" t="s">
        <v>264</v>
      </c>
      <c r="O64" s="27"/>
      <c r="P64" s="27"/>
    </row>
    <row r="65" spans="1:16" ht="24" customHeight="1">
      <c r="A65" s="30">
        <v>45533</v>
      </c>
      <c r="B65" s="27" t="s">
        <v>216</v>
      </c>
      <c r="C65" s="27" t="s">
        <v>171</v>
      </c>
      <c r="D65" s="27" t="s">
        <v>4446</v>
      </c>
      <c r="E65" s="10">
        <v>42</v>
      </c>
      <c r="F65" s="36" t="s">
        <v>263</v>
      </c>
      <c r="G65" s="27" t="s">
        <v>359</v>
      </c>
      <c r="H65" s="27" t="s">
        <v>290</v>
      </c>
      <c r="I65" s="27"/>
      <c r="J65" s="27"/>
      <c r="K65" s="27"/>
      <c r="L65" s="27"/>
      <c r="M65" s="27" t="s">
        <v>4447</v>
      </c>
      <c r="N65" s="1" t="s">
        <v>264</v>
      </c>
      <c r="O65" s="27" t="s">
        <v>4448</v>
      </c>
      <c r="P65" s="27"/>
    </row>
    <row r="66" spans="1:16" ht="24" customHeight="1">
      <c r="A66" s="30">
        <v>45534</v>
      </c>
      <c r="B66" s="27" t="s">
        <v>220</v>
      </c>
      <c r="C66" s="27" t="s">
        <v>239</v>
      </c>
      <c r="D66" s="27"/>
      <c r="E66" s="10">
        <v>100</v>
      </c>
      <c r="F66" s="38" t="s">
        <v>294</v>
      </c>
      <c r="G66" s="27" t="s">
        <v>269</v>
      </c>
      <c r="H66" s="27" t="s">
        <v>270</v>
      </c>
      <c r="I66" s="27"/>
      <c r="J66" s="27"/>
      <c r="K66" s="27"/>
      <c r="L66" s="27"/>
      <c r="M66" s="27" t="s">
        <v>688</v>
      </c>
      <c r="N66" s="3" t="s">
        <v>312</v>
      </c>
      <c r="O66" s="27"/>
      <c r="P66" s="27" t="s">
        <v>679</v>
      </c>
    </row>
    <row r="67" spans="1:16" ht="24" customHeight="1">
      <c r="A67" s="30">
        <v>45535</v>
      </c>
      <c r="B67" s="27" t="s">
        <v>266</v>
      </c>
      <c r="C67" s="27" t="s">
        <v>239</v>
      </c>
      <c r="D67" s="27" t="s">
        <v>4438</v>
      </c>
      <c r="E67" s="10" t="s">
        <v>2192</v>
      </c>
      <c r="F67" s="36" t="s">
        <v>263</v>
      </c>
      <c r="G67" s="27" t="s">
        <v>290</v>
      </c>
      <c r="H67" s="27" t="s">
        <v>3351</v>
      </c>
      <c r="I67" s="27"/>
      <c r="J67" s="27"/>
      <c r="K67" s="27"/>
      <c r="L67" s="27"/>
      <c r="M67" s="27" t="s">
        <v>4439</v>
      </c>
      <c r="N67" s="1" t="s">
        <v>264</v>
      </c>
      <c r="O67" s="27"/>
      <c r="P67" s="27"/>
    </row>
  </sheetData>
  <mergeCells count="3">
    <mergeCell ref="A1:C1"/>
    <mergeCell ref="D1:K1"/>
    <mergeCell ref="L1:P1"/>
  </mergeCells>
  <dataValidations count="2">
    <dataValidation type="list" allowBlank="1" sqref="M3:M117 N3:N67" xr:uid="{00000000-0002-0000-3000-000000000000}">
      <formula1>"Confirmed (Done),Pending Calendar Booking,Canceled"</formula1>
    </dataValidation>
    <dataValidation type="list" allowBlank="1" sqref="F3:F67" xr:uid="{00000000-0002-0000-3000-000001000000}">
      <formula1>"Big Event,Small Event"</formula1>
    </dataValidation>
  </dataValidations>
  <hyperlinks>
    <hyperlink ref="A1" location="'Dashboard'!A1" display="🏠 ⮌ RETURN TO DASHBOARD" xr:uid="{00000000-0004-0000-3000-000000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56"/>
  <sheetViews>
    <sheetView workbookViewId="0">
      <pane ySplit="2" topLeftCell="A3" activePane="bottomLeft" state="frozen"/>
      <selection pane="bottomLeft"/>
    </sheetView>
  </sheetViews>
  <sheetFormatPr defaultRowHeight="14.45"/>
  <cols>
    <col min="1" max="1" width="15" customWidth="1"/>
    <col min="2" max="2" width="12" customWidth="1"/>
    <col min="3" max="4" width="48" customWidth="1"/>
    <col min="5" max="5" width="22" customWidth="1"/>
    <col min="6" max="6" width="15" customWidth="1"/>
    <col min="7" max="7" width="19" customWidth="1"/>
    <col min="8" max="8" width="17" customWidth="1"/>
    <col min="9" max="9" width="28" customWidth="1"/>
    <col min="10" max="10" width="22" customWidth="1"/>
    <col min="11" max="11" width="24" customWidth="1"/>
    <col min="12" max="12" width="25" customWidth="1"/>
    <col min="13" max="13" width="48" customWidth="1"/>
    <col min="14" max="14" width="25" customWidth="1"/>
    <col min="15" max="16" width="48" customWidth="1"/>
  </cols>
  <sheetData>
    <row r="1" spans="1:16" ht="27.95" customHeight="1">
      <c r="A1" s="62" t="s">
        <v>2138</v>
      </c>
      <c r="B1" s="134"/>
      <c r="C1" s="135"/>
      <c r="D1" s="63" t="s">
        <v>4449</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45536</v>
      </c>
      <c r="B3" s="27" t="s">
        <v>267</v>
      </c>
      <c r="C3" s="27"/>
      <c r="D3" s="27"/>
      <c r="E3" s="10"/>
      <c r="F3" s="36" t="s">
        <v>263</v>
      </c>
      <c r="G3" s="27"/>
      <c r="H3" s="27"/>
      <c r="I3" s="27"/>
      <c r="J3" s="27"/>
      <c r="K3" s="27"/>
      <c r="L3" s="27"/>
      <c r="M3" s="27"/>
      <c r="N3" s="1" t="s">
        <v>264</v>
      </c>
      <c r="O3" s="27"/>
      <c r="P3" s="27"/>
    </row>
    <row r="4" spans="1:16" ht="24" customHeight="1">
      <c r="A4" s="30">
        <v>45537</v>
      </c>
      <c r="B4" s="27" t="s">
        <v>224</v>
      </c>
      <c r="C4" s="27" t="s">
        <v>3034</v>
      </c>
      <c r="D4" s="27" t="s">
        <v>4450</v>
      </c>
      <c r="E4" s="10"/>
      <c r="F4" s="36" t="s">
        <v>263</v>
      </c>
      <c r="G4" s="27" t="s">
        <v>269</v>
      </c>
      <c r="H4" s="27" t="s">
        <v>270</v>
      </c>
      <c r="I4" s="27" t="s">
        <v>4451</v>
      </c>
      <c r="J4" s="27"/>
      <c r="K4" s="27"/>
      <c r="L4" s="27"/>
      <c r="M4" s="27"/>
      <c r="N4" s="1" t="s">
        <v>264</v>
      </c>
      <c r="O4" s="27"/>
      <c r="P4" s="27" t="s">
        <v>4452</v>
      </c>
    </row>
    <row r="5" spans="1:16" ht="24" customHeight="1">
      <c r="A5" s="30">
        <v>45537</v>
      </c>
      <c r="B5" s="27" t="s">
        <v>224</v>
      </c>
      <c r="C5" s="27" t="s">
        <v>4453</v>
      </c>
      <c r="D5" s="27" t="s">
        <v>4454</v>
      </c>
      <c r="E5" s="10" t="s">
        <v>4455</v>
      </c>
      <c r="F5" s="36" t="s">
        <v>263</v>
      </c>
      <c r="G5" s="27" t="s">
        <v>309</v>
      </c>
      <c r="H5" s="27" t="s">
        <v>1405</v>
      </c>
      <c r="I5" s="27"/>
      <c r="J5" s="27" t="s">
        <v>382</v>
      </c>
      <c r="K5" s="27"/>
      <c r="L5" s="27"/>
      <c r="M5" s="27" t="s">
        <v>688</v>
      </c>
      <c r="N5" s="1" t="s">
        <v>264</v>
      </c>
      <c r="O5" s="27"/>
      <c r="P5" s="27" t="s">
        <v>4456</v>
      </c>
    </row>
    <row r="6" spans="1:16" ht="24" customHeight="1">
      <c r="A6" s="30">
        <v>45538</v>
      </c>
      <c r="B6" s="27" t="s">
        <v>227</v>
      </c>
      <c r="C6" s="27" t="s">
        <v>239</v>
      </c>
      <c r="D6" s="27" t="s">
        <v>4457</v>
      </c>
      <c r="E6" s="10">
        <v>120</v>
      </c>
      <c r="F6" s="38" t="s">
        <v>294</v>
      </c>
      <c r="G6" s="27" t="s">
        <v>289</v>
      </c>
      <c r="H6" s="27" t="s">
        <v>359</v>
      </c>
      <c r="I6" s="27"/>
      <c r="J6" s="27" t="s">
        <v>382</v>
      </c>
      <c r="K6" s="27"/>
      <c r="L6" s="27"/>
      <c r="M6" s="27" t="s">
        <v>688</v>
      </c>
      <c r="N6" s="1" t="s">
        <v>264</v>
      </c>
      <c r="O6" s="27"/>
      <c r="P6" s="27" t="s">
        <v>4458</v>
      </c>
    </row>
    <row r="7" spans="1:16" ht="24" customHeight="1">
      <c r="A7" s="30">
        <v>45538</v>
      </c>
      <c r="B7" s="27" t="s">
        <v>227</v>
      </c>
      <c r="C7" s="27" t="s">
        <v>3034</v>
      </c>
      <c r="D7" s="27" t="s">
        <v>4450</v>
      </c>
      <c r="E7" s="10"/>
      <c r="F7" s="36" t="s">
        <v>263</v>
      </c>
      <c r="G7" s="27" t="s">
        <v>269</v>
      </c>
      <c r="H7" s="27" t="s">
        <v>270</v>
      </c>
      <c r="I7" s="27"/>
      <c r="J7" s="27"/>
      <c r="K7" s="27"/>
      <c r="L7" s="27"/>
      <c r="M7" s="27"/>
      <c r="N7" s="1" t="s">
        <v>264</v>
      </c>
      <c r="O7" s="27"/>
      <c r="P7" s="27" t="s">
        <v>4452</v>
      </c>
    </row>
    <row r="8" spans="1:16" ht="24" customHeight="1">
      <c r="A8" s="30">
        <v>45538</v>
      </c>
      <c r="B8" s="27" t="s">
        <v>227</v>
      </c>
      <c r="C8" s="27" t="s">
        <v>4459</v>
      </c>
      <c r="D8" s="27" t="s">
        <v>4460</v>
      </c>
      <c r="E8" s="10"/>
      <c r="F8" s="36" t="s">
        <v>263</v>
      </c>
      <c r="G8" s="27" t="s">
        <v>295</v>
      </c>
      <c r="H8" s="27"/>
      <c r="I8" s="27"/>
      <c r="J8" s="27"/>
      <c r="K8" s="27"/>
      <c r="L8" s="27"/>
      <c r="M8" s="27" t="s">
        <v>4461</v>
      </c>
      <c r="N8" s="1" t="s">
        <v>264</v>
      </c>
      <c r="O8" s="27"/>
      <c r="P8" s="27" t="s">
        <v>4462</v>
      </c>
    </row>
    <row r="9" spans="1:16" ht="24" customHeight="1">
      <c r="A9" s="30">
        <v>45538</v>
      </c>
      <c r="B9" s="27" t="s">
        <v>227</v>
      </c>
      <c r="C9" s="27" t="s">
        <v>239</v>
      </c>
      <c r="D9" s="27" t="s">
        <v>4463</v>
      </c>
      <c r="E9" s="10"/>
      <c r="F9" s="36" t="s">
        <v>263</v>
      </c>
      <c r="G9" s="27" t="s">
        <v>411</v>
      </c>
      <c r="H9" s="27" t="s">
        <v>1941</v>
      </c>
      <c r="I9" s="27"/>
      <c r="J9" s="27" t="s">
        <v>382</v>
      </c>
      <c r="K9" s="27"/>
      <c r="L9" s="27"/>
      <c r="M9" s="27" t="s">
        <v>688</v>
      </c>
      <c r="N9" s="1" t="s">
        <v>264</v>
      </c>
      <c r="O9" s="27"/>
      <c r="P9" s="27"/>
    </row>
    <row r="10" spans="1:16" ht="24" customHeight="1">
      <c r="A10" s="30">
        <v>45539</v>
      </c>
      <c r="B10" s="27" t="s">
        <v>201</v>
      </c>
      <c r="C10" s="27" t="s">
        <v>3034</v>
      </c>
      <c r="D10" s="27" t="s">
        <v>4450</v>
      </c>
      <c r="E10" s="10"/>
      <c r="F10" s="36" t="s">
        <v>263</v>
      </c>
      <c r="G10" s="27" t="s">
        <v>269</v>
      </c>
      <c r="H10" s="27" t="s">
        <v>270</v>
      </c>
      <c r="I10" s="27"/>
      <c r="J10" s="27"/>
      <c r="K10" s="27"/>
      <c r="L10" s="27"/>
      <c r="M10" s="27"/>
      <c r="N10" s="1" t="s">
        <v>264</v>
      </c>
      <c r="O10" s="27"/>
      <c r="P10" s="27" t="s">
        <v>4452</v>
      </c>
    </row>
    <row r="11" spans="1:16" ht="24" customHeight="1">
      <c r="A11" s="30">
        <v>45539</v>
      </c>
      <c r="B11" s="27" t="s">
        <v>201</v>
      </c>
      <c r="C11" s="27" t="s">
        <v>171</v>
      </c>
      <c r="D11" s="27" t="s">
        <v>4464</v>
      </c>
      <c r="E11" s="10">
        <v>40</v>
      </c>
      <c r="F11" s="36" t="s">
        <v>263</v>
      </c>
      <c r="G11" s="27" t="s">
        <v>315</v>
      </c>
      <c r="H11" s="27" t="s">
        <v>506</v>
      </c>
      <c r="I11" s="27"/>
      <c r="J11" s="27"/>
      <c r="K11" s="27"/>
      <c r="L11" s="27"/>
      <c r="M11" s="27" t="s">
        <v>3315</v>
      </c>
      <c r="N11" s="1" t="s">
        <v>264</v>
      </c>
      <c r="O11" s="27"/>
      <c r="P11" s="27" t="s">
        <v>2595</v>
      </c>
    </row>
    <row r="12" spans="1:16" ht="24" customHeight="1">
      <c r="A12" s="30">
        <v>45539</v>
      </c>
      <c r="B12" s="27" t="s">
        <v>201</v>
      </c>
      <c r="C12" s="27" t="s">
        <v>1112</v>
      </c>
      <c r="D12" s="27" t="s">
        <v>4465</v>
      </c>
      <c r="E12" s="10"/>
      <c r="F12" s="36" t="s">
        <v>263</v>
      </c>
      <c r="G12" s="27"/>
      <c r="H12" s="27"/>
      <c r="I12" s="27"/>
      <c r="J12" s="27"/>
      <c r="K12" s="27"/>
      <c r="L12" s="27"/>
      <c r="M12" s="27"/>
      <c r="N12" s="1" t="s">
        <v>264</v>
      </c>
      <c r="O12" s="27"/>
      <c r="P12" s="27" t="s">
        <v>4466</v>
      </c>
    </row>
    <row r="13" spans="1:16" ht="24" customHeight="1">
      <c r="A13" s="30">
        <v>45539</v>
      </c>
      <c r="B13" s="27" t="s">
        <v>201</v>
      </c>
      <c r="C13" s="27" t="s">
        <v>1050</v>
      </c>
      <c r="D13" s="27" t="s">
        <v>4369</v>
      </c>
      <c r="E13" s="10">
        <v>50</v>
      </c>
      <c r="F13" s="36" t="s">
        <v>263</v>
      </c>
      <c r="G13" s="27" t="s">
        <v>295</v>
      </c>
      <c r="H13" s="27" t="s">
        <v>270</v>
      </c>
      <c r="I13" s="27"/>
      <c r="J13" s="27"/>
      <c r="K13" s="27"/>
      <c r="L13" s="27"/>
      <c r="M13" s="27" t="s">
        <v>4441</v>
      </c>
      <c r="N13" s="1" t="s">
        <v>264</v>
      </c>
      <c r="O13" s="27"/>
      <c r="P13" s="27" t="s">
        <v>4467</v>
      </c>
    </row>
    <row r="14" spans="1:16" ht="24" customHeight="1">
      <c r="A14" s="30">
        <v>45540</v>
      </c>
      <c r="B14" s="27" t="s">
        <v>216</v>
      </c>
      <c r="C14" s="27" t="s">
        <v>4468</v>
      </c>
      <c r="D14" s="27" t="s">
        <v>4469</v>
      </c>
      <c r="E14" s="10"/>
      <c r="F14" s="36" t="s">
        <v>263</v>
      </c>
      <c r="G14" s="27"/>
      <c r="H14" s="27"/>
      <c r="I14" s="27"/>
      <c r="J14" s="27"/>
      <c r="K14" s="27"/>
      <c r="L14" s="27"/>
      <c r="M14" s="27" t="s">
        <v>433</v>
      </c>
      <c r="N14" s="1" t="s">
        <v>264</v>
      </c>
      <c r="O14" s="27"/>
      <c r="P14" s="27" t="s">
        <v>4470</v>
      </c>
    </row>
    <row r="15" spans="1:16" ht="24" customHeight="1">
      <c r="A15" s="30">
        <v>45540</v>
      </c>
      <c r="B15" s="27" t="s">
        <v>216</v>
      </c>
      <c r="C15" s="27" t="s">
        <v>3034</v>
      </c>
      <c r="D15" s="27" t="s">
        <v>4450</v>
      </c>
      <c r="E15" s="10"/>
      <c r="F15" s="36" t="s">
        <v>263</v>
      </c>
      <c r="G15" s="27" t="s">
        <v>269</v>
      </c>
      <c r="H15" s="27" t="s">
        <v>270</v>
      </c>
      <c r="I15" s="27"/>
      <c r="J15" s="27"/>
      <c r="K15" s="27"/>
      <c r="L15" s="27"/>
      <c r="M15" s="27"/>
      <c r="N15" s="1" t="s">
        <v>264</v>
      </c>
      <c r="O15" s="27"/>
      <c r="P15" s="27" t="s">
        <v>4452</v>
      </c>
    </row>
    <row r="16" spans="1:16" ht="24" customHeight="1">
      <c r="A16" s="30">
        <v>45540</v>
      </c>
      <c r="B16" s="27" t="s">
        <v>216</v>
      </c>
      <c r="C16" s="27" t="s">
        <v>1112</v>
      </c>
      <c r="D16" s="27" t="s">
        <v>4471</v>
      </c>
      <c r="E16" s="10"/>
      <c r="F16" s="36" t="s">
        <v>263</v>
      </c>
      <c r="G16" s="27" t="s">
        <v>269</v>
      </c>
      <c r="H16" s="27" t="s">
        <v>270</v>
      </c>
      <c r="I16" s="27"/>
      <c r="J16" s="27"/>
      <c r="K16" s="27"/>
      <c r="L16" s="27"/>
      <c r="M16" s="27" t="s">
        <v>4472</v>
      </c>
      <c r="N16" s="1" t="s">
        <v>264</v>
      </c>
      <c r="O16" s="27"/>
      <c r="P16" s="27"/>
    </row>
    <row r="17" spans="1:16" ht="24" customHeight="1">
      <c r="A17" s="30">
        <v>45540</v>
      </c>
      <c r="B17" s="27" t="s">
        <v>216</v>
      </c>
      <c r="C17" s="27" t="s">
        <v>4473</v>
      </c>
      <c r="D17" s="27" t="s">
        <v>4474</v>
      </c>
      <c r="E17" s="10"/>
      <c r="F17" s="36" t="s">
        <v>263</v>
      </c>
      <c r="G17" s="27" t="s">
        <v>269</v>
      </c>
      <c r="H17" s="27" t="s">
        <v>270</v>
      </c>
      <c r="I17" s="27"/>
      <c r="J17" s="27"/>
      <c r="K17" s="27"/>
      <c r="L17" s="27"/>
      <c r="M17" s="27" t="s">
        <v>4475</v>
      </c>
      <c r="N17" s="1" t="s">
        <v>264</v>
      </c>
      <c r="O17" s="27"/>
      <c r="P17" s="27"/>
    </row>
    <row r="18" spans="1:16" ht="24" customHeight="1">
      <c r="A18" s="30">
        <v>45540</v>
      </c>
      <c r="B18" s="27" t="s">
        <v>216</v>
      </c>
      <c r="C18" s="27" t="s">
        <v>171</v>
      </c>
      <c r="D18" s="27" t="s">
        <v>2666</v>
      </c>
      <c r="E18" s="10">
        <v>20</v>
      </c>
      <c r="F18" s="36" t="s">
        <v>263</v>
      </c>
      <c r="G18" s="27" t="s">
        <v>295</v>
      </c>
      <c r="H18" s="27" t="s">
        <v>270</v>
      </c>
      <c r="I18" s="27"/>
      <c r="J18" s="27"/>
      <c r="K18" s="27"/>
      <c r="L18" s="27"/>
      <c r="M18" s="27" t="s">
        <v>4476</v>
      </c>
      <c r="N18" s="1" t="s">
        <v>264</v>
      </c>
      <c r="O18" s="27"/>
      <c r="P18" s="27"/>
    </row>
    <row r="19" spans="1:16" ht="24" customHeight="1">
      <c r="A19" s="30">
        <v>45541</v>
      </c>
      <c r="B19" s="27" t="s">
        <v>220</v>
      </c>
      <c r="C19" s="27" t="s">
        <v>171</v>
      </c>
      <c r="D19" s="27" t="s">
        <v>4477</v>
      </c>
      <c r="E19" s="10">
        <v>40</v>
      </c>
      <c r="F19" s="36" t="s">
        <v>263</v>
      </c>
      <c r="G19" s="27" t="s">
        <v>295</v>
      </c>
      <c r="H19" s="27" t="s">
        <v>503</v>
      </c>
      <c r="I19" s="27" t="s">
        <v>369</v>
      </c>
      <c r="J19" s="27" t="s">
        <v>369</v>
      </c>
      <c r="K19" s="27" t="s">
        <v>369</v>
      </c>
      <c r="L19" s="27"/>
      <c r="M19" s="27" t="s">
        <v>4478</v>
      </c>
      <c r="N19" s="1" t="s">
        <v>264</v>
      </c>
      <c r="O19" s="27" t="s">
        <v>4479</v>
      </c>
      <c r="P19" s="27"/>
    </row>
    <row r="20" spans="1:16" ht="24" customHeight="1">
      <c r="A20" s="30">
        <v>45542</v>
      </c>
      <c r="B20" s="27" t="s">
        <v>266</v>
      </c>
      <c r="C20" s="27" t="s">
        <v>4480</v>
      </c>
      <c r="D20" s="27" t="s">
        <v>300</v>
      </c>
      <c r="E20" s="10" t="s">
        <v>4481</v>
      </c>
      <c r="F20" s="36" t="s">
        <v>263</v>
      </c>
      <c r="G20" s="27" t="s">
        <v>269</v>
      </c>
      <c r="H20" s="27" t="s">
        <v>295</v>
      </c>
      <c r="I20" s="27" t="s">
        <v>382</v>
      </c>
      <c r="J20" s="27" t="s">
        <v>369</v>
      </c>
      <c r="K20" s="27" t="s">
        <v>4482</v>
      </c>
      <c r="L20" s="27"/>
      <c r="M20" s="27" t="s">
        <v>1556</v>
      </c>
      <c r="N20" s="1" t="s">
        <v>264</v>
      </c>
      <c r="O20" s="27" t="s">
        <v>4483</v>
      </c>
      <c r="P20" s="27" t="s">
        <v>4484</v>
      </c>
    </row>
    <row r="21" spans="1:16" ht="24" customHeight="1">
      <c r="A21" s="30">
        <v>45543</v>
      </c>
      <c r="B21" s="27" t="s">
        <v>267</v>
      </c>
      <c r="C21" s="27"/>
      <c r="D21" s="27"/>
      <c r="E21" s="10"/>
      <c r="F21" s="36" t="s">
        <v>263</v>
      </c>
      <c r="G21" s="27"/>
      <c r="H21" s="27"/>
      <c r="I21" s="27"/>
      <c r="J21" s="27"/>
      <c r="K21" s="27"/>
      <c r="L21" s="27"/>
      <c r="M21" s="27"/>
      <c r="N21" s="1" t="s">
        <v>264</v>
      </c>
      <c r="O21" s="27"/>
      <c r="P21" s="27"/>
    </row>
    <row r="22" spans="1:16" ht="24" customHeight="1">
      <c r="A22" s="30">
        <v>45544</v>
      </c>
      <c r="B22" s="27" t="s">
        <v>224</v>
      </c>
      <c r="C22" s="27" t="s">
        <v>4485</v>
      </c>
      <c r="D22" s="27" t="s">
        <v>4486</v>
      </c>
      <c r="E22" s="10">
        <v>45</v>
      </c>
      <c r="F22" s="36" t="s">
        <v>263</v>
      </c>
      <c r="G22" s="27" t="s">
        <v>269</v>
      </c>
      <c r="H22" s="27" t="s">
        <v>270</v>
      </c>
      <c r="I22" s="27"/>
      <c r="J22" s="27"/>
      <c r="K22" s="27"/>
      <c r="L22" s="27"/>
      <c r="M22" s="27" t="s">
        <v>2584</v>
      </c>
      <c r="N22" s="1" t="s">
        <v>264</v>
      </c>
      <c r="O22" s="27"/>
      <c r="P22" s="27" t="s">
        <v>4487</v>
      </c>
    </row>
    <row r="23" spans="1:16" ht="24" customHeight="1">
      <c r="A23" s="30">
        <v>45545</v>
      </c>
      <c r="B23" s="27" t="s">
        <v>227</v>
      </c>
      <c r="C23" s="27" t="s">
        <v>171</v>
      </c>
      <c r="D23" s="27" t="s">
        <v>4488</v>
      </c>
      <c r="E23" s="10">
        <v>60</v>
      </c>
      <c r="F23" s="36" t="s">
        <v>263</v>
      </c>
      <c r="G23" s="27" t="s">
        <v>506</v>
      </c>
      <c r="H23" s="27" t="s">
        <v>1342</v>
      </c>
      <c r="I23" s="27"/>
      <c r="J23" s="27"/>
      <c r="K23" s="27"/>
      <c r="L23" s="27"/>
      <c r="M23" s="27" t="s">
        <v>2950</v>
      </c>
      <c r="N23" s="1" t="s">
        <v>264</v>
      </c>
      <c r="O23" s="27"/>
      <c r="P23" s="27"/>
    </row>
    <row r="24" spans="1:16" ht="24" customHeight="1">
      <c r="A24" s="30">
        <v>45545</v>
      </c>
      <c r="B24" s="27" t="s">
        <v>227</v>
      </c>
      <c r="C24" s="27" t="s">
        <v>171</v>
      </c>
      <c r="D24" s="27" t="s">
        <v>4489</v>
      </c>
      <c r="E24" s="10">
        <v>70</v>
      </c>
      <c r="F24" s="36" t="s">
        <v>263</v>
      </c>
      <c r="G24" s="27" t="s">
        <v>295</v>
      </c>
      <c r="H24" s="27" t="s">
        <v>290</v>
      </c>
      <c r="I24" s="27"/>
      <c r="J24" s="27"/>
      <c r="K24" s="27"/>
      <c r="L24" s="27"/>
      <c r="M24" s="27" t="s">
        <v>2877</v>
      </c>
      <c r="N24" s="1" t="s">
        <v>264</v>
      </c>
      <c r="O24" s="27"/>
      <c r="P24" s="27"/>
    </row>
    <row r="25" spans="1:16" ht="24" customHeight="1">
      <c r="A25" s="30">
        <v>45546</v>
      </c>
      <c r="B25" s="27" t="s">
        <v>201</v>
      </c>
      <c r="C25" s="27" t="s">
        <v>239</v>
      </c>
      <c r="D25" s="27" t="s">
        <v>3361</v>
      </c>
      <c r="E25" s="10">
        <v>120</v>
      </c>
      <c r="F25" s="38" t="s">
        <v>294</v>
      </c>
      <c r="G25" s="27" t="s">
        <v>295</v>
      </c>
      <c r="H25" s="27" t="s">
        <v>290</v>
      </c>
      <c r="I25" s="27"/>
      <c r="J25" s="27"/>
      <c r="K25" s="27"/>
      <c r="L25" s="27"/>
      <c r="M25" s="27" t="s">
        <v>2631</v>
      </c>
      <c r="N25" s="1" t="s">
        <v>264</v>
      </c>
      <c r="O25" s="27"/>
      <c r="P25" s="27"/>
    </row>
    <row r="26" spans="1:16" ht="24" customHeight="1">
      <c r="A26" s="30">
        <v>45547</v>
      </c>
      <c r="B26" s="27" t="s">
        <v>216</v>
      </c>
      <c r="C26" s="27" t="s">
        <v>171</v>
      </c>
      <c r="D26" s="27" t="s">
        <v>4490</v>
      </c>
      <c r="E26" s="10">
        <v>40</v>
      </c>
      <c r="F26" s="36" t="s">
        <v>263</v>
      </c>
      <c r="G26" s="27" t="s">
        <v>281</v>
      </c>
      <c r="H26" s="27" t="s">
        <v>330</v>
      </c>
      <c r="I26" s="27"/>
      <c r="J26" s="27"/>
      <c r="K26" s="27"/>
      <c r="L26" s="27"/>
      <c r="M26" s="27" t="s">
        <v>4414</v>
      </c>
      <c r="N26" s="1" t="s">
        <v>264</v>
      </c>
      <c r="O26" s="27"/>
      <c r="P26" s="27" t="s">
        <v>4491</v>
      </c>
    </row>
    <row r="27" spans="1:16" ht="24" customHeight="1">
      <c r="A27" s="30">
        <v>45547</v>
      </c>
      <c r="B27" s="27" t="s">
        <v>216</v>
      </c>
      <c r="C27" s="27" t="s">
        <v>171</v>
      </c>
      <c r="D27" s="27" t="s">
        <v>2666</v>
      </c>
      <c r="E27" s="10">
        <v>20</v>
      </c>
      <c r="F27" s="36" t="s">
        <v>263</v>
      </c>
      <c r="G27" s="27" t="s">
        <v>295</v>
      </c>
      <c r="H27" s="27" t="s">
        <v>270</v>
      </c>
      <c r="I27" s="27"/>
      <c r="J27" s="27"/>
      <c r="K27" s="27"/>
      <c r="L27" s="27"/>
      <c r="M27" s="27" t="s">
        <v>4476</v>
      </c>
      <c r="N27" s="1" t="s">
        <v>264</v>
      </c>
      <c r="O27" s="27"/>
      <c r="P27" s="27"/>
    </row>
    <row r="28" spans="1:16" ht="24" customHeight="1">
      <c r="A28" s="30">
        <v>45548</v>
      </c>
      <c r="B28" s="27" t="s">
        <v>220</v>
      </c>
      <c r="C28" s="27" t="s">
        <v>954</v>
      </c>
      <c r="D28" s="27" t="s">
        <v>4492</v>
      </c>
      <c r="E28" s="10">
        <v>50</v>
      </c>
      <c r="F28" s="36" t="s">
        <v>263</v>
      </c>
      <c r="G28" s="27" t="s">
        <v>309</v>
      </c>
      <c r="H28" s="27" t="s">
        <v>296</v>
      </c>
      <c r="I28" s="27"/>
      <c r="J28" s="27"/>
      <c r="K28" s="27"/>
      <c r="L28" s="27"/>
      <c r="M28" s="27" t="s">
        <v>4493</v>
      </c>
      <c r="N28" s="3" t="s">
        <v>312</v>
      </c>
      <c r="O28" s="27"/>
      <c r="P28" s="27" t="s">
        <v>4494</v>
      </c>
    </row>
    <row r="29" spans="1:16" ht="24" customHeight="1">
      <c r="A29" s="30">
        <v>45548</v>
      </c>
      <c r="B29" s="27" t="s">
        <v>220</v>
      </c>
      <c r="C29" s="27" t="s">
        <v>171</v>
      </c>
      <c r="D29" s="27" t="s">
        <v>4495</v>
      </c>
      <c r="E29" s="10">
        <v>40</v>
      </c>
      <c r="F29" s="36" t="s">
        <v>263</v>
      </c>
      <c r="G29" s="27" t="s">
        <v>315</v>
      </c>
      <c r="H29" s="27" t="s">
        <v>331</v>
      </c>
      <c r="I29" s="27" t="s">
        <v>610</v>
      </c>
      <c r="J29" s="27"/>
      <c r="K29" s="27"/>
      <c r="L29" s="27"/>
      <c r="M29" s="27" t="s">
        <v>583</v>
      </c>
      <c r="N29" s="1" t="s">
        <v>264</v>
      </c>
      <c r="O29" s="27"/>
      <c r="P29" s="27" t="s">
        <v>2595</v>
      </c>
    </row>
    <row r="30" spans="1:16" ht="24" customHeight="1">
      <c r="A30" s="30">
        <v>45549</v>
      </c>
      <c r="B30" s="27" t="s">
        <v>266</v>
      </c>
      <c r="C30" s="27" t="s">
        <v>4496</v>
      </c>
      <c r="D30" s="27" t="s">
        <v>300</v>
      </c>
      <c r="E30" s="10"/>
      <c r="F30" s="36" t="s">
        <v>263</v>
      </c>
      <c r="G30" s="27" t="s">
        <v>269</v>
      </c>
      <c r="H30" s="27" t="s">
        <v>270</v>
      </c>
      <c r="I30" s="27"/>
      <c r="J30" s="27"/>
      <c r="K30" s="27"/>
      <c r="L30" s="27"/>
      <c r="M30" s="27" t="s">
        <v>4497</v>
      </c>
      <c r="N30" s="1" t="s">
        <v>264</v>
      </c>
      <c r="O30" s="27"/>
      <c r="P30" s="27" t="s">
        <v>4498</v>
      </c>
    </row>
    <row r="31" spans="1:16" ht="24" customHeight="1">
      <c r="A31" s="30">
        <v>45550</v>
      </c>
      <c r="B31" s="27" t="s">
        <v>267</v>
      </c>
      <c r="C31" s="27"/>
      <c r="D31" s="27"/>
      <c r="E31" s="10"/>
      <c r="F31" s="36" t="s">
        <v>263</v>
      </c>
      <c r="G31" s="27"/>
      <c r="H31" s="27"/>
      <c r="I31" s="27"/>
      <c r="J31" s="27"/>
      <c r="K31" s="27"/>
      <c r="L31" s="27"/>
      <c r="M31" s="27"/>
      <c r="N31" s="1" t="s">
        <v>264</v>
      </c>
      <c r="O31" s="27"/>
      <c r="P31" s="27"/>
    </row>
    <row r="32" spans="1:16" ht="24" customHeight="1">
      <c r="A32" s="30">
        <v>45551</v>
      </c>
      <c r="B32" s="27" t="s">
        <v>224</v>
      </c>
      <c r="C32" s="27" t="s">
        <v>4499</v>
      </c>
      <c r="D32" s="27" t="s">
        <v>4500</v>
      </c>
      <c r="E32" s="10">
        <v>1</v>
      </c>
      <c r="F32" s="36" t="s">
        <v>263</v>
      </c>
      <c r="G32" s="27" t="s">
        <v>269</v>
      </c>
      <c r="H32" s="27" t="s">
        <v>270</v>
      </c>
      <c r="I32" s="27"/>
      <c r="J32" s="27"/>
      <c r="K32" s="27"/>
      <c r="L32" s="27"/>
      <c r="M32" s="27"/>
      <c r="N32" s="3" t="s">
        <v>312</v>
      </c>
      <c r="O32" s="27" t="s">
        <v>4501</v>
      </c>
      <c r="P32" s="27" t="s">
        <v>4502</v>
      </c>
    </row>
    <row r="33" spans="1:16" ht="24" customHeight="1">
      <c r="A33" s="30">
        <v>45551</v>
      </c>
      <c r="B33" s="27" t="s">
        <v>224</v>
      </c>
      <c r="C33" s="27" t="s">
        <v>171</v>
      </c>
      <c r="D33" s="27" t="s">
        <v>4503</v>
      </c>
      <c r="E33" s="10">
        <v>35</v>
      </c>
      <c r="F33" s="36" t="s">
        <v>263</v>
      </c>
      <c r="G33" s="27" t="s">
        <v>295</v>
      </c>
      <c r="H33" s="27" t="s">
        <v>270</v>
      </c>
      <c r="I33" s="27"/>
      <c r="J33" s="27"/>
      <c r="K33" s="27"/>
      <c r="L33" s="27"/>
      <c r="M33" s="27" t="s">
        <v>4504</v>
      </c>
      <c r="N33" s="1" t="s">
        <v>264</v>
      </c>
      <c r="O33" s="27" t="s">
        <v>4505</v>
      </c>
      <c r="P33" s="27"/>
    </row>
    <row r="34" spans="1:16" ht="24" customHeight="1">
      <c r="A34" s="30">
        <v>45551</v>
      </c>
      <c r="B34" s="27" t="s">
        <v>224</v>
      </c>
      <c r="C34" s="27" t="s">
        <v>1061</v>
      </c>
      <c r="D34" s="27" t="s">
        <v>4486</v>
      </c>
      <c r="E34" s="10">
        <v>27</v>
      </c>
      <c r="F34" s="36" t="s">
        <v>263</v>
      </c>
      <c r="G34" s="27" t="s">
        <v>269</v>
      </c>
      <c r="H34" s="27" t="s">
        <v>270</v>
      </c>
      <c r="I34" s="27"/>
      <c r="J34" s="27"/>
      <c r="K34" s="27"/>
      <c r="L34" s="27"/>
      <c r="M34" s="27" t="s">
        <v>2584</v>
      </c>
      <c r="N34" s="1" t="s">
        <v>264</v>
      </c>
      <c r="O34" s="27"/>
      <c r="P34" s="27"/>
    </row>
    <row r="35" spans="1:16" ht="24" customHeight="1">
      <c r="A35" s="30">
        <v>45552</v>
      </c>
      <c r="B35" s="27" t="s">
        <v>227</v>
      </c>
      <c r="C35" s="27" t="s">
        <v>4499</v>
      </c>
      <c r="D35" s="27" t="s">
        <v>4506</v>
      </c>
      <c r="E35" s="10">
        <v>1</v>
      </c>
      <c r="F35" s="36" t="s">
        <v>263</v>
      </c>
      <c r="G35" s="27" t="s">
        <v>269</v>
      </c>
      <c r="H35" s="27" t="s">
        <v>270</v>
      </c>
      <c r="I35" s="27"/>
      <c r="J35" s="27"/>
      <c r="K35" s="27"/>
      <c r="L35" s="27"/>
      <c r="M35" s="27" t="s">
        <v>507</v>
      </c>
      <c r="N35" s="3" t="s">
        <v>312</v>
      </c>
      <c r="O35" s="27" t="s">
        <v>4501</v>
      </c>
      <c r="P35" s="27" t="s">
        <v>4502</v>
      </c>
    </row>
    <row r="36" spans="1:16" ht="24" customHeight="1">
      <c r="A36" s="30">
        <v>45553</v>
      </c>
      <c r="B36" s="27" t="s">
        <v>201</v>
      </c>
      <c r="C36" s="27" t="s">
        <v>171</v>
      </c>
      <c r="D36" s="27" t="s">
        <v>4507</v>
      </c>
      <c r="E36" s="10">
        <v>55</v>
      </c>
      <c r="F36" s="36" t="s">
        <v>263</v>
      </c>
      <c r="G36" s="27" t="s">
        <v>295</v>
      </c>
      <c r="H36" s="27" t="s">
        <v>270</v>
      </c>
      <c r="I36" s="27"/>
      <c r="J36" s="27"/>
      <c r="K36" s="27"/>
      <c r="L36" s="27"/>
      <c r="M36" s="27" t="s">
        <v>4476</v>
      </c>
      <c r="N36" s="1" t="s">
        <v>264</v>
      </c>
      <c r="O36" s="27" t="s">
        <v>4508</v>
      </c>
      <c r="P36" s="27" t="s">
        <v>4509</v>
      </c>
    </row>
    <row r="37" spans="1:16" ht="24" customHeight="1">
      <c r="A37" s="30">
        <v>45554</v>
      </c>
      <c r="B37" s="27" t="s">
        <v>216</v>
      </c>
      <c r="C37" s="27" t="s">
        <v>954</v>
      </c>
      <c r="D37" s="27" t="s">
        <v>2666</v>
      </c>
      <c r="E37" s="10">
        <v>18</v>
      </c>
      <c r="F37" s="36" t="s">
        <v>263</v>
      </c>
      <c r="G37" s="27" t="s">
        <v>295</v>
      </c>
      <c r="H37" s="27" t="s">
        <v>270</v>
      </c>
      <c r="I37" s="27"/>
      <c r="J37" s="27"/>
      <c r="K37" s="27"/>
      <c r="L37" s="27"/>
      <c r="M37" s="27" t="s">
        <v>4476</v>
      </c>
      <c r="N37" s="1" t="s">
        <v>264</v>
      </c>
      <c r="O37" s="27"/>
      <c r="P37" s="27"/>
    </row>
    <row r="38" spans="1:16" ht="24" customHeight="1">
      <c r="A38" s="30">
        <v>45554</v>
      </c>
      <c r="B38" s="27" t="s">
        <v>216</v>
      </c>
      <c r="C38" s="27" t="s">
        <v>171</v>
      </c>
      <c r="D38" s="27" t="s">
        <v>2666</v>
      </c>
      <c r="E38" s="10">
        <v>30</v>
      </c>
      <c r="F38" s="36" t="s">
        <v>263</v>
      </c>
      <c r="G38" s="27" t="s">
        <v>295</v>
      </c>
      <c r="H38" s="27" t="s">
        <v>270</v>
      </c>
      <c r="I38" s="27"/>
      <c r="J38" s="27"/>
      <c r="K38" s="27"/>
      <c r="L38" s="27"/>
      <c r="M38" s="27" t="s">
        <v>4476</v>
      </c>
      <c r="N38" s="1" t="s">
        <v>264</v>
      </c>
      <c r="O38" s="27"/>
      <c r="P38" s="27"/>
    </row>
    <row r="39" spans="1:16" ht="24" customHeight="1">
      <c r="A39" s="30">
        <v>45555</v>
      </c>
      <c r="B39" s="27" t="s">
        <v>220</v>
      </c>
      <c r="C39" s="27" t="s">
        <v>171</v>
      </c>
      <c r="D39" s="27" t="s">
        <v>4510</v>
      </c>
      <c r="E39" s="10">
        <v>50</v>
      </c>
      <c r="F39" s="36" t="s">
        <v>263</v>
      </c>
      <c r="G39" s="27" t="s">
        <v>295</v>
      </c>
      <c r="H39" s="27" t="s">
        <v>270</v>
      </c>
      <c r="I39" s="27"/>
      <c r="J39" s="27"/>
      <c r="K39" s="27"/>
      <c r="L39" s="27"/>
      <c r="M39" s="27" t="s">
        <v>4441</v>
      </c>
      <c r="N39" s="1" t="s">
        <v>264</v>
      </c>
      <c r="O39" s="27"/>
      <c r="P39" s="27"/>
    </row>
    <row r="40" spans="1:16" ht="24" customHeight="1">
      <c r="A40" s="30">
        <v>45556</v>
      </c>
      <c r="B40" s="27" t="s">
        <v>266</v>
      </c>
      <c r="C40" s="27" t="s">
        <v>4511</v>
      </c>
      <c r="D40" s="27" t="s">
        <v>4512</v>
      </c>
      <c r="E40" s="10" t="s">
        <v>4513</v>
      </c>
      <c r="F40" s="36" t="s">
        <v>263</v>
      </c>
      <c r="G40" s="27" t="s">
        <v>338</v>
      </c>
      <c r="H40" s="27" t="s">
        <v>295</v>
      </c>
      <c r="I40" s="27"/>
      <c r="J40" s="27"/>
      <c r="K40" s="27"/>
      <c r="L40" s="27"/>
      <c r="M40" s="27"/>
      <c r="N40" s="1" t="s">
        <v>264</v>
      </c>
      <c r="O40" s="27"/>
      <c r="P40" s="27" t="s">
        <v>4514</v>
      </c>
    </row>
    <row r="41" spans="1:16" ht="24" customHeight="1">
      <c r="A41" s="30">
        <v>45557</v>
      </c>
      <c r="B41" s="27" t="s">
        <v>267</v>
      </c>
      <c r="C41" s="27"/>
      <c r="D41" s="27"/>
      <c r="E41" s="10"/>
      <c r="F41" s="36" t="s">
        <v>263</v>
      </c>
      <c r="G41" s="27"/>
      <c r="H41" s="27"/>
      <c r="I41" s="27"/>
      <c r="J41" s="27"/>
      <c r="K41" s="27"/>
      <c r="L41" s="27"/>
      <c r="M41" s="27"/>
      <c r="N41" s="1" t="s">
        <v>264</v>
      </c>
      <c r="O41" s="27"/>
      <c r="P41" s="27"/>
    </row>
    <row r="42" spans="1:16" ht="24" customHeight="1">
      <c r="A42" s="30">
        <v>45558</v>
      </c>
      <c r="B42" s="27" t="s">
        <v>224</v>
      </c>
      <c r="C42" s="27" t="s">
        <v>4515</v>
      </c>
      <c r="D42" s="27" t="s">
        <v>327</v>
      </c>
      <c r="E42" s="10">
        <v>30</v>
      </c>
      <c r="F42" s="36" t="s">
        <v>263</v>
      </c>
      <c r="G42" s="27" t="s">
        <v>269</v>
      </c>
      <c r="H42" s="27" t="s">
        <v>270</v>
      </c>
      <c r="I42" s="27" t="s">
        <v>382</v>
      </c>
      <c r="J42" s="27" t="s">
        <v>369</v>
      </c>
      <c r="K42" s="27" t="s">
        <v>369</v>
      </c>
      <c r="L42" s="27"/>
      <c r="M42" s="27" t="s">
        <v>4374</v>
      </c>
      <c r="N42" s="1" t="s">
        <v>264</v>
      </c>
      <c r="O42" s="27" t="s">
        <v>4516</v>
      </c>
      <c r="P42" s="27" t="s">
        <v>4517</v>
      </c>
    </row>
    <row r="43" spans="1:16" ht="24" customHeight="1">
      <c r="A43" s="30">
        <v>45558</v>
      </c>
      <c r="B43" s="27" t="s">
        <v>224</v>
      </c>
      <c r="C43" s="27" t="s">
        <v>1061</v>
      </c>
      <c r="D43" s="27" t="s">
        <v>236</v>
      </c>
      <c r="E43" s="10">
        <v>32</v>
      </c>
      <c r="F43" s="36" t="s">
        <v>263</v>
      </c>
      <c r="G43" s="27" t="s">
        <v>269</v>
      </c>
      <c r="H43" s="27" t="s">
        <v>270</v>
      </c>
      <c r="I43" s="27"/>
      <c r="J43" s="27"/>
      <c r="K43" s="27"/>
      <c r="L43" s="27"/>
      <c r="M43" s="27"/>
      <c r="N43" s="1" t="s">
        <v>264</v>
      </c>
      <c r="O43" s="27"/>
      <c r="P43" s="27"/>
    </row>
    <row r="44" spans="1:16" ht="24" customHeight="1">
      <c r="A44" s="30">
        <v>45559</v>
      </c>
      <c r="B44" s="27" t="s">
        <v>227</v>
      </c>
      <c r="C44" s="27" t="s">
        <v>171</v>
      </c>
      <c r="D44" s="27" t="s">
        <v>4518</v>
      </c>
      <c r="E44" s="10">
        <v>60</v>
      </c>
      <c r="F44" s="36" t="s">
        <v>263</v>
      </c>
      <c r="G44" s="27" t="s">
        <v>274</v>
      </c>
      <c r="H44" s="27" t="s">
        <v>331</v>
      </c>
      <c r="I44" s="27"/>
      <c r="J44" s="27"/>
      <c r="K44" s="27"/>
      <c r="L44" s="27"/>
      <c r="M44" s="27" t="s">
        <v>4374</v>
      </c>
      <c r="N44" s="1" t="s">
        <v>264</v>
      </c>
      <c r="O44" s="27" t="s">
        <v>4519</v>
      </c>
      <c r="P44" s="27" t="s">
        <v>4520</v>
      </c>
    </row>
    <row r="45" spans="1:16" ht="24" customHeight="1">
      <c r="A45" s="30">
        <v>45559</v>
      </c>
      <c r="B45" s="27" t="s">
        <v>227</v>
      </c>
      <c r="C45" s="27" t="s">
        <v>1061</v>
      </c>
      <c r="D45" s="27" t="s">
        <v>327</v>
      </c>
      <c r="E45" s="10">
        <v>30</v>
      </c>
      <c r="F45" s="36" t="s">
        <v>263</v>
      </c>
      <c r="G45" s="27" t="s">
        <v>269</v>
      </c>
      <c r="H45" s="27" t="s">
        <v>270</v>
      </c>
      <c r="I45" s="27" t="s">
        <v>382</v>
      </c>
      <c r="J45" s="27" t="s">
        <v>369</v>
      </c>
      <c r="K45" s="27" t="s">
        <v>369</v>
      </c>
      <c r="L45" s="27"/>
      <c r="M45" s="27" t="s">
        <v>4374</v>
      </c>
      <c r="N45" s="1" t="s">
        <v>264</v>
      </c>
      <c r="O45" s="27" t="s">
        <v>4516</v>
      </c>
      <c r="P45" s="27" t="s">
        <v>4517</v>
      </c>
    </row>
    <row r="46" spans="1:16" ht="24" customHeight="1">
      <c r="A46" s="30">
        <v>45560</v>
      </c>
      <c r="B46" s="27" t="s">
        <v>201</v>
      </c>
      <c r="C46" s="27" t="s">
        <v>171</v>
      </c>
      <c r="D46" s="27" t="s">
        <v>4521</v>
      </c>
      <c r="E46" s="10">
        <v>25</v>
      </c>
      <c r="F46" s="36" t="s">
        <v>263</v>
      </c>
      <c r="G46" s="27" t="s">
        <v>338</v>
      </c>
      <c r="H46" s="27" t="s">
        <v>274</v>
      </c>
      <c r="I46" s="27"/>
      <c r="J46" s="27"/>
      <c r="K46" s="27"/>
      <c r="L46" s="27"/>
      <c r="M46" s="27" t="s">
        <v>3315</v>
      </c>
      <c r="N46" s="1" t="s">
        <v>264</v>
      </c>
      <c r="O46" s="27"/>
      <c r="P46" s="27"/>
    </row>
    <row r="47" spans="1:16" ht="24" customHeight="1">
      <c r="A47" s="30">
        <v>45560</v>
      </c>
      <c r="B47" s="27" t="s">
        <v>201</v>
      </c>
      <c r="C47" s="27" t="s">
        <v>486</v>
      </c>
      <c r="D47" s="27" t="s">
        <v>4522</v>
      </c>
      <c r="E47" s="10" t="s">
        <v>2202</v>
      </c>
      <c r="F47" s="38" t="s">
        <v>294</v>
      </c>
      <c r="G47" s="27" t="s">
        <v>295</v>
      </c>
      <c r="H47" s="27" t="s">
        <v>296</v>
      </c>
      <c r="I47" s="27"/>
      <c r="J47" s="27"/>
      <c r="K47" s="27"/>
      <c r="L47" s="27"/>
      <c r="M47" s="27" t="s">
        <v>3315</v>
      </c>
      <c r="N47" s="1" t="s">
        <v>264</v>
      </c>
      <c r="O47" s="27" t="s">
        <v>4523</v>
      </c>
      <c r="P47" s="27" t="s">
        <v>4524</v>
      </c>
    </row>
    <row r="48" spans="1:16" ht="24" customHeight="1">
      <c r="A48" s="30">
        <v>45560</v>
      </c>
      <c r="B48" s="27" t="s">
        <v>201</v>
      </c>
      <c r="C48" s="27" t="s">
        <v>3459</v>
      </c>
      <c r="D48" s="27"/>
      <c r="E48" s="10"/>
      <c r="F48" s="36" t="s">
        <v>263</v>
      </c>
      <c r="G48" s="27"/>
      <c r="H48" s="27"/>
      <c r="I48" s="27"/>
      <c r="J48" s="27"/>
      <c r="K48" s="27"/>
      <c r="L48" s="27"/>
      <c r="M48" s="27"/>
      <c r="N48" s="1" t="s">
        <v>264</v>
      </c>
      <c r="O48" s="27"/>
      <c r="P48" s="27"/>
    </row>
    <row r="49" spans="1:16" ht="24" customHeight="1">
      <c r="A49" s="30">
        <v>45560</v>
      </c>
      <c r="B49" s="27" t="s">
        <v>201</v>
      </c>
      <c r="C49" s="27" t="s">
        <v>954</v>
      </c>
      <c r="D49" s="27" t="s">
        <v>4525</v>
      </c>
      <c r="E49" s="10">
        <v>40</v>
      </c>
      <c r="F49" s="36" t="s">
        <v>263</v>
      </c>
      <c r="G49" s="27" t="s">
        <v>354</v>
      </c>
      <c r="H49" s="27" t="s">
        <v>309</v>
      </c>
      <c r="I49" s="27"/>
      <c r="J49" s="27"/>
      <c r="K49" s="27"/>
      <c r="L49" s="27"/>
      <c r="M49" s="27" t="s">
        <v>4154</v>
      </c>
      <c r="N49" s="3" t="s">
        <v>312</v>
      </c>
      <c r="O49" s="27" t="s">
        <v>4526</v>
      </c>
      <c r="P49" s="27" t="s">
        <v>4527</v>
      </c>
    </row>
    <row r="50" spans="1:16" ht="24" customHeight="1">
      <c r="A50" s="30">
        <v>45561</v>
      </c>
      <c r="B50" s="27" t="s">
        <v>216</v>
      </c>
      <c r="C50" s="27" t="s">
        <v>171</v>
      </c>
      <c r="D50" s="27" t="s">
        <v>2666</v>
      </c>
      <c r="E50" s="10">
        <v>20</v>
      </c>
      <c r="F50" s="36" t="s">
        <v>263</v>
      </c>
      <c r="G50" s="27" t="s">
        <v>295</v>
      </c>
      <c r="H50" s="27" t="s">
        <v>270</v>
      </c>
      <c r="I50" s="27"/>
      <c r="J50" s="27"/>
      <c r="K50" s="27"/>
      <c r="L50" s="27"/>
      <c r="M50" s="27" t="s">
        <v>4476</v>
      </c>
      <c r="N50" s="1" t="s">
        <v>264</v>
      </c>
      <c r="O50" s="27"/>
      <c r="P50" s="27"/>
    </row>
    <row r="51" spans="1:16" ht="24" customHeight="1">
      <c r="A51" s="30">
        <v>45562</v>
      </c>
      <c r="B51" s="27" t="s">
        <v>220</v>
      </c>
      <c r="C51" s="27" t="s">
        <v>171</v>
      </c>
      <c r="D51" s="27" t="s">
        <v>4528</v>
      </c>
      <c r="E51" s="10">
        <v>60</v>
      </c>
      <c r="F51" s="36" t="s">
        <v>263</v>
      </c>
      <c r="G51" s="27" t="s">
        <v>274</v>
      </c>
      <c r="H51" s="27" t="s">
        <v>330</v>
      </c>
      <c r="I51" s="27"/>
      <c r="J51" s="27"/>
      <c r="K51" s="27"/>
      <c r="L51" s="27"/>
      <c r="M51" s="27" t="s">
        <v>4529</v>
      </c>
      <c r="N51" s="1" t="s">
        <v>264</v>
      </c>
      <c r="O51" s="27"/>
      <c r="P51" s="27"/>
    </row>
    <row r="52" spans="1:16" ht="24" customHeight="1">
      <c r="A52" s="30">
        <v>45562</v>
      </c>
      <c r="B52" s="27" t="s">
        <v>220</v>
      </c>
      <c r="C52" s="27" t="s">
        <v>171</v>
      </c>
      <c r="D52" s="27" t="s">
        <v>4528</v>
      </c>
      <c r="E52" s="10">
        <v>60</v>
      </c>
      <c r="F52" s="36" t="s">
        <v>263</v>
      </c>
      <c r="G52" s="27" t="s">
        <v>295</v>
      </c>
      <c r="H52" s="27" t="s">
        <v>270</v>
      </c>
      <c r="I52" s="27"/>
      <c r="J52" s="27"/>
      <c r="K52" s="27"/>
      <c r="L52" s="27"/>
      <c r="M52" s="27" t="s">
        <v>4529</v>
      </c>
      <c r="N52" s="3" t="s">
        <v>312</v>
      </c>
      <c r="O52" s="27"/>
      <c r="P52" s="27" t="s">
        <v>4491</v>
      </c>
    </row>
    <row r="53" spans="1:16" ht="24" customHeight="1">
      <c r="A53" s="30">
        <v>45563</v>
      </c>
      <c r="B53" s="27" t="s">
        <v>266</v>
      </c>
      <c r="C53" s="27"/>
      <c r="D53" s="27"/>
      <c r="E53" s="10"/>
      <c r="F53" s="36" t="s">
        <v>263</v>
      </c>
      <c r="G53" s="27"/>
      <c r="H53" s="27"/>
      <c r="I53" s="27"/>
      <c r="J53" s="27"/>
      <c r="K53" s="27"/>
      <c r="L53" s="27"/>
      <c r="M53" s="27"/>
      <c r="N53" s="1" t="s">
        <v>264</v>
      </c>
      <c r="O53" s="27"/>
      <c r="P53" s="27"/>
    </row>
    <row r="54" spans="1:16" ht="24" customHeight="1">
      <c r="A54" s="30">
        <v>45564</v>
      </c>
      <c r="B54" s="27" t="s">
        <v>267</v>
      </c>
      <c r="C54" s="27"/>
      <c r="D54" s="27"/>
      <c r="E54" s="10"/>
      <c r="F54" s="36" t="s">
        <v>263</v>
      </c>
      <c r="G54" s="27"/>
      <c r="H54" s="27"/>
      <c r="I54" s="27"/>
      <c r="J54" s="27"/>
      <c r="K54" s="27"/>
      <c r="L54" s="27"/>
      <c r="M54" s="27"/>
      <c r="N54" s="1" t="s">
        <v>264</v>
      </c>
      <c r="O54" s="27"/>
      <c r="P54" s="27"/>
    </row>
    <row r="55" spans="1:16" ht="24" customHeight="1">
      <c r="A55" s="30">
        <v>45565</v>
      </c>
      <c r="B55" s="27" t="s">
        <v>224</v>
      </c>
      <c r="C55" s="27" t="s">
        <v>326</v>
      </c>
      <c r="D55" s="27" t="s">
        <v>236</v>
      </c>
      <c r="E55" s="10">
        <v>30</v>
      </c>
      <c r="F55" s="36" t="s">
        <v>263</v>
      </c>
      <c r="G55" s="27" t="s">
        <v>269</v>
      </c>
      <c r="H55" s="27" t="s">
        <v>270</v>
      </c>
      <c r="I55" s="27"/>
      <c r="J55" s="27"/>
      <c r="K55" s="27"/>
      <c r="L55" s="27"/>
      <c r="M55" s="27" t="s">
        <v>2584</v>
      </c>
      <c r="N55" s="1" t="s">
        <v>264</v>
      </c>
      <c r="O55" s="27"/>
      <c r="P55" s="27" t="s">
        <v>4530</v>
      </c>
    </row>
    <row r="56" spans="1:16" ht="24" customHeight="1">
      <c r="A56" s="30">
        <v>45565</v>
      </c>
      <c r="B56" s="27" t="s">
        <v>224</v>
      </c>
      <c r="C56" s="27" t="s">
        <v>171</v>
      </c>
      <c r="D56" s="27" t="s">
        <v>4531</v>
      </c>
      <c r="E56" s="10">
        <v>65</v>
      </c>
      <c r="F56" s="36" t="s">
        <v>263</v>
      </c>
      <c r="G56" s="27" t="s">
        <v>274</v>
      </c>
      <c r="H56" s="27" t="s">
        <v>429</v>
      </c>
      <c r="I56" s="27" t="s">
        <v>382</v>
      </c>
      <c r="J56" s="27" t="s">
        <v>4532</v>
      </c>
      <c r="K56" s="27"/>
      <c r="L56" s="27"/>
      <c r="M56" s="27" t="s">
        <v>1629</v>
      </c>
      <c r="N56" s="1" t="s">
        <v>264</v>
      </c>
      <c r="O56" s="27" t="s">
        <v>4533</v>
      </c>
      <c r="P56" s="27" t="s">
        <v>4534</v>
      </c>
    </row>
  </sheetData>
  <mergeCells count="3">
    <mergeCell ref="A1:C1"/>
    <mergeCell ref="D1:K1"/>
    <mergeCell ref="L1:P1"/>
  </mergeCells>
  <dataValidations count="2">
    <dataValidation type="list" allowBlank="1" sqref="M3:M106 N3:N56" xr:uid="{00000000-0002-0000-3100-000000000000}">
      <formula1>"Confirmed (Done),Pending Calendar Booking,Canceled"</formula1>
    </dataValidation>
    <dataValidation type="list" allowBlank="1" sqref="F3:F56" xr:uid="{00000000-0002-0000-3100-000001000000}">
      <formula1>"Big Event,Small Event"</formula1>
    </dataValidation>
  </dataValidations>
  <hyperlinks>
    <hyperlink ref="A1" location="'Dashboard'!A1" display="🏠 ⮌ RETURN TO DASHBOARD" xr:uid="{00000000-0004-0000-3100-000000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53"/>
  <sheetViews>
    <sheetView workbookViewId="0">
      <pane ySplit="2" topLeftCell="A3" activePane="bottomLeft" state="frozen"/>
      <selection pane="bottomLeft"/>
    </sheetView>
  </sheetViews>
  <sheetFormatPr defaultRowHeight="14.45"/>
  <cols>
    <col min="1" max="1" width="15" customWidth="1"/>
    <col min="2" max="2" width="12" customWidth="1"/>
    <col min="3" max="3" width="38" customWidth="1"/>
    <col min="4" max="4" width="48" customWidth="1"/>
    <col min="5" max="5" width="32" customWidth="1"/>
    <col min="6" max="6" width="15" customWidth="1"/>
    <col min="7" max="7" width="19" customWidth="1"/>
    <col min="8" max="8" width="17" customWidth="1"/>
    <col min="9" max="9" width="40" customWidth="1"/>
    <col min="10" max="10" width="22" customWidth="1"/>
    <col min="11" max="11" width="48" customWidth="1"/>
    <col min="12" max="12" width="25" customWidth="1"/>
    <col min="13" max="13" width="43" customWidth="1"/>
    <col min="14" max="14" width="25" customWidth="1"/>
    <col min="15" max="16" width="48" customWidth="1"/>
  </cols>
  <sheetData>
    <row r="1" spans="1:16" ht="27.95" customHeight="1">
      <c r="A1" s="62" t="s">
        <v>2138</v>
      </c>
      <c r="B1" s="134"/>
      <c r="C1" s="135"/>
      <c r="D1" s="63" t="s">
        <v>4535</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45566</v>
      </c>
      <c r="B3" s="27" t="s">
        <v>227</v>
      </c>
      <c r="C3" s="27"/>
      <c r="D3" s="27"/>
      <c r="E3" s="10"/>
      <c r="F3" s="36" t="s">
        <v>263</v>
      </c>
      <c r="G3" s="27"/>
      <c r="H3" s="27"/>
      <c r="I3" s="27"/>
      <c r="J3" s="27"/>
      <c r="K3" s="27"/>
      <c r="L3" s="27"/>
      <c r="M3" s="27"/>
      <c r="N3" s="1" t="s">
        <v>264</v>
      </c>
      <c r="O3" s="27"/>
      <c r="P3" s="27"/>
    </row>
    <row r="4" spans="1:16" ht="24" customHeight="1">
      <c r="A4" s="30">
        <v>45567</v>
      </c>
      <c r="B4" s="27" t="s">
        <v>201</v>
      </c>
      <c r="C4" s="27" t="s">
        <v>4536</v>
      </c>
      <c r="D4" s="27" t="s">
        <v>4536</v>
      </c>
      <c r="E4" s="10" t="s">
        <v>4537</v>
      </c>
      <c r="F4" s="36" t="s">
        <v>263</v>
      </c>
      <c r="G4" s="27" t="s">
        <v>4536</v>
      </c>
      <c r="H4" s="27" t="s">
        <v>4536</v>
      </c>
      <c r="I4" s="27" t="s">
        <v>4536</v>
      </c>
      <c r="J4" s="27" t="s">
        <v>4536</v>
      </c>
      <c r="K4" s="27" t="s">
        <v>4536</v>
      </c>
      <c r="L4" s="27"/>
      <c r="M4" s="27" t="s">
        <v>4536</v>
      </c>
      <c r="N4" s="1" t="s">
        <v>264</v>
      </c>
      <c r="O4" s="27" t="s">
        <v>4536</v>
      </c>
      <c r="P4" s="27"/>
    </row>
    <row r="5" spans="1:16" ht="24" customHeight="1">
      <c r="A5" s="30">
        <v>45568</v>
      </c>
      <c r="B5" s="27" t="s">
        <v>216</v>
      </c>
      <c r="C5" s="27" t="s">
        <v>171</v>
      </c>
      <c r="D5" s="27" t="s">
        <v>2666</v>
      </c>
      <c r="E5" s="10">
        <v>20</v>
      </c>
      <c r="F5" s="36" t="s">
        <v>263</v>
      </c>
      <c r="G5" s="27" t="s">
        <v>295</v>
      </c>
      <c r="H5" s="27" t="s">
        <v>270</v>
      </c>
      <c r="I5" s="27"/>
      <c r="J5" s="27"/>
      <c r="K5" s="27"/>
      <c r="L5" s="27"/>
      <c r="M5" s="27" t="s">
        <v>4476</v>
      </c>
      <c r="N5" s="1" t="s">
        <v>264</v>
      </c>
      <c r="O5" s="27"/>
      <c r="P5" s="27"/>
    </row>
    <row r="6" spans="1:16" ht="24" customHeight="1">
      <c r="A6" s="30">
        <v>45568</v>
      </c>
      <c r="B6" s="27" t="s">
        <v>216</v>
      </c>
      <c r="C6" s="27" t="s">
        <v>171</v>
      </c>
      <c r="D6" s="27" t="s">
        <v>4538</v>
      </c>
      <c r="E6" s="10">
        <v>40</v>
      </c>
      <c r="F6" s="36" t="s">
        <v>263</v>
      </c>
      <c r="G6" s="27" t="s">
        <v>315</v>
      </c>
      <c r="H6" s="27" t="s">
        <v>506</v>
      </c>
      <c r="I6" s="27"/>
      <c r="J6" s="27"/>
      <c r="K6" s="27" t="s">
        <v>4539</v>
      </c>
      <c r="L6" s="27"/>
      <c r="M6" s="30">
        <v>45540</v>
      </c>
      <c r="N6" s="1" t="s">
        <v>264</v>
      </c>
      <c r="O6" s="27"/>
      <c r="P6" s="27"/>
    </row>
    <row r="7" spans="1:16" ht="24" customHeight="1">
      <c r="A7" s="30">
        <v>45569</v>
      </c>
      <c r="B7" s="27" t="s">
        <v>220</v>
      </c>
      <c r="C7" s="27" t="s">
        <v>171</v>
      </c>
      <c r="D7" s="27" t="s">
        <v>4540</v>
      </c>
      <c r="E7" s="10">
        <v>45</v>
      </c>
      <c r="F7" s="36" t="s">
        <v>263</v>
      </c>
      <c r="G7" s="27" t="s">
        <v>274</v>
      </c>
      <c r="H7" s="27" t="s">
        <v>330</v>
      </c>
      <c r="I7" s="27"/>
      <c r="J7" s="27"/>
      <c r="K7" s="27" t="s">
        <v>4325</v>
      </c>
      <c r="L7" s="27"/>
      <c r="M7" s="30" t="s">
        <v>4541</v>
      </c>
      <c r="N7" s="3" t="s">
        <v>312</v>
      </c>
      <c r="O7" s="27" t="s">
        <v>3041</v>
      </c>
      <c r="P7" s="27"/>
    </row>
    <row r="8" spans="1:16" ht="24" customHeight="1">
      <c r="A8" s="30">
        <v>45569</v>
      </c>
      <c r="B8" s="27" t="s">
        <v>220</v>
      </c>
      <c r="C8" s="27" t="s">
        <v>171</v>
      </c>
      <c r="D8" s="27" t="s">
        <v>4540</v>
      </c>
      <c r="E8" s="10">
        <v>45</v>
      </c>
      <c r="F8" s="36" t="s">
        <v>263</v>
      </c>
      <c r="G8" s="27" t="s">
        <v>295</v>
      </c>
      <c r="H8" s="27" t="s">
        <v>296</v>
      </c>
      <c r="I8" s="27"/>
      <c r="J8" s="27"/>
      <c r="K8" s="27" t="s">
        <v>4325</v>
      </c>
      <c r="L8" s="27"/>
      <c r="M8" s="30" t="s">
        <v>4541</v>
      </c>
      <c r="N8" s="3" t="s">
        <v>312</v>
      </c>
      <c r="O8" s="27" t="s">
        <v>3041</v>
      </c>
      <c r="P8" s="27"/>
    </row>
    <row r="9" spans="1:16" ht="24" customHeight="1">
      <c r="A9" s="30">
        <v>45570</v>
      </c>
      <c r="B9" s="27" t="s">
        <v>266</v>
      </c>
      <c r="C9" s="27"/>
      <c r="D9" s="27"/>
      <c r="E9" s="10"/>
      <c r="F9" s="36" t="s">
        <v>263</v>
      </c>
      <c r="G9" s="27"/>
      <c r="H9" s="27"/>
      <c r="I9" s="27"/>
      <c r="J9" s="27"/>
      <c r="K9" s="27"/>
      <c r="L9" s="27"/>
      <c r="M9" s="27"/>
      <c r="N9" s="1" t="s">
        <v>264</v>
      </c>
      <c r="O9" s="27"/>
      <c r="P9" s="27"/>
    </row>
    <row r="10" spans="1:16" ht="24" customHeight="1">
      <c r="A10" s="30">
        <v>45571</v>
      </c>
      <c r="B10" s="27" t="s">
        <v>267</v>
      </c>
      <c r="C10" s="27"/>
      <c r="D10" s="27"/>
      <c r="E10" s="10"/>
      <c r="F10" s="36" t="s">
        <v>263</v>
      </c>
      <c r="G10" s="27"/>
      <c r="H10" s="27"/>
      <c r="I10" s="27"/>
      <c r="J10" s="27"/>
      <c r="K10" s="27"/>
      <c r="L10" s="27"/>
      <c r="M10" s="27"/>
      <c r="N10" s="1" t="s">
        <v>264</v>
      </c>
      <c r="O10" s="27"/>
      <c r="P10" s="27"/>
    </row>
    <row r="11" spans="1:16" ht="24" customHeight="1">
      <c r="A11" s="30">
        <v>45572</v>
      </c>
      <c r="B11" s="27" t="s">
        <v>224</v>
      </c>
      <c r="C11" s="27" t="s">
        <v>326</v>
      </c>
      <c r="D11" s="27" t="s">
        <v>236</v>
      </c>
      <c r="E11" s="10">
        <v>27</v>
      </c>
      <c r="F11" s="36" t="s">
        <v>263</v>
      </c>
      <c r="G11" s="27" t="s">
        <v>269</v>
      </c>
      <c r="H11" s="27" t="s">
        <v>270</v>
      </c>
      <c r="I11" s="27" t="s">
        <v>369</v>
      </c>
      <c r="J11" s="27" t="s">
        <v>369</v>
      </c>
      <c r="K11" s="27" t="s">
        <v>2584</v>
      </c>
      <c r="L11" s="27"/>
      <c r="M11" s="27"/>
      <c r="N11" s="1" t="s">
        <v>264</v>
      </c>
      <c r="O11" s="27" t="s">
        <v>321</v>
      </c>
      <c r="P11" s="27"/>
    </row>
    <row r="12" spans="1:16" ht="24" customHeight="1">
      <c r="A12" s="30">
        <v>45573</v>
      </c>
      <c r="B12" s="27" t="s">
        <v>227</v>
      </c>
      <c r="C12" s="27" t="s">
        <v>239</v>
      </c>
      <c r="D12" s="27" t="s">
        <v>1589</v>
      </c>
      <c r="E12" s="10">
        <v>100</v>
      </c>
      <c r="F12" s="38" t="s">
        <v>294</v>
      </c>
      <c r="G12" s="27" t="s">
        <v>295</v>
      </c>
      <c r="H12" s="27" t="s">
        <v>296</v>
      </c>
      <c r="I12" s="27" t="s">
        <v>369</v>
      </c>
      <c r="J12" s="27" t="s">
        <v>369</v>
      </c>
      <c r="K12" s="27" t="s">
        <v>367</v>
      </c>
      <c r="L12" s="27"/>
      <c r="M12" s="30" t="s">
        <v>4541</v>
      </c>
      <c r="N12" s="1" t="s">
        <v>264</v>
      </c>
      <c r="O12" s="27" t="s">
        <v>4382</v>
      </c>
      <c r="P12" s="27"/>
    </row>
    <row r="13" spans="1:16" ht="24" customHeight="1">
      <c r="A13" s="30">
        <v>45573</v>
      </c>
      <c r="B13" s="27" t="s">
        <v>227</v>
      </c>
      <c r="C13" s="27" t="s">
        <v>171</v>
      </c>
      <c r="D13" s="27" t="s">
        <v>4542</v>
      </c>
      <c r="E13" s="10"/>
      <c r="F13" s="36" t="s">
        <v>263</v>
      </c>
      <c r="G13" s="27" t="s">
        <v>338</v>
      </c>
      <c r="H13" s="27" t="s">
        <v>330</v>
      </c>
      <c r="I13" s="27"/>
      <c r="J13" s="27"/>
      <c r="K13" s="27" t="s">
        <v>351</v>
      </c>
      <c r="L13" s="27"/>
      <c r="M13" s="30" t="s">
        <v>4543</v>
      </c>
      <c r="N13" s="3" t="s">
        <v>312</v>
      </c>
      <c r="O13" s="27" t="s">
        <v>4544</v>
      </c>
      <c r="P13" s="27" t="s">
        <v>4545</v>
      </c>
    </row>
    <row r="14" spans="1:16" ht="24" customHeight="1">
      <c r="A14" s="30">
        <v>45573</v>
      </c>
      <c r="B14" s="27" t="s">
        <v>227</v>
      </c>
      <c r="C14" s="27" t="s">
        <v>171</v>
      </c>
      <c r="D14" s="27" t="s">
        <v>2601</v>
      </c>
      <c r="E14" s="10"/>
      <c r="F14" s="36" t="s">
        <v>263</v>
      </c>
      <c r="G14" s="27" t="s">
        <v>295</v>
      </c>
      <c r="H14" s="27" t="s">
        <v>270</v>
      </c>
      <c r="I14" s="27" t="s">
        <v>610</v>
      </c>
      <c r="J14" s="27" t="s">
        <v>369</v>
      </c>
      <c r="K14" s="27" t="s">
        <v>4546</v>
      </c>
      <c r="L14" s="27"/>
      <c r="M14" s="30" t="s">
        <v>4547</v>
      </c>
      <c r="N14" s="3" t="s">
        <v>312</v>
      </c>
      <c r="O14" s="27" t="s">
        <v>4382</v>
      </c>
      <c r="P14" s="27" t="s">
        <v>4548</v>
      </c>
    </row>
    <row r="15" spans="1:16" ht="24" customHeight="1">
      <c r="A15" s="30">
        <v>45574</v>
      </c>
      <c r="B15" s="27" t="s">
        <v>201</v>
      </c>
      <c r="C15" s="27" t="s">
        <v>4549</v>
      </c>
      <c r="D15" s="27" t="s">
        <v>4550</v>
      </c>
      <c r="E15" s="10" t="s">
        <v>4551</v>
      </c>
      <c r="F15" s="36" t="s">
        <v>263</v>
      </c>
      <c r="G15" s="27"/>
      <c r="H15" s="27"/>
      <c r="I15" s="27"/>
      <c r="J15" s="27"/>
      <c r="K15" s="27" t="s">
        <v>4552</v>
      </c>
      <c r="L15" s="27"/>
      <c r="M15" s="27"/>
      <c r="N15" s="1" t="s">
        <v>264</v>
      </c>
      <c r="O15" s="27" t="s">
        <v>4553</v>
      </c>
      <c r="P15" s="27"/>
    </row>
    <row r="16" spans="1:16" ht="24" customHeight="1">
      <c r="A16" s="30">
        <v>45574</v>
      </c>
      <c r="B16" s="27" t="s">
        <v>201</v>
      </c>
      <c r="C16" s="27" t="s">
        <v>239</v>
      </c>
      <c r="D16" s="27" t="s">
        <v>4554</v>
      </c>
      <c r="E16" s="10"/>
      <c r="F16" s="36" t="s">
        <v>263</v>
      </c>
      <c r="G16" s="27" t="s">
        <v>315</v>
      </c>
      <c r="H16" s="27" t="s">
        <v>506</v>
      </c>
      <c r="I16" s="27" t="s">
        <v>369</v>
      </c>
      <c r="J16" s="27" t="s">
        <v>369</v>
      </c>
      <c r="K16" s="27" t="s">
        <v>583</v>
      </c>
      <c r="L16" s="27"/>
      <c r="M16" s="30" t="s">
        <v>4555</v>
      </c>
      <c r="N16" s="1" t="s">
        <v>264</v>
      </c>
      <c r="O16" s="27" t="s">
        <v>4556</v>
      </c>
      <c r="P16" s="27"/>
    </row>
    <row r="17" spans="1:16" ht="24" customHeight="1">
      <c r="A17" s="30">
        <v>45574</v>
      </c>
      <c r="B17" s="27" t="s">
        <v>201</v>
      </c>
      <c r="C17" s="27" t="s">
        <v>171</v>
      </c>
      <c r="D17" s="27" t="s">
        <v>4557</v>
      </c>
      <c r="E17" s="10"/>
      <c r="F17" s="36" t="s">
        <v>263</v>
      </c>
      <c r="G17" s="27" t="s">
        <v>295</v>
      </c>
      <c r="H17" s="27" t="s">
        <v>290</v>
      </c>
      <c r="I17" s="27"/>
      <c r="J17" s="27"/>
      <c r="K17" s="27" t="s">
        <v>778</v>
      </c>
      <c r="L17" s="27"/>
      <c r="M17" s="27"/>
      <c r="N17" s="3" t="s">
        <v>312</v>
      </c>
      <c r="O17" s="27" t="s">
        <v>4558</v>
      </c>
      <c r="P17" s="27" t="s">
        <v>4559</v>
      </c>
    </row>
    <row r="18" spans="1:16" ht="24" customHeight="1">
      <c r="A18" s="30">
        <v>45575</v>
      </c>
      <c r="B18" s="27" t="s">
        <v>216</v>
      </c>
      <c r="C18" s="27" t="s">
        <v>171</v>
      </c>
      <c r="D18" s="27" t="s">
        <v>2666</v>
      </c>
      <c r="E18" s="10">
        <v>40</v>
      </c>
      <c r="F18" s="36" t="s">
        <v>263</v>
      </c>
      <c r="G18" s="27" t="s">
        <v>295</v>
      </c>
      <c r="H18" s="27" t="s">
        <v>270</v>
      </c>
      <c r="I18" s="27" t="s">
        <v>369</v>
      </c>
      <c r="J18" s="27" t="s">
        <v>369</v>
      </c>
      <c r="K18" s="27" t="s">
        <v>2668</v>
      </c>
      <c r="L18" s="27"/>
      <c r="M18" s="30" t="s">
        <v>4560</v>
      </c>
      <c r="N18" s="1" t="s">
        <v>264</v>
      </c>
      <c r="O18" s="27" t="s">
        <v>4561</v>
      </c>
      <c r="P18" s="27"/>
    </row>
    <row r="19" spans="1:16" ht="24" customHeight="1">
      <c r="A19" s="30">
        <v>45575</v>
      </c>
      <c r="B19" s="27" t="s">
        <v>216</v>
      </c>
      <c r="C19" s="27" t="s">
        <v>2774</v>
      </c>
      <c r="D19" s="27" t="s">
        <v>4562</v>
      </c>
      <c r="E19" s="10">
        <v>1</v>
      </c>
      <c r="F19" s="36" t="s">
        <v>263</v>
      </c>
      <c r="G19" s="27" t="s">
        <v>269</v>
      </c>
      <c r="H19" s="27" t="s">
        <v>270</v>
      </c>
      <c r="I19" s="27" t="s">
        <v>369</v>
      </c>
      <c r="J19" s="27" t="s">
        <v>369</v>
      </c>
      <c r="K19" s="27" t="s">
        <v>4563</v>
      </c>
      <c r="L19" s="27"/>
      <c r="M19" s="27"/>
      <c r="N19" s="1" t="s">
        <v>264</v>
      </c>
      <c r="O19" s="27" t="s">
        <v>4564</v>
      </c>
      <c r="P19" s="27"/>
    </row>
    <row r="20" spans="1:16" ht="24" customHeight="1">
      <c r="A20" s="30">
        <v>45575</v>
      </c>
      <c r="B20" s="27" t="s">
        <v>216</v>
      </c>
      <c r="C20" s="27" t="s">
        <v>171</v>
      </c>
      <c r="D20" s="27" t="s">
        <v>4565</v>
      </c>
      <c r="E20" s="10"/>
      <c r="F20" s="36" t="s">
        <v>263</v>
      </c>
      <c r="G20" s="27" t="s">
        <v>281</v>
      </c>
      <c r="H20" s="27" t="s">
        <v>506</v>
      </c>
      <c r="I20" s="27"/>
      <c r="J20" s="27"/>
      <c r="K20" s="27" t="s">
        <v>583</v>
      </c>
      <c r="L20" s="27"/>
      <c r="M20" s="30" t="s">
        <v>4479</v>
      </c>
      <c r="N20" s="1" t="s">
        <v>264</v>
      </c>
      <c r="O20" s="27" t="s">
        <v>4566</v>
      </c>
      <c r="P20" s="27"/>
    </row>
    <row r="21" spans="1:16" ht="24" customHeight="1">
      <c r="A21" s="30">
        <v>45576</v>
      </c>
      <c r="B21" s="27" t="s">
        <v>220</v>
      </c>
      <c r="C21" s="27" t="s">
        <v>171</v>
      </c>
      <c r="D21" s="27" t="s">
        <v>4567</v>
      </c>
      <c r="E21" s="10">
        <v>40</v>
      </c>
      <c r="F21" s="36" t="s">
        <v>263</v>
      </c>
      <c r="G21" s="27" t="s">
        <v>309</v>
      </c>
      <c r="H21" s="27" t="s">
        <v>296</v>
      </c>
      <c r="I21" s="27"/>
      <c r="J21" s="27"/>
      <c r="K21" s="27" t="s">
        <v>4568</v>
      </c>
      <c r="L21" s="27"/>
      <c r="M21" s="30" t="s">
        <v>4569</v>
      </c>
      <c r="N21" s="1" t="s">
        <v>264</v>
      </c>
      <c r="O21" s="27" t="s">
        <v>4570</v>
      </c>
      <c r="P21" s="27"/>
    </row>
    <row r="22" spans="1:16" ht="24" customHeight="1">
      <c r="A22" s="30">
        <v>45577</v>
      </c>
      <c r="B22" s="27" t="s">
        <v>266</v>
      </c>
      <c r="C22" s="27"/>
      <c r="D22" s="27"/>
      <c r="E22" s="10"/>
      <c r="F22" s="36" t="s">
        <v>263</v>
      </c>
      <c r="G22" s="27"/>
      <c r="H22" s="27"/>
      <c r="I22" s="27"/>
      <c r="J22" s="27"/>
      <c r="K22" s="27"/>
      <c r="L22" s="27"/>
      <c r="M22" s="27"/>
      <c r="N22" s="1" t="s">
        <v>264</v>
      </c>
      <c r="O22" s="27"/>
      <c r="P22" s="27"/>
    </row>
    <row r="23" spans="1:16" ht="24" customHeight="1">
      <c r="A23" s="30">
        <v>45578</v>
      </c>
      <c r="B23" s="27" t="s">
        <v>267</v>
      </c>
      <c r="C23" s="27"/>
      <c r="D23" s="27"/>
      <c r="E23" s="10"/>
      <c r="F23" s="36" t="s">
        <v>263</v>
      </c>
      <c r="G23" s="27"/>
      <c r="H23" s="27"/>
      <c r="I23" s="27"/>
      <c r="J23" s="27"/>
      <c r="K23" s="27"/>
      <c r="L23" s="27"/>
      <c r="M23" s="27"/>
      <c r="N23" s="1" t="s">
        <v>264</v>
      </c>
      <c r="O23" s="27"/>
      <c r="P23" s="27"/>
    </row>
    <row r="24" spans="1:16" ht="24" customHeight="1">
      <c r="A24" s="30">
        <v>45579</v>
      </c>
      <c r="B24" s="27" t="s">
        <v>224</v>
      </c>
      <c r="C24" s="27" t="s">
        <v>326</v>
      </c>
      <c r="D24" s="27" t="s">
        <v>236</v>
      </c>
      <c r="E24" s="10">
        <v>33</v>
      </c>
      <c r="F24" s="36" t="s">
        <v>263</v>
      </c>
      <c r="G24" s="27" t="s">
        <v>269</v>
      </c>
      <c r="H24" s="27" t="s">
        <v>270</v>
      </c>
      <c r="I24" s="27"/>
      <c r="J24" s="27"/>
      <c r="K24" s="27" t="s">
        <v>2584</v>
      </c>
      <c r="L24" s="27"/>
      <c r="M24" s="27"/>
      <c r="N24" s="1" t="s">
        <v>264</v>
      </c>
      <c r="O24" s="27" t="s">
        <v>4571</v>
      </c>
      <c r="P24" s="27"/>
    </row>
    <row r="25" spans="1:16" ht="24" customHeight="1">
      <c r="A25" s="30">
        <v>45579</v>
      </c>
      <c r="B25" s="27" t="s">
        <v>224</v>
      </c>
      <c r="C25" s="27" t="s">
        <v>171</v>
      </c>
      <c r="D25" s="27" t="s">
        <v>4572</v>
      </c>
      <c r="E25" s="10"/>
      <c r="F25" s="36" t="s">
        <v>263</v>
      </c>
      <c r="G25" s="27" t="s">
        <v>448</v>
      </c>
      <c r="H25" s="27" t="s">
        <v>290</v>
      </c>
      <c r="I25" s="27"/>
      <c r="J25" s="27"/>
      <c r="K25" s="27" t="s">
        <v>4573</v>
      </c>
      <c r="L25" s="27"/>
      <c r="M25" s="27"/>
      <c r="N25" s="1" t="s">
        <v>264</v>
      </c>
      <c r="O25" s="27"/>
      <c r="P25" s="27"/>
    </row>
    <row r="26" spans="1:16" ht="24" customHeight="1">
      <c r="A26" s="30">
        <v>45580</v>
      </c>
      <c r="B26" s="27" t="s">
        <v>227</v>
      </c>
      <c r="C26" s="27" t="s">
        <v>2774</v>
      </c>
      <c r="D26" s="27" t="s">
        <v>4574</v>
      </c>
      <c r="E26" s="10"/>
      <c r="F26" s="36" t="s">
        <v>263</v>
      </c>
      <c r="G26" s="27" t="s">
        <v>269</v>
      </c>
      <c r="H26" s="27" t="s">
        <v>270</v>
      </c>
      <c r="I26" s="27"/>
      <c r="J26" s="27"/>
      <c r="K26" s="27" t="s">
        <v>4563</v>
      </c>
      <c r="L26" s="27"/>
      <c r="M26" s="27"/>
      <c r="N26" s="1" t="s">
        <v>264</v>
      </c>
      <c r="O26" s="27" t="s">
        <v>4575</v>
      </c>
      <c r="P26" s="27"/>
    </row>
    <row r="27" spans="1:16" ht="24" customHeight="1">
      <c r="A27" s="30">
        <v>45580</v>
      </c>
      <c r="B27" s="27" t="s">
        <v>227</v>
      </c>
      <c r="C27" s="27" t="s">
        <v>171</v>
      </c>
      <c r="D27" s="27" t="s">
        <v>2601</v>
      </c>
      <c r="E27" s="10">
        <v>45</v>
      </c>
      <c r="F27" s="36" t="s">
        <v>263</v>
      </c>
      <c r="G27" s="27" t="s">
        <v>295</v>
      </c>
      <c r="H27" s="27" t="s">
        <v>270</v>
      </c>
      <c r="I27" s="27" t="s">
        <v>610</v>
      </c>
      <c r="J27" s="27" t="s">
        <v>369</v>
      </c>
      <c r="K27" s="27" t="s">
        <v>4546</v>
      </c>
      <c r="L27" s="27"/>
      <c r="M27" s="30" t="s">
        <v>4547</v>
      </c>
      <c r="N27" s="1" t="s">
        <v>264</v>
      </c>
      <c r="O27" s="27" t="s">
        <v>4382</v>
      </c>
      <c r="P27" s="27"/>
    </row>
    <row r="28" spans="1:16" ht="24" customHeight="1">
      <c r="A28" s="30">
        <v>45581</v>
      </c>
      <c r="B28" s="27" t="s">
        <v>201</v>
      </c>
      <c r="C28" s="27" t="s">
        <v>3104</v>
      </c>
      <c r="D28" s="27" t="s">
        <v>4576</v>
      </c>
      <c r="E28" s="10">
        <v>55</v>
      </c>
      <c r="F28" s="36" t="s">
        <v>263</v>
      </c>
      <c r="G28" s="27" t="s">
        <v>295</v>
      </c>
      <c r="H28" s="27" t="s">
        <v>296</v>
      </c>
      <c r="I28" s="27"/>
      <c r="J28" s="27"/>
      <c r="K28" s="27" t="s">
        <v>4154</v>
      </c>
      <c r="L28" s="27"/>
      <c r="M28" s="30">
        <v>45554</v>
      </c>
      <c r="N28" s="1" t="s">
        <v>264</v>
      </c>
      <c r="O28" s="27" t="s">
        <v>4577</v>
      </c>
      <c r="P28" s="27"/>
    </row>
    <row r="29" spans="1:16" ht="24" customHeight="1">
      <c r="A29" s="30">
        <v>45582</v>
      </c>
      <c r="B29" s="27" t="s">
        <v>216</v>
      </c>
      <c r="C29" s="27" t="s">
        <v>3104</v>
      </c>
      <c r="D29" s="27" t="s">
        <v>4578</v>
      </c>
      <c r="E29" s="10">
        <v>25</v>
      </c>
      <c r="F29" s="36" t="s">
        <v>263</v>
      </c>
      <c r="G29" s="27" t="s">
        <v>550</v>
      </c>
      <c r="H29" s="27" t="s">
        <v>429</v>
      </c>
      <c r="I29" s="27" t="s">
        <v>4579</v>
      </c>
      <c r="J29" s="27"/>
      <c r="K29" s="27" t="s">
        <v>4580</v>
      </c>
      <c r="L29" s="27"/>
      <c r="M29" s="30" t="s">
        <v>4581</v>
      </c>
      <c r="N29" s="1" t="s">
        <v>264</v>
      </c>
      <c r="O29" s="27" t="s">
        <v>321</v>
      </c>
      <c r="P29" s="27"/>
    </row>
    <row r="30" spans="1:16" ht="24" customHeight="1">
      <c r="A30" s="30">
        <v>45582</v>
      </c>
      <c r="B30" s="27" t="s">
        <v>216</v>
      </c>
      <c r="C30" s="27" t="s">
        <v>235</v>
      </c>
      <c r="D30" s="27" t="s">
        <v>4582</v>
      </c>
      <c r="E30" s="10">
        <v>35</v>
      </c>
      <c r="F30" s="36" t="s">
        <v>263</v>
      </c>
      <c r="G30" s="27" t="s">
        <v>331</v>
      </c>
      <c r="H30" s="27" t="s">
        <v>275</v>
      </c>
      <c r="I30" s="27"/>
      <c r="J30" s="27"/>
      <c r="K30" s="27" t="s">
        <v>688</v>
      </c>
      <c r="L30" s="27"/>
      <c r="M30" s="30" t="s">
        <v>4581</v>
      </c>
      <c r="N30" s="1" t="s">
        <v>264</v>
      </c>
      <c r="O30" s="27" t="s">
        <v>321</v>
      </c>
      <c r="P30" s="27"/>
    </row>
    <row r="31" spans="1:16" ht="24" customHeight="1">
      <c r="A31" s="30">
        <v>45582</v>
      </c>
      <c r="B31" s="27" t="s">
        <v>216</v>
      </c>
      <c r="C31" s="27" t="s">
        <v>171</v>
      </c>
      <c r="D31" s="27" t="s">
        <v>4583</v>
      </c>
      <c r="E31" s="10">
        <v>40</v>
      </c>
      <c r="F31" s="36" t="s">
        <v>263</v>
      </c>
      <c r="G31" s="27" t="s">
        <v>295</v>
      </c>
      <c r="H31" s="27" t="s">
        <v>270</v>
      </c>
      <c r="I31" s="27"/>
      <c r="J31" s="27"/>
      <c r="K31" s="27" t="s">
        <v>2668</v>
      </c>
      <c r="L31" s="27"/>
      <c r="M31" s="30" t="s">
        <v>4560</v>
      </c>
      <c r="N31" s="3" t="s">
        <v>312</v>
      </c>
      <c r="O31" s="27" t="s">
        <v>4561</v>
      </c>
      <c r="P31" s="27"/>
    </row>
    <row r="32" spans="1:16" ht="24" customHeight="1">
      <c r="A32" s="30">
        <v>45582</v>
      </c>
      <c r="B32" s="27" t="s">
        <v>216</v>
      </c>
      <c r="C32" s="27" t="s">
        <v>171</v>
      </c>
      <c r="D32" s="27" t="s">
        <v>4584</v>
      </c>
      <c r="E32" s="10"/>
      <c r="F32" s="36" t="s">
        <v>263</v>
      </c>
      <c r="G32" s="27" t="s">
        <v>289</v>
      </c>
      <c r="H32" s="27" t="s">
        <v>290</v>
      </c>
      <c r="I32" s="27" t="s">
        <v>4585</v>
      </c>
      <c r="J32" s="27"/>
      <c r="K32" s="27" t="s">
        <v>4586</v>
      </c>
      <c r="L32" s="27"/>
      <c r="M32" s="30" t="s">
        <v>4587</v>
      </c>
      <c r="N32" s="1" t="s">
        <v>264</v>
      </c>
      <c r="O32" s="27" t="s">
        <v>321</v>
      </c>
      <c r="P32" s="27"/>
    </row>
    <row r="33" spans="1:16" ht="24" customHeight="1">
      <c r="A33" s="30">
        <v>45583</v>
      </c>
      <c r="B33" s="27" t="s">
        <v>220</v>
      </c>
      <c r="C33" s="27" t="s">
        <v>171</v>
      </c>
      <c r="D33" s="27" t="s">
        <v>4588</v>
      </c>
      <c r="E33" s="10">
        <v>50</v>
      </c>
      <c r="F33" s="36" t="s">
        <v>263</v>
      </c>
      <c r="G33" s="27" t="s">
        <v>315</v>
      </c>
      <c r="H33" s="27" t="s">
        <v>506</v>
      </c>
      <c r="I33" s="27"/>
      <c r="J33" s="27"/>
      <c r="K33" s="27" t="s">
        <v>4589</v>
      </c>
      <c r="L33" s="27"/>
      <c r="M33" s="30" t="s">
        <v>4590</v>
      </c>
      <c r="N33" s="1" t="s">
        <v>264</v>
      </c>
      <c r="O33" s="27" t="s">
        <v>500</v>
      </c>
      <c r="P33" s="27"/>
    </row>
    <row r="34" spans="1:16" ht="24" customHeight="1">
      <c r="A34" s="30">
        <v>45583</v>
      </c>
      <c r="B34" s="27" t="s">
        <v>220</v>
      </c>
      <c r="C34" s="27" t="s">
        <v>171</v>
      </c>
      <c r="D34" s="27" t="s">
        <v>4591</v>
      </c>
      <c r="E34" s="10">
        <v>50</v>
      </c>
      <c r="F34" s="36" t="s">
        <v>263</v>
      </c>
      <c r="G34" s="27" t="s">
        <v>295</v>
      </c>
      <c r="H34" s="27" t="s">
        <v>296</v>
      </c>
      <c r="I34" s="27"/>
      <c r="J34" s="27"/>
      <c r="K34" s="27" t="s">
        <v>4592</v>
      </c>
      <c r="L34" s="27"/>
      <c r="M34" s="30" t="s">
        <v>4569</v>
      </c>
      <c r="N34" s="1" t="s">
        <v>264</v>
      </c>
      <c r="O34" s="27" t="s">
        <v>4593</v>
      </c>
      <c r="P34" s="27"/>
    </row>
    <row r="35" spans="1:16" ht="24" customHeight="1">
      <c r="A35" s="30">
        <v>45584</v>
      </c>
      <c r="B35" s="27" t="s">
        <v>266</v>
      </c>
      <c r="C35" s="27"/>
      <c r="D35" s="27"/>
      <c r="E35" s="10"/>
      <c r="F35" s="36" t="s">
        <v>263</v>
      </c>
      <c r="G35" s="27"/>
      <c r="H35" s="27"/>
      <c r="I35" s="27"/>
      <c r="J35" s="27"/>
      <c r="K35" s="27"/>
      <c r="L35" s="27"/>
      <c r="M35" s="27"/>
      <c r="N35" s="1" t="s">
        <v>264</v>
      </c>
      <c r="O35" s="27"/>
      <c r="P35" s="27"/>
    </row>
    <row r="36" spans="1:16" ht="24" customHeight="1">
      <c r="A36" s="30">
        <v>45585</v>
      </c>
      <c r="B36" s="27" t="s">
        <v>267</v>
      </c>
      <c r="C36" s="27"/>
      <c r="D36" s="27"/>
      <c r="E36" s="10"/>
      <c r="F36" s="36" t="s">
        <v>263</v>
      </c>
      <c r="G36" s="27"/>
      <c r="H36" s="27"/>
      <c r="I36" s="27"/>
      <c r="J36" s="27"/>
      <c r="K36" s="27"/>
      <c r="L36" s="27"/>
      <c r="M36" s="27"/>
      <c r="N36" s="1" t="s">
        <v>264</v>
      </c>
      <c r="O36" s="27"/>
      <c r="P36" s="27"/>
    </row>
    <row r="37" spans="1:16" ht="24" customHeight="1">
      <c r="A37" s="30">
        <v>45586</v>
      </c>
      <c r="B37" s="27" t="s">
        <v>224</v>
      </c>
      <c r="C37" s="27" t="s">
        <v>4594</v>
      </c>
      <c r="D37" s="27" t="s">
        <v>236</v>
      </c>
      <c r="E37" s="10">
        <v>26</v>
      </c>
      <c r="F37" s="36" t="s">
        <v>263</v>
      </c>
      <c r="G37" s="27" t="s">
        <v>269</v>
      </c>
      <c r="H37" s="27" t="s">
        <v>270</v>
      </c>
      <c r="I37" s="27"/>
      <c r="J37" s="27"/>
      <c r="K37" s="27" t="s">
        <v>2584</v>
      </c>
      <c r="L37" s="27"/>
      <c r="M37" s="27"/>
      <c r="N37" s="1" t="s">
        <v>264</v>
      </c>
      <c r="O37" s="27" t="s">
        <v>4595</v>
      </c>
      <c r="P37" s="27"/>
    </row>
    <row r="38" spans="1:16" ht="24" customHeight="1">
      <c r="A38" s="30">
        <v>45587</v>
      </c>
      <c r="B38" s="27" t="s">
        <v>227</v>
      </c>
      <c r="C38" s="27" t="s">
        <v>171</v>
      </c>
      <c r="D38" s="27" t="s">
        <v>4596</v>
      </c>
      <c r="E38" s="10">
        <v>20</v>
      </c>
      <c r="F38" s="36" t="s">
        <v>263</v>
      </c>
      <c r="G38" s="27" t="s">
        <v>506</v>
      </c>
      <c r="H38" s="27" t="s">
        <v>429</v>
      </c>
      <c r="I38" s="27" t="s">
        <v>369</v>
      </c>
      <c r="J38" s="27" t="s">
        <v>369</v>
      </c>
      <c r="K38" s="27" t="s">
        <v>3795</v>
      </c>
      <c r="L38" s="27"/>
      <c r="M38" s="30" t="s">
        <v>4590</v>
      </c>
      <c r="N38" s="3" t="s">
        <v>312</v>
      </c>
      <c r="O38" s="27" t="s">
        <v>298</v>
      </c>
      <c r="P38" s="27"/>
    </row>
    <row r="39" spans="1:16" ht="24" customHeight="1">
      <c r="A39" s="30">
        <v>45587</v>
      </c>
      <c r="B39" s="27" t="s">
        <v>227</v>
      </c>
      <c r="C39" s="27" t="s">
        <v>171</v>
      </c>
      <c r="D39" s="27" t="s">
        <v>4597</v>
      </c>
      <c r="E39" s="10">
        <v>45</v>
      </c>
      <c r="F39" s="36" t="s">
        <v>263</v>
      </c>
      <c r="G39" s="27" t="s">
        <v>315</v>
      </c>
      <c r="H39" s="27" t="s">
        <v>506</v>
      </c>
      <c r="I39" s="27" t="s">
        <v>369</v>
      </c>
      <c r="J39" s="27" t="s">
        <v>369</v>
      </c>
      <c r="K39" s="27" t="s">
        <v>4598</v>
      </c>
      <c r="L39" s="27"/>
      <c r="M39" s="30" t="s">
        <v>4479</v>
      </c>
      <c r="N39" s="1" t="s">
        <v>264</v>
      </c>
      <c r="O39" s="27"/>
      <c r="P39" s="27"/>
    </row>
    <row r="40" spans="1:16" ht="24" customHeight="1">
      <c r="A40" s="30">
        <v>45588</v>
      </c>
      <c r="B40" s="27" t="s">
        <v>201</v>
      </c>
      <c r="C40" s="27" t="s">
        <v>4594</v>
      </c>
      <c r="D40" s="27" t="s">
        <v>4599</v>
      </c>
      <c r="E40" s="10">
        <v>20</v>
      </c>
      <c r="F40" s="36" t="s">
        <v>263</v>
      </c>
      <c r="G40" s="27" t="s">
        <v>315</v>
      </c>
      <c r="H40" s="27" t="s">
        <v>274</v>
      </c>
      <c r="I40" s="27"/>
      <c r="J40" s="27"/>
      <c r="K40" s="27" t="s">
        <v>4600</v>
      </c>
      <c r="L40" s="27"/>
      <c r="M40" s="30" t="s">
        <v>4601</v>
      </c>
      <c r="N40" s="1" t="s">
        <v>264</v>
      </c>
      <c r="O40" s="27"/>
      <c r="P40" s="27"/>
    </row>
    <row r="41" spans="1:16" ht="24" customHeight="1">
      <c r="A41" s="30">
        <v>45588</v>
      </c>
      <c r="B41" s="27" t="s">
        <v>201</v>
      </c>
      <c r="C41" s="27" t="s">
        <v>171</v>
      </c>
      <c r="D41" s="27" t="s">
        <v>4602</v>
      </c>
      <c r="E41" s="10">
        <v>50</v>
      </c>
      <c r="F41" s="36" t="s">
        <v>263</v>
      </c>
      <c r="G41" s="27" t="s">
        <v>295</v>
      </c>
      <c r="H41" s="27" t="s">
        <v>270</v>
      </c>
      <c r="I41" s="27" t="s">
        <v>369</v>
      </c>
      <c r="J41" s="27" t="s">
        <v>369</v>
      </c>
      <c r="K41" s="27" t="s">
        <v>4603</v>
      </c>
      <c r="L41" s="27"/>
      <c r="M41" s="30" t="s">
        <v>4541</v>
      </c>
      <c r="N41" s="1" t="s">
        <v>264</v>
      </c>
      <c r="O41" s="27" t="s">
        <v>4604</v>
      </c>
      <c r="P41" s="27"/>
    </row>
    <row r="42" spans="1:16" ht="24" customHeight="1">
      <c r="A42" s="30">
        <v>45588</v>
      </c>
      <c r="B42" s="27" t="s">
        <v>201</v>
      </c>
      <c r="C42" s="27" t="s">
        <v>171</v>
      </c>
      <c r="D42" s="27" t="s">
        <v>4605</v>
      </c>
      <c r="E42" s="10">
        <v>50</v>
      </c>
      <c r="F42" s="36" t="s">
        <v>263</v>
      </c>
      <c r="G42" s="27" t="s">
        <v>338</v>
      </c>
      <c r="H42" s="27" t="s">
        <v>429</v>
      </c>
      <c r="I42" s="27" t="s">
        <v>369</v>
      </c>
      <c r="J42" s="27" t="s">
        <v>369</v>
      </c>
      <c r="K42" s="27" t="s">
        <v>2639</v>
      </c>
      <c r="L42" s="27"/>
      <c r="M42" s="30" t="s">
        <v>4606</v>
      </c>
      <c r="N42" s="3" t="s">
        <v>312</v>
      </c>
      <c r="O42" s="27" t="s">
        <v>3041</v>
      </c>
      <c r="P42" s="27"/>
    </row>
    <row r="43" spans="1:16" ht="24" customHeight="1">
      <c r="A43" s="30">
        <v>45589</v>
      </c>
      <c r="B43" s="27" t="s">
        <v>216</v>
      </c>
      <c r="C43" s="27" t="s">
        <v>171</v>
      </c>
      <c r="D43" s="27" t="s">
        <v>4583</v>
      </c>
      <c r="E43" s="10">
        <v>40</v>
      </c>
      <c r="F43" s="36" t="s">
        <v>263</v>
      </c>
      <c r="G43" s="27" t="s">
        <v>295</v>
      </c>
      <c r="H43" s="27" t="s">
        <v>270</v>
      </c>
      <c r="I43" s="27"/>
      <c r="J43" s="27"/>
      <c r="K43" s="27" t="s">
        <v>2668</v>
      </c>
      <c r="L43" s="27"/>
      <c r="M43" s="30" t="s">
        <v>4560</v>
      </c>
      <c r="N43" s="1" t="s">
        <v>264</v>
      </c>
      <c r="O43" s="27" t="s">
        <v>4561</v>
      </c>
      <c r="P43" s="27"/>
    </row>
    <row r="44" spans="1:16" ht="24" customHeight="1">
      <c r="A44" s="30">
        <v>45589</v>
      </c>
      <c r="B44" s="27" t="s">
        <v>216</v>
      </c>
      <c r="C44" s="27" t="s">
        <v>1811</v>
      </c>
      <c r="D44" s="27" t="s">
        <v>4607</v>
      </c>
      <c r="E44" s="10">
        <v>40</v>
      </c>
      <c r="F44" s="36" t="s">
        <v>263</v>
      </c>
      <c r="G44" s="27" t="s">
        <v>350</v>
      </c>
      <c r="H44" s="27" t="s">
        <v>289</v>
      </c>
      <c r="I44" s="27" t="s">
        <v>4608</v>
      </c>
      <c r="J44" s="27" t="s">
        <v>369</v>
      </c>
      <c r="K44" s="27" t="s">
        <v>4609</v>
      </c>
      <c r="L44" s="27"/>
      <c r="M44" s="30">
        <v>45588</v>
      </c>
      <c r="N44" s="1" t="s">
        <v>264</v>
      </c>
      <c r="O44" s="27" t="s">
        <v>4593</v>
      </c>
      <c r="P44" s="27"/>
    </row>
    <row r="45" spans="1:16" ht="24" customHeight="1">
      <c r="A45" s="30">
        <v>45590</v>
      </c>
      <c r="B45" s="27" t="s">
        <v>220</v>
      </c>
      <c r="C45" s="27" t="s">
        <v>171</v>
      </c>
      <c r="D45" s="27" t="s">
        <v>4401</v>
      </c>
      <c r="E45" s="10">
        <v>60</v>
      </c>
      <c r="F45" s="36" t="s">
        <v>263</v>
      </c>
      <c r="G45" s="27" t="s">
        <v>295</v>
      </c>
      <c r="H45" s="27" t="s">
        <v>270</v>
      </c>
      <c r="I45" s="27"/>
      <c r="J45" s="27"/>
      <c r="K45" s="27" t="s">
        <v>4529</v>
      </c>
      <c r="L45" s="27"/>
      <c r="M45" s="30" t="s">
        <v>4590</v>
      </c>
      <c r="N45" s="1" t="s">
        <v>264</v>
      </c>
      <c r="O45" s="27" t="s">
        <v>321</v>
      </c>
      <c r="P45" s="27"/>
    </row>
    <row r="46" spans="1:16" ht="24" customHeight="1">
      <c r="A46" s="30">
        <v>45591</v>
      </c>
      <c r="B46" s="27" t="s">
        <v>266</v>
      </c>
      <c r="C46" s="27"/>
      <c r="D46" s="27"/>
      <c r="E46" s="10"/>
      <c r="F46" s="36" t="s">
        <v>263</v>
      </c>
      <c r="G46" s="27"/>
      <c r="H46" s="27"/>
      <c r="I46" s="27"/>
      <c r="J46" s="27"/>
      <c r="K46" s="27"/>
      <c r="L46" s="27"/>
      <c r="M46" s="27"/>
      <c r="N46" s="1" t="s">
        <v>264</v>
      </c>
      <c r="O46" s="27"/>
      <c r="P46" s="27"/>
    </row>
    <row r="47" spans="1:16" ht="24" customHeight="1">
      <c r="A47" s="30">
        <v>45592</v>
      </c>
      <c r="B47" s="27" t="s">
        <v>267</v>
      </c>
      <c r="C47" s="27"/>
      <c r="D47" s="27"/>
      <c r="E47" s="10"/>
      <c r="F47" s="36" t="s">
        <v>263</v>
      </c>
      <c r="G47" s="27"/>
      <c r="H47" s="27"/>
      <c r="I47" s="27"/>
      <c r="J47" s="27"/>
      <c r="K47" s="27"/>
      <c r="L47" s="27"/>
      <c r="M47" s="27"/>
      <c r="N47" s="1" t="s">
        <v>264</v>
      </c>
      <c r="O47" s="27"/>
      <c r="P47" s="27"/>
    </row>
    <row r="48" spans="1:16" ht="24" customHeight="1">
      <c r="A48" s="30">
        <v>45593</v>
      </c>
      <c r="B48" s="27" t="s">
        <v>224</v>
      </c>
      <c r="C48" s="27" t="s">
        <v>171</v>
      </c>
      <c r="D48" s="27" t="s">
        <v>4610</v>
      </c>
      <c r="E48" s="10">
        <v>40</v>
      </c>
      <c r="F48" s="36" t="s">
        <v>263</v>
      </c>
      <c r="G48" s="27" t="s">
        <v>330</v>
      </c>
      <c r="H48" s="27" t="s">
        <v>429</v>
      </c>
      <c r="I48" s="27"/>
      <c r="J48" s="27"/>
      <c r="K48" s="27" t="s">
        <v>298</v>
      </c>
      <c r="L48" s="27"/>
      <c r="M48" s="27"/>
      <c r="N48" s="1" t="s">
        <v>264</v>
      </c>
      <c r="O48" s="27"/>
      <c r="P48" s="27"/>
    </row>
    <row r="49" spans="1:16" ht="24" customHeight="1">
      <c r="A49" s="30">
        <v>45593</v>
      </c>
      <c r="B49" s="27" t="s">
        <v>224</v>
      </c>
      <c r="C49" s="27" t="s">
        <v>4594</v>
      </c>
      <c r="D49" s="27" t="s">
        <v>236</v>
      </c>
      <c r="E49" s="10">
        <v>20</v>
      </c>
      <c r="F49" s="36" t="s">
        <v>263</v>
      </c>
      <c r="G49" s="27" t="s">
        <v>269</v>
      </c>
      <c r="H49" s="27" t="s">
        <v>270</v>
      </c>
      <c r="I49" s="27"/>
      <c r="J49" s="27"/>
      <c r="K49" s="27"/>
      <c r="L49" s="27"/>
      <c r="M49" s="27"/>
      <c r="N49" s="1" t="s">
        <v>264</v>
      </c>
      <c r="O49" s="27" t="s">
        <v>4611</v>
      </c>
      <c r="P49" s="27"/>
    </row>
    <row r="50" spans="1:16" ht="24" customHeight="1">
      <c r="A50" s="30">
        <v>45593</v>
      </c>
      <c r="B50" s="27" t="s">
        <v>224</v>
      </c>
      <c r="C50" s="27" t="s">
        <v>171</v>
      </c>
      <c r="D50" s="27" t="s">
        <v>658</v>
      </c>
      <c r="E50" s="10">
        <v>50</v>
      </c>
      <c r="F50" s="36" t="s">
        <v>263</v>
      </c>
      <c r="G50" s="27" t="s">
        <v>295</v>
      </c>
      <c r="H50" s="27" t="s">
        <v>270</v>
      </c>
      <c r="I50" s="27" t="s">
        <v>382</v>
      </c>
      <c r="J50" s="27"/>
      <c r="K50" s="27"/>
      <c r="L50" s="27"/>
      <c r="M50" s="27"/>
      <c r="N50" s="1" t="s">
        <v>264</v>
      </c>
      <c r="O50" s="27" t="s">
        <v>2611</v>
      </c>
      <c r="P50" s="27"/>
    </row>
    <row r="51" spans="1:16" ht="24" customHeight="1">
      <c r="A51" s="30">
        <v>45594</v>
      </c>
      <c r="B51" s="27" t="s">
        <v>227</v>
      </c>
      <c r="C51" s="27" t="s">
        <v>4612</v>
      </c>
      <c r="D51" s="27" t="s">
        <v>327</v>
      </c>
      <c r="E51" s="10">
        <v>25</v>
      </c>
      <c r="F51" s="36" t="s">
        <v>263</v>
      </c>
      <c r="G51" s="27"/>
      <c r="H51" s="27"/>
      <c r="I51" s="27"/>
      <c r="J51" s="27"/>
      <c r="K51" s="27"/>
      <c r="L51" s="27"/>
      <c r="M51" s="27"/>
      <c r="N51" s="1" t="s">
        <v>264</v>
      </c>
      <c r="O51" s="27"/>
      <c r="P51" s="27"/>
    </row>
    <row r="52" spans="1:16" ht="24" customHeight="1">
      <c r="A52" s="30">
        <v>45595</v>
      </c>
      <c r="B52" s="27" t="s">
        <v>201</v>
      </c>
      <c r="C52" s="27" t="s">
        <v>171</v>
      </c>
      <c r="D52" s="27" t="s">
        <v>4613</v>
      </c>
      <c r="E52" s="10">
        <v>40</v>
      </c>
      <c r="F52" s="36" t="s">
        <v>263</v>
      </c>
      <c r="G52" s="27" t="s">
        <v>281</v>
      </c>
      <c r="H52" s="27" t="s">
        <v>315</v>
      </c>
      <c r="I52" s="27" t="s">
        <v>369</v>
      </c>
      <c r="J52" s="27" t="s">
        <v>369</v>
      </c>
      <c r="K52" s="27" t="s">
        <v>583</v>
      </c>
      <c r="L52" s="27"/>
      <c r="M52" s="30">
        <v>45540</v>
      </c>
      <c r="N52" s="1" t="s">
        <v>264</v>
      </c>
      <c r="O52" s="27" t="s">
        <v>4593</v>
      </c>
      <c r="P52" s="27"/>
    </row>
    <row r="53" spans="1:16" ht="24" customHeight="1">
      <c r="A53" s="30">
        <v>45596</v>
      </c>
      <c r="B53" s="27" t="s">
        <v>216</v>
      </c>
      <c r="C53" s="27" t="s">
        <v>4614</v>
      </c>
      <c r="D53" s="27" t="s">
        <v>4614</v>
      </c>
      <c r="E53" s="10" t="s">
        <v>4615</v>
      </c>
      <c r="F53" s="36" t="s">
        <v>263</v>
      </c>
      <c r="G53" s="27"/>
      <c r="H53" s="27" t="s">
        <v>4614</v>
      </c>
      <c r="I53" s="27" t="s">
        <v>4614</v>
      </c>
      <c r="J53" s="27" t="s">
        <v>4614</v>
      </c>
      <c r="K53" s="27" t="s">
        <v>4614</v>
      </c>
      <c r="L53" s="27"/>
      <c r="M53" s="27" t="s">
        <v>4614</v>
      </c>
      <c r="N53" s="1" t="s">
        <v>264</v>
      </c>
      <c r="O53" s="27"/>
      <c r="P53" s="27"/>
    </row>
  </sheetData>
  <mergeCells count="3">
    <mergeCell ref="A1:C1"/>
    <mergeCell ref="D1:K1"/>
    <mergeCell ref="L1:P1"/>
  </mergeCells>
  <dataValidations count="2">
    <dataValidation type="list" allowBlank="1" sqref="M3:M103 N3:N53" xr:uid="{00000000-0002-0000-3200-000000000000}">
      <formula1>"Confirmed (Done),Pending Calendar Booking,Canceled"</formula1>
    </dataValidation>
    <dataValidation type="list" allowBlank="1" sqref="F3:F53" xr:uid="{00000000-0002-0000-3200-000001000000}">
      <formula1>"Big Event,Small Event"</formula1>
    </dataValidation>
  </dataValidations>
  <hyperlinks>
    <hyperlink ref="A1" location="'Dashboard'!A1" display="🏠 ⮌ RETURN TO DASHBOARD" xr:uid="{00000000-0004-0000-3200-000000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92"/>
  <sheetViews>
    <sheetView workbookViewId="0">
      <pane ySplit="2" topLeftCell="A3" activePane="bottomLeft" state="frozen"/>
      <selection pane="bottomLeft"/>
    </sheetView>
  </sheetViews>
  <sheetFormatPr defaultRowHeight="14.45"/>
  <cols>
    <col min="1" max="1" width="15" customWidth="1"/>
    <col min="2" max="2" width="12" customWidth="1"/>
    <col min="3" max="3" width="27" customWidth="1"/>
    <col min="4" max="5" width="48" customWidth="1"/>
    <col min="6" max="6" width="15" customWidth="1"/>
    <col min="7" max="7" width="19" customWidth="1"/>
    <col min="8" max="8" width="17" customWidth="1"/>
    <col min="9" max="9" width="18" customWidth="1"/>
    <col min="10" max="10" width="22" customWidth="1"/>
    <col min="11" max="11" width="46" customWidth="1"/>
    <col min="12" max="12" width="25" customWidth="1"/>
    <col min="13" max="13" width="15" customWidth="1"/>
    <col min="14" max="14" width="25" customWidth="1"/>
    <col min="15" max="15" width="48" customWidth="1"/>
    <col min="16" max="16" width="24" customWidth="1"/>
  </cols>
  <sheetData>
    <row r="1" spans="1:16" ht="27.95" customHeight="1">
      <c r="A1" s="62" t="s">
        <v>2138</v>
      </c>
      <c r="B1" s="134"/>
      <c r="C1" s="135"/>
      <c r="D1" s="63" t="s">
        <v>4616</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45302</v>
      </c>
      <c r="B3" s="27" t="s">
        <v>216</v>
      </c>
      <c r="C3" s="27"/>
      <c r="D3" s="27"/>
      <c r="E3" s="10"/>
      <c r="F3" s="36" t="s">
        <v>263</v>
      </c>
      <c r="G3" s="27"/>
      <c r="H3" s="27"/>
      <c r="I3" s="27"/>
      <c r="J3" s="27"/>
      <c r="K3" s="27"/>
      <c r="L3" s="27"/>
      <c r="M3" s="27"/>
      <c r="N3" s="1" t="s">
        <v>264</v>
      </c>
      <c r="O3" s="27"/>
      <c r="P3" s="27"/>
    </row>
    <row r="4" spans="1:16" ht="24" customHeight="1">
      <c r="A4" s="30">
        <v>45333</v>
      </c>
      <c r="B4" s="27" t="s">
        <v>267</v>
      </c>
      <c r="C4" s="27"/>
      <c r="D4" s="27"/>
      <c r="E4" s="10"/>
      <c r="F4" s="36" t="s">
        <v>263</v>
      </c>
      <c r="G4" s="27"/>
      <c r="H4" s="27"/>
      <c r="I4" s="27"/>
      <c r="J4" s="27"/>
      <c r="K4" s="27"/>
      <c r="L4" s="27"/>
      <c r="M4" s="27"/>
      <c r="N4" s="1" t="s">
        <v>264</v>
      </c>
      <c r="O4" s="27"/>
      <c r="P4" s="27"/>
    </row>
    <row r="5" spans="1:16" ht="24" customHeight="1">
      <c r="A5" s="30">
        <v>45362</v>
      </c>
      <c r="B5" s="27" t="s">
        <v>224</v>
      </c>
      <c r="C5" s="27"/>
      <c r="D5" s="27"/>
      <c r="E5" s="10"/>
      <c r="F5" s="36" t="s">
        <v>263</v>
      </c>
      <c r="G5" s="27"/>
      <c r="H5" s="27"/>
      <c r="I5" s="27"/>
      <c r="J5" s="27"/>
      <c r="K5" s="27"/>
      <c r="L5" s="27"/>
      <c r="M5" s="27"/>
      <c r="N5" s="1" t="s">
        <v>264</v>
      </c>
      <c r="O5" s="27"/>
      <c r="P5" s="27"/>
    </row>
    <row r="6" spans="1:16" ht="24" customHeight="1">
      <c r="A6" s="30">
        <v>45393</v>
      </c>
      <c r="B6" s="27" t="s">
        <v>216</v>
      </c>
      <c r="C6" s="27" t="s">
        <v>2740</v>
      </c>
      <c r="D6" s="27" t="s">
        <v>4617</v>
      </c>
      <c r="E6" s="10"/>
      <c r="F6" s="36" t="s">
        <v>263</v>
      </c>
      <c r="G6" s="27" t="s">
        <v>269</v>
      </c>
      <c r="H6" s="27" t="s">
        <v>270</v>
      </c>
      <c r="I6" s="27"/>
      <c r="J6" s="27"/>
      <c r="K6" s="27"/>
      <c r="L6" s="27"/>
      <c r="M6" s="27"/>
      <c r="N6" s="1" t="s">
        <v>264</v>
      </c>
      <c r="O6" s="27" t="s">
        <v>4618</v>
      </c>
      <c r="P6" s="27"/>
    </row>
    <row r="7" spans="1:16" ht="24" customHeight="1">
      <c r="A7" s="30">
        <v>45393</v>
      </c>
      <c r="B7" s="27" t="s">
        <v>216</v>
      </c>
      <c r="C7" s="27" t="s">
        <v>4619</v>
      </c>
      <c r="D7" s="27" t="s">
        <v>4620</v>
      </c>
      <c r="E7" s="10"/>
      <c r="F7" s="36" t="s">
        <v>263</v>
      </c>
      <c r="G7" s="27" t="s">
        <v>269</v>
      </c>
      <c r="H7" s="27" t="s">
        <v>270</v>
      </c>
      <c r="I7" s="27"/>
      <c r="J7" s="27"/>
      <c r="K7" s="27"/>
      <c r="L7" s="27"/>
      <c r="M7" s="27"/>
      <c r="N7" s="1" t="s">
        <v>264</v>
      </c>
      <c r="O7" s="27" t="s">
        <v>4621</v>
      </c>
      <c r="P7" s="27"/>
    </row>
    <row r="8" spans="1:16" ht="24" customHeight="1">
      <c r="A8" s="30">
        <v>45393</v>
      </c>
      <c r="B8" s="27" t="s">
        <v>216</v>
      </c>
      <c r="C8" s="27" t="s">
        <v>171</v>
      </c>
      <c r="D8" s="27" t="s">
        <v>236</v>
      </c>
      <c r="E8" s="10">
        <v>24</v>
      </c>
      <c r="F8" s="36" t="s">
        <v>263</v>
      </c>
      <c r="G8" s="27" t="s">
        <v>269</v>
      </c>
      <c r="H8" s="27" t="s">
        <v>270</v>
      </c>
      <c r="I8" s="27"/>
      <c r="J8" s="27"/>
      <c r="K8" s="27"/>
      <c r="L8" s="27"/>
      <c r="M8" s="27"/>
      <c r="N8" s="1" t="s">
        <v>264</v>
      </c>
      <c r="O8" s="27" t="s">
        <v>4622</v>
      </c>
      <c r="P8" s="27"/>
    </row>
    <row r="9" spans="1:16" ht="24" customHeight="1">
      <c r="A9" s="30">
        <v>45423</v>
      </c>
      <c r="B9" s="27" t="s">
        <v>266</v>
      </c>
      <c r="C9" s="27" t="s">
        <v>4623</v>
      </c>
      <c r="D9" s="27" t="s">
        <v>4620</v>
      </c>
      <c r="E9" s="10">
        <v>2</v>
      </c>
      <c r="F9" s="36" t="s">
        <v>263</v>
      </c>
      <c r="G9" s="27" t="s">
        <v>269</v>
      </c>
      <c r="H9" s="27" t="s">
        <v>270</v>
      </c>
      <c r="I9" s="27"/>
      <c r="J9" s="27"/>
      <c r="K9" s="27"/>
      <c r="L9" s="27"/>
      <c r="M9" s="27"/>
      <c r="N9" s="1" t="s">
        <v>264</v>
      </c>
      <c r="O9" s="27" t="s">
        <v>4624</v>
      </c>
      <c r="P9" s="27"/>
    </row>
    <row r="10" spans="1:16" ht="24" customHeight="1">
      <c r="A10" s="30">
        <v>45423</v>
      </c>
      <c r="B10" s="27" t="s">
        <v>266</v>
      </c>
      <c r="C10" s="27" t="s">
        <v>1044</v>
      </c>
      <c r="D10" s="27" t="s">
        <v>1589</v>
      </c>
      <c r="E10" s="10" t="s">
        <v>2682</v>
      </c>
      <c r="F10" s="36" t="s">
        <v>263</v>
      </c>
      <c r="G10" s="27" t="s">
        <v>295</v>
      </c>
      <c r="H10" s="27" t="s">
        <v>290</v>
      </c>
      <c r="I10" s="27"/>
      <c r="J10" s="27"/>
      <c r="K10" s="27"/>
      <c r="L10" s="27"/>
      <c r="M10" s="27"/>
      <c r="N10" s="1" t="s">
        <v>264</v>
      </c>
      <c r="O10" s="27"/>
      <c r="P10" s="27"/>
    </row>
    <row r="11" spans="1:16" ht="24" customHeight="1">
      <c r="A11" s="30">
        <v>45454</v>
      </c>
      <c r="B11" s="27" t="s">
        <v>227</v>
      </c>
      <c r="C11" s="27" t="s">
        <v>4625</v>
      </c>
      <c r="D11" s="27" t="s">
        <v>4620</v>
      </c>
      <c r="E11" s="10"/>
      <c r="F11" s="36" t="s">
        <v>263</v>
      </c>
      <c r="G11" s="27" t="s">
        <v>269</v>
      </c>
      <c r="H11" s="27" t="s">
        <v>270</v>
      </c>
      <c r="I11" s="27"/>
      <c r="J11" s="27"/>
      <c r="K11" s="27"/>
      <c r="L11" s="27"/>
      <c r="M11" s="27"/>
      <c r="N11" s="1" t="s">
        <v>264</v>
      </c>
      <c r="O11" s="27" t="s">
        <v>4626</v>
      </c>
      <c r="P11" s="27"/>
    </row>
    <row r="12" spans="1:16" ht="24" customHeight="1">
      <c r="A12" s="30">
        <v>45454</v>
      </c>
      <c r="B12" s="27" t="s">
        <v>227</v>
      </c>
      <c r="C12" s="27" t="s">
        <v>171</v>
      </c>
      <c r="D12" s="27" t="s">
        <v>4627</v>
      </c>
      <c r="E12" s="10"/>
      <c r="F12" s="36" t="s">
        <v>263</v>
      </c>
      <c r="G12" s="27" t="s">
        <v>281</v>
      </c>
      <c r="H12" s="27" t="s">
        <v>274</v>
      </c>
      <c r="I12" s="27"/>
      <c r="J12" s="27"/>
      <c r="K12" s="27" t="s">
        <v>4372</v>
      </c>
      <c r="L12" s="27"/>
      <c r="M12" s="27"/>
      <c r="N12" s="1" t="s">
        <v>264</v>
      </c>
      <c r="O12" s="27" t="s">
        <v>321</v>
      </c>
      <c r="P12" s="27"/>
    </row>
    <row r="13" spans="1:16" ht="24" customHeight="1">
      <c r="A13" s="30">
        <v>45454</v>
      </c>
      <c r="B13" s="27" t="s">
        <v>227</v>
      </c>
      <c r="C13" s="27" t="s">
        <v>171</v>
      </c>
      <c r="D13" s="27" t="s">
        <v>4628</v>
      </c>
      <c r="E13" s="10"/>
      <c r="F13" s="36" t="s">
        <v>263</v>
      </c>
      <c r="G13" s="27" t="s">
        <v>506</v>
      </c>
      <c r="H13" s="27" t="s">
        <v>350</v>
      </c>
      <c r="I13" s="27"/>
      <c r="J13" s="27"/>
      <c r="K13" s="27" t="s">
        <v>2877</v>
      </c>
      <c r="L13" s="27"/>
      <c r="M13" s="27"/>
      <c r="N13" s="1" t="s">
        <v>264</v>
      </c>
      <c r="O13" s="27" t="s">
        <v>738</v>
      </c>
      <c r="P13" s="27"/>
    </row>
    <row r="14" spans="1:16" ht="24" customHeight="1">
      <c r="A14" s="30">
        <v>45454</v>
      </c>
      <c r="B14" s="27" t="s">
        <v>227</v>
      </c>
      <c r="C14" s="27" t="s">
        <v>1061</v>
      </c>
      <c r="D14" s="27" t="s">
        <v>4629</v>
      </c>
      <c r="E14" s="10">
        <v>24</v>
      </c>
      <c r="F14" s="36" t="s">
        <v>263</v>
      </c>
      <c r="G14" s="27" t="s">
        <v>315</v>
      </c>
      <c r="H14" s="27" t="s">
        <v>3569</v>
      </c>
      <c r="I14" s="27"/>
      <c r="J14" s="27"/>
      <c r="K14" s="27" t="s">
        <v>2877</v>
      </c>
      <c r="L14" s="27"/>
      <c r="M14" s="27"/>
      <c r="N14" s="1" t="s">
        <v>264</v>
      </c>
      <c r="O14" s="27" t="s">
        <v>4630</v>
      </c>
      <c r="P14" s="27"/>
    </row>
    <row r="15" spans="1:16" ht="24" customHeight="1">
      <c r="A15" s="30">
        <v>45454</v>
      </c>
      <c r="B15" s="27" t="s">
        <v>227</v>
      </c>
      <c r="C15" s="27" t="s">
        <v>4453</v>
      </c>
      <c r="D15" s="27" t="s">
        <v>4631</v>
      </c>
      <c r="E15" s="10">
        <v>25</v>
      </c>
      <c r="F15" s="36" t="s">
        <v>263</v>
      </c>
      <c r="G15" s="27" t="s">
        <v>274</v>
      </c>
      <c r="H15" s="27" t="s">
        <v>331</v>
      </c>
      <c r="I15" s="27"/>
      <c r="J15" s="27"/>
      <c r="K15" s="27" t="s">
        <v>4632</v>
      </c>
      <c r="L15" s="27"/>
      <c r="M15" s="27"/>
      <c r="N15" s="1" t="s">
        <v>264</v>
      </c>
      <c r="O15" s="27" t="s">
        <v>4633</v>
      </c>
      <c r="P15" s="27"/>
    </row>
    <row r="16" spans="1:16" ht="24" customHeight="1">
      <c r="A16" s="30">
        <v>45484</v>
      </c>
      <c r="B16" s="27" t="s">
        <v>216</v>
      </c>
      <c r="C16" s="27" t="s">
        <v>4634</v>
      </c>
      <c r="D16" s="27" t="s">
        <v>4620</v>
      </c>
      <c r="E16" s="10"/>
      <c r="F16" s="36" t="s">
        <v>263</v>
      </c>
      <c r="G16" s="27" t="s">
        <v>269</v>
      </c>
      <c r="H16" s="27" t="s">
        <v>270</v>
      </c>
      <c r="I16" s="27"/>
      <c r="J16" s="27"/>
      <c r="K16" s="27"/>
      <c r="L16" s="27"/>
      <c r="M16" s="27"/>
      <c r="N16" s="1" t="s">
        <v>264</v>
      </c>
      <c r="O16" s="27" t="s">
        <v>4635</v>
      </c>
      <c r="P16" s="27"/>
    </row>
    <row r="17" spans="1:16" ht="24" customHeight="1">
      <c r="A17" s="30">
        <v>45484</v>
      </c>
      <c r="B17" s="27" t="s">
        <v>216</v>
      </c>
      <c r="C17" s="27" t="s">
        <v>171</v>
      </c>
      <c r="D17" s="27" t="s">
        <v>4636</v>
      </c>
      <c r="E17" s="10">
        <v>50</v>
      </c>
      <c r="F17" s="36" t="s">
        <v>263</v>
      </c>
      <c r="G17" s="27" t="s">
        <v>506</v>
      </c>
      <c r="H17" s="27" t="s">
        <v>429</v>
      </c>
      <c r="I17" s="27"/>
      <c r="J17" s="27"/>
      <c r="K17" s="27" t="s">
        <v>4637</v>
      </c>
      <c r="L17" s="27"/>
      <c r="M17" s="27"/>
      <c r="N17" s="3" t="s">
        <v>312</v>
      </c>
      <c r="O17" s="27"/>
      <c r="P17" s="27"/>
    </row>
    <row r="18" spans="1:16" ht="24" customHeight="1">
      <c r="A18" s="30">
        <v>45484</v>
      </c>
      <c r="B18" s="27" t="s">
        <v>216</v>
      </c>
      <c r="C18" s="27" t="s">
        <v>171</v>
      </c>
      <c r="D18" s="27" t="s">
        <v>4583</v>
      </c>
      <c r="E18" s="10">
        <v>40</v>
      </c>
      <c r="F18" s="36" t="s">
        <v>263</v>
      </c>
      <c r="G18" s="27" t="s">
        <v>295</v>
      </c>
      <c r="H18" s="27" t="s">
        <v>270</v>
      </c>
      <c r="I18" s="27"/>
      <c r="J18" s="27"/>
      <c r="K18" s="27" t="s">
        <v>2668</v>
      </c>
      <c r="L18" s="27"/>
      <c r="M18" s="30" t="s">
        <v>4560</v>
      </c>
      <c r="N18" s="3" t="s">
        <v>312</v>
      </c>
      <c r="O18" s="27" t="s">
        <v>4561</v>
      </c>
      <c r="P18" s="27" t="s">
        <v>1181</v>
      </c>
    </row>
    <row r="19" spans="1:16" ht="24" customHeight="1">
      <c r="A19" s="30">
        <v>45484</v>
      </c>
      <c r="B19" s="27" t="s">
        <v>216</v>
      </c>
      <c r="C19" s="27" t="s">
        <v>4453</v>
      </c>
      <c r="D19" s="27" t="s">
        <v>4631</v>
      </c>
      <c r="E19" s="10">
        <v>25</v>
      </c>
      <c r="F19" s="36" t="s">
        <v>263</v>
      </c>
      <c r="G19" s="27" t="s">
        <v>274</v>
      </c>
      <c r="H19" s="27" t="s">
        <v>331</v>
      </c>
      <c r="I19" s="27"/>
      <c r="J19" s="27"/>
      <c r="K19" s="27" t="s">
        <v>4632</v>
      </c>
      <c r="L19" s="27"/>
      <c r="M19" s="27"/>
      <c r="N19" s="1" t="s">
        <v>264</v>
      </c>
      <c r="O19" s="27" t="s">
        <v>4633</v>
      </c>
      <c r="P19" s="27"/>
    </row>
    <row r="20" spans="1:16" ht="24" customHeight="1">
      <c r="A20" s="30">
        <v>45515</v>
      </c>
      <c r="B20" s="27" t="s">
        <v>267</v>
      </c>
      <c r="C20" s="27" t="s">
        <v>4638</v>
      </c>
      <c r="D20" s="27" t="s">
        <v>4620</v>
      </c>
      <c r="E20" s="10"/>
      <c r="F20" s="36" t="s">
        <v>263</v>
      </c>
      <c r="G20" s="27" t="s">
        <v>269</v>
      </c>
      <c r="H20" s="27" t="s">
        <v>270</v>
      </c>
      <c r="I20" s="27"/>
      <c r="J20" s="27"/>
      <c r="K20" s="27"/>
      <c r="L20" s="27"/>
      <c r="M20" s="27"/>
      <c r="N20" s="1" t="s">
        <v>264</v>
      </c>
      <c r="O20" s="27" t="s">
        <v>4635</v>
      </c>
      <c r="P20" s="27"/>
    </row>
    <row r="21" spans="1:16" ht="24" customHeight="1">
      <c r="A21" s="30">
        <v>45515</v>
      </c>
      <c r="B21" s="27" t="s">
        <v>267</v>
      </c>
      <c r="C21" s="27" t="s">
        <v>4453</v>
      </c>
      <c r="D21" s="27" t="s">
        <v>4631</v>
      </c>
      <c r="E21" s="10">
        <v>25</v>
      </c>
      <c r="F21" s="36" t="s">
        <v>263</v>
      </c>
      <c r="G21" s="27" t="s">
        <v>315</v>
      </c>
      <c r="H21" s="27" t="s">
        <v>429</v>
      </c>
      <c r="I21" s="27"/>
      <c r="J21" s="27"/>
      <c r="K21" s="27" t="s">
        <v>4632</v>
      </c>
      <c r="L21" s="27"/>
      <c r="M21" s="27"/>
      <c r="N21" s="1" t="s">
        <v>264</v>
      </c>
      <c r="O21" s="27" t="s">
        <v>4633</v>
      </c>
      <c r="P21" s="27"/>
    </row>
    <row r="22" spans="1:16" ht="24" customHeight="1">
      <c r="A22" s="30">
        <v>45515</v>
      </c>
      <c r="B22" s="27" t="s">
        <v>267</v>
      </c>
      <c r="C22" s="27" t="s">
        <v>171</v>
      </c>
      <c r="D22" s="27" t="s">
        <v>828</v>
      </c>
      <c r="E22" s="10"/>
      <c r="F22" s="36" t="s">
        <v>263</v>
      </c>
      <c r="G22" s="27" t="s">
        <v>315</v>
      </c>
      <c r="H22" s="27" t="s">
        <v>330</v>
      </c>
      <c r="I22" s="27"/>
      <c r="J22" s="27"/>
      <c r="K22" s="27" t="s">
        <v>4269</v>
      </c>
      <c r="L22" s="27"/>
      <c r="M22" s="30" t="s">
        <v>4639</v>
      </c>
      <c r="N22" s="1" t="s">
        <v>264</v>
      </c>
      <c r="O22" s="27"/>
      <c r="P22" s="27"/>
    </row>
    <row r="23" spans="1:16" ht="24" customHeight="1">
      <c r="A23" s="30">
        <v>45546</v>
      </c>
      <c r="B23" s="27" t="s">
        <v>201</v>
      </c>
      <c r="C23" s="27"/>
      <c r="D23" s="27"/>
      <c r="E23" s="10"/>
      <c r="F23" s="36" t="s">
        <v>263</v>
      </c>
      <c r="G23" s="27"/>
      <c r="H23" s="27"/>
      <c r="I23" s="27"/>
      <c r="J23" s="27"/>
      <c r="K23" s="27"/>
      <c r="L23" s="27"/>
      <c r="M23" s="27"/>
      <c r="N23" s="1" t="s">
        <v>264</v>
      </c>
      <c r="O23" s="27"/>
      <c r="P23" s="27"/>
    </row>
    <row r="24" spans="1:16" ht="24" customHeight="1">
      <c r="A24" s="30">
        <v>45576</v>
      </c>
      <c r="B24" s="27" t="s">
        <v>220</v>
      </c>
      <c r="C24" s="27"/>
      <c r="D24" s="27"/>
      <c r="E24" s="10"/>
      <c r="F24" s="36" t="s">
        <v>263</v>
      </c>
      <c r="G24" s="27"/>
      <c r="H24" s="27"/>
      <c r="I24" s="27"/>
      <c r="J24" s="27"/>
      <c r="K24" s="27"/>
      <c r="L24" s="27"/>
      <c r="M24" s="27"/>
      <c r="N24" s="1" t="s">
        <v>264</v>
      </c>
      <c r="O24" s="27"/>
      <c r="P24" s="27"/>
    </row>
    <row r="25" spans="1:16" ht="24" customHeight="1">
      <c r="A25" s="30">
        <v>45607</v>
      </c>
      <c r="B25" s="27" t="s">
        <v>224</v>
      </c>
      <c r="C25" s="27" t="s">
        <v>2740</v>
      </c>
      <c r="D25" s="27" t="s">
        <v>4617</v>
      </c>
      <c r="E25" s="10"/>
      <c r="F25" s="36" t="s">
        <v>263</v>
      </c>
      <c r="G25" s="27" t="s">
        <v>269</v>
      </c>
      <c r="H25" s="27" t="s">
        <v>270</v>
      </c>
      <c r="I25" s="27"/>
      <c r="J25" s="27"/>
      <c r="K25" s="27"/>
      <c r="L25" s="27"/>
      <c r="M25" s="27"/>
      <c r="N25" s="1" t="s">
        <v>264</v>
      </c>
      <c r="O25" s="27" t="s">
        <v>4618</v>
      </c>
      <c r="P25" s="27"/>
    </row>
    <row r="26" spans="1:16" ht="24" customHeight="1">
      <c r="A26" s="30">
        <v>45607</v>
      </c>
      <c r="B26" s="27" t="s">
        <v>224</v>
      </c>
      <c r="C26" s="27" t="s">
        <v>1061</v>
      </c>
      <c r="D26" s="27" t="s">
        <v>236</v>
      </c>
      <c r="E26" s="10">
        <v>13</v>
      </c>
      <c r="F26" s="36" t="s">
        <v>263</v>
      </c>
      <c r="G26" s="27" t="s">
        <v>269</v>
      </c>
      <c r="H26" s="27" t="s">
        <v>270</v>
      </c>
      <c r="I26" s="27"/>
      <c r="J26" s="27"/>
      <c r="K26" s="27"/>
      <c r="L26" s="27"/>
      <c r="M26" s="27"/>
      <c r="N26" s="1" t="s">
        <v>264</v>
      </c>
      <c r="O26" s="27"/>
      <c r="P26" s="27"/>
    </row>
    <row r="27" spans="1:16" ht="24" customHeight="1">
      <c r="A27" s="30">
        <v>45607</v>
      </c>
      <c r="B27" s="27" t="s">
        <v>224</v>
      </c>
      <c r="C27" s="27" t="s">
        <v>1044</v>
      </c>
      <c r="D27" s="27" t="s">
        <v>4640</v>
      </c>
      <c r="E27" s="10" t="s">
        <v>2202</v>
      </c>
      <c r="F27" s="38" t="s">
        <v>294</v>
      </c>
      <c r="G27" s="27" t="s">
        <v>315</v>
      </c>
      <c r="H27" s="27" t="s">
        <v>506</v>
      </c>
      <c r="I27" s="27"/>
      <c r="J27" s="27"/>
      <c r="K27" s="27"/>
      <c r="L27" s="27"/>
      <c r="M27" s="27"/>
      <c r="N27" s="1" t="s">
        <v>264</v>
      </c>
      <c r="O27" s="27" t="s">
        <v>4641</v>
      </c>
      <c r="P27" s="27"/>
    </row>
    <row r="28" spans="1:16" ht="24" customHeight="1">
      <c r="A28" s="30">
        <v>45607</v>
      </c>
      <c r="B28" s="27" t="s">
        <v>224</v>
      </c>
      <c r="C28" s="27" t="s">
        <v>4453</v>
      </c>
      <c r="D28" s="27" t="s">
        <v>4631</v>
      </c>
      <c r="E28" s="10">
        <v>25</v>
      </c>
      <c r="F28" s="36" t="s">
        <v>263</v>
      </c>
      <c r="G28" s="27" t="s">
        <v>274</v>
      </c>
      <c r="H28" s="27" t="s">
        <v>331</v>
      </c>
      <c r="I28" s="27"/>
      <c r="J28" s="27"/>
      <c r="K28" s="27" t="s">
        <v>4632</v>
      </c>
      <c r="L28" s="27"/>
      <c r="M28" s="27"/>
      <c r="N28" s="1" t="s">
        <v>264</v>
      </c>
      <c r="O28" s="27" t="s">
        <v>4633</v>
      </c>
      <c r="P28" s="27"/>
    </row>
    <row r="29" spans="1:16" ht="24" customHeight="1">
      <c r="A29" s="30">
        <v>45637</v>
      </c>
      <c r="B29" s="27" t="s">
        <v>201</v>
      </c>
      <c r="C29" s="27" t="s">
        <v>171</v>
      </c>
      <c r="D29" s="27" t="s">
        <v>4642</v>
      </c>
      <c r="E29" s="10" t="s">
        <v>2682</v>
      </c>
      <c r="F29" s="36" t="s">
        <v>263</v>
      </c>
      <c r="G29" s="27" t="s">
        <v>315</v>
      </c>
      <c r="H29" s="27" t="s">
        <v>1397</v>
      </c>
      <c r="I29" s="27"/>
      <c r="J29" s="27"/>
      <c r="K29" s="27" t="s">
        <v>4643</v>
      </c>
      <c r="L29" s="27"/>
      <c r="M29" s="27"/>
      <c r="N29" s="3" t="s">
        <v>312</v>
      </c>
      <c r="O29" s="27" t="s">
        <v>4644</v>
      </c>
      <c r="P29" s="27" t="s">
        <v>1181</v>
      </c>
    </row>
    <row r="30" spans="1:16" ht="24" customHeight="1">
      <c r="A30" s="30">
        <v>45637</v>
      </c>
      <c r="B30" s="27" t="s">
        <v>201</v>
      </c>
      <c r="C30" s="27" t="s">
        <v>1061</v>
      </c>
      <c r="D30" s="27" t="s">
        <v>4631</v>
      </c>
      <c r="E30" s="10">
        <v>25</v>
      </c>
      <c r="F30" s="36" t="s">
        <v>263</v>
      </c>
      <c r="G30" s="27" t="s">
        <v>274</v>
      </c>
      <c r="H30" s="27" t="s">
        <v>331</v>
      </c>
      <c r="I30" s="27"/>
      <c r="J30" s="27"/>
      <c r="K30" s="27" t="s">
        <v>4632</v>
      </c>
      <c r="L30" s="27"/>
      <c r="M30" s="27"/>
      <c r="N30" s="1" t="s">
        <v>264</v>
      </c>
      <c r="O30" s="27" t="s">
        <v>4645</v>
      </c>
      <c r="P30" s="27"/>
    </row>
    <row r="31" spans="1:16" ht="24" customHeight="1">
      <c r="A31" s="30" t="s">
        <v>4646</v>
      </c>
      <c r="B31" s="27" t="s">
        <v>201</v>
      </c>
      <c r="C31" s="27" t="s">
        <v>171</v>
      </c>
      <c r="D31" s="27" t="s">
        <v>4647</v>
      </c>
      <c r="E31" s="10">
        <v>40</v>
      </c>
      <c r="F31" s="36" t="s">
        <v>263</v>
      </c>
      <c r="G31" s="27" t="s">
        <v>295</v>
      </c>
      <c r="H31" s="27" t="s">
        <v>296</v>
      </c>
      <c r="I31" s="27"/>
      <c r="J31" s="27"/>
      <c r="K31" s="27" t="s">
        <v>4648</v>
      </c>
      <c r="L31" s="27"/>
      <c r="M31" s="27"/>
      <c r="N31" s="3" t="s">
        <v>312</v>
      </c>
      <c r="O31" s="27" t="s">
        <v>2611</v>
      </c>
      <c r="P31" s="27" t="s">
        <v>1181</v>
      </c>
    </row>
    <row r="32" spans="1:16" ht="24" customHeight="1">
      <c r="A32" s="30" t="s">
        <v>4646</v>
      </c>
      <c r="B32" s="27" t="s">
        <v>201</v>
      </c>
      <c r="C32" s="27" t="s">
        <v>1061</v>
      </c>
      <c r="D32" s="27" t="s">
        <v>4631</v>
      </c>
      <c r="E32" s="10">
        <v>25</v>
      </c>
      <c r="F32" s="36" t="s">
        <v>263</v>
      </c>
      <c r="G32" s="27" t="s">
        <v>274</v>
      </c>
      <c r="H32" s="27" t="s">
        <v>331</v>
      </c>
      <c r="I32" s="27"/>
      <c r="J32" s="27"/>
      <c r="K32" s="27" t="s">
        <v>4632</v>
      </c>
      <c r="L32" s="27"/>
      <c r="M32" s="27"/>
      <c r="N32" s="1" t="s">
        <v>264</v>
      </c>
      <c r="O32" s="27" t="s">
        <v>4645</v>
      </c>
      <c r="P32" s="27"/>
    </row>
    <row r="33" spans="1:16" ht="24" customHeight="1">
      <c r="A33" s="30" t="s">
        <v>4649</v>
      </c>
      <c r="B33" s="27" t="s">
        <v>2152</v>
      </c>
      <c r="C33" s="27" t="s">
        <v>171</v>
      </c>
      <c r="D33" s="27" t="s">
        <v>4650</v>
      </c>
      <c r="E33" s="10">
        <v>50</v>
      </c>
      <c r="F33" s="36" t="s">
        <v>263</v>
      </c>
      <c r="G33" s="27" t="s">
        <v>315</v>
      </c>
      <c r="H33" s="27" t="s">
        <v>330</v>
      </c>
      <c r="I33" s="27"/>
      <c r="J33" s="27"/>
      <c r="K33" s="27" t="s">
        <v>367</v>
      </c>
      <c r="L33" s="27"/>
      <c r="M33" s="27"/>
      <c r="N33" s="1" t="s">
        <v>264</v>
      </c>
      <c r="O33" s="27" t="s">
        <v>2611</v>
      </c>
      <c r="P33" s="27"/>
    </row>
    <row r="34" spans="1:16" ht="24" customHeight="1">
      <c r="A34" s="30" t="s">
        <v>4649</v>
      </c>
      <c r="B34" s="27" t="s">
        <v>2152</v>
      </c>
      <c r="C34" s="27" t="s">
        <v>171</v>
      </c>
      <c r="D34" s="27" t="s">
        <v>4651</v>
      </c>
      <c r="E34" s="10">
        <v>50</v>
      </c>
      <c r="F34" s="36" t="s">
        <v>263</v>
      </c>
      <c r="G34" s="27" t="s">
        <v>295</v>
      </c>
      <c r="H34" s="27" t="s">
        <v>296</v>
      </c>
      <c r="I34" s="27"/>
      <c r="J34" s="27"/>
      <c r="K34" s="27" t="s">
        <v>367</v>
      </c>
      <c r="L34" s="27"/>
      <c r="M34" s="27"/>
      <c r="N34" s="1" t="s">
        <v>264</v>
      </c>
      <c r="O34" s="27" t="s">
        <v>2611</v>
      </c>
      <c r="P34" s="27"/>
    </row>
    <row r="35" spans="1:16" ht="24" customHeight="1">
      <c r="A35" s="30" t="s">
        <v>4649</v>
      </c>
      <c r="B35" s="27" t="s">
        <v>2152</v>
      </c>
      <c r="C35" s="27" t="s">
        <v>954</v>
      </c>
      <c r="D35" s="27" t="s">
        <v>4583</v>
      </c>
      <c r="E35" s="10">
        <v>40</v>
      </c>
      <c r="F35" s="36" t="s">
        <v>263</v>
      </c>
      <c r="G35" s="27" t="s">
        <v>295</v>
      </c>
      <c r="H35" s="27" t="s">
        <v>270</v>
      </c>
      <c r="I35" s="27"/>
      <c r="J35" s="27"/>
      <c r="K35" s="27" t="s">
        <v>2668</v>
      </c>
      <c r="L35" s="27"/>
      <c r="M35" s="30" t="s">
        <v>4560</v>
      </c>
      <c r="N35" s="1" t="s">
        <v>264</v>
      </c>
      <c r="O35" s="27" t="s">
        <v>4561</v>
      </c>
      <c r="P35" s="27"/>
    </row>
    <row r="36" spans="1:16" ht="24" customHeight="1">
      <c r="A36" s="30" t="s">
        <v>4652</v>
      </c>
      <c r="B36" s="27" t="s">
        <v>220</v>
      </c>
      <c r="C36" s="27" t="s">
        <v>171</v>
      </c>
      <c r="D36" s="27" t="s">
        <v>3966</v>
      </c>
      <c r="E36" s="10">
        <v>50</v>
      </c>
      <c r="F36" s="36" t="s">
        <v>263</v>
      </c>
      <c r="G36" s="27" t="s">
        <v>295</v>
      </c>
      <c r="H36" s="27" t="s">
        <v>290</v>
      </c>
      <c r="I36" s="27"/>
      <c r="J36" s="27"/>
      <c r="K36" s="27" t="s">
        <v>351</v>
      </c>
      <c r="L36" s="27"/>
      <c r="M36" s="30" t="s">
        <v>4653</v>
      </c>
      <c r="N36" s="1" t="s">
        <v>264</v>
      </c>
      <c r="O36" s="27" t="s">
        <v>2611</v>
      </c>
      <c r="P36" s="27"/>
    </row>
    <row r="37" spans="1:16" ht="24" customHeight="1">
      <c r="A37" s="30" t="s">
        <v>4652</v>
      </c>
      <c r="B37" s="27" t="s">
        <v>220</v>
      </c>
      <c r="C37" s="27" t="s">
        <v>326</v>
      </c>
      <c r="D37" s="27" t="s">
        <v>4654</v>
      </c>
      <c r="E37" s="10">
        <v>30</v>
      </c>
      <c r="F37" s="36" t="s">
        <v>263</v>
      </c>
      <c r="G37" s="27" t="s">
        <v>289</v>
      </c>
      <c r="H37" s="27" t="s">
        <v>296</v>
      </c>
      <c r="I37" s="27"/>
      <c r="J37" s="27"/>
      <c r="K37" s="27" t="s">
        <v>4655</v>
      </c>
      <c r="L37" s="27"/>
      <c r="M37" s="27" t="s">
        <v>4656</v>
      </c>
      <c r="N37" s="1" t="s">
        <v>264</v>
      </c>
      <c r="O37" s="27" t="s">
        <v>4657</v>
      </c>
      <c r="P37" s="27"/>
    </row>
    <row r="38" spans="1:16" ht="24" customHeight="1">
      <c r="A38" s="30" t="s">
        <v>4658</v>
      </c>
      <c r="B38" s="27" t="s">
        <v>266</v>
      </c>
      <c r="C38" s="27"/>
      <c r="D38" s="27" t="s">
        <v>300</v>
      </c>
      <c r="E38" s="10"/>
      <c r="F38" s="36" t="s">
        <v>263</v>
      </c>
      <c r="G38" s="27"/>
      <c r="H38" s="27"/>
      <c r="I38" s="27"/>
      <c r="J38" s="27"/>
      <c r="K38" s="27"/>
      <c r="L38" s="27"/>
      <c r="M38" s="27"/>
      <c r="N38" s="1" t="s">
        <v>264</v>
      </c>
      <c r="O38" s="27"/>
      <c r="P38" s="27"/>
    </row>
    <row r="39" spans="1:16" ht="24" customHeight="1">
      <c r="A39" s="30" t="s">
        <v>4659</v>
      </c>
      <c r="B39" s="27" t="s">
        <v>267</v>
      </c>
      <c r="C39" s="27"/>
      <c r="D39" s="27"/>
      <c r="E39" s="10"/>
      <c r="F39" s="36" t="s">
        <v>263</v>
      </c>
      <c r="G39" s="27"/>
      <c r="H39" s="27"/>
      <c r="I39" s="27"/>
      <c r="J39" s="27"/>
      <c r="K39" s="27"/>
      <c r="L39" s="27"/>
      <c r="M39" s="27"/>
      <c r="N39" s="1" t="s">
        <v>264</v>
      </c>
      <c r="O39" s="27"/>
      <c r="P39" s="27"/>
    </row>
    <row r="40" spans="1:16" ht="24" customHeight="1">
      <c r="A40" s="30" t="s">
        <v>4660</v>
      </c>
      <c r="B40" s="27" t="s">
        <v>224</v>
      </c>
      <c r="C40" s="27" t="s">
        <v>4661</v>
      </c>
      <c r="D40" s="27" t="s">
        <v>4662</v>
      </c>
      <c r="E40" s="10"/>
      <c r="F40" s="36" t="s">
        <v>263</v>
      </c>
      <c r="G40" s="27" t="s">
        <v>269</v>
      </c>
      <c r="H40" s="27" t="s">
        <v>544</v>
      </c>
      <c r="I40" s="27"/>
      <c r="J40" s="27"/>
      <c r="K40" s="27" t="s">
        <v>2584</v>
      </c>
      <c r="L40" s="27"/>
      <c r="M40" s="27"/>
      <c r="N40" s="1" t="s">
        <v>264</v>
      </c>
      <c r="O40" s="27"/>
      <c r="P40" s="27"/>
    </row>
    <row r="41" spans="1:16" ht="24" customHeight="1">
      <c r="A41" s="30" t="s">
        <v>4660</v>
      </c>
      <c r="B41" s="27" t="s">
        <v>224</v>
      </c>
      <c r="C41" s="27" t="s">
        <v>4663</v>
      </c>
      <c r="D41" s="27" t="s">
        <v>4664</v>
      </c>
      <c r="E41" s="10" t="s">
        <v>4665</v>
      </c>
      <c r="F41" s="36" t="s">
        <v>263</v>
      </c>
      <c r="G41" s="27" t="s">
        <v>269</v>
      </c>
      <c r="H41" s="27" t="s">
        <v>270</v>
      </c>
      <c r="I41" s="27"/>
      <c r="J41" s="27"/>
      <c r="K41" s="27" t="s">
        <v>4666</v>
      </c>
      <c r="L41" s="27"/>
      <c r="M41" s="27"/>
      <c r="N41" s="1" t="s">
        <v>264</v>
      </c>
      <c r="O41" s="27" t="s">
        <v>4667</v>
      </c>
      <c r="P41" s="27"/>
    </row>
    <row r="42" spans="1:16" ht="24" customHeight="1">
      <c r="A42" s="30" t="s">
        <v>4660</v>
      </c>
      <c r="B42" s="27" t="s">
        <v>224</v>
      </c>
      <c r="C42" s="27" t="s">
        <v>2782</v>
      </c>
      <c r="D42" s="27" t="s">
        <v>4664</v>
      </c>
      <c r="E42" s="10" t="s">
        <v>4668</v>
      </c>
      <c r="F42" s="36" t="s">
        <v>263</v>
      </c>
      <c r="G42" s="27" t="s">
        <v>604</v>
      </c>
      <c r="H42" s="27" t="s">
        <v>270</v>
      </c>
      <c r="I42" s="27"/>
      <c r="J42" s="27"/>
      <c r="K42" s="27" t="s">
        <v>583</v>
      </c>
      <c r="L42" s="27"/>
      <c r="M42" s="27"/>
      <c r="N42" s="1" t="s">
        <v>264</v>
      </c>
      <c r="O42" s="27" t="s">
        <v>4669</v>
      </c>
      <c r="P42" s="27"/>
    </row>
    <row r="43" spans="1:16" ht="24" customHeight="1">
      <c r="A43" s="30" t="s">
        <v>4660</v>
      </c>
      <c r="B43" s="27" t="s">
        <v>224</v>
      </c>
      <c r="C43" s="27" t="s">
        <v>1055</v>
      </c>
      <c r="D43" s="27" t="s">
        <v>4670</v>
      </c>
      <c r="E43" s="10" t="s">
        <v>4671</v>
      </c>
      <c r="F43" s="36" t="s">
        <v>263</v>
      </c>
      <c r="G43" s="27" t="s">
        <v>331</v>
      </c>
      <c r="H43" s="27" t="s">
        <v>350</v>
      </c>
      <c r="I43" s="27"/>
      <c r="J43" s="27"/>
      <c r="K43" s="27"/>
      <c r="L43" s="27"/>
      <c r="M43" s="27"/>
      <c r="N43" s="1" t="s">
        <v>264</v>
      </c>
      <c r="O43" s="27" t="s">
        <v>4672</v>
      </c>
      <c r="P43" s="27"/>
    </row>
    <row r="44" spans="1:16" ht="24" customHeight="1">
      <c r="A44" s="30" t="s">
        <v>4660</v>
      </c>
      <c r="B44" s="27" t="s">
        <v>224</v>
      </c>
      <c r="C44" s="27" t="s">
        <v>171</v>
      </c>
      <c r="D44" s="27" t="s">
        <v>4673</v>
      </c>
      <c r="E44" s="10">
        <v>40</v>
      </c>
      <c r="F44" s="36" t="s">
        <v>263</v>
      </c>
      <c r="G44" s="27" t="s">
        <v>295</v>
      </c>
      <c r="H44" s="27" t="s">
        <v>296</v>
      </c>
      <c r="I44" s="27"/>
      <c r="J44" s="27"/>
      <c r="K44" s="27" t="s">
        <v>2621</v>
      </c>
      <c r="L44" s="27"/>
      <c r="M44" s="27"/>
      <c r="N44" s="3" t="s">
        <v>312</v>
      </c>
      <c r="O44" s="27"/>
      <c r="P44" s="27" t="s">
        <v>1181</v>
      </c>
    </row>
    <row r="45" spans="1:16" ht="24" customHeight="1">
      <c r="A45" s="30" t="s">
        <v>4674</v>
      </c>
      <c r="B45" s="27" t="s">
        <v>227</v>
      </c>
      <c r="C45" s="27" t="s">
        <v>1055</v>
      </c>
      <c r="D45" s="27" t="s">
        <v>4675</v>
      </c>
      <c r="E45" s="10"/>
      <c r="F45" s="36" t="s">
        <v>263</v>
      </c>
      <c r="G45" s="27"/>
      <c r="H45" s="27"/>
      <c r="I45" s="27"/>
      <c r="J45" s="27"/>
      <c r="K45" s="27"/>
      <c r="L45" s="27"/>
      <c r="M45" s="27"/>
      <c r="N45" s="1" t="s">
        <v>264</v>
      </c>
      <c r="O45" s="27"/>
      <c r="P45" s="27"/>
    </row>
    <row r="46" spans="1:16" ht="24" customHeight="1">
      <c r="A46" s="30" t="s">
        <v>4674</v>
      </c>
      <c r="B46" s="27" t="s">
        <v>227</v>
      </c>
      <c r="C46" s="27" t="s">
        <v>2963</v>
      </c>
      <c r="D46" s="27" t="s">
        <v>4676</v>
      </c>
      <c r="E46" s="10"/>
      <c r="F46" s="36" t="s">
        <v>263</v>
      </c>
      <c r="G46" s="27" t="s">
        <v>331</v>
      </c>
      <c r="H46" s="27" t="s">
        <v>3569</v>
      </c>
      <c r="I46" s="27"/>
      <c r="J46" s="27"/>
      <c r="K46" s="27"/>
      <c r="L46" s="27"/>
      <c r="M46" s="27"/>
      <c r="N46" s="1" t="s">
        <v>264</v>
      </c>
      <c r="O46" s="27" t="s">
        <v>4677</v>
      </c>
      <c r="P46" s="27"/>
    </row>
    <row r="47" spans="1:16" ht="24" customHeight="1">
      <c r="A47" s="30" t="s">
        <v>4674</v>
      </c>
      <c r="B47" s="27" t="s">
        <v>227</v>
      </c>
      <c r="C47" s="27" t="s">
        <v>171</v>
      </c>
      <c r="D47" s="27" t="s">
        <v>4678</v>
      </c>
      <c r="E47" s="10">
        <v>40</v>
      </c>
      <c r="F47" s="36" t="s">
        <v>263</v>
      </c>
      <c r="G47" s="27" t="s">
        <v>330</v>
      </c>
      <c r="H47" s="27" t="s">
        <v>331</v>
      </c>
      <c r="I47" s="27"/>
      <c r="J47" s="27"/>
      <c r="K47" s="27" t="s">
        <v>2621</v>
      </c>
      <c r="L47" s="27"/>
      <c r="M47" s="27"/>
      <c r="N47" s="1" t="s">
        <v>264</v>
      </c>
      <c r="O47" s="27" t="s">
        <v>4679</v>
      </c>
      <c r="P47" s="27"/>
    </row>
    <row r="48" spans="1:16" ht="24" customHeight="1">
      <c r="A48" s="30" t="s">
        <v>4674</v>
      </c>
      <c r="B48" s="27" t="s">
        <v>227</v>
      </c>
      <c r="C48" s="27" t="s">
        <v>4680</v>
      </c>
      <c r="D48" s="27" t="s">
        <v>4664</v>
      </c>
      <c r="E48" s="10" t="s">
        <v>4668</v>
      </c>
      <c r="F48" s="36" t="s">
        <v>263</v>
      </c>
      <c r="G48" s="27" t="s">
        <v>604</v>
      </c>
      <c r="H48" s="27" t="s">
        <v>270</v>
      </c>
      <c r="I48" s="27"/>
      <c r="J48" s="27"/>
      <c r="K48" s="27" t="s">
        <v>583</v>
      </c>
      <c r="L48" s="27"/>
      <c r="M48" s="27"/>
      <c r="N48" s="1" t="s">
        <v>264</v>
      </c>
      <c r="O48" s="27" t="s">
        <v>4669</v>
      </c>
      <c r="P48" s="27"/>
    </row>
    <row r="49" spans="1:16" ht="24" customHeight="1">
      <c r="A49" s="30" t="s">
        <v>4674</v>
      </c>
      <c r="B49" s="27" t="s">
        <v>227</v>
      </c>
      <c r="C49" s="27" t="s">
        <v>1061</v>
      </c>
      <c r="D49" s="27" t="s">
        <v>327</v>
      </c>
      <c r="E49" s="10">
        <v>30</v>
      </c>
      <c r="F49" s="36" t="s">
        <v>263</v>
      </c>
      <c r="G49" s="27" t="s">
        <v>269</v>
      </c>
      <c r="H49" s="27" t="s">
        <v>270</v>
      </c>
      <c r="I49" s="27"/>
      <c r="J49" s="27"/>
      <c r="K49" s="27" t="s">
        <v>4681</v>
      </c>
      <c r="L49" s="27"/>
      <c r="M49" s="27"/>
      <c r="N49" s="1" t="s">
        <v>264</v>
      </c>
      <c r="O49" s="27" t="s">
        <v>4682</v>
      </c>
      <c r="P49" s="27"/>
    </row>
    <row r="50" spans="1:16" ht="24" customHeight="1">
      <c r="A50" s="30" t="s">
        <v>4674</v>
      </c>
      <c r="B50" s="27" t="s">
        <v>224</v>
      </c>
      <c r="C50" s="27" t="s">
        <v>4663</v>
      </c>
      <c r="D50" s="27" t="s">
        <v>4664</v>
      </c>
      <c r="E50" s="10" t="s">
        <v>4665</v>
      </c>
      <c r="F50" s="36" t="s">
        <v>263</v>
      </c>
      <c r="G50" s="27" t="s">
        <v>269</v>
      </c>
      <c r="H50" s="27" t="s">
        <v>270</v>
      </c>
      <c r="I50" s="27"/>
      <c r="J50" s="27"/>
      <c r="K50" s="27" t="s">
        <v>2621</v>
      </c>
      <c r="L50" s="27"/>
      <c r="M50" s="27"/>
      <c r="N50" s="1" t="s">
        <v>264</v>
      </c>
      <c r="O50" s="27" t="s">
        <v>4667</v>
      </c>
      <c r="P50" s="27"/>
    </row>
    <row r="51" spans="1:16" ht="24" customHeight="1">
      <c r="A51" s="30" t="s">
        <v>4674</v>
      </c>
      <c r="B51" s="27" t="s">
        <v>227</v>
      </c>
      <c r="C51" s="27" t="s">
        <v>2715</v>
      </c>
      <c r="D51" s="27" t="s">
        <v>4683</v>
      </c>
      <c r="E51" s="10" t="s">
        <v>4668</v>
      </c>
      <c r="F51" s="36" t="s">
        <v>263</v>
      </c>
      <c r="G51" s="27" t="s">
        <v>309</v>
      </c>
      <c r="H51" s="27" t="s">
        <v>270</v>
      </c>
      <c r="I51" s="27" t="s">
        <v>531</v>
      </c>
      <c r="J51" s="27"/>
      <c r="K51" s="27" t="s">
        <v>507</v>
      </c>
      <c r="L51" s="27"/>
      <c r="M51" s="27"/>
      <c r="N51" s="1" t="s">
        <v>264</v>
      </c>
      <c r="O51" s="27" t="s">
        <v>4684</v>
      </c>
      <c r="P51" s="27"/>
    </row>
    <row r="52" spans="1:16" ht="24" customHeight="1">
      <c r="A52" s="30" t="s">
        <v>4674</v>
      </c>
      <c r="B52" s="27" t="s">
        <v>227</v>
      </c>
      <c r="C52" s="27" t="s">
        <v>1044</v>
      </c>
      <c r="D52" s="27" t="s">
        <v>2940</v>
      </c>
      <c r="E52" s="10">
        <v>150</v>
      </c>
      <c r="F52" s="38" t="s">
        <v>294</v>
      </c>
      <c r="G52" s="27" t="s">
        <v>295</v>
      </c>
      <c r="H52" s="27" t="s">
        <v>270</v>
      </c>
      <c r="I52" s="27" t="s">
        <v>531</v>
      </c>
      <c r="J52" s="27" t="s">
        <v>531</v>
      </c>
      <c r="K52" s="27" t="s">
        <v>2621</v>
      </c>
      <c r="L52" s="27"/>
      <c r="M52" s="30" t="s">
        <v>4685</v>
      </c>
      <c r="N52" s="1" t="s">
        <v>264</v>
      </c>
      <c r="O52" s="27"/>
      <c r="P52" s="27"/>
    </row>
    <row r="53" spans="1:16" ht="24" customHeight="1">
      <c r="A53" s="30" t="s">
        <v>4686</v>
      </c>
      <c r="B53" s="27" t="s">
        <v>201</v>
      </c>
      <c r="C53" s="27" t="s">
        <v>4687</v>
      </c>
      <c r="D53" s="27" t="s">
        <v>4664</v>
      </c>
      <c r="E53" s="10" t="s">
        <v>4668</v>
      </c>
      <c r="F53" s="36" t="s">
        <v>263</v>
      </c>
      <c r="G53" s="27" t="s">
        <v>604</v>
      </c>
      <c r="H53" s="27" t="s">
        <v>270</v>
      </c>
      <c r="I53" s="27"/>
      <c r="J53" s="27"/>
      <c r="K53" s="27" t="s">
        <v>583</v>
      </c>
      <c r="L53" s="27"/>
      <c r="M53" s="27"/>
      <c r="N53" s="1" t="s">
        <v>264</v>
      </c>
      <c r="O53" s="27" t="s">
        <v>4669</v>
      </c>
      <c r="P53" s="27"/>
    </row>
    <row r="54" spans="1:16" ht="24" customHeight="1">
      <c r="A54" s="30" t="s">
        <v>4686</v>
      </c>
      <c r="B54" s="27" t="s">
        <v>201</v>
      </c>
      <c r="C54" s="27" t="s">
        <v>1061</v>
      </c>
      <c r="D54" s="27" t="s">
        <v>327</v>
      </c>
      <c r="E54" s="10">
        <v>30</v>
      </c>
      <c r="F54" s="36" t="s">
        <v>263</v>
      </c>
      <c r="G54" s="27" t="s">
        <v>269</v>
      </c>
      <c r="H54" s="27" t="s">
        <v>270</v>
      </c>
      <c r="I54" s="27"/>
      <c r="J54" s="27"/>
      <c r="K54" s="27"/>
      <c r="L54" s="27"/>
      <c r="M54" s="27"/>
      <c r="N54" s="1" t="s">
        <v>264</v>
      </c>
      <c r="O54" s="27" t="s">
        <v>4688</v>
      </c>
      <c r="P54" s="27"/>
    </row>
    <row r="55" spans="1:16" ht="24" customHeight="1">
      <c r="A55" s="30" t="s">
        <v>4686</v>
      </c>
      <c r="B55" s="27" t="s">
        <v>201</v>
      </c>
      <c r="C55" s="27" t="s">
        <v>4663</v>
      </c>
      <c r="D55" s="27" t="s">
        <v>4664</v>
      </c>
      <c r="E55" s="10" t="s">
        <v>4665</v>
      </c>
      <c r="F55" s="36" t="s">
        <v>263</v>
      </c>
      <c r="G55" s="27" t="s">
        <v>269</v>
      </c>
      <c r="H55" s="27" t="s">
        <v>270</v>
      </c>
      <c r="I55" s="27"/>
      <c r="J55" s="27"/>
      <c r="K55" s="27" t="s">
        <v>2621</v>
      </c>
      <c r="L55" s="27"/>
      <c r="M55" s="27"/>
      <c r="N55" s="1" t="s">
        <v>264</v>
      </c>
      <c r="O55" s="27" t="s">
        <v>4667</v>
      </c>
      <c r="P55" s="27"/>
    </row>
    <row r="56" spans="1:16" ht="24" customHeight="1">
      <c r="A56" s="30" t="s">
        <v>4686</v>
      </c>
      <c r="B56" s="27" t="s">
        <v>201</v>
      </c>
      <c r="C56" s="27" t="s">
        <v>171</v>
      </c>
      <c r="D56" s="27" t="s">
        <v>4689</v>
      </c>
      <c r="E56" s="10"/>
      <c r="F56" s="36" t="s">
        <v>263</v>
      </c>
      <c r="G56" s="27" t="s">
        <v>338</v>
      </c>
      <c r="H56" s="27" t="s">
        <v>330</v>
      </c>
      <c r="I56" s="27"/>
      <c r="J56" s="27"/>
      <c r="K56" s="27" t="s">
        <v>583</v>
      </c>
      <c r="L56" s="27"/>
      <c r="M56" s="30" t="s">
        <v>4690</v>
      </c>
      <c r="N56" s="1" t="s">
        <v>264</v>
      </c>
      <c r="O56" s="27" t="s">
        <v>2611</v>
      </c>
      <c r="P56" s="27"/>
    </row>
    <row r="57" spans="1:16" ht="24" customHeight="1">
      <c r="A57" s="30" t="s">
        <v>4686</v>
      </c>
      <c r="B57" s="27" t="s">
        <v>201</v>
      </c>
      <c r="C57" s="27" t="s">
        <v>239</v>
      </c>
      <c r="D57" s="27" t="s">
        <v>828</v>
      </c>
      <c r="E57" s="10">
        <v>60</v>
      </c>
      <c r="F57" s="36" t="s">
        <v>263</v>
      </c>
      <c r="G57" s="27" t="s">
        <v>296</v>
      </c>
      <c r="H57" s="27" t="s">
        <v>1320</v>
      </c>
      <c r="I57" s="27" t="s">
        <v>531</v>
      </c>
      <c r="J57" s="27"/>
      <c r="K57" s="27" t="s">
        <v>583</v>
      </c>
      <c r="L57" s="27"/>
      <c r="M57" s="30" t="s">
        <v>4691</v>
      </c>
      <c r="N57" s="1" t="s">
        <v>264</v>
      </c>
      <c r="O57" s="27" t="s">
        <v>2611</v>
      </c>
      <c r="P57" s="27"/>
    </row>
    <row r="58" spans="1:16" ht="24" customHeight="1">
      <c r="A58" s="30" t="s">
        <v>4686</v>
      </c>
      <c r="B58" s="27" t="s">
        <v>201</v>
      </c>
      <c r="C58" s="27" t="s">
        <v>171</v>
      </c>
      <c r="D58" s="27" t="s">
        <v>4692</v>
      </c>
      <c r="E58" s="10">
        <v>60</v>
      </c>
      <c r="F58" s="36" t="s">
        <v>263</v>
      </c>
      <c r="G58" s="27" t="s">
        <v>295</v>
      </c>
      <c r="H58" s="27" t="s">
        <v>270</v>
      </c>
      <c r="I58" s="27" t="s">
        <v>531</v>
      </c>
      <c r="J58" s="27" t="s">
        <v>531</v>
      </c>
      <c r="K58" s="27" t="s">
        <v>4685</v>
      </c>
      <c r="L58" s="27"/>
      <c r="M58" s="30" t="s">
        <v>4685</v>
      </c>
      <c r="N58" s="1" t="s">
        <v>264</v>
      </c>
      <c r="O58" s="27" t="s">
        <v>2611</v>
      </c>
      <c r="P58" s="27"/>
    </row>
    <row r="59" spans="1:16" ht="24" customHeight="1">
      <c r="A59" s="30" t="s">
        <v>4693</v>
      </c>
      <c r="B59" s="27" t="s">
        <v>2152</v>
      </c>
      <c r="C59" s="27" t="s">
        <v>4694</v>
      </c>
      <c r="D59" s="27" t="s">
        <v>4664</v>
      </c>
      <c r="E59" s="10" t="s">
        <v>4695</v>
      </c>
      <c r="F59" s="36" t="s">
        <v>263</v>
      </c>
      <c r="G59" s="27" t="s">
        <v>269</v>
      </c>
      <c r="H59" s="27" t="s">
        <v>270</v>
      </c>
      <c r="I59" s="27" t="s">
        <v>2583</v>
      </c>
      <c r="J59" s="27"/>
      <c r="K59" s="27" t="s">
        <v>583</v>
      </c>
      <c r="L59" s="27"/>
      <c r="M59" s="27"/>
      <c r="N59" s="1" t="s">
        <v>264</v>
      </c>
      <c r="O59" s="27" t="s">
        <v>4696</v>
      </c>
      <c r="P59" s="27"/>
    </row>
    <row r="60" spans="1:16" ht="24" customHeight="1">
      <c r="A60" s="30" t="s">
        <v>4693</v>
      </c>
      <c r="B60" s="27" t="s">
        <v>2152</v>
      </c>
      <c r="C60" s="27" t="s">
        <v>4697</v>
      </c>
      <c r="D60" s="27" t="s">
        <v>4664</v>
      </c>
      <c r="E60" s="10" t="s">
        <v>4698</v>
      </c>
      <c r="F60" s="36" t="s">
        <v>263</v>
      </c>
      <c r="G60" s="27" t="s">
        <v>269</v>
      </c>
      <c r="H60" s="27" t="s">
        <v>270</v>
      </c>
      <c r="I60" s="27"/>
      <c r="J60" s="27"/>
      <c r="K60" s="27" t="s">
        <v>4681</v>
      </c>
      <c r="L60" s="27"/>
      <c r="M60" s="30" t="s">
        <v>4685</v>
      </c>
      <c r="N60" s="1" t="s">
        <v>264</v>
      </c>
      <c r="O60" s="27" t="s">
        <v>4667</v>
      </c>
      <c r="P60" s="27"/>
    </row>
    <row r="61" spans="1:16" ht="24" customHeight="1">
      <c r="A61" s="30" t="s">
        <v>4693</v>
      </c>
      <c r="B61" s="27" t="s">
        <v>2152</v>
      </c>
      <c r="C61" s="27" t="s">
        <v>486</v>
      </c>
      <c r="D61" s="27" t="s">
        <v>1155</v>
      </c>
      <c r="E61" s="10"/>
      <c r="F61" s="36" t="s">
        <v>263</v>
      </c>
      <c r="G61" s="27" t="s">
        <v>274</v>
      </c>
      <c r="H61" s="27" t="s">
        <v>330</v>
      </c>
      <c r="I61" s="27"/>
      <c r="J61" s="27"/>
      <c r="K61" s="27"/>
      <c r="L61" s="27"/>
      <c r="M61" s="27"/>
      <c r="N61" s="1" t="s">
        <v>264</v>
      </c>
      <c r="O61" s="27"/>
      <c r="P61" s="27"/>
    </row>
    <row r="62" spans="1:16" ht="24" customHeight="1">
      <c r="A62" s="30" t="s">
        <v>4693</v>
      </c>
      <c r="B62" s="27" t="s">
        <v>2152</v>
      </c>
      <c r="C62" s="27" t="s">
        <v>171</v>
      </c>
      <c r="D62" s="27" t="s">
        <v>3966</v>
      </c>
      <c r="E62" s="10">
        <v>50</v>
      </c>
      <c r="F62" s="36" t="s">
        <v>263</v>
      </c>
      <c r="G62" s="27" t="s">
        <v>295</v>
      </c>
      <c r="H62" s="27" t="s">
        <v>290</v>
      </c>
      <c r="I62" s="27"/>
      <c r="J62" s="27"/>
      <c r="K62" s="27" t="s">
        <v>351</v>
      </c>
      <c r="L62" s="27"/>
      <c r="M62" s="30" t="s">
        <v>4653</v>
      </c>
      <c r="N62" s="1" t="s">
        <v>264</v>
      </c>
      <c r="O62" s="27" t="s">
        <v>2611</v>
      </c>
      <c r="P62" s="27"/>
    </row>
    <row r="63" spans="1:16" ht="24" customHeight="1">
      <c r="A63" s="30" t="s">
        <v>4693</v>
      </c>
      <c r="B63" s="27" t="s">
        <v>2152</v>
      </c>
      <c r="C63" s="27" t="s">
        <v>171</v>
      </c>
      <c r="D63" s="27" t="s">
        <v>4583</v>
      </c>
      <c r="E63" s="10">
        <v>40</v>
      </c>
      <c r="F63" s="36" t="s">
        <v>263</v>
      </c>
      <c r="G63" s="27" t="s">
        <v>295</v>
      </c>
      <c r="H63" s="27" t="s">
        <v>270</v>
      </c>
      <c r="I63" s="27"/>
      <c r="J63" s="27"/>
      <c r="K63" s="27" t="s">
        <v>2668</v>
      </c>
      <c r="L63" s="27"/>
      <c r="M63" s="30" t="s">
        <v>4560</v>
      </c>
      <c r="N63" s="3" t="s">
        <v>312</v>
      </c>
      <c r="O63" s="27" t="s">
        <v>4561</v>
      </c>
      <c r="P63" s="27"/>
    </row>
    <row r="64" spans="1:16" ht="24" customHeight="1">
      <c r="A64" s="30" t="s">
        <v>4699</v>
      </c>
      <c r="B64" s="27" t="s">
        <v>220</v>
      </c>
      <c r="C64" s="27" t="s">
        <v>4694</v>
      </c>
      <c r="D64" s="27" t="s">
        <v>4664</v>
      </c>
      <c r="E64" s="10" t="s">
        <v>4668</v>
      </c>
      <c r="F64" s="36" t="s">
        <v>263</v>
      </c>
      <c r="G64" s="27" t="s">
        <v>604</v>
      </c>
      <c r="H64" s="27" t="s">
        <v>270</v>
      </c>
      <c r="I64" s="27"/>
      <c r="J64" s="27"/>
      <c r="K64" s="27" t="s">
        <v>583</v>
      </c>
      <c r="L64" s="27"/>
      <c r="M64" s="27"/>
      <c r="N64" s="1" t="s">
        <v>264</v>
      </c>
      <c r="O64" s="27" t="s">
        <v>4700</v>
      </c>
      <c r="P64" s="27"/>
    </row>
    <row r="65" spans="1:16" ht="24" customHeight="1">
      <c r="A65" s="30" t="s">
        <v>4699</v>
      </c>
      <c r="B65" s="27" t="s">
        <v>220</v>
      </c>
      <c r="C65" s="27" t="s">
        <v>4697</v>
      </c>
      <c r="D65" s="27" t="s">
        <v>4664</v>
      </c>
      <c r="E65" s="10" t="s">
        <v>4698</v>
      </c>
      <c r="F65" s="36" t="s">
        <v>263</v>
      </c>
      <c r="G65" s="27" t="s">
        <v>269</v>
      </c>
      <c r="H65" s="27" t="s">
        <v>270</v>
      </c>
      <c r="I65" s="27"/>
      <c r="J65" s="27"/>
      <c r="K65" s="27" t="s">
        <v>2621</v>
      </c>
      <c r="L65" s="27"/>
      <c r="M65" s="27"/>
      <c r="N65" s="1" t="s">
        <v>264</v>
      </c>
      <c r="O65" s="27" t="s">
        <v>4667</v>
      </c>
      <c r="P65" s="27"/>
    </row>
    <row r="66" spans="1:16" ht="24" customHeight="1">
      <c r="A66" s="30" t="s">
        <v>4699</v>
      </c>
      <c r="B66" s="27" t="s">
        <v>220</v>
      </c>
      <c r="C66" s="27" t="s">
        <v>4701</v>
      </c>
      <c r="D66" s="27" t="s">
        <v>4664</v>
      </c>
      <c r="E66" s="10" t="s">
        <v>4702</v>
      </c>
      <c r="F66" s="36" t="s">
        <v>263</v>
      </c>
      <c r="G66" s="27" t="s">
        <v>269</v>
      </c>
      <c r="H66" s="27" t="s">
        <v>270</v>
      </c>
      <c r="I66" s="27"/>
      <c r="J66" s="27"/>
      <c r="K66" s="27" t="s">
        <v>699</v>
      </c>
      <c r="L66" s="27"/>
      <c r="M66" s="27"/>
      <c r="N66" s="1" t="s">
        <v>264</v>
      </c>
      <c r="O66" s="27" t="s">
        <v>4703</v>
      </c>
      <c r="P66" s="27"/>
    </row>
    <row r="67" spans="1:16" ht="24" customHeight="1">
      <c r="A67" s="30" t="s">
        <v>4699</v>
      </c>
      <c r="B67" s="27" t="s">
        <v>220</v>
      </c>
      <c r="C67" s="27" t="s">
        <v>171</v>
      </c>
      <c r="D67" s="27" t="s">
        <v>4704</v>
      </c>
      <c r="E67" s="10">
        <v>50</v>
      </c>
      <c r="F67" s="36" t="s">
        <v>263</v>
      </c>
      <c r="G67" s="27" t="s">
        <v>275</v>
      </c>
      <c r="H67" s="27" t="s">
        <v>290</v>
      </c>
      <c r="I67" s="27"/>
      <c r="J67" s="27"/>
      <c r="K67" s="27" t="s">
        <v>351</v>
      </c>
      <c r="L67" s="27"/>
      <c r="M67" s="30" t="s">
        <v>4691</v>
      </c>
      <c r="N67" s="1" t="s">
        <v>264</v>
      </c>
      <c r="O67" s="27" t="s">
        <v>4382</v>
      </c>
      <c r="P67" s="27"/>
    </row>
    <row r="68" spans="1:16" ht="24" customHeight="1">
      <c r="A68" s="30" t="s">
        <v>4705</v>
      </c>
      <c r="B68" s="27" t="s">
        <v>266</v>
      </c>
      <c r="C68" s="27"/>
      <c r="D68" s="27"/>
      <c r="E68" s="10"/>
      <c r="F68" s="36" t="s">
        <v>263</v>
      </c>
      <c r="G68" s="27"/>
      <c r="H68" s="27"/>
      <c r="I68" s="27"/>
      <c r="J68" s="27"/>
      <c r="K68" s="27"/>
      <c r="L68" s="27"/>
      <c r="M68" s="27"/>
      <c r="N68" s="1" t="s">
        <v>264</v>
      </c>
      <c r="O68" s="27"/>
      <c r="P68" s="27"/>
    </row>
    <row r="69" spans="1:16" ht="24" customHeight="1">
      <c r="A69" s="30" t="s">
        <v>4706</v>
      </c>
      <c r="B69" s="27" t="s">
        <v>267</v>
      </c>
      <c r="C69" s="27"/>
      <c r="D69" s="27"/>
      <c r="E69" s="10"/>
      <c r="F69" s="36" t="s">
        <v>263</v>
      </c>
      <c r="G69" s="27"/>
      <c r="H69" s="27"/>
      <c r="I69" s="27"/>
      <c r="J69" s="27"/>
      <c r="K69" s="27"/>
      <c r="L69" s="27"/>
      <c r="M69" s="27"/>
      <c r="N69" s="1" t="s">
        <v>264</v>
      </c>
      <c r="O69" s="27"/>
      <c r="P69" s="27"/>
    </row>
    <row r="70" spans="1:16" ht="24" customHeight="1">
      <c r="A70" s="30" t="s">
        <v>4707</v>
      </c>
      <c r="B70" s="27" t="s">
        <v>224</v>
      </c>
      <c r="C70" s="27" t="s">
        <v>171</v>
      </c>
      <c r="D70" s="27" t="s">
        <v>4708</v>
      </c>
      <c r="E70" s="10"/>
      <c r="F70" s="36" t="s">
        <v>263</v>
      </c>
      <c r="G70" s="27" t="s">
        <v>281</v>
      </c>
      <c r="H70" s="27" t="s">
        <v>315</v>
      </c>
      <c r="I70" s="27" t="s">
        <v>531</v>
      </c>
      <c r="J70" s="27" t="s">
        <v>531</v>
      </c>
      <c r="K70" s="27" t="s">
        <v>945</v>
      </c>
      <c r="L70" s="27"/>
      <c r="M70" s="30" t="s">
        <v>4691</v>
      </c>
      <c r="N70" s="1" t="s">
        <v>264</v>
      </c>
      <c r="O70" s="27" t="s">
        <v>2611</v>
      </c>
      <c r="P70" s="27"/>
    </row>
    <row r="71" spans="1:16" ht="24" customHeight="1">
      <c r="A71" s="30" t="s">
        <v>4707</v>
      </c>
      <c r="B71" s="27" t="s">
        <v>224</v>
      </c>
      <c r="C71" s="27" t="s">
        <v>1061</v>
      </c>
      <c r="D71" s="27" t="s">
        <v>236</v>
      </c>
      <c r="E71" s="10">
        <v>9</v>
      </c>
      <c r="F71" s="36" t="s">
        <v>263</v>
      </c>
      <c r="G71" s="27" t="s">
        <v>281</v>
      </c>
      <c r="H71" s="27" t="s">
        <v>315</v>
      </c>
      <c r="I71" s="27" t="s">
        <v>531</v>
      </c>
      <c r="J71" s="27" t="s">
        <v>531</v>
      </c>
      <c r="K71" s="27" t="s">
        <v>2584</v>
      </c>
      <c r="L71" s="27"/>
      <c r="M71" s="27"/>
      <c r="N71" s="1" t="s">
        <v>264</v>
      </c>
      <c r="O71" s="27" t="s">
        <v>2611</v>
      </c>
      <c r="P71" s="27"/>
    </row>
    <row r="72" spans="1:16" ht="24" customHeight="1">
      <c r="A72" s="30" t="s">
        <v>4707</v>
      </c>
      <c r="B72" s="27" t="s">
        <v>224</v>
      </c>
      <c r="C72" s="27" t="s">
        <v>4701</v>
      </c>
      <c r="D72" s="27" t="s">
        <v>4664</v>
      </c>
      <c r="E72" s="10" t="s">
        <v>4702</v>
      </c>
      <c r="F72" s="36" t="s">
        <v>263</v>
      </c>
      <c r="G72" s="27" t="s">
        <v>269</v>
      </c>
      <c r="H72" s="27" t="s">
        <v>270</v>
      </c>
      <c r="I72" s="27"/>
      <c r="J72" s="27"/>
      <c r="K72" s="27" t="s">
        <v>699</v>
      </c>
      <c r="L72" s="27"/>
      <c r="M72" s="27"/>
      <c r="N72" s="1" t="s">
        <v>264</v>
      </c>
      <c r="O72" s="27" t="s">
        <v>4709</v>
      </c>
      <c r="P72" s="27"/>
    </row>
    <row r="73" spans="1:16" ht="24" customHeight="1">
      <c r="A73" s="30" t="s">
        <v>4710</v>
      </c>
      <c r="B73" s="27" t="s">
        <v>227</v>
      </c>
      <c r="C73" s="27" t="s">
        <v>171</v>
      </c>
      <c r="D73" s="27" t="s">
        <v>4704</v>
      </c>
      <c r="E73" s="10"/>
      <c r="F73" s="36" t="s">
        <v>263</v>
      </c>
      <c r="G73" s="27" t="s">
        <v>295</v>
      </c>
      <c r="H73" s="27" t="s">
        <v>290</v>
      </c>
      <c r="I73" s="27"/>
      <c r="J73" s="27"/>
      <c r="K73" s="27" t="s">
        <v>351</v>
      </c>
      <c r="L73" s="27"/>
      <c r="M73" s="27"/>
      <c r="N73" s="1" t="s">
        <v>264</v>
      </c>
      <c r="O73" s="27" t="s">
        <v>4382</v>
      </c>
      <c r="P73" s="27"/>
    </row>
    <row r="74" spans="1:16" ht="24" customHeight="1">
      <c r="A74" s="30" t="s">
        <v>4710</v>
      </c>
      <c r="B74" s="27" t="s">
        <v>227</v>
      </c>
      <c r="C74" s="27" t="s">
        <v>2716</v>
      </c>
      <c r="D74" s="27"/>
      <c r="E74" s="10"/>
      <c r="F74" s="36" t="s">
        <v>263</v>
      </c>
      <c r="G74" s="27"/>
      <c r="H74" s="27"/>
      <c r="I74" s="27"/>
      <c r="J74" s="27"/>
      <c r="K74" s="27"/>
      <c r="L74" s="27"/>
      <c r="M74" s="27"/>
      <c r="N74" s="1" t="s">
        <v>264</v>
      </c>
      <c r="O74" s="27" t="s">
        <v>4709</v>
      </c>
      <c r="P74" s="27"/>
    </row>
    <row r="75" spans="1:16" ht="24" customHeight="1">
      <c r="A75" s="30" t="s">
        <v>4710</v>
      </c>
      <c r="B75" s="27" t="s">
        <v>227</v>
      </c>
      <c r="C75" s="27" t="s">
        <v>4701</v>
      </c>
      <c r="D75" s="27" t="s">
        <v>4664</v>
      </c>
      <c r="E75" s="10" t="s">
        <v>4702</v>
      </c>
      <c r="F75" s="36" t="s">
        <v>263</v>
      </c>
      <c r="G75" s="27" t="s">
        <v>269</v>
      </c>
      <c r="H75" s="27" t="s">
        <v>270</v>
      </c>
      <c r="I75" s="27"/>
      <c r="J75" s="27"/>
      <c r="K75" s="27" t="s">
        <v>699</v>
      </c>
      <c r="L75" s="27"/>
      <c r="M75" s="27"/>
      <c r="N75" s="1" t="s">
        <v>264</v>
      </c>
      <c r="O75" s="27" t="s">
        <v>4709</v>
      </c>
      <c r="P75" s="27"/>
    </row>
    <row r="76" spans="1:16" ht="24" customHeight="1">
      <c r="A76" s="30" t="s">
        <v>4711</v>
      </c>
      <c r="B76" s="27" t="s">
        <v>201</v>
      </c>
      <c r="C76" s="27" t="s">
        <v>4701</v>
      </c>
      <c r="D76" s="27" t="s">
        <v>4664</v>
      </c>
      <c r="E76" s="10" t="s">
        <v>4702</v>
      </c>
      <c r="F76" s="36" t="s">
        <v>263</v>
      </c>
      <c r="G76" s="27" t="s">
        <v>269</v>
      </c>
      <c r="H76" s="27" t="s">
        <v>270</v>
      </c>
      <c r="I76" s="27"/>
      <c r="J76" s="27"/>
      <c r="K76" s="27" t="s">
        <v>699</v>
      </c>
      <c r="L76" s="27"/>
      <c r="M76" s="27"/>
      <c r="N76" s="1" t="s">
        <v>264</v>
      </c>
      <c r="O76" s="27" t="s">
        <v>4709</v>
      </c>
      <c r="P76" s="27"/>
    </row>
    <row r="77" spans="1:16" ht="24" customHeight="1">
      <c r="A77" s="30" t="s">
        <v>4711</v>
      </c>
      <c r="B77" s="27" t="s">
        <v>201</v>
      </c>
      <c r="C77" s="27" t="s">
        <v>2740</v>
      </c>
      <c r="D77" s="27" t="s">
        <v>4664</v>
      </c>
      <c r="E77" s="10" t="s">
        <v>4702</v>
      </c>
      <c r="F77" s="36" t="s">
        <v>263</v>
      </c>
      <c r="G77" s="27" t="s">
        <v>269</v>
      </c>
      <c r="H77" s="27" t="s">
        <v>270</v>
      </c>
      <c r="I77" s="27"/>
      <c r="J77" s="27"/>
      <c r="K77" s="27" t="s">
        <v>4712</v>
      </c>
      <c r="L77" s="27"/>
      <c r="M77" s="27"/>
      <c r="N77" s="1" t="s">
        <v>264</v>
      </c>
      <c r="O77" s="27" t="s">
        <v>4713</v>
      </c>
      <c r="P77" s="27"/>
    </row>
    <row r="78" spans="1:16" ht="24" customHeight="1">
      <c r="A78" s="30" t="s">
        <v>4711</v>
      </c>
      <c r="B78" s="27" t="s">
        <v>201</v>
      </c>
      <c r="C78" s="27" t="s">
        <v>171</v>
      </c>
      <c r="D78" s="27" t="s">
        <v>3497</v>
      </c>
      <c r="E78" s="10" t="s">
        <v>4714</v>
      </c>
      <c r="F78" s="36" t="s">
        <v>263</v>
      </c>
      <c r="G78" s="27" t="s">
        <v>315</v>
      </c>
      <c r="H78" s="27" t="s">
        <v>429</v>
      </c>
      <c r="I78" s="27"/>
      <c r="J78" s="27"/>
      <c r="K78" s="27" t="s">
        <v>4715</v>
      </c>
      <c r="L78" s="27"/>
      <c r="M78" s="27"/>
      <c r="N78" s="1" t="s">
        <v>264</v>
      </c>
      <c r="O78" s="27"/>
      <c r="P78" s="27"/>
    </row>
    <row r="79" spans="1:16" ht="24" customHeight="1">
      <c r="A79" s="30" t="s">
        <v>4711</v>
      </c>
      <c r="B79" s="27" t="s">
        <v>201</v>
      </c>
      <c r="C79" s="27" t="s">
        <v>486</v>
      </c>
      <c r="D79" s="27" t="s">
        <v>4716</v>
      </c>
      <c r="E79" s="10">
        <v>100</v>
      </c>
      <c r="F79" s="38" t="s">
        <v>294</v>
      </c>
      <c r="G79" s="27" t="s">
        <v>295</v>
      </c>
      <c r="H79" s="27" t="s">
        <v>296</v>
      </c>
      <c r="I79" s="27"/>
      <c r="J79" s="27"/>
      <c r="K79" s="27" t="s">
        <v>4717</v>
      </c>
      <c r="L79" s="27"/>
      <c r="M79" s="27"/>
      <c r="N79" s="1" t="s">
        <v>264</v>
      </c>
      <c r="O79" s="27" t="s">
        <v>2611</v>
      </c>
      <c r="P79" s="27"/>
    </row>
    <row r="80" spans="1:16" ht="24" customHeight="1">
      <c r="A80" s="30" t="s">
        <v>4711</v>
      </c>
      <c r="B80" s="27" t="s">
        <v>201</v>
      </c>
      <c r="C80" s="27" t="s">
        <v>171</v>
      </c>
      <c r="D80" s="27" t="s">
        <v>4704</v>
      </c>
      <c r="E80" s="10"/>
      <c r="F80" s="36" t="s">
        <v>263</v>
      </c>
      <c r="G80" s="27" t="s">
        <v>295</v>
      </c>
      <c r="H80" s="27" t="s">
        <v>290</v>
      </c>
      <c r="I80" s="27"/>
      <c r="J80" s="27"/>
      <c r="K80" s="27" t="s">
        <v>351</v>
      </c>
      <c r="L80" s="27"/>
      <c r="M80" s="27"/>
      <c r="N80" s="3" t="s">
        <v>312</v>
      </c>
      <c r="O80" s="27" t="s">
        <v>4382</v>
      </c>
      <c r="P80" s="27"/>
    </row>
    <row r="81" spans="1:16" ht="24" customHeight="1">
      <c r="A81" s="30" t="s">
        <v>4711</v>
      </c>
      <c r="B81" s="27" t="s">
        <v>201</v>
      </c>
      <c r="C81" s="27" t="s">
        <v>2820</v>
      </c>
      <c r="D81" s="27" t="s">
        <v>4718</v>
      </c>
      <c r="E81" s="10"/>
      <c r="F81" s="36" t="s">
        <v>263</v>
      </c>
      <c r="G81" s="27" t="s">
        <v>295</v>
      </c>
      <c r="H81" s="27" t="s">
        <v>270</v>
      </c>
      <c r="I81" s="27"/>
      <c r="J81" s="27"/>
      <c r="K81" s="27" t="s">
        <v>2631</v>
      </c>
      <c r="L81" s="27"/>
      <c r="M81" s="30" t="s">
        <v>4719</v>
      </c>
      <c r="N81" s="3" t="s">
        <v>312</v>
      </c>
      <c r="O81" s="27"/>
      <c r="P81" s="27" t="s">
        <v>4720</v>
      </c>
    </row>
    <row r="82" spans="1:16" ht="24" customHeight="1">
      <c r="A82" s="30" t="s">
        <v>4721</v>
      </c>
      <c r="B82" s="27" t="s">
        <v>2152</v>
      </c>
      <c r="C82" s="27" t="s">
        <v>4701</v>
      </c>
      <c r="D82" s="27" t="s">
        <v>4664</v>
      </c>
      <c r="E82" s="10" t="s">
        <v>4702</v>
      </c>
      <c r="F82" s="36" t="s">
        <v>263</v>
      </c>
      <c r="G82" s="27" t="s">
        <v>269</v>
      </c>
      <c r="H82" s="27" t="s">
        <v>270</v>
      </c>
      <c r="I82" s="27"/>
      <c r="J82" s="27"/>
      <c r="K82" s="27" t="s">
        <v>699</v>
      </c>
      <c r="L82" s="27"/>
      <c r="M82" s="27"/>
      <c r="N82" s="1" t="s">
        <v>264</v>
      </c>
      <c r="O82" s="27" t="s">
        <v>4713</v>
      </c>
      <c r="P82" s="27"/>
    </row>
    <row r="83" spans="1:16" ht="24" customHeight="1">
      <c r="A83" s="30" t="s">
        <v>4721</v>
      </c>
      <c r="B83" s="27" t="s">
        <v>2152</v>
      </c>
      <c r="C83" s="27" t="s">
        <v>1050</v>
      </c>
      <c r="D83" s="27" t="s">
        <v>4722</v>
      </c>
      <c r="E83" s="10">
        <v>55</v>
      </c>
      <c r="F83" s="36" t="s">
        <v>263</v>
      </c>
      <c r="G83" s="27" t="s">
        <v>281</v>
      </c>
      <c r="H83" s="27" t="s">
        <v>4235</v>
      </c>
      <c r="I83" s="27"/>
      <c r="J83" s="27"/>
      <c r="K83" s="27" t="s">
        <v>2631</v>
      </c>
      <c r="L83" s="27"/>
      <c r="M83" s="30" t="s">
        <v>4723</v>
      </c>
      <c r="N83" s="3" t="s">
        <v>312</v>
      </c>
      <c r="O83" s="27"/>
      <c r="P83" s="27"/>
    </row>
    <row r="84" spans="1:16" ht="24" customHeight="1">
      <c r="A84" s="30" t="s">
        <v>4721</v>
      </c>
      <c r="B84" s="27" t="s">
        <v>2152</v>
      </c>
      <c r="C84" s="27" t="s">
        <v>1061</v>
      </c>
      <c r="D84" s="27" t="s">
        <v>4583</v>
      </c>
      <c r="E84" s="10">
        <v>40</v>
      </c>
      <c r="F84" s="36" t="s">
        <v>263</v>
      </c>
      <c r="G84" s="27" t="s">
        <v>295</v>
      </c>
      <c r="H84" s="27" t="s">
        <v>270</v>
      </c>
      <c r="I84" s="27"/>
      <c r="J84" s="27"/>
      <c r="K84" s="27" t="s">
        <v>2668</v>
      </c>
      <c r="L84" s="27"/>
      <c r="M84" s="30" t="s">
        <v>4560</v>
      </c>
      <c r="N84" s="1" t="s">
        <v>264</v>
      </c>
      <c r="O84" s="27" t="s">
        <v>4561</v>
      </c>
      <c r="P84" s="27"/>
    </row>
    <row r="85" spans="1:16" ht="24" customHeight="1">
      <c r="A85" s="30" t="s">
        <v>4721</v>
      </c>
      <c r="B85" s="27" t="s">
        <v>2152</v>
      </c>
      <c r="C85" s="27" t="s">
        <v>171</v>
      </c>
      <c r="D85" s="27" t="s">
        <v>4724</v>
      </c>
      <c r="E85" s="10">
        <v>30</v>
      </c>
      <c r="F85" s="36" t="s">
        <v>263</v>
      </c>
      <c r="G85" s="27" t="s">
        <v>295</v>
      </c>
      <c r="H85" s="27" t="s">
        <v>290</v>
      </c>
      <c r="I85" s="27"/>
      <c r="J85" s="27"/>
      <c r="K85" s="27" t="s">
        <v>351</v>
      </c>
      <c r="L85" s="27"/>
      <c r="M85" s="30" t="s">
        <v>4725</v>
      </c>
      <c r="N85" s="1" t="s">
        <v>264</v>
      </c>
      <c r="O85" s="27" t="s">
        <v>2611</v>
      </c>
      <c r="P85" s="27"/>
    </row>
    <row r="86" spans="1:16" ht="24" customHeight="1">
      <c r="A86" s="30" t="s">
        <v>4721</v>
      </c>
      <c r="B86" s="27" t="s">
        <v>2152</v>
      </c>
      <c r="C86" s="27" t="s">
        <v>954</v>
      </c>
      <c r="D86" s="27" t="s">
        <v>4726</v>
      </c>
      <c r="E86" s="10">
        <v>48</v>
      </c>
      <c r="F86" s="36" t="s">
        <v>263</v>
      </c>
      <c r="G86" s="27" t="s">
        <v>331</v>
      </c>
      <c r="H86" s="27" t="s">
        <v>350</v>
      </c>
      <c r="I86" s="27"/>
      <c r="J86" s="27"/>
      <c r="K86" s="27"/>
      <c r="L86" s="27"/>
      <c r="M86" s="27"/>
      <c r="N86" s="1" t="s">
        <v>264</v>
      </c>
      <c r="O86" s="27" t="s">
        <v>4727</v>
      </c>
      <c r="P86" s="27"/>
    </row>
    <row r="87" spans="1:16" ht="24" customHeight="1">
      <c r="A87" s="30" t="s">
        <v>4721</v>
      </c>
      <c r="B87" s="27" t="s">
        <v>2152</v>
      </c>
      <c r="C87" s="27" t="s">
        <v>4701</v>
      </c>
      <c r="D87" s="27" t="s">
        <v>4664</v>
      </c>
      <c r="E87" s="10" t="s">
        <v>4702</v>
      </c>
      <c r="F87" s="36" t="s">
        <v>263</v>
      </c>
      <c r="G87" s="27" t="s">
        <v>269</v>
      </c>
      <c r="H87" s="27" t="s">
        <v>270</v>
      </c>
      <c r="I87" s="27"/>
      <c r="J87" s="27"/>
      <c r="K87" s="27" t="s">
        <v>699</v>
      </c>
      <c r="L87" s="27"/>
      <c r="M87" s="27"/>
      <c r="N87" s="1" t="s">
        <v>264</v>
      </c>
      <c r="O87" s="27" t="s">
        <v>4728</v>
      </c>
      <c r="P87" s="27"/>
    </row>
    <row r="88" spans="1:16" ht="24" customHeight="1">
      <c r="A88" s="30" t="s">
        <v>4721</v>
      </c>
      <c r="B88" s="27" t="s">
        <v>2152</v>
      </c>
      <c r="C88" s="27" t="s">
        <v>2740</v>
      </c>
      <c r="D88" s="27" t="s">
        <v>4664</v>
      </c>
      <c r="E88" s="10" t="s">
        <v>4702</v>
      </c>
      <c r="F88" s="36" t="s">
        <v>263</v>
      </c>
      <c r="G88" s="27" t="s">
        <v>269</v>
      </c>
      <c r="H88" s="27" t="s">
        <v>270</v>
      </c>
      <c r="I88" s="27"/>
      <c r="J88" s="27"/>
      <c r="K88" s="27" t="s">
        <v>4712</v>
      </c>
      <c r="L88" s="27"/>
      <c r="M88" s="27"/>
      <c r="N88" s="1" t="s">
        <v>264</v>
      </c>
      <c r="O88" s="27" t="s">
        <v>4729</v>
      </c>
      <c r="P88" s="27"/>
    </row>
    <row r="89" spans="1:16" ht="24" customHeight="1">
      <c r="A89" s="30" t="s">
        <v>4730</v>
      </c>
      <c r="B89" s="27" t="s">
        <v>220</v>
      </c>
      <c r="C89" s="27" t="s">
        <v>2740</v>
      </c>
      <c r="D89" s="27" t="s">
        <v>4664</v>
      </c>
      <c r="E89" s="10" t="s">
        <v>4702</v>
      </c>
      <c r="F89" s="36" t="s">
        <v>263</v>
      </c>
      <c r="G89" s="27" t="s">
        <v>269</v>
      </c>
      <c r="H89" s="27" t="s">
        <v>270</v>
      </c>
      <c r="I89" s="27"/>
      <c r="J89" s="27"/>
      <c r="K89" s="27" t="s">
        <v>4712</v>
      </c>
      <c r="L89" s="27"/>
      <c r="M89" s="27"/>
      <c r="N89" s="1" t="s">
        <v>264</v>
      </c>
      <c r="O89" s="27" t="s">
        <v>4713</v>
      </c>
      <c r="P89" s="27"/>
    </row>
    <row r="90" spans="1:16" ht="24" customHeight="1">
      <c r="A90" s="30" t="s">
        <v>4730</v>
      </c>
      <c r="B90" s="27" t="s">
        <v>220</v>
      </c>
      <c r="C90" s="27" t="s">
        <v>4701</v>
      </c>
      <c r="D90" s="27" t="s">
        <v>4664</v>
      </c>
      <c r="E90" s="10" t="s">
        <v>4702</v>
      </c>
      <c r="F90" s="36" t="s">
        <v>263</v>
      </c>
      <c r="G90" s="27" t="s">
        <v>269</v>
      </c>
      <c r="H90" s="27" t="s">
        <v>270</v>
      </c>
      <c r="I90" s="27"/>
      <c r="J90" s="27"/>
      <c r="K90" s="27" t="s">
        <v>699</v>
      </c>
      <c r="L90" s="27"/>
      <c r="M90" s="27"/>
      <c r="N90" s="1" t="s">
        <v>264</v>
      </c>
      <c r="O90" s="27" t="s">
        <v>4713</v>
      </c>
      <c r="P90" s="27"/>
    </row>
    <row r="91" spans="1:16" ht="24" customHeight="1">
      <c r="A91" s="30" t="s">
        <v>4730</v>
      </c>
      <c r="B91" s="27" t="s">
        <v>220</v>
      </c>
      <c r="C91" s="27" t="s">
        <v>171</v>
      </c>
      <c r="D91" s="27" t="s">
        <v>658</v>
      </c>
      <c r="E91" s="10">
        <v>50</v>
      </c>
      <c r="F91" s="36" t="s">
        <v>263</v>
      </c>
      <c r="G91" s="27" t="s">
        <v>309</v>
      </c>
      <c r="H91" s="27" t="s">
        <v>270</v>
      </c>
      <c r="I91" s="27"/>
      <c r="J91" s="27"/>
      <c r="K91" s="27" t="s">
        <v>688</v>
      </c>
      <c r="L91" s="27"/>
      <c r="M91" s="30" t="s">
        <v>4731</v>
      </c>
      <c r="N91" s="1" t="s">
        <v>264</v>
      </c>
      <c r="O91" s="27"/>
      <c r="P91" s="27"/>
    </row>
    <row r="92" spans="1:16" ht="24" customHeight="1">
      <c r="A92" s="30" t="s">
        <v>4732</v>
      </c>
      <c r="B92" s="27" t="s">
        <v>266</v>
      </c>
      <c r="C92" s="27" t="s">
        <v>300</v>
      </c>
      <c r="D92" s="27"/>
      <c r="E92" s="10"/>
      <c r="F92" s="36" t="s">
        <v>263</v>
      </c>
      <c r="G92" s="27"/>
      <c r="H92" s="27"/>
      <c r="I92" s="27"/>
      <c r="J92" s="27"/>
      <c r="K92" s="27"/>
      <c r="L92" s="27"/>
      <c r="M92" s="27"/>
      <c r="N92" s="1" t="s">
        <v>264</v>
      </c>
      <c r="O92" s="27"/>
      <c r="P92" s="27"/>
    </row>
  </sheetData>
  <mergeCells count="3">
    <mergeCell ref="A1:C1"/>
    <mergeCell ref="D1:K1"/>
    <mergeCell ref="L1:P1"/>
  </mergeCells>
  <dataValidations count="2">
    <dataValidation type="list" allowBlank="1" sqref="M3:M142 N3:N92" xr:uid="{00000000-0002-0000-3300-000000000000}">
      <formula1>"Confirmed (Done),Pending Calendar Booking,Canceled"</formula1>
    </dataValidation>
    <dataValidation type="list" allowBlank="1" sqref="F3:F92" xr:uid="{00000000-0002-0000-3300-000001000000}">
      <formula1>"Big Event,Small Event"</formula1>
    </dataValidation>
  </dataValidations>
  <hyperlinks>
    <hyperlink ref="A1" location="'Dashboard'!A1" display="🏠 ⮌ RETURN TO DASHBOARD" xr:uid="{00000000-0004-0000-3300-000000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56"/>
  <sheetViews>
    <sheetView workbookViewId="0">
      <pane ySplit="2" topLeftCell="A3" activePane="bottomLeft" state="frozen"/>
      <selection pane="bottomLeft"/>
    </sheetView>
  </sheetViews>
  <sheetFormatPr defaultRowHeight="14.45"/>
  <cols>
    <col min="1" max="1" width="15" customWidth="1"/>
    <col min="2" max="2" width="12" customWidth="1"/>
    <col min="3" max="3" width="22" customWidth="1"/>
    <col min="4" max="4" width="48" customWidth="1"/>
    <col min="5" max="5" width="13" customWidth="1"/>
    <col min="6" max="6" width="15" customWidth="1"/>
    <col min="7" max="7" width="19" customWidth="1"/>
    <col min="8" max="8" width="17" customWidth="1"/>
    <col min="9" max="9" width="18" customWidth="1"/>
    <col min="10" max="10" width="22" customWidth="1"/>
    <col min="11" max="11" width="36" customWidth="1"/>
    <col min="12" max="12" width="25" customWidth="1"/>
    <col min="13" max="13" width="48" customWidth="1"/>
    <col min="14" max="14" width="25" customWidth="1"/>
    <col min="15" max="15" width="48" customWidth="1"/>
    <col min="16" max="16" width="28" customWidth="1"/>
  </cols>
  <sheetData>
    <row r="1" spans="1:16" ht="27.95" customHeight="1">
      <c r="A1" s="62" t="s">
        <v>2138</v>
      </c>
      <c r="B1" s="134"/>
      <c r="C1" s="135"/>
      <c r="D1" s="63" t="s">
        <v>4733</v>
      </c>
      <c r="E1" s="134"/>
      <c r="F1" s="134"/>
      <c r="G1" s="134"/>
      <c r="H1" s="134"/>
      <c r="I1" s="134"/>
      <c r="J1" s="134"/>
      <c r="K1" s="135"/>
      <c r="L1" s="61" t="s">
        <v>244</v>
      </c>
      <c r="M1" s="134"/>
      <c r="N1" s="134"/>
      <c r="O1" s="134"/>
      <c r="P1" s="135"/>
    </row>
    <row r="2" spans="1:16" ht="27.95" customHeight="1">
      <c r="A2" s="35" t="s">
        <v>246</v>
      </c>
      <c r="B2" s="35" t="s">
        <v>189</v>
      </c>
      <c r="C2" s="35" t="s">
        <v>190</v>
      </c>
      <c r="D2" s="35" t="s">
        <v>2140</v>
      </c>
      <c r="E2" s="35" t="s">
        <v>2141</v>
      </c>
      <c r="F2" s="35" t="s">
        <v>251</v>
      </c>
      <c r="G2" s="35" t="s">
        <v>2142</v>
      </c>
      <c r="H2" s="35" t="s">
        <v>2143</v>
      </c>
      <c r="I2" s="35" t="s">
        <v>2144</v>
      </c>
      <c r="J2" s="35" t="s">
        <v>255</v>
      </c>
      <c r="K2" s="35" t="s">
        <v>193</v>
      </c>
      <c r="L2" s="35" t="s">
        <v>256</v>
      </c>
      <c r="M2" s="35" t="s">
        <v>259</v>
      </c>
      <c r="N2" s="35" t="s">
        <v>194</v>
      </c>
      <c r="O2" s="35" t="s">
        <v>260</v>
      </c>
      <c r="P2" s="35" t="s">
        <v>261</v>
      </c>
    </row>
    <row r="3" spans="1:16" ht="24" customHeight="1">
      <c r="A3" s="30">
        <v>45303</v>
      </c>
      <c r="B3" s="27" t="s">
        <v>220</v>
      </c>
      <c r="C3" s="27"/>
      <c r="D3" s="27"/>
      <c r="E3" s="10"/>
      <c r="F3" s="36" t="s">
        <v>263</v>
      </c>
      <c r="G3" s="27"/>
      <c r="H3" s="27"/>
      <c r="I3" s="27"/>
      <c r="J3" s="27"/>
      <c r="K3" s="27"/>
      <c r="L3" s="27"/>
      <c r="M3" s="27"/>
      <c r="N3" s="1" t="s">
        <v>264</v>
      </c>
      <c r="O3" s="27"/>
      <c r="P3" s="27"/>
    </row>
    <row r="4" spans="1:16" ht="24" customHeight="1">
      <c r="A4" s="30">
        <v>45334</v>
      </c>
      <c r="B4" s="27" t="s">
        <v>224</v>
      </c>
      <c r="C4" s="27" t="s">
        <v>4701</v>
      </c>
      <c r="D4" s="27" t="s">
        <v>4664</v>
      </c>
      <c r="E4" s="10" t="s">
        <v>4702</v>
      </c>
      <c r="F4" s="36" t="s">
        <v>263</v>
      </c>
      <c r="G4" s="27" t="s">
        <v>269</v>
      </c>
      <c r="H4" s="27" t="s">
        <v>270</v>
      </c>
      <c r="I4" s="27"/>
      <c r="J4" s="27"/>
      <c r="K4" s="27" t="s">
        <v>699</v>
      </c>
      <c r="L4" s="27"/>
      <c r="M4" s="27"/>
      <c r="N4" s="1" t="s">
        <v>264</v>
      </c>
      <c r="O4" s="27" t="s">
        <v>4734</v>
      </c>
      <c r="P4" s="27"/>
    </row>
    <row r="5" spans="1:16" ht="24" customHeight="1">
      <c r="A5" s="30">
        <v>45334</v>
      </c>
      <c r="B5" s="27" t="s">
        <v>224</v>
      </c>
      <c r="C5" s="27" t="s">
        <v>235</v>
      </c>
      <c r="D5" s="27" t="s">
        <v>236</v>
      </c>
      <c r="E5" s="10">
        <v>39</v>
      </c>
      <c r="F5" s="36" t="s">
        <v>263</v>
      </c>
      <c r="G5" s="27" t="s">
        <v>269</v>
      </c>
      <c r="H5" s="27" t="s">
        <v>270</v>
      </c>
      <c r="I5" s="27"/>
      <c r="J5" s="27"/>
      <c r="K5" s="27" t="s">
        <v>2584</v>
      </c>
      <c r="L5" s="27"/>
      <c r="M5" s="27"/>
      <c r="N5" s="1" t="s">
        <v>264</v>
      </c>
      <c r="O5" s="27" t="s">
        <v>4735</v>
      </c>
      <c r="P5" s="27"/>
    </row>
    <row r="6" spans="1:16" ht="24" customHeight="1">
      <c r="A6" s="30">
        <v>45334</v>
      </c>
      <c r="B6" s="27" t="s">
        <v>224</v>
      </c>
      <c r="C6" s="27" t="s">
        <v>171</v>
      </c>
      <c r="D6" s="27" t="s">
        <v>4736</v>
      </c>
      <c r="E6" s="10">
        <v>22</v>
      </c>
      <c r="F6" s="36" t="s">
        <v>263</v>
      </c>
      <c r="G6" s="27" t="s">
        <v>506</v>
      </c>
      <c r="H6" s="27" t="s">
        <v>553</v>
      </c>
      <c r="I6" s="27" t="s">
        <v>2583</v>
      </c>
      <c r="J6" s="27" t="s">
        <v>610</v>
      </c>
      <c r="K6" s="27" t="s">
        <v>699</v>
      </c>
      <c r="L6" s="27"/>
      <c r="M6" s="30" t="s">
        <v>4691</v>
      </c>
      <c r="N6" s="1" t="s">
        <v>264</v>
      </c>
      <c r="O6" s="27" t="s">
        <v>2595</v>
      </c>
      <c r="P6" s="27"/>
    </row>
    <row r="7" spans="1:16" ht="24" customHeight="1">
      <c r="A7" s="30">
        <v>45334</v>
      </c>
      <c r="B7" s="27" t="s">
        <v>224</v>
      </c>
      <c r="C7" s="27" t="s">
        <v>171</v>
      </c>
      <c r="D7" s="27" t="s">
        <v>4225</v>
      </c>
      <c r="E7" s="10">
        <v>25</v>
      </c>
      <c r="F7" s="36" t="s">
        <v>263</v>
      </c>
      <c r="G7" s="27" t="s">
        <v>295</v>
      </c>
      <c r="H7" s="27" t="s">
        <v>270</v>
      </c>
      <c r="I7" s="27" t="s">
        <v>2583</v>
      </c>
      <c r="J7" s="27" t="s">
        <v>610</v>
      </c>
      <c r="K7" s="27" t="s">
        <v>2854</v>
      </c>
      <c r="L7" s="27"/>
      <c r="M7" s="30" t="s">
        <v>4737</v>
      </c>
      <c r="N7" s="1" t="s">
        <v>264</v>
      </c>
      <c r="O7" s="27" t="s">
        <v>4738</v>
      </c>
      <c r="P7" s="27"/>
    </row>
    <row r="8" spans="1:16" ht="24" customHeight="1">
      <c r="A8" s="30">
        <v>45363</v>
      </c>
      <c r="B8" s="27" t="s">
        <v>227</v>
      </c>
      <c r="C8" s="27" t="s">
        <v>171</v>
      </c>
      <c r="D8" s="27" t="s">
        <v>4739</v>
      </c>
      <c r="E8" s="10">
        <v>60</v>
      </c>
      <c r="F8" s="36" t="s">
        <v>263</v>
      </c>
      <c r="G8" s="27" t="s">
        <v>315</v>
      </c>
      <c r="H8" s="27" t="s">
        <v>429</v>
      </c>
      <c r="I8" s="27" t="s">
        <v>2583</v>
      </c>
      <c r="J8" s="27" t="s">
        <v>610</v>
      </c>
      <c r="K8" s="27" t="s">
        <v>2621</v>
      </c>
      <c r="L8" s="27"/>
      <c r="M8" s="30" t="s">
        <v>4737</v>
      </c>
      <c r="N8" s="1" t="s">
        <v>264</v>
      </c>
      <c r="O8" s="27" t="s">
        <v>2595</v>
      </c>
      <c r="P8" s="27"/>
    </row>
    <row r="9" spans="1:16" ht="24" customHeight="1">
      <c r="A9" s="30">
        <v>45394</v>
      </c>
      <c r="B9" s="27" t="s">
        <v>220</v>
      </c>
      <c r="C9" s="27" t="s">
        <v>235</v>
      </c>
      <c r="D9" s="27" t="s">
        <v>4740</v>
      </c>
      <c r="E9" s="10">
        <v>40</v>
      </c>
      <c r="F9" s="36" t="s">
        <v>263</v>
      </c>
      <c r="G9" s="27" t="s">
        <v>354</v>
      </c>
      <c r="H9" s="27" t="s">
        <v>350</v>
      </c>
      <c r="I9" s="27" t="s">
        <v>2583</v>
      </c>
      <c r="J9" s="27" t="s">
        <v>610</v>
      </c>
      <c r="K9" s="27" t="s">
        <v>4741</v>
      </c>
      <c r="L9" s="27"/>
      <c r="M9" s="30" t="s">
        <v>4742</v>
      </c>
      <c r="N9" s="1" t="s">
        <v>264</v>
      </c>
      <c r="O9" s="27" t="s">
        <v>4743</v>
      </c>
      <c r="P9" s="27"/>
    </row>
    <row r="10" spans="1:16" ht="24" customHeight="1">
      <c r="A10" s="30">
        <v>45394</v>
      </c>
      <c r="B10" s="27" t="s">
        <v>220</v>
      </c>
      <c r="C10" s="27" t="s">
        <v>171</v>
      </c>
      <c r="D10" s="27" t="s">
        <v>4744</v>
      </c>
      <c r="E10" s="10">
        <v>50</v>
      </c>
      <c r="F10" s="36" t="s">
        <v>263</v>
      </c>
      <c r="G10" s="27" t="s">
        <v>295</v>
      </c>
      <c r="H10" s="27" t="s">
        <v>296</v>
      </c>
      <c r="I10" s="27" t="s">
        <v>2583</v>
      </c>
      <c r="J10" s="27" t="s">
        <v>610</v>
      </c>
      <c r="K10" s="27" t="s">
        <v>4745</v>
      </c>
      <c r="L10" s="27"/>
      <c r="M10" s="30" t="s">
        <v>4746</v>
      </c>
      <c r="N10" s="1" t="s">
        <v>264</v>
      </c>
      <c r="O10" s="27" t="s">
        <v>2595</v>
      </c>
      <c r="P10" s="27"/>
    </row>
    <row r="11" spans="1:16" ht="24" customHeight="1">
      <c r="A11" s="30">
        <v>45424</v>
      </c>
      <c r="B11" s="27" t="s">
        <v>267</v>
      </c>
      <c r="C11" s="27" t="s">
        <v>171</v>
      </c>
      <c r="D11" s="27" t="s">
        <v>4747</v>
      </c>
      <c r="E11" s="10">
        <v>40</v>
      </c>
      <c r="F11" s="36" t="s">
        <v>263</v>
      </c>
      <c r="G11" s="27" t="s">
        <v>506</v>
      </c>
      <c r="H11" s="27" t="s">
        <v>429</v>
      </c>
      <c r="I11" s="27" t="s">
        <v>2583</v>
      </c>
      <c r="J11" s="27" t="s">
        <v>610</v>
      </c>
      <c r="K11" s="27" t="s">
        <v>335</v>
      </c>
      <c r="L11" s="27"/>
      <c r="M11" s="30" t="s">
        <v>4748</v>
      </c>
      <c r="N11" s="1" t="s">
        <v>264</v>
      </c>
      <c r="O11" s="27" t="s">
        <v>2595</v>
      </c>
      <c r="P11" s="27"/>
    </row>
    <row r="12" spans="1:16" ht="24" customHeight="1">
      <c r="A12" s="30">
        <v>45424</v>
      </c>
      <c r="B12" s="27" t="s">
        <v>267</v>
      </c>
      <c r="C12" s="27" t="s">
        <v>171</v>
      </c>
      <c r="D12" s="27" t="s">
        <v>4583</v>
      </c>
      <c r="E12" s="10">
        <v>40</v>
      </c>
      <c r="F12" s="36" t="s">
        <v>263</v>
      </c>
      <c r="G12" s="27" t="s">
        <v>295</v>
      </c>
      <c r="H12" s="27" t="s">
        <v>270</v>
      </c>
      <c r="I12" s="27" t="s">
        <v>2583</v>
      </c>
      <c r="J12" s="27" t="s">
        <v>610</v>
      </c>
      <c r="K12" s="27" t="s">
        <v>2668</v>
      </c>
      <c r="L12" s="27"/>
      <c r="M12" s="30" t="s">
        <v>4560</v>
      </c>
      <c r="N12" s="1" t="s">
        <v>264</v>
      </c>
      <c r="O12" s="27" t="s">
        <v>4561</v>
      </c>
      <c r="P12" s="27"/>
    </row>
    <row r="13" spans="1:16" ht="24" customHeight="1">
      <c r="A13" s="30">
        <v>45455</v>
      </c>
      <c r="B13" s="27" t="s">
        <v>201</v>
      </c>
      <c r="C13" s="27" t="s">
        <v>171</v>
      </c>
      <c r="D13" s="27" t="s">
        <v>828</v>
      </c>
      <c r="E13" s="10">
        <v>40</v>
      </c>
      <c r="F13" s="36" t="s">
        <v>263</v>
      </c>
      <c r="G13" s="27" t="s">
        <v>338</v>
      </c>
      <c r="H13" s="27" t="s">
        <v>817</v>
      </c>
      <c r="I13" s="27" t="s">
        <v>531</v>
      </c>
      <c r="J13" s="27" t="s">
        <v>369</v>
      </c>
      <c r="K13" s="27" t="s">
        <v>583</v>
      </c>
      <c r="L13" s="27"/>
      <c r="M13" s="30" t="s">
        <v>4749</v>
      </c>
      <c r="N13" s="1" t="s">
        <v>264</v>
      </c>
      <c r="O13" s="27" t="s">
        <v>4750</v>
      </c>
      <c r="P13" s="27"/>
    </row>
    <row r="14" spans="1:16" ht="24" customHeight="1">
      <c r="A14" s="30">
        <v>45485</v>
      </c>
      <c r="B14" s="27" t="s">
        <v>220</v>
      </c>
      <c r="C14" s="27"/>
      <c r="D14" s="27"/>
      <c r="E14" s="10"/>
      <c r="F14" s="36" t="s">
        <v>263</v>
      </c>
      <c r="G14" s="27"/>
      <c r="H14" s="27"/>
      <c r="I14" s="27"/>
      <c r="J14" s="27"/>
      <c r="K14" s="27"/>
      <c r="L14" s="27"/>
      <c r="M14" s="27"/>
      <c r="N14" s="1" t="s">
        <v>264</v>
      </c>
      <c r="O14" s="27"/>
      <c r="P14" s="27"/>
    </row>
    <row r="15" spans="1:16" ht="24" customHeight="1">
      <c r="A15" s="30">
        <v>45516</v>
      </c>
      <c r="B15" s="27" t="s">
        <v>224</v>
      </c>
      <c r="C15" s="27"/>
      <c r="D15" s="27"/>
      <c r="E15" s="10"/>
      <c r="F15" s="36" t="s">
        <v>263</v>
      </c>
      <c r="G15" s="27"/>
      <c r="H15" s="27"/>
      <c r="I15" s="27"/>
      <c r="J15" s="27"/>
      <c r="K15" s="27"/>
      <c r="L15" s="27"/>
      <c r="M15" s="27"/>
      <c r="N15" s="1" t="s">
        <v>264</v>
      </c>
      <c r="O15" s="27"/>
      <c r="P15" s="27"/>
    </row>
    <row r="16" spans="1:16" ht="24" customHeight="1">
      <c r="A16" s="30">
        <v>45547</v>
      </c>
      <c r="B16" s="27" t="s">
        <v>216</v>
      </c>
      <c r="C16" s="27" t="s">
        <v>954</v>
      </c>
      <c r="D16" s="27" t="s">
        <v>4751</v>
      </c>
      <c r="E16" s="10">
        <v>15</v>
      </c>
      <c r="F16" s="36" t="s">
        <v>263</v>
      </c>
      <c r="G16" s="27" t="s">
        <v>269</v>
      </c>
      <c r="H16" s="27" t="s">
        <v>270</v>
      </c>
      <c r="I16" s="27"/>
      <c r="J16" s="27"/>
      <c r="K16" s="27" t="s">
        <v>2596</v>
      </c>
      <c r="L16" s="27"/>
      <c r="M16" s="27"/>
      <c r="N16" s="1" t="s">
        <v>264</v>
      </c>
      <c r="O16" s="27"/>
      <c r="P16" s="27"/>
    </row>
    <row r="17" spans="1:16" ht="24" customHeight="1">
      <c r="A17" s="30">
        <v>45547</v>
      </c>
      <c r="B17" s="27" t="s">
        <v>216</v>
      </c>
      <c r="C17" s="27" t="s">
        <v>171</v>
      </c>
      <c r="D17" s="27" t="s">
        <v>4752</v>
      </c>
      <c r="E17" s="10">
        <v>30</v>
      </c>
      <c r="F17" s="36" t="s">
        <v>263</v>
      </c>
      <c r="G17" s="27" t="s">
        <v>290</v>
      </c>
      <c r="H17" s="27"/>
      <c r="I17" s="27" t="s">
        <v>531</v>
      </c>
      <c r="J17" s="27" t="s">
        <v>610</v>
      </c>
      <c r="K17" s="27" t="s">
        <v>351</v>
      </c>
      <c r="L17" s="27"/>
      <c r="M17" s="30" t="s">
        <v>4753</v>
      </c>
      <c r="N17" s="1" t="s">
        <v>264</v>
      </c>
      <c r="O17" s="27" t="s">
        <v>2595</v>
      </c>
      <c r="P17" s="27"/>
    </row>
    <row r="18" spans="1:16" ht="24" customHeight="1">
      <c r="A18" s="30">
        <v>45547</v>
      </c>
      <c r="B18" s="27" t="s">
        <v>216</v>
      </c>
      <c r="C18" s="27" t="s">
        <v>326</v>
      </c>
      <c r="D18" s="27" t="s">
        <v>236</v>
      </c>
      <c r="E18" s="10"/>
      <c r="F18" s="36" t="s">
        <v>263</v>
      </c>
      <c r="G18" s="27" t="s">
        <v>269</v>
      </c>
      <c r="H18" s="27" t="s">
        <v>270</v>
      </c>
      <c r="I18" s="27" t="s">
        <v>382</v>
      </c>
      <c r="J18" s="27" t="s">
        <v>610</v>
      </c>
      <c r="K18" s="27" t="s">
        <v>2584</v>
      </c>
      <c r="L18" s="27"/>
      <c r="M18" s="27"/>
      <c r="N18" s="1" t="s">
        <v>264</v>
      </c>
      <c r="O18" s="27"/>
      <c r="P18" s="27"/>
    </row>
    <row r="19" spans="1:16" ht="24" customHeight="1">
      <c r="A19" s="30">
        <v>45577</v>
      </c>
      <c r="B19" s="27" t="s">
        <v>266</v>
      </c>
      <c r="C19" s="27"/>
      <c r="D19" s="27"/>
      <c r="E19" s="10"/>
      <c r="F19" s="36" t="s">
        <v>263</v>
      </c>
      <c r="G19" s="27"/>
      <c r="H19" s="27"/>
      <c r="I19" s="27"/>
      <c r="J19" s="27"/>
      <c r="K19" s="27"/>
      <c r="L19" s="27"/>
      <c r="M19" s="27"/>
      <c r="N19" s="1" t="s">
        <v>264</v>
      </c>
      <c r="O19" s="27"/>
      <c r="P19" s="27"/>
    </row>
    <row r="20" spans="1:16" ht="24" customHeight="1">
      <c r="A20" s="30">
        <v>45608</v>
      </c>
      <c r="B20" s="27" t="s">
        <v>227</v>
      </c>
      <c r="C20" s="27" t="s">
        <v>171</v>
      </c>
      <c r="D20" s="27" t="s">
        <v>4754</v>
      </c>
      <c r="E20" s="10">
        <v>60</v>
      </c>
      <c r="F20" s="36" t="s">
        <v>263</v>
      </c>
      <c r="G20" s="27" t="s">
        <v>315</v>
      </c>
      <c r="H20" s="27" t="s">
        <v>330</v>
      </c>
      <c r="I20" s="27" t="s">
        <v>531</v>
      </c>
      <c r="J20" s="27" t="s">
        <v>610</v>
      </c>
      <c r="K20" s="27" t="s">
        <v>4681</v>
      </c>
      <c r="L20" s="27"/>
      <c r="M20" s="30" t="s">
        <v>4755</v>
      </c>
      <c r="N20" s="1" t="s">
        <v>264</v>
      </c>
      <c r="O20" s="27" t="s">
        <v>2843</v>
      </c>
      <c r="P20" s="27"/>
    </row>
    <row r="21" spans="1:16" ht="24" customHeight="1">
      <c r="A21" s="30">
        <v>45608</v>
      </c>
      <c r="B21" s="27" t="s">
        <v>227</v>
      </c>
      <c r="C21" s="27" t="s">
        <v>171</v>
      </c>
      <c r="D21" s="27" t="s">
        <v>3931</v>
      </c>
      <c r="E21" s="10">
        <v>10</v>
      </c>
      <c r="F21" s="36" t="s">
        <v>263</v>
      </c>
      <c r="G21" s="27" t="s">
        <v>289</v>
      </c>
      <c r="H21" s="27" t="s">
        <v>295</v>
      </c>
      <c r="I21" s="27" t="s">
        <v>531</v>
      </c>
      <c r="J21" s="27" t="s">
        <v>369</v>
      </c>
      <c r="K21" s="27" t="s">
        <v>2584</v>
      </c>
      <c r="L21" s="27"/>
      <c r="M21" s="30" t="s">
        <v>4756</v>
      </c>
      <c r="N21" s="1" t="s">
        <v>264</v>
      </c>
      <c r="O21" s="27" t="s">
        <v>4757</v>
      </c>
      <c r="P21" s="27"/>
    </row>
    <row r="22" spans="1:16" ht="24" customHeight="1">
      <c r="A22" s="30">
        <v>45608</v>
      </c>
      <c r="B22" s="27" t="s">
        <v>227</v>
      </c>
      <c r="C22" s="27" t="s">
        <v>171</v>
      </c>
      <c r="D22" s="27" t="s">
        <v>3018</v>
      </c>
      <c r="E22" s="10">
        <v>60</v>
      </c>
      <c r="F22" s="36" t="s">
        <v>263</v>
      </c>
      <c r="G22" s="27" t="s">
        <v>295</v>
      </c>
      <c r="H22" s="27" t="s">
        <v>296</v>
      </c>
      <c r="I22" s="27" t="s">
        <v>531</v>
      </c>
      <c r="J22" s="27" t="s">
        <v>369</v>
      </c>
      <c r="K22" s="27" t="s">
        <v>351</v>
      </c>
      <c r="L22" s="27"/>
      <c r="M22" s="30" t="s">
        <v>4755</v>
      </c>
      <c r="N22" s="1" t="s">
        <v>264</v>
      </c>
      <c r="O22" s="27" t="s">
        <v>2843</v>
      </c>
      <c r="P22" s="27"/>
    </row>
    <row r="23" spans="1:16" ht="24" customHeight="1">
      <c r="A23" s="30">
        <v>45638</v>
      </c>
      <c r="B23" s="27" t="s">
        <v>216</v>
      </c>
      <c r="C23" s="27" t="s">
        <v>171</v>
      </c>
      <c r="D23" s="27" t="s">
        <v>4758</v>
      </c>
      <c r="E23" s="10">
        <v>60</v>
      </c>
      <c r="F23" s="36" t="s">
        <v>263</v>
      </c>
      <c r="G23" s="27" t="s">
        <v>295</v>
      </c>
      <c r="H23" s="27" t="s">
        <v>296</v>
      </c>
      <c r="I23" s="27" t="s">
        <v>531</v>
      </c>
      <c r="J23" s="27" t="s">
        <v>369</v>
      </c>
      <c r="K23" s="27" t="s">
        <v>3315</v>
      </c>
      <c r="L23" s="27"/>
      <c r="M23" s="27"/>
      <c r="N23" s="1" t="s">
        <v>264</v>
      </c>
      <c r="O23" s="27" t="s">
        <v>2595</v>
      </c>
      <c r="P23" s="27"/>
    </row>
    <row r="24" spans="1:16" ht="24" customHeight="1">
      <c r="A24" s="30">
        <v>45638</v>
      </c>
      <c r="B24" s="27" t="s">
        <v>216</v>
      </c>
      <c r="C24" s="27" t="s">
        <v>326</v>
      </c>
      <c r="D24" s="27" t="s">
        <v>2730</v>
      </c>
      <c r="E24" s="10">
        <v>45</v>
      </c>
      <c r="F24" s="36" t="s">
        <v>263</v>
      </c>
      <c r="G24" s="27" t="s">
        <v>309</v>
      </c>
      <c r="H24" s="27" t="s">
        <v>296</v>
      </c>
      <c r="I24" s="27" t="s">
        <v>531</v>
      </c>
      <c r="J24" s="27"/>
      <c r="K24" s="27" t="s">
        <v>2854</v>
      </c>
      <c r="L24" s="27"/>
      <c r="M24" s="30" t="s">
        <v>4759</v>
      </c>
      <c r="N24" s="1" t="s">
        <v>264</v>
      </c>
      <c r="O24" s="27" t="s">
        <v>4760</v>
      </c>
      <c r="P24" s="27"/>
    </row>
    <row r="25" spans="1:16" ht="24" customHeight="1">
      <c r="A25" s="30">
        <v>45638</v>
      </c>
      <c r="B25" s="27" t="s">
        <v>216</v>
      </c>
      <c r="C25" s="27" t="s">
        <v>171</v>
      </c>
      <c r="D25" s="27" t="s">
        <v>4583</v>
      </c>
      <c r="E25" s="10">
        <v>40</v>
      </c>
      <c r="F25" s="36" t="s">
        <v>263</v>
      </c>
      <c r="G25" s="27" t="s">
        <v>295</v>
      </c>
      <c r="H25" s="27" t="s">
        <v>270</v>
      </c>
      <c r="I25" s="27" t="s">
        <v>2583</v>
      </c>
      <c r="J25" s="27" t="s">
        <v>610</v>
      </c>
      <c r="K25" s="27" t="s">
        <v>2668</v>
      </c>
      <c r="L25" s="27"/>
      <c r="M25" s="30" t="s">
        <v>4560</v>
      </c>
      <c r="N25" s="3" t="s">
        <v>312</v>
      </c>
      <c r="O25" s="27" t="s">
        <v>4561</v>
      </c>
      <c r="P25" s="27" t="s">
        <v>4761</v>
      </c>
    </row>
    <row r="26" spans="1:16" ht="24" customHeight="1">
      <c r="A26" s="30" t="s">
        <v>4762</v>
      </c>
      <c r="B26" s="27" t="s">
        <v>220</v>
      </c>
      <c r="C26" s="27"/>
      <c r="D26" s="27"/>
      <c r="E26" s="10"/>
      <c r="F26" s="36" t="s">
        <v>263</v>
      </c>
      <c r="G26" s="27"/>
      <c r="H26" s="27"/>
      <c r="I26" s="27"/>
      <c r="J26" s="27"/>
      <c r="K26" s="27"/>
      <c r="L26" s="27"/>
      <c r="M26" s="27"/>
      <c r="N26" s="1" t="s">
        <v>264</v>
      </c>
      <c r="O26" s="27"/>
      <c r="P26" s="27"/>
    </row>
    <row r="27" spans="1:16" ht="24" customHeight="1">
      <c r="A27" s="30" t="s">
        <v>4763</v>
      </c>
      <c r="B27" s="27" t="s">
        <v>266</v>
      </c>
      <c r="C27" s="27"/>
      <c r="D27" s="27"/>
      <c r="E27" s="10"/>
      <c r="F27" s="36" t="s">
        <v>263</v>
      </c>
      <c r="G27" s="27"/>
      <c r="H27" s="27"/>
      <c r="I27" s="27"/>
      <c r="J27" s="27"/>
      <c r="K27" s="27"/>
      <c r="L27" s="27"/>
      <c r="M27" s="27"/>
      <c r="N27" s="1" t="s">
        <v>264</v>
      </c>
      <c r="O27" s="27"/>
      <c r="P27" s="27"/>
    </row>
    <row r="28" spans="1:16" ht="24" customHeight="1">
      <c r="A28" s="30" t="s">
        <v>4764</v>
      </c>
      <c r="B28" s="27" t="s">
        <v>267</v>
      </c>
      <c r="C28" s="27"/>
      <c r="D28" s="27"/>
      <c r="E28" s="10"/>
      <c r="F28" s="36" t="s">
        <v>263</v>
      </c>
      <c r="G28" s="27"/>
      <c r="H28" s="27"/>
      <c r="I28" s="27"/>
      <c r="J28" s="27"/>
      <c r="K28" s="27"/>
      <c r="L28" s="27"/>
      <c r="M28" s="27"/>
      <c r="N28" s="1" t="s">
        <v>264</v>
      </c>
      <c r="O28" s="27"/>
      <c r="P28" s="27"/>
    </row>
    <row r="29" spans="1:16" ht="24" customHeight="1">
      <c r="A29" s="30" t="s">
        <v>4765</v>
      </c>
      <c r="B29" s="27" t="s">
        <v>224</v>
      </c>
      <c r="C29" s="27" t="s">
        <v>326</v>
      </c>
      <c r="D29" s="27" t="s">
        <v>236</v>
      </c>
      <c r="E29" s="10">
        <v>25</v>
      </c>
      <c r="F29" s="36" t="s">
        <v>263</v>
      </c>
      <c r="G29" s="27" t="s">
        <v>269</v>
      </c>
      <c r="H29" s="27" t="s">
        <v>270</v>
      </c>
      <c r="I29" s="27" t="s">
        <v>382</v>
      </c>
      <c r="J29" s="27" t="s">
        <v>531</v>
      </c>
      <c r="K29" s="27" t="s">
        <v>2584</v>
      </c>
      <c r="L29" s="27"/>
      <c r="M29" s="27" t="s">
        <v>4766</v>
      </c>
      <c r="N29" s="1" t="s">
        <v>264</v>
      </c>
      <c r="O29" s="27"/>
      <c r="P29" s="27"/>
    </row>
    <row r="30" spans="1:16" ht="24" customHeight="1">
      <c r="A30" s="30" t="s">
        <v>4765</v>
      </c>
      <c r="B30" s="27" t="s">
        <v>224</v>
      </c>
      <c r="C30" s="27" t="s">
        <v>171</v>
      </c>
      <c r="D30" s="27" t="s">
        <v>4767</v>
      </c>
      <c r="E30" s="10">
        <v>50</v>
      </c>
      <c r="F30" s="36" t="s">
        <v>263</v>
      </c>
      <c r="G30" s="27" t="s">
        <v>281</v>
      </c>
      <c r="H30" s="27" t="s">
        <v>315</v>
      </c>
      <c r="I30" s="27"/>
      <c r="J30" s="27"/>
      <c r="K30" s="27" t="s">
        <v>2668</v>
      </c>
      <c r="L30" s="27"/>
      <c r="M30" s="30">
        <v>45639</v>
      </c>
      <c r="N30" s="1" t="s">
        <v>264</v>
      </c>
      <c r="O30" s="27" t="s">
        <v>2595</v>
      </c>
      <c r="P30" s="27" t="s">
        <v>4768</v>
      </c>
    </row>
    <row r="31" spans="1:16" ht="24" customHeight="1">
      <c r="A31" s="30" t="s">
        <v>4765</v>
      </c>
      <c r="B31" s="27" t="s">
        <v>224</v>
      </c>
      <c r="C31" s="27" t="s">
        <v>2591</v>
      </c>
      <c r="D31" s="27" t="s">
        <v>4664</v>
      </c>
      <c r="E31" s="10" t="s">
        <v>4769</v>
      </c>
      <c r="F31" s="36" t="s">
        <v>263</v>
      </c>
      <c r="G31" s="27" t="s">
        <v>269</v>
      </c>
      <c r="H31" s="27" t="s">
        <v>270</v>
      </c>
      <c r="I31" s="27" t="s">
        <v>531</v>
      </c>
      <c r="J31" s="27"/>
      <c r="K31" s="27" t="s">
        <v>2621</v>
      </c>
      <c r="L31" s="27"/>
      <c r="M31" s="27"/>
      <c r="N31" s="1" t="s">
        <v>264</v>
      </c>
      <c r="O31" s="27" t="s">
        <v>4770</v>
      </c>
      <c r="P31" s="27"/>
    </row>
    <row r="32" spans="1:16" ht="24" customHeight="1">
      <c r="A32" s="30" t="s">
        <v>4765</v>
      </c>
      <c r="B32" s="27" t="s">
        <v>224</v>
      </c>
      <c r="C32" s="27" t="s">
        <v>171</v>
      </c>
      <c r="D32" s="27"/>
      <c r="E32" s="10"/>
      <c r="F32" s="36" t="s">
        <v>263</v>
      </c>
      <c r="G32" s="27" t="s">
        <v>506</v>
      </c>
      <c r="H32" s="27" t="s">
        <v>429</v>
      </c>
      <c r="I32" s="27" t="s">
        <v>531</v>
      </c>
      <c r="J32" s="27" t="s">
        <v>369</v>
      </c>
      <c r="K32" s="27" t="s">
        <v>4771</v>
      </c>
      <c r="L32" s="27"/>
      <c r="M32" s="30" t="s">
        <v>4772</v>
      </c>
      <c r="N32" s="3" t="s">
        <v>312</v>
      </c>
      <c r="O32" s="27" t="s">
        <v>2843</v>
      </c>
      <c r="P32" s="27" t="s">
        <v>4773</v>
      </c>
    </row>
    <row r="33" spans="1:16" ht="24" customHeight="1">
      <c r="A33" s="30" t="s">
        <v>4765</v>
      </c>
      <c r="B33" s="27" t="s">
        <v>224</v>
      </c>
      <c r="C33" s="27" t="s">
        <v>171</v>
      </c>
      <c r="D33" s="27" t="s">
        <v>4774</v>
      </c>
      <c r="E33" s="10">
        <v>60</v>
      </c>
      <c r="F33" s="36" t="s">
        <v>263</v>
      </c>
      <c r="G33" s="27" t="s">
        <v>295</v>
      </c>
      <c r="H33" s="27" t="s">
        <v>296</v>
      </c>
      <c r="I33" s="27" t="s">
        <v>531</v>
      </c>
      <c r="J33" s="27" t="s">
        <v>369</v>
      </c>
      <c r="K33" s="27" t="s">
        <v>4775</v>
      </c>
      <c r="L33" s="27"/>
      <c r="M33" s="30" t="s">
        <v>4776</v>
      </c>
      <c r="N33" s="1" t="s">
        <v>264</v>
      </c>
      <c r="O33" s="27" t="s">
        <v>2595</v>
      </c>
      <c r="P33" s="27"/>
    </row>
    <row r="34" spans="1:16" ht="24" customHeight="1">
      <c r="A34" s="30" t="s">
        <v>4777</v>
      </c>
      <c r="B34" s="27" t="s">
        <v>227</v>
      </c>
      <c r="C34" s="27" t="s">
        <v>2591</v>
      </c>
      <c r="D34" s="27" t="s">
        <v>4664</v>
      </c>
      <c r="E34" s="10" t="s">
        <v>4769</v>
      </c>
      <c r="F34" s="36" t="s">
        <v>263</v>
      </c>
      <c r="G34" s="27" t="s">
        <v>269</v>
      </c>
      <c r="H34" s="27" t="s">
        <v>270</v>
      </c>
      <c r="I34" s="27" t="s">
        <v>531</v>
      </c>
      <c r="J34" s="27"/>
      <c r="K34" s="27" t="s">
        <v>2621</v>
      </c>
      <c r="L34" s="27"/>
      <c r="M34" s="27"/>
      <c r="N34" s="1" t="s">
        <v>264</v>
      </c>
      <c r="O34" s="27" t="s">
        <v>4770</v>
      </c>
      <c r="P34" s="27"/>
    </row>
    <row r="35" spans="1:16" ht="24" customHeight="1">
      <c r="A35" s="30" t="s">
        <v>4777</v>
      </c>
      <c r="B35" s="27" t="s">
        <v>227</v>
      </c>
      <c r="C35" s="27" t="s">
        <v>171</v>
      </c>
      <c r="D35" s="27" t="s">
        <v>4778</v>
      </c>
      <c r="E35" s="10">
        <v>60</v>
      </c>
      <c r="F35" s="36" t="s">
        <v>263</v>
      </c>
      <c r="G35" s="27" t="s">
        <v>338</v>
      </c>
      <c r="H35" s="27" t="s">
        <v>553</v>
      </c>
      <c r="I35" s="27" t="s">
        <v>531</v>
      </c>
      <c r="J35" s="27" t="s">
        <v>610</v>
      </c>
      <c r="K35" s="27" t="s">
        <v>2621</v>
      </c>
      <c r="L35" s="27"/>
      <c r="M35" s="30" t="s">
        <v>4759</v>
      </c>
      <c r="N35" s="1" t="s">
        <v>264</v>
      </c>
      <c r="O35" s="27" t="s">
        <v>2595</v>
      </c>
      <c r="P35" s="27"/>
    </row>
    <row r="36" spans="1:16" ht="24" customHeight="1">
      <c r="A36" s="30" t="s">
        <v>4777</v>
      </c>
      <c r="B36" s="27" t="s">
        <v>227</v>
      </c>
      <c r="C36" s="27" t="s">
        <v>171</v>
      </c>
      <c r="D36" s="27" t="s">
        <v>4779</v>
      </c>
      <c r="E36" s="10">
        <v>50</v>
      </c>
      <c r="F36" s="36" t="s">
        <v>263</v>
      </c>
      <c r="G36" s="27" t="s">
        <v>289</v>
      </c>
      <c r="H36" s="27" t="s">
        <v>270</v>
      </c>
      <c r="I36" s="27" t="s">
        <v>2583</v>
      </c>
      <c r="J36" s="27" t="s">
        <v>610</v>
      </c>
      <c r="K36" s="27" t="s">
        <v>4780</v>
      </c>
      <c r="L36" s="27"/>
      <c r="M36" s="30" t="s">
        <v>4725</v>
      </c>
      <c r="N36" s="1" t="s">
        <v>264</v>
      </c>
      <c r="O36" s="27" t="s">
        <v>2595</v>
      </c>
      <c r="P36" s="27"/>
    </row>
    <row r="37" spans="1:16" ht="24" customHeight="1">
      <c r="A37" s="30" t="s">
        <v>4777</v>
      </c>
      <c r="B37" s="27" t="s">
        <v>227</v>
      </c>
      <c r="C37" s="27" t="s">
        <v>3464</v>
      </c>
      <c r="D37" s="27" t="s">
        <v>4781</v>
      </c>
      <c r="E37" s="10">
        <v>60</v>
      </c>
      <c r="F37" s="36" t="s">
        <v>263</v>
      </c>
      <c r="G37" s="27" t="s">
        <v>359</v>
      </c>
      <c r="H37" s="27" t="s">
        <v>290</v>
      </c>
      <c r="I37" s="27"/>
      <c r="J37" s="27" t="s">
        <v>369</v>
      </c>
      <c r="K37" s="27" t="s">
        <v>2621</v>
      </c>
      <c r="L37" s="27"/>
      <c r="M37" s="27"/>
      <c r="N37" s="1" t="s">
        <v>264</v>
      </c>
      <c r="O37" s="27"/>
      <c r="P37" s="27"/>
    </row>
    <row r="38" spans="1:16" ht="24" customHeight="1">
      <c r="A38" s="30" t="s">
        <v>4782</v>
      </c>
      <c r="B38" s="27" t="s">
        <v>201</v>
      </c>
      <c r="C38" s="27" t="s">
        <v>171</v>
      </c>
      <c r="D38" s="27" t="s">
        <v>4783</v>
      </c>
      <c r="E38" s="10">
        <v>60</v>
      </c>
      <c r="F38" s="36" t="s">
        <v>263</v>
      </c>
      <c r="G38" s="27" t="s">
        <v>295</v>
      </c>
      <c r="H38" s="27" t="s">
        <v>290</v>
      </c>
      <c r="I38" s="27" t="s">
        <v>2583</v>
      </c>
      <c r="J38" s="27" t="s">
        <v>610</v>
      </c>
      <c r="K38" s="27" t="s">
        <v>4784</v>
      </c>
      <c r="L38" s="27"/>
      <c r="M38" s="30" t="s">
        <v>4785</v>
      </c>
      <c r="N38" s="3" t="s">
        <v>312</v>
      </c>
      <c r="O38" s="27" t="s">
        <v>2595</v>
      </c>
      <c r="P38" s="27" t="s">
        <v>679</v>
      </c>
    </row>
    <row r="39" spans="1:16" ht="24" customHeight="1">
      <c r="A39" s="30" t="s">
        <v>4786</v>
      </c>
      <c r="B39" s="27" t="s">
        <v>2152</v>
      </c>
      <c r="C39" s="27" t="s">
        <v>171</v>
      </c>
      <c r="D39" s="27" t="s">
        <v>4787</v>
      </c>
      <c r="E39" s="10">
        <v>50</v>
      </c>
      <c r="F39" s="36" t="s">
        <v>263</v>
      </c>
      <c r="G39" s="27" t="s">
        <v>274</v>
      </c>
      <c r="H39" s="27" t="s">
        <v>330</v>
      </c>
      <c r="I39" s="27" t="s">
        <v>531</v>
      </c>
      <c r="J39" s="27"/>
      <c r="K39" s="27" t="s">
        <v>4461</v>
      </c>
      <c r="L39" s="27"/>
      <c r="M39" s="30" t="s">
        <v>4788</v>
      </c>
      <c r="N39" s="1" t="s">
        <v>264</v>
      </c>
      <c r="O39" s="27" t="s">
        <v>2611</v>
      </c>
      <c r="P39" s="27"/>
    </row>
    <row r="40" spans="1:16" ht="24" customHeight="1">
      <c r="A40" s="30" t="s">
        <v>4786</v>
      </c>
      <c r="B40" s="27" t="s">
        <v>2152</v>
      </c>
      <c r="C40" s="27" t="s">
        <v>171</v>
      </c>
      <c r="D40" s="27" t="s">
        <v>4583</v>
      </c>
      <c r="E40" s="10">
        <v>40</v>
      </c>
      <c r="F40" s="36" t="s">
        <v>263</v>
      </c>
      <c r="G40" s="27" t="s">
        <v>295</v>
      </c>
      <c r="H40" s="27" t="s">
        <v>270</v>
      </c>
      <c r="I40" s="27" t="s">
        <v>2583</v>
      </c>
      <c r="J40" s="27" t="s">
        <v>610</v>
      </c>
      <c r="K40" s="27" t="s">
        <v>2668</v>
      </c>
      <c r="L40" s="27"/>
      <c r="M40" s="30" t="s">
        <v>4560</v>
      </c>
      <c r="N40" s="1" t="s">
        <v>264</v>
      </c>
      <c r="O40" s="27" t="s">
        <v>4561</v>
      </c>
      <c r="P40" s="27"/>
    </row>
    <row r="41" spans="1:16" ht="24" customHeight="1">
      <c r="A41" s="30" t="s">
        <v>4789</v>
      </c>
      <c r="B41" s="27" t="s">
        <v>220</v>
      </c>
      <c r="C41" s="27" t="s">
        <v>326</v>
      </c>
      <c r="D41" s="27" t="s">
        <v>4790</v>
      </c>
      <c r="E41" s="10">
        <v>20</v>
      </c>
      <c r="F41" s="36" t="s">
        <v>263</v>
      </c>
      <c r="G41" s="27" t="s">
        <v>269</v>
      </c>
      <c r="H41" s="27" t="s">
        <v>270</v>
      </c>
      <c r="I41" s="27" t="s">
        <v>531</v>
      </c>
      <c r="J41" s="27" t="s">
        <v>610</v>
      </c>
      <c r="K41" s="27" t="s">
        <v>2581</v>
      </c>
      <c r="L41" s="27"/>
      <c r="M41" s="27"/>
      <c r="N41" s="1" t="s">
        <v>264</v>
      </c>
      <c r="O41" s="27" t="s">
        <v>2582</v>
      </c>
      <c r="P41" s="27"/>
    </row>
    <row r="42" spans="1:16" ht="24" customHeight="1">
      <c r="A42" s="30" t="s">
        <v>4791</v>
      </c>
      <c r="B42" s="27" t="s">
        <v>266</v>
      </c>
      <c r="C42" s="27"/>
      <c r="D42" s="27"/>
      <c r="E42" s="10"/>
      <c r="F42" s="36" t="s">
        <v>263</v>
      </c>
      <c r="G42" s="27"/>
      <c r="H42" s="27"/>
      <c r="I42" s="27"/>
      <c r="J42" s="27"/>
      <c r="K42" s="27"/>
      <c r="L42" s="27"/>
      <c r="M42" s="27"/>
      <c r="N42" s="1" t="s">
        <v>264</v>
      </c>
      <c r="O42" s="27"/>
      <c r="P42" s="27"/>
    </row>
    <row r="43" spans="1:16" ht="24" customHeight="1">
      <c r="A43" s="30" t="s">
        <v>4792</v>
      </c>
      <c r="B43" s="27" t="s">
        <v>267</v>
      </c>
      <c r="C43" s="27"/>
      <c r="D43" s="27"/>
      <c r="E43" s="10"/>
      <c r="F43" s="36" t="s">
        <v>263</v>
      </c>
      <c r="G43" s="27"/>
      <c r="H43" s="27"/>
      <c r="I43" s="27"/>
      <c r="J43" s="27"/>
      <c r="K43" s="27"/>
      <c r="L43" s="27"/>
      <c r="M43" s="27"/>
      <c r="N43" s="1" t="s">
        <v>264</v>
      </c>
      <c r="O43" s="27"/>
      <c r="P43" s="27"/>
    </row>
    <row r="44" spans="1:16" ht="24" customHeight="1">
      <c r="A44" s="30" t="s">
        <v>4793</v>
      </c>
      <c r="B44" s="27" t="s">
        <v>224</v>
      </c>
      <c r="C44" s="27" t="s">
        <v>954</v>
      </c>
      <c r="D44" s="27" t="s">
        <v>4794</v>
      </c>
      <c r="E44" s="10">
        <v>20</v>
      </c>
      <c r="F44" s="36" t="s">
        <v>263</v>
      </c>
      <c r="G44" s="27" t="s">
        <v>269</v>
      </c>
      <c r="H44" s="27" t="s">
        <v>270</v>
      </c>
      <c r="I44" s="27" t="s">
        <v>531</v>
      </c>
      <c r="J44" s="27" t="s">
        <v>369</v>
      </c>
      <c r="K44" s="27" t="s">
        <v>925</v>
      </c>
      <c r="L44" s="27"/>
      <c r="M44" s="30" t="s">
        <v>4776</v>
      </c>
      <c r="N44" s="1" t="s">
        <v>264</v>
      </c>
      <c r="O44" s="27" t="s">
        <v>4795</v>
      </c>
      <c r="P44" s="27"/>
    </row>
    <row r="45" spans="1:16" ht="24" customHeight="1">
      <c r="A45" s="30" t="s">
        <v>4793</v>
      </c>
      <c r="B45" s="27" t="s">
        <v>224</v>
      </c>
      <c r="C45" s="27" t="s">
        <v>326</v>
      </c>
      <c r="D45" s="27" t="s">
        <v>4790</v>
      </c>
      <c r="E45" s="10">
        <v>20</v>
      </c>
      <c r="F45" s="36" t="s">
        <v>263</v>
      </c>
      <c r="G45" s="27" t="s">
        <v>269</v>
      </c>
      <c r="H45" s="27" t="s">
        <v>270</v>
      </c>
      <c r="I45" s="27" t="s">
        <v>531</v>
      </c>
      <c r="J45" s="27" t="s">
        <v>610</v>
      </c>
      <c r="K45" s="27" t="s">
        <v>2581</v>
      </c>
      <c r="L45" s="27"/>
      <c r="M45" s="27"/>
      <c r="N45" s="1" t="s">
        <v>264</v>
      </c>
      <c r="O45" s="27" t="s">
        <v>2582</v>
      </c>
      <c r="P45" s="27"/>
    </row>
    <row r="46" spans="1:16" ht="24" customHeight="1">
      <c r="A46" s="30" t="s">
        <v>4793</v>
      </c>
      <c r="B46" s="27" t="s">
        <v>224</v>
      </c>
      <c r="C46" s="27" t="s">
        <v>171</v>
      </c>
      <c r="D46" s="27" t="s">
        <v>236</v>
      </c>
      <c r="E46" s="10">
        <v>15</v>
      </c>
      <c r="F46" s="36" t="s">
        <v>263</v>
      </c>
      <c r="G46" s="27" t="s">
        <v>269</v>
      </c>
      <c r="H46" s="27" t="s">
        <v>295</v>
      </c>
      <c r="I46" s="27" t="s">
        <v>531</v>
      </c>
      <c r="J46" s="27" t="s">
        <v>382</v>
      </c>
      <c r="K46" s="27" t="s">
        <v>2584</v>
      </c>
      <c r="L46" s="27"/>
      <c r="M46" s="27"/>
      <c r="N46" s="1" t="s">
        <v>264</v>
      </c>
      <c r="O46" s="27" t="s">
        <v>4796</v>
      </c>
      <c r="P46" s="27"/>
    </row>
    <row r="47" spans="1:16" ht="24" customHeight="1">
      <c r="A47" s="30" t="s">
        <v>4797</v>
      </c>
      <c r="B47" s="27" t="s">
        <v>227</v>
      </c>
      <c r="C47" s="27" t="s">
        <v>954</v>
      </c>
      <c r="D47" s="27" t="s">
        <v>4794</v>
      </c>
      <c r="E47" s="10">
        <v>20</v>
      </c>
      <c r="F47" s="36" t="s">
        <v>263</v>
      </c>
      <c r="G47" s="27" t="s">
        <v>269</v>
      </c>
      <c r="H47" s="27" t="s">
        <v>270</v>
      </c>
      <c r="I47" s="27" t="s">
        <v>531</v>
      </c>
      <c r="J47" s="27" t="s">
        <v>369</v>
      </c>
      <c r="K47" s="27" t="s">
        <v>925</v>
      </c>
      <c r="L47" s="27"/>
      <c r="M47" s="30" t="s">
        <v>4776</v>
      </c>
      <c r="N47" s="1" t="s">
        <v>264</v>
      </c>
      <c r="O47" s="27" t="s">
        <v>4795</v>
      </c>
      <c r="P47" s="27"/>
    </row>
    <row r="48" spans="1:16" ht="24" customHeight="1">
      <c r="A48" s="30" t="s">
        <v>4797</v>
      </c>
      <c r="B48" s="27" t="s">
        <v>227</v>
      </c>
      <c r="C48" s="27" t="s">
        <v>326</v>
      </c>
      <c r="D48" s="27" t="s">
        <v>4790</v>
      </c>
      <c r="E48" s="10">
        <v>20</v>
      </c>
      <c r="F48" s="36" t="s">
        <v>263</v>
      </c>
      <c r="G48" s="27" t="s">
        <v>269</v>
      </c>
      <c r="H48" s="27" t="s">
        <v>270</v>
      </c>
      <c r="I48" s="27" t="s">
        <v>531</v>
      </c>
      <c r="J48" s="27" t="s">
        <v>610</v>
      </c>
      <c r="K48" s="27" t="s">
        <v>2581</v>
      </c>
      <c r="L48" s="27"/>
      <c r="M48" s="27"/>
      <c r="N48" s="1" t="s">
        <v>264</v>
      </c>
      <c r="O48" s="27" t="s">
        <v>2582</v>
      </c>
      <c r="P48" s="27"/>
    </row>
    <row r="49" spans="1:16" ht="24" customHeight="1">
      <c r="A49" s="30" t="s">
        <v>4798</v>
      </c>
      <c r="B49" s="27" t="s">
        <v>201</v>
      </c>
      <c r="C49" s="27" t="s">
        <v>954</v>
      </c>
      <c r="D49" s="27" t="s">
        <v>4794</v>
      </c>
      <c r="E49" s="10">
        <v>20</v>
      </c>
      <c r="F49" s="36" t="s">
        <v>263</v>
      </c>
      <c r="G49" s="27" t="s">
        <v>269</v>
      </c>
      <c r="H49" s="27" t="s">
        <v>270</v>
      </c>
      <c r="I49" s="27" t="s">
        <v>531</v>
      </c>
      <c r="J49" s="27" t="s">
        <v>369</v>
      </c>
      <c r="K49" s="27" t="s">
        <v>925</v>
      </c>
      <c r="L49" s="27"/>
      <c r="M49" s="30" t="s">
        <v>4776</v>
      </c>
      <c r="N49" s="1" t="s">
        <v>264</v>
      </c>
      <c r="O49" s="27" t="s">
        <v>4795</v>
      </c>
      <c r="P49" s="27"/>
    </row>
    <row r="50" spans="1:16" ht="24" customHeight="1">
      <c r="A50" s="30" t="s">
        <v>4799</v>
      </c>
      <c r="B50" s="27" t="s">
        <v>2152</v>
      </c>
      <c r="C50" s="27" t="s">
        <v>954</v>
      </c>
      <c r="D50" s="27" t="s">
        <v>4794</v>
      </c>
      <c r="E50" s="10">
        <v>20</v>
      </c>
      <c r="F50" s="36" t="s">
        <v>263</v>
      </c>
      <c r="G50" s="27" t="s">
        <v>269</v>
      </c>
      <c r="H50" s="27" t="s">
        <v>270</v>
      </c>
      <c r="I50" s="27" t="s">
        <v>531</v>
      </c>
      <c r="J50" s="27" t="s">
        <v>369</v>
      </c>
      <c r="K50" s="27" t="s">
        <v>925</v>
      </c>
      <c r="L50" s="27"/>
      <c r="M50" s="30" t="s">
        <v>4776</v>
      </c>
      <c r="N50" s="1" t="s">
        <v>264</v>
      </c>
      <c r="O50" s="27" t="s">
        <v>4795</v>
      </c>
      <c r="P50" s="27"/>
    </row>
    <row r="51" spans="1:16" ht="24" customHeight="1">
      <c r="A51" s="30" t="s">
        <v>4800</v>
      </c>
      <c r="B51" s="27" t="s">
        <v>220</v>
      </c>
      <c r="C51" s="27" t="s">
        <v>954</v>
      </c>
      <c r="D51" s="27" t="s">
        <v>4794</v>
      </c>
      <c r="E51" s="10">
        <v>20</v>
      </c>
      <c r="F51" s="36" t="s">
        <v>263</v>
      </c>
      <c r="G51" s="27" t="s">
        <v>269</v>
      </c>
      <c r="H51" s="27" t="s">
        <v>270</v>
      </c>
      <c r="I51" s="27" t="s">
        <v>531</v>
      </c>
      <c r="J51" s="27" t="s">
        <v>369</v>
      </c>
      <c r="K51" s="27" t="s">
        <v>925</v>
      </c>
      <c r="L51" s="27"/>
      <c r="M51" s="30" t="s">
        <v>4776</v>
      </c>
      <c r="N51" s="1" t="s">
        <v>264</v>
      </c>
      <c r="O51" s="27" t="s">
        <v>4795</v>
      </c>
      <c r="P51" s="27"/>
    </row>
    <row r="52" spans="1:16" ht="24" customHeight="1">
      <c r="A52" s="30" t="s">
        <v>4800</v>
      </c>
      <c r="B52" s="27" t="s">
        <v>220</v>
      </c>
      <c r="C52" s="27" t="s">
        <v>326</v>
      </c>
      <c r="D52" s="27" t="s">
        <v>4790</v>
      </c>
      <c r="E52" s="10">
        <v>20</v>
      </c>
      <c r="F52" s="36" t="s">
        <v>263</v>
      </c>
      <c r="G52" s="27" t="s">
        <v>269</v>
      </c>
      <c r="H52" s="27" t="s">
        <v>270</v>
      </c>
      <c r="I52" s="27" t="s">
        <v>531</v>
      </c>
      <c r="J52" s="27" t="s">
        <v>610</v>
      </c>
      <c r="K52" s="27" t="s">
        <v>2581</v>
      </c>
      <c r="L52" s="27"/>
      <c r="M52" s="27"/>
      <c r="N52" s="1" t="s">
        <v>264</v>
      </c>
      <c r="O52" s="27" t="s">
        <v>2582</v>
      </c>
      <c r="P52" s="27"/>
    </row>
    <row r="53" spans="1:16" ht="24" customHeight="1">
      <c r="A53" s="30" t="s">
        <v>4801</v>
      </c>
      <c r="B53" s="27" t="s">
        <v>266</v>
      </c>
      <c r="C53" s="27"/>
      <c r="D53" s="27"/>
      <c r="E53" s="10"/>
      <c r="F53" s="36" t="s">
        <v>263</v>
      </c>
      <c r="G53" s="27"/>
      <c r="H53" s="27"/>
      <c r="I53" s="27"/>
      <c r="J53" s="27"/>
      <c r="K53" s="27"/>
      <c r="L53" s="27"/>
      <c r="M53" s="27"/>
      <c r="N53" s="1" t="s">
        <v>264</v>
      </c>
      <c r="O53" s="27"/>
      <c r="P53" s="27"/>
    </row>
    <row r="54" spans="1:16" ht="24" customHeight="1">
      <c r="A54" s="30" t="s">
        <v>4802</v>
      </c>
      <c r="B54" s="27" t="s">
        <v>267</v>
      </c>
      <c r="C54" s="27"/>
      <c r="D54" s="27"/>
      <c r="E54" s="10"/>
      <c r="F54" s="36" t="s">
        <v>263</v>
      </c>
      <c r="G54" s="27"/>
      <c r="H54" s="27"/>
      <c r="I54" s="27"/>
      <c r="J54" s="27"/>
      <c r="K54" s="27"/>
      <c r="L54" s="27"/>
      <c r="M54" s="27"/>
      <c r="N54" s="1" t="s">
        <v>264</v>
      </c>
      <c r="O54" s="27"/>
      <c r="P54" s="27"/>
    </row>
    <row r="55" spans="1:16" ht="24" customHeight="1">
      <c r="A55" s="30" t="s">
        <v>4803</v>
      </c>
      <c r="B55" s="27" t="s">
        <v>224</v>
      </c>
      <c r="C55" s="27" t="s">
        <v>326</v>
      </c>
      <c r="D55" s="27" t="s">
        <v>4790</v>
      </c>
      <c r="E55" s="10">
        <v>20</v>
      </c>
      <c r="F55" s="36" t="s">
        <v>263</v>
      </c>
      <c r="G55" s="27" t="s">
        <v>269</v>
      </c>
      <c r="H55" s="27" t="s">
        <v>270</v>
      </c>
      <c r="I55" s="27" t="s">
        <v>531</v>
      </c>
      <c r="J55" s="27" t="s">
        <v>610</v>
      </c>
      <c r="K55" s="27" t="s">
        <v>2581</v>
      </c>
      <c r="L55" s="27"/>
      <c r="M55" s="27"/>
      <c r="N55" s="1" t="s">
        <v>264</v>
      </c>
      <c r="O55" s="27" t="s">
        <v>2582</v>
      </c>
      <c r="P55" s="27"/>
    </row>
    <row r="56" spans="1:16" ht="24" customHeight="1">
      <c r="A56" s="30" t="s">
        <v>4804</v>
      </c>
      <c r="B56" s="27" t="s">
        <v>227</v>
      </c>
      <c r="C56" s="27" t="s">
        <v>326</v>
      </c>
      <c r="D56" s="27" t="s">
        <v>4790</v>
      </c>
      <c r="E56" s="10">
        <v>20</v>
      </c>
      <c r="F56" s="36" t="s">
        <v>263</v>
      </c>
      <c r="G56" s="27" t="s">
        <v>269</v>
      </c>
      <c r="H56" s="27" t="s">
        <v>270</v>
      </c>
      <c r="I56" s="27" t="s">
        <v>531</v>
      </c>
      <c r="J56" s="27" t="s">
        <v>610</v>
      </c>
      <c r="K56" s="27" t="s">
        <v>2581</v>
      </c>
      <c r="L56" s="27"/>
      <c r="M56" s="27"/>
      <c r="N56" s="1" t="s">
        <v>264</v>
      </c>
      <c r="O56" s="27" t="s">
        <v>2582</v>
      </c>
      <c r="P56" s="27"/>
    </row>
  </sheetData>
  <mergeCells count="3">
    <mergeCell ref="A1:C1"/>
    <mergeCell ref="D1:K1"/>
    <mergeCell ref="L1:P1"/>
  </mergeCells>
  <dataValidations count="2">
    <dataValidation type="list" allowBlank="1" sqref="M3:M106 N3:N56" xr:uid="{00000000-0002-0000-3400-000000000000}">
      <formula1>"Confirmed (Done),Pending Calendar Booking,Canceled"</formula1>
    </dataValidation>
    <dataValidation type="list" allowBlank="1" sqref="F3:F56" xr:uid="{00000000-0002-0000-3400-000001000000}">
      <formula1>"Big Event,Small Event"</formula1>
    </dataValidation>
  </dataValidations>
  <hyperlinks>
    <hyperlink ref="A1" location="'Dashboard'!A1" display="🏠 ⮌ RETURN TO DASHBOARD" xr:uid="{00000000-0004-0000-3400-000000000000}"/>
  </hyperlinks>
  <pageMargins left="0.75" right="0.75" top="1" bottom="1" header="0.5" footer="0.5"/>
</worksheet>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Ansari, Alwajid @ Gurgaon</cp:lastModifiedBy>
  <cp:revision/>
  <dcterms:created xsi:type="dcterms:W3CDTF">2026-08-17T06:28:30Z</dcterms:created>
  <dcterms:modified xsi:type="dcterms:W3CDTF">2026-09-01T13:12:09Z</dcterms:modified>
  <cp:category/>
  <cp:contentStatus/>
</cp:coreProperties>
</file>
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bre-my.sharepoint.com/personal/satyabrata_mohanty1_cbre_com/Documents/Desktop/Trackers/Locker/"/>
    </mc:Choice>
  </mc:AlternateContent>
  <xr:revisionPtr revIDLastSave="317" documentId="11_F56D8C5A66DACF4247F893C0199D457268BC86FF" xr6:coauthVersionLast="47" xr6:coauthVersionMax="47" xr10:uidLastSave="{3371508D-8647-4A87-B65F-6FD419172296}"/>
  <bookViews>
    <workbookView xWindow="0" yWindow="0" windowWidth="19200" windowHeight="11280" firstSheet="1" activeTab="1" xr2:uid="{00000000-000D-0000-FFFF-FFFF00000000}"/>
  </bookViews>
  <sheets>
    <sheet name="📊 Dashboard" sheetId="1" r:id="rId1"/>
    <sheet name="🔐 Master Tracker" sheetId="2" r:id="rId2"/>
    <sheet name="⚠️ Action &amp; Audit List" sheetId="3" r:id="rId3"/>
    <sheet name="📈 Zone Breakdown" sheetId="4" r:id="rId4"/>
    <sheet name="⚙️ Master List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6" i="2" l="1"/>
  <c r="I247" i="2"/>
  <c r="I248" i="2"/>
  <c r="J248" i="2" s="1"/>
  <c r="I249" i="2"/>
  <c r="I250" i="2"/>
  <c r="J250" i="2" s="1"/>
  <c r="I251" i="2"/>
  <c r="J251" i="2" s="1"/>
  <c r="P248" i="2"/>
  <c r="P249" i="2"/>
  <c r="P250" i="2"/>
  <c r="P251" i="2"/>
  <c r="P252" i="2"/>
  <c r="P253" i="2"/>
  <c r="P254" i="2"/>
  <c r="P255" i="2"/>
  <c r="P256" i="2"/>
  <c r="P257" i="2"/>
  <c r="J249" i="2"/>
  <c r="J252" i="2"/>
  <c r="J253" i="2"/>
  <c r="J254" i="2"/>
  <c r="J255" i="2"/>
  <c r="J256" i="2"/>
  <c r="J257" i="2"/>
  <c r="M22" i="4"/>
  <c r="L22" i="4"/>
  <c r="K22" i="4"/>
  <c r="J22" i="4"/>
  <c r="I22" i="4"/>
  <c r="H22" i="4"/>
  <c r="G22" i="4"/>
  <c r="F22" i="4"/>
  <c r="E22" i="4"/>
  <c r="D22" i="4"/>
  <c r="C22" i="4"/>
  <c r="M21" i="4"/>
  <c r="L21" i="4"/>
  <c r="K21" i="4"/>
  <c r="J21" i="4"/>
  <c r="I21" i="4"/>
  <c r="H21" i="4"/>
  <c r="G21" i="4"/>
  <c r="F21" i="4"/>
  <c r="E21" i="4"/>
  <c r="D21" i="4"/>
  <c r="C21" i="4"/>
  <c r="M20" i="4"/>
  <c r="L20" i="4"/>
  <c r="K20" i="4"/>
  <c r="J20" i="4"/>
  <c r="I20" i="4"/>
  <c r="H20" i="4"/>
  <c r="G20" i="4"/>
  <c r="F20" i="4"/>
  <c r="E20" i="4"/>
  <c r="D20" i="4"/>
  <c r="C20" i="4"/>
  <c r="M19" i="4"/>
  <c r="L19" i="4"/>
  <c r="K19" i="4"/>
  <c r="J19" i="4"/>
  <c r="I19" i="4"/>
  <c r="H19" i="4"/>
  <c r="G19" i="4"/>
  <c r="F19" i="4"/>
  <c r="E19" i="4"/>
  <c r="D19" i="4"/>
  <c r="C19" i="4"/>
  <c r="N18" i="4"/>
  <c r="M18" i="4"/>
  <c r="L18" i="4"/>
  <c r="K18" i="4"/>
  <c r="J18" i="4"/>
  <c r="I18" i="4"/>
  <c r="H18" i="4"/>
  <c r="G18" i="4"/>
  <c r="F18" i="4"/>
  <c r="E18" i="4"/>
  <c r="D18" i="4"/>
  <c r="C18" i="4"/>
  <c r="M17" i="4"/>
  <c r="L17" i="4"/>
  <c r="K17" i="4"/>
  <c r="J17" i="4"/>
  <c r="I17" i="4"/>
  <c r="H17" i="4"/>
  <c r="G17" i="4"/>
  <c r="F17" i="4"/>
  <c r="E17" i="4"/>
  <c r="D17" i="4"/>
  <c r="C17" i="4"/>
  <c r="M16" i="4"/>
  <c r="L16" i="4"/>
  <c r="K16" i="4"/>
  <c r="J16" i="4"/>
  <c r="I16" i="4"/>
  <c r="H16" i="4"/>
  <c r="G16" i="4"/>
  <c r="F16" i="4"/>
  <c r="E16" i="4"/>
  <c r="D16" i="4"/>
  <c r="C16" i="4"/>
  <c r="M15" i="4"/>
  <c r="L15" i="4"/>
  <c r="K15" i="4"/>
  <c r="J15" i="4"/>
  <c r="I15" i="4"/>
  <c r="H15" i="4"/>
  <c r="G15" i="4"/>
  <c r="F15" i="4"/>
  <c r="E15" i="4"/>
  <c r="D15" i="4"/>
  <c r="C15" i="4"/>
  <c r="M14" i="4"/>
  <c r="L14" i="4"/>
  <c r="K14" i="4"/>
  <c r="J14" i="4"/>
  <c r="I14" i="4"/>
  <c r="H14" i="4"/>
  <c r="G14" i="4"/>
  <c r="F14" i="4"/>
  <c r="E14" i="4"/>
  <c r="D14" i="4"/>
  <c r="C14" i="4"/>
  <c r="M13" i="4"/>
  <c r="L13" i="4"/>
  <c r="K13" i="4"/>
  <c r="J13" i="4"/>
  <c r="I13" i="4"/>
  <c r="H13" i="4"/>
  <c r="G13" i="4"/>
  <c r="F13" i="4"/>
  <c r="E13" i="4"/>
  <c r="D13" i="4"/>
  <c r="C13" i="4"/>
  <c r="M12" i="4"/>
  <c r="L12" i="4"/>
  <c r="K12" i="4"/>
  <c r="J12" i="4"/>
  <c r="I12" i="4"/>
  <c r="H12" i="4"/>
  <c r="G12" i="4"/>
  <c r="F12" i="4"/>
  <c r="E12" i="4"/>
  <c r="D12" i="4"/>
  <c r="C12" i="4"/>
  <c r="M11" i="4"/>
  <c r="L11" i="4"/>
  <c r="K11" i="4"/>
  <c r="J11" i="4"/>
  <c r="I11" i="4"/>
  <c r="H11" i="4"/>
  <c r="G11" i="4"/>
  <c r="F11" i="4"/>
  <c r="E11" i="4"/>
  <c r="D11" i="4"/>
  <c r="C11" i="4"/>
  <c r="M10" i="4"/>
  <c r="L10" i="4"/>
  <c r="K10" i="4"/>
  <c r="J10" i="4"/>
  <c r="I10" i="4"/>
  <c r="H10" i="4"/>
  <c r="G10" i="4"/>
  <c r="F10" i="4"/>
  <c r="E10" i="4"/>
  <c r="D10" i="4"/>
  <c r="C10" i="4"/>
  <c r="M9" i="4"/>
  <c r="L9" i="4"/>
  <c r="K9" i="4"/>
  <c r="J9" i="4"/>
  <c r="I9" i="4"/>
  <c r="H9" i="4"/>
  <c r="G9" i="4"/>
  <c r="F9" i="4"/>
  <c r="E9" i="4"/>
  <c r="D9" i="4"/>
  <c r="C9" i="4"/>
  <c r="N32" i="1"/>
  <c r="M32" i="1"/>
  <c r="H30" i="1"/>
  <c r="G30" i="1"/>
  <c r="F30" i="1"/>
  <c r="E30" i="1"/>
  <c r="D30" i="1"/>
  <c r="C30" i="1"/>
  <c r="H29" i="1"/>
  <c r="G29" i="1"/>
  <c r="F29" i="1"/>
  <c r="E29" i="1"/>
  <c r="D29" i="1"/>
  <c r="C29" i="1"/>
  <c r="H28" i="1"/>
  <c r="G28" i="1"/>
  <c r="F28" i="1"/>
  <c r="E28" i="1"/>
  <c r="D28" i="1"/>
  <c r="C28" i="1"/>
  <c r="H27" i="1"/>
  <c r="G27" i="1"/>
  <c r="F27" i="1"/>
  <c r="E27" i="1"/>
  <c r="D27" i="1"/>
  <c r="C27" i="1"/>
  <c r="H26" i="1"/>
  <c r="G26" i="1"/>
  <c r="F26" i="1"/>
  <c r="E26" i="1"/>
  <c r="D26" i="1"/>
  <c r="C26" i="1"/>
  <c r="H25" i="1"/>
  <c r="G25" i="1"/>
  <c r="F25" i="1"/>
  <c r="E25" i="1"/>
  <c r="D25" i="1"/>
  <c r="C25" i="1"/>
  <c r="H24" i="1"/>
  <c r="G24" i="1"/>
  <c r="F24" i="1"/>
  <c r="E24" i="1"/>
  <c r="D24" i="1"/>
  <c r="C24" i="1"/>
  <c r="H23" i="1"/>
  <c r="G23" i="1"/>
  <c r="F23" i="1"/>
  <c r="E23" i="1"/>
  <c r="D23" i="1"/>
  <c r="C23" i="1"/>
  <c r="H22" i="1"/>
  <c r="G22" i="1"/>
  <c r="F22" i="1"/>
  <c r="E22" i="1"/>
  <c r="D22" i="1"/>
  <c r="C22" i="1"/>
  <c r="O21" i="1"/>
  <c r="N21" i="1"/>
  <c r="M21" i="1"/>
  <c r="L21" i="1"/>
  <c r="K21" i="1"/>
  <c r="H21" i="1"/>
  <c r="G21" i="1"/>
  <c r="F21" i="1"/>
  <c r="E21" i="1"/>
  <c r="D21" i="1"/>
  <c r="C21" i="1"/>
  <c r="O20" i="1"/>
  <c r="N20" i="1"/>
  <c r="M20" i="1"/>
  <c r="L20" i="1"/>
  <c r="K20" i="1"/>
  <c r="H20" i="1"/>
  <c r="G20" i="1"/>
  <c r="F20" i="1"/>
  <c r="E20" i="1"/>
  <c r="D20" i="1"/>
  <c r="C20" i="1"/>
  <c r="O19" i="1"/>
  <c r="N19" i="1"/>
  <c r="M19" i="1"/>
  <c r="L19" i="1"/>
  <c r="K19" i="1"/>
  <c r="H19" i="1"/>
  <c r="G19" i="1"/>
  <c r="F19" i="1"/>
  <c r="E19" i="1"/>
  <c r="D19" i="1"/>
  <c r="C19" i="1"/>
  <c r="O18" i="1"/>
  <c r="N18" i="1"/>
  <c r="M18" i="1"/>
  <c r="L18" i="1"/>
  <c r="K18" i="1"/>
  <c r="H18" i="1"/>
  <c r="G18" i="1"/>
  <c r="F18" i="1"/>
  <c r="E18" i="1"/>
  <c r="D18" i="1"/>
  <c r="C18" i="1"/>
  <c r="O17" i="1"/>
  <c r="N17" i="1"/>
  <c r="M17" i="1"/>
  <c r="L17" i="1"/>
  <c r="K17" i="1"/>
  <c r="H17" i="1"/>
  <c r="G17" i="1"/>
  <c r="F17" i="1"/>
  <c r="E17" i="1"/>
  <c r="D17" i="1"/>
  <c r="C17" i="1"/>
  <c r="J12" i="1"/>
  <c r="F12" i="1"/>
  <c r="B12" i="1"/>
  <c r="N8" i="1"/>
  <c r="J8" i="1"/>
  <c r="F8" i="1"/>
  <c r="B8" i="1"/>
  <c r="J247" i="2"/>
  <c r="P246" i="2"/>
  <c r="I245" i="2"/>
  <c r="P245" i="2" s="1"/>
  <c r="I244" i="2"/>
  <c r="J244" i="2" s="1"/>
  <c r="I243" i="2"/>
  <c r="P243" i="2" s="1"/>
  <c r="I242" i="2"/>
  <c r="P242" i="2" s="1"/>
  <c r="I241" i="2"/>
  <c r="J241" i="2" s="1"/>
  <c r="I240" i="2"/>
  <c r="I239" i="2"/>
  <c r="P239" i="2" s="1"/>
  <c r="I238" i="2"/>
  <c r="P238" i="2" s="1"/>
  <c r="I237" i="2"/>
  <c r="J237" i="2" s="1"/>
  <c r="I236" i="2"/>
  <c r="P236" i="2" s="1"/>
  <c r="I235" i="2"/>
  <c r="J235" i="2" s="1"/>
  <c r="I234" i="2"/>
  <c r="J234" i="2" s="1"/>
  <c r="I233" i="2"/>
  <c r="J233" i="2" s="1"/>
  <c r="I232" i="2"/>
  <c r="P232" i="2" s="1"/>
  <c r="I231" i="2"/>
  <c r="P231" i="2" s="1"/>
  <c r="I230" i="2"/>
  <c r="P230" i="2" s="1"/>
  <c r="I229" i="2"/>
  <c r="P229" i="2" s="1"/>
  <c r="I228" i="2"/>
  <c r="P228" i="2" s="1"/>
  <c r="I227" i="2"/>
  <c r="P227" i="2" s="1"/>
  <c r="I226" i="2"/>
  <c r="I225" i="2"/>
  <c r="P225" i="2" s="1"/>
  <c r="I224" i="2"/>
  <c r="P224" i="2" s="1"/>
  <c r="I223" i="2"/>
  <c r="J223" i="2" s="1"/>
  <c r="I222" i="2"/>
  <c r="P222" i="2" s="1"/>
  <c r="I221" i="2"/>
  <c r="P221" i="2" s="1"/>
  <c r="I220" i="2"/>
  <c r="J220" i="2" s="1"/>
  <c r="I219" i="2"/>
  <c r="J219" i="2" s="1"/>
  <c r="I218" i="2"/>
  <c r="P218" i="2" s="1"/>
  <c r="I217" i="2"/>
  <c r="P217" i="2" s="1"/>
  <c r="I216" i="2"/>
  <c r="P216" i="2" s="1"/>
  <c r="I215" i="2"/>
  <c r="P215" i="2" s="1"/>
  <c r="I214" i="2"/>
  <c r="J214" i="2" s="1"/>
  <c r="I213" i="2"/>
  <c r="J213" i="2" s="1"/>
  <c r="I212" i="2"/>
  <c r="J212" i="2" s="1"/>
  <c r="I211" i="2"/>
  <c r="P211" i="2" s="1"/>
  <c r="I210" i="2"/>
  <c r="P210" i="2" s="1"/>
  <c r="I209" i="2"/>
  <c r="J209" i="2" s="1"/>
  <c r="I208" i="2"/>
  <c r="P208" i="2" s="1"/>
  <c r="I207" i="2"/>
  <c r="P207" i="2" s="1"/>
  <c r="I206" i="2"/>
  <c r="J206" i="2" s="1"/>
  <c r="I205" i="2"/>
  <c r="I204" i="2"/>
  <c r="P204" i="2" s="1"/>
  <c r="I203" i="2"/>
  <c r="P203" i="2" s="1"/>
  <c r="I202" i="2"/>
  <c r="J202" i="2" s="1"/>
  <c r="I201" i="2"/>
  <c r="P201" i="2" s="1"/>
  <c r="I200" i="2"/>
  <c r="J200" i="2" s="1"/>
  <c r="I199" i="2"/>
  <c r="P199" i="2" s="1"/>
  <c r="I198" i="2"/>
  <c r="J198" i="2" s="1"/>
  <c r="I197" i="2"/>
  <c r="P197" i="2" s="1"/>
  <c r="I196" i="2"/>
  <c r="P196" i="2" s="1"/>
  <c r="I195" i="2"/>
  <c r="J195" i="2" s="1"/>
  <c r="I194" i="2"/>
  <c r="P194" i="2" s="1"/>
  <c r="I193" i="2"/>
  <c r="P193" i="2" s="1"/>
  <c r="I192" i="2"/>
  <c r="J192" i="2" s="1"/>
  <c r="I191" i="2"/>
  <c r="J191" i="2" s="1"/>
  <c r="I190" i="2"/>
  <c r="P190" i="2" s="1"/>
  <c r="I189" i="2"/>
  <c r="P189" i="2" s="1"/>
  <c r="I188" i="2"/>
  <c r="J188" i="2" s="1"/>
  <c r="I187" i="2"/>
  <c r="P187" i="2" s="1"/>
  <c r="I186" i="2"/>
  <c r="J186" i="2" s="1"/>
  <c r="I185" i="2"/>
  <c r="J185" i="2" s="1"/>
  <c r="I184" i="2"/>
  <c r="J184" i="2" s="1"/>
  <c r="I183" i="2"/>
  <c r="P183" i="2" s="1"/>
  <c r="I182" i="2"/>
  <c r="P182" i="2" s="1"/>
  <c r="I181" i="2"/>
  <c r="I180" i="2"/>
  <c r="P180" i="2" s="1"/>
  <c r="I178" i="2"/>
  <c r="P178" i="2" s="1"/>
  <c r="I177" i="2"/>
  <c r="P177" i="2" s="1"/>
  <c r="I176" i="2"/>
  <c r="I175" i="2"/>
  <c r="P175" i="2" s="1"/>
  <c r="I174" i="2"/>
  <c r="P174" i="2" s="1"/>
  <c r="I173" i="2"/>
  <c r="J173" i="2" s="1"/>
  <c r="I172" i="2"/>
  <c r="P172" i="2" s="1"/>
  <c r="I171" i="2"/>
  <c r="I170" i="2"/>
  <c r="P170" i="2" s="1"/>
  <c r="I169" i="2"/>
  <c r="J169" i="2" s="1"/>
  <c r="I168" i="2"/>
  <c r="P168" i="2" s="1"/>
  <c r="I167" i="2"/>
  <c r="P167" i="2" s="1"/>
  <c r="I166" i="2"/>
  <c r="J166" i="2" s="1"/>
  <c r="I165" i="2"/>
  <c r="P165" i="2" s="1"/>
  <c r="I164" i="2"/>
  <c r="I163" i="2"/>
  <c r="J163" i="2" s="1"/>
  <c r="I162" i="2"/>
  <c r="J162" i="2" s="1"/>
  <c r="I161" i="2"/>
  <c r="P161" i="2" s="1"/>
  <c r="I160" i="2"/>
  <c r="P160" i="2" s="1"/>
  <c r="I159" i="2"/>
  <c r="J159" i="2" s="1"/>
  <c r="I158" i="2"/>
  <c r="P158" i="2" s="1"/>
  <c r="I157" i="2"/>
  <c r="P157" i="2" s="1"/>
  <c r="I156" i="2"/>
  <c r="J156" i="2" s="1"/>
  <c r="I155" i="2"/>
  <c r="J155" i="2" s="1"/>
  <c r="I154" i="2"/>
  <c r="P154" i="2" s="1"/>
  <c r="I153" i="2"/>
  <c r="P153" i="2" s="1"/>
  <c r="I152" i="2"/>
  <c r="P152" i="2" s="1"/>
  <c r="I151" i="2"/>
  <c r="P151" i="2" s="1"/>
  <c r="I150" i="2"/>
  <c r="P150" i="2" s="1"/>
  <c r="I149" i="2"/>
  <c r="J149" i="2" s="1"/>
  <c r="I148" i="2"/>
  <c r="I147" i="2"/>
  <c r="P147" i="2" s="1"/>
  <c r="I146" i="2"/>
  <c r="P146" i="2" s="1"/>
  <c r="I145" i="2"/>
  <c r="J145" i="2" s="1"/>
  <c r="I144" i="2"/>
  <c r="P144" i="2" s="1"/>
  <c r="I143" i="2"/>
  <c r="J143" i="2" s="1"/>
  <c r="I142" i="2"/>
  <c r="P142" i="2" s="1"/>
  <c r="I141" i="2"/>
  <c r="I140" i="2"/>
  <c r="P140" i="2" s="1"/>
  <c r="I139" i="2"/>
  <c r="P139" i="2" s="1"/>
  <c r="I138" i="2"/>
  <c r="P138" i="2" s="1"/>
  <c r="I137" i="2"/>
  <c r="P137" i="2" s="1"/>
  <c r="I136" i="2"/>
  <c r="J136" i="2" s="1"/>
  <c r="I135" i="2"/>
  <c r="P135" i="2" s="1"/>
  <c r="I134" i="2"/>
  <c r="I133" i="2"/>
  <c r="P133" i="2" s="1"/>
  <c r="I132" i="2"/>
  <c r="P132" i="2" s="1"/>
  <c r="I131" i="2"/>
  <c r="J131" i="2" s="1"/>
  <c r="I130" i="2"/>
  <c r="P130" i="2" s="1"/>
  <c r="I129" i="2"/>
  <c r="J129" i="2" s="1"/>
  <c r="I128" i="2"/>
  <c r="P128" i="2" s="1"/>
  <c r="I127" i="2"/>
  <c r="I126" i="2"/>
  <c r="P126" i="2" s="1"/>
  <c r="I125" i="2"/>
  <c r="P125" i="2" s="1"/>
  <c r="I124" i="2"/>
  <c r="J124" i="2" s="1"/>
  <c r="I123" i="2"/>
  <c r="P123" i="2" s="1"/>
  <c r="I122" i="2"/>
  <c r="P122" i="2" s="1"/>
  <c r="I121" i="2"/>
  <c r="P121" i="2" s="1"/>
  <c r="I120" i="2"/>
  <c r="J120" i="2" s="1"/>
  <c r="I119" i="2"/>
  <c r="P119" i="2" s="1"/>
  <c r="I118" i="2"/>
  <c r="P118" i="2" s="1"/>
  <c r="I117" i="2"/>
  <c r="P117" i="2" s="1"/>
  <c r="I116" i="2"/>
  <c r="P116" i="2" s="1"/>
  <c r="I115" i="2"/>
  <c r="J115" i="2" s="1"/>
  <c r="I114" i="2"/>
  <c r="P114" i="2" s="1"/>
  <c r="I113" i="2"/>
  <c r="J113" i="2" s="1"/>
  <c r="I112" i="2"/>
  <c r="P112" i="2" s="1"/>
  <c r="I111" i="2"/>
  <c r="P111" i="2" s="1"/>
  <c r="I110" i="2"/>
  <c r="J110" i="2" s="1"/>
  <c r="I109" i="2"/>
  <c r="P109" i="2" s="1"/>
  <c r="I108" i="2"/>
  <c r="J108" i="2" s="1"/>
  <c r="I107" i="2"/>
  <c r="P107" i="2" s="1"/>
  <c r="I106" i="2"/>
  <c r="I105" i="2"/>
  <c r="P105" i="2" s="1"/>
  <c r="I104" i="2"/>
  <c r="P104" i="2" s="1"/>
  <c r="I103" i="2"/>
  <c r="P103" i="2" s="1"/>
  <c r="I102" i="2"/>
  <c r="P102" i="2" s="1"/>
  <c r="I101" i="2"/>
  <c r="I100" i="2"/>
  <c r="P100" i="2" s="1"/>
  <c r="I99" i="2"/>
  <c r="J99" i="2" s="1"/>
  <c r="I98" i="2"/>
  <c r="P98" i="2" s="1"/>
  <c r="I97" i="2"/>
  <c r="P97" i="2" s="1"/>
  <c r="I96" i="2"/>
  <c r="P96" i="2" s="1"/>
  <c r="I95" i="2"/>
  <c r="P95" i="2" s="1"/>
  <c r="I94" i="2"/>
  <c r="P94" i="2" s="1"/>
  <c r="I93" i="2"/>
  <c r="J93" i="2" s="1"/>
  <c r="I92" i="2"/>
  <c r="J92" i="2" s="1"/>
  <c r="I91" i="2"/>
  <c r="P91" i="2" s="1"/>
  <c r="I90" i="2"/>
  <c r="P90" i="2" s="1"/>
  <c r="I89" i="2"/>
  <c r="J89" i="2" s="1"/>
  <c r="I88" i="2"/>
  <c r="P88" i="2" s="1"/>
  <c r="I87" i="2"/>
  <c r="J87" i="2" s="1"/>
  <c r="I86" i="2"/>
  <c r="J86" i="2" s="1"/>
  <c r="I85" i="2"/>
  <c r="J85" i="2" s="1"/>
  <c r="I84" i="2"/>
  <c r="P84" i="2" s="1"/>
  <c r="I83" i="2"/>
  <c r="P83" i="2" s="1"/>
  <c r="I82" i="2"/>
  <c r="J82" i="2" s="1"/>
  <c r="I81" i="2"/>
  <c r="P81" i="2" s="1"/>
  <c r="I80" i="2"/>
  <c r="P80" i="2" s="1"/>
  <c r="I79" i="2"/>
  <c r="P79" i="2" s="1"/>
  <c r="I78" i="2"/>
  <c r="J78" i="2" s="1"/>
  <c r="I77" i="2"/>
  <c r="P77" i="2" s="1"/>
  <c r="I76" i="2"/>
  <c r="P76" i="2" s="1"/>
  <c r="I75" i="2"/>
  <c r="J75" i="2" s="1"/>
  <c r="I74" i="2"/>
  <c r="P74" i="2" s="1"/>
  <c r="I73" i="2"/>
  <c r="J73" i="2" s="1"/>
  <c r="I72" i="2"/>
  <c r="P72" i="2" s="1"/>
  <c r="I71" i="2"/>
  <c r="J71" i="2" s="1"/>
  <c r="I70" i="2"/>
  <c r="P70" i="2" s="1"/>
  <c r="I69" i="2"/>
  <c r="I68" i="2"/>
  <c r="I67" i="2"/>
  <c r="P67" i="2" s="1"/>
  <c r="I66" i="2"/>
  <c r="I65" i="2"/>
  <c r="J65" i="2" s="1"/>
  <c r="I64" i="2"/>
  <c r="J64" i="2" s="1"/>
  <c r="I63" i="2"/>
  <c r="P63" i="2" s="1"/>
  <c r="I62" i="2"/>
  <c r="P62" i="2" s="1"/>
  <c r="I61" i="2"/>
  <c r="P61" i="2" s="1"/>
  <c r="I60" i="2"/>
  <c r="P60" i="2" s="1"/>
  <c r="I59" i="2"/>
  <c r="P59" i="2" s="1"/>
  <c r="I58" i="2"/>
  <c r="I57" i="2"/>
  <c r="J57" i="2" s="1"/>
  <c r="I56" i="2"/>
  <c r="P56" i="2" s="1"/>
  <c r="I55" i="2"/>
  <c r="P55" i="2" s="1"/>
  <c r="I54" i="2"/>
  <c r="J54" i="2" s="1"/>
  <c r="I53" i="2"/>
  <c r="P53" i="2" s="1"/>
  <c r="I52" i="2"/>
  <c r="P52" i="2" s="1"/>
  <c r="I51" i="2"/>
  <c r="J51" i="2" s="1"/>
  <c r="I50" i="2"/>
  <c r="J50" i="2" s="1"/>
  <c r="I49" i="2"/>
  <c r="P49" i="2" s="1"/>
  <c r="I48" i="2"/>
  <c r="P48" i="2" s="1"/>
  <c r="I47" i="2"/>
  <c r="P47" i="2" s="1"/>
  <c r="I46" i="2"/>
  <c r="P46" i="2" s="1"/>
  <c r="I45" i="2"/>
  <c r="P45" i="2" s="1"/>
  <c r="I44" i="2"/>
  <c r="J44" i="2" s="1"/>
  <c r="I43" i="2"/>
  <c r="I42" i="2"/>
  <c r="P42" i="2" s="1"/>
  <c r="I41" i="2"/>
  <c r="P41" i="2" s="1"/>
  <c r="I40" i="2"/>
  <c r="P40" i="2" s="1"/>
  <c r="I39" i="2"/>
  <c r="P39" i="2" s="1"/>
  <c r="I38" i="2"/>
  <c r="J38" i="2" s="1"/>
  <c r="I37" i="2"/>
  <c r="P37" i="2" s="1"/>
  <c r="I36" i="2"/>
  <c r="I35" i="2"/>
  <c r="P35" i="2" s="1"/>
  <c r="I34" i="2"/>
  <c r="P34" i="2" s="1"/>
  <c r="I33" i="2"/>
  <c r="J33" i="2" s="1"/>
  <c r="I32" i="2"/>
  <c r="P32" i="2" s="1"/>
  <c r="I31" i="2"/>
  <c r="I30" i="2"/>
  <c r="P30" i="2" s="1"/>
  <c r="I29" i="2"/>
  <c r="J29" i="2" s="1"/>
  <c r="I28" i="2"/>
  <c r="P28" i="2" s="1"/>
  <c r="I27" i="2"/>
  <c r="P27" i="2" s="1"/>
  <c r="I26" i="2"/>
  <c r="P26" i="2" s="1"/>
  <c r="I25" i="2"/>
  <c r="P25" i="2" s="1"/>
  <c r="I24" i="2"/>
  <c r="P24" i="2" s="1"/>
  <c r="I23" i="2"/>
  <c r="P23" i="2" s="1"/>
  <c r="I22" i="2"/>
  <c r="J22" i="2" s="1"/>
  <c r="I21" i="2"/>
  <c r="P21" i="2" s="1"/>
  <c r="I20" i="2"/>
  <c r="P20" i="2" s="1"/>
  <c r="I19" i="2"/>
  <c r="J19" i="2" s="1"/>
  <c r="I18" i="2"/>
  <c r="P18" i="2" s="1"/>
  <c r="I17" i="2"/>
  <c r="P17" i="2" s="1"/>
  <c r="I16" i="2"/>
  <c r="P16" i="2" s="1"/>
  <c r="I15" i="2"/>
  <c r="J15" i="2" s="1"/>
  <c r="I14" i="2"/>
  <c r="P14" i="2" s="1"/>
  <c r="I13" i="2"/>
  <c r="P13" i="2" s="1"/>
  <c r="I12" i="2"/>
  <c r="P12" i="2" s="1"/>
  <c r="I11" i="2"/>
  <c r="P11" i="2" s="1"/>
  <c r="I10" i="2"/>
  <c r="P10" i="2" s="1"/>
  <c r="I9" i="2"/>
  <c r="I8" i="2"/>
  <c r="N6" i="2"/>
  <c r="K6" i="2"/>
  <c r="G6" i="2"/>
  <c r="C6" i="2"/>
  <c r="L5" i="2"/>
  <c r="F5" i="2"/>
  <c r="N16" i="4" l="1"/>
  <c r="J177" i="2"/>
  <c r="P8" i="2"/>
  <c r="P31" i="2"/>
  <c r="J31" i="2"/>
  <c r="J36" i="2"/>
  <c r="P36" i="2"/>
  <c r="J43" i="2"/>
  <c r="P43" i="2"/>
  <c r="J66" i="2"/>
  <c r="P66" i="2"/>
  <c r="P101" i="2"/>
  <c r="J101" i="2"/>
  <c r="J106" i="2"/>
  <c r="P106" i="2"/>
  <c r="J127" i="2"/>
  <c r="P127" i="2"/>
  <c r="J134" i="2"/>
  <c r="P134" i="2"/>
  <c r="J141" i="2"/>
  <c r="P141" i="2"/>
  <c r="P164" i="2"/>
  <c r="J164" i="2"/>
  <c r="P171" i="2"/>
  <c r="J171" i="2"/>
  <c r="J176" i="2"/>
  <c r="P176" i="2"/>
  <c r="J205" i="2"/>
  <c r="P205" i="2"/>
  <c r="J226" i="2"/>
  <c r="P226" i="2"/>
  <c r="J240" i="2"/>
  <c r="P240" i="2"/>
  <c r="N11" i="4"/>
  <c r="P129" i="2"/>
  <c r="P200" i="2"/>
  <c r="P235" i="2"/>
  <c r="P247" i="2"/>
  <c r="J150" i="2"/>
  <c r="J59" i="2"/>
  <c r="P214" i="2"/>
  <c r="J23" i="4"/>
  <c r="L22" i="1"/>
  <c r="P50" i="2"/>
  <c r="J228" i="2"/>
  <c r="J17" i="2"/>
  <c r="P29" i="2"/>
  <c r="P73" i="2"/>
  <c r="O22" i="1"/>
  <c r="P78" i="2"/>
  <c r="P115" i="2"/>
  <c r="J52" i="2"/>
  <c r="J157" i="2"/>
  <c r="P92" i="2"/>
  <c r="P233" i="2"/>
  <c r="P38" i="2"/>
  <c r="P136" i="2"/>
  <c r="P148" i="2"/>
  <c r="E23" i="4"/>
  <c r="P85" i="2"/>
  <c r="J10" i="2"/>
  <c r="F23" i="4"/>
  <c r="P22" i="2"/>
  <c r="P108" i="2"/>
  <c r="P120" i="2"/>
  <c r="P219" i="2"/>
  <c r="G31" i="1"/>
  <c r="G23" i="4"/>
  <c r="P184" i="2"/>
  <c r="J207" i="2"/>
  <c r="J45" i="2"/>
  <c r="J242" i="2"/>
  <c r="P57" i="2"/>
  <c r="J80" i="2"/>
  <c r="P143" i="2"/>
  <c r="P155" i="2"/>
  <c r="J178" i="2"/>
  <c r="H31" i="1"/>
  <c r="H23" i="4"/>
  <c r="E31" i="1"/>
  <c r="F31" i="1"/>
  <c r="P21" i="1"/>
  <c r="N12" i="4"/>
  <c r="P191" i="2"/>
  <c r="K22" i="1"/>
  <c r="I23" i="4"/>
  <c r="P64" i="2"/>
  <c r="K23" i="4"/>
  <c r="J24" i="2"/>
  <c r="P87" i="2"/>
  <c r="P99" i="2"/>
  <c r="J122" i="2"/>
  <c r="P186" i="2"/>
  <c r="P198" i="2"/>
  <c r="J221" i="2"/>
  <c r="N22" i="1"/>
  <c r="L23" i="4"/>
  <c r="N15" i="4"/>
  <c r="N9" i="4"/>
  <c r="P71" i="2"/>
  <c r="J94" i="2"/>
  <c r="P169" i="2"/>
  <c r="J193" i="2"/>
  <c r="M23" i="4"/>
  <c r="P162" i="2"/>
  <c r="M22" i="1"/>
  <c r="C31" i="1"/>
  <c r="C23" i="4"/>
  <c r="P15" i="2"/>
  <c r="P113" i="2"/>
  <c r="P212" i="2"/>
  <c r="D31" i="1"/>
  <c r="D23" i="4"/>
  <c r="N22" i="4"/>
  <c r="J61" i="2"/>
  <c r="P19" i="2"/>
  <c r="P54" i="2"/>
  <c r="P68" i="2"/>
  <c r="P89" i="2"/>
  <c r="P159" i="2"/>
  <c r="P181" i="2"/>
  <c r="P209" i="2"/>
  <c r="P223" i="2"/>
  <c r="N21" i="4"/>
  <c r="J26" i="2"/>
  <c r="J40" i="2"/>
  <c r="J68" i="2"/>
  <c r="J152" i="2"/>
  <c r="P75" i="2"/>
  <c r="J107" i="2"/>
  <c r="P156" i="2"/>
  <c r="J55" i="2"/>
  <c r="J69" i="2"/>
  <c r="J76" i="2"/>
  <c r="J104" i="2"/>
  <c r="J118" i="2"/>
  <c r="J125" i="2"/>
  <c r="J132" i="2"/>
  <c r="J139" i="2"/>
  <c r="J167" i="2"/>
  <c r="J174" i="2"/>
  <c r="J182" i="2"/>
  <c r="J189" i="2"/>
  <c r="J196" i="2"/>
  <c r="J203" i="2"/>
  <c r="J210" i="2"/>
  <c r="J217" i="2"/>
  <c r="J224" i="2"/>
  <c r="J231" i="2"/>
  <c r="J238" i="2"/>
  <c r="J245" i="2"/>
  <c r="P20" i="1"/>
  <c r="N13" i="4"/>
  <c r="N20" i="4"/>
  <c r="J47" i="2"/>
  <c r="J96" i="2"/>
  <c r="J117" i="2"/>
  <c r="J138" i="2"/>
  <c r="J216" i="2"/>
  <c r="P33" i="2"/>
  <c r="J79" i="2"/>
  <c r="P58" i="2"/>
  <c r="J13" i="2"/>
  <c r="J20" i="2"/>
  <c r="J27" i="2"/>
  <c r="J34" i="2"/>
  <c r="J41" i="2"/>
  <c r="J48" i="2"/>
  <c r="J62" i="2"/>
  <c r="J83" i="2"/>
  <c r="J90" i="2"/>
  <c r="J97" i="2"/>
  <c r="J111" i="2"/>
  <c r="J146" i="2"/>
  <c r="J153" i="2"/>
  <c r="J160" i="2"/>
  <c r="P69" i="2"/>
  <c r="J181" i="2"/>
  <c r="P82" i="2"/>
  <c r="P124" i="2"/>
  <c r="P131" i="2"/>
  <c r="P173" i="2"/>
  <c r="J16" i="2"/>
  <c r="J30" i="2"/>
  <c r="J72" i="2"/>
  <c r="J121" i="2"/>
  <c r="J135" i="2"/>
  <c r="J170" i="2"/>
  <c r="P19" i="1"/>
  <c r="N19" i="4"/>
  <c r="P202" i="2"/>
  <c r="P237" i="2"/>
  <c r="J9" i="2"/>
  <c r="J23" i="2"/>
  <c r="J37" i="2"/>
  <c r="J58" i="2"/>
  <c r="J142" i="2"/>
  <c r="J199" i="2"/>
  <c r="J227" i="2"/>
  <c r="P9" i="2"/>
  <c r="P44" i="2"/>
  <c r="P65" i="2"/>
  <c r="P93" i="2"/>
  <c r="P149" i="2"/>
  <c r="P163" i="2"/>
  <c r="P185" i="2"/>
  <c r="P206" i="2"/>
  <c r="P213" i="2"/>
  <c r="P220" i="2"/>
  <c r="P234" i="2"/>
  <c r="P241" i="2"/>
  <c r="P110" i="2"/>
  <c r="P188" i="2"/>
  <c r="P244" i="2"/>
  <c r="J128" i="2"/>
  <c r="J14" i="2"/>
  <c r="J21" i="2"/>
  <c r="J28" i="2"/>
  <c r="J35" i="2"/>
  <c r="J42" i="2"/>
  <c r="J49" i="2"/>
  <c r="J56" i="2"/>
  <c r="J63" i="2"/>
  <c r="J70" i="2"/>
  <c r="J77" i="2"/>
  <c r="J84" i="2"/>
  <c r="J91" i="2"/>
  <c r="J98" i="2"/>
  <c r="J105" i="2"/>
  <c r="J112" i="2"/>
  <c r="J119" i="2"/>
  <c r="J126" i="2"/>
  <c r="J133" i="2"/>
  <c r="J140" i="2"/>
  <c r="J147" i="2"/>
  <c r="J154" i="2"/>
  <c r="J161" i="2"/>
  <c r="J168" i="2"/>
  <c r="J175" i="2"/>
  <c r="J183" i="2"/>
  <c r="J190" i="2"/>
  <c r="J197" i="2"/>
  <c r="J204" i="2"/>
  <c r="J211" i="2"/>
  <c r="J218" i="2"/>
  <c r="J225" i="2"/>
  <c r="J232" i="2"/>
  <c r="J239" i="2"/>
  <c r="J246" i="2"/>
  <c r="P18" i="1"/>
  <c r="J103" i="2"/>
  <c r="J230" i="2"/>
  <c r="P166" i="2"/>
  <c r="J100" i="2"/>
  <c r="N14" i="4"/>
  <c r="P51" i="2"/>
  <c r="J12" i="2"/>
  <c r="P145" i="2"/>
  <c r="J11" i="2"/>
  <c r="J18" i="2"/>
  <c r="J25" i="2"/>
  <c r="J32" i="2"/>
  <c r="J39" i="2"/>
  <c r="J46" i="2"/>
  <c r="J53" i="2"/>
  <c r="J60" i="2"/>
  <c r="J67" i="2"/>
  <c r="J74" i="2"/>
  <c r="J81" i="2"/>
  <c r="J88" i="2"/>
  <c r="J95" i="2"/>
  <c r="J102" i="2"/>
  <c r="J109" i="2"/>
  <c r="J116" i="2"/>
  <c r="J123" i="2"/>
  <c r="J130" i="2"/>
  <c r="J137" i="2"/>
  <c r="J144" i="2"/>
  <c r="J151" i="2"/>
  <c r="J158" i="2"/>
  <c r="J165" i="2"/>
  <c r="J172" i="2"/>
  <c r="J180" i="2"/>
  <c r="J187" i="2"/>
  <c r="J194" i="2"/>
  <c r="J201" i="2"/>
  <c r="J208" i="2"/>
  <c r="J215" i="2"/>
  <c r="J222" i="2"/>
  <c r="J229" i="2"/>
  <c r="J236" i="2"/>
  <c r="J243" i="2"/>
  <c r="P17" i="1"/>
  <c r="N10" i="4"/>
  <c r="N17" i="4"/>
  <c r="P195" i="2"/>
  <c r="P86" i="2"/>
  <c r="P192" i="2"/>
  <c r="J114" i="2"/>
  <c r="J8" i="2"/>
  <c r="J148" i="2"/>
  <c r="N12" i="1"/>
  <c r="P22" i="1" l="1"/>
  <c r="N23" i="4"/>
</calcChain>
</file>

<file path=xl/sharedStrings.xml><?xml version="1.0" encoding="utf-8"?>
<sst xmlns="http://schemas.openxmlformats.org/spreadsheetml/2006/main" count="2339" uniqueCount="390">
  <si>
    <t>📊 Executive Dashboard</t>
  </si>
  <si>
    <t>🔐 Master Key Tracker</t>
  </si>
  <si>
    <t>⚠️ Action &amp; Audit List</t>
  </si>
  <si>
    <t>📈 Zone Breakdown</t>
  </si>
  <si>
    <t>⚙️ Master Lists &amp; Config</t>
  </si>
  <si>
    <t>🏢| 🔐 MASTER LOCK &amp; KEY TRACKER 2026</t>
  </si>
  <si>
    <t>⚡ Real-time Facility Asset Monitoring, Key Custody Management &amp; Automated Auditing System</t>
  </si>
  <si>
    <t>🔐 TOTAL MANAGED ASSETS</t>
  </si>
  <si>
    <t>👥 OCCUPIED ASSETS</t>
  </si>
  <si>
    <t>🟢 VACANT / AVAILABLE</t>
  </si>
  <si>
    <t>🚪 COMMON ASSETS (DOORS)</t>
  </si>
  <si>
    <t>Planters, Cupboards, Doors, Lockers</t>
  </si>
  <si>
    <t>Active user &amp; team storage</t>
  </si>
  <si>
    <t>Ready for immediate allocation</t>
  </si>
  <si>
    <t>Meeting rooms, Server, UPS &amp; Panels</t>
  </si>
  <si>
    <t>🗝️ TOTAL REGISTERED KEYS</t>
  </si>
  <si>
    <t>🔒 KEYS IN BMS CUSTODY</t>
  </si>
  <si>
    <t>🔑 KEYS ISSUED TO TEAMS</t>
  </si>
  <si>
    <t>🚨 MISSING / LOST KEYS</t>
  </si>
  <si>
    <t>Physical keys registered in facility</t>
  </si>
  <si>
    <t>Safely secured in BMS Desk</t>
  </si>
  <si>
    <t>Staff, HK, Tech &amp; Pantry Custodians</t>
  </si>
  <si>
    <t>Requires lock cylinder replacement</t>
  </si>
  <si>
    <t>📍 ZONE-BY-ZONE SUMMARY MATRIX</t>
  </si>
  <si>
    <t>🏷️ ASSET TYPE &amp; UTILIZATION BREAKDOWN</t>
  </si>
  <si>
    <t>Zone</t>
  </si>
  <si>
    <t>Total Assets</t>
  </si>
  <si>
    <t>Planter</t>
  </si>
  <si>
    <t>Cupboard</t>
  </si>
  <si>
    <t>Locker</t>
  </si>
  <si>
    <t>Cabinet</t>
  </si>
  <si>
    <t>Door</t>
  </si>
  <si>
    <t>Asset Category</t>
  </si>
  <si>
    <t>Total Count</t>
  </si>
  <si>
    <t>Occupied</t>
  </si>
  <si>
    <t>Vacant</t>
  </si>
  <si>
    <t>Keys in BMS</t>
  </si>
  <si>
    <t>Keys Issued</t>
  </si>
  <si>
    <t>Missing Keys</t>
  </si>
  <si>
    <t>Zone A</t>
  </si>
  <si>
    <t>Planter Storage</t>
  </si>
  <si>
    <t>Zone B</t>
  </si>
  <si>
    <t>Cupboard Storage</t>
  </si>
  <si>
    <t>Zone C</t>
  </si>
  <si>
    <t>Door &amp; Entry Locks</t>
  </si>
  <si>
    <t>Zone D</t>
  </si>
  <si>
    <t>Locker Storage</t>
  </si>
  <si>
    <t>Zone E</t>
  </si>
  <si>
    <t>Cabinet Storage</t>
  </si>
  <si>
    <t>Zone F</t>
  </si>
  <si>
    <t>Total All Categories</t>
  </si>
  <si>
    <t>Cafeteria</t>
  </si>
  <si>
    <t>Reception</t>
  </si>
  <si>
    <t>👥 KEY CUSTODIAN &amp; TEAM ALLOCATION</t>
  </si>
  <si>
    <t>Reception Backside</t>
  </si>
  <si>
    <t>Custodian Team / Role</t>
  </si>
  <si>
    <t>Primary Role / Area</t>
  </si>
  <si>
    <t>Total Locks</t>
  </si>
  <si>
    <t>Audit Status</t>
  </si>
  <si>
    <t>Mail Room</t>
  </si>
  <si>
    <t>Manik (Pantry/BMS)</t>
  </si>
  <si>
    <t>Pantry &amp; Housekeeping</t>
  </si>
  <si>
    <t>✅ Verified</t>
  </si>
  <si>
    <t>Security Room</t>
  </si>
  <si>
    <t>Technical Team</t>
  </si>
  <si>
    <t>Engineering &amp; BMS Operations</t>
  </si>
  <si>
    <t>Critical Area</t>
  </si>
  <si>
    <t>Housekeeping Team</t>
  </si>
  <si>
    <t>Cleaning Consumables &amp; Stores</t>
  </si>
  <si>
    <t>Zone A, C &amp; Cafeteria</t>
  </si>
  <si>
    <t>Tech Lounge Team</t>
  </si>
  <si>
    <t>IT Tech Lounge Storage</t>
  </si>
  <si>
    <t>⚠️ Check with employee</t>
  </si>
  <si>
    <t>All Zones</t>
  </si>
  <si>
    <t>Campus Facilities Team</t>
  </si>
  <si>
    <t>Campus Operations &amp; Fruit Bars</t>
  </si>
  <si>
    <t>Total / Facility Wide</t>
  </si>
  <si>
    <t>Other Designated Staff</t>
  </si>
  <si>
    <t>Individual Seated Staff</t>
  </si>
  <si>
    <t>Total Custodian Allocated</t>
  </si>
  <si>
    <t>All Facility Teams</t>
  </si>
  <si>
    <t>Realtime Audit Sync</t>
  </si>
  <si>
    <t>🚨 CRITICAL OPERATIONAL ACTION ITEMS &amp; MISSING KEY ALERTS (CLICK TO VIEW FULL LIST)</t>
  </si>
  <si>
    <t>Action ID</t>
  </si>
  <si>
    <t>Lock No.</t>
  </si>
  <si>
    <t>Lock Type</t>
  </si>
  <si>
    <t>Specific Location</t>
  </si>
  <si>
    <t>Current Issue &amp; Required Operational Action</t>
  </si>
  <si>
    <t>Priority</t>
  </si>
  <si>
    <t>Target Date</t>
  </si>
  <si>
    <t>ACT-001</t>
  </si>
  <si>
    <t>1826</t>
  </si>
  <si>
    <t>Near Workstation - Zone D</t>
  </si>
  <si>
    <t>2 Missing Keys | Procure &amp; replace cylinder lock; issue new keys</t>
  </si>
  <si>
    <t>High</t>
  </si>
  <si>
    <t>2026-08-25</t>
  </si>
  <si>
    <t>ACT-002</t>
  </si>
  <si>
    <t>1834</t>
  </si>
  <si>
    <t>ACT-003</t>
  </si>
  <si>
    <t>7493</t>
  </si>
  <si>
    <t>Near Workstation - Zone E</t>
  </si>
  <si>
    <t>ACT-004</t>
  </si>
  <si>
    <t>3</t>
  </si>
  <si>
    <t>Reprographics Room</t>
  </si>
  <si>
    <t>ACT-005</t>
  </si>
  <si>
    <t>100</t>
  </si>
  <si>
    <t>Printer &amp; Utility Room</t>
  </si>
  <si>
    <t>Key #1 Damaged / Broken | Order spare replacement key</t>
  </si>
  <si>
    <t>Medium</t>
  </si>
  <si>
    <t>2026-08-31</t>
  </si>
  <si>
    <t>ACT-006</t>
  </si>
  <si>
    <t>8109-8114</t>
  </si>
  <si>
    <t>Tech Lounge Cupboards (6 Units)</t>
  </si>
  <si>
    <t>Action: Audit with Tech Lounge Team | Verify keys in custody</t>
  </si>
  <si>
    <t>ACT-007</t>
  </si>
  <si>
    <t>N/A</t>
  </si>
  <si>
    <t>Server Room &amp; UPS Rooms (4 Units)</t>
  </si>
  <si>
    <t>Door locks require physical audit with Facilities Engineer</t>
  </si>
  <si>
    <t xml:space="preserve"> </t>
  </si>
  <si>
    <t>🔐 MASTER LOCK &amp; KEY ASSET TRACKER (LIVE FACILITY DATABASE)</t>
  </si>
  <si>
    <t>🔍 Search Tracker:</t>
  </si>
  <si>
    <t>🔄 RESET ALL FILTERS</t>
  </si>
  <si>
    <t>⚡ Quick Info:</t>
  </si>
  <si>
    <t>S.No.</t>
  </si>
  <si>
    <t>Location</t>
  </si>
  <si>
    <t>Total Keys</t>
  </si>
  <si>
    <t>Spare Keys (BMS)</t>
  </si>
  <si>
    <t>Issued Keys</t>
  </si>
  <si>
    <t>Key Status</t>
  </si>
  <si>
    <t>Key Issued To</t>
  </si>
  <si>
    <t>Custodian Location</t>
  </si>
  <si>
    <t>Spare Key Location (Box Name)</t>
  </si>
  <si>
    <t>Lock Status</t>
  </si>
  <si>
    <t>Remarks &amp; Material</t>
  </si>
  <si>
    <t>Action Flag</t>
  </si>
  <si>
    <t>Near Workstation (20-23)</t>
  </si>
  <si>
    <t>Darpan</t>
  </si>
  <si>
    <t>BMS Desk</t>
  </si>
  <si>
    <t>Box no.1</t>
  </si>
  <si>
    <t>-</t>
  </si>
  <si>
    <t>box no.1</t>
  </si>
  <si>
    <t>Vino Abraham</t>
  </si>
  <si>
    <t>box no. 1</t>
  </si>
  <si>
    <t>Trophies &amp; Corporate Awards</t>
  </si>
  <si>
    <t>Top Pedestal / Stationery Drawer</t>
  </si>
  <si>
    <t>Deshraj (BMS)</t>
  </si>
  <si>
    <t>Office Stationery</t>
  </si>
  <si>
    <t>Near Workstation (82-84)</t>
  </si>
  <si>
    <t>Plates &amp; Housekeeping Supplies</t>
  </si>
  <si>
    <t>Pantry &amp; Housekeeping Supplies</t>
  </si>
  <si>
    <t>Kaushik</t>
  </si>
  <si>
    <t>box no . 1</t>
  </si>
  <si>
    <t>Key Issued on 12-Sep-2024</t>
  </si>
  <si>
    <t>Employee Personal Storage</t>
  </si>
  <si>
    <t>Front of Board Room</t>
  </si>
  <si>
    <t>Pantry Supplies &amp; Consumables</t>
  </si>
  <si>
    <t>box no 1</t>
  </si>
  <si>
    <t>Near Board Room</t>
  </si>
  <si>
    <t>Near Workstation (07-08)</t>
  </si>
  <si>
    <t>Social Hub</t>
  </si>
  <si>
    <t>box no.2</t>
  </si>
  <si>
    <t>Cups &amp; Glassware</t>
  </si>
  <si>
    <t>Box no.2</t>
  </si>
  <si>
    <t>RO Purifier System Cabinet</t>
  </si>
  <si>
    <t>Zone D Repro Cabinet</t>
  </si>
  <si>
    <t>Archived Files &amp; Documents</t>
  </si>
  <si>
    <t>Near Workstation (111-113)</t>
  </si>
  <si>
    <t>box no.3</t>
  </si>
  <si>
    <t>Box no.3</t>
  </si>
  <si>
    <t>Mukesh Gulati</t>
  </si>
  <si>
    <t>Near Female Washroom</t>
  </si>
  <si>
    <t>Near Male Washroom</t>
  </si>
  <si>
    <t>Tissue Paper &amp; HK Supplies</t>
  </si>
  <si>
    <t>Female Washroom Passage Cupboard</t>
  </si>
  <si>
    <t>box no.4</t>
  </si>
  <si>
    <t>Housekeeping Supplies</t>
  </si>
  <si>
    <t>Male Washroom Passage Cupboard</t>
  </si>
  <si>
    <t>Box no.4</t>
  </si>
  <si>
    <t>Box no. 4</t>
  </si>
  <si>
    <t>DB Electrical Cabinet</t>
  </si>
  <si>
    <t>Near MR - 305 &amp; 306</t>
  </si>
  <si>
    <t>Box No-6</t>
  </si>
  <si>
    <t>Pantry Supplies (Ripple Cups)</t>
  </si>
  <si>
    <t>Cup Boxes &amp; HK Supplies</t>
  </si>
  <si>
    <t>Near Workstation 304</t>
  </si>
  <si>
    <t>Pantry Staff-Manik</t>
  </si>
  <si>
    <t>Ripple cup</t>
  </si>
  <si>
    <t>Under Audit</t>
  </si>
  <si>
    <t>Action: Audit Allocation with Employee</t>
  </si>
  <si>
    <t>Near Workstation 448</t>
  </si>
  <si>
    <t>Box no-7</t>
  </si>
  <si>
    <t>Box No -7</t>
  </si>
  <si>
    <t>Box No-7</t>
  </si>
  <si>
    <t>Wooden Stools &amp; Spare Furniture</t>
  </si>
  <si>
    <t>Near Hub Room</t>
  </si>
  <si>
    <t>Box No - 7</t>
  </si>
  <si>
    <t>Dusters &amp; Housekeeping Supplies</t>
  </si>
  <si>
    <t>Box No- 7</t>
  </si>
  <si>
    <t>Painting Supplies &amp; Tools</t>
  </si>
  <si>
    <t>Housekeeping Staff Uniforms</t>
  </si>
  <si>
    <t>Printer Room</t>
  </si>
  <si>
    <t>Key #1 Damaged / Broken</t>
  </si>
  <si>
    <t>DB Kitchen Panel Cabinet</t>
  </si>
  <si>
    <t>Box No-9</t>
  </si>
  <si>
    <t>Box No-10</t>
  </si>
  <si>
    <t>Near MR - 501</t>
  </si>
  <si>
    <t>Near MR - 505</t>
  </si>
  <si>
    <t>Ankita Gupta</t>
  </si>
  <si>
    <t>Key Issued on 06-Jun-2024</t>
  </si>
  <si>
    <t>Devendra (WS-589)</t>
  </si>
  <si>
    <t>Near MR - 601</t>
  </si>
  <si>
    <t>IT &amp; Technical Materials</t>
  </si>
  <si>
    <t>Ajay Yadav (SO)</t>
  </si>
  <si>
    <t>Security Stationary material</t>
  </si>
  <si>
    <t>Near MR - 603</t>
  </si>
  <si>
    <t>Q-Manager / Crowd Stanchions</t>
  </si>
  <si>
    <t>Near Workstation (613-634)</t>
  </si>
  <si>
    <t>Box no-10</t>
  </si>
  <si>
    <t>Network &amp; Power Cables</t>
  </si>
  <si>
    <t>Paint Cans &amp; First Aid Kit</t>
  </si>
  <si>
    <t>Monitor Stands &amp; Ergonomic Arms</t>
  </si>
  <si>
    <t>General Facilities Inventory</t>
  </si>
  <si>
    <t>Near Workstation 649</t>
  </si>
  <si>
    <t>Box No-11</t>
  </si>
  <si>
    <t>Near Workstation (635-637)</t>
  </si>
  <si>
    <t>Security Equipment &amp; Records</t>
  </si>
  <si>
    <t>Meena (P&amp;G / Pantry)</t>
  </si>
  <si>
    <t>Property Service team</t>
  </si>
  <si>
    <t>Lost and found material</t>
  </si>
  <si>
    <t>Near MR - 606</t>
  </si>
  <si>
    <t>Sandeep &amp; Manmohan</t>
  </si>
  <si>
    <t>Near Workstation 742</t>
  </si>
  <si>
    <t>Near Reception</t>
  </si>
  <si>
    <t>Reception Desk</t>
  </si>
  <si>
    <t>Mail Room Courier &amp; Parcels</t>
  </si>
  <si>
    <t>box no. 2</t>
  </si>
  <si>
    <t>Action: Key Verification Required</t>
  </si>
  <si>
    <t>Shaft Cell / Maintenance Spares</t>
  </si>
  <si>
    <t>Engineering Maintenance Tools</t>
  </si>
  <si>
    <t>Extension Boards &amp; Power Strips</t>
  </si>
  <si>
    <t>Hitesh Sir</t>
  </si>
  <si>
    <t>Allocated to Hitesh Sir</t>
  </si>
  <si>
    <t>Security materials</t>
  </si>
  <si>
    <t>Security Team</t>
  </si>
  <si>
    <t>Satya Sir</t>
  </si>
  <si>
    <t>Prem Chaudhary</t>
  </si>
  <si>
    <t>Maya Negi</t>
  </si>
  <si>
    <t>Plumbing Tools &amp; Spares</t>
  </si>
  <si>
    <t>Transport Team</t>
  </si>
  <si>
    <t>Confidential Document Handover</t>
  </si>
  <si>
    <t>NAB Signage &amp; Branding Materials</t>
  </si>
  <si>
    <t>issued to Staff</t>
  </si>
  <si>
    <t>Box no. 14</t>
  </si>
  <si>
    <t>Technical Documents</t>
  </si>
  <si>
    <t>Ok</t>
  </si>
  <si>
    <t>Iceland Bar</t>
  </si>
  <si>
    <t>Pantry Fruits Storage</t>
  </si>
  <si>
    <t>Box No-13</t>
  </si>
  <si>
    <t>Chai Point Vendor</t>
  </si>
  <si>
    <t>Chai Point Vendor Supplies</t>
  </si>
  <si>
    <t>MR - 101</t>
  </si>
  <si>
    <t>Common Asset</t>
  </si>
  <si>
    <t>MR - 102</t>
  </si>
  <si>
    <t>MR - 103</t>
  </si>
  <si>
    <t>MR - 105</t>
  </si>
  <si>
    <t>MR - 106</t>
  </si>
  <si>
    <t>MR - 107</t>
  </si>
  <si>
    <t>MR - 201</t>
  </si>
  <si>
    <t>MR - 202</t>
  </si>
  <si>
    <t>MR - 203</t>
  </si>
  <si>
    <t>MR - 204</t>
  </si>
  <si>
    <t>MR - 301</t>
  </si>
  <si>
    <t>MR - 302</t>
  </si>
  <si>
    <t>MR - 303</t>
  </si>
  <si>
    <t>MR - 304</t>
  </si>
  <si>
    <t>MR - 305</t>
  </si>
  <si>
    <t>MR - 306</t>
  </si>
  <si>
    <t>MR - 401</t>
  </si>
  <si>
    <t>MR - 501</t>
  </si>
  <si>
    <t>MR - 502</t>
  </si>
  <si>
    <t>MR - 503</t>
  </si>
  <si>
    <t>MR - 504</t>
  </si>
  <si>
    <t>MR - 505</t>
  </si>
  <si>
    <t>MR - 601</t>
  </si>
  <si>
    <t>MR - 602</t>
  </si>
  <si>
    <t>MR - 603</t>
  </si>
  <si>
    <t>MR - 604</t>
  </si>
  <si>
    <t>MR - 605</t>
  </si>
  <si>
    <t>MR - 606</t>
  </si>
  <si>
    <t>Social hub</t>
  </si>
  <si>
    <t>Pantry Team</t>
  </si>
  <si>
    <t>Pantry Operations Material</t>
  </si>
  <si>
    <t>Box no. 2</t>
  </si>
  <si>
    <t>box no. 5</t>
  </si>
  <si>
    <t>Box no.5</t>
  </si>
  <si>
    <t>Wellness Room</t>
  </si>
  <si>
    <t>Server Room</t>
  </si>
  <si>
    <t>Hub Room</t>
  </si>
  <si>
    <t>UPS Room A</t>
  </si>
  <si>
    <t>UPS Room B</t>
  </si>
  <si>
    <t>Critical Area (Mortis Lock)</t>
  </si>
  <si>
    <t>Battery Room A</t>
  </si>
  <si>
    <t>Battery Room B</t>
  </si>
  <si>
    <t>Zone B - Female Washroom</t>
  </si>
  <si>
    <t>Zone B - Male Washroom</t>
  </si>
  <si>
    <t>Zone E - Female Washroom</t>
  </si>
  <si>
    <t>Zone E - Male Washroom</t>
  </si>
  <si>
    <t>Reception Entrance Door</t>
  </si>
  <si>
    <t>Cafeteria Entrance Door</t>
  </si>
  <si>
    <t>Tuckshop</t>
  </si>
  <si>
    <t>Dishwash</t>
  </si>
  <si>
    <t>Pantry Room</t>
  </si>
  <si>
    <t>Cafeteria Breakout Partition Door</t>
  </si>
  <si>
    <t>MR-107, MR-305 &amp; 306 &amp; Break out</t>
  </si>
  <si>
    <t>ODU Shaft (AC Outdoor)</t>
  </si>
  <si>
    <t>Tech Lounge Cupboard</t>
  </si>
  <si>
    <t>Tech Lounge Desk</t>
  </si>
  <si>
    <t>Keys handover to Techlounge team</t>
  </si>
  <si>
    <t>Action: Lock Replacement Needed (Lost Keys)</t>
  </si>
  <si>
    <t>Wellnees room</t>
  </si>
  <si>
    <t>near MR 601</t>
  </si>
  <si>
    <t>⚠️ FACILITY ACTION ITEMS &amp; KEY AUDIT RESOLUTION TRACKER</t>
  </si>
  <si>
    <t>🎯 Comprehensive tracking of missing keys, lock replacements, damaged keys, and employee occupancy verifications.</t>
  </si>
  <si>
    <t>Current Issue / Gap</t>
  </si>
  <si>
    <t>Required Operational Action</t>
  </si>
  <si>
    <t>Responsible Team</t>
  </si>
  <si>
    <t>Resolution Status</t>
  </si>
  <si>
    <t>Audit Reference</t>
  </si>
  <si>
    <t>Verify physical keys with custodian</t>
  </si>
  <si>
    <t>BMS Operations</t>
  </si>
  <si>
    <t>Pending</t>
  </si>
  <si>
    <t>Ref S.No 61</t>
  </si>
  <si>
    <t>Ref S.No 66</t>
  </si>
  <si>
    <t>Ref S.No 67</t>
  </si>
  <si>
    <t>Procure and replace cylinder lock; issue new keys</t>
  </si>
  <si>
    <t>Facilities Maintenance</t>
  </si>
  <si>
    <t>Ref S.No 71</t>
  </si>
  <si>
    <t>Ref S.No 74</t>
  </si>
  <si>
    <t>Ref S.No 76</t>
  </si>
  <si>
    <t>Ref S.No 78</t>
  </si>
  <si>
    <t>ACT-008</t>
  </si>
  <si>
    <t>Ref S.No 132</t>
  </si>
  <si>
    <t>ACT-009</t>
  </si>
  <si>
    <t>Ref S.No 140</t>
  </si>
  <si>
    <t>ACT-010</t>
  </si>
  <si>
    <t>Ref S.No 148</t>
  </si>
  <si>
    <t>ACT-011</t>
  </si>
  <si>
    <t>Ref S.No 153</t>
  </si>
  <si>
    <t>ACT-012</t>
  </si>
  <si>
    <t>Ref S.No 162</t>
  </si>
  <si>
    <t>ACT-013</t>
  </si>
  <si>
    <t>2 Missing Keys</t>
  </si>
  <si>
    <t>Ref S.No 211</t>
  </si>
  <si>
    <t>ACT-014</t>
  </si>
  <si>
    <t>Ref S.No 212</t>
  </si>
  <si>
    <t>ACT-015</t>
  </si>
  <si>
    <t>Ref S.No 213</t>
  </si>
  <si>
    <t>ACT-016</t>
  </si>
  <si>
    <t>Ref S.No 214</t>
  </si>
  <si>
    <t>ACT-017</t>
  </si>
  <si>
    <t>Ref S.No 215</t>
  </si>
  <si>
    <t>ACT-024</t>
  </si>
  <si>
    <t>Ref S.No 237</t>
  </si>
  <si>
    <t>ACT-025</t>
  </si>
  <si>
    <t>Ref S.No 238</t>
  </si>
  <si>
    <t>ACT-026</t>
  </si>
  <si>
    <t>Ref S.No 239</t>
  </si>
  <si>
    <t>📈 ZONE-WISE COMPREHENSIVE ASSET &amp; OCCUPANCY AUDIT MATRIX</t>
  </si>
  <si>
    <t>📊 Cross-tabulated distribution of storage units, door access points, key balances, and occupancy rates across all zones.</t>
  </si>
  <si>
    <t>🏢 COMPLETE ZONE-WISE AUDIT MATRIX (AUTOMATED REALTIME FORMULAS)</t>
  </si>
  <si>
    <t>Zone Name</t>
  </si>
  <si>
    <t>Planters</t>
  </si>
  <si>
    <t>Cupboards</t>
  </si>
  <si>
    <t>Lockers</t>
  </si>
  <si>
    <t>Cabinets</t>
  </si>
  <si>
    <t>Doors</t>
  </si>
  <si>
    <t>Common Assets</t>
  </si>
  <si>
    <t>BMS Custody Keys</t>
  </si>
  <si>
    <t>Grand Total (Facility-Wide)</t>
  </si>
  <si>
    <t>⚙️ MASTER DATA CONFIGURATION &amp; VALIDATION LISTS</t>
  </si>
  <si>
    <t>Valid Zones</t>
  </si>
  <si>
    <t>Lock Types</t>
  </si>
  <si>
    <t>Custodian Locations</t>
  </si>
  <si>
    <t>Lock Statuses</t>
  </si>
  <si>
    <t>Action Priorities</t>
  </si>
  <si>
    <t>Resolution Statuses</t>
  </si>
  <si>
    <t>In Progress</t>
  </si>
  <si>
    <t>Low</t>
  </si>
  <si>
    <t>Resolved</t>
  </si>
  <si>
    <t>Facilities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</si>
</sst>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10.5"/>
      <color rgb="FFFFFFFF"/>
      <name val="Segoe UI"/>
      <family val="2"/>
    </font>
    <font>
      <b/>
      <sz val="10.5"/>
      <color rgb="FF1B365D"/>
      <name val="Segoe UI"/>
      <family val="2"/>
    </font>
    <font>
      <b/>
      <sz val="15"/>
      <color rgb="FFFFFFFF"/>
      <name val="Segoe UI"/>
      <family val="2"/>
    </font>
    <font>
      <i/>
      <sz val="10"/>
      <color rgb="FFD0E1FD"/>
      <name val="Segoe UI"/>
      <family val="2"/>
    </font>
    <font>
      <b/>
      <sz val="9"/>
      <color rgb="FFFFFFFF"/>
      <name val="Segoe UI"/>
      <family val="2"/>
    </font>
    <font>
      <b/>
      <sz val="18"/>
      <color rgb="FF1B365D"/>
      <name val="Segoe UI"/>
      <family val="2"/>
    </font>
    <font>
      <b/>
      <sz val="18"/>
      <color rgb="FF1D4ED8"/>
      <name val="Segoe UI"/>
      <family val="2"/>
    </font>
    <font>
      <b/>
      <sz val="18"/>
      <color rgb="FF1E7E34"/>
      <name val="Segoe UI"/>
      <family val="2"/>
    </font>
    <font>
      <b/>
      <sz val="18"/>
      <color rgb="FF6B21A8"/>
      <name val="Segoe UI"/>
      <family val="2"/>
    </font>
    <font>
      <i/>
      <sz val="8.5"/>
      <color rgb="FF555555"/>
      <name val="Segoe UI"/>
      <family val="2"/>
    </font>
    <font>
      <b/>
      <sz val="18"/>
      <color rgb="FF008080"/>
      <name val="Segoe UI"/>
      <family val="2"/>
    </font>
    <font>
      <b/>
      <sz val="18"/>
      <color rgb="FFD97706"/>
      <name val="Segoe UI"/>
      <family val="2"/>
    </font>
    <font>
      <b/>
      <sz val="18"/>
      <color rgb="FFC62828"/>
      <name val="Segoe UI"/>
      <family val="2"/>
    </font>
    <font>
      <b/>
      <sz val="11"/>
      <color rgb="FFFFFFFF"/>
      <name val="Segoe UI"/>
      <family val="2"/>
    </font>
    <font>
      <b/>
      <sz val="10"/>
      <color rgb="FFFFFFFF"/>
      <name val="Segoe UI"/>
      <family val="2"/>
    </font>
    <font>
      <sz val="10"/>
      <color theme="1"/>
      <name val="Segoe UI"/>
      <family val="2"/>
    </font>
    <font>
      <b/>
      <sz val="10"/>
      <color rgb="FF1B365D"/>
      <name val="Segoe UI"/>
      <family val="2"/>
    </font>
    <font>
      <b/>
      <sz val="9.5"/>
      <color rgb="FF991B1B"/>
      <name val="Segoe UI"/>
      <family val="2"/>
    </font>
    <font>
      <b/>
      <sz val="9.5"/>
      <color rgb="FF92400E"/>
      <name val="Segoe U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4"/>
      <color rgb="FFFFFFFF"/>
      <name val="Segoe UI"/>
    </font>
    <font>
      <b/>
      <sz val="11"/>
      <color rgb="FF1B365D"/>
      <name val="Segoe UI"/>
    </font>
    <font>
      <b/>
      <sz val="11.5"/>
      <color rgb="FF0F172A"/>
      <name val="Segoe UI"/>
    </font>
    <font>
      <i/>
      <sz val="10"/>
      <color rgb="FF334155"/>
      <name val="Segoe UI"/>
    </font>
    <font>
      <b/>
      <sz val="9.5"/>
      <color rgb="FF0369A1"/>
      <name val="Segoe UI"/>
    </font>
    <font>
      <b/>
      <sz val="11"/>
      <color rgb="FFFFFFFF"/>
      <name val="Segoe UI"/>
    </font>
    <font>
      <b/>
      <sz val="10"/>
      <color rgb="FFB45309"/>
      <name val="Segoe UI"/>
    </font>
    <font>
      <b/>
      <sz val="9.5"/>
      <color rgb="FF1E293B"/>
      <name val="Segoe UI"/>
    </font>
    <font>
      <sz val="9.5"/>
      <color rgb="FF1E293B"/>
      <name val="Segoe UI"/>
    </font>
    <font>
      <b/>
      <sz val="11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  <fill>
      <patternFill patternType="solid">
        <fgColor rgb="FFE8EFF9"/>
        <bgColor indexed="64"/>
      </patternFill>
    </fill>
    <fill>
      <patternFill patternType="solid">
        <fgColor rgb="FF1B365D"/>
        <bgColor indexed="64"/>
      </patternFill>
    </fill>
    <fill>
      <patternFill patternType="solid">
        <fgColor rgb="FF1D4ED8"/>
        <bgColor indexed="64"/>
      </patternFill>
    </fill>
    <fill>
      <patternFill patternType="solid">
        <fgColor rgb="FF1E7E34"/>
        <bgColor indexed="64"/>
      </patternFill>
    </fill>
    <fill>
      <patternFill patternType="solid">
        <fgColor rgb="FF6B21A8"/>
        <bgColor indexed="64"/>
      </patternFill>
    </fill>
    <fill>
      <patternFill patternType="solid">
        <fgColor rgb="FFF0F4FA"/>
        <bgColor indexed="64"/>
      </patternFill>
    </fill>
    <fill>
      <patternFill patternType="solid">
        <fgColor rgb="FFEFF4FE"/>
        <bgColor indexed="64"/>
      </patternFill>
    </fill>
    <fill>
      <patternFill patternType="solid">
        <fgColor rgb="FFEAF5EC"/>
        <bgColor indexed="64"/>
      </patternFill>
    </fill>
    <fill>
      <patternFill patternType="solid">
        <fgColor rgb="FFF5EEFC"/>
        <bgColor indexed="64"/>
      </patternFill>
    </fill>
    <fill>
      <patternFill patternType="solid">
        <fgColor rgb="FFD97706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E6F4F4"/>
        <bgColor indexed="64"/>
      </patternFill>
    </fill>
    <fill>
      <patternFill patternType="solid">
        <fgColor rgb="FFFEF7ED"/>
        <bgColor indexed="64"/>
      </patternFill>
    </fill>
    <fill>
      <patternFill patternType="solid">
        <fgColor rgb="FFFDECEC"/>
        <bgColor indexed="64"/>
      </patternFill>
    </fill>
    <fill>
      <patternFill patternType="solid">
        <fgColor rgb="FF0B2240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B365D"/>
        <bgColor rgb="FF1B365D"/>
      </patternFill>
    </fill>
    <fill>
      <patternFill patternType="solid">
        <fgColor rgb="FFE8EFF9"/>
        <bgColor rgb="FFE8EFF9"/>
      </patternFill>
    </fill>
    <fill>
      <patternFill patternType="solid">
        <fgColor rgb="FFFFFFFF"/>
        <bgColor rgb="FFFFFFFF"/>
      </patternFill>
    </fill>
    <fill>
      <patternFill patternType="solid">
        <fgColor rgb="FFF1F5F9"/>
        <bgColor rgb="FFF1F5F9"/>
      </patternFill>
    </fill>
    <fill>
      <patternFill patternType="solid">
        <fgColor rgb="FFE0F2FE"/>
        <bgColor rgb="FFE0F2FE"/>
      </patternFill>
    </fill>
    <fill>
      <patternFill patternType="solid">
        <fgColor rgb="FF0E7490"/>
        <bgColor rgb="FF0E7490"/>
      </patternFill>
    </fill>
    <fill>
      <patternFill patternType="solid">
        <fgColor rgb="FFFEF3C7"/>
        <bgColor rgb="FFFEF3C7"/>
      </patternFill>
    </fill>
    <fill>
      <patternFill patternType="solid">
        <fgColor rgb="FFFFFBEB"/>
        <bgColor rgb="FFFFFBEB"/>
      </patternFill>
    </fill>
  </fills>
  <borders count="20">
    <border>
      <left/>
      <right/>
      <top/>
      <bottom/>
      <diagonal/>
    </border>
    <border>
      <left style="thin">
        <color rgb="FF004D40"/>
      </left>
      <right style="thin">
        <color rgb="FF004D40"/>
      </right>
      <top style="thin">
        <color rgb="FF004D40"/>
      </top>
      <bottom style="thin">
        <color rgb="FF004D40"/>
      </bottom>
      <diagonal/>
    </border>
    <border>
      <left style="thin">
        <color rgb="FF90CAF9"/>
      </left>
      <right style="thin">
        <color rgb="FF90CAF9"/>
      </right>
      <top style="thin">
        <color rgb="FF90CAF9"/>
      </top>
      <bottom style="thin">
        <color rgb="FF90CAF9"/>
      </bottom>
      <diagonal/>
    </border>
    <border>
      <left style="thin">
        <color rgb="FF102A4C"/>
      </left>
      <right style="thin">
        <color rgb="FF102A4C"/>
      </right>
      <top style="thin">
        <color rgb="FF102A4C"/>
      </top>
      <bottom style="thin">
        <color rgb="FF102A4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102A4C"/>
      </right>
      <top style="thin">
        <color rgb="FF102A4C"/>
      </top>
      <bottom style="thin">
        <color rgb="FF102A4C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 style="thin">
        <color rgb="FF90CAF9"/>
      </right>
      <top style="thin">
        <color rgb="FF90CAF9"/>
      </top>
      <bottom style="thin">
        <color rgb="FF90CAF9"/>
      </bottom>
      <diagonal/>
    </border>
    <border>
      <left/>
      <right/>
      <top style="thin">
        <color rgb="FF102A4C"/>
      </top>
      <bottom style="thin">
        <color rgb="FF102A4C"/>
      </bottom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medium">
        <color rgb="FF2563EB"/>
      </left>
      <right style="medium">
        <color rgb="FF2563EB"/>
      </right>
      <top style="medium">
        <color rgb="FF2563EB"/>
      </top>
      <bottom style="medium">
        <color rgb="FF2563E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083344"/>
      </left>
      <right style="medium">
        <color rgb="FF083344"/>
      </right>
      <top style="medium">
        <color rgb="FF083344"/>
      </top>
      <bottom style="medium">
        <color rgb="FF083344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12"/>
  </cellStyleXfs>
  <cellXfs count="77">
    <xf numFmtId="0" fontId="0" fillId="0" borderId="0" xfId="0" applyBorder="1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left" vertical="center" indent="1"/>
    </xf>
    <xf numFmtId="3" fontId="16" fillId="0" borderId="4" xfId="0" applyNumberFormat="1" applyFont="1" applyBorder="1" applyAlignment="1">
      <alignment horizontal="right" vertical="center"/>
    </xf>
    <xf numFmtId="0" fontId="17" fillId="18" borderId="2" xfId="0" applyFont="1" applyFill="1" applyBorder="1" applyAlignment="1">
      <alignment horizontal="left" vertical="center" indent="1"/>
    </xf>
    <xf numFmtId="3" fontId="17" fillId="18" borderId="2" xfId="0" applyNumberFormat="1" applyFont="1" applyFill="1" applyBorder="1" applyAlignment="1">
      <alignment horizontal="right" vertical="center"/>
    </xf>
    <xf numFmtId="0" fontId="16" fillId="0" borderId="4" xfId="0" applyFont="1" applyBorder="1" applyAlignment="1">
      <alignment horizontal="center" vertical="center"/>
    </xf>
    <xf numFmtId="0" fontId="18" fillId="19" borderId="4" xfId="0" applyFont="1" applyFill="1" applyBorder="1" applyAlignment="1">
      <alignment horizontal="center" vertical="center"/>
    </xf>
    <xf numFmtId="0" fontId="19" fillId="20" borderId="4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20" fillId="0" borderId="12" xfId="0" applyFont="1" applyAlignment="1">
      <alignment horizontal="center"/>
    </xf>
    <xf numFmtId="0" fontId="20" fillId="0" borderId="13" xfId="0" applyFont="1" applyBorder="1" applyAlignment="1">
      <alignment horizontal="center" vertical="center"/>
    </xf>
    <xf numFmtId="0" fontId="0" fillId="0" borderId="12" xfId="0"/>
    <xf numFmtId="0" fontId="15" fillId="4" borderId="13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3" fontId="16" fillId="0" borderId="13" xfId="0" applyNumberFormat="1" applyFont="1" applyBorder="1" applyAlignment="1">
      <alignment horizontal="center" vertical="center"/>
    </xf>
    <xf numFmtId="0" fontId="17" fillId="18" borderId="13" xfId="0" applyFont="1" applyFill="1" applyBorder="1" applyAlignment="1">
      <alignment horizontal="center" vertical="center"/>
    </xf>
    <xf numFmtId="3" fontId="17" fillId="18" borderId="13" xfId="0" applyNumberFormat="1" applyFont="1" applyFill="1" applyBorder="1" applyAlignment="1">
      <alignment horizontal="center" vertical="center"/>
    </xf>
    <xf numFmtId="0" fontId="0" fillId="0" borderId="12" xfId="0" applyAlignment="1">
      <alignment horizontal="center"/>
    </xf>
    <xf numFmtId="0" fontId="21" fillId="0" borderId="12" xfId="0" applyFont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21" borderId="13" xfId="0" applyFill="1" applyBorder="1" applyAlignment="1">
      <alignment horizontal="center" vertical="center"/>
    </xf>
    <xf numFmtId="0" fontId="0" fillId="23" borderId="13" xfId="0" applyFill="1" applyBorder="1" applyAlignment="1">
      <alignment horizontal="center" vertical="center"/>
    </xf>
    <xf numFmtId="0" fontId="0" fillId="22" borderId="13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/>
    </xf>
    <xf numFmtId="0" fontId="31" fillId="0" borderId="12" xfId="0" applyFont="1"/>
    <xf numFmtId="0" fontId="31" fillId="0" borderId="0" xfId="0" applyFont="1" applyBorder="1"/>
    <xf numFmtId="0" fontId="22" fillId="24" borderId="12" xfId="0" applyFont="1" applyFill="1" applyAlignment="1">
      <alignment horizontal="center" vertical="center"/>
    </xf>
    <xf numFmtId="0" fontId="23" fillId="25" borderId="15" xfId="0" applyFont="1" applyFill="1" applyBorder="1" applyAlignment="1">
      <alignment horizontal="center" vertical="center"/>
    </xf>
    <xf numFmtId="0" fontId="29" fillId="31" borderId="19" xfId="0" applyFont="1" applyFill="1" applyBorder="1" applyAlignment="1">
      <alignment horizontal="left" vertical="center" indent="1"/>
    </xf>
    <xf numFmtId="0" fontId="26" fillId="28" borderId="17" xfId="0" applyFont="1" applyFill="1" applyBorder="1" applyAlignment="1">
      <alignment horizontal="center" vertical="center"/>
    </xf>
    <xf numFmtId="0" fontId="28" fillId="30" borderId="19" xfId="0" applyFont="1" applyFill="1" applyBorder="1" applyAlignment="1">
      <alignment horizontal="center" vertical="center"/>
    </xf>
    <xf numFmtId="0" fontId="30" fillId="31" borderId="19" xfId="0" applyFont="1" applyFill="1" applyBorder="1" applyAlignment="1">
      <alignment horizontal="left" vertical="center" indent="1"/>
    </xf>
    <xf numFmtId="0" fontId="27" fillId="29" borderId="18" xfId="0" applyFont="1" applyFill="1" applyBorder="1" applyAlignment="1">
      <alignment horizontal="center" vertical="center"/>
    </xf>
    <xf numFmtId="0" fontId="25" fillId="27" borderId="17" xfId="0" applyFont="1" applyFill="1" applyBorder="1" applyAlignment="1">
      <alignment horizontal="left" vertical="center" indent="1"/>
    </xf>
    <xf numFmtId="0" fontId="24" fillId="26" borderId="16" xfId="0" applyFont="1" applyFill="1" applyBorder="1" applyAlignment="1">
      <alignment horizontal="left" vertical="center" indent="1"/>
    </xf>
    <xf numFmtId="0" fontId="16" fillId="0" borderId="4" xfId="0" applyFont="1" applyBorder="1" applyAlignment="1">
      <alignment horizontal="left" vertical="center" indent="1"/>
    </xf>
    <xf numFmtId="0" fontId="0" fillId="0" borderId="8" xfId="0" applyBorder="1"/>
    <xf numFmtId="3" fontId="7" fillId="9" borderId="12" xfId="0" applyNumberFormat="1" applyFont="1" applyFill="1" applyAlignment="1">
      <alignment horizontal="center" vertical="center"/>
    </xf>
    <xf numFmtId="0" fontId="0" fillId="0" borderId="12" xfId="0"/>
    <xf numFmtId="0" fontId="10" fillId="14" borderId="12" xfId="0" applyFont="1" applyFill="1" applyAlignment="1">
      <alignment horizontal="center" vertical="center"/>
    </xf>
    <xf numFmtId="3" fontId="9" fillId="11" borderId="12" xfId="0" applyNumberFormat="1" applyFont="1" applyFill="1" applyAlignment="1">
      <alignment horizontal="center" vertical="center"/>
    </xf>
    <xf numFmtId="0" fontId="14" fillId="17" borderId="13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10" fillId="11" borderId="12" xfId="0" applyFont="1" applyFill="1" applyAlignment="1">
      <alignment horizontal="center" vertical="center"/>
    </xf>
    <xf numFmtId="0" fontId="5" fillId="2" borderId="12" xfId="0" applyFont="1" applyFill="1" applyAlignment="1">
      <alignment horizontal="center" vertical="center"/>
    </xf>
    <xf numFmtId="3" fontId="6" fillId="8" borderId="12" xfId="0" applyNumberFormat="1" applyFont="1" applyFill="1" applyAlignment="1">
      <alignment horizontal="center" vertical="center"/>
    </xf>
    <xf numFmtId="0" fontId="10" fillId="10" borderId="12" xfId="0" applyFont="1" applyFill="1" applyAlignment="1">
      <alignment horizontal="center" vertical="center"/>
    </xf>
    <xf numFmtId="0" fontId="10" fillId="16" borderId="12" xfId="0" applyFont="1" applyFill="1" applyAlignment="1">
      <alignment horizontal="center" vertical="center"/>
    </xf>
    <xf numFmtId="0" fontId="10" fillId="8" borderId="12" xfId="0" applyFont="1" applyFill="1" applyAlignment="1">
      <alignment horizontal="center" vertical="center"/>
    </xf>
    <xf numFmtId="0" fontId="10" fillId="9" borderId="12" xfId="0" applyFont="1" applyFill="1" applyAlignment="1">
      <alignment horizontal="center" vertical="center"/>
    </xf>
    <xf numFmtId="0" fontId="5" fillId="6" borderId="12" xfId="0" applyFont="1" applyFill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5" fillId="12" borderId="12" xfId="0" applyFont="1" applyFill="1" applyAlignment="1">
      <alignment horizontal="center" vertical="center"/>
    </xf>
    <xf numFmtId="3" fontId="12" fillId="15" borderId="12" xfId="0" applyNumberFormat="1" applyFont="1" applyFill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0" fillId="0" borderId="7" xfId="0" applyBorder="1"/>
    <xf numFmtId="0" fontId="0" fillId="0" borderId="11" xfId="0" applyBorder="1"/>
    <xf numFmtId="0" fontId="14" fillId="17" borderId="12" xfId="0" applyFont="1" applyFill="1" applyAlignment="1">
      <alignment horizontal="left" vertical="center" indent="1"/>
    </xf>
    <xf numFmtId="0" fontId="17" fillId="18" borderId="2" xfId="0" applyFont="1" applyFill="1" applyBorder="1" applyAlignment="1">
      <alignment horizontal="left" vertical="center" indent="1"/>
    </xf>
    <xf numFmtId="0" fontId="0" fillId="0" borderId="9" xfId="0" applyBorder="1"/>
    <xf numFmtId="0" fontId="4" fillId="4" borderId="12" xfId="0" applyFont="1" applyFill="1" applyAlignment="1">
      <alignment horizontal="left" vertical="center" indent="1"/>
    </xf>
    <xf numFmtId="3" fontId="11" fillId="14" borderId="12" xfId="0" applyNumberFormat="1" applyFont="1" applyFill="1" applyAlignment="1">
      <alignment horizontal="center" vertical="center"/>
    </xf>
    <xf numFmtId="3" fontId="8" fillId="10" borderId="12" xfId="0" applyNumberFormat="1" applyFont="1" applyFill="1" applyAlignment="1">
      <alignment horizontal="center" vertical="center"/>
    </xf>
    <xf numFmtId="0" fontId="3" fillId="4" borderId="12" xfId="0" applyFont="1" applyFill="1" applyAlignment="1">
      <alignment horizontal="left" vertical="center" indent="1"/>
    </xf>
    <xf numFmtId="0" fontId="0" fillId="0" borderId="10" xfId="0" applyBorder="1"/>
    <xf numFmtId="0" fontId="5" fillId="4" borderId="12" xfId="0" applyFont="1" applyFill="1" applyAlignment="1">
      <alignment horizontal="center" vertical="center"/>
    </xf>
    <xf numFmtId="0" fontId="5" fillId="13" borderId="12" xfId="0" applyFont="1" applyFill="1" applyAlignment="1">
      <alignment horizontal="center" vertical="center"/>
    </xf>
    <xf numFmtId="0" fontId="5" fillId="7" borderId="12" xfId="0" applyFont="1" applyFill="1" applyAlignment="1">
      <alignment horizontal="center" vertical="center"/>
    </xf>
    <xf numFmtId="0" fontId="10" fillId="15" borderId="12" xfId="0" applyFont="1" applyFill="1" applyAlignment="1">
      <alignment horizontal="center" vertical="center"/>
    </xf>
    <xf numFmtId="3" fontId="13" fillId="16" borderId="12" xfId="0" applyNumberFormat="1" applyFont="1" applyFill="1" applyAlignment="1">
      <alignment horizontal="center" vertical="center"/>
    </xf>
    <xf numFmtId="0" fontId="5" fillId="5" borderId="12" xfId="0" applyFont="1" applyFill="1" applyAlignment="1">
      <alignment horizontal="center" vertical="center"/>
    </xf>
  </cellXfs>
  <cellStyles count="1">
    <cellStyle name="Normal" xfId="0" builtinId="0"/>
  </cellStyles>
  <dxfs count="27">
    <dxf>
      <font>
        <b/>
        <color rgb="FF166534"/>
      </font>
      <fill>
        <patternFill>
          <bgColor rgb="FFDCFCE7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166534"/>
      </font>
      <fill>
        <patternFill patternType="solid">
          <fgColor rgb="FFDCFCE7"/>
          <bgColor rgb="FFDCFCE7"/>
        </patternFill>
      </fill>
    </dxf>
    <dxf>
      <font>
        <b/>
        <color rgb="FF92400E"/>
      </font>
      <fill>
        <patternFill patternType="solid">
          <fgColor rgb="FFFEF3C7"/>
          <bgColor rgb="FFFEF3C7"/>
        </patternFill>
      </fill>
    </dxf>
    <dxf>
      <font>
        <b/>
        <color rgb="FF991B1B"/>
      </font>
      <fill>
        <patternFill patternType="solid">
          <fgColor rgb="FFFEE2E2"/>
          <bgColor rgb="FFFEE2E2"/>
        </patternFill>
      </fill>
    </dxf>
    <dxf>
      <font>
        <b/>
        <color rgb="FF92400E"/>
      </font>
      <fill>
        <patternFill patternType="solid">
          <fgColor rgb="FFFEF3C7"/>
          <bgColor rgb="FFFEF3C7"/>
        </patternFill>
      </fill>
    </dxf>
    <dxf>
      <font>
        <b/>
        <color rgb="FF166534"/>
      </font>
      <fill>
        <patternFill patternType="solid">
          <fgColor rgb="FFDCFCE7"/>
          <bgColor rgb="FFDCFCE7"/>
        </patternFill>
      </fill>
    </dxf>
    <dxf>
      <font>
        <b/>
        <color rgb="FF1E40AF"/>
      </font>
      <fill>
        <patternFill patternType="solid">
          <fgColor rgb="FFDBEAFE"/>
          <bgColor rgb="FFDBEAFE"/>
        </patternFill>
      </fill>
    </dxf>
    <dxf>
      <font>
        <b/>
        <color rgb="FF991B1B"/>
      </font>
      <fill>
        <patternFill patternType="solid">
          <fgColor rgb="FFFEE2E2"/>
          <bgColor rgb="FFFEE2E2"/>
        </patternFill>
      </fill>
    </dxf>
    <dxf>
      <font>
        <b/>
        <sz val="10.5"/>
        <color rgb="FF78350F"/>
        <name val="Segoe UI"/>
      </font>
      <fill>
        <patternFill patternType="solid">
          <fgColor rgb="FFFEF08A"/>
          <bgColor rgb="FFFEF08A"/>
        </patternFill>
      </fill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Tracker" displayName="Table_Tracker" ref="A7:P257">
  <autoFilter ref="A7:P257" xr:uid="{00000000-000C-0000-FFFF-FFFF00000000}"/>
  <tableColumns count="16">
    <tableColumn id="1" xr3:uid="{00000000-0010-0000-0000-000001000000}" name="S.No."/>
    <tableColumn id="2" xr3:uid="{00000000-0010-0000-0000-000002000000}" name="Zone"/>
    <tableColumn id="3" xr3:uid="{00000000-0010-0000-0000-000003000000}" name="Lock No."/>
    <tableColumn id="4" xr3:uid="{00000000-0010-0000-0000-000004000000}" name="Lock Type"/>
    <tableColumn id="5" xr3:uid="{00000000-0010-0000-0000-000005000000}" name="Location"/>
    <tableColumn id="6" xr3:uid="{00000000-0010-0000-0000-000006000000}" name="Total Keys"/>
    <tableColumn id="7" xr3:uid="{00000000-0010-0000-0000-000007000000}" name="Spare Keys (BMS)"/>
    <tableColumn id="8" xr3:uid="{00000000-0010-0000-0000-000008000000}" name="Issued Keys"/>
    <tableColumn id="9" xr3:uid="{00000000-0010-0000-0000-000009000000}" name="Missing Keys"/>
    <tableColumn id="10" xr3:uid="{00000000-0010-0000-0000-00000A000000}" name="Key Status"/>
    <tableColumn id="11" xr3:uid="{00000000-0010-0000-0000-00000B000000}" name="Key Issued To"/>
    <tableColumn id="12" xr3:uid="{00000000-0010-0000-0000-00000C000000}" name="Custodian Location"/>
    <tableColumn id="13" xr3:uid="{00000000-0010-0000-0000-00000D000000}" name="Spare Key Location (Box Name)" dataDxfId="26"/>
    <tableColumn id="14" xr3:uid="{00000000-0010-0000-0000-00000E000000}" name="Lock Status"/>
    <tableColumn id="15" xr3:uid="{00000000-0010-0000-0000-00000F000000}" name="Remarks &amp; Material"/>
    <tableColumn id="16" xr3:uid="{00000000-0010-0000-0000-000010000000}" name="Action Fl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ActionAudit" displayName="Table_ActionAudit" ref="A7:L27" totalsRowShown="0" dataDxfId="25">
  <autoFilter ref="A7:L27" xr:uid="{00000000-0009-0000-0100-000002000000}"/>
  <tableColumns count="12">
    <tableColumn id="1" xr3:uid="{00000000-0010-0000-0100-000001000000}" name="Action ID" dataDxfId="24"/>
    <tableColumn id="2" xr3:uid="{00000000-0010-0000-0100-000002000000}" name="Zone" dataDxfId="23"/>
    <tableColumn id="3" xr3:uid="{00000000-0010-0000-0100-000003000000}" name="Lock No." dataDxfId="22"/>
    <tableColumn id="4" xr3:uid="{00000000-0010-0000-0100-000004000000}" name="Lock Type" dataDxfId="21"/>
    <tableColumn id="5" xr3:uid="{00000000-0010-0000-0100-000005000000}" name="Location" dataDxfId="20"/>
    <tableColumn id="6" xr3:uid="{00000000-0010-0000-0100-000006000000}" name="Current Issue / Gap" dataDxfId="19"/>
    <tableColumn id="7" xr3:uid="{00000000-0010-0000-0100-000007000000}" name="Required Operational Action" dataDxfId="18"/>
    <tableColumn id="8" xr3:uid="{00000000-0010-0000-0100-000008000000}" name="Responsible Team" dataDxfId="17"/>
    <tableColumn id="9" xr3:uid="{00000000-0010-0000-0100-000009000000}" name="Priority" dataDxfId="16"/>
    <tableColumn id="10" xr3:uid="{00000000-0010-0000-0100-00000A000000}" name="Target Date" dataDxfId="15"/>
    <tableColumn id="11" xr3:uid="{00000000-0010-0000-0100-00000B000000}" name="Resolution Status" dataDxfId="14"/>
    <tableColumn id="12" xr3:uid="{00000000-0010-0000-0100-00000C000000}" name="Audit Reference" dataDxfId="13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65D"/>
  </sheetPr>
  <dimension ref="B2:P42"/>
  <sheetViews>
    <sheetView topLeftCell="B4" workbookViewId="0">
      <selection activeCell="N8" sqref="N8:P8"/>
    </sheetView>
  </sheetViews>
  <sheetFormatPr defaultRowHeight="14.5" x14ac:dyDescent="0.35"/>
  <cols>
    <col min="1" max="1" width="3.7265625" customWidth="1"/>
    <col min="2" max="2" width="22.7265625" customWidth="1"/>
    <col min="3" max="3" width="12.7265625" customWidth="1"/>
    <col min="4" max="8" width="10.7265625" customWidth="1"/>
    <col min="9" max="9" width="4.7265625" customWidth="1"/>
    <col min="10" max="10" width="20.7265625" customWidth="1"/>
    <col min="11" max="15" width="12.7265625" customWidth="1"/>
    <col min="16" max="16" width="13.7265625" customWidth="1"/>
    <col min="17" max="17" width="3.7265625" customWidth="1"/>
  </cols>
  <sheetData>
    <row r="2" spans="2:16" ht="28" customHeight="1" x14ac:dyDescent="0.35">
      <c r="B2" s="1" t="s">
        <v>0</v>
      </c>
      <c r="C2" s="15"/>
      <c r="D2" s="15"/>
      <c r="E2" s="2" t="s">
        <v>1</v>
      </c>
      <c r="F2" s="15"/>
      <c r="G2" s="15"/>
      <c r="H2" s="2" t="s">
        <v>2</v>
      </c>
      <c r="I2" s="15"/>
      <c r="J2" s="15"/>
      <c r="K2" s="15"/>
      <c r="L2" s="2" t="s">
        <v>3</v>
      </c>
      <c r="M2" s="15"/>
      <c r="N2" s="15"/>
      <c r="O2" s="2" t="s">
        <v>4</v>
      </c>
      <c r="P2" s="15"/>
    </row>
    <row r="4" spans="2:16" ht="25" customHeight="1" x14ac:dyDescent="0.35">
      <c r="B4" s="69" t="s">
        <v>5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</row>
    <row r="5" spans="2:16" ht="18" customHeight="1" x14ac:dyDescent="0.35">
      <c r="B5" s="66" t="s">
        <v>6</v>
      </c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</row>
    <row r="7" spans="2:16" ht="18" customHeight="1" x14ac:dyDescent="0.35">
      <c r="B7" s="71" t="s">
        <v>7</v>
      </c>
      <c r="C7" s="43"/>
      <c r="D7" s="43"/>
      <c r="E7" s="15"/>
      <c r="F7" s="76" t="s">
        <v>8</v>
      </c>
      <c r="G7" s="43"/>
      <c r="H7" s="43"/>
      <c r="I7" s="15"/>
      <c r="J7" s="56" t="s">
        <v>9</v>
      </c>
      <c r="K7" s="43"/>
      <c r="L7" s="43"/>
      <c r="M7" s="15"/>
      <c r="N7" s="73" t="s">
        <v>10</v>
      </c>
      <c r="O7" s="43"/>
      <c r="P7" s="43"/>
    </row>
    <row r="8" spans="2:16" ht="28" customHeight="1" x14ac:dyDescent="0.35">
      <c r="B8" s="51">
        <f>COUNTA(Table_Tracker[Lock No.])</f>
        <v>244</v>
      </c>
      <c r="C8" s="43"/>
      <c r="D8" s="43"/>
      <c r="E8" s="15"/>
      <c r="F8" s="42">
        <f>COUNTIF(Table_Tracker[Lock Status], "Occupied")</f>
        <v>160</v>
      </c>
      <c r="G8" s="43"/>
      <c r="H8" s="43"/>
      <c r="I8" s="15"/>
      <c r="J8" s="68">
        <f>COUNTIF(Table_Tracker[Lock Status], "Vacant")</f>
        <v>21</v>
      </c>
      <c r="K8" s="43"/>
      <c r="L8" s="43"/>
      <c r="M8" s="15"/>
      <c r="N8" s="45">
        <f>COUNTIF(Table_Tracker[Lock Status], "Common Asset")</f>
        <v>54</v>
      </c>
      <c r="O8" s="43"/>
      <c r="P8" s="43"/>
    </row>
    <row r="9" spans="2:16" ht="16" customHeight="1" x14ac:dyDescent="0.35">
      <c r="B9" s="54" t="s">
        <v>11</v>
      </c>
      <c r="C9" s="43"/>
      <c r="D9" s="43"/>
      <c r="E9" s="15"/>
      <c r="F9" s="55" t="s">
        <v>12</v>
      </c>
      <c r="G9" s="43"/>
      <c r="H9" s="43"/>
      <c r="I9" s="15"/>
      <c r="J9" s="52" t="s">
        <v>13</v>
      </c>
      <c r="K9" s="43"/>
      <c r="L9" s="43"/>
      <c r="M9" s="15"/>
      <c r="N9" s="49" t="s">
        <v>14</v>
      </c>
      <c r="O9" s="43"/>
      <c r="P9" s="43"/>
    </row>
    <row r="11" spans="2:16" ht="18" customHeight="1" x14ac:dyDescent="0.35">
      <c r="B11" s="50" t="s">
        <v>15</v>
      </c>
      <c r="C11" s="43"/>
      <c r="D11" s="43"/>
      <c r="E11" s="15"/>
      <c r="F11" s="56" t="s">
        <v>16</v>
      </c>
      <c r="G11" s="43"/>
      <c r="H11" s="43"/>
      <c r="I11" s="15"/>
      <c r="J11" s="58" t="s">
        <v>17</v>
      </c>
      <c r="K11" s="43"/>
      <c r="L11" s="43"/>
      <c r="M11" s="15"/>
      <c r="N11" s="72" t="s">
        <v>18</v>
      </c>
      <c r="O11" s="43"/>
      <c r="P11" s="43"/>
    </row>
    <row r="12" spans="2:16" ht="28" customHeight="1" x14ac:dyDescent="0.35">
      <c r="B12" s="67">
        <f>SUM(Table_Tracker[Total Keys])</f>
        <v>529</v>
      </c>
      <c r="C12" s="43"/>
      <c r="D12" s="43"/>
      <c r="E12" s="15"/>
      <c r="F12" s="68">
        <f>SUM(Table_Tracker[Spare Keys (BMS)])</f>
        <v>372</v>
      </c>
      <c r="G12" s="43"/>
      <c r="H12" s="43"/>
      <c r="I12" s="15"/>
      <c r="J12" s="59">
        <f>SUM(Table_Tracker[Issued Keys])</f>
        <v>95</v>
      </c>
      <c r="K12" s="43"/>
      <c r="L12" s="43"/>
      <c r="M12" s="15"/>
      <c r="N12" s="75">
        <f>SUM(Table_Tracker[Missing Keys])</f>
        <v>68</v>
      </c>
      <c r="O12" s="43"/>
      <c r="P12" s="43"/>
    </row>
    <row r="13" spans="2:16" ht="16" customHeight="1" x14ac:dyDescent="0.35">
      <c r="B13" s="44" t="s">
        <v>19</v>
      </c>
      <c r="C13" s="43"/>
      <c r="D13" s="43"/>
      <c r="E13" s="15"/>
      <c r="F13" s="52" t="s">
        <v>20</v>
      </c>
      <c r="G13" s="43"/>
      <c r="H13" s="43"/>
      <c r="I13" s="15"/>
      <c r="J13" s="74" t="s">
        <v>21</v>
      </c>
      <c r="K13" s="43"/>
      <c r="L13" s="43"/>
      <c r="M13" s="15"/>
      <c r="N13" s="53" t="s">
        <v>22</v>
      </c>
      <c r="O13" s="43"/>
      <c r="P13" s="43"/>
    </row>
    <row r="15" spans="2:16" ht="22" customHeight="1" x14ac:dyDescent="0.35">
      <c r="B15" s="46" t="s">
        <v>23</v>
      </c>
      <c r="C15" s="47"/>
      <c r="D15" s="47"/>
      <c r="E15" s="47"/>
      <c r="F15" s="47"/>
      <c r="G15" s="47"/>
      <c r="H15" s="48"/>
      <c r="I15" s="15"/>
      <c r="J15" s="63" t="s">
        <v>24</v>
      </c>
      <c r="K15" s="43"/>
      <c r="L15" s="43"/>
      <c r="M15" s="43"/>
      <c r="N15" s="43"/>
      <c r="O15" s="43"/>
      <c r="P15" s="43"/>
    </row>
    <row r="16" spans="2:16" ht="22" customHeight="1" x14ac:dyDescent="0.35">
      <c r="B16" s="16" t="s">
        <v>25</v>
      </c>
      <c r="C16" s="16" t="s">
        <v>26</v>
      </c>
      <c r="D16" s="16" t="s">
        <v>27</v>
      </c>
      <c r="E16" s="16" t="s">
        <v>28</v>
      </c>
      <c r="F16" s="16" t="s">
        <v>29</v>
      </c>
      <c r="G16" s="16" t="s">
        <v>30</v>
      </c>
      <c r="H16" s="16" t="s">
        <v>31</v>
      </c>
      <c r="I16" s="15"/>
      <c r="J16" s="3" t="s">
        <v>32</v>
      </c>
      <c r="K16" s="3" t="s">
        <v>33</v>
      </c>
      <c r="L16" s="3" t="s">
        <v>34</v>
      </c>
      <c r="M16" s="3" t="s">
        <v>35</v>
      </c>
      <c r="N16" s="3" t="s">
        <v>36</v>
      </c>
      <c r="O16" s="3" t="s">
        <v>37</v>
      </c>
      <c r="P16" s="3" t="s">
        <v>38</v>
      </c>
    </row>
    <row r="17" spans="2:16" ht="18" customHeight="1" x14ac:dyDescent="0.35">
      <c r="B17" s="17" t="s">
        <v>39</v>
      </c>
      <c r="C17" s="18">
        <f>COUNTIF(Table_Tracker[Zone], B17)</f>
        <v>45</v>
      </c>
      <c r="D17" s="18">
        <f>COUNTIFS(Table_Tracker[Zone], B17, Table_Tracker[Lock Type], "Planter")</f>
        <v>22</v>
      </c>
      <c r="E17" s="18">
        <f>COUNTIFS(Table_Tracker[Zone], B17, Table_Tracker[Lock Type], "Cupboard")</f>
        <v>7</v>
      </c>
      <c r="F17" s="18">
        <f>COUNTIFS(Table_Tracker[Zone], B17, Table_Tracker[Lock Type], "Locker")</f>
        <v>0</v>
      </c>
      <c r="G17" s="18">
        <f>COUNTIFS(Table_Tracker[Zone], B17, Table_Tracker[Lock Type], "Cabinet")</f>
        <v>9</v>
      </c>
      <c r="H17" s="18">
        <f>COUNTIFS(Table_Tracker[Zone], B17, Table_Tracker[Lock Type], "Door")</f>
        <v>7</v>
      </c>
      <c r="I17" s="15"/>
      <c r="J17" s="4" t="s">
        <v>40</v>
      </c>
      <c r="K17" s="5">
        <f>COUNTIF(Table_Tracker[Lock Type], "Planter")</f>
        <v>109</v>
      </c>
      <c r="L17" s="5">
        <f>COUNTIFS(Table_Tracker[Lock Type], "Planter", Table_Tracker[Lock Status], "Occupied")</f>
        <v>88</v>
      </c>
      <c r="M17" s="5">
        <f>COUNTIFS(Table_Tracker[Lock Type], "Planter", Table_Tracker[Lock Status], "Vacant")</f>
        <v>14</v>
      </c>
      <c r="N17" s="5">
        <f>SUMIFS(Table_Tracker[Spare Keys (BMS)], Table_Tracker[Lock Type], "Planter")</f>
        <v>159</v>
      </c>
      <c r="O17" s="5">
        <f>SUMIFS(Table_Tracker[Issued Keys], Table_Tracker[Lock Type], "Planter")</f>
        <v>45</v>
      </c>
      <c r="P17" s="5">
        <f>SUMIFS(Table_Tracker[Missing Keys], Table_Tracker[Lock Type], "Planter")</f>
        <v>16</v>
      </c>
    </row>
    <row r="18" spans="2:16" ht="18" customHeight="1" x14ac:dyDescent="0.35">
      <c r="B18" s="17" t="s">
        <v>41</v>
      </c>
      <c r="C18" s="18">
        <f>COUNTIF(Table_Tracker[Zone], B18)</f>
        <v>27</v>
      </c>
      <c r="D18" s="18">
        <f>COUNTIFS(Table_Tracker[Zone], B18, Table_Tracker[Lock Type], "Planter")</f>
        <v>10</v>
      </c>
      <c r="E18" s="18">
        <f>COUNTIFS(Table_Tracker[Zone], B18, Table_Tracker[Lock Type], "Cupboard")</f>
        <v>10</v>
      </c>
      <c r="F18" s="18">
        <f>COUNTIFS(Table_Tracker[Zone], B18, Table_Tracker[Lock Type], "Locker")</f>
        <v>0</v>
      </c>
      <c r="G18" s="18">
        <f>COUNTIFS(Table_Tracker[Zone], B18, Table_Tracker[Lock Type], "Cabinet")</f>
        <v>1</v>
      </c>
      <c r="H18" s="18">
        <f>COUNTIFS(Table_Tracker[Zone], B18, Table_Tracker[Lock Type], "Door")</f>
        <v>6</v>
      </c>
      <c r="I18" s="15"/>
      <c r="J18" s="4" t="s">
        <v>42</v>
      </c>
      <c r="K18" s="5">
        <f>COUNTIF(Table_Tracker[Lock Type], "Cupboard")</f>
        <v>44</v>
      </c>
      <c r="L18" s="5">
        <f>COUNTIFS(Table_Tracker[Lock Type], "Cupboard", Table_Tracker[Lock Status], "Occupied")</f>
        <v>38</v>
      </c>
      <c r="M18" s="5">
        <f>COUNTIFS(Table_Tracker[Lock Type], "Cupboard", Table_Tracker[Lock Status], "Vacant")</f>
        <v>1</v>
      </c>
      <c r="N18" s="5">
        <f>SUMIFS(Table_Tracker[Spare Keys (BMS)], Table_Tracker[Lock Type], "Cupboard")</f>
        <v>44</v>
      </c>
      <c r="O18" s="5">
        <f>SUMIFS(Table_Tracker[Issued Keys], Table_Tracker[Lock Type], "Cupboard")</f>
        <v>28</v>
      </c>
      <c r="P18" s="5">
        <f>SUMIFS(Table_Tracker[Missing Keys], Table_Tracker[Lock Type], "Cupboard")</f>
        <v>16</v>
      </c>
    </row>
    <row r="19" spans="2:16" ht="18" customHeight="1" x14ac:dyDescent="0.35">
      <c r="B19" s="17" t="s">
        <v>43</v>
      </c>
      <c r="C19" s="18">
        <f>COUNTIF(Table_Tracker[Zone], B19)</f>
        <v>23</v>
      </c>
      <c r="D19" s="18">
        <f>COUNTIFS(Table_Tracker[Zone], B19, Table_Tracker[Lock Type], "Planter")</f>
        <v>10</v>
      </c>
      <c r="E19" s="18">
        <f>COUNTIFS(Table_Tracker[Zone], B19, Table_Tracker[Lock Type], "Cupboard")</f>
        <v>5</v>
      </c>
      <c r="F19" s="18">
        <f>COUNTIFS(Table_Tracker[Zone], B19, Table_Tracker[Lock Type], "Locker")</f>
        <v>0</v>
      </c>
      <c r="G19" s="18">
        <f>COUNTIFS(Table_Tracker[Zone], B19, Table_Tracker[Lock Type], "Cabinet")</f>
        <v>1</v>
      </c>
      <c r="H19" s="18">
        <f>COUNTIFS(Table_Tracker[Zone], B19, Table_Tracker[Lock Type], "Door")</f>
        <v>7</v>
      </c>
      <c r="I19" s="15"/>
      <c r="J19" s="4" t="s">
        <v>44</v>
      </c>
      <c r="K19" s="5">
        <f>COUNTIF(Table_Tracker[Lock Type], "Door")</f>
        <v>49</v>
      </c>
      <c r="L19" s="5">
        <f>COUNTIFS(Table_Tracker[Lock Type], "Door", Table_Tracker[Lock Status], "Occupied")</f>
        <v>0</v>
      </c>
      <c r="M19" s="5">
        <f>COUNTIFS(Table_Tracker[Lock Type], "Door", Table_Tracker[Lock Status], "Vacant")</f>
        <v>1</v>
      </c>
      <c r="N19" s="5">
        <f>SUMIFS(Table_Tracker[Spare Keys (BMS)], Table_Tracker[Lock Type], "Door")</f>
        <v>125</v>
      </c>
      <c r="O19" s="5">
        <f>SUMIFS(Table_Tracker[Issued Keys], Table_Tracker[Lock Type], "Door")</f>
        <v>1</v>
      </c>
      <c r="P19" s="5">
        <f>SUMIFS(Table_Tracker[Missing Keys], Table_Tracker[Lock Type], "Door")</f>
        <v>19</v>
      </c>
    </row>
    <row r="20" spans="2:16" ht="18" customHeight="1" x14ac:dyDescent="0.35">
      <c r="B20" s="17" t="s">
        <v>45</v>
      </c>
      <c r="C20" s="18">
        <f>COUNTIF(Table_Tracker[Zone], B20)</f>
        <v>21</v>
      </c>
      <c r="D20" s="18">
        <f>COUNTIFS(Table_Tracker[Zone], B20, Table_Tracker[Lock Type], "Planter")</f>
        <v>14</v>
      </c>
      <c r="E20" s="18">
        <f>COUNTIFS(Table_Tracker[Zone], B20, Table_Tracker[Lock Type], "Cupboard")</f>
        <v>4</v>
      </c>
      <c r="F20" s="18">
        <f>COUNTIFS(Table_Tracker[Zone], B20, Table_Tracker[Lock Type], "Locker")</f>
        <v>0</v>
      </c>
      <c r="G20" s="18">
        <f>COUNTIFS(Table_Tracker[Zone], B20, Table_Tracker[Lock Type], "Cabinet")</f>
        <v>1</v>
      </c>
      <c r="H20" s="18">
        <f>COUNTIFS(Table_Tracker[Zone], B20, Table_Tracker[Lock Type], "Door")</f>
        <v>2</v>
      </c>
      <c r="I20" s="15"/>
      <c r="J20" s="4" t="s">
        <v>46</v>
      </c>
      <c r="K20" s="5">
        <f>COUNTIF(Table_Tracker[Lock Type], "Locker")</f>
        <v>21</v>
      </c>
      <c r="L20" s="5">
        <f>COUNTIFS(Table_Tracker[Lock Type], "Locker", Table_Tracker[Lock Status], "Occupied")</f>
        <v>18</v>
      </c>
      <c r="M20" s="5">
        <f>COUNTIFS(Table_Tracker[Lock Type], "Locker", Table_Tracker[Lock Status], "Vacant")</f>
        <v>3</v>
      </c>
      <c r="N20" s="5">
        <f>SUMIFS(Table_Tracker[Spare Keys (BMS)], Table_Tracker[Lock Type], "Locker")</f>
        <v>20</v>
      </c>
      <c r="O20" s="5">
        <f>SUMIFS(Table_Tracker[Issued Keys], Table_Tracker[Lock Type], "Locker")</f>
        <v>11</v>
      </c>
      <c r="P20" s="5">
        <f>SUMIFS(Table_Tracker[Missing Keys], Table_Tracker[Lock Type], "Locker")</f>
        <v>11</v>
      </c>
    </row>
    <row r="21" spans="2:16" ht="18" customHeight="1" x14ac:dyDescent="0.35">
      <c r="B21" s="17" t="s">
        <v>47</v>
      </c>
      <c r="C21" s="18">
        <f>COUNTIF(Table_Tracker[Zone], B21)</f>
        <v>53</v>
      </c>
      <c r="D21" s="18">
        <f>COUNTIFS(Table_Tracker[Zone], B21, Table_Tracker[Lock Type], "Planter")</f>
        <v>35</v>
      </c>
      <c r="E21" s="18">
        <f>COUNTIFS(Table_Tracker[Zone], B21, Table_Tracker[Lock Type], "Cupboard")</f>
        <v>10</v>
      </c>
      <c r="F21" s="18">
        <f>COUNTIFS(Table_Tracker[Zone], B21, Table_Tracker[Lock Type], "Locker")</f>
        <v>0</v>
      </c>
      <c r="G21" s="18">
        <f>COUNTIFS(Table_Tracker[Zone], B21, Table_Tracker[Lock Type], "Cabinet")</f>
        <v>1</v>
      </c>
      <c r="H21" s="18">
        <f>COUNTIFS(Table_Tracker[Zone], B21, Table_Tracker[Lock Type], "Door")</f>
        <v>7</v>
      </c>
      <c r="I21" s="15"/>
      <c r="J21" s="4" t="s">
        <v>48</v>
      </c>
      <c r="K21" s="5">
        <f>COUNTIF(Table_Tracker[Lock Type], "Cabinet")</f>
        <v>20</v>
      </c>
      <c r="L21" s="5">
        <f>COUNTIFS(Table_Tracker[Lock Type], "Cabinet", Table_Tracker[Lock Status], "Occupied")</f>
        <v>16</v>
      </c>
      <c r="M21" s="5">
        <f>COUNTIFS(Table_Tracker[Lock Type], "Cabinet", Table_Tracker[Lock Status], "Vacant")</f>
        <v>2</v>
      </c>
      <c r="N21" s="5">
        <f>SUMIFS(Table_Tracker[Spare Keys (BMS)], Table_Tracker[Lock Type], "Cabinet")</f>
        <v>24</v>
      </c>
      <c r="O21" s="5">
        <f>SUMIFS(Table_Tracker[Issued Keys], Table_Tracker[Lock Type], "Cabinet")</f>
        <v>10</v>
      </c>
      <c r="P21" s="5">
        <f>SUMIFS(Table_Tracker[Missing Keys], Table_Tracker[Lock Type], "Cabinet")</f>
        <v>6</v>
      </c>
    </row>
    <row r="22" spans="2:16" ht="20.149999999999999" customHeight="1" x14ac:dyDescent="0.35">
      <c r="B22" s="17" t="s">
        <v>49</v>
      </c>
      <c r="C22" s="18">
        <f>COUNTIF(Table_Tracker[Zone], B22)</f>
        <v>32</v>
      </c>
      <c r="D22" s="18">
        <f>COUNTIFS(Table_Tracker[Zone], B22, Table_Tracker[Lock Type], "Planter")</f>
        <v>18</v>
      </c>
      <c r="E22" s="18">
        <f>COUNTIFS(Table_Tracker[Zone], B22, Table_Tracker[Lock Type], "Cupboard")</f>
        <v>7</v>
      </c>
      <c r="F22" s="18">
        <f>COUNTIFS(Table_Tracker[Zone], B22, Table_Tracker[Lock Type], "Locker")</f>
        <v>0</v>
      </c>
      <c r="G22" s="18">
        <f>COUNTIFS(Table_Tracker[Zone], B22, Table_Tracker[Lock Type], "Cabinet")</f>
        <v>1</v>
      </c>
      <c r="H22" s="18">
        <f>COUNTIFS(Table_Tracker[Zone], B22, Table_Tracker[Lock Type], "Door")</f>
        <v>6</v>
      </c>
      <c r="I22" s="15"/>
      <c r="J22" s="6" t="s">
        <v>50</v>
      </c>
      <c r="K22" s="7">
        <f t="shared" ref="K22:P22" si="0">SUM(K17:K21)</f>
        <v>243</v>
      </c>
      <c r="L22" s="7">
        <f t="shared" si="0"/>
        <v>160</v>
      </c>
      <c r="M22" s="7">
        <f t="shared" si="0"/>
        <v>21</v>
      </c>
      <c r="N22" s="7">
        <f t="shared" si="0"/>
        <v>372</v>
      </c>
      <c r="O22" s="7">
        <f t="shared" si="0"/>
        <v>95</v>
      </c>
      <c r="P22" s="7">
        <f t="shared" si="0"/>
        <v>68</v>
      </c>
    </row>
    <row r="23" spans="2:16" ht="18" customHeight="1" x14ac:dyDescent="0.35">
      <c r="B23" s="17" t="s">
        <v>51</v>
      </c>
      <c r="C23" s="18">
        <f>COUNTIF(Table_Tracker[Zone], B23)</f>
        <v>11</v>
      </c>
      <c r="D23" s="18">
        <f>COUNTIFS(Table_Tracker[Zone], B23, Table_Tracker[Lock Type], "Planter")</f>
        <v>0</v>
      </c>
      <c r="E23" s="18">
        <f>COUNTIFS(Table_Tracker[Zone], B23, Table_Tracker[Lock Type], "Cupboard")</f>
        <v>0</v>
      </c>
      <c r="F23" s="18">
        <f>COUNTIFS(Table_Tracker[Zone], B23, Table_Tracker[Lock Type], "Locker")</f>
        <v>0</v>
      </c>
      <c r="G23" s="18">
        <f>COUNTIFS(Table_Tracker[Zone], B23, Table_Tracker[Lock Type], "Cabinet")</f>
        <v>5</v>
      </c>
      <c r="H23" s="18">
        <f>COUNTIFS(Table_Tracker[Zone], B23, Table_Tracker[Lock Type], "Door")</f>
        <v>5</v>
      </c>
      <c r="I23" s="15"/>
      <c r="J23" s="15"/>
      <c r="K23" s="15"/>
      <c r="L23" s="15"/>
      <c r="M23" s="15"/>
      <c r="N23" s="15"/>
      <c r="O23" s="15"/>
      <c r="P23" s="15"/>
    </row>
    <row r="24" spans="2:16" ht="22" customHeight="1" x14ac:dyDescent="0.35">
      <c r="B24" s="17" t="s">
        <v>52</v>
      </c>
      <c r="C24" s="18">
        <f>COUNTIF(Table_Tracker[Zone], B24)</f>
        <v>2</v>
      </c>
      <c r="D24" s="18">
        <f>COUNTIFS(Table_Tracker[Zone], B24, Table_Tracker[Lock Type], "Planter")</f>
        <v>0</v>
      </c>
      <c r="E24" s="18">
        <f>COUNTIFS(Table_Tracker[Zone], B24, Table_Tracker[Lock Type], "Cupboard")</f>
        <v>1</v>
      </c>
      <c r="F24" s="18">
        <f>COUNTIFS(Table_Tracker[Zone], B24, Table_Tracker[Lock Type], "Locker")</f>
        <v>0</v>
      </c>
      <c r="G24" s="18">
        <f>COUNTIFS(Table_Tracker[Zone], B24, Table_Tracker[Lock Type], "Cabinet")</f>
        <v>0</v>
      </c>
      <c r="H24" s="18">
        <f>COUNTIFS(Table_Tracker[Zone], B24, Table_Tracker[Lock Type], "Door")</f>
        <v>1</v>
      </c>
      <c r="I24" s="15"/>
      <c r="J24" s="63" t="s">
        <v>53</v>
      </c>
      <c r="K24" s="43"/>
      <c r="L24" s="43"/>
      <c r="M24" s="43"/>
      <c r="N24" s="43"/>
      <c r="O24" s="43"/>
      <c r="P24" s="43"/>
    </row>
    <row r="25" spans="2:16" ht="22" customHeight="1" x14ac:dyDescent="0.35">
      <c r="B25" s="17" t="s">
        <v>54</v>
      </c>
      <c r="C25" s="18">
        <f>COUNTIF(Table_Tracker[Zone], B25)</f>
        <v>5</v>
      </c>
      <c r="D25" s="18">
        <f>COUNTIFS(Table_Tracker[Zone], B25, Table_Tracker[Lock Type], "Planter")</f>
        <v>0</v>
      </c>
      <c r="E25" s="18">
        <f>COUNTIFS(Table_Tracker[Zone], B25, Table_Tracker[Lock Type], "Cupboard")</f>
        <v>0</v>
      </c>
      <c r="F25" s="18">
        <f>COUNTIFS(Table_Tracker[Zone], B25, Table_Tracker[Lock Type], "Locker")</f>
        <v>0</v>
      </c>
      <c r="G25" s="18">
        <f>COUNTIFS(Table_Tracker[Zone], B25, Table_Tracker[Lock Type], "Cabinet")</f>
        <v>0</v>
      </c>
      <c r="H25" s="18">
        <f>COUNTIFS(Table_Tracker[Zone], B25, Table_Tracker[Lock Type], "Door")</f>
        <v>5</v>
      </c>
      <c r="I25" s="15"/>
      <c r="J25" s="3" t="s">
        <v>55</v>
      </c>
      <c r="K25" s="60" t="s">
        <v>56</v>
      </c>
      <c r="L25" s="61"/>
      <c r="M25" s="3" t="s">
        <v>37</v>
      </c>
      <c r="N25" s="3" t="s">
        <v>57</v>
      </c>
      <c r="O25" s="60" t="s">
        <v>58</v>
      </c>
      <c r="P25" s="61"/>
    </row>
    <row r="26" spans="2:16" ht="18" customHeight="1" x14ac:dyDescent="0.35">
      <c r="B26" s="17" t="s">
        <v>59</v>
      </c>
      <c r="C26" s="18">
        <f>COUNTIF(Table_Tracker[Zone], B26)</f>
        <v>0</v>
      </c>
      <c r="D26" s="18">
        <f>COUNTIFS(Table_Tracker[Zone], B26, Table_Tracker[Lock Type], "Planter")</f>
        <v>0</v>
      </c>
      <c r="E26" s="18">
        <f>COUNTIFS(Table_Tracker[Zone], B26, Table_Tracker[Lock Type], "Cupboard")</f>
        <v>0</v>
      </c>
      <c r="F26" s="18">
        <f>COUNTIFS(Table_Tracker[Zone], B26, Table_Tracker[Lock Type], "Locker")</f>
        <v>0</v>
      </c>
      <c r="G26" s="18">
        <f>COUNTIFS(Table_Tracker[Zone], B26, Table_Tracker[Lock Type], "Cabinet")</f>
        <v>0</v>
      </c>
      <c r="H26" s="18">
        <f>COUNTIFS(Table_Tracker[Zone], B26, Table_Tracker[Lock Type], "Door")</f>
        <v>0</v>
      </c>
      <c r="I26" s="15"/>
      <c r="J26" s="4" t="s">
        <v>60</v>
      </c>
      <c r="K26" s="40" t="s">
        <v>61</v>
      </c>
      <c r="L26" s="41"/>
      <c r="M26" s="5">
        <v>22</v>
      </c>
      <c r="N26" s="5">
        <v>22</v>
      </c>
      <c r="O26" s="57" t="s">
        <v>62</v>
      </c>
      <c r="P26" s="41"/>
    </row>
    <row r="27" spans="2:16" ht="18" customHeight="1" x14ac:dyDescent="0.35">
      <c r="B27" s="17" t="s">
        <v>63</v>
      </c>
      <c r="C27" s="18">
        <f>COUNTIF(Table_Tracker[Zone], B27)</f>
        <v>22</v>
      </c>
      <c r="D27" s="18">
        <f>COUNTIFS(Table_Tracker[Zone], B27, Table_Tracker[Lock Type], "Planter")</f>
        <v>0</v>
      </c>
      <c r="E27" s="18">
        <f>COUNTIFS(Table_Tracker[Zone], B27, Table_Tracker[Lock Type], "Cupboard")</f>
        <v>0</v>
      </c>
      <c r="F27" s="18">
        <f>COUNTIFS(Table_Tracker[Zone], B27, Table_Tracker[Lock Type], "Locker")</f>
        <v>21</v>
      </c>
      <c r="G27" s="18">
        <f>COUNTIFS(Table_Tracker[Zone], B27, Table_Tracker[Lock Type], "Cabinet")</f>
        <v>1</v>
      </c>
      <c r="H27" s="18">
        <f>COUNTIFS(Table_Tracker[Zone], B27, Table_Tracker[Lock Type], "Door")</f>
        <v>0</v>
      </c>
      <c r="I27" s="15"/>
      <c r="J27" s="4" t="s">
        <v>64</v>
      </c>
      <c r="K27" s="40" t="s">
        <v>65</v>
      </c>
      <c r="L27" s="41"/>
      <c r="M27" s="5">
        <v>15</v>
      </c>
      <c r="N27" s="5">
        <v>15</v>
      </c>
      <c r="O27" s="57" t="s">
        <v>62</v>
      </c>
      <c r="P27" s="41"/>
    </row>
    <row r="28" spans="2:16" ht="18" customHeight="1" x14ac:dyDescent="0.35">
      <c r="B28" s="17" t="s">
        <v>66</v>
      </c>
      <c r="C28" s="18">
        <f>COUNTIF(Table_Tracker[Zone], B28)</f>
        <v>1</v>
      </c>
      <c r="D28" s="18">
        <f>COUNTIFS(Table_Tracker[Zone], B28, Table_Tracker[Lock Type], "Planter")</f>
        <v>0</v>
      </c>
      <c r="E28" s="18">
        <f>COUNTIFS(Table_Tracker[Zone], B28, Table_Tracker[Lock Type], "Cupboard")</f>
        <v>0</v>
      </c>
      <c r="F28" s="18">
        <f>COUNTIFS(Table_Tracker[Zone], B28, Table_Tracker[Lock Type], "Locker")</f>
        <v>0</v>
      </c>
      <c r="G28" s="18">
        <f>COUNTIFS(Table_Tracker[Zone], B28, Table_Tracker[Lock Type], "Cabinet")</f>
        <v>0</v>
      </c>
      <c r="H28" s="18">
        <f>COUNTIFS(Table_Tracker[Zone], B28, Table_Tracker[Lock Type], "Door")</f>
        <v>1</v>
      </c>
      <c r="I28" s="15"/>
      <c r="J28" s="4" t="s">
        <v>67</v>
      </c>
      <c r="K28" s="40" t="s">
        <v>68</v>
      </c>
      <c r="L28" s="41"/>
      <c r="M28" s="5">
        <v>9</v>
      </c>
      <c r="N28" s="5">
        <v>9</v>
      </c>
      <c r="O28" s="57" t="s">
        <v>62</v>
      </c>
      <c r="P28" s="41"/>
    </row>
    <row r="29" spans="2:16" ht="18" customHeight="1" x14ac:dyDescent="0.35">
      <c r="B29" s="17" t="s">
        <v>69</v>
      </c>
      <c r="C29" s="18">
        <f>COUNTIF(Table_Tracker[Zone], B29)</f>
        <v>1</v>
      </c>
      <c r="D29" s="18">
        <f>COUNTIFS(Table_Tracker[Zone], B29, Table_Tracker[Lock Type], "Planter")</f>
        <v>0</v>
      </c>
      <c r="E29" s="18">
        <f>COUNTIFS(Table_Tracker[Zone], B29, Table_Tracker[Lock Type], "Cupboard")</f>
        <v>0</v>
      </c>
      <c r="F29" s="18">
        <f>COUNTIFS(Table_Tracker[Zone], B29, Table_Tracker[Lock Type], "Locker")</f>
        <v>0</v>
      </c>
      <c r="G29" s="18">
        <f>COUNTIFS(Table_Tracker[Zone], B29, Table_Tracker[Lock Type], "Cabinet")</f>
        <v>0</v>
      </c>
      <c r="H29" s="18">
        <f>COUNTIFS(Table_Tracker[Zone], B29, Table_Tracker[Lock Type], "Door")</f>
        <v>1</v>
      </c>
      <c r="I29" s="15"/>
      <c r="J29" s="4" t="s">
        <v>70</v>
      </c>
      <c r="K29" s="40" t="s">
        <v>71</v>
      </c>
      <c r="L29" s="41"/>
      <c r="M29" s="5">
        <v>6</v>
      </c>
      <c r="N29" s="5">
        <v>6</v>
      </c>
      <c r="O29" s="57" t="s">
        <v>72</v>
      </c>
      <c r="P29" s="41"/>
    </row>
    <row r="30" spans="2:16" ht="18" customHeight="1" x14ac:dyDescent="0.35">
      <c r="B30" s="17" t="s">
        <v>73</v>
      </c>
      <c r="C30" s="18">
        <f>COUNTIF(Table_Tracker[Zone], B30)</f>
        <v>1</v>
      </c>
      <c r="D30" s="18">
        <f>COUNTIFS(Table_Tracker[Zone], B30, Table_Tracker[Lock Type], "Planter")</f>
        <v>0</v>
      </c>
      <c r="E30" s="18">
        <f>COUNTIFS(Table_Tracker[Zone], B30, Table_Tracker[Lock Type], "Cupboard")</f>
        <v>0</v>
      </c>
      <c r="F30" s="18">
        <f>COUNTIFS(Table_Tracker[Zone], B30, Table_Tracker[Lock Type], "Locker")</f>
        <v>0</v>
      </c>
      <c r="G30" s="18">
        <f>COUNTIFS(Table_Tracker[Zone], B30, Table_Tracker[Lock Type], "Cabinet")</f>
        <v>0</v>
      </c>
      <c r="H30" s="18">
        <f>COUNTIFS(Table_Tracker[Zone], B30, Table_Tracker[Lock Type], "Door")</f>
        <v>1</v>
      </c>
      <c r="I30" s="15"/>
      <c r="J30" s="4" t="s">
        <v>74</v>
      </c>
      <c r="K30" s="40" t="s">
        <v>75</v>
      </c>
      <c r="L30" s="41"/>
      <c r="M30" s="5">
        <v>4</v>
      </c>
      <c r="N30" s="5">
        <v>4</v>
      </c>
      <c r="O30" s="57" t="s">
        <v>62</v>
      </c>
      <c r="P30" s="41"/>
    </row>
    <row r="31" spans="2:16" ht="18" customHeight="1" x14ac:dyDescent="0.35">
      <c r="B31" s="19" t="s">
        <v>76</v>
      </c>
      <c r="C31" s="20">
        <f t="shared" ref="C31:H31" si="1">SUM(C17:C30)</f>
        <v>244</v>
      </c>
      <c r="D31" s="20">
        <f t="shared" si="1"/>
        <v>109</v>
      </c>
      <c r="E31" s="20">
        <f t="shared" si="1"/>
        <v>44</v>
      </c>
      <c r="F31" s="20">
        <f t="shared" si="1"/>
        <v>21</v>
      </c>
      <c r="G31" s="20">
        <f t="shared" si="1"/>
        <v>20</v>
      </c>
      <c r="H31" s="20">
        <f t="shared" si="1"/>
        <v>49</v>
      </c>
      <c r="I31" s="15"/>
      <c r="J31" s="4" t="s">
        <v>77</v>
      </c>
      <c r="K31" s="40" t="s">
        <v>78</v>
      </c>
      <c r="L31" s="41"/>
      <c r="M31" s="5">
        <v>23</v>
      </c>
      <c r="N31" s="5">
        <v>23</v>
      </c>
      <c r="O31" s="57" t="s">
        <v>62</v>
      </c>
      <c r="P31" s="41"/>
    </row>
    <row r="32" spans="2:16" ht="20.149999999999999" customHeight="1" x14ac:dyDescent="0.35">
      <c r="B32" s="15"/>
      <c r="C32" s="15"/>
      <c r="D32" s="15"/>
      <c r="E32" s="15"/>
      <c r="F32" s="15"/>
      <c r="G32" s="15"/>
      <c r="H32" s="15"/>
      <c r="I32" s="15"/>
      <c r="J32" s="6" t="s">
        <v>79</v>
      </c>
      <c r="K32" s="64" t="s">
        <v>80</v>
      </c>
      <c r="L32" s="65"/>
      <c r="M32" s="7">
        <f>SUM(M26:M31)</f>
        <v>79</v>
      </c>
      <c r="N32" s="7">
        <f>SUM(N26:N31)</f>
        <v>79</v>
      </c>
      <c r="O32" s="64" t="s">
        <v>81</v>
      </c>
      <c r="P32" s="65"/>
    </row>
    <row r="34" spans="2:16" ht="22" customHeight="1" x14ac:dyDescent="0.35">
      <c r="B34" s="63" t="s">
        <v>82</v>
      </c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</row>
    <row r="35" spans="2:16" ht="22" customHeight="1" x14ac:dyDescent="0.35">
      <c r="B35" s="3" t="s">
        <v>83</v>
      </c>
      <c r="C35" s="3" t="s">
        <v>25</v>
      </c>
      <c r="D35" s="3" t="s">
        <v>84</v>
      </c>
      <c r="E35" s="3" t="s">
        <v>85</v>
      </c>
      <c r="F35" s="60" t="s">
        <v>86</v>
      </c>
      <c r="G35" s="61"/>
      <c r="H35" s="60" t="s">
        <v>87</v>
      </c>
      <c r="I35" s="70"/>
      <c r="J35" s="70"/>
      <c r="K35" s="70"/>
      <c r="L35" s="70"/>
      <c r="M35" s="61"/>
      <c r="N35" s="3" t="s">
        <v>88</v>
      </c>
      <c r="O35" s="60" t="s">
        <v>89</v>
      </c>
      <c r="P35" s="61"/>
    </row>
    <row r="36" spans="2:16" ht="19" customHeight="1" x14ac:dyDescent="0.35">
      <c r="B36" s="8" t="s">
        <v>90</v>
      </c>
      <c r="C36" s="8" t="s">
        <v>45</v>
      </c>
      <c r="D36" s="8" t="s">
        <v>91</v>
      </c>
      <c r="E36" s="8" t="s">
        <v>27</v>
      </c>
      <c r="F36" s="40" t="s">
        <v>92</v>
      </c>
      <c r="G36" s="41"/>
      <c r="H36" s="40" t="s">
        <v>93</v>
      </c>
      <c r="I36" s="62"/>
      <c r="J36" s="62"/>
      <c r="K36" s="62"/>
      <c r="L36" s="62"/>
      <c r="M36" s="41"/>
      <c r="N36" s="9" t="s">
        <v>94</v>
      </c>
      <c r="O36" s="57" t="s">
        <v>95</v>
      </c>
      <c r="P36" s="41"/>
    </row>
    <row r="37" spans="2:16" ht="19" customHeight="1" x14ac:dyDescent="0.35">
      <c r="B37" s="8" t="s">
        <v>96</v>
      </c>
      <c r="C37" s="8" t="s">
        <v>45</v>
      </c>
      <c r="D37" s="8" t="s">
        <v>97</v>
      </c>
      <c r="E37" s="8" t="s">
        <v>27</v>
      </c>
      <c r="F37" s="40" t="s">
        <v>92</v>
      </c>
      <c r="G37" s="41"/>
      <c r="H37" s="40" t="s">
        <v>93</v>
      </c>
      <c r="I37" s="62"/>
      <c r="J37" s="62"/>
      <c r="K37" s="62"/>
      <c r="L37" s="62"/>
      <c r="M37" s="41"/>
      <c r="N37" s="9" t="s">
        <v>94</v>
      </c>
      <c r="O37" s="57" t="s">
        <v>95</v>
      </c>
      <c r="P37" s="41"/>
    </row>
    <row r="38" spans="2:16" ht="19" customHeight="1" x14ac:dyDescent="0.35">
      <c r="B38" s="8" t="s">
        <v>98</v>
      </c>
      <c r="C38" s="8" t="s">
        <v>47</v>
      </c>
      <c r="D38" s="8" t="s">
        <v>99</v>
      </c>
      <c r="E38" s="8" t="s">
        <v>27</v>
      </c>
      <c r="F38" s="40" t="s">
        <v>100</v>
      </c>
      <c r="G38" s="41"/>
      <c r="H38" s="40" t="s">
        <v>93</v>
      </c>
      <c r="I38" s="62"/>
      <c r="J38" s="62"/>
      <c r="K38" s="62"/>
      <c r="L38" s="62"/>
      <c r="M38" s="41"/>
      <c r="N38" s="9" t="s">
        <v>94</v>
      </c>
      <c r="O38" s="57" t="s">
        <v>95</v>
      </c>
      <c r="P38" s="41"/>
    </row>
    <row r="39" spans="2:16" ht="19" customHeight="1" x14ac:dyDescent="0.35">
      <c r="B39" s="8" t="s">
        <v>101</v>
      </c>
      <c r="C39" s="8" t="s">
        <v>43</v>
      </c>
      <c r="D39" s="8" t="s">
        <v>102</v>
      </c>
      <c r="E39" s="8" t="s">
        <v>28</v>
      </c>
      <c r="F39" s="40" t="s">
        <v>103</v>
      </c>
      <c r="G39" s="41"/>
      <c r="H39" s="40" t="s">
        <v>93</v>
      </c>
      <c r="I39" s="62"/>
      <c r="J39" s="62"/>
      <c r="K39" s="62"/>
      <c r="L39" s="62"/>
      <c r="M39" s="41"/>
      <c r="N39" s="9" t="s">
        <v>94</v>
      </c>
      <c r="O39" s="57" t="s">
        <v>95</v>
      </c>
      <c r="P39" s="41"/>
    </row>
    <row r="40" spans="2:16" ht="19" customHeight="1" x14ac:dyDescent="0.35">
      <c r="B40" s="8" t="s">
        <v>104</v>
      </c>
      <c r="C40" s="8" t="s">
        <v>45</v>
      </c>
      <c r="D40" s="8" t="s">
        <v>105</v>
      </c>
      <c r="E40" s="8" t="s">
        <v>28</v>
      </c>
      <c r="F40" s="40" t="s">
        <v>106</v>
      </c>
      <c r="G40" s="41"/>
      <c r="H40" s="40" t="s">
        <v>107</v>
      </c>
      <c r="I40" s="62"/>
      <c r="J40" s="62"/>
      <c r="K40" s="62"/>
      <c r="L40" s="62"/>
      <c r="M40" s="41"/>
      <c r="N40" s="10" t="s">
        <v>108</v>
      </c>
      <c r="O40" s="57" t="s">
        <v>109</v>
      </c>
      <c r="P40" s="41"/>
    </row>
    <row r="41" spans="2:16" ht="19" customHeight="1" x14ac:dyDescent="0.35">
      <c r="B41" s="8" t="s">
        <v>110</v>
      </c>
      <c r="C41" s="8" t="s">
        <v>49</v>
      </c>
      <c r="D41" s="8" t="s">
        <v>111</v>
      </c>
      <c r="E41" s="8" t="s">
        <v>28</v>
      </c>
      <c r="F41" s="40" t="s">
        <v>112</v>
      </c>
      <c r="G41" s="41"/>
      <c r="H41" s="40" t="s">
        <v>113</v>
      </c>
      <c r="I41" s="62"/>
      <c r="J41" s="62"/>
      <c r="K41" s="62"/>
      <c r="L41" s="62"/>
      <c r="M41" s="41"/>
      <c r="N41" s="10" t="s">
        <v>108</v>
      </c>
      <c r="O41" s="57" t="s">
        <v>109</v>
      </c>
      <c r="P41" s="41"/>
    </row>
    <row r="42" spans="2:16" ht="19" customHeight="1" x14ac:dyDescent="0.35">
      <c r="B42" s="8" t="s">
        <v>114</v>
      </c>
      <c r="C42" s="8" t="s">
        <v>54</v>
      </c>
      <c r="D42" s="8" t="s">
        <v>115</v>
      </c>
      <c r="E42" s="8" t="s">
        <v>31</v>
      </c>
      <c r="F42" s="40" t="s">
        <v>116</v>
      </c>
      <c r="G42" s="41"/>
      <c r="H42" s="40" t="s">
        <v>117</v>
      </c>
      <c r="I42" s="62"/>
      <c r="J42" s="62"/>
      <c r="K42" s="62"/>
      <c r="L42" s="62"/>
      <c r="M42" s="41"/>
      <c r="N42" s="10" t="s">
        <v>108</v>
      </c>
      <c r="O42" s="57" t="s">
        <v>109</v>
      </c>
      <c r="P42" s="41"/>
    </row>
  </sheetData>
  <mergeCells count="70">
    <mergeCell ref="B4:P4"/>
    <mergeCell ref="O37:P37"/>
    <mergeCell ref="J24:P24"/>
    <mergeCell ref="H35:M35"/>
    <mergeCell ref="B7:D7"/>
    <mergeCell ref="F11:H11"/>
    <mergeCell ref="N11:P11"/>
    <mergeCell ref="N7:P7"/>
    <mergeCell ref="F37:G37"/>
    <mergeCell ref="J13:L13"/>
    <mergeCell ref="K28:L28"/>
    <mergeCell ref="F12:H12"/>
    <mergeCell ref="J9:L9"/>
    <mergeCell ref="N12:P12"/>
    <mergeCell ref="F7:H7"/>
    <mergeCell ref="F36:G36"/>
    <mergeCell ref="H42:M42"/>
    <mergeCell ref="B5:P5"/>
    <mergeCell ref="O40:P40"/>
    <mergeCell ref="K27:L27"/>
    <mergeCell ref="B12:D12"/>
    <mergeCell ref="J8:L8"/>
    <mergeCell ref="O42:P42"/>
    <mergeCell ref="J15:P15"/>
    <mergeCell ref="O27:P27"/>
    <mergeCell ref="H38:M38"/>
    <mergeCell ref="F39:G39"/>
    <mergeCell ref="H41:M41"/>
    <mergeCell ref="O38:P38"/>
    <mergeCell ref="H40:M40"/>
    <mergeCell ref="F42:G42"/>
    <mergeCell ref="O41:P41"/>
    <mergeCell ref="F41:G41"/>
    <mergeCell ref="O31:P31"/>
    <mergeCell ref="O35:P35"/>
    <mergeCell ref="F35:G35"/>
    <mergeCell ref="O25:P25"/>
    <mergeCell ref="H39:M39"/>
    <mergeCell ref="F40:G40"/>
    <mergeCell ref="O39:P39"/>
    <mergeCell ref="O36:P36"/>
    <mergeCell ref="K26:L26"/>
    <mergeCell ref="B34:P34"/>
    <mergeCell ref="F38:G38"/>
    <mergeCell ref="K32:L32"/>
    <mergeCell ref="H37:M37"/>
    <mergeCell ref="O32:P32"/>
    <mergeCell ref="H36:M36"/>
    <mergeCell ref="J7:L7"/>
    <mergeCell ref="O30:P30"/>
    <mergeCell ref="K29:L29"/>
    <mergeCell ref="J11:L11"/>
    <mergeCell ref="O29:P29"/>
    <mergeCell ref="O26:P26"/>
    <mergeCell ref="J12:L12"/>
    <mergeCell ref="O28:P28"/>
    <mergeCell ref="K30:L30"/>
    <mergeCell ref="K25:L25"/>
    <mergeCell ref="K31:L31"/>
    <mergeCell ref="F8:H8"/>
    <mergeCell ref="B13:D13"/>
    <mergeCell ref="N8:P8"/>
    <mergeCell ref="B15:H15"/>
    <mergeCell ref="N9:P9"/>
    <mergeCell ref="B11:D11"/>
    <mergeCell ref="B8:D8"/>
    <mergeCell ref="F13:H13"/>
    <mergeCell ref="N13:P13"/>
    <mergeCell ref="B9:D9"/>
    <mergeCell ref="F9:H9"/>
  </mergeCells>
  <hyperlinks>
    <hyperlink ref="B2" location="'📊 Dashboard'!A1" display="📊 Executive Dashboard" xr:uid="{00000000-0004-0000-0000-000000000000}"/>
    <hyperlink ref="E2" location="'🔐 Master Tracker'!A1" display="🔐 Master Key Tracker" xr:uid="{00000000-0004-0000-0000-000001000000}"/>
    <hyperlink ref="H2" location="'⚠️ Action &amp; Audit List'!A1" display="⚠️ Action &amp; Audit List" xr:uid="{00000000-0004-0000-0000-000002000000}"/>
    <hyperlink ref="L2" location="'📈 Zone Breakdown'!A1" display="📈 Zone Breakdown" xr:uid="{00000000-0004-0000-0000-000003000000}"/>
    <hyperlink ref="O2" location="'⚙️ Master Lists'!A1" display="⚙️ Master Lists &amp; Config" xr:uid="{00000000-0004-0000-0000-000004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080"/>
  </sheetPr>
  <dimension ref="A1:P267"/>
  <sheetViews>
    <sheetView tabSelected="1" topLeftCell="A7" workbookViewId="0">
      <pane ySplit="3" topLeftCell="A156" activePane="bottomLeft" state="frozen"/>
      <selection pane="bottomLeft" activeCell="J174" sqref="J174"/>
    </sheetView>
  </sheetViews>
  <sheetFormatPr defaultRowHeight="14.5" x14ac:dyDescent="0.35"/>
  <cols>
    <col min="1" max="1" width="8.7265625" customWidth="1"/>
    <col min="2" max="2" width="18.7265625" customWidth="1"/>
    <col min="3" max="3" width="12.54296875" customWidth="1"/>
    <col min="4" max="4" width="14.7265625" customWidth="1"/>
    <col min="5" max="5" width="31.26953125" customWidth="1"/>
    <col min="6" max="6" width="12.7265625" customWidth="1"/>
    <col min="7" max="7" width="14.7265625" customWidth="1"/>
    <col min="8" max="8" width="13.7265625" customWidth="1"/>
    <col min="9" max="9" width="14.7265625" customWidth="1"/>
    <col min="10" max="10" width="20.7265625" customWidth="1"/>
    <col min="11" max="11" width="26.7265625" customWidth="1"/>
    <col min="12" max="12" width="20.7265625" customWidth="1"/>
    <col min="13" max="13" width="24" style="30" customWidth="1"/>
    <col min="14" max="14" width="16.7265625" bestFit="1" customWidth="1"/>
    <col min="15" max="15" width="38.81640625" bestFit="1" customWidth="1"/>
    <col min="16" max="16" width="25.81640625" customWidth="1"/>
  </cols>
  <sheetData>
    <row r="1" spans="1:16" x14ac:dyDescent="0.35">
      <c r="A1" s="15" t="s">
        <v>118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29"/>
      <c r="N1" s="15"/>
      <c r="O1" s="15"/>
      <c r="P1" s="15"/>
    </row>
    <row r="2" spans="1:16" ht="17.149999999999999" customHeight="1" x14ac:dyDescent="0.35">
      <c r="A2" s="15"/>
      <c r="B2" s="2" t="s">
        <v>0</v>
      </c>
      <c r="C2" s="15"/>
      <c r="D2" s="1" t="s">
        <v>1</v>
      </c>
      <c r="E2" s="15"/>
      <c r="F2" s="2" t="s">
        <v>2</v>
      </c>
      <c r="G2" s="15"/>
      <c r="H2" s="15"/>
      <c r="I2" s="2" t="s">
        <v>3</v>
      </c>
      <c r="J2" s="15"/>
      <c r="K2" s="15"/>
      <c r="L2" s="2" t="s">
        <v>4</v>
      </c>
      <c r="M2" s="29"/>
      <c r="N2" s="15"/>
      <c r="O2" s="15"/>
      <c r="P2" s="15"/>
    </row>
    <row r="4" spans="1:16" ht="27" customHeight="1" thickBot="1" x14ac:dyDescent="0.4">
      <c r="A4" s="31" t="s">
        <v>119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</row>
    <row r="5" spans="1:16" ht="34" customHeight="1" thickBot="1" x14ac:dyDescent="0.4">
      <c r="A5" s="32" t="s">
        <v>120</v>
      </c>
      <c r="B5" s="32"/>
      <c r="C5" s="39"/>
      <c r="D5" s="39"/>
      <c r="E5" s="39"/>
      <c r="F5" s="38" t="str">
        <f>IF(C5="", "💡 Type any Key #, Location, Custodian, or Zone to search &amp; highlight", IF(COUNTIF(#REF!, "MATCH")=0, "⚠️ No matching records found for """ &amp; C5 &amp; """", "✨ Found " &amp; COUNTIF(#REF!, "MATCH") &amp; " matching asset(s) — highlighted in gold below"))</f>
        <v>💡 Type any Key #, Location, Custodian, or Zone to search &amp; highlight</v>
      </c>
      <c r="G5" s="38"/>
      <c r="H5" s="38"/>
      <c r="I5" s="38"/>
      <c r="J5" s="38"/>
      <c r="K5" s="38"/>
      <c r="L5" s="34" t="str">
        <f>IF(C5&lt;&gt;"","🔍 Filter Col Q: MATCH","📋 All 239 Visible")</f>
        <v>📋 All 239 Visible</v>
      </c>
      <c r="M5" s="34"/>
      <c r="N5" s="37" t="s">
        <v>121</v>
      </c>
      <c r="O5" s="37"/>
      <c r="P5" s="37"/>
    </row>
    <row r="6" spans="1:16" ht="25" customHeight="1" x14ac:dyDescent="0.35">
      <c r="A6" s="35" t="s">
        <v>122</v>
      </c>
      <c r="B6" s="35"/>
      <c r="C6" s="33" t="str">
        <f>IF(C5="","💡 Enter Key #, Location, Custodian, or Keyword above to find details", IFERROR("📍 Location: " &amp; INDEX(Table_Tracker[Location], IFERROR(MATCH(VALUE(C5), Table_Tracker[Lock No.], 0), MATCH(C5, Table_Tracker[Lock No.], 0))) &amp; " (" &amp; INDEX(Table_Tracker[Lock Type], IFERROR(MATCH(VALUE(C5), Table_Tracker[Lock No.], 0), MATCH(C5, Table_Tracker[Lock No.], 0))) &amp; " - " &amp; INDEX(Table_Tracker[Zone], IFERROR(MATCH(VALUE(C5), Table_Tracker[Lock No.], 0), MATCH(C5, Table_Tracker[Lock No.], 0))) &amp; ")", "🔍 Universal Search: Found " &amp; COUNTIF(#REF!, "MATCH") &amp; " matching records in table below"))</f>
        <v>💡 Enter Key #, Location, Custodian, or Keyword above to find details</v>
      </c>
      <c r="D6" s="33"/>
      <c r="E6" s="33"/>
      <c r="F6" s="33"/>
      <c r="G6" s="36" t="str">
        <f>IF(C5="","", IFERROR("👤 Custodian: " &amp; INDEX(Table_Tracker[Key Issued To], IFERROR(MATCH(VALUE(C5), Table_Tracker[Lock No.], 0), MATCH(C5, Table_Tracker[Lock No.], 0))) &amp; " | Office: " &amp; INDEX(Table_Tracker[Custodian Location], IFERROR(MATCH(VALUE(C5), Table_Tracker[Lock No.], 0), MATCH(C5, Table_Tracker[Lock No.], 0))), "💡 Tip: Filter Col Q (Search Match) to isolate matches"))</f>
        <v/>
      </c>
      <c r="H6" s="36"/>
      <c r="I6" s="36"/>
      <c r="J6" s="36"/>
      <c r="K6" s="36" t="str">
        <f>IF(C5="","", IFERROR("📦 BMS Spare Box: " &amp; INDEX(Table_Tracker[Spare Key Location (Box Name)], IFERROR(MATCH(VALUE(C5), Table_Tracker[Lock No.], 0), MATCH(C5, Table_Tracker[Lock No.], 0))) &amp; " | " &amp; INDEX(Table_Tracker[Lock Status], IFERROR(MATCH(VALUE(C5), Table_Tracker[Lock No.], 0), MATCH(C5, Table_Tracker[Lock No.], 0))), "💡 Shortcut: Press Alt+A+C to reset filters"))</f>
        <v/>
      </c>
      <c r="L6" s="36"/>
      <c r="M6" s="36"/>
      <c r="N6" s="33" t="str">
        <f>IF(C5="","", IFERROR("🔑 " &amp; INDEX(Table_Tracker[Key Status], IFERROR(MATCH(VALUE(C5), Table_Tracker[Lock No.], 0), MATCH(C5, Table_Tracker[Lock No.], 0))) &amp; " (" &amp; INDEX(Table_Tracker[Action Flag], IFERROR(MATCH(VALUE(C5), Table_Tracker[Lock No.], 0), MATCH(C5, Table_Tracker[Lock No.], 0))) &amp; ")", "💡 Clear C5 to remove highlights"))</f>
        <v/>
      </c>
      <c r="O6" s="33"/>
      <c r="P6" s="33"/>
    </row>
    <row r="7" spans="1:16" s="11" customFormat="1" ht="29.15" customHeight="1" x14ac:dyDescent="0.35">
      <c r="A7" s="21" t="s">
        <v>123</v>
      </c>
      <c r="B7" s="21" t="s">
        <v>25</v>
      </c>
      <c r="C7" s="21" t="s">
        <v>84</v>
      </c>
      <c r="D7" s="21" t="s">
        <v>85</v>
      </c>
      <c r="E7" s="21" t="s">
        <v>124</v>
      </c>
      <c r="F7" s="21" t="s">
        <v>125</v>
      </c>
      <c r="G7" s="21" t="s">
        <v>126</v>
      </c>
      <c r="H7" s="21" t="s">
        <v>127</v>
      </c>
      <c r="I7" s="21" t="s">
        <v>38</v>
      </c>
      <c r="J7" s="21" t="s">
        <v>128</v>
      </c>
      <c r="K7" s="21" t="s">
        <v>129</v>
      </c>
      <c r="L7" s="21" t="s">
        <v>130</v>
      </c>
      <c r="M7" s="22" t="s">
        <v>131</v>
      </c>
      <c r="N7" s="13" t="s">
        <v>132</v>
      </c>
      <c r="O7" s="13" t="s">
        <v>133</v>
      </c>
      <c r="P7" s="13" t="s">
        <v>134</v>
      </c>
    </row>
    <row r="8" spans="1:16" x14ac:dyDescent="0.35">
      <c r="A8" s="23">
        <v>1</v>
      </c>
      <c r="B8" s="23" t="s">
        <v>39</v>
      </c>
      <c r="C8" s="24">
        <v>7513</v>
      </c>
      <c r="D8" s="23" t="s">
        <v>27</v>
      </c>
      <c r="E8" s="23" t="s">
        <v>135</v>
      </c>
      <c r="F8" s="23">
        <v>2</v>
      </c>
      <c r="G8" s="23">
        <v>1</v>
      </c>
      <c r="H8" s="23">
        <v>1</v>
      </c>
      <c r="I8" s="23">
        <f t="shared" ref="I8:I71" si="0">MAX(0, F8-G8-H8)</f>
        <v>0</v>
      </c>
      <c r="J8" s="23" t="str">
        <f t="shared" ref="J8:J71" si="1">IF(I8&gt;0, "⚠️ Missing Key", IF(H8&gt;0, "🔑 Issued to Staff", IF(G8&gt;0, "🔒 In Custody", IF(F8=0, "⚪ Unregistered", "🔍 Under Audit"))))</f>
        <v>🔑 Issued to Staff</v>
      </c>
      <c r="K8" s="23" t="s">
        <v>136</v>
      </c>
      <c r="L8" s="23" t="s">
        <v>137</v>
      </c>
      <c r="M8" s="28" t="s">
        <v>138</v>
      </c>
      <c r="N8" s="14" t="s">
        <v>34</v>
      </c>
      <c r="O8" s="14" t="s">
        <v>139</v>
      </c>
      <c r="P8" s="14" t="str">
        <f t="shared" ref="P8:P71" si="2">IF(I8&gt;0, "🚨 REPLACE LOCK / KEY LOST", IF(ISNUMBER(SEARCH("Audit", O8)), "⚠️ AUDIT WITH EMPLOYEE", IF(ISNUMBER(SEARCH("Damaged", O8)), "⚠️ KEY DAMAGED / REPLACE", IF(ISNUMBER(SEARCH("Verification", O8)), "🔍 KEY VERIFICATION", IF(N8="Vacant", "🟢 AVAILABLE", "✅ OK")))))</f>
        <v>✅ OK</v>
      </c>
    </row>
    <row r="9" spans="1:16" x14ac:dyDescent="0.35">
      <c r="A9" s="23">
        <v>2</v>
      </c>
      <c r="B9" s="23" t="s">
        <v>39</v>
      </c>
      <c r="C9" s="24">
        <v>7677</v>
      </c>
      <c r="D9" s="23" t="s">
        <v>27</v>
      </c>
      <c r="E9" s="23" t="s">
        <v>135</v>
      </c>
      <c r="F9" s="23">
        <v>2</v>
      </c>
      <c r="G9" s="23">
        <v>1</v>
      </c>
      <c r="H9" s="23">
        <v>1</v>
      </c>
      <c r="I9" s="23">
        <f t="shared" si="0"/>
        <v>0</v>
      </c>
      <c r="J9" s="23" t="str">
        <f t="shared" si="1"/>
        <v>🔑 Issued to Staff</v>
      </c>
      <c r="K9" s="23" t="s">
        <v>136</v>
      </c>
      <c r="L9" s="23" t="s">
        <v>137</v>
      </c>
      <c r="M9" s="28" t="s">
        <v>140</v>
      </c>
      <c r="N9" s="14" t="s">
        <v>34</v>
      </c>
      <c r="O9" s="14" t="s">
        <v>139</v>
      </c>
      <c r="P9" s="14" t="str">
        <f t="shared" si="2"/>
        <v>✅ OK</v>
      </c>
    </row>
    <row r="10" spans="1:16" x14ac:dyDescent="0.35">
      <c r="A10" s="23">
        <v>3</v>
      </c>
      <c r="B10" s="23" t="s">
        <v>39</v>
      </c>
      <c r="C10" s="24">
        <v>7589</v>
      </c>
      <c r="D10" s="23" t="s">
        <v>27</v>
      </c>
      <c r="E10" s="23" t="s">
        <v>135</v>
      </c>
      <c r="F10" s="23">
        <v>2</v>
      </c>
      <c r="G10" s="23">
        <v>1</v>
      </c>
      <c r="H10" s="23">
        <v>1</v>
      </c>
      <c r="I10" s="23">
        <f t="shared" si="0"/>
        <v>0</v>
      </c>
      <c r="J10" s="23" t="str">
        <f t="shared" si="1"/>
        <v>🔑 Issued to Staff</v>
      </c>
      <c r="K10" s="23" t="s">
        <v>141</v>
      </c>
      <c r="L10" s="23" t="s">
        <v>137</v>
      </c>
      <c r="M10" s="28" t="s">
        <v>142</v>
      </c>
      <c r="N10" s="14" t="s">
        <v>34</v>
      </c>
      <c r="O10" s="14" t="s">
        <v>143</v>
      </c>
      <c r="P10" s="14" t="str">
        <f t="shared" si="2"/>
        <v>✅ OK</v>
      </c>
    </row>
    <row r="11" spans="1:16" x14ac:dyDescent="0.35">
      <c r="A11" s="23">
        <v>4</v>
      </c>
      <c r="B11" s="23" t="s">
        <v>39</v>
      </c>
      <c r="C11" s="24">
        <v>7482</v>
      </c>
      <c r="D11" s="23" t="s">
        <v>27</v>
      </c>
      <c r="E11" s="23" t="s">
        <v>135</v>
      </c>
      <c r="F11" s="23">
        <v>2</v>
      </c>
      <c r="G11" s="23">
        <v>1</v>
      </c>
      <c r="H11" s="23">
        <v>1</v>
      </c>
      <c r="I11" s="23">
        <f t="shared" si="0"/>
        <v>0</v>
      </c>
      <c r="J11" s="23" t="str">
        <f t="shared" si="1"/>
        <v>🔑 Issued to Staff</v>
      </c>
      <c r="K11" s="23" t="s">
        <v>141</v>
      </c>
      <c r="L11" s="23" t="s">
        <v>137</v>
      </c>
      <c r="M11" s="28" t="s">
        <v>142</v>
      </c>
      <c r="N11" s="14" t="s">
        <v>34</v>
      </c>
      <c r="O11" s="14" t="s">
        <v>144</v>
      </c>
      <c r="P11" s="14" t="str">
        <f t="shared" si="2"/>
        <v>✅ OK</v>
      </c>
    </row>
    <row r="12" spans="1:16" x14ac:dyDescent="0.35">
      <c r="A12" s="23">
        <v>5</v>
      </c>
      <c r="B12" s="23" t="s">
        <v>39</v>
      </c>
      <c r="C12" s="24">
        <v>7512</v>
      </c>
      <c r="D12" s="23" t="s">
        <v>27</v>
      </c>
      <c r="E12" s="23" t="s">
        <v>135</v>
      </c>
      <c r="F12" s="23">
        <v>2</v>
      </c>
      <c r="G12" s="23">
        <v>1</v>
      </c>
      <c r="H12" s="23">
        <v>1</v>
      </c>
      <c r="I12" s="23">
        <f t="shared" si="0"/>
        <v>0</v>
      </c>
      <c r="J12" s="23" t="str">
        <f t="shared" si="1"/>
        <v>🔑 Issued to Staff</v>
      </c>
      <c r="K12" s="23" t="s">
        <v>145</v>
      </c>
      <c r="L12" s="23" t="s">
        <v>137</v>
      </c>
      <c r="M12" s="28" t="s">
        <v>138</v>
      </c>
      <c r="N12" s="14" t="s">
        <v>34</v>
      </c>
      <c r="O12" s="14" t="s">
        <v>146</v>
      </c>
      <c r="P12" s="14" t="str">
        <f t="shared" si="2"/>
        <v>✅ OK</v>
      </c>
    </row>
    <row r="13" spans="1:16" x14ac:dyDescent="0.35">
      <c r="A13" s="23">
        <v>6</v>
      </c>
      <c r="B13" s="23" t="s">
        <v>39</v>
      </c>
      <c r="C13" s="24">
        <v>7509</v>
      </c>
      <c r="D13" s="23" t="s">
        <v>27</v>
      </c>
      <c r="E13" s="23" t="s">
        <v>135</v>
      </c>
      <c r="F13" s="23">
        <v>2</v>
      </c>
      <c r="G13" s="23">
        <v>1</v>
      </c>
      <c r="H13" s="23">
        <v>1</v>
      </c>
      <c r="I13" s="23">
        <f t="shared" si="0"/>
        <v>0</v>
      </c>
      <c r="J13" s="23" t="str">
        <f t="shared" si="1"/>
        <v>🔑 Issued to Staff</v>
      </c>
      <c r="K13" s="23" t="s">
        <v>145</v>
      </c>
      <c r="L13" s="23" t="s">
        <v>137</v>
      </c>
      <c r="M13" s="28" t="s">
        <v>140</v>
      </c>
      <c r="N13" s="14" t="s">
        <v>34</v>
      </c>
      <c r="O13" s="14" t="s">
        <v>146</v>
      </c>
      <c r="P13" s="14" t="str">
        <f t="shared" si="2"/>
        <v>✅ OK</v>
      </c>
    </row>
    <row r="14" spans="1:16" x14ac:dyDescent="0.35">
      <c r="A14" s="23">
        <v>7</v>
      </c>
      <c r="B14" s="23" t="s">
        <v>39</v>
      </c>
      <c r="C14" s="24">
        <v>7463</v>
      </c>
      <c r="D14" s="23" t="s">
        <v>27</v>
      </c>
      <c r="E14" s="23" t="s">
        <v>147</v>
      </c>
      <c r="F14" s="23">
        <v>2</v>
      </c>
      <c r="G14" s="23">
        <v>2</v>
      </c>
      <c r="H14" s="23">
        <v>0</v>
      </c>
      <c r="I14" s="23">
        <f t="shared" si="0"/>
        <v>0</v>
      </c>
      <c r="J14" s="23" t="str">
        <f t="shared" si="1"/>
        <v>🔒 In Custody</v>
      </c>
      <c r="K14" s="23" t="s">
        <v>60</v>
      </c>
      <c r="L14" s="23" t="s">
        <v>137</v>
      </c>
      <c r="M14" s="28" t="s">
        <v>138</v>
      </c>
      <c r="N14" s="14" t="s">
        <v>34</v>
      </c>
      <c r="O14" s="14" t="s">
        <v>148</v>
      </c>
      <c r="P14" s="14" t="str">
        <f t="shared" si="2"/>
        <v>✅ OK</v>
      </c>
    </row>
    <row r="15" spans="1:16" x14ac:dyDescent="0.35">
      <c r="A15" s="23">
        <v>8</v>
      </c>
      <c r="B15" s="23" t="s">
        <v>39</v>
      </c>
      <c r="C15" s="24">
        <v>7504</v>
      </c>
      <c r="D15" s="23" t="s">
        <v>27</v>
      </c>
      <c r="E15" s="23" t="s">
        <v>147</v>
      </c>
      <c r="F15" s="23">
        <v>2</v>
      </c>
      <c r="G15" s="23">
        <v>2</v>
      </c>
      <c r="H15" s="23">
        <v>0</v>
      </c>
      <c r="I15" s="23">
        <f t="shared" si="0"/>
        <v>0</v>
      </c>
      <c r="J15" s="23" t="str">
        <f t="shared" si="1"/>
        <v>🔒 In Custody</v>
      </c>
      <c r="K15" s="23" t="s">
        <v>60</v>
      </c>
      <c r="L15" s="23" t="s">
        <v>137</v>
      </c>
      <c r="M15" s="28" t="s">
        <v>142</v>
      </c>
      <c r="N15" s="14" t="s">
        <v>34</v>
      </c>
      <c r="O15" s="14" t="s">
        <v>148</v>
      </c>
      <c r="P15" s="14" t="str">
        <f t="shared" si="2"/>
        <v>✅ OK</v>
      </c>
    </row>
    <row r="16" spans="1:16" x14ac:dyDescent="0.35">
      <c r="A16" s="23">
        <v>9</v>
      </c>
      <c r="B16" s="23" t="s">
        <v>39</v>
      </c>
      <c r="C16" s="24">
        <v>7682</v>
      </c>
      <c r="D16" s="23" t="s">
        <v>27</v>
      </c>
      <c r="E16" s="23" t="s">
        <v>147</v>
      </c>
      <c r="F16" s="23">
        <v>2</v>
      </c>
      <c r="G16" s="23">
        <v>2</v>
      </c>
      <c r="H16" s="23">
        <v>0</v>
      </c>
      <c r="I16" s="23">
        <f t="shared" si="0"/>
        <v>0</v>
      </c>
      <c r="J16" s="23" t="str">
        <f t="shared" si="1"/>
        <v>🔒 In Custody</v>
      </c>
      <c r="K16" s="23" t="s">
        <v>60</v>
      </c>
      <c r="L16" s="23" t="s">
        <v>137</v>
      </c>
      <c r="M16" s="28" t="s">
        <v>140</v>
      </c>
      <c r="N16" s="14" t="s">
        <v>34</v>
      </c>
      <c r="O16" s="14" t="s">
        <v>149</v>
      </c>
      <c r="P16" s="14" t="str">
        <f t="shared" si="2"/>
        <v>✅ OK</v>
      </c>
    </row>
    <row r="17" spans="1:16" x14ac:dyDescent="0.35">
      <c r="A17" s="23">
        <v>10</v>
      </c>
      <c r="B17" s="23" t="s">
        <v>39</v>
      </c>
      <c r="C17" s="24">
        <v>7460</v>
      </c>
      <c r="D17" s="23" t="s">
        <v>27</v>
      </c>
      <c r="E17" s="23" t="s">
        <v>147</v>
      </c>
      <c r="F17" s="23">
        <v>2</v>
      </c>
      <c r="G17" s="23">
        <v>2</v>
      </c>
      <c r="H17" s="23">
        <v>0</v>
      </c>
      <c r="I17" s="23">
        <f t="shared" si="0"/>
        <v>0</v>
      </c>
      <c r="J17" s="23" t="str">
        <f t="shared" si="1"/>
        <v>🔒 In Custody</v>
      </c>
      <c r="K17" s="23" t="s">
        <v>60</v>
      </c>
      <c r="L17" s="23" t="s">
        <v>137</v>
      </c>
      <c r="M17" s="28" t="s">
        <v>140</v>
      </c>
      <c r="N17" s="14" t="s">
        <v>34</v>
      </c>
      <c r="O17" s="14" t="s">
        <v>139</v>
      </c>
      <c r="P17" s="14" t="str">
        <f t="shared" si="2"/>
        <v>✅ OK</v>
      </c>
    </row>
    <row r="18" spans="1:16" x14ac:dyDescent="0.35">
      <c r="A18" s="23">
        <v>11</v>
      </c>
      <c r="B18" s="23" t="s">
        <v>39</v>
      </c>
      <c r="C18" s="24">
        <v>7479</v>
      </c>
      <c r="D18" s="23" t="s">
        <v>27</v>
      </c>
      <c r="E18" s="23" t="s">
        <v>147</v>
      </c>
      <c r="F18" s="23">
        <v>2</v>
      </c>
      <c r="G18" s="23">
        <v>1</v>
      </c>
      <c r="H18" s="23">
        <v>1</v>
      </c>
      <c r="I18" s="23">
        <f t="shared" si="0"/>
        <v>0</v>
      </c>
      <c r="J18" s="23" t="str">
        <f t="shared" si="1"/>
        <v>🔑 Issued to Staff</v>
      </c>
      <c r="K18" s="23" t="s">
        <v>150</v>
      </c>
      <c r="L18" s="23" t="s">
        <v>137</v>
      </c>
      <c r="M18" s="28" t="s">
        <v>151</v>
      </c>
      <c r="N18" s="14" t="s">
        <v>34</v>
      </c>
      <c r="O18" s="14" t="s">
        <v>152</v>
      </c>
      <c r="P18" s="14" t="str">
        <f t="shared" si="2"/>
        <v>✅ OK</v>
      </c>
    </row>
    <row r="19" spans="1:16" x14ac:dyDescent="0.35">
      <c r="A19" s="23">
        <v>12</v>
      </c>
      <c r="B19" s="23" t="s">
        <v>39</v>
      </c>
      <c r="C19" s="24">
        <v>8381</v>
      </c>
      <c r="D19" s="23" t="s">
        <v>27</v>
      </c>
      <c r="E19" s="23" t="s">
        <v>147</v>
      </c>
      <c r="F19" s="23">
        <v>2</v>
      </c>
      <c r="G19" s="23">
        <v>1</v>
      </c>
      <c r="H19" s="23">
        <v>1</v>
      </c>
      <c r="I19" s="23">
        <f t="shared" si="0"/>
        <v>0</v>
      </c>
      <c r="J19" s="23" t="str">
        <f t="shared" si="1"/>
        <v>🔑 Issued to Staff</v>
      </c>
      <c r="K19" s="23" t="s">
        <v>150</v>
      </c>
      <c r="L19" s="23" t="s">
        <v>137</v>
      </c>
      <c r="M19" s="28" t="s">
        <v>140</v>
      </c>
      <c r="N19" s="14" t="s">
        <v>34</v>
      </c>
      <c r="O19" s="14" t="s">
        <v>153</v>
      </c>
      <c r="P19" s="14" t="str">
        <f t="shared" si="2"/>
        <v>✅ OK</v>
      </c>
    </row>
    <row r="20" spans="1:16" x14ac:dyDescent="0.35">
      <c r="A20" s="23">
        <v>13</v>
      </c>
      <c r="B20" s="23" t="s">
        <v>39</v>
      </c>
      <c r="C20" s="24">
        <v>1824</v>
      </c>
      <c r="D20" s="23" t="s">
        <v>27</v>
      </c>
      <c r="E20" s="23" t="s">
        <v>154</v>
      </c>
      <c r="F20" s="23">
        <v>2</v>
      </c>
      <c r="G20" s="23">
        <v>2</v>
      </c>
      <c r="H20" s="23">
        <v>0</v>
      </c>
      <c r="I20" s="23">
        <f t="shared" si="0"/>
        <v>0</v>
      </c>
      <c r="J20" s="23" t="str">
        <f t="shared" si="1"/>
        <v>🔒 In Custody</v>
      </c>
      <c r="K20" s="23" t="s">
        <v>60</v>
      </c>
      <c r="L20" s="23" t="s">
        <v>137</v>
      </c>
      <c r="M20" s="28" t="s">
        <v>140</v>
      </c>
      <c r="N20" s="14" t="s">
        <v>34</v>
      </c>
      <c r="O20" s="14" t="s">
        <v>155</v>
      </c>
      <c r="P20" s="14" t="str">
        <f t="shared" si="2"/>
        <v>✅ OK</v>
      </c>
    </row>
    <row r="21" spans="1:16" x14ac:dyDescent="0.35">
      <c r="A21" s="23">
        <v>14</v>
      </c>
      <c r="B21" s="23" t="s">
        <v>39</v>
      </c>
      <c r="C21" s="24">
        <v>1831</v>
      </c>
      <c r="D21" s="23" t="s">
        <v>27</v>
      </c>
      <c r="E21" s="23" t="s">
        <v>154</v>
      </c>
      <c r="F21" s="23">
        <v>2</v>
      </c>
      <c r="G21" s="23">
        <v>2</v>
      </c>
      <c r="H21" s="23">
        <v>0</v>
      </c>
      <c r="I21" s="23">
        <f t="shared" si="0"/>
        <v>0</v>
      </c>
      <c r="J21" s="23" t="str">
        <f t="shared" si="1"/>
        <v>🔒 In Custody</v>
      </c>
      <c r="K21" s="23" t="s">
        <v>60</v>
      </c>
      <c r="L21" s="23" t="s">
        <v>137</v>
      </c>
      <c r="M21" s="28" t="s">
        <v>156</v>
      </c>
      <c r="N21" s="14" t="s">
        <v>34</v>
      </c>
      <c r="O21" s="14" t="s">
        <v>155</v>
      </c>
      <c r="P21" s="14" t="str">
        <f t="shared" si="2"/>
        <v>✅ OK</v>
      </c>
    </row>
    <row r="22" spans="1:16" x14ac:dyDescent="0.35">
      <c r="A22" s="23">
        <v>15</v>
      </c>
      <c r="B22" s="23" t="s">
        <v>39</v>
      </c>
      <c r="C22" s="24">
        <v>1821</v>
      </c>
      <c r="D22" s="23" t="s">
        <v>27</v>
      </c>
      <c r="E22" s="23" t="s">
        <v>154</v>
      </c>
      <c r="F22" s="23">
        <v>2</v>
      </c>
      <c r="G22" s="23">
        <v>1</v>
      </c>
      <c r="H22" s="23">
        <v>1</v>
      </c>
      <c r="I22" s="23">
        <f t="shared" si="0"/>
        <v>0</v>
      </c>
      <c r="J22" s="23" t="str">
        <f t="shared" si="1"/>
        <v>🔑 Issued to Staff</v>
      </c>
      <c r="K22" s="23" t="s">
        <v>60</v>
      </c>
      <c r="L22" s="23" t="s">
        <v>137</v>
      </c>
      <c r="M22" s="28" t="s">
        <v>138</v>
      </c>
      <c r="N22" s="14" t="s">
        <v>34</v>
      </c>
      <c r="O22" s="14" t="s">
        <v>155</v>
      </c>
      <c r="P22" s="14" t="str">
        <f t="shared" si="2"/>
        <v>✅ OK</v>
      </c>
    </row>
    <row r="23" spans="1:16" x14ac:dyDescent="0.35">
      <c r="A23" s="23">
        <v>16</v>
      </c>
      <c r="B23" s="23" t="s">
        <v>39</v>
      </c>
      <c r="C23" s="24">
        <v>1737</v>
      </c>
      <c r="D23" s="23" t="s">
        <v>27</v>
      </c>
      <c r="E23" s="23" t="s">
        <v>154</v>
      </c>
      <c r="F23" s="23">
        <v>2</v>
      </c>
      <c r="G23" s="23">
        <v>2</v>
      </c>
      <c r="H23" s="23">
        <v>0</v>
      </c>
      <c r="I23" s="23">
        <f t="shared" si="0"/>
        <v>0</v>
      </c>
      <c r="J23" s="23" t="str">
        <f t="shared" si="1"/>
        <v>🔒 In Custody</v>
      </c>
      <c r="K23" s="23" t="s">
        <v>60</v>
      </c>
      <c r="L23" s="23" t="s">
        <v>137</v>
      </c>
      <c r="M23" s="28" t="s">
        <v>138</v>
      </c>
      <c r="N23" s="14" t="s">
        <v>34</v>
      </c>
      <c r="O23" s="14" t="s">
        <v>155</v>
      </c>
      <c r="P23" s="14" t="str">
        <f t="shared" si="2"/>
        <v>✅ OK</v>
      </c>
    </row>
    <row r="24" spans="1:16" x14ac:dyDescent="0.35">
      <c r="A24" s="23">
        <v>17</v>
      </c>
      <c r="B24" s="23" t="s">
        <v>39</v>
      </c>
      <c r="C24" s="24">
        <v>1842</v>
      </c>
      <c r="D24" s="23" t="s">
        <v>27</v>
      </c>
      <c r="E24" s="23" t="s">
        <v>157</v>
      </c>
      <c r="F24" s="23">
        <v>2</v>
      </c>
      <c r="G24" s="23">
        <v>2</v>
      </c>
      <c r="H24" s="23">
        <v>0</v>
      </c>
      <c r="I24" s="23">
        <f t="shared" si="0"/>
        <v>0</v>
      </c>
      <c r="J24" s="23" t="str">
        <f t="shared" si="1"/>
        <v>🔒 In Custody</v>
      </c>
      <c r="K24" s="23" t="s">
        <v>60</v>
      </c>
      <c r="L24" s="23" t="s">
        <v>137</v>
      </c>
      <c r="M24" s="28" t="s">
        <v>138</v>
      </c>
      <c r="N24" s="14" t="s">
        <v>34</v>
      </c>
      <c r="O24" s="14" t="s">
        <v>155</v>
      </c>
      <c r="P24" s="14" t="str">
        <f t="shared" si="2"/>
        <v>✅ OK</v>
      </c>
    </row>
    <row r="25" spans="1:16" x14ac:dyDescent="0.35">
      <c r="A25" s="23">
        <v>18</v>
      </c>
      <c r="B25" s="23" t="s">
        <v>39</v>
      </c>
      <c r="C25" s="24">
        <v>1742</v>
      </c>
      <c r="D25" s="23" t="s">
        <v>27</v>
      </c>
      <c r="E25" s="23" t="s">
        <v>157</v>
      </c>
      <c r="F25" s="23">
        <v>2</v>
      </c>
      <c r="G25" s="23">
        <v>2</v>
      </c>
      <c r="H25" s="23">
        <v>0</v>
      </c>
      <c r="I25" s="23">
        <f t="shared" si="0"/>
        <v>0</v>
      </c>
      <c r="J25" s="23" t="str">
        <f t="shared" si="1"/>
        <v>🔒 In Custody</v>
      </c>
      <c r="K25" s="23" t="s">
        <v>60</v>
      </c>
      <c r="L25" s="23" t="s">
        <v>137</v>
      </c>
      <c r="M25" s="28" t="s">
        <v>138</v>
      </c>
      <c r="N25" s="14" t="s">
        <v>34</v>
      </c>
      <c r="O25" s="14" t="s">
        <v>155</v>
      </c>
      <c r="P25" s="14" t="str">
        <f t="shared" si="2"/>
        <v>✅ OK</v>
      </c>
    </row>
    <row r="26" spans="1:16" x14ac:dyDescent="0.35">
      <c r="A26" s="23">
        <v>19</v>
      </c>
      <c r="B26" s="23" t="s">
        <v>39</v>
      </c>
      <c r="C26" s="24">
        <v>1837</v>
      </c>
      <c r="D26" s="23" t="s">
        <v>27</v>
      </c>
      <c r="E26" s="23" t="s">
        <v>158</v>
      </c>
      <c r="F26" s="23">
        <v>2</v>
      </c>
      <c r="G26" s="23">
        <v>1</v>
      </c>
      <c r="H26" s="23">
        <v>1</v>
      </c>
      <c r="I26" s="23">
        <f t="shared" si="0"/>
        <v>0</v>
      </c>
      <c r="J26" s="23" t="str">
        <f t="shared" si="1"/>
        <v>🔑 Issued to Staff</v>
      </c>
      <c r="K26" s="23" t="s">
        <v>60</v>
      </c>
      <c r="L26" s="23" t="s">
        <v>137</v>
      </c>
      <c r="M26" s="28" t="s">
        <v>138</v>
      </c>
      <c r="N26" s="14" t="s">
        <v>34</v>
      </c>
      <c r="O26" s="14" t="s">
        <v>155</v>
      </c>
      <c r="P26" s="14" t="str">
        <f t="shared" si="2"/>
        <v>✅ OK</v>
      </c>
    </row>
    <row r="27" spans="1:16" x14ac:dyDescent="0.35">
      <c r="A27" s="23">
        <v>20</v>
      </c>
      <c r="B27" s="23" t="s">
        <v>39</v>
      </c>
      <c r="C27" s="24">
        <v>1848</v>
      </c>
      <c r="D27" s="23" t="s">
        <v>27</v>
      </c>
      <c r="E27" s="23" t="s">
        <v>158</v>
      </c>
      <c r="F27" s="23">
        <v>2</v>
      </c>
      <c r="G27" s="23">
        <v>1</v>
      </c>
      <c r="H27" s="23">
        <v>1</v>
      </c>
      <c r="I27" s="23">
        <f t="shared" si="0"/>
        <v>0</v>
      </c>
      <c r="J27" s="23" t="str">
        <f t="shared" si="1"/>
        <v>🔑 Issued to Staff</v>
      </c>
      <c r="K27" s="23" t="s">
        <v>60</v>
      </c>
      <c r="L27" s="23" t="s">
        <v>137</v>
      </c>
      <c r="M27" s="28" t="s">
        <v>142</v>
      </c>
      <c r="N27" s="14" t="s">
        <v>34</v>
      </c>
      <c r="O27" s="14" t="s">
        <v>155</v>
      </c>
      <c r="P27" s="14" t="str">
        <f t="shared" si="2"/>
        <v>✅ OK</v>
      </c>
    </row>
    <row r="28" spans="1:16" x14ac:dyDescent="0.35">
      <c r="A28" s="23">
        <v>21</v>
      </c>
      <c r="B28" s="23" t="s">
        <v>39</v>
      </c>
      <c r="C28" s="24">
        <v>1747</v>
      </c>
      <c r="D28" s="23" t="s">
        <v>27</v>
      </c>
      <c r="E28" s="23" t="s">
        <v>158</v>
      </c>
      <c r="F28" s="23">
        <v>2</v>
      </c>
      <c r="G28" s="23">
        <v>1</v>
      </c>
      <c r="H28" s="23">
        <v>1</v>
      </c>
      <c r="I28" s="23">
        <f t="shared" si="0"/>
        <v>0</v>
      </c>
      <c r="J28" s="23" t="str">
        <f t="shared" si="1"/>
        <v>🔑 Issued to Staff</v>
      </c>
      <c r="K28" s="23" t="s">
        <v>60</v>
      </c>
      <c r="L28" s="23" t="s">
        <v>137</v>
      </c>
      <c r="M28" s="28" t="s">
        <v>151</v>
      </c>
      <c r="N28" s="14" t="s">
        <v>34</v>
      </c>
      <c r="O28" s="14" t="s">
        <v>155</v>
      </c>
      <c r="P28" s="14" t="str">
        <f t="shared" si="2"/>
        <v>✅ OK</v>
      </c>
    </row>
    <row r="29" spans="1:16" x14ac:dyDescent="0.35">
      <c r="A29" s="23">
        <v>22</v>
      </c>
      <c r="B29" s="23" t="s">
        <v>39</v>
      </c>
      <c r="C29" s="24">
        <v>1743</v>
      </c>
      <c r="D29" s="23" t="s">
        <v>27</v>
      </c>
      <c r="E29" s="23" t="s">
        <v>158</v>
      </c>
      <c r="F29" s="23">
        <v>2</v>
      </c>
      <c r="G29" s="23">
        <v>1</v>
      </c>
      <c r="H29" s="23">
        <v>1</v>
      </c>
      <c r="I29" s="23">
        <f t="shared" si="0"/>
        <v>0</v>
      </c>
      <c r="J29" s="23" t="str">
        <f t="shared" si="1"/>
        <v>🔑 Issued to Staff</v>
      </c>
      <c r="K29" s="23" t="s">
        <v>60</v>
      </c>
      <c r="L29" s="23" t="s">
        <v>137</v>
      </c>
      <c r="M29" s="28" t="s">
        <v>140</v>
      </c>
      <c r="N29" s="14" t="s">
        <v>34</v>
      </c>
      <c r="O29" s="14" t="s">
        <v>155</v>
      </c>
      <c r="P29" s="14" t="str">
        <f t="shared" si="2"/>
        <v>✅ OK</v>
      </c>
    </row>
    <row r="30" spans="1:16" x14ac:dyDescent="0.35">
      <c r="A30" s="23">
        <v>23</v>
      </c>
      <c r="B30" s="23" t="s">
        <v>39</v>
      </c>
      <c r="C30" s="24">
        <v>699</v>
      </c>
      <c r="D30" s="23" t="s">
        <v>28</v>
      </c>
      <c r="E30" s="23" t="s">
        <v>159</v>
      </c>
      <c r="F30" s="23">
        <v>2</v>
      </c>
      <c r="G30" s="23">
        <v>1</v>
      </c>
      <c r="H30" s="23">
        <v>1</v>
      </c>
      <c r="I30" s="23">
        <f t="shared" si="0"/>
        <v>0</v>
      </c>
      <c r="J30" s="23" t="str">
        <f t="shared" si="1"/>
        <v>🔑 Issued to Staff</v>
      </c>
      <c r="K30" s="23" t="s">
        <v>60</v>
      </c>
      <c r="L30" s="23" t="s">
        <v>137</v>
      </c>
      <c r="M30" s="28" t="s">
        <v>160</v>
      </c>
      <c r="N30" s="14" t="s">
        <v>34</v>
      </c>
      <c r="O30" s="14" t="s">
        <v>161</v>
      </c>
      <c r="P30" s="14" t="str">
        <f t="shared" si="2"/>
        <v>✅ OK</v>
      </c>
    </row>
    <row r="31" spans="1:16" x14ac:dyDescent="0.35">
      <c r="A31" s="23">
        <v>24</v>
      </c>
      <c r="B31" s="23" t="s">
        <v>39</v>
      </c>
      <c r="C31" s="24">
        <v>120</v>
      </c>
      <c r="D31" s="23" t="s">
        <v>28</v>
      </c>
      <c r="E31" s="23" t="s">
        <v>159</v>
      </c>
      <c r="F31" s="23">
        <v>2</v>
      </c>
      <c r="G31" s="23">
        <v>1</v>
      </c>
      <c r="H31" s="23">
        <v>1</v>
      </c>
      <c r="I31" s="23">
        <f t="shared" si="0"/>
        <v>0</v>
      </c>
      <c r="J31" s="23" t="str">
        <f t="shared" si="1"/>
        <v>🔑 Issued to Staff</v>
      </c>
      <c r="K31" s="23" t="s">
        <v>60</v>
      </c>
      <c r="L31" s="23" t="s">
        <v>137</v>
      </c>
      <c r="M31" s="28" t="s">
        <v>160</v>
      </c>
      <c r="N31" s="14" t="s">
        <v>34</v>
      </c>
      <c r="O31" s="14" t="s">
        <v>161</v>
      </c>
      <c r="P31" s="14" t="str">
        <f t="shared" si="2"/>
        <v>✅ OK</v>
      </c>
    </row>
    <row r="32" spans="1:16" x14ac:dyDescent="0.35">
      <c r="A32" s="23">
        <v>25</v>
      </c>
      <c r="B32" s="23" t="s">
        <v>39</v>
      </c>
      <c r="C32" s="24">
        <v>512</v>
      </c>
      <c r="D32" s="23" t="s">
        <v>28</v>
      </c>
      <c r="E32" s="23" t="s">
        <v>159</v>
      </c>
      <c r="F32" s="23">
        <v>2</v>
      </c>
      <c r="G32" s="23">
        <v>1</v>
      </c>
      <c r="H32" s="23">
        <v>1</v>
      </c>
      <c r="I32" s="23">
        <f t="shared" si="0"/>
        <v>0</v>
      </c>
      <c r="J32" s="23" t="str">
        <f t="shared" si="1"/>
        <v>🔑 Issued to Staff</v>
      </c>
      <c r="K32" s="23" t="s">
        <v>139</v>
      </c>
      <c r="L32" s="23" t="s">
        <v>137</v>
      </c>
      <c r="M32" s="28" t="s">
        <v>162</v>
      </c>
      <c r="N32" s="14" t="s">
        <v>34</v>
      </c>
      <c r="O32" s="14" t="s">
        <v>163</v>
      </c>
      <c r="P32" s="14" t="str">
        <f t="shared" si="2"/>
        <v>✅ OK</v>
      </c>
    </row>
    <row r="33" spans="1:16" x14ac:dyDescent="0.35">
      <c r="A33" s="23">
        <v>26</v>
      </c>
      <c r="B33" s="23" t="s">
        <v>39</v>
      </c>
      <c r="C33" s="24">
        <v>154</v>
      </c>
      <c r="D33" s="23" t="s">
        <v>28</v>
      </c>
      <c r="E33" s="23" t="s">
        <v>103</v>
      </c>
      <c r="F33" s="23">
        <v>2</v>
      </c>
      <c r="G33" s="23">
        <v>1</v>
      </c>
      <c r="H33" s="23">
        <v>1</v>
      </c>
      <c r="I33" s="23">
        <f t="shared" si="0"/>
        <v>0</v>
      </c>
      <c r="J33" s="23" t="str">
        <f t="shared" si="1"/>
        <v>🔑 Issued to Staff</v>
      </c>
      <c r="K33" s="23" t="s">
        <v>139</v>
      </c>
      <c r="L33" s="23" t="s">
        <v>137</v>
      </c>
      <c r="M33" s="28" t="s">
        <v>160</v>
      </c>
      <c r="N33" s="14" t="s">
        <v>34</v>
      </c>
      <c r="O33" s="14" t="s">
        <v>164</v>
      </c>
      <c r="P33" s="14" t="str">
        <f t="shared" si="2"/>
        <v>✅ OK</v>
      </c>
    </row>
    <row r="34" spans="1:16" x14ac:dyDescent="0.35">
      <c r="A34" s="23">
        <v>27</v>
      </c>
      <c r="B34" s="23" t="s">
        <v>39</v>
      </c>
      <c r="C34" s="24">
        <v>2</v>
      </c>
      <c r="D34" s="23" t="s">
        <v>28</v>
      </c>
      <c r="E34" s="23" t="s">
        <v>103</v>
      </c>
      <c r="F34" s="23">
        <v>2</v>
      </c>
      <c r="G34" s="23">
        <v>1</v>
      </c>
      <c r="H34" s="23">
        <v>1</v>
      </c>
      <c r="I34" s="23">
        <f t="shared" si="0"/>
        <v>0</v>
      </c>
      <c r="J34" s="23" t="str">
        <f t="shared" si="1"/>
        <v>🔑 Issued to Staff</v>
      </c>
      <c r="K34" s="23" t="s">
        <v>139</v>
      </c>
      <c r="L34" s="23" t="s">
        <v>137</v>
      </c>
      <c r="M34" s="28" t="s">
        <v>160</v>
      </c>
      <c r="N34" s="14" t="s">
        <v>34</v>
      </c>
      <c r="O34" s="14" t="s">
        <v>164</v>
      </c>
      <c r="P34" s="14" t="str">
        <f t="shared" si="2"/>
        <v>✅ OK</v>
      </c>
    </row>
    <row r="35" spans="1:16" x14ac:dyDescent="0.35">
      <c r="A35" s="23">
        <v>28</v>
      </c>
      <c r="B35" s="23" t="s">
        <v>39</v>
      </c>
      <c r="C35" s="24">
        <v>8104</v>
      </c>
      <c r="D35" s="23" t="s">
        <v>28</v>
      </c>
      <c r="E35" s="23" t="s">
        <v>103</v>
      </c>
      <c r="F35" s="23">
        <v>2</v>
      </c>
      <c r="G35" s="23">
        <v>1</v>
      </c>
      <c r="H35" s="23">
        <v>1</v>
      </c>
      <c r="I35" s="23">
        <f t="shared" si="0"/>
        <v>0</v>
      </c>
      <c r="J35" s="23" t="str">
        <f t="shared" si="1"/>
        <v>🔑 Issued to Staff</v>
      </c>
      <c r="K35" s="23" t="s">
        <v>139</v>
      </c>
      <c r="L35" s="23" t="s">
        <v>137</v>
      </c>
      <c r="M35" s="28" t="s">
        <v>162</v>
      </c>
      <c r="N35" s="14" t="s">
        <v>34</v>
      </c>
      <c r="O35" s="14" t="s">
        <v>165</v>
      </c>
      <c r="P35" s="14" t="str">
        <f t="shared" si="2"/>
        <v>✅ OK</v>
      </c>
    </row>
    <row r="36" spans="1:16" x14ac:dyDescent="0.35">
      <c r="A36" s="23">
        <v>29</v>
      </c>
      <c r="B36" s="23" t="s">
        <v>39</v>
      </c>
      <c r="C36" s="24">
        <v>8349</v>
      </c>
      <c r="D36" s="23" t="s">
        <v>28</v>
      </c>
      <c r="E36" s="23" t="s">
        <v>103</v>
      </c>
      <c r="F36" s="23">
        <v>2</v>
      </c>
      <c r="G36" s="23">
        <v>1</v>
      </c>
      <c r="H36" s="23">
        <v>1</v>
      </c>
      <c r="I36" s="23">
        <f t="shared" si="0"/>
        <v>0</v>
      </c>
      <c r="J36" s="23" t="str">
        <f t="shared" si="1"/>
        <v>🔑 Issued to Staff</v>
      </c>
      <c r="K36" s="23" t="s">
        <v>139</v>
      </c>
      <c r="L36" s="23" t="s">
        <v>137</v>
      </c>
      <c r="M36" s="28" t="s">
        <v>160</v>
      </c>
      <c r="N36" s="14" t="s">
        <v>34</v>
      </c>
      <c r="O36" s="14" t="s">
        <v>165</v>
      </c>
      <c r="P36" s="14" t="str">
        <f t="shared" si="2"/>
        <v>✅ OK</v>
      </c>
    </row>
    <row r="37" spans="1:16" x14ac:dyDescent="0.35">
      <c r="A37" s="23">
        <v>30</v>
      </c>
      <c r="B37" s="23" t="s">
        <v>41</v>
      </c>
      <c r="C37" s="24">
        <v>7487</v>
      </c>
      <c r="D37" s="23" t="s">
        <v>27</v>
      </c>
      <c r="E37" s="23" t="s">
        <v>166</v>
      </c>
      <c r="F37" s="23">
        <v>2</v>
      </c>
      <c r="G37" s="23">
        <v>1</v>
      </c>
      <c r="H37" s="23">
        <v>1</v>
      </c>
      <c r="I37" s="23">
        <f t="shared" si="0"/>
        <v>0</v>
      </c>
      <c r="J37" s="23" t="str">
        <f t="shared" si="1"/>
        <v>🔑 Issued to Staff</v>
      </c>
      <c r="K37" s="23" t="s">
        <v>150</v>
      </c>
      <c r="L37" s="23" t="s">
        <v>137</v>
      </c>
      <c r="M37" s="28" t="s">
        <v>167</v>
      </c>
      <c r="N37" s="14" t="s">
        <v>34</v>
      </c>
      <c r="O37" s="14" t="s">
        <v>139</v>
      </c>
      <c r="P37" s="14" t="str">
        <f t="shared" si="2"/>
        <v>✅ OK</v>
      </c>
    </row>
    <row r="38" spans="1:16" x14ac:dyDescent="0.35">
      <c r="A38" s="23">
        <v>31</v>
      </c>
      <c r="B38" s="23" t="s">
        <v>41</v>
      </c>
      <c r="C38" s="24">
        <v>3365</v>
      </c>
      <c r="D38" s="23" t="s">
        <v>27</v>
      </c>
      <c r="E38" s="23" t="s">
        <v>166</v>
      </c>
      <c r="F38" s="23">
        <v>2</v>
      </c>
      <c r="G38" s="23">
        <v>1</v>
      </c>
      <c r="H38" s="23">
        <v>1</v>
      </c>
      <c r="I38" s="23">
        <f t="shared" si="0"/>
        <v>0</v>
      </c>
      <c r="J38" s="23" t="str">
        <f t="shared" si="1"/>
        <v>🔑 Issued to Staff</v>
      </c>
      <c r="K38" s="23" t="s">
        <v>150</v>
      </c>
      <c r="L38" s="23" t="s">
        <v>137</v>
      </c>
      <c r="M38" s="28" t="s">
        <v>167</v>
      </c>
      <c r="N38" s="14" t="s">
        <v>34</v>
      </c>
      <c r="O38" s="14" t="s">
        <v>139</v>
      </c>
      <c r="P38" s="14" t="str">
        <f t="shared" si="2"/>
        <v>✅ OK</v>
      </c>
    </row>
    <row r="39" spans="1:16" x14ac:dyDescent="0.35">
      <c r="A39" s="23">
        <v>32</v>
      </c>
      <c r="B39" s="23" t="s">
        <v>41</v>
      </c>
      <c r="C39" s="24">
        <v>3368</v>
      </c>
      <c r="D39" s="23" t="s">
        <v>27</v>
      </c>
      <c r="E39" s="23" t="s">
        <v>166</v>
      </c>
      <c r="F39" s="23">
        <v>2</v>
      </c>
      <c r="G39" s="23">
        <v>2</v>
      </c>
      <c r="H39" s="23">
        <v>0</v>
      </c>
      <c r="I39" s="23">
        <f t="shared" si="0"/>
        <v>0</v>
      </c>
      <c r="J39" s="23" t="str">
        <f t="shared" si="1"/>
        <v>🔒 In Custody</v>
      </c>
      <c r="K39" s="23" t="s">
        <v>139</v>
      </c>
      <c r="L39" s="23" t="s">
        <v>137</v>
      </c>
      <c r="M39" s="28" t="s">
        <v>168</v>
      </c>
      <c r="N39" s="14" t="s">
        <v>35</v>
      </c>
      <c r="O39" s="14" t="s">
        <v>139</v>
      </c>
      <c r="P39" s="14" t="str">
        <f t="shared" si="2"/>
        <v>🟢 AVAILABLE</v>
      </c>
    </row>
    <row r="40" spans="1:16" x14ac:dyDescent="0.35">
      <c r="A40" s="23">
        <v>33</v>
      </c>
      <c r="B40" s="23" t="s">
        <v>41</v>
      </c>
      <c r="C40" s="24">
        <v>9196</v>
      </c>
      <c r="D40" s="23" t="s">
        <v>27</v>
      </c>
      <c r="E40" s="23" t="s">
        <v>166</v>
      </c>
      <c r="F40" s="23">
        <v>2</v>
      </c>
      <c r="G40" s="23">
        <v>2</v>
      </c>
      <c r="H40" s="23">
        <v>0</v>
      </c>
      <c r="I40" s="23">
        <f t="shared" si="0"/>
        <v>0</v>
      </c>
      <c r="J40" s="23" t="str">
        <f t="shared" si="1"/>
        <v>🔒 In Custody</v>
      </c>
      <c r="K40" s="23" t="s">
        <v>139</v>
      </c>
      <c r="L40" s="23" t="s">
        <v>137</v>
      </c>
      <c r="M40" s="28" t="s">
        <v>168</v>
      </c>
      <c r="N40" s="14" t="s">
        <v>35</v>
      </c>
      <c r="O40" s="14" t="s">
        <v>139</v>
      </c>
      <c r="P40" s="14" t="str">
        <f t="shared" si="2"/>
        <v>🟢 AVAILABLE</v>
      </c>
    </row>
    <row r="41" spans="1:16" x14ac:dyDescent="0.35">
      <c r="A41" s="23">
        <v>34</v>
      </c>
      <c r="B41" s="23" t="s">
        <v>41</v>
      </c>
      <c r="C41" s="24">
        <v>1261</v>
      </c>
      <c r="D41" s="23" t="s">
        <v>27</v>
      </c>
      <c r="E41" s="23" t="s">
        <v>166</v>
      </c>
      <c r="F41" s="23">
        <v>2</v>
      </c>
      <c r="G41" s="23">
        <v>1</v>
      </c>
      <c r="H41" s="23">
        <v>1</v>
      </c>
      <c r="I41" s="23">
        <f t="shared" si="0"/>
        <v>0</v>
      </c>
      <c r="J41" s="23" t="str">
        <f t="shared" si="1"/>
        <v>🔑 Issued to Staff</v>
      </c>
      <c r="K41" s="23" t="s">
        <v>169</v>
      </c>
      <c r="L41" s="23" t="s">
        <v>137</v>
      </c>
      <c r="M41" s="28" t="s">
        <v>168</v>
      </c>
      <c r="N41" s="14" t="s">
        <v>34</v>
      </c>
      <c r="O41" s="14" t="s">
        <v>139</v>
      </c>
      <c r="P41" s="14" t="str">
        <f t="shared" si="2"/>
        <v>✅ OK</v>
      </c>
    </row>
    <row r="42" spans="1:16" x14ac:dyDescent="0.35">
      <c r="A42" s="23">
        <v>35</v>
      </c>
      <c r="B42" s="23" t="s">
        <v>41</v>
      </c>
      <c r="C42" s="24">
        <v>3392</v>
      </c>
      <c r="D42" s="23" t="s">
        <v>27</v>
      </c>
      <c r="E42" s="25" t="s">
        <v>166</v>
      </c>
      <c r="F42" s="23">
        <v>2</v>
      </c>
      <c r="G42" s="23">
        <v>1</v>
      </c>
      <c r="H42" s="23">
        <v>1</v>
      </c>
      <c r="I42" s="23">
        <f t="shared" si="0"/>
        <v>0</v>
      </c>
      <c r="J42" s="23" t="str">
        <f t="shared" si="1"/>
        <v>🔑 Issued to Staff</v>
      </c>
      <c r="K42" s="23" t="s">
        <v>169</v>
      </c>
      <c r="L42" s="23" t="s">
        <v>137</v>
      </c>
      <c r="M42" s="28" t="s">
        <v>167</v>
      </c>
      <c r="N42" s="14" t="s">
        <v>34</v>
      </c>
      <c r="O42" s="14" t="s">
        <v>139</v>
      </c>
      <c r="P42" s="14" t="str">
        <f t="shared" si="2"/>
        <v>✅ OK</v>
      </c>
    </row>
    <row r="43" spans="1:16" x14ac:dyDescent="0.35">
      <c r="A43" s="23">
        <v>36</v>
      </c>
      <c r="B43" s="23" t="s">
        <v>41</v>
      </c>
      <c r="C43" s="24">
        <v>7559</v>
      </c>
      <c r="D43" s="23" t="s">
        <v>27</v>
      </c>
      <c r="E43" s="23" t="s">
        <v>170</v>
      </c>
      <c r="F43" s="23">
        <v>2</v>
      </c>
      <c r="G43" s="23">
        <v>2</v>
      </c>
      <c r="H43" s="23">
        <v>0</v>
      </c>
      <c r="I43" s="23">
        <f t="shared" si="0"/>
        <v>0</v>
      </c>
      <c r="J43" s="23" t="str">
        <f t="shared" si="1"/>
        <v>🔒 In Custody</v>
      </c>
      <c r="K43" s="23" t="s">
        <v>139</v>
      </c>
      <c r="L43" s="23" t="s">
        <v>137</v>
      </c>
      <c r="M43" s="28" t="s">
        <v>167</v>
      </c>
      <c r="N43" s="14" t="s">
        <v>34</v>
      </c>
      <c r="O43" s="14" t="s">
        <v>155</v>
      </c>
      <c r="P43" s="14" t="str">
        <f t="shared" si="2"/>
        <v>✅ OK</v>
      </c>
    </row>
    <row r="44" spans="1:16" x14ac:dyDescent="0.35">
      <c r="A44" s="23">
        <v>37</v>
      </c>
      <c r="B44" s="23" t="s">
        <v>41</v>
      </c>
      <c r="C44" s="24">
        <v>7687</v>
      </c>
      <c r="D44" s="23" t="s">
        <v>27</v>
      </c>
      <c r="E44" s="23" t="s">
        <v>170</v>
      </c>
      <c r="F44" s="23">
        <v>2</v>
      </c>
      <c r="G44" s="23">
        <v>2</v>
      </c>
      <c r="H44" s="23">
        <v>0</v>
      </c>
      <c r="I44" s="23">
        <f t="shared" si="0"/>
        <v>0</v>
      </c>
      <c r="J44" s="23" t="str">
        <f t="shared" si="1"/>
        <v>🔒 In Custody</v>
      </c>
      <c r="K44" s="23" t="s">
        <v>139</v>
      </c>
      <c r="L44" s="23" t="s">
        <v>137</v>
      </c>
      <c r="M44" s="28" t="s">
        <v>168</v>
      </c>
      <c r="N44" s="14" t="s">
        <v>34</v>
      </c>
      <c r="O44" s="14" t="s">
        <v>155</v>
      </c>
      <c r="P44" s="14" t="str">
        <f t="shared" si="2"/>
        <v>✅ OK</v>
      </c>
    </row>
    <row r="45" spans="1:16" x14ac:dyDescent="0.35">
      <c r="A45" s="23">
        <v>38</v>
      </c>
      <c r="B45" s="23" t="s">
        <v>41</v>
      </c>
      <c r="C45" s="24">
        <v>7526</v>
      </c>
      <c r="D45" s="23" t="s">
        <v>27</v>
      </c>
      <c r="E45" s="23" t="s">
        <v>171</v>
      </c>
      <c r="F45" s="23">
        <v>2</v>
      </c>
      <c r="G45" s="23">
        <v>2</v>
      </c>
      <c r="H45" s="23">
        <v>0</v>
      </c>
      <c r="I45" s="23">
        <f t="shared" si="0"/>
        <v>0</v>
      </c>
      <c r="J45" s="23" t="str">
        <f t="shared" si="1"/>
        <v>🔒 In Custody</v>
      </c>
      <c r="K45" s="23" t="s">
        <v>139</v>
      </c>
      <c r="L45" s="23" t="s">
        <v>137</v>
      </c>
      <c r="M45" s="28" t="s">
        <v>167</v>
      </c>
      <c r="N45" s="14" t="s">
        <v>34</v>
      </c>
      <c r="O45" s="14" t="s">
        <v>172</v>
      </c>
      <c r="P45" s="14" t="str">
        <f t="shared" si="2"/>
        <v>✅ OK</v>
      </c>
    </row>
    <row r="46" spans="1:16" x14ac:dyDescent="0.35">
      <c r="A46" s="23">
        <v>39</v>
      </c>
      <c r="B46" s="23" t="s">
        <v>41</v>
      </c>
      <c r="C46" s="24">
        <v>7685</v>
      </c>
      <c r="D46" s="23" t="s">
        <v>27</v>
      </c>
      <c r="E46" s="23" t="s">
        <v>171</v>
      </c>
      <c r="F46" s="23">
        <v>2</v>
      </c>
      <c r="G46" s="23">
        <v>1</v>
      </c>
      <c r="H46" s="23">
        <v>1</v>
      </c>
      <c r="I46" s="23">
        <f t="shared" si="0"/>
        <v>0</v>
      </c>
      <c r="J46" s="23" t="str">
        <f t="shared" si="1"/>
        <v>🔑 Issued to Staff</v>
      </c>
      <c r="K46" s="23" t="s">
        <v>139</v>
      </c>
      <c r="L46" s="23" t="s">
        <v>137</v>
      </c>
      <c r="M46" s="28" t="s">
        <v>168</v>
      </c>
      <c r="N46" s="14" t="s">
        <v>35</v>
      </c>
      <c r="O46" s="14" t="s">
        <v>139</v>
      </c>
      <c r="P46" s="14" t="str">
        <f t="shared" si="2"/>
        <v>🟢 AVAILABLE</v>
      </c>
    </row>
    <row r="47" spans="1:16" x14ac:dyDescent="0.35">
      <c r="A47" s="23">
        <v>40</v>
      </c>
      <c r="B47" s="23" t="s">
        <v>41</v>
      </c>
      <c r="C47" s="24">
        <v>2481</v>
      </c>
      <c r="D47" s="23" t="s">
        <v>28</v>
      </c>
      <c r="E47" s="23" t="s">
        <v>173</v>
      </c>
      <c r="F47" s="23">
        <v>2</v>
      </c>
      <c r="G47" s="23">
        <v>1</v>
      </c>
      <c r="H47" s="23">
        <v>1</v>
      </c>
      <c r="I47" s="23">
        <f t="shared" si="0"/>
        <v>0</v>
      </c>
      <c r="J47" s="23" t="str">
        <f t="shared" si="1"/>
        <v>🔑 Issued to Staff</v>
      </c>
      <c r="K47" s="23" t="s">
        <v>67</v>
      </c>
      <c r="L47" s="23" t="s">
        <v>137</v>
      </c>
      <c r="M47" s="28" t="s">
        <v>174</v>
      </c>
      <c r="N47" s="14" t="s">
        <v>34</v>
      </c>
      <c r="O47" s="14" t="s">
        <v>165</v>
      </c>
      <c r="P47" s="14" t="str">
        <f t="shared" si="2"/>
        <v>✅ OK</v>
      </c>
    </row>
    <row r="48" spans="1:16" x14ac:dyDescent="0.35">
      <c r="A48" s="23">
        <v>41</v>
      </c>
      <c r="B48" s="23" t="s">
        <v>41</v>
      </c>
      <c r="C48" s="24">
        <v>2486</v>
      </c>
      <c r="D48" s="23" t="s">
        <v>28</v>
      </c>
      <c r="E48" s="23" t="s">
        <v>173</v>
      </c>
      <c r="F48" s="23">
        <v>2</v>
      </c>
      <c r="G48" s="23">
        <v>1</v>
      </c>
      <c r="H48" s="23">
        <v>1</v>
      </c>
      <c r="I48" s="23">
        <f t="shared" si="0"/>
        <v>0</v>
      </c>
      <c r="J48" s="23" t="str">
        <f t="shared" si="1"/>
        <v>🔑 Issued to Staff</v>
      </c>
      <c r="K48" s="23" t="s">
        <v>67</v>
      </c>
      <c r="L48" s="23" t="s">
        <v>137</v>
      </c>
      <c r="M48" s="28" t="s">
        <v>174</v>
      </c>
      <c r="N48" s="14" t="s">
        <v>34</v>
      </c>
      <c r="O48" s="14" t="s">
        <v>165</v>
      </c>
      <c r="P48" s="14" t="str">
        <f t="shared" si="2"/>
        <v>✅ OK</v>
      </c>
    </row>
    <row r="49" spans="1:16" x14ac:dyDescent="0.35">
      <c r="A49" s="23">
        <v>42</v>
      </c>
      <c r="B49" s="23" t="s">
        <v>41</v>
      </c>
      <c r="C49" s="24">
        <v>2535</v>
      </c>
      <c r="D49" s="23" t="s">
        <v>28</v>
      </c>
      <c r="E49" s="23" t="s">
        <v>173</v>
      </c>
      <c r="F49" s="23">
        <v>2</v>
      </c>
      <c r="G49" s="23">
        <v>1</v>
      </c>
      <c r="H49" s="23">
        <v>1</v>
      </c>
      <c r="I49" s="23">
        <f t="shared" si="0"/>
        <v>0</v>
      </c>
      <c r="J49" s="23" t="str">
        <f t="shared" si="1"/>
        <v>🔑 Issued to Staff</v>
      </c>
      <c r="K49" s="23" t="s">
        <v>60</v>
      </c>
      <c r="L49" s="23" t="s">
        <v>137</v>
      </c>
      <c r="M49" s="28" t="s">
        <v>174</v>
      </c>
      <c r="N49" s="14" t="s">
        <v>34</v>
      </c>
      <c r="O49" s="14" t="s">
        <v>139</v>
      </c>
      <c r="P49" s="14" t="str">
        <f t="shared" si="2"/>
        <v>✅ OK</v>
      </c>
    </row>
    <row r="50" spans="1:16" x14ac:dyDescent="0.35">
      <c r="A50" s="23">
        <v>43</v>
      </c>
      <c r="B50" s="23" t="s">
        <v>41</v>
      </c>
      <c r="C50" s="24">
        <v>2520</v>
      </c>
      <c r="D50" s="23" t="s">
        <v>28</v>
      </c>
      <c r="E50" s="23" t="s">
        <v>173</v>
      </c>
      <c r="F50" s="23">
        <v>2</v>
      </c>
      <c r="G50" s="23">
        <v>1</v>
      </c>
      <c r="H50" s="23">
        <v>1</v>
      </c>
      <c r="I50" s="23">
        <f t="shared" si="0"/>
        <v>0</v>
      </c>
      <c r="J50" s="23" t="str">
        <f t="shared" si="1"/>
        <v>🔑 Issued to Staff</v>
      </c>
      <c r="K50" s="23" t="s">
        <v>60</v>
      </c>
      <c r="L50" s="23" t="s">
        <v>137</v>
      </c>
      <c r="M50" s="28" t="s">
        <v>174</v>
      </c>
      <c r="N50" s="14" t="s">
        <v>34</v>
      </c>
      <c r="O50" s="14" t="s">
        <v>139</v>
      </c>
      <c r="P50" s="14" t="str">
        <f t="shared" si="2"/>
        <v>✅ OK</v>
      </c>
    </row>
    <row r="51" spans="1:16" x14ac:dyDescent="0.35">
      <c r="A51" s="23">
        <v>44</v>
      </c>
      <c r="B51" s="23" t="s">
        <v>41</v>
      </c>
      <c r="C51" s="24">
        <v>8887</v>
      </c>
      <c r="D51" s="23" t="s">
        <v>28</v>
      </c>
      <c r="E51" s="23" t="s">
        <v>173</v>
      </c>
      <c r="F51" s="23">
        <v>2</v>
      </c>
      <c r="G51" s="23">
        <v>1</v>
      </c>
      <c r="H51" s="23">
        <v>1</v>
      </c>
      <c r="I51" s="23">
        <f t="shared" si="0"/>
        <v>0</v>
      </c>
      <c r="J51" s="23" t="str">
        <f t="shared" si="1"/>
        <v>🔑 Issued to Staff</v>
      </c>
      <c r="K51" s="23" t="s">
        <v>67</v>
      </c>
      <c r="L51" s="23" t="s">
        <v>137</v>
      </c>
      <c r="M51" s="28" t="s">
        <v>174</v>
      </c>
      <c r="N51" s="14" t="s">
        <v>34</v>
      </c>
      <c r="O51" s="14" t="s">
        <v>175</v>
      </c>
      <c r="P51" s="14" t="str">
        <f t="shared" si="2"/>
        <v>✅ OK</v>
      </c>
    </row>
    <row r="52" spans="1:16" x14ac:dyDescent="0.35">
      <c r="A52" s="23">
        <v>45</v>
      </c>
      <c r="B52" s="23" t="s">
        <v>41</v>
      </c>
      <c r="C52" s="24">
        <v>7566</v>
      </c>
      <c r="D52" s="23" t="s">
        <v>28</v>
      </c>
      <c r="E52" s="23" t="s">
        <v>176</v>
      </c>
      <c r="F52" s="23">
        <v>2</v>
      </c>
      <c r="G52" s="23">
        <v>1</v>
      </c>
      <c r="H52" s="23">
        <v>1</v>
      </c>
      <c r="I52" s="23">
        <f t="shared" si="0"/>
        <v>0</v>
      </c>
      <c r="J52" s="23" t="str">
        <f t="shared" si="1"/>
        <v>🔑 Issued to Staff</v>
      </c>
      <c r="K52" s="23" t="s">
        <v>67</v>
      </c>
      <c r="L52" s="23" t="s">
        <v>137</v>
      </c>
      <c r="M52" s="28" t="s">
        <v>177</v>
      </c>
      <c r="N52" s="14" t="s">
        <v>34</v>
      </c>
      <c r="O52" s="14" t="s">
        <v>175</v>
      </c>
      <c r="P52" s="14" t="str">
        <f t="shared" si="2"/>
        <v>✅ OK</v>
      </c>
    </row>
    <row r="53" spans="1:16" x14ac:dyDescent="0.35">
      <c r="A53" s="23">
        <v>46</v>
      </c>
      <c r="B53" s="23" t="s">
        <v>41</v>
      </c>
      <c r="C53" s="24">
        <v>2500</v>
      </c>
      <c r="D53" s="23" t="s">
        <v>28</v>
      </c>
      <c r="E53" s="23" t="s">
        <v>176</v>
      </c>
      <c r="F53" s="23">
        <v>2</v>
      </c>
      <c r="G53" s="23">
        <v>1</v>
      </c>
      <c r="H53" s="23">
        <v>1</v>
      </c>
      <c r="I53" s="23">
        <f t="shared" si="0"/>
        <v>0</v>
      </c>
      <c r="J53" s="23" t="str">
        <f t="shared" si="1"/>
        <v>🔑 Issued to Staff</v>
      </c>
      <c r="K53" s="23" t="s">
        <v>67</v>
      </c>
      <c r="L53" s="23" t="s">
        <v>137</v>
      </c>
      <c r="M53" s="28" t="s">
        <v>174</v>
      </c>
      <c r="N53" s="14" t="s">
        <v>34</v>
      </c>
      <c r="O53" s="14" t="s">
        <v>175</v>
      </c>
      <c r="P53" s="14" t="str">
        <f t="shared" si="2"/>
        <v>✅ OK</v>
      </c>
    </row>
    <row r="54" spans="1:16" x14ac:dyDescent="0.35">
      <c r="A54" s="23">
        <v>47</v>
      </c>
      <c r="B54" s="23" t="s">
        <v>41</v>
      </c>
      <c r="C54" s="24">
        <v>2497</v>
      </c>
      <c r="D54" s="23" t="s">
        <v>28</v>
      </c>
      <c r="E54" s="23" t="s">
        <v>176</v>
      </c>
      <c r="F54" s="23">
        <v>2</v>
      </c>
      <c r="G54" s="23">
        <v>1</v>
      </c>
      <c r="H54" s="23">
        <v>1</v>
      </c>
      <c r="I54" s="23">
        <f t="shared" si="0"/>
        <v>0</v>
      </c>
      <c r="J54" s="23" t="str">
        <f t="shared" si="1"/>
        <v>🔑 Issued to Staff</v>
      </c>
      <c r="K54" s="23" t="s">
        <v>67</v>
      </c>
      <c r="L54" s="23" t="s">
        <v>137</v>
      </c>
      <c r="M54" s="28" t="s">
        <v>174</v>
      </c>
      <c r="N54" s="14" t="s">
        <v>34</v>
      </c>
      <c r="O54" s="14" t="s">
        <v>175</v>
      </c>
      <c r="P54" s="14" t="str">
        <f t="shared" si="2"/>
        <v>✅ OK</v>
      </c>
    </row>
    <row r="55" spans="1:16" x14ac:dyDescent="0.35">
      <c r="A55" s="23">
        <v>48</v>
      </c>
      <c r="B55" s="23" t="s">
        <v>41</v>
      </c>
      <c r="C55" s="24">
        <v>2528</v>
      </c>
      <c r="D55" s="23" t="s">
        <v>28</v>
      </c>
      <c r="E55" s="23" t="s">
        <v>176</v>
      </c>
      <c r="F55" s="23">
        <v>2</v>
      </c>
      <c r="G55" s="23">
        <v>1</v>
      </c>
      <c r="H55" s="23">
        <v>1</v>
      </c>
      <c r="I55" s="23">
        <f t="shared" si="0"/>
        <v>0</v>
      </c>
      <c r="J55" s="23" t="str">
        <f t="shared" si="1"/>
        <v>🔑 Issued to Staff</v>
      </c>
      <c r="K55" s="23" t="s">
        <v>67</v>
      </c>
      <c r="L55" s="23" t="s">
        <v>137</v>
      </c>
      <c r="M55" s="28" t="s">
        <v>174</v>
      </c>
      <c r="N55" s="14" t="s">
        <v>34</v>
      </c>
      <c r="O55" s="14" t="s">
        <v>175</v>
      </c>
      <c r="P55" s="14" t="str">
        <f t="shared" si="2"/>
        <v>✅ OK</v>
      </c>
    </row>
    <row r="56" spans="1:16" x14ac:dyDescent="0.35">
      <c r="A56" s="23">
        <v>49</v>
      </c>
      <c r="B56" s="23" t="s">
        <v>41</v>
      </c>
      <c r="C56" s="24">
        <v>2493</v>
      </c>
      <c r="D56" s="23" t="s">
        <v>28</v>
      </c>
      <c r="E56" s="23" t="s">
        <v>176</v>
      </c>
      <c r="F56" s="23">
        <v>2</v>
      </c>
      <c r="G56" s="23">
        <v>1</v>
      </c>
      <c r="H56" s="23">
        <v>1</v>
      </c>
      <c r="I56" s="23">
        <f t="shared" si="0"/>
        <v>0</v>
      </c>
      <c r="J56" s="23" t="str">
        <f t="shared" si="1"/>
        <v>🔑 Issued to Staff</v>
      </c>
      <c r="K56" s="23" t="s">
        <v>67</v>
      </c>
      <c r="L56" s="23" t="s">
        <v>137</v>
      </c>
      <c r="M56" s="28" t="s">
        <v>178</v>
      </c>
      <c r="N56" s="14" t="s">
        <v>34</v>
      </c>
      <c r="O56" s="14" t="s">
        <v>175</v>
      </c>
      <c r="P56" s="14" t="str">
        <f t="shared" si="2"/>
        <v>✅ OK</v>
      </c>
    </row>
    <row r="57" spans="1:16" x14ac:dyDescent="0.35">
      <c r="A57" s="23">
        <v>50</v>
      </c>
      <c r="B57" s="23" t="s">
        <v>41</v>
      </c>
      <c r="C57" s="24">
        <v>2759</v>
      </c>
      <c r="D57" s="23" t="s">
        <v>30</v>
      </c>
      <c r="E57" s="23" t="s">
        <v>179</v>
      </c>
      <c r="F57" s="23">
        <v>2</v>
      </c>
      <c r="G57" s="23">
        <v>2</v>
      </c>
      <c r="H57" s="23">
        <v>0</v>
      </c>
      <c r="I57" s="23">
        <f t="shared" si="0"/>
        <v>0</v>
      </c>
      <c r="J57" s="23" t="str">
        <f t="shared" si="1"/>
        <v>🔒 In Custody</v>
      </c>
      <c r="K57" s="23" t="s">
        <v>139</v>
      </c>
      <c r="L57" s="23" t="s">
        <v>137</v>
      </c>
      <c r="M57" s="28"/>
      <c r="N57" s="14" t="s">
        <v>34</v>
      </c>
      <c r="O57" s="14" t="s">
        <v>139</v>
      </c>
      <c r="P57" s="14" t="str">
        <f t="shared" si="2"/>
        <v>✅ OK</v>
      </c>
    </row>
    <row r="58" spans="1:16" x14ac:dyDescent="0.35">
      <c r="A58" s="23">
        <v>51</v>
      </c>
      <c r="B58" s="23" t="s">
        <v>43</v>
      </c>
      <c r="C58" s="24">
        <v>1766</v>
      </c>
      <c r="D58" s="23" t="s">
        <v>27</v>
      </c>
      <c r="E58" s="23" t="s">
        <v>180</v>
      </c>
      <c r="F58" s="23">
        <v>2</v>
      </c>
      <c r="G58" s="23">
        <v>2</v>
      </c>
      <c r="H58" s="23">
        <v>0</v>
      </c>
      <c r="I58" s="23">
        <f t="shared" si="0"/>
        <v>0</v>
      </c>
      <c r="J58" s="23" t="str">
        <f t="shared" si="1"/>
        <v>🔒 In Custody</v>
      </c>
      <c r="K58" s="23" t="s">
        <v>139</v>
      </c>
      <c r="L58" s="23" t="s">
        <v>137</v>
      </c>
      <c r="M58" s="28" t="s">
        <v>181</v>
      </c>
      <c r="N58" s="14" t="s">
        <v>34</v>
      </c>
      <c r="O58" s="14" t="s">
        <v>175</v>
      </c>
      <c r="P58" s="14" t="str">
        <f t="shared" si="2"/>
        <v>✅ OK</v>
      </c>
    </row>
    <row r="59" spans="1:16" x14ac:dyDescent="0.35">
      <c r="A59" s="23">
        <v>52</v>
      </c>
      <c r="B59" s="23" t="s">
        <v>43</v>
      </c>
      <c r="C59" s="24">
        <v>1813</v>
      </c>
      <c r="D59" s="23" t="s">
        <v>27</v>
      </c>
      <c r="E59" s="23" t="s">
        <v>180</v>
      </c>
      <c r="F59" s="23">
        <v>2</v>
      </c>
      <c r="G59" s="23">
        <v>2</v>
      </c>
      <c r="H59" s="23">
        <v>0</v>
      </c>
      <c r="I59" s="23">
        <f t="shared" si="0"/>
        <v>0</v>
      </c>
      <c r="J59" s="23" t="str">
        <f t="shared" si="1"/>
        <v>🔒 In Custody</v>
      </c>
      <c r="K59" s="23" t="s">
        <v>139</v>
      </c>
      <c r="L59" s="23" t="s">
        <v>137</v>
      </c>
      <c r="M59" s="28" t="s">
        <v>181</v>
      </c>
      <c r="N59" s="14" t="s">
        <v>34</v>
      </c>
      <c r="O59" s="14" t="s">
        <v>175</v>
      </c>
      <c r="P59" s="14" t="str">
        <f t="shared" si="2"/>
        <v>✅ OK</v>
      </c>
    </row>
    <row r="60" spans="1:16" x14ac:dyDescent="0.35">
      <c r="A60" s="23">
        <v>53</v>
      </c>
      <c r="B60" s="23" t="s">
        <v>43</v>
      </c>
      <c r="C60" s="24">
        <v>1799</v>
      </c>
      <c r="D60" s="23" t="s">
        <v>27</v>
      </c>
      <c r="E60" s="23" t="s">
        <v>180</v>
      </c>
      <c r="F60" s="23">
        <v>2</v>
      </c>
      <c r="G60" s="23">
        <v>2</v>
      </c>
      <c r="H60" s="23">
        <v>0</v>
      </c>
      <c r="I60" s="23">
        <f t="shared" si="0"/>
        <v>0</v>
      </c>
      <c r="J60" s="23" t="str">
        <f t="shared" si="1"/>
        <v>🔒 In Custody</v>
      </c>
      <c r="K60" s="23" t="s">
        <v>139</v>
      </c>
      <c r="L60" s="23" t="s">
        <v>137</v>
      </c>
      <c r="M60" s="28" t="s">
        <v>181</v>
      </c>
      <c r="N60" s="14" t="s">
        <v>34</v>
      </c>
      <c r="O60" s="14" t="s">
        <v>175</v>
      </c>
      <c r="P60" s="14" t="str">
        <f t="shared" si="2"/>
        <v>✅ OK</v>
      </c>
    </row>
    <row r="61" spans="1:16" x14ac:dyDescent="0.35">
      <c r="A61" s="23">
        <v>54</v>
      </c>
      <c r="B61" s="23" t="s">
        <v>43</v>
      </c>
      <c r="C61" s="24">
        <v>1817</v>
      </c>
      <c r="D61" s="23" t="s">
        <v>27</v>
      </c>
      <c r="E61" s="23" t="s">
        <v>180</v>
      </c>
      <c r="F61" s="23">
        <v>2</v>
      </c>
      <c r="G61" s="23">
        <v>2</v>
      </c>
      <c r="H61" s="23">
        <v>0</v>
      </c>
      <c r="I61" s="23">
        <f t="shared" si="0"/>
        <v>0</v>
      </c>
      <c r="J61" s="23" t="str">
        <f t="shared" si="1"/>
        <v>🔒 In Custody</v>
      </c>
      <c r="K61" s="23" t="s">
        <v>139</v>
      </c>
      <c r="L61" s="23" t="s">
        <v>137</v>
      </c>
      <c r="M61" s="28" t="s">
        <v>181</v>
      </c>
      <c r="N61" s="14" t="s">
        <v>34</v>
      </c>
      <c r="O61" s="14" t="s">
        <v>175</v>
      </c>
      <c r="P61" s="14" t="str">
        <f t="shared" si="2"/>
        <v>✅ OK</v>
      </c>
    </row>
    <row r="62" spans="1:16" x14ac:dyDescent="0.35">
      <c r="A62" s="23">
        <v>55</v>
      </c>
      <c r="B62" s="23" t="s">
        <v>43</v>
      </c>
      <c r="C62" s="24">
        <v>1796</v>
      </c>
      <c r="D62" s="23" t="s">
        <v>27</v>
      </c>
      <c r="E62" s="23" t="s">
        <v>180</v>
      </c>
      <c r="F62" s="23">
        <v>2</v>
      </c>
      <c r="G62" s="23">
        <v>1</v>
      </c>
      <c r="H62" s="23">
        <v>1</v>
      </c>
      <c r="I62" s="23">
        <f t="shared" si="0"/>
        <v>0</v>
      </c>
      <c r="J62" s="23" t="str">
        <f t="shared" si="1"/>
        <v>🔑 Issued to Staff</v>
      </c>
      <c r="K62" s="23" t="s">
        <v>139</v>
      </c>
      <c r="L62" s="23" t="s">
        <v>137</v>
      </c>
      <c r="M62" s="28" t="s">
        <v>181</v>
      </c>
      <c r="N62" s="14" t="s">
        <v>34</v>
      </c>
      <c r="O62" s="14" t="s">
        <v>182</v>
      </c>
      <c r="P62" s="14" t="str">
        <f t="shared" si="2"/>
        <v>✅ OK</v>
      </c>
    </row>
    <row r="63" spans="1:16" x14ac:dyDescent="0.35">
      <c r="A63" s="23">
        <v>56</v>
      </c>
      <c r="B63" s="23" t="s">
        <v>43</v>
      </c>
      <c r="C63" s="24">
        <v>1773</v>
      </c>
      <c r="D63" s="23" t="s">
        <v>27</v>
      </c>
      <c r="E63" s="23" t="s">
        <v>180</v>
      </c>
      <c r="F63" s="23">
        <v>2</v>
      </c>
      <c r="G63" s="23">
        <v>2</v>
      </c>
      <c r="H63" s="23">
        <v>0</v>
      </c>
      <c r="I63" s="23">
        <f t="shared" si="0"/>
        <v>0</v>
      </c>
      <c r="J63" s="23" t="str">
        <f t="shared" si="1"/>
        <v>🔒 In Custody</v>
      </c>
      <c r="K63" s="23" t="s">
        <v>139</v>
      </c>
      <c r="L63" s="23" t="s">
        <v>137</v>
      </c>
      <c r="M63" s="28" t="s">
        <v>181</v>
      </c>
      <c r="N63" s="14" t="s">
        <v>34</v>
      </c>
      <c r="O63" s="14" t="s">
        <v>183</v>
      </c>
      <c r="P63" s="14" t="str">
        <f t="shared" si="2"/>
        <v>✅ OK</v>
      </c>
    </row>
    <row r="64" spans="1:16" x14ac:dyDescent="0.35">
      <c r="A64" s="23">
        <v>57</v>
      </c>
      <c r="B64" s="23" t="s">
        <v>43</v>
      </c>
      <c r="C64" s="24">
        <v>1786</v>
      </c>
      <c r="D64" s="23" t="s">
        <v>27</v>
      </c>
      <c r="E64" s="23" t="s">
        <v>184</v>
      </c>
      <c r="F64" s="23">
        <v>2</v>
      </c>
      <c r="G64" s="23">
        <v>1</v>
      </c>
      <c r="H64" s="23">
        <v>1</v>
      </c>
      <c r="I64" s="23">
        <f t="shared" si="0"/>
        <v>0</v>
      </c>
      <c r="J64" s="23" t="str">
        <f t="shared" si="1"/>
        <v>🔑 Issued to Staff</v>
      </c>
      <c r="K64" s="23" t="s">
        <v>185</v>
      </c>
      <c r="L64" s="23" t="s">
        <v>137</v>
      </c>
      <c r="M64" s="28" t="s">
        <v>181</v>
      </c>
      <c r="N64" s="14" t="s">
        <v>34</v>
      </c>
      <c r="O64" s="14" t="s">
        <v>186</v>
      </c>
      <c r="P64" s="14" t="str">
        <f t="shared" si="2"/>
        <v>✅ OK</v>
      </c>
    </row>
    <row r="65" spans="1:16" x14ac:dyDescent="0.35">
      <c r="A65" s="23">
        <v>58</v>
      </c>
      <c r="B65" s="23" t="s">
        <v>43</v>
      </c>
      <c r="C65" s="24">
        <v>1820</v>
      </c>
      <c r="D65" s="23" t="s">
        <v>27</v>
      </c>
      <c r="E65" s="23" t="s">
        <v>184</v>
      </c>
      <c r="F65" s="23">
        <v>2</v>
      </c>
      <c r="G65" s="23">
        <v>2</v>
      </c>
      <c r="H65" s="23">
        <v>0</v>
      </c>
      <c r="I65" s="23">
        <f t="shared" si="0"/>
        <v>0</v>
      </c>
      <c r="J65" s="23" t="str">
        <f t="shared" si="1"/>
        <v>🔒 In Custody</v>
      </c>
      <c r="K65" s="23" t="s">
        <v>139</v>
      </c>
      <c r="L65" s="23" t="s">
        <v>137</v>
      </c>
      <c r="M65" s="28" t="s">
        <v>181</v>
      </c>
      <c r="N65" s="14" t="s">
        <v>35</v>
      </c>
      <c r="O65" s="14" t="s">
        <v>139</v>
      </c>
      <c r="P65" s="14" t="str">
        <f t="shared" si="2"/>
        <v>🟢 AVAILABLE</v>
      </c>
    </row>
    <row r="66" spans="1:16" x14ac:dyDescent="0.35">
      <c r="A66" s="23">
        <v>59</v>
      </c>
      <c r="B66" s="23" t="s">
        <v>43</v>
      </c>
      <c r="C66" s="24">
        <v>1816</v>
      </c>
      <c r="D66" s="23" t="s">
        <v>27</v>
      </c>
      <c r="E66" s="23" t="s">
        <v>184</v>
      </c>
      <c r="F66" s="23">
        <v>2</v>
      </c>
      <c r="G66" s="23">
        <v>2</v>
      </c>
      <c r="H66" s="23">
        <v>0</v>
      </c>
      <c r="I66" s="23">
        <f t="shared" si="0"/>
        <v>0</v>
      </c>
      <c r="J66" s="23" t="str">
        <f t="shared" si="1"/>
        <v>🔒 In Custody</v>
      </c>
      <c r="K66" s="23" t="s">
        <v>60</v>
      </c>
      <c r="L66" s="23" t="s">
        <v>137</v>
      </c>
      <c r="M66" s="28" t="s">
        <v>181</v>
      </c>
      <c r="N66" s="14" t="s">
        <v>34</v>
      </c>
      <c r="O66" s="14" t="s">
        <v>155</v>
      </c>
      <c r="P66" s="14" t="str">
        <f t="shared" si="2"/>
        <v>✅ OK</v>
      </c>
    </row>
    <row r="67" spans="1:16" x14ac:dyDescent="0.35">
      <c r="A67" s="23">
        <v>60</v>
      </c>
      <c r="B67" s="23" t="s">
        <v>43</v>
      </c>
      <c r="C67" s="26">
        <v>1815</v>
      </c>
      <c r="D67" s="23" t="s">
        <v>27</v>
      </c>
      <c r="E67" s="23" t="s">
        <v>184</v>
      </c>
      <c r="F67" s="23">
        <v>2</v>
      </c>
      <c r="G67" s="23">
        <v>1</v>
      </c>
      <c r="H67" s="23">
        <v>1</v>
      </c>
      <c r="I67" s="23">
        <f t="shared" si="0"/>
        <v>0</v>
      </c>
      <c r="J67" s="23" t="str">
        <f t="shared" si="1"/>
        <v>🔑 Issued to Staff</v>
      </c>
      <c r="K67" s="23" t="s">
        <v>60</v>
      </c>
      <c r="L67" s="23" t="s">
        <v>137</v>
      </c>
      <c r="M67" s="28"/>
      <c r="N67" s="14" t="s">
        <v>34</v>
      </c>
      <c r="O67" s="14" t="s">
        <v>139</v>
      </c>
      <c r="P67" s="14" t="str">
        <f t="shared" si="2"/>
        <v>✅ OK</v>
      </c>
    </row>
    <row r="68" spans="1:16" x14ac:dyDescent="0.35">
      <c r="A68" s="23">
        <v>61</v>
      </c>
      <c r="B68" s="23" t="s">
        <v>43</v>
      </c>
      <c r="C68" s="26">
        <v>338</v>
      </c>
      <c r="D68" s="23" t="s">
        <v>30</v>
      </c>
      <c r="E68" s="23" t="s">
        <v>179</v>
      </c>
      <c r="F68" s="23">
        <v>2</v>
      </c>
      <c r="G68" s="23">
        <v>0</v>
      </c>
      <c r="H68" s="23">
        <v>0</v>
      </c>
      <c r="I68" s="23">
        <f t="shared" si="0"/>
        <v>2</v>
      </c>
      <c r="J68" s="23" t="str">
        <f t="shared" si="1"/>
        <v>⚠️ Missing Key</v>
      </c>
      <c r="K68" s="23" t="s">
        <v>139</v>
      </c>
      <c r="L68" s="23" t="s">
        <v>137</v>
      </c>
      <c r="M68" s="28"/>
      <c r="N68" s="14" t="s">
        <v>187</v>
      </c>
      <c r="O68" s="14" t="s">
        <v>188</v>
      </c>
      <c r="P68" s="14" t="str">
        <f t="shared" si="2"/>
        <v>🚨 REPLACE LOCK / KEY LOST</v>
      </c>
    </row>
    <row r="69" spans="1:16" x14ac:dyDescent="0.35">
      <c r="A69" s="23">
        <v>62</v>
      </c>
      <c r="B69" s="23" t="s">
        <v>45</v>
      </c>
      <c r="C69" s="24">
        <v>7483</v>
      </c>
      <c r="D69" s="23" t="s">
        <v>27</v>
      </c>
      <c r="E69" s="23" t="s">
        <v>189</v>
      </c>
      <c r="F69" s="23">
        <v>2</v>
      </c>
      <c r="G69" s="23">
        <v>1</v>
      </c>
      <c r="H69" s="23">
        <v>0</v>
      </c>
      <c r="I69" s="23">
        <f t="shared" si="0"/>
        <v>1</v>
      </c>
      <c r="J69" s="23" t="str">
        <f t="shared" si="1"/>
        <v>⚠️ Missing Key</v>
      </c>
      <c r="K69" s="23" t="s">
        <v>139</v>
      </c>
      <c r="L69" s="23" t="s">
        <v>137</v>
      </c>
      <c r="M69" s="28" t="s">
        <v>190</v>
      </c>
      <c r="N69" s="14" t="s">
        <v>34</v>
      </c>
      <c r="O69" s="14" t="s">
        <v>172</v>
      </c>
      <c r="P69" s="14" t="str">
        <f t="shared" si="2"/>
        <v>🚨 REPLACE LOCK / KEY LOST</v>
      </c>
    </row>
    <row r="70" spans="1:16" x14ac:dyDescent="0.35">
      <c r="A70" s="23">
        <v>63</v>
      </c>
      <c r="B70" s="23" t="s">
        <v>45</v>
      </c>
      <c r="C70" s="24">
        <v>6804</v>
      </c>
      <c r="D70" s="23" t="s">
        <v>27</v>
      </c>
      <c r="E70" s="23" t="s">
        <v>189</v>
      </c>
      <c r="F70" s="23">
        <v>2</v>
      </c>
      <c r="G70" s="23">
        <v>2</v>
      </c>
      <c r="H70" s="23">
        <v>0</v>
      </c>
      <c r="I70" s="23">
        <f t="shared" si="0"/>
        <v>0</v>
      </c>
      <c r="J70" s="23" t="str">
        <f t="shared" si="1"/>
        <v>🔒 In Custody</v>
      </c>
      <c r="K70" s="23" t="s">
        <v>139</v>
      </c>
      <c r="L70" s="23" t="s">
        <v>137</v>
      </c>
      <c r="M70" s="28" t="s">
        <v>191</v>
      </c>
      <c r="N70" s="14" t="s">
        <v>34</v>
      </c>
      <c r="O70" s="14" t="s">
        <v>172</v>
      </c>
      <c r="P70" s="14" t="str">
        <f t="shared" si="2"/>
        <v>✅ OK</v>
      </c>
    </row>
    <row r="71" spans="1:16" x14ac:dyDescent="0.35">
      <c r="A71" s="23">
        <v>64</v>
      </c>
      <c r="B71" s="23" t="s">
        <v>45</v>
      </c>
      <c r="C71" s="24">
        <v>1785</v>
      </c>
      <c r="D71" s="23" t="s">
        <v>27</v>
      </c>
      <c r="E71" s="23" t="s">
        <v>189</v>
      </c>
      <c r="F71" s="23">
        <v>2</v>
      </c>
      <c r="G71" s="23">
        <v>2</v>
      </c>
      <c r="H71" s="23">
        <v>0</v>
      </c>
      <c r="I71" s="23">
        <f t="shared" si="0"/>
        <v>0</v>
      </c>
      <c r="J71" s="23" t="str">
        <f t="shared" si="1"/>
        <v>🔒 In Custody</v>
      </c>
      <c r="K71" s="23" t="s">
        <v>139</v>
      </c>
      <c r="L71" s="23" t="s">
        <v>137</v>
      </c>
      <c r="M71" s="28" t="s">
        <v>192</v>
      </c>
      <c r="N71" s="14" t="s">
        <v>34</v>
      </c>
      <c r="O71" s="14" t="s">
        <v>193</v>
      </c>
      <c r="P71" s="14" t="str">
        <f t="shared" si="2"/>
        <v>✅ OK</v>
      </c>
    </row>
    <row r="72" spans="1:16" x14ac:dyDescent="0.35">
      <c r="A72" s="23">
        <v>65</v>
      </c>
      <c r="B72" s="23" t="s">
        <v>45</v>
      </c>
      <c r="C72" s="24">
        <v>1791</v>
      </c>
      <c r="D72" s="23" t="s">
        <v>27</v>
      </c>
      <c r="E72" s="23" t="s">
        <v>189</v>
      </c>
      <c r="F72" s="23">
        <v>2</v>
      </c>
      <c r="G72" s="23">
        <v>2</v>
      </c>
      <c r="H72" s="23">
        <v>0</v>
      </c>
      <c r="I72" s="23">
        <f t="shared" ref="I72:I135" si="3">MAX(0, F72-G72-H72)</f>
        <v>0</v>
      </c>
      <c r="J72" s="23" t="str">
        <f t="shared" ref="J72:J135" si="4">IF(I72&gt;0, "⚠️ Missing Key", IF(H72&gt;0, "🔑 Issued to Staff", IF(G72&gt;0, "🔒 In Custody", IF(F72=0, "⚪ Unregistered", "🔍 Under Audit"))))</f>
        <v>🔒 In Custody</v>
      </c>
      <c r="K72" s="23" t="s">
        <v>67</v>
      </c>
      <c r="L72" s="23" t="s">
        <v>137</v>
      </c>
      <c r="M72" s="28" t="s">
        <v>190</v>
      </c>
      <c r="N72" s="14" t="s">
        <v>34</v>
      </c>
      <c r="O72" s="14" t="s">
        <v>175</v>
      </c>
      <c r="P72" s="14" t="str">
        <f t="shared" ref="P72:P135" si="5">IF(I72&gt;0, "🚨 REPLACE LOCK / KEY LOST", IF(ISNUMBER(SEARCH("Audit", O72)), "⚠️ AUDIT WITH EMPLOYEE", IF(ISNUMBER(SEARCH("Damaged", O72)), "⚠️ KEY DAMAGED / REPLACE", IF(ISNUMBER(SEARCH("Verification", O72)), "🔍 KEY VERIFICATION", IF(N72="Vacant", "🟢 AVAILABLE", "✅ OK")))))</f>
        <v>✅ OK</v>
      </c>
    </row>
    <row r="73" spans="1:16" x14ac:dyDescent="0.35">
      <c r="A73" s="23">
        <v>66</v>
      </c>
      <c r="B73" s="23" t="s">
        <v>45</v>
      </c>
      <c r="C73" s="26">
        <v>1833</v>
      </c>
      <c r="D73" s="23" t="s">
        <v>27</v>
      </c>
      <c r="E73" s="23" t="s">
        <v>189</v>
      </c>
      <c r="F73" s="23">
        <v>2</v>
      </c>
      <c r="G73" s="23">
        <v>0</v>
      </c>
      <c r="H73" s="23">
        <v>0</v>
      </c>
      <c r="I73" s="23">
        <f t="shared" si="3"/>
        <v>2</v>
      </c>
      <c r="J73" s="23" t="str">
        <f t="shared" si="4"/>
        <v>⚠️ Missing Key</v>
      </c>
      <c r="K73" s="23" t="s">
        <v>139</v>
      </c>
      <c r="L73" s="23" t="s">
        <v>137</v>
      </c>
      <c r="M73" s="28"/>
      <c r="N73" s="14" t="s">
        <v>187</v>
      </c>
      <c r="O73" s="14" t="s">
        <v>188</v>
      </c>
      <c r="P73" s="14" t="str">
        <f t="shared" si="5"/>
        <v>🚨 REPLACE LOCK / KEY LOST</v>
      </c>
    </row>
    <row r="74" spans="1:16" x14ac:dyDescent="0.35">
      <c r="A74" s="23">
        <v>67</v>
      </c>
      <c r="B74" s="23" t="s">
        <v>45</v>
      </c>
      <c r="C74" s="26">
        <v>1776</v>
      </c>
      <c r="D74" s="23" t="s">
        <v>27</v>
      </c>
      <c r="E74" s="23" t="s">
        <v>189</v>
      </c>
      <c r="F74" s="23">
        <v>2</v>
      </c>
      <c r="G74" s="23">
        <v>0</v>
      </c>
      <c r="H74" s="23">
        <v>0</v>
      </c>
      <c r="I74" s="23">
        <f t="shared" si="3"/>
        <v>2</v>
      </c>
      <c r="J74" s="23" t="str">
        <f t="shared" si="4"/>
        <v>⚠️ Missing Key</v>
      </c>
      <c r="K74" s="23" t="s">
        <v>139</v>
      </c>
      <c r="L74" s="23" t="s">
        <v>137</v>
      </c>
      <c r="M74" s="28"/>
      <c r="N74" s="14" t="s">
        <v>187</v>
      </c>
      <c r="O74" s="14" t="s">
        <v>188</v>
      </c>
      <c r="P74" s="14" t="str">
        <f t="shared" si="5"/>
        <v>🚨 REPLACE LOCK / KEY LOST</v>
      </c>
    </row>
    <row r="75" spans="1:16" x14ac:dyDescent="0.35">
      <c r="A75" s="23">
        <v>68</v>
      </c>
      <c r="B75" s="23" t="s">
        <v>45</v>
      </c>
      <c r="C75" s="24">
        <v>473</v>
      </c>
      <c r="D75" s="23" t="s">
        <v>27</v>
      </c>
      <c r="E75" s="23" t="s">
        <v>194</v>
      </c>
      <c r="F75" s="23">
        <v>2</v>
      </c>
      <c r="G75" s="23">
        <v>1</v>
      </c>
      <c r="H75" s="23">
        <v>1</v>
      </c>
      <c r="I75" s="23">
        <f t="shared" si="3"/>
        <v>0</v>
      </c>
      <c r="J75" s="23" t="str">
        <f t="shared" si="4"/>
        <v>🔑 Issued to Staff</v>
      </c>
      <c r="K75" s="23" t="s">
        <v>139</v>
      </c>
      <c r="L75" s="23" t="s">
        <v>137</v>
      </c>
      <c r="M75" s="28" t="s">
        <v>195</v>
      </c>
      <c r="N75" s="14" t="s">
        <v>34</v>
      </c>
      <c r="O75" s="14" t="s">
        <v>196</v>
      </c>
      <c r="P75" s="14" t="str">
        <f t="shared" si="5"/>
        <v>✅ OK</v>
      </c>
    </row>
    <row r="76" spans="1:16" x14ac:dyDescent="0.35">
      <c r="A76" s="23">
        <v>69</v>
      </c>
      <c r="B76" s="23" t="s">
        <v>45</v>
      </c>
      <c r="C76" s="24">
        <v>189</v>
      </c>
      <c r="D76" s="23" t="s">
        <v>27</v>
      </c>
      <c r="E76" s="23" t="s">
        <v>194</v>
      </c>
      <c r="F76" s="23">
        <v>2</v>
      </c>
      <c r="G76" s="23">
        <v>1</v>
      </c>
      <c r="H76" s="23">
        <v>1</v>
      </c>
      <c r="I76" s="23">
        <f t="shared" si="3"/>
        <v>0</v>
      </c>
      <c r="J76" s="23" t="str">
        <f t="shared" si="4"/>
        <v>🔑 Issued to Staff</v>
      </c>
      <c r="K76" s="23" t="s">
        <v>139</v>
      </c>
      <c r="L76" s="23" t="s">
        <v>137</v>
      </c>
      <c r="M76" s="28" t="s">
        <v>197</v>
      </c>
      <c r="N76" s="14" t="s">
        <v>34</v>
      </c>
      <c r="O76" s="14" t="s">
        <v>139</v>
      </c>
      <c r="P76" s="14" t="str">
        <f t="shared" si="5"/>
        <v>✅ OK</v>
      </c>
    </row>
    <row r="77" spans="1:16" x14ac:dyDescent="0.35">
      <c r="A77" s="23">
        <v>70</v>
      </c>
      <c r="B77" s="23" t="s">
        <v>45</v>
      </c>
      <c r="C77" s="24">
        <v>1807</v>
      </c>
      <c r="D77" s="23" t="s">
        <v>27</v>
      </c>
      <c r="E77" s="23" t="s">
        <v>194</v>
      </c>
      <c r="F77" s="23">
        <v>2</v>
      </c>
      <c r="G77" s="23">
        <v>1</v>
      </c>
      <c r="H77" s="23">
        <v>1</v>
      </c>
      <c r="I77" s="23">
        <f t="shared" si="3"/>
        <v>0</v>
      </c>
      <c r="J77" s="23" t="str">
        <f t="shared" si="4"/>
        <v>🔑 Issued to Staff</v>
      </c>
      <c r="K77" s="23" t="s">
        <v>139</v>
      </c>
      <c r="L77" s="23" t="s">
        <v>137</v>
      </c>
      <c r="M77" s="28" t="s">
        <v>192</v>
      </c>
      <c r="N77" s="14" t="s">
        <v>34</v>
      </c>
      <c r="O77" s="14" t="s">
        <v>196</v>
      </c>
      <c r="P77" s="14" t="str">
        <f t="shared" si="5"/>
        <v>✅ OK</v>
      </c>
    </row>
    <row r="78" spans="1:16" x14ac:dyDescent="0.35">
      <c r="A78" s="23">
        <v>71</v>
      </c>
      <c r="B78" s="23" t="s">
        <v>45</v>
      </c>
      <c r="C78" s="24">
        <v>7496</v>
      </c>
      <c r="D78" s="23" t="s">
        <v>27</v>
      </c>
      <c r="E78" s="23" t="s">
        <v>194</v>
      </c>
      <c r="F78" s="23">
        <v>2</v>
      </c>
      <c r="G78" s="23">
        <v>1</v>
      </c>
      <c r="H78" s="23">
        <v>1</v>
      </c>
      <c r="I78" s="23">
        <f t="shared" si="3"/>
        <v>0</v>
      </c>
      <c r="J78" s="23" t="str">
        <f t="shared" si="4"/>
        <v>🔑 Issued to Staff</v>
      </c>
      <c r="K78" s="23" t="s">
        <v>64</v>
      </c>
      <c r="L78" s="23" t="s">
        <v>137</v>
      </c>
      <c r="M78" s="28" t="s">
        <v>192</v>
      </c>
      <c r="N78" s="14" t="s">
        <v>34</v>
      </c>
      <c r="O78" s="14" t="s">
        <v>198</v>
      </c>
      <c r="P78" s="14" t="str">
        <f t="shared" si="5"/>
        <v>✅ OK</v>
      </c>
    </row>
    <row r="79" spans="1:16" x14ac:dyDescent="0.35">
      <c r="A79" s="23">
        <v>72</v>
      </c>
      <c r="B79" s="23" t="s">
        <v>45</v>
      </c>
      <c r="C79" s="26">
        <v>1784</v>
      </c>
      <c r="D79" s="23" t="s">
        <v>27</v>
      </c>
      <c r="E79" s="23" t="s">
        <v>194</v>
      </c>
      <c r="F79" s="23">
        <v>2</v>
      </c>
      <c r="G79" s="23">
        <v>1</v>
      </c>
      <c r="H79" s="23">
        <v>1</v>
      </c>
      <c r="I79" s="23">
        <f t="shared" si="3"/>
        <v>0</v>
      </c>
      <c r="J79" s="23" t="str">
        <f t="shared" si="4"/>
        <v>🔑 Issued to Staff</v>
      </c>
      <c r="K79" s="23" t="s">
        <v>139</v>
      </c>
      <c r="L79" s="23" t="s">
        <v>137</v>
      </c>
      <c r="M79" s="28"/>
      <c r="N79" s="14" t="s">
        <v>34</v>
      </c>
      <c r="O79" s="14" t="s">
        <v>139</v>
      </c>
      <c r="P79" s="14" t="str">
        <f t="shared" si="5"/>
        <v>✅ OK</v>
      </c>
    </row>
    <row r="80" spans="1:16" x14ac:dyDescent="0.35">
      <c r="A80" s="23">
        <v>73</v>
      </c>
      <c r="B80" s="23" t="s">
        <v>45</v>
      </c>
      <c r="C80" s="24">
        <v>1795</v>
      </c>
      <c r="D80" s="23" t="s">
        <v>27</v>
      </c>
      <c r="E80" s="23" t="s">
        <v>194</v>
      </c>
      <c r="F80" s="23">
        <v>2</v>
      </c>
      <c r="G80" s="23">
        <v>1</v>
      </c>
      <c r="H80" s="23">
        <v>1</v>
      </c>
      <c r="I80" s="23">
        <f t="shared" si="3"/>
        <v>0</v>
      </c>
      <c r="J80" s="23" t="str">
        <f t="shared" si="4"/>
        <v>🔑 Issued to Staff</v>
      </c>
      <c r="K80" s="23" t="s">
        <v>139</v>
      </c>
      <c r="L80" s="23" t="s">
        <v>137</v>
      </c>
      <c r="M80" s="28" t="s">
        <v>192</v>
      </c>
      <c r="N80" s="14" t="s">
        <v>34</v>
      </c>
      <c r="O80" s="14" t="s">
        <v>199</v>
      </c>
      <c r="P80" s="14" t="str">
        <f t="shared" si="5"/>
        <v>✅ OK</v>
      </c>
    </row>
    <row r="81" spans="1:16" x14ac:dyDescent="0.35">
      <c r="A81" s="23">
        <v>74</v>
      </c>
      <c r="B81" s="23" t="s">
        <v>45</v>
      </c>
      <c r="C81" s="26">
        <v>3</v>
      </c>
      <c r="D81" s="23" t="s">
        <v>28</v>
      </c>
      <c r="E81" s="23" t="s">
        <v>200</v>
      </c>
      <c r="F81" s="23">
        <v>2</v>
      </c>
      <c r="G81" s="23">
        <v>0</v>
      </c>
      <c r="H81" s="23">
        <v>0</v>
      </c>
      <c r="I81" s="23">
        <f t="shared" si="3"/>
        <v>2</v>
      </c>
      <c r="J81" s="23" t="str">
        <f t="shared" si="4"/>
        <v>⚠️ Missing Key</v>
      </c>
      <c r="K81" s="23" t="s">
        <v>139</v>
      </c>
      <c r="L81" s="23" t="s">
        <v>137</v>
      </c>
      <c r="M81" s="28"/>
      <c r="N81" s="14" t="s">
        <v>187</v>
      </c>
      <c r="O81" s="14" t="s">
        <v>188</v>
      </c>
      <c r="P81" s="14" t="str">
        <f t="shared" si="5"/>
        <v>🚨 REPLACE LOCK / KEY LOST</v>
      </c>
    </row>
    <row r="82" spans="1:16" x14ac:dyDescent="0.35">
      <c r="A82" s="23">
        <v>75</v>
      </c>
      <c r="B82" s="23" t="s">
        <v>45</v>
      </c>
      <c r="C82" s="24">
        <v>106</v>
      </c>
      <c r="D82" s="23" t="s">
        <v>28</v>
      </c>
      <c r="E82" s="23" t="s">
        <v>200</v>
      </c>
      <c r="F82" s="23">
        <v>2</v>
      </c>
      <c r="G82" s="23">
        <v>1</v>
      </c>
      <c r="H82" s="23">
        <v>1</v>
      </c>
      <c r="I82" s="23">
        <f t="shared" si="3"/>
        <v>0</v>
      </c>
      <c r="J82" s="23" t="str">
        <f t="shared" si="4"/>
        <v>🔑 Issued to Staff</v>
      </c>
      <c r="K82" s="23" t="s">
        <v>139</v>
      </c>
      <c r="L82" s="23" t="s">
        <v>137</v>
      </c>
      <c r="M82" s="28"/>
      <c r="N82" s="14" t="s">
        <v>34</v>
      </c>
      <c r="O82" s="14" t="s">
        <v>139</v>
      </c>
      <c r="P82" s="14" t="str">
        <f t="shared" si="5"/>
        <v>✅ OK</v>
      </c>
    </row>
    <row r="83" spans="1:16" x14ac:dyDescent="0.35">
      <c r="A83" s="23">
        <v>76</v>
      </c>
      <c r="B83" s="23" t="s">
        <v>45</v>
      </c>
      <c r="C83" s="24">
        <v>100</v>
      </c>
      <c r="D83" s="23" t="s">
        <v>28</v>
      </c>
      <c r="E83" s="23" t="s">
        <v>200</v>
      </c>
      <c r="F83" s="23">
        <v>2</v>
      </c>
      <c r="G83" s="23">
        <v>1</v>
      </c>
      <c r="H83" s="23">
        <v>1</v>
      </c>
      <c r="I83" s="23">
        <f t="shared" si="3"/>
        <v>0</v>
      </c>
      <c r="J83" s="23" t="str">
        <f t="shared" si="4"/>
        <v>🔑 Issued to Staff</v>
      </c>
      <c r="K83" s="23" t="s">
        <v>139</v>
      </c>
      <c r="L83" s="23" t="s">
        <v>137</v>
      </c>
      <c r="M83" s="28"/>
      <c r="N83" s="14" t="s">
        <v>187</v>
      </c>
      <c r="O83" s="14" t="s">
        <v>201</v>
      </c>
      <c r="P83" s="14" t="str">
        <f t="shared" si="5"/>
        <v>⚠️ KEY DAMAGED / REPLACE</v>
      </c>
    </row>
    <row r="84" spans="1:16" x14ac:dyDescent="0.35">
      <c r="A84" s="23">
        <v>77</v>
      </c>
      <c r="B84" s="23" t="s">
        <v>45</v>
      </c>
      <c r="C84" s="24">
        <v>216</v>
      </c>
      <c r="D84" s="23" t="s">
        <v>28</v>
      </c>
      <c r="E84" s="23" t="s">
        <v>200</v>
      </c>
      <c r="F84" s="23">
        <v>2</v>
      </c>
      <c r="G84" s="23">
        <v>1</v>
      </c>
      <c r="H84" s="23">
        <v>1</v>
      </c>
      <c r="I84" s="23">
        <f t="shared" si="3"/>
        <v>0</v>
      </c>
      <c r="J84" s="23" t="str">
        <f t="shared" si="4"/>
        <v>🔑 Issued to Staff</v>
      </c>
      <c r="K84" s="23" t="s">
        <v>139</v>
      </c>
      <c r="L84" s="23" t="s">
        <v>137</v>
      </c>
      <c r="M84" s="28"/>
      <c r="N84" s="14" t="s">
        <v>34</v>
      </c>
      <c r="O84" s="14" t="s">
        <v>139</v>
      </c>
      <c r="P84" s="14" t="str">
        <f t="shared" si="5"/>
        <v>✅ OK</v>
      </c>
    </row>
    <row r="85" spans="1:16" x14ac:dyDescent="0.35">
      <c r="A85" s="23">
        <v>78</v>
      </c>
      <c r="B85" s="23" t="s">
        <v>45</v>
      </c>
      <c r="C85" s="26">
        <v>319</v>
      </c>
      <c r="D85" s="23" t="s">
        <v>30</v>
      </c>
      <c r="E85" s="23" t="s">
        <v>202</v>
      </c>
      <c r="F85" s="23">
        <v>2</v>
      </c>
      <c r="G85" s="23">
        <v>0</v>
      </c>
      <c r="H85" s="23">
        <v>0</v>
      </c>
      <c r="I85" s="23">
        <f t="shared" si="3"/>
        <v>2</v>
      </c>
      <c r="J85" s="23" t="str">
        <f t="shared" si="4"/>
        <v>⚠️ Missing Key</v>
      </c>
      <c r="K85" s="23" t="s">
        <v>139</v>
      </c>
      <c r="L85" s="23" t="s">
        <v>137</v>
      </c>
      <c r="M85" s="28"/>
      <c r="N85" s="14" t="s">
        <v>187</v>
      </c>
      <c r="O85" s="14" t="s">
        <v>188</v>
      </c>
      <c r="P85" s="14" t="str">
        <f t="shared" si="5"/>
        <v>🚨 REPLACE LOCK / KEY LOST</v>
      </c>
    </row>
    <row r="86" spans="1:16" x14ac:dyDescent="0.35">
      <c r="A86" s="23">
        <v>79</v>
      </c>
      <c r="B86" s="23" t="s">
        <v>47</v>
      </c>
      <c r="C86" s="24">
        <v>7460</v>
      </c>
      <c r="D86" s="23" t="s">
        <v>27</v>
      </c>
      <c r="E86" s="23" t="s">
        <v>171</v>
      </c>
      <c r="F86" s="23">
        <v>2</v>
      </c>
      <c r="G86" s="23">
        <v>2</v>
      </c>
      <c r="H86" s="23">
        <v>0</v>
      </c>
      <c r="I86" s="23">
        <f t="shared" si="3"/>
        <v>0</v>
      </c>
      <c r="J86" s="23" t="str">
        <f t="shared" si="4"/>
        <v>🔒 In Custody</v>
      </c>
      <c r="K86" s="23" t="s">
        <v>139</v>
      </c>
      <c r="L86" s="23" t="s">
        <v>137</v>
      </c>
      <c r="M86" s="28" t="s">
        <v>203</v>
      </c>
      <c r="N86" s="14" t="s">
        <v>34</v>
      </c>
      <c r="O86" s="14" t="s">
        <v>155</v>
      </c>
      <c r="P86" s="14" t="str">
        <f t="shared" si="5"/>
        <v>✅ OK</v>
      </c>
    </row>
    <row r="87" spans="1:16" x14ac:dyDescent="0.35">
      <c r="A87" s="23">
        <v>80</v>
      </c>
      <c r="B87" s="23" t="s">
        <v>47</v>
      </c>
      <c r="C87" s="24">
        <v>7495</v>
      </c>
      <c r="D87" s="23" t="s">
        <v>27</v>
      </c>
      <c r="E87" s="23" t="s">
        <v>171</v>
      </c>
      <c r="F87" s="23">
        <v>2</v>
      </c>
      <c r="G87" s="23">
        <v>2</v>
      </c>
      <c r="H87" s="23">
        <v>0</v>
      </c>
      <c r="I87" s="23">
        <f t="shared" si="3"/>
        <v>0</v>
      </c>
      <c r="J87" s="23" t="str">
        <f t="shared" si="4"/>
        <v>🔒 In Custody</v>
      </c>
      <c r="K87" s="23" t="s">
        <v>139</v>
      </c>
      <c r="L87" s="23" t="s">
        <v>137</v>
      </c>
      <c r="M87" s="28" t="s">
        <v>204</v>
      </c>
      <c r="N87" s="14" t="s">
        <v>35</v>
      </c>
      <c r="O87" s="14" t="s">
        <v>139</v>
      </c>
      <c r="P87" s="14" t="str">
        <f t="shared" si="5"/>
        <v>🟢 AVAILABLE</v>
      </c>
    </row>
    <row r="88" spans="1:16" x14ac:dyDescent="0.35">
      <c r="A88" s="23">
        <v>81</v>
      </c>
      <c r="B88" s="23" t="s">
        <v>47</v>
      </c>
      <c r="C88" s="24">
        <v>7505</v>
      </c>
      <c r="D88" s="23" t="s">
        <v>27</v>
      </c>
      <c r="E88" s="23" t="s">
        <v>205</v>
      </c>
      <c r="F88" s="23">
        <v>2</v>
      </c>
      <c r="G88" s="23">
        <v>2</v>
      </c>
      <c r="H88" s="23">
        <v>0</v>
      </c>
      <c r="I88" s="23">
        <f t="shared" si="3"/>
        <v>0</v>
      </c>
      <c r="J88" s="23" t="str">
        <f t="shared" si="4"/>
        <v>🔒 In Custody</v>
      </c>
      <c r="K88" s="23" t="s">
        <v>139</v>
      </c>
      <c r="L88" s="23" t="s">
        <v>137</v>
      </c>
      <c r="M88" s="28" t="s">
        <v>204</v>
      </c>
      <c r="N88" s="14" t="s">
        <v>34</v>
      </c>
      <c r="O88" s="14" t="s">
        <v>155</v>
      </c>
      <c r="P88" s="14" t="str">
        <f t="shared" si="5"/>
        <v>✅ OK</v>
      </c>
    </row>
    <row r="89" spans="1:16" x14ac:dyDescent="0.35">
      <c r="A89" s="23">
        <v>82</v>
      </c>
      <c r="B89" s="23" t="s">
        <v>47</v>
      </c>
      <c r="C89" s="24">
        <v>7507</v>
      </c>
      <c r="D89" s="23" t="s">
        <v>27</v>
      </c>
      <c r="E89" s="23" t="s">
        <v>205</v>
      </c>
      <c r="F89" s="23">
        <v>2</v>
      </c>
      <c r="G89" s="23">
        <v>1</v>
      </c>
      <c r="H89" s="23">
        <v>1</v>
      </c>
      <c r="I89" s="23">
        <f t="shared" si="3"/>
        <v>0</v>
      </c>
      <c r="J89" s="23" t="str">
        <f t="shared" si="4"/>
        <v>🔑 Issued to Staff</v>
      </c>
      <c r="K89" s="23" t="s">
        <v>139</v>
      </c>
      <c r="L89" s="23" t="s">
        <v>137</v>
      </c>
      <c r="M89" s="28" t="s">
        <v>204</v>
      </c>
      <c r="N89" s="14" t="s">
        <v>34</v>
      </c>
      <c r="O89" s="14" t="s">
        <v>139</v>
      </c>
      <c r="P89" s="14" t="str">
        <f t="shared" si="5"/>
        <v>✅ OK</v>
      </c>
    </row>
    <row r="90" spans="1:16" x14ac:dyDescent="0.35">
      <c r="A90" s="23">
        <v>83</v>
      </c>
      <c r="B90" s="23" t="s">
        <v>47</v>
      </c>
      <c r="C90" s="24">
        <v>7491</v>
      </c>
      <c r="D90" s="23" t="s">
        <v>27</v>
      </c>
      <c r="E90" s="23" t="s">
        <v>205</v>
      </c>
      <c r="F90" s="23">
        <v>2</v>
      </c>
      <c r="G90" s="23">
        <v>1</v>
      </c>
      <c r="H90" s="23">
        <v>1</v>
      </c>
      <c r="I90" s="23">
        <f t="shared" si="3"/>
        <v>0</v>
      </c>
      <c r="J90" s="23" t="str">
        <f t="shared" si="4"/>
        <v>🔑 Issued to Staff</v>
      </c>
      <c r="K90" s="23" t="s">
        <v>139</v>
      </c>
      <c r="L90" s="23" t="s">
        <v>137</v>
      </c>
      <c r="M90" s="28" t="s">
        <v>204</v>
      </c>
      <c r="N90" s="14" t="s">
        <v>34</v>
      </c>
      <c r="O90" s="14" t="s">
        <v>139</v>
      </c>
      <c r="P90" s="14" t="str">
        <f t="shared" si="5"/>
        <v>✅ OK</v>
      </c>
    </row>
    <row r="91" spans="1:16" x14ac:dyDescent="0.35">
      <c r="A91" s="23">
        <v>84</v>
      </c>
      <c r="B91" s="23" t="s">
        <v>47</v>
      </c>
      <c r="C91" s="24">
        <v>7474</v>
      </c>
      <c r="D91" s="23" t="s">
        <v>27</v>
      </c>
      <c r="E91" s="23" t="s">
        <v>205</v>
      </c>
      <c r="F91" s="23">
        <v>2</v>
      </c>
      <c r="G91" s="23">
        <v>2</v>
      </c>
      <c r="H91" s="23">
        <v>0</v>
      </c>
      <c r="I91" s="23">
        <f t="shared" si="3"/>
        <v>0</v>
      </c>
      <c r="J91" s="23" t="str">
        <f t="shared" si="4"/>
        <v>🔒 In Custody</v>
      </c>
      <c r="K91" s="23" t="s">
        <v>139</v>
      </c>
      <c r="L91" s="23" t="s">
        <v>137</v>
      </c>
      <c r="M91" s="28" t="s">
        <v>204</v>
      </c>
      <c r="N91" s="14" t="s">
        <v>34</v>
      </c>
      <c r="O91" s="14" t="s">
        <v>183</v>
      </c>
      <c r="P91" s="14" t="str">
        <f t="shared" si="5"/>
        <v>✅ OK</v>
      </c>
    </row>
    <row r="92" spans="1:16" x14ac:dyDescent="0.35">
      <c r="A92" s="23">
        <v>85</v>
      </c>
      <c r="B92" s="23" t="s">
        <v>47</v>
      </c>
      <c r="C92" s="24">
        <v>7471</v>
      </c>
      <c r="D92" s="23" t="s">
        <v>27</v>
      </c>
      <c r="E92" s="23" t="s">
        <v>205</v>
      </c>
      <c r="F92" s="23">
        <v>2</v>
      </c>
      <c r="G92" s="23">
        <v>1</v>
      </c>
      <c r="H92" s="23">
        <v>1</v>
      </c>
      <c r="I92" s="23">
        <f t="shared" si="3"/>
        <v>0</v>
      </c>
      <c r="J92" s="23" t="str">
        <f t="shared" si="4"/>
        <v>🔑 Issued to Staff</v>
      </c>
      <c r="K92" s="23" t="s">
        <v>139</v>
      </c>
      <c r="L92" s="23" t="s">
        <v>137</v>
      </c>
      <c r="M92" s="28" t="s">
        <v>204</v>
      </c>
      <c r="N92" s="14" t="s">
        <v>34</v>
      </c>
      <c r="O92" s="14" t="s">
        <v>139</v>
      </c>
      <c r="P92" s="14" t="str">
        <f t="shared" si="5"/>
        <v>✅ OK</v>
      </c>
    </row>
    <row r="93" spans="1:16" x14ac:dyDescent="0.35">
      <c r="A93" s="23">
        <v>86</v>
      </c>
      <c r="B93" s="23" t="s">
        <v>47</v>
      </c>
      <c r="C93" s="24">
        <v>7480</v>
      </c>
      <c r="D93" s="23" t="s">
        <v>27</v>
      </c>
      <c r="E93" s="23" t="s">
        <v>205</v>
      </c>
      <c r="F93" s="23">
        <v>2</v>
      </c>
      <c r="G93" s="23">
        <v>2</v>
      </c>
      <c r="H93" s="23">
        <v>0</v>
      </c>
      <c r="I93" s="23">
        <f t="shared" si="3"/>
        <v>0</v>
      </c>
      <c r="J93" s="23" t="str">
        <f t="shared" si="4"/>
        <v>🔒 In Custody</v>
      </c>
      <c r="K93" s="23" t="s">
        <v>139</v>
      </c>
      <c r="L93" s="23" t="s">
        <v>137</v>
      </c>
      <c r="M93" s="28" t="s">
        <v>204</v>
      </c>
      <c r="N93" s="14" t="s">
        <v>35</v>
      </c>
      <c r="O93" s="14" t="s">
        <v>139</v>
      </c>
      <c r="P93" s="14" t="str">
        <f t="shared" si="5"/>
        <v>🟢 AVAILABLE</v>
      </c>
    </row>
    <row r="94" spans="1:16" x14ac:dyDescent="0.35">
      <c r="A94" s="23">
        <v>87</v>
      </c>
      <c r="B94" s="23" t="s">
        <v>47</v>
      </c>
      <c r="C94" s="26">
        <v>713</v>
      </c>
      <c r="D94" s="23" t="s">
        <v>27</v>
      </c>
      <c r="E94" s="23" t="s">
        <v>206</v>
      </c>
      <c r="F94" s="23">
        <v>2</v>
      </c>
      <c r="G94" s="23">
        <v>1</v>
      </c>
      <c r="H94" s="23">
        <v>1</v>
      </c>
      <c r="I94" s="23">
        <f t="shared" si="3"/>
        <v>0</v>
      </c>
      <c r="J94" s="23" t="str">
        <f t="shared" si="4"/>
        <v>🔑 Issued to Staff</v>
      </c>
      <c r="K94" s="23" t="s">
        <v>207</v>
      </c>
      <c r="L94" s="23" t="s">
        <v>137</v>
      </c>
      <c r="M94" s="28"/>
      <c r="N94" s="14" t="s">
        <v>34</v>
      </c>
      <c r="O94" s="14" t="s">
        <v>208</v>
      </c>
      <c r="P94" s="14" t="str">
        <f t="shared" si="5"/>
        <v>✅ OK</v>
      </c>
    </row>
    <row r="95" spans="1:16" x14ac:dyDescent="0.35">
      <c r="A95" s="23">
        <v>88</v>
      </c>
      <c r="B95" s="23" t="s">
        <v>47</v>
      </c>
      <c r="C95" s="26">
        <v>708</v>
      </c>
      <c r="D95" s="23" t="s">
        <v>27</v>
      </c>
      <c r="E95" s="23" t="s">
        <v>206</v>
      </c>
      <c r="F95" s="23">
        <v>2</v>
      </c>
      <c r="G95" s="23">
        <v>1</v>
      </c>
      <c r="H95" s="23">
        <v>1</v>
      </c>
      <c r="I95" s="23">
        <f t="shared" si="3"/>
        <v>0</v>
      </c>
      <c r="J95" s="23" t="str">
        <f t="shared" si="4"/>
        <v>🔑 Issued to Staff</v>
      </c>
      <c r="K95" s="23" t="s">
        <v>139</v>
      </c>
      <c r="L95" s="23" t="s">
        <v>137</v>
      </c>
      <c r="M95" s="28"/>
      <c r="N95" s="14" t="s">
        <v>34</v>
      </c>
      <c r="O95" s="14" t="s">
        <v>183</v>
      </c>
      <c r="P95" s="14" t="str">
        <f t="shared" si="5"/>
        <v>✅ OK</v>
      </c>
    </row>
    <row r="96" spans="1:16" x14ac:dyDescent="0.35">
      <c r="A96" s="23">
        <v>89</v>
      </c>
      <c r="B96" s="23" t="s">
        <v>47</v>
      </c>
      <c r="C96" s="24">
        <v>692</v>
      </c>
      <c r="D96" s="23" t="s">
        <v>27</v>
      </c>
      <c r="E96" s="23" t="s">
        <v>206</v>
      </c>
      <c r="F96" s="23">
        <v>2</v>
      </c>
      <c r="G96" s="23">
        <v>2</v>
      </c>
      <c r="H96" s="23">
        <v>0</v>
      </c>
      <c r="I96" s="23">
        <f t="shared" si="3"/>
        <v>0</v>
      </c>
      <c r="J96" s="23" t="str">
        <f t="shared" si="4"/>
        <v>🔒 In Custody</v>
      </c>
      <c r="K96" s="23" t="s">
        <v>139</v>
      </c>
      <c r="L96" s="23" t="s">
        <v>137</v>
      </c>
      <c r="M96" s="28" t="s">
        <v>204</v>
      </c>
      <c r="N96" s="14" t="s">
        <v>35</v>
      </c>
      <c r="O96" s="14" t="s">
        <v>139</v>
      </c>
      <c r="P96" s="14" t="str">
        <f t="shared" si="5"/>
        <v>🟢 AVAILABLE</v>
      </c>
    </row>
    <row r="97" spans="1:16" x14ac:dyDescent="0.35">
      <c r="A97" s="23">
        <v>90</v>
      </c>
      <c r="B97" s="23" t="s">
        <v>47</v>
      </c>
      <c r="C97" s="24">
        <v>602</v>
      </c>
      <c r="D97" s="23" t="s">
        <v>27</v>
      </c>
      <c r="E97" s="23" t="s">
        <v>206</v>
      </c>
      <c r="F97" s="23">
        <v>2</v>
      </c>
      <c r="G97" s="23">
        <v>1</v>
      </c>
      <c r="H97" s="23">
        <v>1</v>
      </c>
      <c r="I97" s="23">
        <f t="shared" si="3"/>
        <v>0</v>
      </c>
      <c r="J97" s="23" t="str">
        <f t="shared" si="4"/>
        <v>🔑 Issued to Staff</v>
      </c>
      <c r="K97" s="23" t="s">
        <v>209</v>
      </c>
      <c r="L97" s="23" t="s">
        <v>137</v>
      </c>
      <c r="M97" s="28" t="s">
        <v>204</v>
      </c>
      <c r="N97" s="14" t="s">
        <v>34</v>
      </c>
      <c r="O97" s="14" t="s">
        <v>139</v>
      </c>
      <c r="P97" s="14" t="str">
        <f t="shared" si="5"/>
        <v>✅ OK</v>
      </c>
    </row>
    <row r="98" spans="1:16" x14ac:dyDescent="0.35">
      <c r="A98" s="23">
        <v>91</v>
      </c>
      <c r="B98" s="23" t="s">
        <v>47</v>
      </c>
      <c r="C98" s="24">
        <v>660</v>
      </c>
      <c r="D98" s="23" t="s">
        <v>27</v>
      </c>
      <c r="E98" s="23" t="s">
        <v>206</v>
      </c>
      <c r="F98" s="23">
        <v>2</v>
      </c>
      <c r="G98" s="23">
        <v>1</v>
      </c>
      <c r="H98" s="23">
        <v>0</v>
      </c>
      <c r="I98" s="23">
        <f t="shared" si="3"/>
        <v>1</v>
      </c>
      <c r="J98" s="23" t="str">
        <f t="shared" si="4"/>
        <v>⚠️ Missing Key</v>
      </c>
      <c r="K98" s="23" t="s">
        <v>139</v>
      </c>
      <c r="L98" s="23" t="s">
        <v>137</v>
      </c>
      <c r="M98" s="28" t="s">
        <v>204</v>
      </c>
      <c r="N98" s="14" t="s">
        <v>34</v>
      </c>
      <c r="O98" s="14" t="s">
        <v>139</v>
      </c>
      <c r="P98" s="14" t="str">
        <f t="shared" si="5"/>
        <v>🚨 REPLACE LOCK / KEY LOST</v>
      </c>
    </row>
    <row r="99" spans="1:16" x14ac:dyDescent="0.35">
      <c r="A99" s="23">
        <v>92</v>
      </c>
      <c r="B99" s="23" t="s">
        <v>47</v>
      </c>
      <c r="C99" s="24">
        <v>604</v>
      </c>
      <c r="D99" s="23" t="s">
        <v>27</v>
      </c>
      <c r="E99" s="23" t="s">
        <v>206</v>
      </c>
      <c r="F99" s="23">
        <v>2</v>
      </c>
      <c r="G99" s="23">
        <v>1</v>
      </c>
      <c r="H99" s="23">
        <v>1</v>
      </c>
      <c r="I99" s="23">
        <f t="shared" si="3"/>
        <v>0</v>
      </c>
      <c r="J99" s="23" t="str">
        <f t="shared" si="4"/>
        <v>🔑 Issued to Staff</v>
      </c>
      <c r="K99" s="23" t="s">
        <v>139</v>
      </c>
      <c r="L99" s="23" t="s">
        <v>137</v>
      </c>
      <c r="M99" s="28" t="s">
        <v>204</v>
      </c>
      <c r="N99" s="14" t="s">
        <v>34</v>
      </c>
      <c r="O99" s="14" t="s">
        <v>139</v>
      </c>
      <c r="P99" s="14" t="str">
        <f t="shared" si="5"/>
        <v>✅ OK</v>
      </c>
    </row>
    <row r="100" spans="1:16" x14ac:dyDescent="0.35">
      <c r="A100" s="23">
        <v>93</v>
      </c>
      <c r="B100" s="23" t="s">
        <v>47</v>
      </c>
      <c r="C100" s="24">
        <v>7564</v>
      </c>
      <c r="D100" s="23" t="s">
        <v>27</v>
      </c>
      <c r="E100" s="23" t="s">
        <v>210</v>
      </c>
      <c r="F100" s="23">
        <v>2</v>
      </c>
      <c r="G100" s="23">
        <v>2</v>
      </c>
      <c r="H100" s="23">
        <v>0</v>
      </c>
      <c r="I100" s="23">
        <f t="shared" si="3"/>
        <v>0</v>
      </c>
      <c r="J100" s="23" t="str">
        <f t="shared" si="4"/>
        <v>🔒 In Custody</v>
      </c>
      <c r="K100" s="23" t="s">
        <v>139</v>
      </c>
      <c r="L100" s="23" t="s">
        <v>137</v>
      </c>
      <c r="M100" s="28" t="s">
        <v>204</v>
      </c>
      <c r="N100" s="14" t="s">
        <v>34</v>
      </c>
      <c r="O100" s="14" t="s">
        <v>153</v>
      </c>
      <c r="P100" s="14" t="str">
        <f t="shared" si="5"/>
        <v>✅ OK</v>
      </c>
    </row>
    <row r="101" spans="1:16" x14ac:dyDescent="0.35">
      <c r="A101" s="23">
        <v>94</v>
      </c>
      <c r="B101" s="23" t="s">
        <v>47</v>
      </c>
      <c r="C101" s="24">
        <v>7587</v>
      </c>
      <c r="D101" s="23" t="s">
        <v>27</v>
      </c>
      <c r="E101" s="23" t="s">
        <v>210</v>
      </c>
      <c r="F101" s="23">
        <v>2</v>
      </c>
      <c r="G101" s="23">
        <v>1</v>
      </c>
      <c r="H101" s="23">
        <v>1</v>
      </c>
      <c r="I101" s="23">
        <f t="shared" si="3"/>
        <v>0</v>
      </c>
      <c r="J101" s="23" t="str">
        <f t="shared" si="4"/>
        <v>🔑 Issued to Staff</v>
      </c>
      <c r="K101" s="23" t="s">
        <v>139</v>
      </c>
      <c r="L101" s="23" t="s">
        <v>137</v>
      </c>
      <c r="M101" s="28"/>
      <c r="N101" s="14" t="s">
        <v>34</v>
      </c>
      <c r="O101" s="14" t="s">
        <v>211</v>
      </c>
      <c r="P101" s="14" t="str">
        <f t="shared" si="5"/>
        <v>✅ OK</v>
      </c>
    </row>
    <row r="102" spans="1:16" x14ac:dyDescent="0.35">
      <c r="A102" s="23">
        <v>95</v>
      </c>
      <c r="B102" s="23" t="s">
        <v>47</v>
      </c>
      <c r="C102" s="24">
        <v>7689</v>
      </c>
      <c r="D102" s="23" t="s">
        <v>27</v>
      </c>
      <c r="E102" s="23" t="s">
        <v>210</v>
      </c>
      <c r="F102" s="23">
        <v>2</v>
      </c>
      <c r="G102" s="23">
        <v>2</v>
      </c>
      <c r="H102" s="23">
        <v>0</v>
      </c>
      <c r="I102" s="23">
        <f t="shared" si="3"/>
        <v>0</v>
      </c>
      <c r="J102" s="23" t="str">
        <f t="shared" si="4"/>
        <v>🔒 In Custody</v>
      </c>
      <c r="K102" s="23" t="s">
        <v>139</v>
      </c>
      <c r="L102" s="23" t="s">
        <v>137</v>
      </c>
      <c r="M102" s="28" t="s">
        <v>204</v>
      </c>
      <c r="N102" s="14" t="s">
        <v>35</v>
      </c>
      <c r="O102" s="14" t="s">
        <v>139</v>
      </c>
      <c r="P102" s="14" t="str">
        <f t="shared" si="5"/>
        <v>🟢 AVAILABLE</v>
      </c>
    </row>
    <row r="103" spans="1:16" x14ac:dyDescent="0.35">
      <c r="A103" s="23">
        <v>96</v>
      </c>
      <c r="B103" s="23" t="s">
        <v>47</v>
      </c>
      <c r="C103" s="24">
        <v>1</v>
      </c>
      <c r="D103" s="23" t="s">
        <v>27</v>
      </c>
      <c r="E103" s="23" t="s">
        <v>210</v>
      </c>
      <c r="F103" s="23">
        <v>2</v>
      </c>
      <c r="G103" s="23">
        <v>1</v>
      </c>
      <c r="H103" s="23">
        <v>0</v>
      </c>
      <c r="I103" s="23">
        <f t="shared" si="3"/>
        <v>1</v>
      </c>
      <c r="J103" s="23" t="str">
        <f t="shared" si="4"/>
        <v>⚠️ Missing Key</v>
      </c>
      <c r="K103" s="23" t="s">
        <v>139</v>
      </c>
      <c r="L103" s="23" t="s">
        <v>137</v>
      </c>
      <c r="M103" s="28"/>
      <c r="N103" s="14" t="s">
        <v>34</v>
      </c>
      <c r="O103" s="14" t="s">
        <v>211</v>
      </c>
      <c r="P103" s="14" t="str">
        <f t="shared" si="5"/>
        <v>🚨 REPLACE LOCK / KEY LOST</v>
      </c>
    </row>
    <row r="104" spans="1:16" x14ac:dyDescent="0.35">
      <c r="A104" s="23">
        <v>97</v>
      </c>
      <c r="B104" s="23" t="s">
        <v>47</v>
      </c>
      <c r="C104" s="24">
        <v>1388</v>
      </c>
      <c r="D104" s="23" t="s">
        <v>27</v>
      </c>
      <c r="E104" s="23" t="s">
        <v>210</v>
      </c>
      <c r="F104" s="23">
        <v>2</v>
      </c>
      <c r="G104" s="23">
        <v>1</v>
      </c>
      <c r="H104" s="23">
        <v>0</v>
      </c>
      <c r="I104" s="23">
        <f t="shared" si="3"/>
        <v>1</v>
      </c>
      <c r="J104" s="23" t="str">
        <f t="shared" si="4"/>
        <v>⚠️ Missing Key</v>
      </c>
      <c r="K104" s="23" t="s">
        <v>139</v>
      </c>
      <c r="L104" s="23" t="s">
        <v>137</v>
      </c>
      <c r="M104" s="28"/>
      <c r="N104" s="14" t="s">
        <v>34</v>
      </c>
      <c r="O104" s="14" t="s">
        <v>211</v>
      </c>
      <c r="P104" s="14" t="str">
        <f t="shared" si="5"/>
        <v>🚨 REPLACE LOCK / KEY LOST</v>
      </c>
    </row>
    <row r="105" spans="1:16" x14ac:dyDescent="0.35">
      <c r="A105" s="23">
        <v>98</v>
      </c>
      <c r="B105" s="23" t="s">
        <v>47</v>
      </c>
      <c r="C105" s="24">
        <v>7557</v>
      </c>
      <c r="D105" s="23" t="s">
        <v>27</v>
      </c>
      <c r="E105" s="23" t="s">
        <v>170</v>
      </c>
      <c r="F105" s="23">
        <v>2</v>
      </c>
      <c r="G105" s="23">
        <v>2</v>
      </c>
      <c r="H105" s="23">
        <v>0</v>
      </c>
      <c r="I105" s="23">
        <f t="shared" si="3"/>
        <v>0</v>
      </c>
      <c r="J105" s="23" t="str">
        <f t="shared" si="4"/>
        <v>🔒 In Custody</v>
      </c>
      <c r="K105" s="23" t="s">
        <v>139</v>
      </c>
      <c r="L105" s="23" t="s">
        <v>137</v>
      </c>
      <c r="M105" s="28" t="s">
        <v>204</v>
      </c>
      <c r="N105" s="14" t="s">
        <v>34</v>
      </c>
      <c r="O105" s="14" t="s">
        <v>183</v>
      </c>
      <c r="P105" s="14" t="str">
        <f t="shared" si="5"/>
        <v>✅ OK</v>
      </c>
    </row>
    <row r="106" spans="1:16" x14ac:dyDescent="0.35">
      <c r="A106" s="23">
        <v>99</v>
      </c>
      <c r="B106" s="23" t="s">
        <v>47</v>
      </c>
      <c r="C106" s="24">
        <v>7558</v>
      </c>
      <c r="D106" s="23" t="s">
        <v>27</v>
      </c>
      <c r="E106" s="23" t="s">
        <v>170</v>
      </c>
      <c r="F106" s="23">
        <v>2</v>
      </c>
      <c r="G106" s="23">
        <v>1</v>
      </c>
      <c r="H106" s="23">
        <v>1</v>
      </c>
      <c r="I106" s="23">
        <f t="shared" si="3"/>
        <v>0</v>
      </c>
      <c r="J106" s="23" t="str">
        <f t="shared" si="4"/>
        <v>🔑 Issued to Staff</v>
      </c>
      <c r="K106" s="23" t="s">
        <v>212</v>
      </c>
      <c r="L106" s="23" t="s">
        <v>137</v>
      </c>
      <c r="M106" s="28" t="s">
        <v>204</v>
      </c>
      <c r="N106" s="14" t="s">
        <v>34</v>
      </c>
      <c r="O106" s="14" t="s">
        <v>213</v>
      </c>
      <c r="P106" s="14" t="str">
        <f t="shared" si="5"/>
        <v>✅ OK</v>
      </c>
    </row>
    <row r="107" spans="1:16" x14ac:dyDescent="0.35">
      <c r="A107" s="23">
        <v>100</v>
      </c>
      <c r="B107" s="23" t="s">
        <v>47</v>
      </c>
      <c r="C107" s="24">
        <v>7486</v>
      </c>
      <c r="D107" s="23" t="s">
        <v>27</v>
      </c>
      <c r="E107" s="23" t="s">
        <v>214</v>
      </c>
      <c r="F107" s="23">
        <v>2</v>
      </c>
      <c r="G107" s="23">
        <v>1</v>
      </c>
      <c r="H107" s="23">
        <v>0</v>
      </c>
      <c r="I107" s="23">
        <f t="shared" si="3"/>
        <v>1</v>
      </c>
      <c r="J107" s="23" t="str">
        <f t="shared" si="4"/>
        <v>⚠️ Missing Key</v>
      </c>
      <c r="K107" s="23" t="s">
        <v>139</v>
      </c>
      <c r="L107" s="23" t="s">
        <v>137</v>
      </c>
      <c r="M107" s="28" t="s">
        <v>204</v>
      </c>
      <c r="N107" s="14" t="s">
        <v>34</v>
      </c>
      <c r="O107" s="14" t="s">
        <v>211</v>
      </c>
      <c r="P107" s="14" t="str">
        <f t="shared" si="5"/>
        <v>🚨 REPLACE LOCK / KEY LOST</v>
      </c>
    </row>
    <row r="108" spans="1:16" x14ac:dyDescent="0.35">
      <c r="A108" s="23">
        <v>101</v>
      </c>
      <c r="B108" s="23" t="s">
        <v>47</v>
      </c>
      <c r="C108" s="24">
        <v>7578</v>
      </c>
      <c r="D108" s="23" t="s">
        <v>27</v>
      </c>
      <c r="E108" s="23" t="s">
        <v>214</v>
      </c>
      <c r="F108" s="23">
        <v>2</v>
      </c>
      <c r="G108" s="23">
        <v>2</v>
      </c>
      <c r="H108" s="23">
        <v>0</v>
      </c>
      <c r="I108" s="23">
        <f t="shared" si="3"/>
        <v>0</v>
      </c>
      <c r="J108" s="23" t="str">
        <f t="shared" si="4"/>
        <v>🔒 In Custody</v>
      </c>
      <c r="K108" s="23" t="s">
        <v>139</v>
      </c>
      <c r="L108" s="23" t="s">
        <v>137</v>
      </c>
      <c r="M108" s="28" t="s">
        <v>204</v>
      </c>
      <c r="N108" s="14" t="s">
        <v>34</v>
      </c>
      <c r="O108" s="14" t="s">
        <v>153</v>
      </c>
      <c r="P108" s="14" t="str">
        <f t="shared" si="5"/>
        <v>✅ OK</v>
      </c>
    </row>
    <row r="109" spans="1:16" x14ac:dyDescent="0.35">
      <c r="A109" s="23">
        <v>102</v>
      </c>
      <c r="B109" s="23" t="s">
        <v>47</v>
      </c>
      <c r="C109" s="24">
        <v>7551</v>
      </c>
      <c r="D109" s="23" t="s">
        <v>27</v>
      </c>
      <c r="E109" s="23" t="s">
        <v>214</v>
      </c>
      <c r="F109" s="23">
        <v>2</v>
      </c>
      <c r="G109" s="23">
        <v>2</v>
      </c>
      <c r="H109" s="23">
        <v>1</v>
      </c>
      <c r="I109" s="23">
        <f t="shared" si="3"/>
        <v>0</v>
      </c>
      <c r="J109" s="23" t="str">
        <f t="shared" si="4"/>
        <v>🔑 Issued to Staff</v>
      </c>
      <c r="K109" s="23" t="s">
        <v>139</v>
      </c>
      <c r="L109" s="23" t="s">
        <v>137</v>
      </c>
      <c r="M109" s="28" t="s">
        <v>204</v>
      </c>
      <c r="N109" s="14" t="s">
        <v>34</v>
      </c>
      <c r="O109" s="14" t="s">
        <v>153</v>
      </c>
      <c r="P109" s="14" t="str">
        <f t="shared" si="5"/>
        <v>✅ OK</v>
      </c>
    </row>
    <row r="110" spans="1:16" x14ac:dyDescent="0.35">
      <c r="A110" s="23">
        <v>103</v>
      </c>
      <c r="B110" s="23" t="s">
        <v>47</v>
      </c>
      <c r="C110" s="24">
        <v>7542</v>
      </c>
      <c r="D110" s="23" t="s">
        <v>27</v>
      </c>
      <c r="E110" s="23" t="s">
        <v>214</v>
      </c>
      <c r="F110" s="23">
        <v>2</v>
      </c>
      <c r="G110" s="23">
        <v>2</v>
      </c>
      <c r="H110" s="23">
        <v>0</v>
      </c>
      <c r="I110" s="23">
        <f t="shared" si="3"/>
        <v>0</v>
      </c>
      <c r="J110" s="23" t="str">
        <f t="shared" si="4"/>
        <v>🔒 In Custody</v>
      </c>
      <c r="K110" s="23" t="s">
        <v>139</v>
      </c>
      <c r="L110" s="23" t="s">
        <v>137</v>
      </c>
      <c r="M110" s="28" t="s">
        <v>204</v>
      </c>
      <c r="N110" s="14" t="s">
        <v>34</v>
      </c>
      <c r="O110" s="14" t="s">
        <v>183</v>
      </c>
      <c r="P110" s="14" t="str">
        <f t="shared" si="5"/>
        <v>✅ OK</v>
      </c>
    </row>
    <row r="111" spans="1:16" x14ac:dyDescent="0.35">
      <c r="A111" s="23">
        <v>104</v>
      </c>
      <c r="B111" s="23" t="s">
        <v>47</v>
      </c>
      <c r="C111" s="24">
        <v>7541</v>
      </c>
      <c r="D111" s="23" t="s">
        <v>27</v>
      </c>
      <c r="E111" s="23" t="s">
        <v>214</v>
      </c>
      <c r="F111" s="23">
        <v>2</v>
      </c>
      <c r="G111" s="23">
        <v>2</v>
      </c>
      <c r="H111" s="23">
        <v>1</v>
      </c>
      <c r="I111" s="23">
        <f t="shared" si="3"/>
        <v>0</v>
      </c>
      <c r="J111" s="23" t="str">
        <f t="shared" si="4"/>
        <v>🔑 Issued to Staff</v>
      </c>
      <c r="K111" s="23" t="s">
        <v>139</v>
      </c>
      <c r="L111" s="23" t="s">
        <v>137</v>
      </c>
      <c r="M111" s="28" t="s">
        <v>204</v>
      </c>
      <c r="N111" s="14" t="s">
        <v>34</v>
      </c>
      <c r="O111" s="14" t="s">
        <v>153</v>
      </c>
      <c r="P111" s="14" t="str">
        <f t="shared" si="5"/>
        <v>✅ OK</v>
      </c>
    </row>
    <row r="112" spans="1:16" x14ac:dyDescent="0.35">
      <c r="A112" s="23">
        <v>105</v>
      </c>
      <c r="B112" s="23" t="s">
        <v>47</v>
      </c>
      <c r="C112" s="24">
        <v>7565</v>
      </c>
      <c r="D112" s="23" t="s">
        <v>27</v>
      </c>
      <c r="E112" s="23" t="s">
        <v>214</v>
      </c>
      <c r="F112" s="23">
        <v>2</v>
      </c>
      <c r="G112" s="23">
        <v>2</v>
      </c>
      <c r="H112" s="23">
        <v>0</v>
      </c>
      <c r="I112" s="23">
        <f t="shared" si="3"/>
        <v>0</v>
      </c>
      <c r="J112" s="23" t="str">
        <f t="shared" si="4"/>
        <v>🔒 In Custody</v>
      </c>
      <c r="K112" s="23" t="s">
        <v>139</v>
      </c>
      <c r="L112" s="23" t="s">
        <v>137</v>
      </c>
      <c r="M112" s="28" t="s">
        <v>204</v>
      </c>
      <c r="N112" s="14" t="s">
        <v>34</v>
      </c>
      <c r="O112" s="14" t="s">
        <v>215</v>
      </c>
      <c r="P112" s="14" t="str">
        <f t="shared" si="5"/>
        <v>✅ OK</v>
      </c>
    </row>
    <row r="113" spans="1:16" x14ac:dyDescent="0.35">
      <c r="A113" s="23">
        <v>106</v>
      </c>
      <c r="B113" s="23" t="s">
        <v>47</v>
      </c>
      <c r="C113" s="24">
        <v>343</v>
      </c>
      <c r="D113" s="23" t="s">
        <v>27</v>
      </c>
      <c r="E113" s="23" t="s">
        <v>216</v>
      </c>
      <c r="F113" s="23">
        <v>2</v>
      </c>
      <c r="G113" s="23">
        <v>2</v>
      </c>
      <c r="H113" s="23">
        <v>0</v>
      </c>
      <c r="I113" s="23">
        <f t="shared" si="3"/>
        <v>0</v>
      </c>
      <c r="J113" s="23" t="str">
        <f t="shared" si="4"/>
        <v>🔒 In Custody</v>
      </c>
      <c r="K113" s="23" t="s">
        <v>139</v>
      </c>
      <c r="L113" s="23" t="s">
        <v>137</v>
      </c>
      <c r="M113" s="28" t="s">
        <v>204</v>
      </c>
      <c r="N113" s="14" t="s">
        <v>34</v>
      </c>
      <c r="O113" s="14" t="s">
        <v>211</v>
      </c>
      <c r="P113" s="14" t="str">
        <f t="shared" si="5"/>
        <v>✅ OK</v>
      </c>
    </row>
    <row r="114" spans="1:16" x14ac:dyDescent="0.35">
      <c r="A114" s="23">
        <v>107</v>
      </c>
      <c r="B114" s="23" t="s">
        <v>47</v>
      </c>
      <c r="C114" s="24">
        <v>110</v>
      </c>
      <c r="D114" s="23" t="s">
        <v>27</v>
      </c>
      <c r="E114" s="23" t="s">
        <v>216</v>
      </c>
      <c r="F114" s="23">
        <v>2</v>
      </c>
      <c r="G114" s="23">
        <v>2</v>
      </c>
      <c r="H114" s="23">
        <v>0</v>
      </c>
      <c r="I114" s="23">
        <f t="shared" si="3"/>
        <v>0</v>
      </c>
      <c r="J114" s="23" t="str">
        <f t="shared" si="4"/>
        <v>🔒 In Custody</v>
      </c>
      <c r="K114" s="23" t="s">
        <v>139</v>
      </c>
      <c r="L114" s="23" t="s">
        <v>137</v>
      </c>
      <c r="M114" s="28"/>
      <c r="N114" s="14" t="s">
        <v>34</v>
      </c>
      <c r="O114" s="14" t="s">
        <v>211</v>
      </c>
      <c r="P114" s="14" t="str">
        <f t="shared" si="5"/>
        <v>✅ OK</v>
      </c>
    </row>
    <row r="115" spans="1:16" x14ac:dyDescent="0.35">
      <c r="A115" s="23">
        <v>108</v>
      </c>
      <c r="B115" s="23" t="s">
        <v>47</v>
      </c>
      <c r="C115" s="24">
        <v>372</v>
      </c>
      <c r="D115" s="23" t="s">
        <v>27</v>
      </c>
      <c r="E115" s="23" t="s">
        <v>216</v>
      </c>
      <c r="F115" s="23">
        <v>2</v>
      </c>
      <c r="G115" s="23">
        <v>2</v>
      </c>
      <c r="H115" s="23">
        <v>0</v>
      </c>
      <c r="I115" s="23">
        <f t="shared" si="3"/>
        <v>0</v>
      </c>
      <c r="J115" s="23" t="str">
        <f t="shared" si="4"/>
        <v>🔒 In Custody</v>
      </c>
      <c r="K115" s="23" t="s">
        <v>139</v>
      </c>
      <c r="L115" s="23" t="s">
        <v>137</v>
      </c>
      <c r="M115" s="28" t="s">
        <v>217</v>
      </c>
      <c r="N115" s="14" t="s">
        <v>34</v>
      </c>
      <c r="O115" s="14" t="s">
        <v>211</v>
      </c>
      <c r="P115" s="14" t="str">
        <f t="shared" si="5"/>
        <v>✅ OK</v>
      </c>
    </row>
    <row r="116" spans="1:16" x14ac:dyDescent="0.35">
      <c r="A116" s="23">
        <v>109</v>
      </c>
      <c r="B116" s="23" t="s">
        <v>47</v>
      </c>
      <c r="C116" s="24">
        <v>44</v>
      </c>
      <c r="D116" s="23" t="s">
        <v>27</v>
      </c>
      <c r="E116" s="23" t="s">
        <v>216</v>
      </c>
      <c r="F116" s="23">
        <v>2</v>
      </c>
      <c r="G116" s="23">
        <v>2</v>
      </c>
      <c r="H116" s="23">
        <v>0</v>
      </c>
      <c r="I116" s="23">
        <f t="shared" si="3"/>
        <v>0</v>
      </c>
      <c r="J116" s="23" t="str">
        <f t="shared" si="4"/>
        <v>🔒 In Custody</v>
      </c>
      <c r="K116" s="23" t="s">
        <v>139</v>
      </c>
      <c r="L116" s="23" t="s">
        <v>137</v>
      </c>
      <c r="M116" s="28" t="s">
        <v>204</v>
      </c>
      <c r="N116" s="14" t="s">
        <v>34</v>
      </c>
      <c r="O116" s="14" t="s">
        <v>211</v>
      </c>
      <c r="P116" s="14" t="str">
        <f t="shared" si="5"/>
        <v>✅ OK</v>
      </c>
    </row>
    <row r="117" spans="1:16" x14ac:dyDescent="0.35">
      <c r="A117" s="23">
        <v>110</v>
      </c>
      <c r="B117" s="23" t="s">
        <v>47</v>
      </c>
      <c r="C117" s="24">
        <v>27</v>
      </c>
      <c r="D117" s="23" t="s">
        <v>27</v>
      </c>
      <c r="E117" s="23" t="s">
        <v>216</v>
      </c>
      <c r="F117" s="23">
        <v>2</v>
      </c>
      <c r="G117" s="23">
        <v>2</v>
      </c>
      <c r="H117" s="23">
        <v>0</v>
      </c>
      <c r="I117" s="23">
        <f t="shared" si="3"/>
        <v>0</v>
      </c>
      <c r="J117" s="23" t="str">
        <f t="shared" si="4"/>
        <v>🔒 In Custody</v>
      </c>
      <c r="K117" s="23" t="s">
        <v>139</v>
      </c>
      <c r="L117" s="23" t="s">
        <v>137</v>
      </c>
      <c r="M117" s="28" t="s">
        <v>204</v>
      </c>
      <c r="N117" s="14" t="s">
        <v>34</v>
      </c>
      <c r="O117" s="14" t="s">
        <v>211</v>
      </c>
      <c r="P117" s="14" t="str">
        <f t="shared" si="5"/>
        <v>✅ OK</v>
      </c>
    </row>
    <row r="118" spans="1:16" x14ac:dyDescent="0.35">
      <c r="A118" s="23">
        <v>111</v>
      </c>
      <c r="B118" s="23" t="s">
        <v>47</v>
      </c>
      <c r="C118" s="24">
        <v>373</v>
      </c>
      <c r="D118" s="23" t="s">
        <v>27</v>
      </c>
      <c r="E118" s="23" t="s">
        <v>216</v>
      </c>
      <c r="F118" s="23">
        <v>2</v>
      </c>
      <c r="G118" s="23">
        <v>1</v>
      </c>
      <c r="H118" s="23">
        <v>0</v>
      </c>
      <c r="I118" s="23">
        <f t="shared" si="3"/>
        <v>1</v>
      </c>
      <c r="J118" s="23" t="str">
        <f t="shared" si="4"/>
        <v>⚠️ Missing Key</v>
      </c>
      <c r="K118" s="23" t="s">
        <v>139</v>
      </c>
      <c r="L118" s="23" t="s">
        <v>137</v>
      </c>
      <c r="M118" s="28" t="s">
        <v>204</v>
      </c>
      <c r="N118" s="14" t="s">
        <v>34</v>
      </c>
      <c r="O118" s="14" t="s">
        <v>211</v>
      </c>
      <c r="P118" s="14" t="str">
        <f t="shared" si="5"/>
        <v>🚨 REPLACE LOCK / KEY LOST</v>
      </c>
    </row>
    <row r="119" spans="1:16" x14ac:dyDescent="0.35">
      <c r="A119" s="23">
        <v>112</v>
      </c>
      <c r="B119" s="23" t="s">
        <v>47</v>
      </c>
      <c r="C119" s="24">
        <v>2263</v>
      </c>
      <c r="D119" s="23" t="s">
        <v>28</v>
      </c>
      <c r="E119" s="23" t="s">
        <v>176</v>
      </c>
      <c r="F119" s="23">
        <v>2</v>
      </c>
      <c r="G119" s="23">
        <v>1</v>
      </c>
      <c r="H119" s="23">
        <v>0</v>
      </c>
      <c r="I119" s="23">
        <f t="shared" si="3"/>
        <v>1</v>
      </c>
      <c r="J119" s="23" t="str">
        <f t="shared" si="4"/>
        <v>⚠️ Missing Key</v>
      </c>
      <c r="K119" s="23" t="s">
        <v>64</v>
      </c>
      <c r="L119" s="23" t="s">
        <v>137</v>
      </c>
      <c r="M119" s="28"/>
      <c r="N119" s="14" t="s">
        <v>34</v>
      </c>
      <c r="O119" s="14" t="s">
        <v>218</v>
      </c>
      <c r="P119" s="14" t="str">
        <f t="shared" si="5"/>
        <v>🚨 REPLACE LOCK / KEY LOST</v>
      </c>
    </row>
    <row r="120" spans="1:16" x14ac:dyDescent="0.35">
      <c r="A120" s="23">
        <v>113</v>
      </c>
      <c r="B120" s="23" t="s">
        <v>47</v>
      </c>
      <c r="C120" s="24">
        <v>2264</v>
      </c>
      <c r="D120" s="23" t="s">
        <v>28</v>
      </c>
      <c r="E120" s="23" t="s">
        <v>176</v>
      </c>
      <c r="F120" s="23">
        <v>2</v>
      </c>
      <c r="G120" s="23">
        <v>1</v>
      </c>
      <c r="H120" s="23">
        <v>1</v>
      </c>
      <c r="I120" s="23">
        <f t="shared" si="3"/>
        <v>0</v>
      </c>
      <c r="J120" s="23" t="str">
        <f t="shared" si="4"/>
        <v>🔑 Issued to Staff</v>
      </c>
      <c r="K120" s="23" t="s">
        <v>60</v>
      </c>
      <c r="L120" s="23" t="s">
        <v>137</v>
      </c>
      <c r="M120" s="28"/>
      <c r="N120" s="14" t="s">
        <v>34</v>
      </c>
      <c r="O120" s="14" t="s">
        <v>139</v>
      </c>
      <c r="P120" s="14" t="str">
        <f t="shared" si="5"/>
        <v>✅ OK</v>
      </c>
    </row>
    <row r="121" spans="1:16" x14ac:dyDescent="0.35">
      <c r="A121" s="23">
        <v>114</v>
      </c>
      <c r="B121" s="23" t="s">
        <v>47</v>
      </c>
      <c r="C121" s="24">
        <v>2255</v>
      </c>
      <c r="D121" s="23" t="s">
        <v>28</v>
      </c>
      <c r="E121" s="23" t="s">
        <v>176</v>
      </c>
      <c r="F121" s="23">
        <v>2</v>
      </c>
      <c r="G121" s="23">
        <v>1</v>
      </c>
      <c r="H121" s="23">
        <v>1</v>
      </c>
      <c r="I121" s="23">
        <f t="shared" si="3"/>
        <v>0</v>
      </c>
      <c r="J121" s="23" t="str">
        <f t="shared" si="4"/>
        <v>🔑 Issued to Staff</v>
      </c>
      <c r="K121" s="23" t="s">
        <v>60</v>
      </c>
      <c r="L121" s="23" t="s">
        <v>137</v>
      </c>
      <c r="M121" s="28"/>
      <c r="N121" s="14" t="s">
        <v>34</v>
      </c>
      <c r="O121" s="14" t="s">
        <v>172</v>
      </c>
      <c r="P121" s="14" t="str">
        <f t="shared" si="5"/>
        <v>✅ OK</v>
      </c>
    </row>
    <row r="122" spans="1:16" x14ac:dyDescent="0.35">
      <c r="A122" s="23">
        <v>115</v>
      </c>
      <c r="B122" s="23" t="s">
        <v>47</v>
      </c>
      <c r="C122" s="24">
        <v>2279</v>
      </c>
      <c r="D122" s="23" t="s">
        <v>28</v>
      </c>
      <c r="E122" s="23" t="s">
        <v>176</v>
      </c>
      <c r="F122" s="23">
        <v>2</v>
      </c>
      <c r="G122" s="23">
        <v>2</v>
      </c>
      <c r="H122" s="23">
        <v>0</v>
      </c>
      <c r="I122" s="23">
        <f t="shared" si="3"/>
        <v>0</v>
      </c>
      <c r="J122" s="23" t="str">
        <f t="shared" si="4"/>
        <v>🔒 In Custody</v>
      </c>
      <c r="K122" s="23" t="s">
        <v>64</v>
      </c>
      <c r="L122" s="23" t="s">
        <v>137</v>
      </c>
      <c r="M122" s="28" t="s">
        <v>203</v>
      </c>
      <c r="N122" s="14" t="s">
        <v>34</v>
      </c>
      <c r="O122" s="14" t="s">
        <v>219</v>
      </c>
      <c r="P122" s="14" t="str">
        <f t="shared" si="5"/>
        <v>✅ OK</v>
      </c>
    </row>
    <row r="123" spans="1:16" x14ac:dyDescent="0.35">
      <c r="A123" s="23">
        <v>116</v>
      </c>
      <c r="B123" s="23" t="s">
        <v>47</v>
      </c>
      <c r="C123" s="24">
        <v>2259</v>
      </c>
      <c r="D123" s="23" t="s">
        <v>28</v>
      </c>
      <c r="E123" s="23" t="s">
        <v>176</v>
      </c>
      <c r="F123" s="23">
        <v>2</v>
      </c>
      <c r="G123" s="23">
        <v>2</v>
      </c>
      <c r="H123" s="23">
        <v>0</v>
      </c>
      <c r="I123" s="23">
        <f t="shared" si="3"/>
        <v>0</v>
      </c>
      <c r="J123" s="23" t="str">
        <f t="shared" si="4"/>
        <v>🔒 In Custody</v>
      </c>
      <c r="K123" s="23" t="s">
        <v>64</v>
      </c>
      <c r="L123" s="23" t="s">
        <v>137</v>
      </c>
      <c r="M123" s="28" t="s">
        <v>203</v>
      </c>
      <c r="N123" s="14" t="s">
        <v>34</v>
      </c>
      <c r="O123" s="14" t="s">
        <v>220</v>
      </c>
      <c r="P123" s="14" t="str">
        <f t="shared" si="5"/>
        <v>✅ OK</v>
      </c>
    </row>
    <row r="124" spans="1:16" x14ac:dyDescent="0.35">
      <c r="A124" s="23">
        <v>117</v>
      </c>
      <c r="B124" s="23" t="s">
        <v>47</v>
      </c>
      <c r="C124" s="24">
        <v>2260</v>
      </c>
      <c r="D124" s="23" t="s">
        <v>28</v>
      </c>
      <c r="E124" s="23" t="s">
        <v>173</v>
      </c>
      <c r="F124" s="23">
        <v>2</v>
      </c>
      <c r="G124" s="23">
        <v>1</v>
      </c>
      <c r="H124" s="23">
        <v>1</v>
      </c>
      <c r="I124" s="23">
        <f t="shared" si="3"/>
        <v>0</v>
      </c>
      <c r="J124" s="23" t="str">
        <f t="shared" si="4"/>
        <v>🔑 Issued to Staff</v>
      </c>
      <c r="K124" s="23" t="s">
        <v>64</v>
      </c>
      <c r="L124" s="23" t="s">
        <v>137</v>
      </c>
      <c r="M124" s="28"/>
      <c r="N124" s="14" t="s">
        <v>34</v>
      </c>
      <c r="O124" s="14" t="s">
        <v>221</v>
      </c>
      <c r="P124" s="14" t="str">
        <f t="shared" si="5"/>
        <v>✅ OK</v>
      </c>
    </row>
    <row r="125" spans="1:16" x14ac:dyDescent="0.35">
      <c r="A125" s="23">
        <v>118</v>
      </c>
      <c r="B125" s="23" t="s">
        <v>47</v>
      </c>
      <c r="C125" s="24">
        <v>2262</v>
      </c>
      <c r="D125" s="23" t="s">
        <v>28</v>
      </c>
      <c r="E125" s="23" t="s">
        <v>173</v>
      </c>
      <c r="F125" s="23">
        <v>2</v>
      </c>
      <c r="G125" s="23">
        <v>1</v>
      </c>
      <c r="H125" s="23">
        <v>1</v>
      </c>
      <c r="I125" s="23">
        <f t="shared" si="3"/>
        <v>0</v>
      </c>
      <c r="J125" s="23" t="str">
        <f t="shared" si="4"/>
        <v>🔑 Issued to Staff</v>
      </c>
      <c r="K125" s="23" t="s">
        <v>64</v>
      </c>
      <c r="L125" s="23" t="s">
        <v>137</v>
      </c>
      <c r="M125" s="28"/>
      <c r="N125" s="14" t="s">
        <v>34</v>
      </c>
      <c r="O125" s="14" t="s">
        <v>221</v>
      </c>
      <c r="P125" s="14" t="str">
        <f t="shared" si="5"/>
        <v>✅ OK</v>
      </c>
    </row>
    <row r="126" spans="1:16" x14ac:dyDescent="0.35">
      <c r="A126" s="23">
        <v>119</v>
      </c>
      <c r="B126" s="23" t="s">
        <v>47</v>
      </c>
      <c r="C126" s="26">
        <v>2301</v>
      </c>
      <c r="D126" s="23" t="s">
        <v>28</v>
      </c>
      <c r="E126" s="23" t="s">
        <v>173</v>
      </c>
      <c r="F126" s="23">
        <v>2</v>
      </c>
      <c r="G126" s="23">
        <v>1</v>
      </c>
      <c r="H126" s="23">
        <v>1</v>
      </c>
      <c r="I126" s="23">
        <f t="shared" si="3"/>
        <v>0</v>
      </c>
      <c r="J126" s="23" t="str">
        <f t="shared" si="4"/>
        <v>🔑 Issued to Staff</v>
      </c>
      <c r="K126" s="23" t="s">
        <v>64</v>
      </c>
      <c r="L126" s="23" t="s">
        <v>137</v>
      </c>
      <c r="M126" s="28"/>
      <c r="N126" s="14" t="s">
        <v>34</v>
      </c>
      <c r="O126" s="14" t="s">
        <v>221</v>
      </c>
      <c r="P126" s="14" t="str">
        <f t="shared" si="5"/>
        <v>✅ OK</v>
      </c>
    </row>
    <row r="127" spans="1:16" x14ac:dyDescent="0.35">
      <c r="A127" s="23">
        <v>120</v>
      </c>
      <c r="B127" s="23" t="s">
        <v>47</v>
      </c>
      <c r="C127" s="26">
        <v>2310</v>
      </c>
      <c r="D127" s="23" t="s">
        <v>28</v>
      </c>
      <c r="E127" s="23" t="s">
        <v>173</v>
      </c>
      <c r="F127" s="23">
        <v>2</v>
      </c>
      <c r="G127" s="23">
        <v>2</v>
      </c>
      <c r="H127" s="23">
        <v>0</v>
      </c>
      <c r="I127" s="23">
        <f t="shared" si="3"/>
        <v>0</v>
      </c>
      <c r="J127" s="23" t="str">
        <f t="shared" si="4"/>
        <v>🔒 In Custody</v>
      </c>
      <c r="K127" s="23" t="s">
        <v>64</v>
      </c>
      <c r="L127" s="23" t="s">
        <v>137</v>
      </c>
      <c r="M127" s="28"/>
      <c r="N127" s="14" t="s">
        <v>34</v>
      </c>
      <c r="O127" s="14" t="s">
        <v>221</v>
      </c>
      <c r="P127" s="14" t="str">
        <f t="shared" si="5"/>
        <v>✅ OK</v>
      </c>
    </row>
    <row r="128" spans="1:16" x14ac:dyDescent="0.35">
      <c r="A128" s="23">
        <v>121</v>
      </c>
      <c r="B128" s="23" t="s">
        <v>47</v>
      </c>
      <c r="C128" s="24">
        <v>2309</v>
      </c>
      <c r="D128" s="23" t="s">
        <v>28</v>
      </c>
      <c r="E128" s="23" t="s">
        <v>173</v>
      </c>
      <c r="F128" s="23">
        <v>2</v>
      </c>
      <c r="G128" s="23">
        <v>1</v>
      </c>
      <c r="H128" s="23">
        <v>1</v>
      </c>
      <c r="I128" s="23">
        <f t="shared" si="3"/>
        <v>0</v>
      </c>
      <c r="J128" s="23" t="str">
        <f t="shared" si="4"/>
        <v>🔑 Issued to Staff</v>
      </c>
      <c r="K128" s="23" t="s">
        <v>64</v>
      </c>
      <c r="L128" s="23" t="s">
        <v>137</v>
      </c>
      <c r="M128" s="28"/>
      <c r="N128" s="14" t="s">
        <v>34</v>
      </c>
      <c r="O128" s="14" t="s">
        <v>221</v>
      </c>
      <c r="P128" s="14" t="str">
        <f t="shared" si="5"/>
        <v>✅ OK</v>
      </c>
    </row>
    <row r="129" spans="1:16" x14ac:dyDescent="0.35">
      <c r="A129" s="23">
        <v>122</v>
      </c>
      <c r="B129" s="23" t="s">
        <v>47</v>
      </c>
      <c r="C129" s="24">
        <v>7516</v>
      </c>
      <c r="D129" s="23" t="s">
        <v>30</v>
      </c>
      <c r="E129" s="23" t="s">
        <v>179</v>
      </c>
      <c r="F129" s="23">
        <v>2</v>
      </c>
      <c r="G129" s="23">
        <v>2</v>
      </c>
      <c r="H129" s="23">
        <v>0</v>
      </c>
      <c r="I129" s="23">
        <f t="shared" si="3"/>
        <v>0</v>
      </c>
      <c r="J129" s="23" t="str">
        <f t="shared" si="4"/>
        <v>🔒 In Custody</v>
      </c>
      <c r="K129" s="23" t="s">
        <v>139</v>
      </c>
      <c r="L129" s="23" t="s">
        <v>137</v>
      </c>
      <c r="M129" s="28"/>
      <c r="N129" s="14" t="s">
        <v>35</v>
      </c>
      <c r="O129" s="14" t="s">
        <v>139</v>
      </c>
      <c r="P129" s="14" t="str">
        <f t="shared" si="5"/>
        <v>🟢 AVAILABLE</v>
      </c>
    </row>
    <row r="130" spans="1:16" x14ac:dyDescent="0.35">
      <c r="A130" s="23">
        <v>123</v>
      </c>
      <c r="B130" s="23" t="s">
        <v>49</v>
      </c>
      <c r="C130" s="24">
        <v>1741</v>
      </c>
      <c r="D130" s="23" t="s">
        <v>27</v>
      </c>
      <c r="E130" s="23" t="s">
        <v>222</v>
      </c>
      <c r="F130" s="23">
        <v>2</v>
      </c>
      <c r="G130" s="23">
        <v>2</v>
      </c>
      <c r="H130" s="23">
        <v>0</v>
      </c>
      <c r="I130" s="23">
        <f t="shared" si="3"/>
        <v>0</v>
      </c>
      <c r="J130" s="23" t="str">
        <f t="shared" si="4"/>
        <v>🔒 In Custody</v>
      </c>
      <c r="K130" s="23" t="s">
        <v>139</v>
      </c>
      <c r="L130" s="23" t="s">
        <v>137</v>
      </c>
      <c r="M130" s="28"/>
      <c r="N130" s="14" t="s">
        <v>35</v>
      </c>
      <c r="O130" s="14" t="s">
        <v>139</v>
      </c>
      <c r="P130" s="14" t="str">
        <f t="shared" si="5"/>
        <v>🟢 AVAILABLE</v>
      </c>
    </row>
    <row r="131" spans="1:16" x14ac:dyDescent="0.35">
      <c r="A131" s="23">
        <v>124</v>
      </c>
      <c r="B131" s="23" t="s">
        <v>49</v>
      </c>
      <c r="C131" s="24">
        <v>6867</v>
      </c>
      <c r="D131" s="23" t="s">
        <v>27</v>
      </c>
      <c r="E131" s="23" t="s">
        <v>222</v>
      </c>
      <c r="F131" s="23">
        <v>2</v>
      </c>
      <c r="G131" s="23">
        <v>1</v>
      </c>
      <c r="H131" s="23">
        <v>1</v>
      </c>
      <c r="I131" s="23">
        <f t="shared" si="3"/>
        <v>0</v>
      </c>
      <c r="J131" s="23" t="str">
        <f t="shared" si="4"/>
        <v>🔑 Issued to Staff</v>
      </c>
      <c r="K131" s="23" t="s">
        <v>139</v>
      </c>
      <c r="L131" s="23" t="s">
        <v>137</v>
      </c>
      <c r="M131" s="28" t="s">
        <v>223</v>
      </c>
      <c r="N131" s="14" t="s">
        <v>34</v>
      </c>
      <c r="O131" s="14" t="s">
        <v>183</v>
      </c>
      <c r="P131" s="14" t="str">
        <f t="shared" si="5"/>
        <v>✅ OK</v>
      </c>
    </row>
    <row r="132" spans="1:16" x14ac:dyDescent="0.35">
      <c r="A132" s="23">
        <v>125</v>
      </c>
      <c r="B132" s="23" t="s">
        <v>49</v>
      </c>
      <c r="C132" s="24">
        <v>1832</v>
      </c>
      <c r="D132" s="23" t="s">
        <v>27</v>
      </c>
      <c r="E132" s="23" t="s">
        <v>222</v>
      </c>
      <c r="F132" s="23">
        <v>2</v>
      </c>
      <c r="G132" s="23">
        <v>1</v>
      </c>
      <c r="H132" s="23">
        <v>1</v>
      </c>
      <c r="I132" s="23">
        <f t="shared" si="3"/>
        <v>0</v>
      </c>
      <c r="J132" s="23" t="str">
        <f t="shared" si="4"/>
        <v>🔑 Issued to Staff</v>
      </c>
      <c r="K132" s="23" t="s">
        <v>139</v>
      </c>
      <c r="L132" s="23" t="s">
        <v>137</v>
      </c>
      <c r="M132" s="28" t="s">
        <v>223</v>
      </c>
      <c r="N132" s="14" t="s">
        <v>34</v>
      </c>
      <c r="O132" s="14" t="s">
        <v>183</v>
      </c>
      <c r="P132" s="14" t="str">
        <f t="shared" si="5"/>
        <v>✅ OK</v>
      </c>
    </row>
    <row r="133" spans="1:16" x14ac:dyDescent="0.35">
      <c r="A133" s="23">
        <v>126</v>
      </c>
      <c r="B133" s="23" t="s">
        <v>49</v>
      </c>
      <c r="C133" s="24">
        <v>1843</v>
      </c>
      <c r="D133" s="23" t="s">
        <v>27</v>
      </c>
      <c r="E133" s="23" t="s">
        <v>222</v>
      </c>
      <c r="F133" s="23">
        <v>2</v>
      </c>
      <c r="G133" s="23">
        <v>1</v>
      </c>
      <c r="H133" s="23">
        <v>1</v>
      </c>
      <c r="I133" s="23">
        <f t="shared" si="3"/>
        <v>0</v>
      </c>
      <c r="J133" s="23" t="str">
        <f t="shared" si="4"/>
        <v>🔑 Issued to Staff</v>
      </c>
      <c r="K133" s="23" t="s">
        <v>139</v>
      </c>
      <c r="L133" s="23" t="s">
        <v>137</v>
      </c>
      <c r="M133" s="28" t="s">
        <v>223</v>
      </c>
      <c r="N133" s="14" t="s">
        <v>34</v>
      </c>
      <c r="O133" s="14" t="s">
        <v>183</v>
      </c>
      <c r="P133" s="14" t="str">
        <f t="shared" si="5"/>
        <v>✅ OK</v>
      </c>
    </row>
    <row r="134" spans="1:16" x14ac:dyDescent="0.35">
      <c r="A134" s="23">
        <v>127</v>
      </c>
      <c r="B134" s="23" t="s">
        <v>49</v>
      </c>
      <c r="C134" s="24">
        <v>1840</v>
      </c>
      <c r="D134" s="23" t="s">
        <v>27</v>
      </c>
      <c r="E134" s="23" t="s">
        <v>224</v>
      </c>
      <c r="F134" s="23">
        <v>2</v>
      </c>
      <c r="G134" s="23">
        <v>2</v>
      </c>
      <c r="H134" s="23">
        <v>0</v>
      </c>
      <c r="I134" s="23">
        <f t="shared" si="3"/>
        <v>0</v>
      </c>
      <c r="J134" s="23" t="str">
        <f t="shared" si="4"/>
        <v>🔒 In Custody</v>
      </c>
      <c r="K134" s="23" t="s">
        <v>139</v>
      </c>
      <c r="L134" s="23" t="s">
        <v>137</v>
      </c>
      <c r="M134" s="28" t="s">
        <v>223</v>
      </c>
      <c r="N134" s="14" t="s">
        <v>34</v>
      </c>
      <c r="O134" s="14" t="s">
        <v>225</v>
      </c>
      <c r="P134" s="14" t="str">
        <f t="shared" si="5"/>
        <v>✅ OK</v>
      </c>
    </row>
    <row r="135" spans="1:16" x14ac:dyDescent="0.35">
      <c r="A135" s="23">
        <v>128</v>
      </c>
      <c r="B135" s="23" t="s">
        <v>49</v>
      </c>
      <c r="C135" s="24">
        <v>1852</v>
      </c>
      <c r="D135" s="23" t="s">
        <v>27</v>
      </c>
      <c r="E135" s="23" t="s">
        <v>224</v>
      </c>
      <c r="F135" s="23">
        <v>2</v>
      </c>
      <c r="G135" s="23">
        <v>2</v>
      </c>
      <c r="H135" s="23">
        <v>0</v>
      </c>
      <c r="I135" s="23">
        <f t="shared" si="3"/>
        <v>0</v>
      </c>
      <c r="J135" s="23" t="str">
        <f t="shared" si="4"/>
        <v>🔒 In Custody</v>
      </c>
      <c r="K135" s="23" t="s">
        <v>139</v>
      </c>
      <c r="L135" s="23" t="s">
        <v>137</v>
      </c>
      <c r="M135" s="28" t="s">
        <v>223</v>
      </c>
      <c r="N135" s="14" t="s">
        <v>34</v>
      </c>
      <c r="O135" s="14" t="s">
        <v>225</v>
      </c>
      <c r="P135" s="14" t="str">
        <f t="shared" si="5"/>
        <v>✅ OK</v>
      </c>
    </row>
    <row r="136" spans="1:16" x14ac:dyDescent="0.35">
      <c r="A136" s="23">
        <v>129</v>
      </c>
      <c r="B136" s="23" t="s">
        <v>49</v>
      </c>
      <c r="C136" s="26">
        <v>1821</v>
      </c>
      <c r="D136" s="23" t="s">
        <v>27</v>
      </c>
      <c r="E136" s="23" t="s">
        <v>224</v>
      </c>
      <c r="F136" s="23">
        <v>2</v>
      </c>
      <c r="G136" s="23">
        <v>1</v>
      </c>
      <c r="H136" s="23">
        <v>1</v>
      </c>
      <c r="I136" s="23">
        <f t="shared" ref="I136:I200" si="6">MAX(0, F136-G136-H136)</f>
        <v>0</v>
      </c>
      <c r="J136" s="23" t="str">
        <f t="shared" ref="J136:J200" si="7">IF(I136&gt;0, "⚠️ Missing Key", IF(H136&gt;0, "🔑 Issued to Staff", IF(G136&gt;0, "🔒 In Custody", IF(F136=0, "⚪ Unregistered", "🔍 Under Audit"))))</f>
        <v>🔑 Issued to Staff</v>
      </c>
      <c r="K136" s="23" t="s">
        <v>139</v>
      </c>
      <c r="L136" s="23" t="s">
        <v>137</v>
      </c>
      <c r="M136" s="28"/>
      <c r="N136" s="14" t="s">
        <v>34</v>
      </c>
      <c r="O136" s="14" t="s">
        <v>225</v>
      </c>
      <c r="P136" s="14" t="str">
        <f t="shared" ref="P136:P200" si="8">IF(I136&gt;0, "🚨 REPLACE LOCK / KEY LOST", IF(ISNUMBER(SEARCH("Audit", O136)), "⚠️ AUDIT WITH EMPLOYEE", IF(ISNUMBER(SEARCH("Damaged", O136)), "⚠️ KEY DAMAGED / REPLACE", IF(ISNUMBER(SEARCH("Verification", O136)), "🔍 KEY VERIFICATION", IF(N136="Vacant", "🟢 AVAILABLE", "✅ OK")))))</f>
        <v>✅ OK</v>
      </c>
    </row>
    <row r="137" spans="1:16" x14ac:dyDescent="0.35">
      <c r="A137" s="23">
        <v>130</v>
      </c>
      <c r="B137" s="23" t="s">
        <v>49</v>
      </c>
      <c r="C137" s="24">
        <v>1828</v>
      </c>
      <c r="D137" s="23" t="s">
        <v>27</v>
      </c>
      <c r="E137" s="23" t="s">
        <v>224</v>
      </c>
      <c r="F137" s="23">
        <v>2</v>
      </c>
      <c r="G137" s="23">
        <v>1</v>
      </c>
      <c r="H137" s="23">
        <v>1</v>
      </c>
      <c r="I137" s="23">
        <f t="shared" si="6"/>
        <v>0</v>
      </c>
      <c r="J137" s="23" t="str">
        <f t="shared" si="7"/>
        <v>🔑 Issued to Staff</v>
      </c>
      <c r="K137" s="23" t="s">
        <v>139</v>
      </c>
      <c r="L137" s="23" t="s">
        <v>137</v>
      </c>
      <c r="M137" s="28" t="s">
        <v>223</v>
      </c>
      <c r="N137" s="14" t="s">
        <v>34</v>
      </c>
      <c r="O137" s="14" t="s">
        <v>226</v>
      </c>
      <c r="P137" s="14" t="str">
        <f t="shared" si="8"/>
        <v>✅ OK</v>
      </c>
    </row>
    <row r="138" spans="1:16" x14ac:dyDescent="0.35">
      <c r="A138" s="23">
        <v>131</v>
      </c>
      <c r="B138" s="23" t="s">
        <v>49</v>
      </c>
      <c r="C138" s="24">
        <v>1850</v>
      </c>
      <c r="D138" s="23" t="s">
        <v>27</v>
      </c>
      <c r="E138" s="23" t="s">
        <v>224</v>
      </c>
      <c r="F138" s="23">
        <v>2</v>
      </c>
      <c r="G138" s="23">
        <v>2</v>
      </c>
      <c r="H138" s="23">
        <v>0</v>
      </c>
      <c r="I138" s="23">
        <f t="shared" si="6"/>
        <v>0</v>
      </c>
      <c r="J138" s="23" t="str">
        <f t="shared" si="7"/>
        <v>🔒 In Custody</v>
      </c>
      <c r="K138" s="23" t="s">
        <v>139</v>
      </c>
      <c r="L138" s="23" t="s">
        <v>137</v>
      </c>
      <c r="M138" s="28" t="s">
        <v>223</v>
      </c>
      <c r="N138" s="14" t="s">
        <v>34</v>
      </c>
      <c r="O138" s="14" t="s">
        <v>225</v>
      </c>
      <c r="P138" s="14" t="str">
        <f t="shared" si="8"/>
        <v>✅ OK</v>
      </c>
    </row>
    <row r="139" spans="1:16" x14ac:dyDescent="0.35">
      <c r="A139" s="23">
        <v>132</v>
      </c>
      <c r="B139" s="23" t="s">
        <v>49</v>
      </c>
      <c r="C139" s="24">
        <v>1838</v>
      </c>
      <c r="D139" s="23" t="s">
        <v>27</v>
      </c>
      <c r="E139" s="23" t="s">
        <v>224</v>
      </c>
      <c r="F139" s="23">
        <v>2</v>
      </c>
      <c r="G139" s="23">
        <v>1</v>
      </c>
      <c r="H139" s="23">
        <v>1</v>
      </c>
      <c r="I139" s="23">
        <f t="shared" si="6"/>
        <v>0</v>
      </c>
      <c r="J139" s="23" t="str">
        <f t="shared" si="7"/>
        <v>🔑 Issued to Staff</v>
      </c>
      <c r="K139" s="23" t="s">
        <v>227</v>
      </c>
      <c r="L139" s="23" t="s">
        <v>137</v>
      </c>
      <c r="M139" s="28" t="s">
        <v>223</v>
      </c>
      <c r="N139" s="14" t="s">
        <v>34</v>
      </c>
      <c r="O139" s="14" t="s">
        <v>228</v>
      </c>
      <c r="P139" s="14" t="str">
        <f t="shared" si="8"/>
        <v>✅ OK</v>
      </c>
    </row>
    <row r="140" spans="1:16" x14ac:dyDescent="0.35">
      <c r="A140" s="23">
        <v>133</v>
      </c>
      <c r="B140" s="23" t="s">
        <v>49</v>
      </c>
      <c r="C140" s="24">
        <v>1764</v>
      </c>
      <c r="D140" s="23" t="s">
        <v>27</v>
      </c>
      <c r="E140" s="23" t="s">
        <v>229</v>
      </c>
      <c r="F140" s="23">
        <v>2</v>
      </c>
      <c r="G140" s="23">
        <v>2</v>
      </c>
      <c r="H140" s="23">
        <v>0</v>
      </c>
      <c r="I140" s="23">
        <f t="shared" si="6"/>
        <v>0</v>
      </c>
      <c r="J140" s="23" t="str">
        <f t="shared" si="7"/>
        <v>🔒 In Custody</v>
      </c>
      <c r="K140" s="23" t="s">
        <v>139</v>
      </c>
      <c r="L140" s="23" t="s">
        <v>137</v>
      </c>
      <c r="M140" s="28"/>
      <c r="N140" s="14" t="s">
        <v>35</v>
      </c>
      <c r="O140" s="14" t="s">
        <v>139</v>
      </c>
      <c r="P140" s="14" t="str">
        <f t="shared" si="8"/>
        <v>🟢 AVAILABLE</v>
      </c>
    </row>
    <row r="141" spans="1:16" x14ac:dyDescent="0.35">
      <c r="A141" s="23">
        <v>134</v>
      </c>
      <c r="B141" s="23" t="s">
        <v>49</v>
      </c>
      <c r="C141" s="24">
        <v>1827</v>
      </c>
      <c r="D141" s="23" t="s">
        <v>27</v>
      </c>
      <c r="E141" s="23" t="s">
        <v>229</v>
      </c>
      <c r="F141" s="23">
        <v>2</v>
      </c>
      <c r="G141" s="23">
        <v>2</v>
      </c>
      <c r="H141" s="23">
        <v>0</v>
      </c>
      <c r="I141" s="23">
        <f t="shared" si="6"/>
        <v>0</v>
      </c>
      <c r="J141" s="23" t="str">
        <f t="shared" si="7"/>
        <v>🔒 In Custody</v>
      </c>
      <c r="K141" s="23" t="s">
        <v>139</v>
      </c>
      <c r="L141" s="23" t="s">
        <v>137</v>
      </c>
      <c r="M141" s="28"/>
      <c r="N141" s="14" t="s">
        <v>35</v>
      </c>
      <c r="O141" s="14" t="s">
        <v>139</v>
      </c>
      <c r="P141" s="14" t="str">
        <f t="shared" si="8"/>
        <v>🟢 AVAILABLE</v>
      </c>
    </row>
    <row r="142" spans="1:16" x14ac:dyDescent="0.35">
      <c r="A142" s="23">
        <v>135</v>
      </c>
      <c r="B142" s="23" t="s">
        <v>49</v>
      </c>
      <c r="C142" s="24">
        <v>1836</v>
      </c>
      <c r="D142" s="23" t="s">
        <v>27</v>
      </c>
      <c r="E142" s="23" t="s">
        <v>229</v>
      </c>
      <c r="F142" s="23">
        <v>2</v>
      </c>
      <c r="G142" s="23">
        <v>1</v>
      </c>
      <c r="H142" s="23">
        <v>0</v>
      </c>
      <c r="I142" s="23">
        <f t="shared" si="6"/>
        <v>1</v>
      </c>
      <c r="J142" s="23" t="str">
        <f t="shared" si="7"/>
        <v>⚠️ Missing Key</v>
      </c>
      <c r="K142" s="23" t="s">
        <v>139</v>
      </c>
      <c r="L142" s="23" t="s">
        <v>137</v>
      </c>
      <c r="M142" s="28"/>
      <c r="N142" s="14" t="s">
        <v>35</v>
      </c>
      <c r="O142" s="14" t="s">
        <v>139</v>
      </c>
      <c r="P142" s="14" t="str">
        <f t="shared" si="8"/>
        <v>🚨 REPLACE LOCK / KEY LOST</v>
      </c>
    </row>
    <row r="143" spans="1:16" x14ac:dyDescent="0.35">
      <c r="A143" s="23">
        <v>136</v>
      </c>
      <c r="B143" s="23" t="s">
        <v>49</v>
      </c>
      <c r="C143" s="24">
        <v>7476</v>
      </c>
      <c r="D143" s="23" t="s">
        <v>27</v>
      </c>
      <c r="E143" s="23" t="s">
        <v>229</v>
      </c>
      <c r="F143" s="23">
        <v>2</v>
      </c>
      <c r="G143" s="23">
        <v>2</v>
      </c>
      <c r="H143" s="23">
        <v>0</v>
      </c>
      <c r="I143" s="23">
        <f t="shared" si="6"/>
        <v>0</v>
      </c>
      <c r="J143" s="23" t="str">
        <f t="shared" si="7"/>
        <v>🔒 In Custody</v>
      </c>
      <c r="K143" s="23" t="s">
        <v>230</v>
      </c>
      <c r="L143" s="23" t="s">
        <v>137</v>
      </c>
      <c r="M143" s="28"/>
      <c r="N143" s="14" t="s">
        <v>34</v>
      </c>
      <c r="O143" s="14" t="s">
        <v>139</v>
      </c>
      <c r="P143" s="14" t="str">
        <f t="shared" si="8"/>
        <v>✅ OK</v>
      </c>
    </row>
    <row r="144" spans="1:16" x14ac:dyDescent="0.35">
      <c r="A144" s="23">
        <v>137</v>
      </c>
      <c r="B144" s="23" t="s">
        <v>49</v>
      </c>
      <c r="C144" s="24">
        <v>209</v>
      </c>
      <c r="D144" s="23" t="s">
        <v>27</v>
      </c>
      <c r="E144" s="23" t="s">
        <v>231</v>
      </c>
      <c r="F144" s="23">
        <v>2</v>
      </c>
      <c r="G144" s="23">
        <v>2</v>
      </c>
      <c r="H144" s="23">
        <v>0</v>
      </c>
      <c r="I144" s="23">
        <f t="shared" si="6"/>
        <v>0</v>
      </c>
      <c r="J144" s="23" t="str">
        <f t="shared" si="7"/>
        <v>🔒 In Custody</v>
      </c>
      <c r="K144" s="23" t="s">
        <v>139</v>
      </c>
      <c r="L144" s="23" t="s">
        <v>137</v>
      </c>
      <c r="M144" s="28"/>
      <c r="N144" s="14" t="s">
        <v>35</v>
      </c>
      <c r="O144" s="14" t="s">
        <v>139</v>
      </c>
      <c r="P144" s="14" t="str">
        <f t="shared" si="8"/>
        <v>🟢 AVAILABLE</v>
      </c>
    </row>
    <row r="145" spans="1:16" x14ac:dyDescent="0.35">
      <c r="A145" s="23">
        <v>138</v>
      </c>
      <c r="B145" s="23" t="s">
        <v>49</v>
      </c>
      <c r="C145" s="24">
        <v>7498</v>
      </c>
      <c r="D145" s="23" t="s">
        <v>27</v>
      </c>
      <c r="E145" s="23" t="s">
        <v>231</v>
      </c>
      <c r="F145" s="23">
        <v>2</v>
      </c>
      <c r="G145" s="23">
        <v>2</v>
      </c>
      <c r="H145" s="23">
        <v>0</v>
      </c>
      <c r="I145" s="23">
        <f t="shared" si="6"/>
        <v>0</v>
      </c>
      <c r="J145" s="23" t="str">
        <f t="shared" si="7"/>
        <v>🔒 In Custody</v>
      </c>
      <c r="K145" s="23" t="s">
        <v>139</v>
      </c>
      <c r="L145" s="23" t="s">
        <v>137</v>
      </c>
      <c r="M145" s="28"/>
      <c r="N145" s="14" t="s">
        <v>35</v>
      </c>
      <c r="O145" s="14" t="s">
        <v>139</v>
      </c>
      <c r="P145" s="14" t="str">
        <f t="shared" si="8"/>
        <v>🟢 AVAILABLE</v>
      </c>
    </row>
    <row r="146" spans="1:16" x14ac:dyDescent="0.35">
      <c r="A146" s="23">
        <v>139</v>
      </c>
      <c r="B146" s="23" t="s">
        <v>49</v>
      </c>
      <c r="C146" s="24">
        <v>3</v>
      </c>
      <c r="D146" s="23" t="s">
        <v>27</v>
      </c>
      <c r="E146" s="23" t="s">
        <v>231</v>
      </c>
      <c r="F146" s="23">
        <v>2</v>
      </c>
      <c r="G146" s="23">
        <v>1</v>
      </c>
      <c r="H146" s="23">
        <v>1</v>
      </c>
      <c r="I146" s="23">
        <f t="shared" si="6"/>
        <v>0</v>
      </c>
      <c r="J146" s="23" t="str">
        <f t="shared" si="7"/>
        <v>🔑 Issued to Staff</v>
      </c>
      <c r="K146" s="23" t="s">
        <v>139</v>
      </c>
      <c r="L146" s="23" t="s">
        <v>137</v>
      </c>
      <c r="M146" s="28" t="s">
        <v>223</v>
      </c>
      <c r="N146" s="14" t="s">
        <v>34</v>
      </c>
      <c r="O146" s="14" t="s">
        <v>153</v>
      </c>
      <c r="P146" s="14" t="str">
        <f t="shared" si="8"/>
        <v>✅ OK</v>
      </c>
    </row>
    <row r="147" spans="1:16" x14ac:dyDescent="0.35">
      <c r="A147" s="23">
        <v>140</v>
      </c>
      <c r="B147" s="23" t="s">
        <v>49</v>
      </c>
      <c r="C147" s="26">
        <v>361</v>
      </c>
      <c r="D147" s="23" t="s">
        <v>27</v>
      </c>
      <c r="E147" s="23" t="s">
        <v>231</v>
      </c>
      <c r="F147" s="23">
        <v>2</v>
      </c>
      <c r="G147" s="23">
        <v>0</v>
      </c>
      <c r="H147" s="23">
        <v>0</v>
      </c>
      <c r="I147" s="23">
        <f t="shared" si="6"/>
        <v>2</v>
      </c>
      <c r="J147" s="23" t="str">
        <f t="shared" si="7"/>
        <v>⚠️ Missing Key</v>
      </c>
      <c r="K147" s="23" t="s">
        <v>139</v>
      </c>
      <c r="L147" s="23" t="s">
        <v>137</v>
      </c>
      <c r="M147" s="28"/>
      <c r="N147" s="14" t="s">
        <v>187</v>
      </c>
      <c r="O147" s="14" t="s">
        <v>188</v>
      </c>
      <c r="P147" s="14" t="str">
        <f t="shared" si="8"/>
        <v>🚨 REPLACE LOCK / KEY LOST</v>
      </c>
    </row>
    <row r="148" spans="1:16" x14ac:dyDescent="0.35">
      <c r="A148" s="23">
        <v>141</v>
      </c>
      <c r="B148" s="23" t="s">
        <v>52</v>
      </c>
      <c r="C148" s="24">
        <v>570</v>
      </c>
      <c r="D148" s="23" t="s">
        <v>28</v>
      </c>
      <c r="E148" s="23" t="s">
        <v>232</v>
      </c>
      <c r="F148" s="23">
        <v>2</v>
      </c>
      <c r="G148" s="23">
        <v>1</v>
      </c>
      <c r="H148" s="23">
        <v>1</v>
      </c>
      <c r="I148" s="23">
        <f t="shared" si="6"/>
        <v>0</v>
      </c>
      <c r="J148" s="23" t="str">
        <f t="shared" si="7"/>
        <v>🔑 Issued to Staff</v>
      </c>
      <c r="K148" s="23" t="s">
        <v>212</v>
      </c>
      <c r="L148" s="23" t="s">
        <v>233</v>
      </c>
      <c r="M148" s="28"/>
      <c r="N148" s="14" t="s">
        <v>34</v>
      </c>
      <c r="O148" s="14" t="s">
        <v>225</v>
      </c>
      <c r="P148" s="14" t="str">
        <f t="shared" si="8"/>
        <v>✅ OK</v>
      </c>
    </row>
    <row r="149" spans="1:16" x14ac:dyDescent="0.35">
      <c r="A149" s="23">
        <v>142</v>
      </c>
      <c r="B149" s="23" t="s">
        <v>39</v>
      </c>
      <c r="C149" s="24">
        <v>57</v>
      </c>
      <c r="D149" s="23" t="s">
        <v>30</v>
      </c>
      <c r="E149" s="23" t="s">
        <v>59</v>
      </c>
      <c r="F149" s="23">
        <v>2</v>
      </c>
      <c r="G149" s="23">
        <v>1</v>
      </c>
      <c r="H149" s="23">
        <v>1</v>
      </c>
      <c r="I149" s="23">
        <f t="shared" si="6"/>
        <v>0</v>
      </c>
      <c r="J149" s="23" t="str">
        <f t="shared" si="7"/>
        <v>🔑 Issued to Staff</v>
      </c>
      <c r="K149" s="23" t="s">
        <v>139</v>
      </c>
      <c r="L149" s="23" t="s">
        <v>137</v>
      </c>
      <c r="M149" s="28" t="s">
        <v>160</v>
      </c>
      <c r="N149" s="14" t="s">
        <v>34</v>
      </c>
      <c r="O149" s="14" t="s">
        <v>234</v>
      </c>
      <c r="P149" s="14" t="str">
        <f t="shared" si="8"/>
        <v>✅ OK</v>
      </c>
    </row>
    <row r="150" spans="1:16" x14ac:dyDescent="0.35">
      <c r="A150" s="23">
        <v>143</v>
      </c>
      <c r="B150" s="23" t="s">
        <v>39</v>
      </c>
      <c r="C150" s="24">
        <v>872</v>
      </c>
      <c r="D150" s="23" t="s">
        <v>30</v>
      </c>
      <c r="E150" s="23" t="s">
        <v>59</v>
      </c>
      <c r="F150" s="23">
        <v>2</v>
      </c>
      <c r="G150" s="23">
        <v>1</v>
      </c>
      <c r="H150" s="23">
        <v>1</v>
      </c>
      <c r="I150" s="23">
        <f t="shared" si="6"/>
        <v>0</v>
      </c>
      <c r="J150" s="23" t="str">
        <f t="shared" si="7"/>
        <v>🔑 Issued to Staff</v>
      </c>
      <c r="K150" s="23" t="s">
        <v>139</v>
      </c>
      <c r="L150" s="23" t="s">
        <v>137</v>
      </c>
      <c r="M150" s="28" t="s">
        <v>160</v>
      </c>
      <c r="N150" s="14" t="s">
        <v>34</v>
      </c>
      <c r="O150" s="14" t="s">
        <v>234</v>
      </c>
      <c r="P150" s="14" t="str">
        <f t="shared" si="8"/>
        <v>✅ OK</v>
      </c>
    </row>
    <row r="151" spans="1:16" x14ac:dyDescent="0.35">
      <c r="A151" s="23">
        <v>144</v>
      </c>
      <c r="B151" s="23" t="s">
        <v>39</v>
      </c>
      <c r="C151" s="24">
        <v>142</v>
      </c>
      <c r="D151" s="23" t="s">
        <v>30</v>
      </c>
      <c r="E151" s="23" t="s">
        <v>59</v>
      </c>
      <c r="F151" s="23">
        <v>2</v>
      </c>
      <c r="G151" s="23">
        <v>1</v>
      </c>
      <c r="H151" s="23">
        <v>1</v>
      </c>
      <c r="I151" s="23">
        <f t="shared" si="6"/>
        <v>0</v>
      </c>
      <c r="J151" s="23" t="str">
        <f t="shared" si="7"/>
        <v>🔑 Issued to Staff</v>
      </c>
      <c r="K151" s="23" t="s">
        <v>139</v>
      </c>
      <c r="L151" s="23" t="s">
        <v>137</v>
      </c>
      <c r="M151" s="28" t="s">
        <v>160</v>
      </c>
      <c r="N151" s="14" t="s">
        <v>34</v>
      </c>
      <c r="O151" s="14" t="s">
        <v>234</v>
      </c>
      <c r="P151" s="14" t="str">
        <f t="shared" si="8"/>
        <v>✅ OK</v>
      </c>
    </row>
    <row r="152" spans="1:16" x14ac:dyDescent="0.35">
      <c r="A152" s="23">
        <v>145</v>
      </c>
      <c r="B152" s="23" t="s">
        <v>39</v>
      </c>
      <c r="C152" s="24">
        <v>115</v>
      </c>
      <c r="D152" s="23" t="s">
        <v>30</v>
      </c>
      <c r="E152" s="23" t="s">
        <v>59</v>
      </c>
      <c r="F152" s="23">
        <v>2</v>
      </c>
      <c r="G152" s="23">
        <v>1</v>
      </c>
      <c r="H152" s="23">
        <v>1</v>
      </c>
      <c r="I152" s="23">
        <f t="shared" si="6"/>
        <v>0</v>
      </c>
      <c r="J152" s="23" t="str">
        <f t="shared" si="7"/>
        <v>🔑 Issued to Staff</v>
      </c>
      <c r="K152" s="23" t="s">
        <v>139</v>
      </c>
      <c r="L152" s="23" t="s">
        <v>137</v>
      </c>
      <c r="M152" s="28" t="s">
        <v>160</v>
      </c>
      <c r="N152" s="14" t="s">
        <v>34</v>
      </c>
      <c r="O152" s="14" t="s">
        <v>234</v>
      </c>
      <c r="P152" s="14" t="str">
        <f t="shared" si="8"/>
        <v>✅ OK</v>
      </c>
    </row>
    <row r="153" spans="1:16" x14ac:dyDescent="0.35">
      <c r="A153" s="23">
        <v>146</v>
      </c>
      <c r="B153" s="23" t="s">
        <v>39</v>
      </c>
      <c r="C153" s="24">
        <v>31</v>
      </c>
      <c r="D153" s="23" t="s">
        <v>30</v>
      </c>
      <c r="E153" s="23" t="s">
        <v>59</v>
      </c>
      <c r="F153" s="23">
        <v>2</v>
      </c>
      <c r="G153" s="23">
        <v>1</v>
      </c>
      <c r="H153" s="23">
        <v>1</v>
      </c>
      <c r="I153" s="23">
        <f t="shared" si="6"/>
        <v>0</v>
      </c>
      <c r="J153" s="23" t="str">
        <f t="shared" si="7"/>
        <v>🔑 Issued to Staff</v>
      </c>
      <c r="K153" s="23" t="s">
        <v>139</v>
      </c>
      <c r="L153" s="23" t="s">
        <v>137</v>
      </c>
      <c r="M153" s="28" t="s">
        <v>235</v>
      </c>
      <c r="N153" s="14" t="s">
        <v>34</v>
      </c>
      <c r="O153" s="14" t="s">
        <v>234</v>
      </c>
      <c r="P153" s="14" t="str">
        <f t="shared" si="8"/>
        <v>✅ OK</v>
      </c>
    </row>
    <row r="154" spans="1:16" x14ac:dyDescent="0.35">
      <c r="A154" s="23">
        <v>147</v>
      </c>
      <c r="B154" s="23" t="s">
        <v>39</v>
      </c>
      <c r="C154" s="24">
        <v>110</v>
      </c>
      <c r="D154" s="23" t="s">
        <v>30</v>
      </c>
      <c r="E154" s="23" t="s">
        <v>59</v>
      </c>
      <c r="F154" s="23">
        <v>2</v>
      </c>
      <c r="G154" s="23">
        <v>1</v>
      </c>
      <c r="H154" s="23">
        <v>1</v>
      </c>
      <c r="I154" s="23">
        <f t="shared" si="6"/>
        <v>0</v>
      </c>
      <c r="J154" s="23" t="str">
        <f t="shared" si="7"/>
        <v>🔑 Issued to Staff</v>
      </c>
      <c r="K154" s="23" t="s">
        <v>139</v>
      </c>
      <c r="L154" s="23" t="s">
        <v>137</v>
      </c>
      <c r="M154" s="28" t="s">
        <v>160</v>
      </c>
      <c r="N154" s="14" t="s">
        <v>34</v>
      </c>
      <c r="O154" s="14" t="s">
        <v>234</v>
      </c>
      <c r="P154" s="14" t="str">
        <f t="shared" si="8"/>
        <v>✅ OK</v>
      </c>
    </row>
    <row r="155" spans="1:16" x14ac:dyDescent="0.35">
      <c r="A155" s="23">
        <v>148</v>
      </c>
      <c r="B155" s="23" t="s">
        <v>39</v>
      </c>
      <c r="C155" s="24">
        <v>2</v>
      </c>
      <c r="D155" s="23" t="s">
        <v>30</v>
      </c>
      <c r="E155" s="23" t="s">
        <v>59</v>
      </c>
      <c r="F155" s="23">
        <v>2</v>
      </c>
      <c r="G155" s="23">
        <v>1</v>
      </c>
      <c r="H155" s="23">
        <v>1</v>
      </c>
      <c r="I155" s="23">
        <f t="shared" si="6"/>
        <v>0</v>
      </c>
      <c r="J155" s="23" t="str">
        <f t="shared" si="7"/>
        <v>🔑 Issued to Staff</v>
      </c>
      <c r="K155" s="23" t="s">
        <v>139</v>
      </c>
      <c r="L155" s="23" t="s">
        <v>137</v>
      </c>
      <c r="M155" s="28" t="s">
        <v>162</v>
      </c>
      <c r="N155" s="14" t="s">
        <v>34</v>
      </c>
      <c r="O155" s="14" t="s">
        <v>234</v>
      </c>
      <c r="P155" s="14" t="str">
        <f t="shared" si="8"/>
        <v>✅ OK</v>
      </c>
    </row>
    <row r="156" spans="1:16" x14ac:dyDescent="0.35">
      <c r="A156" s="23">
        <v>149</v>
      </c>
      <c r="B156" s="23" t="s">
        <v>39</v>
      </c>
      <c r="C156" s="24">
        <v>190</v>
      </c>
      <c r="D156" s="23" t="s">
        <v>30</v>
      </c>
      <c r="E156" s="23" t="s">
        <v>59</v>
      </c>
      <c r="F156" s="23">
        <v>2</v>
      </c>
      <c r="G156" s="23">
        <v>1</v>
      </c>
      <c r="H156" s="23">
        <v>1</v>
      </c>
      <c r="I156" s="23">
        <f t="shared" si="6"/>
        <v>0</v>
      </c>
      <c r="J156" s="23" t="str">
        <f t="shared" si="7"/>
        <v>🔑 Issued to Staff</v>
      </c>
      <c r="K156" s="23" t="s">
        <v>139</v>
      </c>
      <c r="L156" s="23" t="s">
        <v>137</v>
      </c>
      <c r="M156" s="28" t="s">
        <v>160</v>
      </c>
      <c r="N156" s="14" t="s">
        <v>34</v>
      </c>
      <c r="O156" s="14" t="s">
        <v>234</v>
      </c>
      <c r="P156" s="14" t="str">
        <f t="shared" si="8"/>
        <v>✅ OK</v>
      </c>
    </row>
    <row r="157" spans="1:16" x14ac:dyDescent="0.35">
      <c r="A157" s="23">
        <v>150</v>
      </c>
      <c r="B157" s="23" t="s">
        <v>39</v>
      </c>
      <c r="C157" s="24">
        <v>209</v>
      </c>
      <c r="D157" s="23" t="s">
        <v>30</v>
      </c>
      <c r="E157" s="23" t="s">
        <v>59</v>
      </c>
      <c r="F157" s="23">
        <v>2</v>
      </c>
      <c r="G157" s="23">
        <v>1</v>
      </c>
      <c r="H157" s="23">
        <v>1</v>
      </c>
      <c r="I157" s="23">
        <f t="shared" si="6"/>
        <v>0</v>
      </c>
      <c r="J157" s="23" t="str">
        <f t="shared" si="7"/>
        <v>🔑 Issued to Staff</v>
      </c>
      <c r="K157" s="23" t="s">
        <v>139</v>
      </c>
      <c r="L157" s="23" t="s">
        <v>137</v>
      </c>
      <c r="M157" s="28" t="s">
        <v>160</v>
      </c>
      <c r="N157" s="14" t="s">
        <v>34</v>
      </c>
      <c r="O157" s="14" t="s">
        <v>234</v>
      </c>
      <c r="P157" s="14" t="str">
        <f t="shared" si="8"/>
        <v>✅ OK</v>
      </c>
    </row>
    <row r="158" spans="1:16" x14ac:dyDescent="0.35">
      <c r="A158" s="23">
        <v>151</v>
      </c>
      <c r="B158" s="23" t="s">
        <v>63</v>
      </c>
      <c r="C158" s="24">
        <v>540</v>
      </c>
      <c r="D158" s="23" t="s">
        <v>29</v>
      </c>
      <c r="E158" s="23" t="s">
        <v>63</v>
      </c>
      <c r="F158" s="23">
        <v>2</v>
      </c>
      <c r="G158" s="23">
        <v>1</v>
      </c>
      <c r="H158" s="23">
        <v>1</v>
      </c>
      <c r="I158" s="23">
        <f t="shared" si="6"/>
        <v>0</v>
      </c>
      <c r="J158" s="23" t="str">
        <f t="shared" si="7"/>
        <v>🔑 Issued to Staff</v>
      </c>
      <c r="K158" s="23" t="s">
        <v>212</v>
      </c>
      <c r="L158" s="23" t="s">
        <v>63</v>
      </c>
      <c r="M158" s="28"/>
      <c r="N158" s="14" t="s">
        <v>34</v>
      </c>
      <c r="O158" s="14" t="s">
        <v>225</v>
      </c>
      <c r="P158" s="14" t="str">
        <f t="shared" si="8"/>
        <v>✅ OK</v>
      </c>
    </row>
    <row r="159" spans="1:16" x14ac:dyDescent="0.35">
      <c r="A159" s="23">
        <v>152</v>
      </c>
      <c r="B159" s="23" t="s">
        <v>63</v>
      </c>
      <c r="C159" s="24">
        <v>14</v>
      </c>
      <c r="D159" s="23" t="s">
        <v>29</v>
      </c>
      <c r="E159" s="23" t="s">
        <v>63</v>
      </c>
      <c r="F159" s="23">
        <v>2</v>
      </c>
      <c r="G159" s="23">
        <v>1</v>
      </c>
      <c r="H159" s="23">
        <v>1</v>
      </c>
      <c r="I159" s="23">
        <f t="shared" si="6"/>
        <v>0</v>
      </c>
      <c r="J159" s="23" t="str">
        <f t="shared" si="7"/>
        <v>🔑 Issued to Staff</v>
      </c>
      <c r="K159" s="23" t="s">
        <v>212</v>
      </c>
      <c r="L159" s="23" t="s">
        <v>63</v>
      </c>
      <c r="M159" s="28"/>
      <c r="N159" s="14" t="s">
        <v>34</v>
      </c>
      <c r="O159" s="14" t="s">
        <v>225</v>
      </c>
      <c r="P159" s="14" t="str">
        <f t="shared" si="8"/>
        <v>✅ OK</v>
      </c>
    </row>
    <row r="160" spans="1:16" x14ac:dyDescent="0.35">
      <c r="A160" s="23">
        <v>153</v>
      </c>
      <c r="B160" s="23" t="s">
        <v>63</v>
      </c>
      <c r="C160" s="26">
        <v>616</v>
      </c>
      <c r="D160" s="23" t="s">
        <v>29</v>
      </c>
      <c r="E160" s="23" t="s">
        <v>63</v>
      </c>
      <c r="F160" s="23">
        <v>2</v>
      </c>
      <c r="G160" s="23">
        <v>0</v>
      </c>
      <c r="H160" s="23">
        <v>0</v>
      </c>
      <c r="I160" s="23">
        <f t="shared" si="6"/>
        <v>2</v>
      </c>
      <c r="J160" s="23" t="str">
        <f t="shared" si="7"/>
        <v>⚠️ Missing Key</v>
      </c>
      <c r="K160" s="23" t="s">
        <v>64</v>
      </c>
      <c r="L160" s="23" t="s">
        <v>63</v>
      </c>
      <c r="M160" s="28"/>
      <c r="N160" s="14" t="s">
        <v>34</v>
      </c>
      <c r="O160" s="14" t="s">
        <v>236</v>
      </c>
      <c r="P160" s="14" t="str">
        <f t="shared" si="8"/>
        <v>🚨 REPLACE LOCK / KEY LOST</v>
      </c>
    </row>
    <row r="161" spans="1:16" x14ac:dyDescent="0.35">
      <c r="A161" s="23">
        <v>154</v>
      </c>
      <c r="B161" s="23" t="s">
        <v>63</v>
      </c>
      <c r="C161" s="24">
        <v>482</v>
      </c>
      <c r="D161" s="23" t="s">
        <v>29</v>
      </c>
      <c r="E161" s="23" t="s">
        <v>63</v>
      </c>
      <c r="F161" s="23">
        <v>2</v>
      </c>
      <c r="G161" s="23">
        <v>2</v>
      </c>
      <c r="H161" s="23">
        <v>0</v>
      </c>
      <c r="I161" s="23">
        <f t="shared" si="6"/>
        <v>0</v>
      </c>
      <c r="J161" s="23" t="str">
        <f t="shared" si="7"/>
        <v>🔒 In Custody</v>
      </c>
      <c r="K161" s="23" t="s">
        <v>64</v>
      </c>
      <c r="L161" s="23" t="s">
        <v>63</v>
      </c>
      <c r="M161" s="28"/>
      <c r="N161" s="14" t="s">
        <v>34</v>
      </c>
      <c r="O161" s="14" t="s">
        <v>237</v>
      </c>
      <c r="P161" s="14" t="str">
        <f t="shared" si="8"/>
        <v>✅ OK</v>
      </c>
    </row>
    <row r="162" spans="1:16" x14ac:dyDescent="0.35">
      <c r="A162" s="23">
        <v>155</v>
      </c>
      <c r="B162" s="23" t="s">
        <v>63</v>
      </c>
      <c r="C162" s="24">
        <v>28</v>
      </c>
      <c r="D162" s="23" t="s">
        <v>29</v>
      </c>
      <c r="E162" s="23" t="s">
        <v>63</v>
      </c>
      <c r="F162" s="23">
        <v>2</v>
      </c>
      <c r="G162" s="23">
        <v>1</v>
      </c>
      <c r="H162" s="23">
        <v>0</v>
      </c>
      <c r="I162" s="23">
        <f t="shared" si="6"/>
        <v>1</v>
      </c>
      <c r="J162" s="23" t="str">
        <f t="shared" si="7"/>
        <v>⚠️ Missing Key</v>
      </c>
      <c r="K162" s="23" t="s">
        <v>64</v>
      </c>
      <c r="L162" s="23" t="s">
        <v>63</v>
      </c>
      <c r="M162" s="28"/>
      <c r="N162" s="14" t="s">
        <v>34</v>
      </c>
      <c r="O162" s="14" t="s">
        <v>238</v>
      </c>
      <c r="P162" s="14" t="str">
        <f t="shared" si="8"/>
        <v>🚨 REPLACE LOCK / KEY LOST</v>
      </c>
    </row>
    <row r="163" spans="1:16" x14ac:dyDescent="0.35">
      <c r="A163" s="23">
        <v>156</v>
      </c>
      <c r="B163" s="23" t="s">
        <v>63</v>
      </c>
      <c r="C163" s="26">
        <v>641</v>
      </c>
      <c r="D163" s="23" t="s">
        <v>29</v>
      </c>
      <c r="E163" s="23" t="s">
        <v>63</v>
      </c>
      <c r="F163" s="23">
        <v>2</v>
      </c>
      <c r="G163" s="23">
        <v>2</v>
      </c>
      <c r="H163" s="23">
        <v>0</v>
      </c>
      <c r="I163" s="23">
        <f t="shared" si="6"/>
        <v>0</v>
      </c>
      <c r="J163" s="23" t="str">
        <f t="shared" si="7"/>
        <v>🔒 In Custody</v>
      </c>
      <c r="K163" s="23" t="s">
        <v>139</v>
      </c>
      <c r="L163" s="23" t="s">
        <v>63</v>
      </c>
      <c r="M163" s="28"/>
      <c r="N163" s="14" t="s">
        <v>35</v>
      </c>
      <c r="O163" s="14" t="s">
        <v>139</v>
      </c>
      <c r="P163" s="14" t="str">
        <f t="shared" si="8"/>
        <v>🟢 AVAILABLE</v>
      </c>
    </row>
    <row r="164" spans="1:16" x14ac:dyDescent="0.35">
      <c r="A164" s="23">
        <v>157</v>
      </c>
      <c r="B164" s="23" t="s">
        <v>63</v>
      </c>
      <c r="C164" s="24">
        <v>438</v>
      </c>
      <c r="D164" s="23" t="s">
        <v>29</v>
      </c>
      <c r="E164" s="23" t="s">
        <v>63</v>
      </c>
      <c r="F164" s="23">
        <v>2</v>
      </c>
      <c r="G164" s="23">
        <v>1</v>
      </c>
      <c r="H164" s="23">
        <v>0</v>
      </c>
      <c r="I164" s="23">
        <f t="shared" si="6"/>
        <v>1</v>
      </c>
      <c r="J164" s="23" t="str">
        <f t="shared" si="7"/>
        <v>⚠️ Missing Key</v>
      </c>
      <c r="K164" s="23" t="s">
        <v>64</v>
      </c>
      <c r="L164" s="23" t="s">
        <v>63</v>
      </c>
      <c r="M164" s="28"/>
      <c r="N164" s="14" t="s">
        <v>34</v>
      </c>
      <c r="O164" s="14" t="s">
        <v>239</v>
      </c>
      <c r="P164" s="14" t="str">
        <f t="shared" si="8"/>
        <v>🚨 REPLACE LOCK / KEY LOST</v>
      </c>
    </row>
    <row r="165" spans="1:16" x14ac:dyDescent="0.35">
      <c r="A165" s="23">
        <v>158</v>
      </c>
      <c r="B165" s="23" t="s">
        <v>63</v>
      </c>
      <c r="C165" s="24">
        <v>489</v>
      </c>
      <c r="D165" s="23" t="s">
        <v>29</v>
      </c>
      <c r="E165" s="23" t="s">
        <v>63</v>
      </c>
      <c r="F165" s="23">
        <v>2</v>
      </c>
      <c r="G165" s="23">
        <v>1</v>
      </c>
      <c r="H165" s="23">
        <v>0</v>
      </c>
      <c r="I165" s="23">
        <f t="shared" si="6"/>
        <v>1</v>
      </c>
      <c r="J165" s="23" t="str">
        <f t="shared" si="7"/>
        <v>⚠️ Missing Key</v>
      </c>
      <c r="K165" s="23" t="s">
        <v>139</v>
      </c>
      <c r="L165" s="23" t="s">
        <v>63</v>
      </c>
      <c r="M165" s="28"/>
      <c r="N165" s="14" t="s">
        <v>35</v>
      </c>
      <c r="O165" s="14" t="s">
        <v>139</v>
      </c>
      <c r="P165" s="14" t="str">
        <f t="shared" si="8"/>
        <v>🚨 REPLACE LOCK / KEY LOST</v>
      </c>
    </row>
    <row r="166" spans="1:16" x14ac:dyDescent="0.35">
      <c r="A166" s="23">
        <v>159</v>
      </c>
      <c r="B166" s="23" t="s">
        <v>63</v>
      </c>
      <c r="C166" s="24">
        <v>102</v>
      </c>
      <c r="D166" s="23" t="s">
        <v>29</v>
      </c>
      <c r="E166" s="23" t="s">
        <v>63</v>
      </c>
      <c r="F166" s="23">
        <v>2</v>
      </c>
      <c r="G166" s="23">
        <v>1</v>
      </c>
      <c r="H166" s="23">
        <v>1</v>
      </c>
      <c r="I166" s="23">
        <f t="shared" si="6"/>
        <v>0</v>
      </c>
      <c r="J166" s="23" t="str">
        <f t="shared" si="7"/>
        <v>🔑 Issued to Staff</v>
      </c>
      <c r="K166" s="23" t="s">
        <v>212</v>
      </c>
      <c r="L166" s="23" t="s">
        <v>63</v>
      </c>
      <c r="M166" s="28"/>
      <c r="N166" s="14" t="s">
        <v>34</v>
      </c>
      <c r="O166" s="14" t="s">
        <v>225</v>
      </c>
      <c r="P166" s="14" t="str">
        <f t="shared" si="8"/>
        <v>✅ OK</v>
      </c>
    </row>
    <row r="167" spans="1:16" x14ac:dyDescent="0.35">
      <c r="A167" s="23">
        <v>160</v>
      </c>
      <c r="B167" s="23" t="s">
        <v>63</v>
      </c>
      <c r="C167" s="24">
        <v>568</v>
      </c>
      <c r="D167" s="23" t="s">
        <v>29</v>
      </c>
      <c r="E167" s="23" t="s">
        <v>63</v>
      </c>
      <c r="F167" s="23">
        <v>2</v>
      </c>
      <c r="G167" s="23">
        <v>1</v>
      </c>
      <c r="H167" s="23">
        <v>0</v>
      </c>
      <c r="I167" s="23">
        <f t="shared" si="6"/>
        <v>1</v>
      </c>
      <c r="J167" s="23" t="str">
        <f t="shared" si="7"/>
        <v>⚠️ Missing Key</v>
      </c>
      <c r="K167" s="23" t="s">
        <v>240</v>
      </c>
      <c r="L167" s="23" t="s">
        <v>63</v>
      </c>
      <c r="M167" s="28"/>
      <c r="N167" s="14" t="s">
        <v>34</v>
      </c>
      <c r="O167" s="14" t="s">
        <v>241</v>
      </c>
      <c r="P167" s="14" t="str">
        <f t="shared" si="8"/>
        <v>🚨 REPLACE LOCK / KEY LOST</v>
      </c>
    </row>
    <row r="168" spans="1:16" x14ac:dyDescent="0.35">
      <c r="A168" s="23">
        <v>161</v>
      </c>
      <c r="B168" s="23" t="s">
        <v>63</v>
      </c>
      <c r="C168" s="24">
        <v>25</v>
      </c>
      <c r="D168" s="23" t="s">
        <v>29</v>
      </c>
      <c r="E168" s="23" t="s">
        <v>63</v>
      </c>
      <c r="F168" s="23">
        <v>2</v>
      </c>
      <c r="G168" s="23">
        <v>1</v>
      </c>
      <c r="H168" s="23">
        <v>0</v>
      </c>
      <c r="I168" s="23">
        <f t="shared" si="6"/>
        <v>1</v>
      </c>
      <c r="J168" s="23" t="str">
        <f t="shared" si="7"/>
        <v>⚠️ Missing Key</v>
      </c>
      <c r="K168" s="23" t="s">
        <v>139</v>
      </c>
      <c r="L168" s="23" t="s">
        <v>63</v>
      </c>
      <c r="M168" s="28"/>
      <c r="N168" s="14" t="s">
        <v>35</v>
      </c>
      <c r="O168" s="14" t="s">
        <v>139</v>
      </c>
      <c r="P168" s="14" t="str">
        <f t="shared" si="8"/>
        <v>🚨 REPLACE LOCK / KEY LOST</v>
      </c>
    </row>
    <row r="169" spans="1:16" x14ac:dyDescent="0.35">
      <c r="A169" s="23">
        <v>162</v>
      </c>
      <c r="B169" s="23" t="s">
        <v>63</v>
      </c>
      <c r="C169" s="26">
        <v>128</v>
      </c>
      <c r="D169" s="23" t="s">
        <v>29</v>
      </c>
      <c r="E169" s="23" t="s">
        <v>63</v>
      </c>
      <c r="F169" s="23">
        <v>2</v>
      </c>
      <c r="G169" s="23">
        <v>1</v>
      </c>
      <c r="H169" s="23">
        <v>1</v>
      </c>
      <c r="I169" s="23">
        <f t="shared" si="6"/>
        <v>0</v>
      </c>
      <c r="J169" s="23" t="str">
        <f t="shared" si="7"/>
        <v>🔑 Issued to Staff</v>
      </c>
      <c r="K169" s="23" t="s">
        <v>212</v>
      </c>
      <c r="L169" s="23" t="s">
        <v>63</v>
      </c>
      <c r="M169" s="28"/>
      <c r="N169" s="14" t="s">
        <v>34</v>
      </c>
      <c r="O169" s="14" t="s">
        <v>242</v>
      </c>
      <c r="P169" s="14" t="str">
        <f t="shared" si="8"/>
        <v>✅ OK</v>
      </c>
    </row>
    <row r="170" spans="1:16" x14ac:dyDescent="0.35">
      <c r="A170" s="23">
        <v>163</v>
      </c>
      <c r="B170" s="23" t="s">
        <v>63</v>
      </c>
      <c r="C170" s="24">
        <v>614</v>
      </c>
      <c r="D170" s="23" t="s">
        <v>29</v>
      </c>
      <c r="E170" s="23" t="s">
        <v>63</v>
      </c>
      <c r="F170" s="23">
        <v>2</v>
      </c>
      <c r="G170" s="23">
        <v>1</v>
      </c>
      <c r="H170" s="23">
        <v>1</v>
      </c>
      <c r="I170" s="23">
        <f t="shared" si="6"/>
        <v>0</v>
      </c>
      <c r="J170" s="23" t="str">
        <f t="shared" si="7"/>
        <v>🔑 Issued to Staff</v>
      </c>
      <c r="K170" s="23" t="s">
        <v>243</v>
      </c>
      <c r="L170" s="23" t="s">
        <v>63</v>
      </c>
      <c r="M170" s="28"/>
      <c r="N170" s="14" t="s">
        <v>34</v>
      </c>
      <c r="O170" s="14" t="s">
        <v>139</v>
      </c>
      <c r="P170" s="14" t="str">
        <f t="shared" si="8"/>
        <v>✅ OK</v>
      </c>
    </row>
    <row r="171" spans="1:16" x14ac:dyDescent="0.35">
      <c r="A171" s="23">
        <v>164</v>
      </c>
      <c r="B171" s="23" t="s">
        <v>63</v>
      </c>
      <c r="C171" s="24">
        <v>38</v>
      </c>
      <c r="D171" s="23" t="s">
        <v>29</v>
      </c>
      <c r="E171" s="23" t="s">
        <v>63</v>
      </c>
      <c r="F171" s="23">
        <v>2</v>
      </c>
      <c r="G171" s="23">
        <v>1</v>
      </c>
      <c r="H171" s="23">
        <v>0</v>
      </c>
      <c r="I171" s="23">
        <f t="shared" si="6"/>
        <v>1</v>
      </c>
      <c r="J171" s="23" t="str">
        <f t="shared" si="7"/>
        <v>⚠️ Missing Key</v>
      </c>
      <c r="K171" s="23" t="s">
        <v>244</v>
      </c>
      <c r="L171" s="23" t="s">
        <v>63</v>
      </c>
      <c r="M171" s="28"/>
      <c r="N171" s="14" t="s">
        <v>34</v>
      </c>
      <c r="O171" s="14" t="s">
        <v>139</v>
      </c>
      <c r="P171" s="14" t="str">
        <f t="shared" si="8"/>
        <v>🚨 REPLACE LOCK / KEY LOST</v>
      </c>
    </row>
    <row r="172" spans="1:16" x14ac:dyDescent="0.35">
      <c r="A172" s="23">
        <v>165</v>
      </c>
      <c r="B172" s="23" t="s">
        <v>63</v>
      </c>
      <c r="C172" s="26">
        <v>91</v>
      </c>
      <c r="D172" s="23" t="s">
        <v>29</v>
      </c>
      <c r="E172" s="23" t="s">
        <v>63</v>
      </c>
      <c r="F172" s="23">
        <v>2</v>
      </c>
      <c r="G172" s="23">
        <v>0</v>
      </c>
      <c r="H172" s="23">
        <v>2</v>
      </c>
      <c r="I172" s="23">
        <f t="shared" si="6"/>
        <v>0</v>
      </c>
      <c r="J172" s="23" t="str">
        <f t="shared" si="7"/>
        <v>🔑 Issued to Staff</v>
      </c>
      <c r="K172" s="23" t="s">
        <v>245</v>
      </c>
      <c r="L172" s="23" t="s">
        <v>63</v>
      </c>
      <c r="M172" s="28"/>
      <c r="N172" s="14" t="s">
        <v>34</v>
      </c>
      <c r="O172" s="14" t="s">
        <v>139</v>
      </c>
      <c r="P172" s="14" t="str">
        <f t="shared" si="8"/>
        <v>✅ OK</v>
      </c>
    </row>
    <row r="173" spans="1:16" x14ac:dyDescent="0.35">
      <c r="A173" s="23">
        <v>166</v>
      </c>
      <c r="B173" s="23" t="s">
        <v>63</v>
      </c>
      <c r="C173" s="26">
        <v>125</v>
      </c>
      <c r="D173" s="23" t="s">
        <v>29</v>
      </c>
      <c r="E173" s="23" t="s">
        <v>63</v>
      </c>
      <c r="F173" s="23">
        <v>2</v>
      </c>
      <c r="G173" s="23">
        <v>0</v>
      </c>
      <c r="H173" s="23">
        <v>2</v>
      </c>
      <c r="I173" s="23">
        <f t="shared" si="6"/>
        <v>0</v>
      </c>
      <c r="J173" s="23" t="str">
        <f t="shared" si="7"/>
        <v>🔑 Issued to Staff</v>
      </c>
      <c r="K173" s="23" t="s">
        <v>246</v>
      </c>
      <c r="L173" s="23" t="s">
        <v>63</v>
      </c>
      <c r="M173" s="28"/>
      <c r="N173" s="14" t="s">
        <v>34</v>
      </c>
      <c r="O173" s="14" t="s">
        <v>139</v>
      </c>
      <c r="P173" s="14" t="str">
        <f t="shared" si="8"/>
        <v>✅ OK</v>
      </c>
    </row>
    <row r="174" spans="1:16" x14ac:dyDescent="0.35">
      <c r="A174" s="23">
        <v>167</v>
      </c>
      <c r="B174" s="23" t="s">
        <v>63</v>
      </c>
      <c r="C174" s="24">
        <v>705</v>
      </c>
      <c r="D174" s="23" t="s">
        <v>29</v>
      </c>
      <c r="E174" s="23" t="s">
        <v>63</v>
      </c>
      <c r="F174" s="23">
        <v>2</v>
      </c>
      <c r="G174" s="23">
        <v>1</v>
      </c>
      <c r="H174" s="23">
        <v>0</v>
      </c>
      <c r="I174" s="23">
        <f t="shared" si="6"/>
        <v>1</v>
      </c>
      <c r="J174" s="23" t="str">
        <f t="shared" si="7"/>
        <v>⚠️ Missing Key</v>
      </c>
      <c r="K174" s="23"/>
      <c r="L174" s="23" t="s">
        <v>63</v>
      </c>
      <c r="M174" s="28"/>
      <c r="N174" s="14" t="s">
        <v>34</v>
      </c>
      <c r="O174" s="14" t="s">
        <v>247</v>
      </c>
      <c r="P174" s="14" t="str">
        <f t="shared" si="8"/>
        <v>🚨 REPLACE LOCK / KEY LOST</v>
      </c>
    </row>
    <row r="175" spans="1:16" x14ac:dyDescent="0.35">
      <c r="A175" s="23">
        <v>168</v>
      </c>
      <c r="B175" s="23" t="s">
        <v>63</v>
      </c>
      <c r="C175" s="24">
        <v>24</v>
      </c>
      <c r="D175" s="23" t="s">
        <v>29</v>
      </c>
      <c r="E175" s="23" t="s">
        <v>63</v>
      </c>
      <c r="F175" s="23">
        <v>2</v>
      </c>
      <c r="G175" s="23">
        <v>1</v>
      </c>
      <c r="H175" s="23">
        <v>1</v>
      </c>
      <c r="I175" s="23">
        <f t="shared" si="6"/>
        <v>0</v>
      </c>
      <c r="J175" s="23" t="str">
        <f t="shared" si="7"/>
        <v>🔑 Issued to Staff</v>
      </c>
      <c r="K175" s="23" t="s">
        <v>248</v>
      </c>
      <c r="L175" s="23" t="s">
        <v>63</v>
      </c>
      <c r="M175" s="28"/>
      <c r="N175" s="14" t="s">
        <v>34</v>
      </c>
      <c r="O175" s="14" t="s">
        <v>139</v>
      </c>
      <c r="P175" s="14" t="str">
        <f t="shared" si="8"/>
        <v>✅ OK</v>
      </c>
    </row>
    <row r="176" spans="1:16" x14ac:dyDescent="0.35">
      <c r="A176" s="23">
        <v>169</v>
      </c>
      <c r="B176" s="23" t="s">
        <v>63</v>
      </c>
      <c r="C176" s="24">
        <v>360</v>
      </c>
      <c r="D176" s="23" t="s">
        <v>29</v>
      </c>
      <c r="E176" s="23" t="s">
        <v>63</v>
      </c>
      <c r="F176" s="23">
        <v>2</v>
      </c>
      <c r="G176" s="23">
        <v>1</v>
      </c>
      <c r="H176" s="23">
        <v>0</v>
      </c>
      <c r="I176" s="23">
        <f t="shared" si="6"/>
        <v>1</v>
      </c>
      <c r="J176" s="23" t="str">
        <f t="shared" si="7"/>
        <v>⚠️ Missing Key</v>
      </c>
      <c r="K176" s="23" t="s">
        <v>64</v>
      </c>
      <c r="L176" s="23" t="s">
        <v>63</v>
      </c>
      <c r="M176" s="28"/>
      <c r="N176" s="14" t="s">
        <v>34</v>
      </c>
      <c r="O176" s="14" t="s">
        <v>249</v>
      </c>
      <c r="P176" s="14" t="str">
        <f t="shared" si="8"/>
        <v>🚨 REPLACE LOCK / KEY LOST</v>
      </c>
    </row>
    <row r="177" spans="1:16" x14ac:dyDescent="0.35">
      <c r="A177" s="23">
        <v>170</v>
      </c>
      <c r="B177" s="23" t="s">
        <v>63</v>
      </c>
      <c r="C177" s="24">
        <v>7</v>
      </c>
      <c r="D177" s="23" t="s">
        <v>29</v>
      </c>
      <c r="E177" s="23" t="s">
        <v>63</v>
      </c>
      <c r="F177" s="23">
        <v>2</v>
      </c>
      <c r="G177" s="23">
        <v>1</v>
      </c>
      <c r="H177" s="23">
        <v>1</v>
      </c>
      <c r="I177" s="23">
        <f t="shared" si="6"/>
        <v>0</v>
      </c>
      <c r="J177" s="23" t="str">
        <f>IF(I177&gt;0, "⚠️ Missing Key", IF(H177&gt;0, "🔑 Issued to Staff", IF(G177&gt;0, "🔒 In Custody", IF(F177=0, "⚪ Unregistered", "🔍 Under Audit"))))</f>
        <v>🔑 Issued to Staff</v>
      </c>
      <c r="K177" s="23" t="s">
        <v>64</v>
      </c>
      <c r="L177" s="23" t="s">
        <v>63</v>
      </c>
      <c r="M177" s="28"/>
      <c r="N177" s="14" t="s">
        <v>34</v>
      </c>
      <c r="O177" s="14" t="s">
        <v>249</v>
      </c>
      <c r="P177" s="14" t="str">
        <f t="shared" si="8"/>
        <v>✅ OK</v>
      </c>
    </row>
    <row r="178" spans="1:16" x14ac:dyDescent="0.35">
      <c r="A178" s="23">
        <v>171</v>
      </c>
      <c r="B178" s="23" t="s">
        <v>63</v>
      </c>
      <c r="C178" s="24">
        <v>7488</v>
      </c>
      <c r="D178" s="23" t="s">
        <v>29</v>
      </c>
      <c r="E178" s="23" t="s">
        <v>63</v>
      </c>
      <c r="F178" s="23">
        <v>2</v>
      </c>
      <c r="G178" s="23">
        <v>1</v>
      </c>
      <c r="H178" s="23">
        <v>0</v>
      </c>
      <c r="I178" s="23">
        <f t="shared" si="6"/>
        <v>1</v>
      </c>
      <c r="J178" s="23" t="str">
        <f t="shared" si="7"/>
        <v>⚠️ Missing Key</v>
      </c>
      <c r="K178" s="23" t="s">
        <v>139</v>
      </c>
      <c r="L178" s="23" t="s">
        <v>63</v>
      </c>
      <c r="M178" s="28"/>
      <c r="N178" s="14" t="s">
        <v>34</v>
      </c>
      <c r="O178" s="14" t="s">
        <v>250</v>
      </c>
      <c r="P178" s="14" t="str">
        <f t="shared" si="8"/>
        <v>🚨 REPLACE LOCK / KEY LOST</v>
      </c>
    </row>
    <row r="179" spans="1:16" s="15" customFormat="1" x14ac:dyDescent="0.35">
      <c r="A179" s="23">
        <v>172</v>
      </c>
      <c r="B179" s="23" t="s">
        <v>63</v>
      </c>
      <c r="C179" s="24">
        <v>6288</v>
      </c>
      <c r="D179" s="23" t="s">
        <v>30</v>
      </c>
      <c r="E179" s="23" t="s">
        <v>63</v>
      </c>
      <c r="F179" s="23">
        <v>2</v>
      </c>
      <c r="G179" s="23">
        <v>1</v>
      </c>
      <c r="H179" s="23">
        <v>1</v>
      </c>
      <c r="I179" s="23">
        <v>0</v>
      </c>
      <c r="J179" s="23" t="s">
        <v>251</v>
      </c>
      <c r="K179" s="23" t="s">
        <v>64</v>
      </c>
      <c r="L179" s="23" t="s">
        <v>137</v>
      </c>
      <c r="M179" s="28" t="s">
        <v>252</v>
      </c>
      <c r="N179" s="14" t="s">
        <v>34</v>
      </c>
      <c r="O179" s="14" t="s">
        <v>253</v>
      </c>
      <c r="P179" s="14" t="s">
        <v>254</v>
      </c>
    </row>
    <row r="180" spans="1:16" x14ac:dyDescent="0.35">
      <c r="A180" s="23">
        <v>173</v>
      </c>
      <c r="B180" s="23" t="s">
        <v>51</v>
      </c>
      <c r="C180" s="24">
        <v>8350</v>
      </c>
      <c r="D180" s="23" t="s">
        <v>30</v>
      </c>
      <c r="E180" s="23" t="s">
        <v>255</v>
      </c>
      <c r="F180" s="23">
        <v>2</v>
      </c>
      <c r="G180" s="23">
        <v>2</v>
      </c>
      <c r="H180" s="23">
        <v>0</v>
      </c>
      <c r="I180" s="23">
        <f t="shared" si="6"/>
        <v>0</v>
      </c>
      <c r="J180" s="23" t="str">
        <f t="shared" si="7"/>
        <v>🔒 In Custody</v>
      </c>
      <c r="K180" s="23" t="s">
        <v>74</v>
      </c>
      <c r="L180" s="23" t="s">
        <v>137</v>
      </c>
      <c r="M180" s="28"/>
      <c r="N180" s="14" t="s">
        <v>34</v>
      </c>
      <c r="O180" s="14" t="s">
        <v>256</v>
      </c>
      <c r="P180" s="14" t="str">
        <f t="shared" si="8"/>
        <v>✅ OK</v>
      </c>
    </row>
    <row r="181" spans="1:16" x14ac:dyDescent="0.35">
      <c r="A181" s="23">
        <v>174</v>
      </c>
      <c r="B181" s="23" t="s">
        <v>51</v>
      </c>
      <c r="C181" s="24">
        <v>8051</v>
      </c>
      <c r="D181" s="23" t="s">
        <v>30</v>
      </c>
      <c r="E181" s="23" t="s">
        <v>255</v>
      </c>
      <c r="F181" s="23">
        <v>2</v>
      </c>
      <c r="G181" s="23">
        <v>2</v>
      </c>
      <c r="H181" s="23">
        <v>0</v>
      </c>
      <c r="I181" s="23">
        <f t="shared" si="6"/>
        <v>0</v>
      </c>
      <c r="J181" s="23" t="str">
        <f t="shared" si="7"/>
        <v>🔒 In Custody</v>
      </c>
      <c r="K181" s="23" t="s">
        <v>74</v>
      </c>
      <c r="L181" s="23" t="s">
        <v>137</v>
      </c>
      <c r="M181" s="28"/>
      <c r="N181" s="14" t="s">
        <v>34</v>
      </c>
      <c r="O181" s="14" t="s">
        <v>256</v>
      </c>
      <c r="P181" s="14" t="str">
        <f t="shared" si="8"/>
        <v>✅ OK</v>
      </c>
    </row>
    <row r="182" spans="1:16" x14ac:dyDescent="0.35">
      <c r="A182" s="23">
        <v>175</v>
      </c>
      <c r="B182" s="23" t="s">
        <v>51</v>
      </c>
      <c r="C182" s="24">
        <v>8333</v>
      </c>
      <c r="D182" s="23" t="s">
        <v>30</v>
      </c>
      <c r="E182" s="23" t="s">
        <v>255</v>
      </c>
      <c r="F182" s="23">
        <v>2</v>
      </c>
      <c r="G182" s="23">
        <v>2</v>
      </c>
      <c r="H182" s="23">
        <v>0</v>
      </c>
      <c r="I182" s="23">
        <f t="shared" si="6"/>
        <v>0</v>
      </c>
      <c r="J182" s="23" t="str">
        <f t="shared" si="7"/>
        <v>🔒 In Custody</v>
      </c>
      <c r="K182" s="23" t="s">
        <v>74</v>
      </c>
      <c r="L182" s="23" t="s">
        <v>137</v>
      </c>
      <c r="M182" s="28" t="s">
        <v>257</v>
      </c>
      <c r="N182" s="14" t="s">
        <v>34</v>
      </c>
      <c r="O182" s="14" t="s">
        <v>256</v>
      </c>
      <c r="P182" s="14" t="str">
        <f t="shared" si="8"/>
        <v>✅ OK</v>
      </c>
    </row>
    <row r="183" spans="1:16" x14ac:dyDescent="0.35">
      <c r="A183" s="23">
        <v>176</v>
      </c>
      <c r="B183" s="23" t="s">
        <v>51</v>
      </c>
      <c r="C183" s="24">
        <v>8044</v>
      </c>
      <c r="D183" s="23" t="s">
        <v>30</v>
      </c>
      <c r="E183" s="23" t="s">
        <v>255</v>
      </c>
      <c r="F183" s="23">
        <v>2</v>
      </c>
      <c r="G183" s="23">
        <v>1</v>
      </c>
      <c r="H183" s="23">
        <v>0</v>
      </c>
      <c r="I183" s="23">
        <f t="shared" si="6"/>
        <v>1</v>
      </c>
      <c r="J183" s="23" t="str">
        <f t="shared" si="7"/>
        <v>⚠️ Missing Key</v>
      </c>
      <c r="K183" s="23" t="s">
        <v>74</v>
      </c>
      <c r="L183" s="23" t="s">
        <v>137</v>
      </c>
      <c r="M183" s="28" t="s">
        <v>257</v>
      </c>
      <c r="N183" s="14" t="s">
        <v>34</v>
      </c>
      <c r="O183" s="14" t="s">
        <v>256</v>
      </c>
      <c r="P183" s="14" t="str">
        <f t="shared" si="8"/>
        <v>🚨 REPLACE LOCK / KEY LOST</v>
      </c>
    </row>
    <row r="184" spans="1:16" x14ac:dyDescent="0.35">
      <c r="A184" s="23">
        <v>177</v>
      </c>
      <c r="B184" s="23" t="s">
        <v>51</v>
      </c>
      <c r="C184" s="24">
        <v>8358</v>
      </c>
      <c r="D184" s="23" t="s">
        <v>30</v>
      </c>
      <c r="E184" s="23" t="s">
        <v>255</v>
      </c>
      <c r="F184" s="23">
        <v>2</v>
      </c>
      <c r="G184" s="23">
        <v>1</v>
      </c>
      <c r="H184" s="23">
        <v>0</v>
      </c>
      <c r="I184" s="23">
        <f t="shared" si="6"/>
        <v>1</v>
      </c>
      <c r="J184" s="23" t="str">
        <f t="shared" si="7"/>
        <v>⚠️ Missing Key</v>
      </c>
      <c r="K184" s="23" t="s">
        <v>258</v>
      </c>
      <c r="L184" s="23" t="s">
        <v>137</v>
      </c>
      <c r="M184" s="28" t="s">
        <v>257</v>
      </c>
      <c r="N184" s="14" t="s">
        <v>34</v>
      </c>
      <c r="O184" s="14" t="s">
        <v>259</v>
      </c>
      <c r="P184" s="14" t="str">
        <f t="shared" si="8"/>
        <v>🚨 REPLACE LOCK / KEY LOST</v>
      </c>
    </row>
    <row r="185" spans="1:16" x14ac:dyDescent="0.35">
      <c r="A185" s="23">
        <v>178</v>
      </c>
      <c r="B185" s="23" t="s">
        <v>39</v>
      </c>
      <c r="C185" s="24">
        <v>634</v>
      </c>
      <c r="D185" s="23" t="s">
        <v>31</v>
      </c>
      <c r="E185" s="23" t="s">
        <v>260</v>
      </c>
      <c r="F185" s="23">
        <v>3</v>
      </c>
      <c r="G185" s="23">
        <v>3</v>
      </c>
      <c r="H185" s="23">
        <v>0</v>
      </c>
      <c r="I185" s="23">
        <f t="shared" si="6"/>
        <v>0</v>
      </c>
      <c r="J185" s="23" t="str">
        <f t="shared" si="7"/>
        <v>🔒 In Custody</v>
      </c>
      <c r="K185" s="23" t="s">
        <v>139</v>
      </c>
      <c r="L185" s="23" t="s">
        <v>233</v>
      </c>
      <c r="M185" s="28"/>
      <c r="N185" s="14" t="s">
        <v>261</v>
      </c>
      <c r="O185" s="14" t="s">
        <v>139</v>
      </c>
      <c r="P185" s="14" t="str">
        <f t="shared" si="8"/>
        <v>✅ OK</v>
      </c>
    </row>
    <row r="186" spans="1:16" x14ac:dyDescent="0.35">
      <c r="A186" s="23">
        <v>179</v>
      </c>
      <c r="B186" s="23" t="s">
        <v>39</v>
      </c>
      <c r="C186" s="24">
        <v>695</v>
      </c>
      <c r="D186" s="23" t="s">
        <v>31</v>
      </c>
      <c r="E186" s="23" t="s">
        <v>262</v>
      </c>
      <c r="F186" s="23">
        <v>3</v>
      </c>
      <c r="G186" s="23">
        <v>3</v>
      </c>
      <c r="H186" s="23">
        <v>0</v>
      </c>
      <c r="I186" s="23">
        <f t="shared" si="6"/>
        <v>0</v>
      </c>
      <c r="J186" s="23" t="str">
        <f t="shared" si="7"/>
        <v>🔒 In Custody</v>
      </c>
      <c r="K186" s="23" t="s">
        <v>139</v>
      </c>
      <c r="L186" s="23" t="s">
        <v>233</v>
      </c>
      <c r="M186" s="28"/>
      <c r="N186" s="14" t="s">
        <v>261</v>
      </c>
      <c r="O186" s="14" t="s">
        <v>139</v>
      </c>
      <c r="P186" s="14" t="str">
        <f t="shared" si="8"/>
        <v>✅ OK</v>
      </c>
    </row>
    <row r="187" spans="1:16" x14ac:dyDescent="0.35">
      <c r="A187" s="23">
        <v>180</v>
      </c>
      <c r="B187" s="23" t="s">
        <v>39</v>
      </c>
      <c r="C187" s="24">
        <v>650</v>
      </c>
      <c r="D187" s="23" t="s">
        <v>31</v>
      </c>
      <c r="E187" s="23" t="s">
        <v>263</v>
      </c>
      <c r="F187" s="23">
        <v>3</v>
      </c>
      <c r="G187" s="23">
        <v>3</v>
      </c>
      <c r="H187" s="23">
        <v>0</v>
      </c>
      <c r="I187" s="23">
        <f t="shared" si="6"/>
        <v>0</v>
      </c>
      <c r="J187" s="23" t="str">
        <f t="shared" si="7"/>
        <v>🔒 In Custody</v>
      </c>
      <c r="K187" s="23" t="s">
        <v>139</v>
      </c>
      <c r="L187" s="23" t="s">
        <v>233</v>
      </c>
      <c r="M187" s="28"/>
      <c r="N187" s="14" t="s">
        <v>261</v>
      </c>
      <c r="O187" s="14" t="s">
        <v>139</v>
      </c>
      <c r="P187" s="14" t="str">
        <f t="shared" si="8"/>
        <v>✅ OK</v>
      </c>
    </row>
    <row r="188" spans="1:16" x14ac:dyDescent="0.35">
      <c r="A188" s="23">
        <v>181</v>
      </c>
      <c r="B188" s="23" t="s">
        <v>39</v>
      </c>
      <c r="C188" s="24">
        <v>218</v>
      </c>
      <c r="D188" s="23" t="s">
        <v>31</v>
      </c>
      <c r="E188" s="23" t="s">
        <v>264</v>
      </c>
      <c r="F188" s="23">
        <v>3</v>
      </c>
      <c r="G188" s="23">
        <v>3</v>
      </c>
      <c r="H188" s="23">
        <v>0</v>
      </c>
      <c r="I188" s="23">
        <f t="shared" si="6"/>
        <v>0</v>
      </c>
      <c r="J188" s="23" t="str">
        <f t="shared" si="7"/>
        <v>🔒 In Custody</v>
      </c>
      <c r="K188" s="23" t="s">
        <v>139</v>
      </c>
      <c r="L188" s="23" t="s">
        <v>137</v>
      </c>
      <c r="M188" s="28"/>
      <c r="N188" s="14" t="s">
        <v>261</v>
      </c>
      <c r="O188" s="14" t="s">
        <v>139</v>
      </c>
      <c r="P188" s="14" t="str">
        <f t="shared" si="8"/>
        <v>✅ OK</v>
      </c>
    </row>
    <row r="189" spans="1:16" x14ac:dyDescent="0.35">
      <c r="A189" s="23">
        <v>182</v>
      </c>
      <c r="B189" s="23" t="s">
        <v>39</v>
      </c>
      <c r="C189" s="24">
        <v>523</v>
      </c>
      <c r="D189" s="23" t="s">
        <v>31</v>
      </c>
      <c r="E189" s="23" t="s">
        <v>265</v>
      </c>
      <c r="F189" s="23">
        <v>3</v>
      </c>
      <c r="G189" s="23">
        <v>3</v>
      </c>
      <c r="H189" s="23">
        <v>0</v>
      </c>
      <c r="I189" s="23">
        <f t="shared" si="6"/>
        <v>0</v>
      </c>
      <c r="J189" s="23" t="str">
        <f t="shared" si="7"/>
        <v>🔒 In Custody</v>
      </c>
      <c r="K189" s="23" t="s">
        <v>139</v>
      </c>
      <c r="L189" s="23" t="s">
        <v>137</v>
      </c>
      <c r="M189" s="28"/>
      <c r="N189" s="14" t="s">
        <v>261</v>
      </c>
      <c r="O189" s="14" t="s">
        <v>139</v>
      </c>
      <c r="P189" s="14" t="str">
        <f t="shared" si="8"/>
        <v>✅ OK</v>
      </c>
    </row>
    <row r="190" spans="1:16" x14ac:dyDescent="0.35">
      <c r="A190" s="23">
        <v>183</v>
      </c>
      <c r="B190" s="23" t="s">
        <v>39</v>
      </c>
      <c r="C190" s="24">
        <v>318</v>
      </c>
      <c r="D190" s="23" t="s">
        <v>31</v>
      </c>
      <c r="E190" s="23" t="s">
        <v>266</v>
      </c>
      <c r="F190" s="23">
        <v>3</v>
      </c>
      <c r="G190" s="23">
        <v>3</v>
      </c>
      <c r="H190" s="23">
        <v>0</v>
      </c>
      <c r="I190" s="23">
        <f t="shared" si="6"/>
        <v>0</v>
      </c>
      <c r="J190" s="23" t="str">
        <f t="shared" si="7"/>
        <v>🔒 In Custody</v>
      </c>
      <c r="K190" s="23" t="s">
        <v>139</v>
      </c>
      <c r="L190" s="23" t="s">
        <v>137</v>
      </c>
      <c r="M190" s="28"/>
      <c r="N190" s="14" t="s">
        <v>261</v>
      </c>
      <c r="O190" s="14" t="s">
        <v>139</v>
      </c>
      <c r="P190" s="14" t="str">
        <f t="shared" si="8"/>
        <v>✅ OK</v>
      </c>
    </row>
    <row r="191" spans="1:16" x14ac:dyDescent="0.35">
      <c r="A191" s="23">
        <v>184</v>
      </c>
      <c r="B191" s="23" t="s">
        <v>41</v>
      </c>
      <c r="C191" s="24">
        <v>716</v>
      </c>
      <c r="D191" s="23" t="s">
        <v>31</v>
      </c>
      <c r="E191" s="23" t="s">
        <v>267</v>
      </c>
      <c r="F191" s="23">
        <v>3</v>
      </c>
      <c r="G191" s="23">
        <v>3</v>
      </c>
      <c r="H191" s="23">
        <v>0</v>
      </c>
      <c r="I191" s="23">
        <f t="shared" si="6"/>
        <v>0</v>
      </c>
      <c r="J191" s="23" t="str">
        <f t="shared" si="7"/>
        <v>🔒 In Custody</v>
      </c>
      <c r="K191" s="23" t="s">
        <v>139</v>
      </c>
      <c r="L191" s="23" t="s">
        <v>137</v>
      </c>
      <c r="M191" s="28"/>
      <c r="N191" s="14" t="s">
        <v>261</v>
      </c>
      <c r="O191" s="14" t="s">
        <v>139</v>
      </c>
      <c r="P191" s="14" t="str">
        <f t="shared" si="8"/>
        <v>✅ OK</v>
      </c>
    </row>
    <row r="192" spans="1:16" x14ac:dyDescent="0.35">
      <c r="A192" s="23">
        <v>185</v>
      </c>
      <c r="B192" s="23" t="s">
        <v>41</v>
      </c>
      <c r="C192" s="24">
        <v>840</v>
      </c>
      <c r="D192" s="23" t="s">
        <v>31</v>
      </c>
      <c r="E192" s="23" t="s">
        <v>268</v>
      </c>
      <c r="F192" s="23">
        <v>3</v>
      </c>
      <c r="G192" s="23">
        <v>3</v>
      </c>
      <c r="H192" s="23">
        <v>0</v>
      </c>
      <c r="I192" s="23">
        <f t="shared" si="6"/>
        <v>0</v>
      </c>
      <c r="J192" s="23" t="str">
        <f t="shared" si="7"/>
        <v>🔒 In Custody</v>
      </c>
      <c r="K192" s="23" t="s">
        <v>139</v>
      </c>
      <c r="L192" s="23" t="s">
        <v>137</v>
      </c>
      <c r="M192" s="28"/>
      <c r="N192" s="14" t="s">
        <v>261</v>
      </c>
      <c r="O192" s="14" t="s">
        <v>139</v>
      </c>
      <c r="P192" s="14" t="str">
        <f t="shared" si="8"/>
        <v>✅ OK</v>
      </c>
    </row>
    <row r="193" spans="1:16" x14ac:dyDescent="0.35">
      <c r="A193" s="23">
        <v>186</v>
      </c>
      <c r="B193" s="23" t="s">
        <v>41</v>
      </c>
      <c r="C193" s="24">
        <v>773</v>
      </c>
      <c r="D193" s="23" t="s">
        <v>31</v>
      </c>
      <c r="E193" s="23" t="s">
        <v>269</v>
      </c>
      <c r="F193" s="23">
        <v>3</v>
      </c>
      <c r="G193" s="23">
        <v>3</v>
      </c>
      <c r="H193" s="23">
        <v>0</v>
      </c>
      <c r="I193" s="23">
        <f t="shared" si="6"/>
        <v>0</v>
      </c>
      <c r="J193" s="23" t="str">
        <f t="shared" si="7"/>
        <v>🔒 In Custody</v>
      </c>
      <c r="K193" s="23" t="s">
        <v>139</v>
      </c>
      <c r="L193" s="23" t="s">
        <v>137</v>
      </c>
      <c r="M193" s="28"/>
      <c r="N193" s="14" t="s">
        <v>261</v>
      </c>
      <c r="O193" s="14" t="s">
        <v>139</v>
      </c>
      <c r="P193" s="14" t="str">
        <f t="shared" si="8"/>
        <v>✅ OK</v>
      </c>
    </row>
    <row r="194" spans="1:16" x14ac:dyDescent="0.35">
      <c r="A194" s="23">
        <v>187</v>
      </c>
      <c r="B194" s="23" t="s">
        <v>41</v>
      </c>
      <c r="C194" s="24">
        <v>629</v>
      </c>
      <c r="D194" s="23" t="s">
        <v>31</v>
      </c>
      <c r="E194" s="23" t="s">
        <v>270</v>
      </c>
      <c r="F194" s="23">
        <v>3</v>
      </c>
      <c r="G194" s="23">
        <v>3</v>
      </c>
      <c r="H194" s="23">
        <v>0</v>
      </c>
      <c r="I194" s="23">
        <f t="shared" si="6"/>
        <v>0</v>
      </c>
      <c r="J194" s="23" t="str">
        <f t="shared" si="7"/>
        <v>🔒 In Custody</v>
      </c>
      <c r="K194" s="23" t="s">
        <v>139</v>
      </c>
      <c r="L194" s="23" t="s">
        <v>137</v>
      </c>
      <c r="M194" s="28"/>
      <c r="N194" s="14" t="s">
        <v>261</v>
      </c>
      <c r="O194" s="14" t="s">
        <v>139</v>
      </c>
      <c r="P194" s="14" t="str">
        <f t="shared" si="8"/>
        <v>✅ OK</v>
      </c>
    </row>
    <row r="195" spans="1:16" x14ac:dyDescent="0.35">
      <c r="A195" s="23">
        <v>188</v>
      </c>
      <c r="B195" s="23" t="s">
        <v>43</v>
      </c>
      <c r="C195" s="24">
        <v>911</v>
      </c>
      <c r="D195" s="23" t="s">
        <v>31</v>
      </c>
      <c r="E195" s="23" t="s">
        <v>271</v>
      </c>
      <c r="F195" s="23">
        <v>3</v>
      </c>
      <c r="G195" s="23">
        <v>2</v>
      </c>
      <c r="H195" s="23">
        <v>0</v>
      </c>
      <c r="I195" s="23">
        <f t="shared" si="6"/>
        <v>1</v>
      </c>
      <c r="J195" s="23" t="str">
        <f t="shared" si="7"/>
        <v>⚠️ Missing Key</v>
      </c>
      <c r="K195" s="23" t="s">
        <v>139</v>
      </c>
      <c r="L195" s="23" t="s">
        <v>137</v>
      </c>
      <c r="M195" s="28"/>
      <c r="N195" s="14" t="s">
        <v>261</v>
      </c>
      <c r="O195" s="14" t="s">
        <v>139</v>
      </c>
      <c r="P195" s="14" t="str">
        <f t="shared" si="8"/>
        <v>🚨 REPLACE LOCK / KEY LOST</v>
      </c>
    </row>
    <row r="196" spans="1:16" x14ac:dyDescent="0.35">
      <c r="A196" s="23">
        <v>189</v>
      </c>
      <c r="B196" s="23" t="s">
        <v>43</v>
      </c>
      <c r="C196" s="24">
        <v>689</v>
      </c>
      <c r="D196" s="23" t="s">
        <v>31</v>
      </c>
      <c r="E196" s="23" t="s">
        <v>272</v>
      </c>
      <c r="F196" s="23">
        <v>3</v>
      </c>
      <c r="G196" s="23">
        <v>3</v>
      </c>
      <c r="H196" s="23">
        <v>0</v>
      </c>
      <c r="I196" s="23">
        <f t="shared" si="6"/>
        <v>0</v>
      </c>
      <c r="J196" s="23" t="str">
        <f t="shared" si="7"/>
        <v>🔒 In Custody</v>
      </c>
      <c r="K196" s="23" t="s">
        <v>139</v>
      </c>
      <c r="L196" s="23" t="s">
        <v>137</v>
      </c>
      <c r="M196" s="28"/>
      <c r="N196" s="14" t="s">
        <v>261</v>
      </c>
      <c r="O196" s="14" t="s">
        <v>139</v>
      </c>
      <c r="P196" s="14" t="str">
        <f t="shared" si="8"/>
        <v>✅ OK</v>
      </c>
    </row>
    <row r="197" spans="1:16" x14ac:dyDescent="0.35">
      <c r="A197" s="23">
        <v>190</v>
      </c>
      <c r="B197" s="23" t="s">
        <v>43</v>
      </c>
      <c r="C197" s="24">
        <v>749</v>
      </c>
      <c r="D197" s="23" t="s">
        <v>31</v>
      </c>
      <c r="E197" s="23" t="s">
        <v>273</v>
      </c>
      <c r="F197" s="23">
        <v>3</v>
      </c>
      <c r="G197" s="23">
        <v>3</v>
      </c>
      <c r="H197" s="23">
        <v>0</v>
      </c>
      <c r="I197" s="23">
        <f t="shared" si="6"/>
        <v>0</v>
      </c>
      <c r="J197" s="23" t="str">
        <f t="shared" si="7"/>
        <v>🔒 In Custody</v>
      </c>
      <c r="K197" s="23" t="s">
        <v>139</v>
      </c>
      <c r="L197" s="23" t="s">
        <v>137</v>
      </c>
      <c r="M197" s="28"/>
      <c r="N197" s="14" t="s">
        <v>261</v>
      </c>
      <c r="O197" s="14" t="s">
        <v>139</v>
      </c>
      <c r="P197" s="14" t="str">
        <f t="shared" si="8"/>
        <v>✅ OK</v>
      </c>
    </row>
    <row r="198" spans="1:16" x14ac:dyDescent="0.35">
      <c r="A198" s="23">
        <v>191</v>
      </c>
      <c r="B198" s="23" t="s">
        <v>43</v>
      </c>
      <c r="C198" s="24">
        <v>1086</v>
      </c>
      <c r="D198" s="23" t="s">
        <v>31</v>
      </c>
      <c r="E198" s="23" t="s">
        <v>274</v>
      </c>
      <c r="F198" s="23">
        <v>3</v>
      </c>
      <c r="G198" s="23">
        <v>3</v>
      </c>
      <c r="H198" s="23">
        <v>0</v>
      </c>
      <c r="I198" s="23">
        <f t="shared" si="6"/>
        <v>0</v>
      </c>
      <c r="J198" s="23" t="str">
        <f t="shared" si="7"/>
        <v>🔒 In Custody</v>
      </c>
      <c r="K198" s="23" t="s">
        <v>139</v>
      </c>
      <c r="L198" s="23" t="s">
        <v>137</v>
      </c>
      <c r="M198" s="28"/>
      <c r="N198" s="14" t="s">
        <v>261</v>
      </c>
      <c r="O198" s="14" t="s">
        <v>139</v>
      </c>
      <c r="P198" s="14" t="str">
        <f t="shared" si="8"/>
        <v>✅ OK</v>
      </c>
    </row>
    <row r="199" spans="1:16" x14ac:dyDescent="0.35">
      <c r="A199" s="23">
        <v>192</v>
      </c>
      <c r="B199" s="23" t="s">
        <v>43</v>
      </c>
      <c r="C199" s="24">
        <v>190</v>
      </c>
      <c r="D199" s="23" t="s">
        <v>31</v>
      </c>
      <c r="E199" s="23" t="s">
        <v>275</v>
      </c>
      <c r="F199" s="23">
        <v>3</v>
      </c>
      <c r="G199" s="23">
        <v>3</v>
      </c>
      <c r="H199" s="23">
        <v>0</v>
      </c>
      <c r="I199" s="23">
        <f t="shared" si="6"/>
        <v>0</v>
      </c>
      <c r="J199" s="23" t="str">
        <f t="shared" si="7"/>
        <v>🔒 In Custody</v>
      </c>
      <c r="K199" s="23" t="s">
        <v>139</v>
      </c>
      <c r="L199" s="23" t="s">
        <v>137</v>
      </c>
      <c r="M199" s="28"/>
      <c r="N199" s="14" t="s">
        <v>261</v>
      </c>
      <c r="O199" s="14" t="s">
        <v>139</v>
      </c>
      <c r="P199" s="14" t="str">
        <f t="shared" si="8"/>
        <v>✅ OK</v>
      </c>
    </row>
    <row r="200" spans="1:16" x14ac:dyDescent="0.35">
      <c r="A200" s="23">
        <v>193</v>
      </c>
      <c r="B200" s="23" t="s">
        <v>43</v>
      </c>
      <c r="C200" s="24">
        <v>802</v>
      </c>
      <c r="D200" s="23" t="s">
        <v>31</v>
      </c>
      <c r="E200" s="23" t="s">
        <v>276</v>
      </c>
      <c r="F200" s="23">
        <v>2</v>
      </c>
      <c r="G200" s="23">
        <v>2</v>
      </c>
      <c r="H200" s="23">
        <v>0</v>
      </c>
      <c r="I200" s="23">
        <f t="shared" si="6"/>
        <v>0</v>
      </c>
      <c r="J200" s="23" t="str">
        <f t="shared" si="7"/>
        <v>🔒 In Custody</v>
      </c>
      <c r="K200" s="23" t="s">
        <v>139</v>
      </c>
      <c r="L200" s="23" t="s">
        <v>137</v>
      </c>
      <c r="M200" s="28"/>
      <c r="N200" s="14" t="s">
        <v>261</v>
      </c>
      <c r="O200" s="14" t="s">
        <v>139</v>
      </c>
      <c r="P200" s="14" t="str">
        <f t="shared" si="8"/>
        <v>✅ OK</v>
      </c>
    </row>
    <row r="201" spans="1:16" x14ac:dyDescent="0.35">
      <c r="A201" s="23">
        <v>194</v>
      </c>
      <c r="B201" s="23" t="s">
        <v>45</v>
      </c>
      <c r="C201" s="24">
        <v>11</v>
      </c>
      <c r="D201" s="23" t="s">
        <v>31</v>
      </c>
      <c r="E201" s="23" t="s">
        <v>277</v>
      </c>
      <c r="F201" s="23">
        <v>3</v>
      </c>
      <c r="G201" s="23">
        <v>2</v>
      </c>
      <c r="H201" s="23">
        <v>0</v>
      </c>
      <c r="I201" s="23">
        <f t="shared" ref="I201:I251" si="9">MAX(0, F201-G201-H201)</f>
        <v>1</v>
      </c>
      <c r="J201" s="23" t="str">
        <f t="shared" ref="J201:J257" si="10">IF(I201&gt;0, "⚠️ Missing Key", IF(H201&gt;0, "🔑 Issued to Staff", IF(G201&gt;0, "🔒 In Custody", IF(F201=0, "⚪ Unregistered", "🔍 Under Audit"))))</f>
        <v>⚠️ Missing Key</v>
      </c>
      <c r="K201" s="23" t="s">
        <v>139</v>
      </c>
      <c r="L201" s="23" t="s">
        <v>137</v>
      </c>
      <c r="M201" s="28"/>
      <c r="N201" s="14" t="s">
        <v>261</v>
      </c>
      <c r="O201" s="14" t="s">
        <v>139</v>
      </c>
      <c r="P201" s="14" t="str">
        <f t="shared" ref="P201:P257" si="11">IF(I201&gt;0, "🚨 REPLACE LOCK / KEY LOST", IF(ISNUMBER(SEARCH("Audit", O201)), "⚠️ AUDIT WITH EMPLOYEE", IF(ISNUMBER(SEARCH("Damaged", O201)), "⚠️ KEY DAMAGED / REPLACE", IF(ISNUMBER(SEARCH("Verification", O201)), "🔍 KEY VERIFICATION", IF(N201="Vacant", "🟢 AVAILABLE", "✅ OK")))))</f>
        <v>🚨 REPLACE LOCK / KEY LOST</v>
      </c>
    </row>
    <row r="202" spans="1:16" x14ac:dyDescent="0.35">
      <c r="A202" s="23">
        <v>195</v>
      </c>
      <c r="B202" s="23" t="s">
        <v>47</v>
      </c>
      <c r="C202" s="24">
        <v>1065</v>
      </c>
      <c r="D202" s="23" t="s">
        <v>31</v>
      </c>
      <c r="E202" s="23" t="s">
        <v>278</v>
      </c>
      <c r="F202" s="23">
        <v>3</v>
      </c>
      <c r="G202" s="23">
        <v>2</v>
      </c>
      <c r="H202" s="23">
        <v>0</v>
      </c>
      <c r="I202" s="23">
        <f t="shared" si="9"/>
        <v>1</v>
      </c>
      <c r="J202" s="23" t="str">
        <f t="shared" si="10"/>
        <v>⚠️ Missing Key</v>
      </c>
      <c r="K202" s="23" t="s">
        <v>139</v>
      </c>
      <c r="L202" s="23" t="s">
        <v>137</v>
      </c>
      <c r="M202" s="28"/>
      <c r="N202" s="14" t="s">
        <v>261</v>
      </c>
      <c r="O202" s="14" t="s">
        <v>139</v>
      </c>
      <c r="P202" s="14" t="str">
        <f t="shared" si="11"/>
        <v>🚨 REPLACE LOCK / KEY LOST</v>
      </c>
    </row>
    <row r="203" spans="1:16" x14ac:dyDescent="0.35">
      <c r="A203" s="23">
        <v>196</v>
      </c>
      <c r="B203" s="23" t="s">
        <v>47</v>
      </c>
      <c r="C203" s="24">
        <v>906</v>
      </c>
      <c r="D203" s="23" t="s">
        <v>31</v>
      </c>
      <c r="E203" s="23" t="s">
        <v>279</v>
      </c>
      <c r="F203" s="23">
        <v>3</v>
      </c>
      <c r="G203" s="23">
        <v>3</v>
      </c>
      <c r="H203" s="23">
        <v>0</v>
      </c>
      <c r="I203" s="23">
        <f t="shared" si="9"/>
        <v>0</v>
      </c>
      <c r="J203" s="23" t="str">
        <f t="shared" si="10"/>
        <v>🔒 In Custody</v>
      </c>
      <c r="K203" s="23" t="s">
        <v>139</v>
      </c>
      <c r="L203" s="23" t="s">
        <v>137</v>
      </c>
      <c r="M203" s="28"/>
      <c r="N203" s="14" t="s">
        <v>261</v>
      </c>
      <c r="O203" s="14" t="s">
        <v>139</v>
      </c>
      <c r="P203" s="14" t="str">
        <f t="shared" si="11"/>
        <v>✅ OK</v>
      </c>
    </row>
    <row r="204" spans="1:16" x14ac:dyDescent="0.35">
      <c r="A204" s="23">
        <v>197</v>
      </c>
      <c r="B204" s="23" t="s">
        <v>47</v>
      </c>
      <c r="C204" s="24">
        <v>826</v>
      </c>
      <c r="D204" s="23" t="s">
        <v>31</v>
      </c>
      <c r="E204" s="23" t="s">
        <v>280</v>
      </c>
      <c r="F204" s="23">
        <v>3</v>
      </c>
      <c r="G204" s="23">
        <v>3</v>
      </c>
      <c r="H204" s="23">
        <v>0</v>
      </c>
      <c r="I204" s="23">
        <f t="shared" si="9"/>
        <v>0</v>
      </c>
      <c r="J204" s="23" t="str">
        <f t="shared" si="10"/>
        <v>🔒 In Custody</v>
      </c>
      <c r="K204" s="23" t="s">
        <v>139</v>
      </c>
      <c r="L204" s="23" t="s">
        <v>137</v>
      </c>
      <c r="M204" s="28"/>
      <c r="N204" s="14" t="s">
        <v>261</v>
      </c>
      <c r="O204" s="14" t="s">
        <v>139</v>
      </c>
      <c r="P204" s="14" t="str">
        <f t="shared" si="11"/>
        <v>✅ OK</v>
      </c>
    </row>
    <row r="205" spans="1:16" x14ac:dyDescent="0.35">
      <c r="A205" s="23">
        <v>198</v>
      </c>
      <c r="B205" s="23" t="s">
        <v>47</v>
      </c>
      <c r="C205" s="24">
        <v>824</v>
      </c>
      <c r="D205" s="23" t="s">
        <v>31</v>
      </c>
      <c r="E205" s="23" t="s">
        <v>281</v>
      </c>
      <c r="F205" s="23">
        <v>3</v>
      </c>
      <c r="G205" s="23">
        <v>3</v>
      </c>
      <c r="H205" s="23">
        <v>0</v>
      </c>
      <c r="I205" s="23">
        <f t="shared" si="9"/>
        <v>0</v>
      </c>
      <c r="J205" s="23" t="str">
        <f t="shared" si="10"/>
        <v>🔒 In Custody</v>
      </c>
      <c r="K205" s="23" t="s">
        <v>139</v>
      </c>
      <c r="L205" s="23" t="s">
        <v>137</v>
      </c>
      <c r="M205" s="28"/>
      <c r="N205" s="14" t="s">
        <v>261</v>
      </c>
      <c r="O205" s="14" t="s">
        <v>139</v>
      </c>
      <c r="P205" s="14" t="str">
        <f t="shared" si="11"/>
        <v>✅ OK</v>
      </c>
    </row>
    <row r="206" spans="1:16" x14ac:dyDescent="0.35">
      <c r="A206" s="23">
        <v>199</v>
      </c>
      <c r="B206" s="23" t="s">
        <v>47</v>
      </c>
      <c r="C206" s="24">
        <v>617</v>
      </c>
      <c r="D206" s="23" t="s">
        <v>31</v>
      </c>
      <c r="E206" s="23" t="s">
        <v>282</v>
      </c>
      <c r="F206" s="23">
        <v>3</v>
      </c>
      <c r="G206" s="23">
        <v>3</v>
      </c>
      <c r="H206" s="23">
        <v>0</v>
      </c>
      <c r="I206" s="23">
        <f t="shared" si="9"/>
        <v>0</v>
      </c>
      <c r="J206" s="23" t="str">
        <f t="shared" si="10"/>
        <v>🔒 In Custody</v>
      </c>
      <c r="K206" s="23" t="s">
        <v>139</v>
      </c>
      <c r="L206" s="23" t="s">
        <v>137</v>
      </c>
      <c r="M206" s="28"/>
      <c r="N206" s="14" t="s">
        <v>261</v>
      </c>
      <c r="O206" s="14" t="s">
        <v>139</v>
      </c>
      <c r="P206" s="14" t="str">
        <f t="shared" si="11"/>
        <v>✅ OK</v>
      </c>
    </row>
    <row r="207" spans="1:16" x14ac:dyDescent="0.35">
      <c r="A207" s="23">
        <v>200</v>
      </c>
      <c r="B207" s="23" t="s">
        <v>49</v>
      </c>
      <c r="C207" s="24">
        <v>1004</v>
      </c>
      <c r="D207" s="23" t="s">
        <v>31</v>
      </c>
      <c r="E207" s="23" t="s">
        <v>283</v>
      </c>
      <c r="F207" s="23">
        <v>3</v>
      </c>
      <c r="G207" s="23">
        <v>2</v>
      </c>
      <c r="H207" s="23">
        <v>0</v>
      </c>
      <c r="I207" s="23">
        <f t="shared" si="9"/>
        <v>1</v>
      </c>
      <c r="J207" s="23" t="str">
        <f t="shared" si="10"/>
        <v>⚠️ Missing Key</v>
      </c>
      <c r="K207" s="23" t="s">
        <v>139</v>
      </c>
      <c r="L207" s="23" t="s">
        <v>137</v>
      </c>
      <c r="M207" s="28"/>
      <c r="N207" s="14" t="s">
        <v>261</v>
      </c>
      <c r="O207" s="14" t="s">
        <v>139</v>
      </c>
      <c r="P207" s="14" t="str">
        <f t="shared" si="11"/>
        <v>🚨 REPLACE LOCK / KEY LOST</v>
      </c>
    </row>
    <row r="208" spans="1:16" x14ac:dyDescent="0.35">
      <c r="A208" s="23">
        <v>201</v>
      </c>
      <c r="B208" s="23" t="s">
        <v>49</v>
      </c>
      <c r="C208" s="24">
        <v>825</v>
      </c>
      <c r="D208" s="23" t="s">
        <v>31</v>
      </c>
      <c r="E208" s="23" t="s">
        <v>284</v>
      </c>
      <c r="F208" s="23">
        <v>3</v>
      </c>
      <c r="G208" s="23">
        <v>3</v>
      </c>
      <c r="H208" s="23">
        <v>0</v>
      </c>
      <c r="I208" s="23">
        <f t="shared" si="9"/>
        <v>0</v>
      </c>
      <c r="J208" s="23" t="str">
        <f t="shared" si="10"/>
        <v>🔒 In Custody</v>
      </c>
      <c r="K208" s="23" t="s">
        <v>139</v>
      </c>
      <c r="L208" s="23" t="s">
        <v>137</v>
      </c>
      <c r="M208" s="28"/>
      <c r="N208" s="14" t="s">
        <v>261</v>
      </c>
      <c r="O208" s="14" t="s">
        <v>139</v>
      </c>
      <c r="P208" s="14" t="str">
        <f t="shared" si="11"/>
        <v>✅ OK</v>
      </c>
    </row>
    <row r="209" spans="1:16" x14ac:dyDescent="0.35">
      <c r="A209" s="23">
        <v>202</v>
      </c>
      <c r="B209" s="23" t="s">
        <v>49</v>
      </c>
      <c r="C209" s="24">
        <v>631</v>
      </c>
      <c r="D209" s="23" t="s">
        <v>31</v>
      </c>
      <c r="E209" s="23" t="s">
        <v>285</v>
      </c>
      <c r="F209" s="23">
        <v>3</v>
      </c>
      <c r="G209" s="23">
        <v>3</v>
      </c>
      <c r="H209" s="23">
        <v>0</v>
      </c>
      <c r="I209" s="23">
        <f t="shared" si="9"/>
        <v>0</v>
      </c>
      <c r="J209" s="23" t="str">
        <f t="shared" si="10"/>
        <v>🔒 In Custody</v>
      </c>
      <c r="K209" s="23" t="s">
        <v>139</v>
      </c>
      <c r="L209" s="23" t="s">
        <v>137</v>
      </c>
      <c r="M209" s="28"/>
      <c r="N209" s="14" t="s">
        <v>261</v>
      </c>
      <c r="O209" s="14" t="s">
        <v>139</v>
      </c>
      <c r="P209" s="14" t="str">
        <f t="shared" si="11"/>
        <v>✅ OK</v>
      </c>
    </row>
    <row r="210" spans="1:16" x14ac:dyDescent="0.35">
      <c r="A210" s="23">
        <v>203</v>
      </c>
      <c r="B210" s="23" t="s">
        <v>49</v>
      </c>
      <c r="C210" s="24">
        <v>524</v>
      </c>
      <c r="D210" s="23" t="s">
        <v>31</v>
      </c>
      <c r="E210" s="23" t="s">
        <v>286</v>
      </c>
      <c r="F210" s="23">
        <v>3</v>
      </c>
      <c r="G210" s="23">
        <v>3</v>
      </c>
      <c r="H210" s="23">
        <v>0</v>
      </c>
      <c r="I210" s="23">
        <f t="shared" si="9"/>
        <v>0</v>
      </c>
      <c r="J210" s="23" t="str">
        <f t="shared" si="10"/>
        <v>🔒 In Custody</v>
      </c>
      <c r="K210" s="23" t="s">
        <v>139</v>
      </c>
      <c r="L210" s="23" t="s">
        <v>137</v>
      </c>
      <c r="M210" s="28"/>
      <c r="N210" s="14" t="s">
        <v>261</v>
      </c>
      <c r="O210" s="14" t="s">
        <v>139</v>
      </c>
      <c r="P210" s="14" t="str">
        <f t="shared" si="11"/>
        <v>✅ OK</v>
      </c>
    </row>
    <row r="211" spans="1:16" x14ac:dyDescent="0.35">
      <c r="A211" s="23">
        <v>204</v>
      </c>
      <c r="B211" s="23" t="s">
        <v>49</v>
      </c>
      <c r="C211" s="24">
        <v>850</v>
      </c>
      <c r="D211" s="23" t="s">
        <v>31</v>
      </c>
      <c r="E211" s="23" t="s">
        <v>287</v>
      </c>
      <c r="F211" s="23">
        <v>3</v>
      </c>
      <c r="G211" s="23">
        <v>3</v>
      </c>
      <c r="H211" s="23">
        <v>0</v>
      </c>
      <c r="I211" s="23">
        <f t="shared" si="9"/>
        <v>0</v>
      </c>
      <c r="J211" s="23" t="str">
        <f t="shared" si="10"/>
        <v>🔒 In Custody</v>
      </c>
      <c r="K211" s="23" t="s">
        <v>139</v>
      </c>
      <c r="L211" s="23" t="s">
        <v>137</v>
      </c>
      <c r="M211" s="28"/>
      <c r="N211" s="14" t="s">
        <v>261</v>
      </c>
      <c r="O211" s="14" t="s">
        <v>139</v>
      </c>
      <c r="P211" s="14" t="str">
        <f t="shared" si="11"/>
        <v>✅ OK</v>
      </c>
    </row>
    <row r="212" spans="1:16" x14ac:dyDescent="0.35">
      <c r="A212" s="23">
        <v>205</v>
      </c>
      <c r="B212" s="23" t="s">
        <v>49</v>
      </c>
      <c r="C212" s="24">
        <v>1048</v>
      </c>
      <c r="D212" s="23" t="s">
        <v>31</v>
      </c>
      <c r="E212" s="23" t="s">
        <v>288</v>
      </c>
      <c r="F212" s="23">
        <v>2</v>
      </c>
      <c r="G212" s="23">
        <v>2</v>
      </c>
      <c r="H212" s="23">
        <v>0</v>
      </c>
      <c r="I212" s="23">
        <f t="shared" si="9"/>
        <v>0</v>
      </c>
      <c r="J212" s="23" t="str">
        <f t="shared" si="10"/>
        <v>🔒 In Custody</v>
      </c>
      <c r="K212" s="23" t="s">
        <v>139</v>
      </c>
      <c r="L212" s="23" t="s">
        <v>137</v>
      </c>
      <c r="M212" s="28"/>
      <c r="N212" s="14" t="s">
        <v>261</v>
      </c>
      <c r="O212" s="14" t="s">
        <v>139</v>
      </c>
      <c r="P212" s="14" t="str">
        <f t="shared" si="11"/>
        <v>✅ OK</v>
      </c>
    </row>
    <row r="213" spans="1:16" x14ac:dyDescent="0.35">
      <c r="A213" s="23">
        <v>206</v>
      </c>
      <c r="B213" s="23" t="s">
        <v>49</v>
      </c>
      <c r="C213" s="24">
        <v>280</v>
      </c>
      <c r="D213" s="23" t="s">
        <v>30</v>
      </c>
      <c r="E213" s="23" t="s">
        <v>179</v>
      </c>
      <c r="F213" s="23">
        <v>2</v>
      </c>
      <c r="G213" s="23">
        <v>2</v>
      </c>
      <c r="H213" s="23">
        <v>0</v>
      </c>
      <c r="I213" s="23">
        <f t="shared" si="9"/>
        <v>0</v>
      </c>
      <c r="J213" s="23" t="str">
        <f t="shared" si="10"/>
        <v>🔒 In Custody</v>
      </c>
      <c r="K213" s="23" t="s">
        <v>139</v>
      </c>
      <c r="L213" s="23" t="s">
        <v>137</v>
      </c>
      <c r="M213" s="28"/>
      <c r="N213" s="14" t="s">
        <v>35</v>
      </c>
      <c r="O213" s="14" t="s">
        <v>139</v>
      </c>
      <c r="P213" s="14" t="str">
        <f t="shared" si="11"/>
        <v>🟢 AVAILABLE</v>
      </c>
    </row>
    <row r="214" spans="1:16" x14ac:dyDescent="0.35">
      <c r="A214" s="23">
        <v>207</v>
      </c>
      <c r="B214" s="23" t="s">
        <v>49</v>
      </c>
      <c r="C214" s="26">
        <v>93</v>
      </c>
      <c r="D214" s="23" t="s">
        <v>28</v>
      </c>
      <c r="E214" s="23" t="s">
        <v>289</v>
      </c>
      <c r="F214" s="23">
        <v>2</v>
      </c>
      <c r="G214" s="23">
        <v>1</v>
      </c>
      <c r="H214" s="23">
        <v>0</v>
      </c>
      <c r="I214" s="23">
        <f t="shared" si="9"/>
        <v>1</v>
      </c>
      <c r="J214" s="23" t="str">
        <f t="shared" si="10"/>
        <v>⚠️ Missing Key</v>
      </c>
      <c r="K214" s="23" t="s">
        <v>290</v>
      </c>
      <c r="L214" s="23" t="s">
        <v>137</v>
      </c>
      <c r="M214" s="28"/>
      <c r="N214" s="14" t="s">
        <v>34</v>
      </c>
      <c r="O214" s="14" t="s">
        <v>291</v>
      </c>
      <c r="P214" s="14" t="str">
        <f t="shared" si="11"/>
        <v>🚨 REPLACE LOCK / KEY LOST</v>
      </c>
    </row>
    <row r="215" spans="1:16" x14ac:dyDescent="0.35">
      <c r="A215" s="23">
        <v>208</v>
      </c>
      <c r="B215" s="23" t="s">
        <v>39</v>
      </c>
      <c r="C215" s="24">
        <v>1260</v>
      </c>
      <c r="D215" s="23" t="s">
        <v>31</v>
      </c>
      <c r="E215" s="23" t="s">
        <v>103</v>
      </c>
      <c r="F215" s="23">
        <v>3</v>
      </c>
      <c r="G215" s="23">
        <v>3</v>
      </c>
      <c r="H215" s="23">
        <v>0</v>
      </c>
      <c r="I215" s="23">
        <f t="shared" si="9"/>
        <v>0</v>
      </c>
      <c r="J215" s="23" t="str">
        <f t="shared" si="10"/>
        <v>🔒 In Custody</v>
      </c>
      <c r="K215" s="23" t="s">
        <v>139</v>
      </c>
      <c r="L215" s="23" t="s">
        <v>137</v>
      </c>
      <c r="M215" s="28" t="s">
        <v>292</v>
      </c>
      <c r="N215" s="14" t="s">
        <v>261</v>
      </c>
      <c r="O215" s="14" t="s">
        <v>139</v>
      </c>
      <c r="P215" s="14" t="str">
        <f t="shared" si="11"/>
        <v>✅ OK</v>
      </c>
    </row>
    <row r="216" spans="1:16" x14ac:dyDescent="0.35">
      <c r="A216" s="23">
        <v>209</v>
      </c>
      <c r="B216" s="23" t="s">
        <v>43</v>
      </c>
      <c r="C216" s="24">
        <v>611</v>
      </c>
      <c r="D216" s="23" t="s">
        <v>31</v>
      </c>
      <c r="E216" s="23" t="s">
        <v>103</v>
      </c>
      <c r="F216" s="23">
        <v>2</v>
      </c>
      <c r="G216" s="23">
        <v>1</v>
      </c>
      <c r="H216" s="23">
        <v>0</v>
      </c>
      <c r="I216" s="23">
        <f t="shared" si="9"/>
        <v>1</v>
      </c>
      <c r="J216" s="23" t="str">
        <f t="shared" si="10"/>
        <v>⚠️ Missing Key</v>
      </c>
      <c r="K216" s="23" t="s">
        <v>139</v>
      </c>
      <c r="L216" s="23" t="s">
        <v>137</v>
      </c>
      <c r="M216" s="28"/>
      <c r="N216" s="14" t="s">
        <v>35</v>
      </c>
      <c r="O216" s="14" t="s">
        <v>139</v>
      </c>
      <c r="P216" s="14" t="str">
        <f t="shared" si="11"/>
        <v>🚨 REPLACE LOCK / KEY LOST</v>
      </c>
    </row>
    <row r="217" spans="1:16" x14ac:dyDescent="0.35">
      <c r="A217" s="23">
        <v>210</v>
      </c>
      <c r="B217" s="23" t="s">
        <v>43</v>
      </c>
      <c r="C217" s="24">
        <v>314</v>
      </c>
      <c r="D217" s="23" t="s">
        <v>28</v>
      </c>
      <c r="E217" s="23" t="s">
        <v>103</v>
      </c>
      <c r="F217" s="23">
        <v>2</v>
      </c>
      <c r="G217" s="23">
        <v>1</v>
      </c>
      <c r="H217" s="23">
        <v>1</v>
      </c>
      <c r="I217" s="23">
        <f t="shared" si="9"/>
        <v>0</v>
      </c>
      <c r="J217" s="23" t="str">
        <f t="shared" si="10"/>
        <v>🔑 Issued to Staff</v>
      </c>
      <c r="K217" s="23" t="s">
        <v>139</v>
      </c>
      <c r="L217" s="23" t="s">
        <v>137</v>
      </c>
      <c r="M217" s="28" t="s">
        <v>293</v>
      </c>
      <c r="N217" s="14" t="s">
        <v>35</v>
      </c>
      <c r="O217" s="14" t="s">
        <v>139</v>
      </c>
      <c r="P217" s="14" t="str">
        <f t="shared" si="11"/>
        <v>🟢 AVAILABLE</v>
      </c>
    </row>
    <row r="218" spans="1:16" x14ac:dyDescent="0.35">
      <c r="A218" s="23">
        <v>211</v>
      </c>
      <c r="B218" s="23" t="s">
        <v>43</v>
      </c>
      <c r="C218" s="24">
        <v>384</v>
      </c>
      <c r="D218" s="23" t="s">
        <v>28</v>
      </c>
      <c r="E218" s="23" t="s">
        <v>103</v>
      </c>
      <c r="F218" s="23">
        <v>2</v>
      </c>
      <c r="G218" s="23">
        <v>2</v>
      </c>
      <c r="H218" s="23">
        <v>0</v>
      </c>
      <c r="I218" s="23">
        <f t="shared" si="9"/>
        <v>0</v>
      </c>
      <c r="J218" s="23" t="str">
        <f t="shared" si="10"/>
        <v>🔒 In Custody</v>
      </c>
      <c r="K218" s="23" t="s">
        <v>139</v>
      </c>
      <c r="L218" s="23" t="s">
        <v>137</v>
      </c>
      <c r="M218" s="28" t="s">
        <v>294</v>
      </c>
      <c r="N218" s="14" t="s">
        <v>34</v>
      </c>
      <c r="O218" s="14" t="s">
        <v>139</v>
      </c>
      <c r="P218" s="14" t="str">
        <f t="shared" si="11"/>
        <v>✅ OK</v>
      </c>
    </row>
    <row r="219" spans="1:16" x14ac:dyDescent="0.35">
      <c r="A219" s="23">
        <v>212</v>
      </c>
      <c r="B219" s="23" t="s">
        <v>43</v>
      </c>
      <c r="C219" s="24">
        <v>1781</v>
      </c>
      <c r="D219" s="23" t="s">
        <v>28</v>
      </c>
      <c r="E219" s="23" t="s">
        <v>295</v>
      </c>
      <c r="F219" s="23">
        <v>2</v>
      </c>
      <c r="G219" s="23">
        <v>2</v>
      </c>
      <c r="H219" s="23">
        <v>0</v>
      </c>
      <c r="I219" s="23">
        <f t="shared" si="9"/>
        <v>0</v>
      </c>
      <c r="J219" s="23" t="str">
        <f t="shared" si="10"/>
        <v>🔒 In Custody</v>
      </c>
      <c r="K219" s="23" t="s">
        <v>139</v>
      </c>
      <c r="L219" s="23" t="s">
        <v>137</v>
      </c>
      <c r="M219" s="28"/>
      <c r="N219" s="14" t="s">
        <v>261</v>
      </c>
      <c r="O219" s="14" t="s">
        <v>139</v>
      </c>
      <c r="P219" s="14" t="str">
        <f t="shared" si="11"/>
        <v>✅ OK</v>
      </c>
    </row>
    <row r="220" spans="1:16" x14ac:dyDescent="0.35">
      <c r="A220" s="23">
        <v>213</v>
      </c>
      <c r="B220" s="23" t="s">
        <v>54</v>
      </c>
      <c r="C220" s="23" t="s">
        <v>115</v>
      </c>
      <c r="D220" s="23" t="s">
        <v>31</v>
      </c>
      <c r="E220" s="23" t="s">
        <v>296</v>
      </c>
      <c r="F220" s="23">
        <v>2</v>
      </c>
      <c r="G220" s="23">
        <v>0</v>
      </c>
      <c r="H220" s="23">
        <v>0</v>
      </c>
      <c r="I220" s="23">
        <f t="shared" si="9"/>
        <v>2</v>
      </c>
      <c r="J220" s="23" t="str">
        <f t="shared" si="10"/>
        <v>⚠️ Missing Key</v>
      </c>
      <c r="K220" s="23" t="s">
        <v>139</v>
      </c>
      <c r="L220" s="23" t="s">
        <v>137</v>
      </c>
      <c r="M220" s="28"/>
      <c r="N220" s="14" t="s">
        <v>261</v>
      </c>
      <c r="O220" s="14" t="s">
        <v>188</v>
      </c>
      <c r="P220" s="14" t="str">
        <f t="shared" si="11"/>
        <v>🚨 REPLACE LOCK / KEY LOST</v>
      </c>
    </row>
    <row r="221" spans="1:16" x14ac:dyDescent="0.35">
      <c r="A221" s="23">
        <v>214</v>
      </c>
      <c r="B221" s="23" t="s">
        <v>45</v>
      </c>
      <c r="C221" s="23" t="s">
        <v>115</v>
      </c>
      <c r="D221" s="23" t="s">
        <v>31</v>
      </c>
      <c r="E221" s="23" t="s">
        <v>297</v>
      </c>
      <c r="F221" s="23">
        <v>2</v>
      </c>
      <c r="G221" s="23">
        <v>0</v>
      </c>
      <c r="H221" s="23">
        <v>0</v>
      </c>
      <c r="I221" s="23">
        <f t="shared" si="9"/>
        <v>2</v>
      </c>
      <c r="J221" s="23" t="str">
        <f t="shared" si="10"/>
        <v>⚠️ Missing Key</v>
      </c>
      <c r="K221" s="23" t="s">
        <v>139</v>
      </c>
      <c r="L221" s="23" t="s">
        <v>137</v>
      </c>
      <c r="M221" s="28"/>
      <c r="N221" s="14" t="s">
        <v>261</v>
      </c>
      <c r="O221" s="14" t="s">
        <v>188</v>
      </c>
      <c r="P221" s="14" t="str">
        <f t="shared" si="11"/>
        <v>🚨 REPLACE LOCK / KEY LOST</v>
      </c>
    </row>
    <row r="222" spans="1:16" x14ac:dyDescent="0.35">
      <c r="A222" s="23">
        <v>215</v>
      </c>
      <c r="B222" s="23" t="s">
        <v>54</v>
      </c>
      <c r="C222" s="23" t="s">
        <v>115</v>
      </c>
      <c r="D222" s="23" t="s">
        <v>31</v>
      </c>
      <c r="E222" s="23" t="s">
        <v>298</v>
      </c>
      <c r="F222" s="23">
        <v>2</v>
      </c>
      <c r="G222" s="23">
        <v>0</v>
      </c>
      <c r="H222" s="23">
        <v>0</v>
      </c>
      <c r="I222" s="23">
        <f t="shared" si="9"/>
        <v>2</v>
      </c>
      <c r="J222" s="23" t="str">
        <f t="shared" si="10"/>
        <v>⚠️ Missing Key</v>
      </c>
      <c r="K222" s="23" t="s">
        <v>139</v>
      </c>
      <c r="L222" s="23" t="s">
        <v>137</v>
      </c>
      <c r="M222" s="28"/>
      <c r="N222" s="14" t="s">
        <v>261</v>
      </c>
      <c r="O222" s="14" t="s">
        <v>188</v>
      </c>
      <c r="P222" s="14" t="str">
        <f t="shared" si="11"/>
        <v>🚨 REPLACE LOCK / KEY LOST</v>
      </c>
    </row>
    <row r="223" spans="1:16" x14ac:dyDescent="0.35">
      <c r="A223" s="23">
        <v>216</v>
      </c>
      <c r="B223" s="23" t="s">
        <v>54</v>
      </c>
      <c r="C223" s="23" t="s">
        <v>115</v>
      </c>
      <c r="D223" s="23" t="s">
        <v>31</v>
      </c>
      <c r="E223" s="23" t="s">
        <v>299</v>
      </c>
      <c r="F223" s="23">
        <v>2</v>
      </c>
      <c r="G223" s="23">
        <v>0</v>
      </c>
      <c r="H223" s="23">
        <v>0</v>
      </c>
      <c r="I223" s="23">
        <f t="shared" si="9"/>
        <v>2</v>
      </c>
      <c r="J223" s="23" t="str">
        <f t="shared" si="10"/>
        <v>⚠️ Missing Key</v>
      </c>
      <c r="K223" s="23" t="s">
        <v>139</v>
      </c>
      <c r="L223" s="23" t="s">
        <v>137</v>
      </c>
      <c r="M223" s="28"/>
      <c r="N223" s="14" t="s">
        <v>261</v>
      </c>
      <c r="O223" s="14" t="s">
        <v>188</v>
      </c>
      <c r="P223" s="14" t="str">
        <f t="shared" si="11"/>
        <v>🚨 REPLACE LOCK / KEY LOST</v>
      </c>
    </row>
    <row r="224" spans="1:16" x14ac:dyDescent="0.35">
      <c r="A224" s="23">
        <v>217</v>
      </c>
      <c r="B224" s="23" t="s">
        <v>66</v>
      </c>
      <c r="C224" s="23" t="s">
        <v>115</v>
      </c>
      <c r="D224" s="23" t="s">
        <v>31</v>
      </c>
      <c r="E224" s="23" t="s">
        <v>300</v>
      </c>
      <c r="F224" s="23">
        <v>2</v>
      </c>
      <c r="G224" s="23">
        <v>5</v>
      </c>
      <c r="H224" s="23">
        <v>0</v>
      </c>
      <c r="I224" s="23">
        <f t="shared" si="9"/>
        <v>0</v>
      </c>
      <c r="J224" s="23" t="str">
        <f t="shared" si="10"/>
        <v>🔒 In Custody</v>
      </c>
      <c r="K224" s="23" t="s">
        <v>139</v>
      </c>
      <c r="L224" s="23" t="s">
        <v>137</v>
      </c>
      <c r="M224" s="28"/>
      <c r="N224" s="14" t="s">
        <v>261</v>
      </c>
      <c r="O224" s="14" t="s">
        <v>139</v>
      </c>
      <c r="P224" s="14" t="str">
        <f t="shared" si="11"/>
        <v>✅ OK</v>
      </c>
    </row>
    <row r="225" spans="1:16" x14ac:dyDescent="0.35">
      <c r="A225" s="23">
        <v>218</v>
      </c>
      <c r="B225" s="23" t="s">
        <v>54</v>
      </c>
      <c r="C225" s="24">
        <v>1388</v>
      </c>
      <c r="D225" s="23" t="s">
        <v>31</v>
      </c>
      <c r="E225" s="23" t="s">
        <v>301</v>
      </c>
      <c r="F225" s="23">
        <v>2</v>
      </c>
      <c r="G225" s="23">
        <v>2</v>
      </c>
      <c r="H225" s="23">
        <v>0</v>
      </c>
      <c r="I225" s="23">
        <f t="shared" si="9"/>
        <v>0</v>
      </c>
      <c r="J225" s="23" t="str">
        <f t="shared" si="10"/>
        <v>🔒 In Custody</v>
      </c>
      <c r="K225" s="23" t="s">
        <v>139</v>
      </c>
      <c r="L225" s="23" t="s">
        <v>137</v>
      </c>
      <c r="M225" s="28"/>
      <c r="N225" s="14" t="s">
        <v>261</v>
      </c>
      <c r="O225" s="14" t="s">
        <v>139</v>
      </c>
      <c r="P225" s="14" t="str">
        <f t="shared" si="11"/>
        <v>✅ OK</v>
      </c>
    </row>
    <row r="226" spans="1:16" x14ac:dyDescent="0.35">
      <c r="A226" s="23">
        <v>219</v>
      </c>
      <c r="B226" s="23" t="s">
        <v>54</v>
      </c>
      <c r="C226" s="24">
        <v>16</v>
      </c>
      <c r="D226" s="23" t="s">
        <v>31</v>
      </c>
      <c r="E226" s="23" t="s">
        <v>302</v>
      </c>
      <c r="F226" s="23">
        <v>3</v>
      </c>
      <c r="G226" s="23">
        <v>3</v>
      </c>
      <c r="H226" s="23">
        <v>0</v>
      </c>
      <c r="I226" s="23">
        <f t="shared" si="9"/>
        <v>0</v>
      </c>
      <c r="J226" s="23" t="str">
        <f t="shared" si="10"/>
        <v>🔒 In Custody</v>
      </c>
      <c r="K226" s="23" t="s">
        <v>139</v>
      </c>
      <c r="L226" s="23" t="s">
        <v>137</v>
      </c>
      <c r="M226" s="28"/>
      <c r="N226" s="14" t="s">
        <v>261</v>
      </c>
      <c r="O226" s="14" t="s">
        <v>139</v>
      </c>
      <c r="P226" s="14" t="str">
        <f t="shared" si="11"/>
        <v>✅ OK</v>
      </c>
    </row>
    <row r="227" spans="1:16" x14ac:dyDescent="0.35">
      <c r="A227" s="23">
        <v>220</v>
      </c>
      <c r="B227" s="23" t="s">
        <v>41</v>
      </c>
      <c r="C227" s="24">
        <v>725</v>
      </c>
      <c r="D227" s="23" t="s">
        <v>31</v>
      </c>
      <c r="E227" s="23" t="s">
        <v>303</v>
      </c>
      <c r="F227" s="23">
        <v>3</v>
      </c>
      <c r="G227" s="23">
        <v>3</v>
      </c>
      <c r="H227" s="23">
        <v>0</v>
      </c>
      <c r="I227" s="23">
        <f t="shared" si="9"/>
        <v>0</v>
      </c>
      <c r="J227" s="23" t="str">
        <f t="shared" si="10"/>
        <v>🔒 In Custody</v>
      </c>
      <c r="K227" s="23" t="s">
        <v>139</v>
      </c>
      <c r="L227" s="23" t="s">
        <v>137</v>
      </c>
      <c r="M227" s="28" t="s">
        <v>177</v>
      </c>
      <c r="N227" s="14" t="s">
        <v>261</v>
      </c>
      <c r="O227" s="14" t="s">
        <v>139</v>
      </c>
      <c r="P227" s="14" t="str">
        <f t="shared" si="11"/>
        <v>✅ OK</v>
      </c>
    </row>
    <row r="228" spans="1:16" x14ac:dyDescent="0.35">
      <c r="A228" s="23">
        <v>221</v>
      </c>
      <c r="B228" s="23" t="s">
        <v>41</v>
      </c>
      <c r="C228" s="24">
        <v>1393</v>
      </c>
      <c r="D228" s="23" t="s">
        <v>31</v>
      </c>
      <c r="E228" s="23" t="s">
        <v>304</v>
      </c>
      <c r="F228" s="23">
        <v>2</v>
      </c>
      <c r="G228" s="23">
        <v>2</v>
      </c>
      <c r="H228" s="23">
        <v>0</v>
      </c>
      <c r="I228" s="23">
        <f t="shared" si="9"/>
        <v>0</v>
      </c>
      <c r="J228" s="23" t="str">
        <f t="shared" si="10"/>
        <v>🔒 In Custody</v>
      </c>
      <c r="K228" s="23" t="s">
        <v>139</v>
      </c>
      <c r="L228" s="23" t="s">
        <v>137</v>
      </c>
      <c r="M228" s="28" t="s">
        <v>177</v>
      </c>
      <c r="N228" s="14" t="s">
        <v>261</v>
      </c>
      <c r="O228" s="14" t="s">
        <v>139</v>
      </c>
      <c r="P228" s="14" t="str">
        <f t="shared" si="11"/>
        <v>✅ OK</v>
      </c>
    </row>
    <row r="229" spans="1:16" x14ac:dyDescent="0.35">
      <c r="A229" s="23">
        <v>222</v>
      </c>
      <c r="B229" s="23" t="s">
        <v>47</v>
      </c>
      <c r="C229" s="24">
        <v>234</v>
      </c>
      <c r="D229" s="23" t="s">
        <v>31</v>
      </c>
      <c r="E229" s="23" t="s">
        <v>305</v>
      </c>
      <c r="F229" s="23">
        <v>3</v>
      </c>
      <c r="G229" s="23">
        <v>1</v>
      </c>
      <c r="H229" s="23">
        <v>0</v>
      </c>
      <c r="I229" s="23">
        <f t="shared" si="9"/>
        <v>2</v>
      </c>
      <c r="J229" s="23" t="str">
        <f t="shared" si="10"/>
        <v>⚠️ Missing Key</v>
      </c>
      <c r="K229" s="23" t="s">
        <v>139</v>
      </c>
      <c r="L229" s="23" t="s">
        <v>137</v>
      </c>
      <c r="M229" s="28"/>
      <c r="N229" s="14" t="s">
        <v>261</v>
      </c>
      <c r="O229" s="14" t="s">
        <v>139</v>
      </c>
      <c r="P229" s="14" t="str">
        <f t="shared" si="11"/>
        <v>🚨 REPLACE LOCK / KEY LOST</v>
      </c>
    </row>
    <row r="230" spans="1:16" x14ac:dyDescent="0.35">
      <c r="A230" s="23">
        <v>223</v>
      </c>
      <c r="B230" s="23" t="s">
        <v>47</v>
      </c>
      <c r="C230" s="24">
        <v>974</v>
      </c>
      <c r="D230" s="23" t="s">
        <v>31</v>
      </c>
      <c r="E230" s="23" t="s">
        <v>306</v>
      </c>
      <c r="F230" s="23">
        <v>3</v>
      </c>
      <c r="G230" s="23">
        <v>3</v>
      </c>
      <c r="H230" s="23">
        <v>0</v>
      </c>
      <c r="I230" s="23">
        <f t="shared" si="9"/>
        <v>0</v>
      </c>
      <c r="J230" s="23" t="str">
        <f t="shared" si="10"/>
        <v>🔒 In Custody</v>
      </c>
      <c r="K230" s="23" t="s">
        <v>139</v>
      </c>
      <c r="L230" s="23" t="s">
        <v>137</v>
      </c>
      <c r="M230" s="28"/>
      <c r="N230" s="14" t="s">
        <v>261</v>
      </c>
      <c r="O230" s="14" t="s">
        <v>139</v>
      </c>
      <c r="P230" s="14" t="str">
        <f t="shared" si="11"/>
        <v>✅ OK</v>
      </c>
    </row>
    <row r="231" spans="1:16" x14ac:dyDescent="0.35">
      <c r="A231" s="23">
        <v>224</v>
      </c>
      <c r="B231" s="23" t="s">
        <v>52</v>
      </c>
      <c r="C231" s="24">
        <v>696</v>
      </c>
      <c r="D231" s="23" t="s">
        <v>31</v>
      </c>
      <c r="E231" s="23" t="s">
        <v>307</v>
      </c>
      <c r="F231" s="23">
        <v>3</v>
      </c>
      <c r="G231" s="23">
        <v>3</v>
      </c>
      <c r="H231" s="23">
        <v>0</v>
      </c>
      <c r="I231" s="23">
        <f t="shared" si="9"/>
        <v>0</v>
      </c>
      <c r="J231" s="23" t="str">
        <f t="shared" si="10"/>
        <v>🔒 In Custody</v>
      </c>
      <c r="K231" s="23" t="s">
        <v>139</v>
      </c>
      <c r="L231" s="23" t="s">
        <v>233</v>
      </c>
      <c r="M231" s="28"/>
      <c r="N231" s="14" t="s">
        <v>261</v>
      </c>
      <c r="O231" s="14" t="s">
        <v>139</v>
      </c>
      <c r="P231" s="14" t="str">
        <f t="shared" si="11"/>
        <v>✅ OK</v>
      </c>
    </row>
    <row r="232" spans="1:16" x14ac:dyDescent="0.35">
      <c r="A232" s="23">
        <v>225</v>
      </c>
      <c r="B232" s="23" t="s">
        <v>51</v>
      </c>
      <c r="C232" s="24">
        <v>524</v>
      </c>
      <c r="D232" s="23" t="s">
        <v>31</v>
      </c>
      <c r="E232" s="23" t="s">
        <v>308</v>
      </c>
      <c r="F232" s="23">
        <v>3</v>
      </c>
      <c r="G232" s="23">
        <v>3</v>
      </c>
      <c r="H232" s="23">
        <v>0</v>
      </c>
      <c r="I232" s="23">
        <f t="shared" si="9"/>
        <v>0</v>
      </c>
      <c r="J232" s="23" t="str">
        <f t="shared" si="10"/>
        <v>🔒 In Custody</v>
      </c>
      <c r="K232" s="23" t="s">
        <v>139</v>
      </c>
      <c r="L232" s="23" t="s">
        <v>137</v>
      </c>
      <c r="M232" s="28"/>
      <c r="N232" s="14" t="s">
        <v>261</v>
      </c>
      <c r="O232" s="14" t="s">
        <v>139</v>
      </c>
      <c r="P232" s="14" t="str">
        <f t="shared" si="11"/>
        <v>✅ OK</v>
      </c>
    </row>
    <row r="233" spans="1:16" x14ac:dyDescent="0.35">
      <c r="A233" s="23">
        <v>226</v>
      </c>
      <c r="B233" s="23" t="s">
        <v>51</v>
      </c>
      <c r="C233" s="24">
        <v>51739</v>
      </c>
      <c r="D233" s="23" t="s">
        <v>31</v>
      </c>
      <c r="E233" s="23" t="s">
        <v>309</v>
      </c>
      <c r="F233" s="23">
        <v>2</v>
      </c>
      <c r="G233" s="23">
        <v>2</v>
      </c>
      <c r="H233" s="23">
        <v>1</v>
      </c>
      <c r="I233" s="23">
        <f t="shared" si="9"/>
        <v>0</v>
      </c>
      <c r="J233" s="23" t="str">
        <f t="shared" si="10"/>
        <v>🔑 Issued to Staff</v>
      </c>
      <c r="K233" s="23" t="s">
        <v>139</v>
      </c>
      <c r="L233" s="23" t="s">
        <v>137</v>
      </c>
      <c r="M233" s="28"/>
      <c r="N233" s="14" t="s">
        <v>261</v>
      </c>
      <c r="O233" s="14" t="s">
        <v>139</v>
      </c>
      <c r="P233" s="14" t="str">
        <f t="shared" si="11"/>
        <v>✅ OK</v>
      </c>
    </row>
    <row r="234" spans="1:16" x14ac:dyDescent="0.35">
      <c r="A234" s="23">
        <v>227</v>
      </c>
      <c r="B234" s="23" t="s">
        <v>51</v>
      </c>
      <c r="C234" s="24">
        <v>71421</v>
      </c>
      <c r="D234" s="23" t="s">
        <v>31</v>
      </c>
      <c r="E234" s="23" t="s">
        <v>310</v>
      </c>
      <c r="F234" s="23">
        <v>3</v>
      </c>
      <c r="G234" s="23">
        <v>3</v>
      </c>
      <c r="H234" s="23">
        <v>0</v>
      </c>
      <c r="I234" s="23">
        <f t="shared" si="9"/>
        <v>0</v>
      </c>
      <c r="J234" s="23" t="str">
        <f t="shared" si="10"/>
        <v>🔒 In Custody</v>
      </c>
      <c r="K234" s="23" t="s">
        <v>139</v>
      </c>
      <c r="L234" s="23" t="s">
        <v>137</v>
      </c>
      <c r="M234" s="28"/>
      <c r="N234" s="14" t="s">
        <v>261</v>
      </c>
      <c r="O234" s="14" t="s">
        <v>139</v>
      </c>
      <c r="P234" s="14" t="str">
        <f t="shared" si="11"/>
        <v>✅ OK</v>
      </c>
    </row>
    <row r="235" spans="1:16" x14ac:dyDescent="0.35">
      <c r="A235" s="23">
        <v>228</v>
      </c>
      <c r="B235" s="23" t="s">
        <v>51</v>
      </c>
      <c r="C235" s="24">
        <v>51743</v>
      </c>
      <c r="D235" s="23" t="s">
        <v>31</v>
      </c>
      <c r="E235" s="23" t="s">
        <v>311</v>
      </c>
      <c r="F235" s="23">
        <v>2</v>
      </c>
      <c r="G235" s="23">
        <v>1</v>
      </c>
      <c r="H235" s="23">
        <v>0</v>
      </c>
      <c r="I235" s="23">
        <f t="shared" si="9"/>
        <v>1</v>
      </c>
      <c r="J235" s="23" t="str">
        <f t="shared" si="10"/>
        <v>⚠️ Missing Key</v>
      </c>
      <c r="K235" s="23" t="s">
        <v>139</v>
      </c>
      <c r="L235" s="23" t="s">
        <v>137</v>
      </c>
      <c r="M235" s="28"/>
      <c r="N235" s="14" t="s">
        <v>261</v>
      </c>
      <c r="O235" s="14" t="s">
        <v>139</v>
      </c>
      <c r="P235" s="14" t="str">
        <f t="shared" si="11"/>
        <v>🚨 REPLACE LOCK / KEY LOST</v>
      </c>
    </row>
    <row r="236" spans="1:16" x14ac:dyDescent="0.35">
      <c r="A236" s="23">
        <v>229</v>
      </c>
      <c r="B236" s="23" t="s">
        <v>51</v>
      </c>
      <c r="C236" s="24">
        <v>62293</v>
      </c>
      <c r="D236" s="23" t="s">
        <v>31</v>
      </c>
      <c r="E236" s="23" t="s">
        <v>312</v>
      </c>
      <c r="F236" s="23">
        <v>2</v>
      </c>
      <c r="G236" s="23">
        <v>2</v>
      </c>
      <c r="H236" s="23">
        <v>0</v>
      </c>
      <c r="I236" s="23">
        <f t="shared" si="9"/>
        <v>0</v>
      </c>
      <c r="J236" s="23" t="str">
        <f t="shared" si="10"/>
        <v>🔒 In Custody</v>
      </c>
      <c r="K236" s="23" t="s">
        <v>139</v>
      </c>
      <c r="L236" s="23" t="s">
        <v>137</v>
      </c>
      <c r="M236" s="28"/>
      <c r="N236" s="14" t="s">
        <v>261</v>
      </c>
      <c r="O236" s="14" t="s">
        <v>139</v>
      </c>
      <c r="P236" s="14" t="str">
        <f t="shared" si="11"/>
        <v>✅ OK</v>
      </c>
    </row>
    <row r="237" spans="1:16" x14ac:dyDescent="0.35">
      <c r="A237" s="23">
        <v>230</v>
      </c>
      <c r="B237" s="23" t="s">
        <v>69</v>
      </c>
      <c r="C237" s="26">
        <v>220</v>
      </c>
      <c r="D237" s="23" t="s">
        <v>31</v>
      </c>
      <c r="E237" s="23" t="s">
        <v>313</v>
      </c>
      <c r="F237" s="23">
        <v>9</v>
      </c>
      <c r="G237" s="23">
        <v>6</v>
      </c>
      <c r="H237" s="23">
        <v>0</v>
      </c>
      <c r="I237" s="23">
        <f t="shared" si="9"/>
        <v>3</v>
      </c>
      <c r="J237" s="23" t="str">
        <f t="shared" si="10"/>
        <v>⚠️ Missing Key</v>
      </c>
      <c r="K237" s="23" t="s">
        <v>139</v>
      </c>
      <c r="L237" s="23" t="s">
        <v>137</v>
      </c>
      <c r="M237" s="28"/>
      <c r="N237" s="14" t="s">
        <v>261</v>
      </c>
      <c r="O237" s="14" t="s">
        <v>139</v>
      </c>
      <c r="P237" s="14" t="str">
        <f t="shared" si="11"/>
        <v>🚨 REPLACE LOCK / KEY LOST</v>
      </c>
    </row>
    <row r="238" spans="1:16" x14ac:dyDescent="0.35">
      <c r="A238" s="23">
        <v>231</v>
      </c>
      <c r="B238" s="23" t="s">
        <v>73</v>
      </c>
      <c r="C238" s="23" t="s">
        <v>115</v>
      </c>
      <c r="D238" s="23" t="s">
        <v>31</v>
      </c>
      <c r="E238" s="23" t="s">
        <v>314</v>
      </c>
      <c r="F238" s="23">
        <v>4</v>
      </c>
      <c r="G238" s="23">
        <v>4</v>
      </c>
      <c r="H238" s="23">
        <v>0</v>
      </c>
      <c r="I238" s="23">
        <f t="shared" si="9"/>
        <v>0</v>
      </c>
      <c r="J238" s="23" t="str">
        <f t="shared" si="10"/>
        <v>🔒 In Custody</v>
      </c>
      <c r="K238" s="23" t="s">
        <v>139</v>
      </c>
      <c r="L238" s="23" t="s">
        <v>137</v>
      </c>
      <c r="M238" s="28"/>
      <c r="N238" s="14" t="s">
        <v>261</v>
      </c>
      <c r="O238" s="14" t="s">
        <v>139</v>
      </c>
      <c r="P238" s="14" t="str">
        <f t="shared" si="11"/>
        <v>✅ OK</v>
      </c>
    </row>
    <row r="239" spans="1:16" x14ac:dyDescent="0.35">
      <c r="A239" s="23">
        <v>232</v>
      </c>
      <c r="B239" s="23" t="s">
        <v>49</v>
      </c>
      <c r="C239" s="26">
        <v>8109</v>
      </c>
      <c r="D239" s="23" t="s">
        <v>28</v>
      </c>
      <c r="E239" s="23" t="s">
        <v>315</v>
      </c>
      <c r="F239" s="23">
        <v>2</v>
      </c>
      <c r="G239" s="23">
        <v>0</v>
      </c>
      <c r="H239" s="23">
        <v>0</v>
      </c>
      <c r="I239" s="23">
        <f t="shared" si="9"/>
        <v>2</v>
      </c>
      <c r="J239" s="23" t="str">
        <f t="shared" si="10"/>
        <v>⚠️ Missing Key</v>
      </c>
      <c r="K239" s="23" t="s">
        <v>70</v>
      </c>
      <c r="L239" s="23" t="s">
        <v>316</v>
      </c>
      <c r="M239" s="28"/>
      <c r="N239" s="14" t="s">
        <v>34</v>
      </c>
      <c r="O239" s="14" t="s">
        <v>317</v>
      </c>
      <c r="P239" s="14" t="str">
        <f t="shared" si="11"/>
        <v>🚨 REPLACE LOCK / KEY LOST</v>
      </c>
    </row>
    <row r="240" spans="1:16" x14ac:dyDescent="0.35">
      <c r="A240" s="23">
        <v>233</v>
      </c>
      <c r="B240" s="23" t="s">
        <v>49</v>
      </c>
      <c r="C240" s="26">
        <v>8105</v>
      </c>
      <c r="D240" s="23" t="s">
        <v>28</v>
      </c>
      <c r="E240" s="23" t="s">
        <v>315</v>
      </c>
      <c r="F240" s="23">
        <v>2</v>
      </c>
      <c r="G240" s="23">
        <v>0</v>
      </c>
      <c r="H240" s="23">
        <v>0</v>
      </c>
      <c r="I240" s="23">
        <f t="shared" si="9"/>
        <v>2</v>
      </c>
      <c r="J240" s="23" t="str">
        <f t="shared" si="10"/>
        <v>⚠️ Missing Key</v>
      </c>
      <c r="K240" s="23" t="s">
        <v>70</v>
      </c>
      <c r="L240" s="23" t="s">
        <v>316</v>
      </c>
      <c r="M240" s="28"/>
      <c r="N240" s="14" t="s">
        <v>34</v>
      </c>
      <c r="O240" s="14" t="s">
        <v>317</v>
      </c>
      <c r="P240" s="14" t="str">
        <f t="shared" si="11"/>
        <v>🚨 REPLACE LOCK / KEY LOST</v>
      </c>
    </row>
    <row r="241" spans="1:16" x14ac:dyDescent="0.35">
      <c r="A241" s="23">
        <v>234</v>
      </c>
      <c r="B241" s="23" t="s">
        <v>49</v>
      </c>
      <c r="C241" s="26">
        <v>8111</v>
      </c>
      <c r="D241" s="23" t="s">
        <v>28</v>
      </c>
      <c r="E241" s="23" t="s">
        <v>315</v>
      </c>
      <c r="F241" s="23">
        <v>2</v>
      </c>
      <c r="G241" s="23">
        <v>0</v>
      </c>
      <c r="H241" s="23">
        <v>0</v>
      </c>
      <c r="I241" s="23">
        <f t="shared" si="9"/>
        <v>2</v>
      </c>
      <c r="J241" s="23" t="str">
        <f t="shared" si="10"/>
        <v>⚠️ Missing Key</v>
      </c>
      <c r="K241" s="23" t="s">
        <v>70</v>
      </c>
      <c r="L241" s="23" t="s">
        <v>316</v>
      </c>
      <c r="M241" s="28"/>
      <c r="N241" s="14" t="s">
        <v>34</v>
      </c>
      <c r="O241" s="14" t="s">
        <v>317</v>
      </c>
      <c r="P241" s="14" t="str">
        <f t="shared" si="11"/>
        <v>🚨 REPLACE LOCK / KEY LOST</v>
      </c>
    </row>
    <row r="242" spans="1:16" x14ac:dyDescent="0.35">
      <c r="A242" s="23">
        <v>235</v>
      </c>
      <c r="B242" s="23" t="s">
        <v>49</v>
      </c>
      <c r="C242" s="26">
        <v>8018</v>
      </c>
      <c r="D242" s="23" t="s">
        <v>28</v>
      </c>
      <c r="E242" s="23" t="s">
        <v>315</v>
      </c>
      <c r="F242" s="23">
        <v>2</v>
      </c>
      <c r="G242" s="23">
        <v>0</v>
      </c>
      <c r="H242" s="23">
        <v>0</v>
      </c>
      <c r="I242" s="23">
        <f t="shared" si="9"/>
        <v>2</v>
      </c>
      <c r="J242" s="23" t="str">
        <f t="shared" si="10"/>
        <v>⚠️ Missing Key</v>
      </c>
      <c r="K242" s="23" t="s">
        <v>70</v>
      </c>
      <c r="L242" s="23" t="s">
        <v>316</v>
      </c>
      <c r="M242" s="28"/>
      <c r="N242" s="14" t="s">
        <v>34</v>
      </c>
      <c r="O242" s="14" t="s">
        <v>317</v>
      </c>
      <c r="P242" s="14" t="str">
        <f t="shared" si="11"/>
        <v>🚨 REPLACE LOCK / KEY LOST</v>
      </c>
    </row>
    <row r="243" spans="1:16" x14ac:dyDescent="0.35">
      <c r="A243" s="23">
        <v>236</v>
      </c>
      <c r="B243" s="23" t="s">
        <v>49</v>
      </c>
      <c r="C243" s="26">
        <v>8106</v>
      </c>
      <c r="D243" s="23" t="s">
        <v>28</v>
      </c>
      <c r="E243" s="23" t="s">
        <v>315</v>
      </c>
      <c r="F243" s="23">
        <v>2</v>
      </c>
      <c r="G243" s="23">
        <v>0</v>
      </c>
      <c r="H243" s="23">
        <v>0</v>
      </c>
      <c r="I243" s="23">
        <f t="shared" si="9"/>
        <v>2</v>
      </c>
      <c r="J243" s="23" t="str">
        <f t="shared" si="10"/>
        <v>⚠️ Missing Key</v>
      </c>
      <c r="K243" s="23" t="s">
        <v>70</v>
      </c>
      <c r="L243" s="23" t="s">
        <v>316</v>
      </c>
      <c r="M243" s="28"/>
      <c r="N243" s="14" t="s">
        <v>34</v>
      </c>
      <c r="O243" s="14" t="s">
        <v>317</v>
      </c>
      <c r="P243" s="14" t="str">
        <f t="shared" si="11"/>
        <v>🚨 REPLACE LOCK / KEY LOST</v>
      </c>
    </row>
    <row r="244" spans="1:16" x14ac:dyDescent="0.35">
      <c r="A244" s="23">
        <v>237</v>
      </c>
      <c r="B244" s="23" t="s">
        <v>49</v>
      </c>
      <c r="C244" s="26" t="s">
        <v>118</v>
      </c>
      <c r="D244" s="23" t="s">
        <v>28</v>
      </c>
      <c r="E244" s="23" t="s">
        <v>315</v>
      </c>
      <c r="F244" s="23">
        <v>2</v>
      </c>
      <c r="G244" s="23">
        <v>0</v>
      </c>
      <c r="H244" s="23">
        <v>0</v>
      </c>
      <c r="I244" s="23">
        <f t="shared" si="9"/>
        <v>2</v>
      </c>
      <c r="J244" s="23" t="str">
        <f t="shared" si="10"/>
        <v>⚠️ Missing Key</v>
      </c>
      <c r="K244" s="23" t="s">
        <v>70</v>
      </c>
      <c r="L244" s="23" t="s">
        <v>316</v>
      </c>
      <c r="M244" s="28"/>
      <c r="N244" s="14" t="s">
        <v>34</v>
      </c>
      <c r="O244" s="14" t="s">
        <v>317</v>
      </c>
      <c r="P244" s="14" t="str">
        <f t="shared" si="11"/>
        <v>🚨 REPLACE LOCK / KEY LOST</v>
      </c>
    </row>
    <row r="245" spans="1:16" x14ac:dyDescent="0.35">
      <c r="A245" s="23">
        <v>238</v>
      </c>
      <c r="B245" s="23" t="s">
        <v>45</v>
      </c>
      <c r="C245" s="24">
        <v>1826</v>
      </c>
      <c r="D245" s="23" t="s">
        <v>27</v>
      </c>
      <c r="E245" s="23" t="s">
        <v>92</v>
      </c>
      <c r="F245" s="23">
        <v>2</v>
      </c>
      <c r="G245" s="23">
        <v>0</v>
      </c>
      <c r="H245" s="23">
        <v>0</v>
      </c>
      <c r="I245" s="23">
        <f t="shared" si="9"/>
        <v>2</v>
      </c>
      <c r="J245" s="23" t="str">
        <f t="shared" si="10"/>
        <v>⚠️ Missing Key</v>
      </c>
      <c r="K245" s="23" t="s">
        <v>139</v>
      </c>
      <c r="L245" s="23" t="s">
        <v>137</v>
      </c>
      <c r="M245" s="28" t="s">
        <v>195</v>
      </c>
      <c r="N245" s="14" t="s">
        <v>261</v>
      </c>
      <c r="O245" s="14" t="s">
        <v>318</v>
      </c>
      <c r="P245" s="14" t="str">
        <f t="shared" si="11"/>
        <v>🚨 REPLACE LOCK / KEY LOST</v>
      </c>
    </row>
    <row r="246" spans="1:16" x14ac:dyDescent="0.35">
      <c r="A246" s="23">
        <v>239</v>
      </c>
      <c r="B246" s="23" t="s">
        <v>45</v>
      </c>
      <c r="C246" s="24">
        <v>1834</v>
      </c>
      <c r="D246" s="23" t="s">
        <v>27</v>
      </c>
      <c r="E246" s="23" t="s">
        <v>92</v>
      </c>
      <c r="F246" s="23">
        <v>2</v>
      </c>
      <c r="G246" s="23">
        <v>2</v>
      </c>
      <c r="H246" s="23">
        <v>0</v>
      </c>
      <c r="I246" s="23">
        <f t="shared" si="9"/>
        <v>0</v>
      </c>
      <c r="J246" s="23" t="str">
        <f t="shared" si="10"/>
        <v>🔒 In Custody</v>
      </c>
      <c r="K246" s="23" t="s">
        <v>139</v>
      </c>
      <c r="L246" s="23" t="s">
        <v>137</v>
      </c>
      <c r="M246" s="28" t="s">
        <v>192</v>
      </c>
      <c r="N246" s="14" t="s">
        <v>261</v>
      </c>
      <c r="O246" s="14" t="s">
        <v>318</v>
      </c>
      <c r="P246" s="14" t="str">
        <f t="shared" si="11"/>
        <v>✅ OK</v>
      </c>
    </row>
    <row r="247" spans="1:16" x14ac:dyDescent="0.35">
      <c r="A247" s="23">
        <v>240</v>
      </c>
      <c r="B247" s="23" t="s">
        <v>47</v>
      </c>
      <c r="C247" s="24">
        <v>7493</v>
      </c>
      <c r="D247" s="23" t="s">
        <v>27</v>
      </c>
      <c r="E247" s="23" t="s">
        <v>100</v>
      </c>
      <c r="F247" s="23">
        <v>2</v>
      </c>
      <c r="G247" s="23">
        <v>2</v>
      </c>
      <c r="H247" s="23">
        <v>0</v>
      </c>
      <c r="I247" s="23">
        <f t="shared" si="9"/>
        <v>0</v>
      </c>
      <c r="J247" s="23" t="str">
        <f t="shared" si="10"/>
        <v>🔒 In Custody</v>
      </c>
      <c r="K247" s="23" t="s">
        <v>139</v>
      </c>
      <c r="L247" s="23" t="s">
        <v>137</v>
      </c>
      <c r="M247" s="28" t="s">
        <v>204</v>
      </c>
      <c r="N247" s="14" t="s">
        <v>261</v>
      </c>
      <c r="O247" s="14" t="s">
        <v>318</v>
      </c>
      <c r="P247" s="14" t="str">
        <f t="shared" si="11"/>
        <v>✅ OK</v>
      </c>
    </row>
    <row r="248" spans="1:16" s="12" customFormat="1" x14ac:dyDescent="0.35">
      <c r="A248" s="23">
        <v>241</v>
      </c>
      <c r="B248" s="23" t="s">
        <v>43</v>
      </c>
      <c r="C248" s="24">
        <v>7481</v>
      </c>
      <c r="D248" s="23" t="s">
        <v>28</v>
      </c>
      <c r="E248" s="23" t="s">
        <v>319</v>
      </c>
      <c r="F248" s="23">
        <v>2</v>
      </c>
      <c r="G248" s="23">
        <v>2</v>
      </c>
      <c r="H248" s="23">
        <v>0</v>
      </c>
      <c r="I248" s="23">
        <f t="shared" si="9"/>
        <v>0</v>
      </c>
      <c r="J248" s="23" t="str">
        <f t="shared" si="10"/>
        <v>🔒 In Custody</v>
      </c>
      <c r="K248" s="23" t="s">
        <v>139</v>
      </c>
      <c r="L248" s="23" t="s">
        <v>137</v>
      </c>
      <c r="M248" s="28" t="s">
        <v>294</v>
      </c>
      <c r="N248" s="14" t="s">
        <v>261</v>
      </c>
      <c r="O248" s="14" t="s">
        <v>317</v>
      </c>
      <c r="P248" s="14" t="str">
        <f t="shared" si="11"/>
        <v>✅ OK</v>
      </c>
    </row>
    <row r="249" spans="1:16" x14ac:dyDescent="0.35">
      <c r="A249" s="23">
        <v>242</v>
      </c>
      <c r="B249" s="23" t="s">
        <v>43</v>
      </c>
      <c r="C249" s="24">
        <v>2003</v>
      </c>
      <c r="D249" s="23" t="s">
        <v>28</v>
      </c>
      <c r="E249" s="23" t="s">
        <v>319</v>
      </c>
      <c r="F249" s="23">
        <v>2</v>
      </c>
      <c r="G249" s="23">
        <v>2</v>
      </c>
      <c r="H249" s="23">
        <v>0</v>
      </c>
      <c r="I249" s="23">
        <f t="shared" si="9"/>
        <v>0</v>
      </c>
      <c r="J249" s="23" t="str">
        <f t="shared" si="10"/>
        <v>🔒 In Custody</v>
      </c>
      <c r="K249" s="23" t="s">
        <v>139</v>
      </c>
      <c r="L249" s="23" t="s">
        <v>137</v>
      </c>
      <c r="M249" s="28" t="s">
        <v>294</v>
      </c>
      <c r="N249" s="14" t="s">
        <v>261</v>
      </c>
      <c r="O249" s="14" t="s">
        <v>317</v>
      </c>
      <c r="P249" s="14" t="str">
        <f t="shared" si="11"/>
        <v>✅ OK</v>
      </c>
    </row>
    <row r="250" spans="1:16" x14ac:dyDescent="0.35">
      <c r="A250" s="23">
        <v>243</v>
      </c>
      <c r="B250" s="23" t="s">
        <v>51</v>
      </c>
      <c r="C250" s="24">
        <v>6322</v>
      </c>
      <c r="D250" s="23"/>
      <c r="E250" s="23"/>
      <c r="F250" s="23"/>
      <c r="G250" s="23"/>
      <c r="H250" s="23"/>
      <c r="I250" s="23">
        <f t="shared" si="9"/>
        <v>0</v>
      </c>
      <c r="J250" s="23" t="str">
        <f t="shared" si="10"/>
        <v>⚪ Unregistered</v>
      </c>
      <c r="K250" s="23"/>
      <c r="L250" s="23"/>
      <c r="M250" s="28"/>
      <c r="N250" s="14"/>
      <c r="O250" s="14"/>
      <c r="P250" s="14" t="str">
        <f t="shared" si="11"/>
        <v>✅ OK</v>
      </c>
    </row>
    <row r="251" spans="1:16" x14ac:dyDescent="0.35">
      <c r="A251" s="23">
        <v>244</v>
      </c>
      <c r="B251" s="23" t="s">
        <v>47</v>
      </c>
      <c r="C251" s="24">
        <v>7520</v>
      </c>
      <c r="D251" s="23" t="s">
        <v>27</v>
      </c>
      <c r="E251" s="23" t="s">
        <v>320</v>
      </c>
      <c r="F251" s="23">
        <v>2</v>
      </c>
      <c r="G251" s="23">
        <v>1</v>
      </c>
      <c r="H251" s="23">
        <v>0</v>
      </c>
      <c r="I251" s="23">
        <f t="shared" si="9"/>
        <v>1</v>
      </c>
      <c r="J251" s="23" t="str">
        <f t="shared" si="10"/>
        <v>⚠️ Missing Key</v>
      </c>
      <c r="K251" s="23"/>
      <c r="L251" s="23" t="s">
        <v>137</v>
      </c>
      <c r="M251" s="28" t="s">
        <v>204</v>
      </c>
      <c r="N251" s="14"/>
      <c r="O251" s="14"/>
      <c r="P251" s="14" t="str">
        <f t="shared" si="11"/>
        <v>🚨 REPLACE LOCK / KEY LOST</v>
      </c>
    </row>
    <row r="252" spans="1:16" x14ac:dyDescent="0.35">
      <c r="A252" s="23"/>
      <c r="B252" s="23"/>
      <c r="C252" s="24"/>
      <c r="D252" s="23"/>
      <c r="E252" s="23"/>
      <c r="F252" s="23"/>
      <c r="G252" s="23"/>
      <c r="H252" s="23"/>
      <c r="I252" s="23"/>
      <c r="J252" s="23" t="str">
        <f t="shared" si="10"/>
        <v>⚪ Unregistered</v>
      </c>
      <c r="K252" s="23"/>
      <c r="L252" s="23"/>
      <c r="M252" s="28"/>
      <c r="N252" s="14"/>
      <c r="O252" s="14"/>
      <c r="P252" s="14" t="str">
        <f t="shared" si="11"/>
        <v>✅ OK</v>
      </c>
    </row>
    <row r="253" spans="1:16" x14ac:dyDescent="0.35">
      <c r="A253" s="23"/>
      <c r="B253" s="23"/>
      <c r="C253" s="24"/>
      <c r="D253" s="23"/>
      <c r="E253" s="23"/>
      <c r="F253" s="23"/>
      <c r="G253" s="23"/>
      <c r="H253" s="23"/>
      <c r="I253" s="23"/>
      <c r="J253" s="23" t="str">
        <f t="shared" si="10"/>
        <v>⚪ Unregistered</v>
      </c>
      <c r="K253" s="23"/>
      <c r="L253" s="23"/>
      <c r="M253" s="28"/>
      <c r="N253" s="14"/>
      <c r="O253" s="14"/>
      <c r="P253" s="14" t="str">
        <f t="shared" si="11"/>
        <v>✅ OK</v>
      </c>
    </row>
    <row r="254" spans="1:16" x14ac:dyDescent="0.35">
      <c r="A254" s="23"/>
      <c r="B254" s="23"/>
      <c r="C254" s="24"/>
      <c r="D254" s="23"/>
      <c r="E254" s="23"/>
      <c r="F254" s="23"/>
      <c r="G254" s="23"/>
      <c r="H254" s="23"/>
      <c r="I254" s="23"/>
      <c r="J254" s="23" t="str">
        <f t="shared" si="10"/>
        <v>⚪ Unregistered</v>
      </c>
      <c r="K254" s="23"/>
      <c r="L254" s="23"/>
      <c r="M254" s="28"/>
      <c r="N254" s="14"/>
      <c r="O254" s="14"/>
      <c r="P254" s="14" t="str">
        <f t="shared" si="11"/>
        <v>✅ OK</v>
      </c>
    </row>
    <row r="255" spans="1:16" x14ac:dyDescent="0.35">
      <c r="A255" s="23"/>
      <c r="B255" s="23"/>
      <c r="C255" s="24"/>
      <c r="D255" s="23"/>
      <c r="E255" s="23"/>
      <c r="F255" s="23"/>
      <c r="G255" s="23"/>
      <c r="H255" s="23"/>
      <c r="I255" s="23"/>
      <c r="J255" s="23" t="str">
        <f t="shared" si="10"/>
        <v>⚪ Unregistered</v>
      </c>
      <c r="K255" s="23"/>
      <c r="L255" s="23"/>
      <c r="M255" s="28"/>
      <c r="N255" s="14"/>
      <c r="O255" s="14"/>
      <c r="P255" s="14" t="str">
        <f t="shared" si="11"/>
        <v>✅ OK</v>
      </c>
    </row>
    <row r="256" spans="1:16" x14ac:dyDescent="0.35">
      <c r="A256" s="23"/>
      <c r="B256" s="23"/>
      <c r="C256" s="24"/>
      <c r="D256" s="23"/>
      <c r="E256" s="23"/>
      <c r="F256" s="23"/>
      <c r="G256" s="23"/>
      <c r="H256" s="23"/>
      <c r="I256" s="23"/>
      <c r="J256" s="23" t="str">
        <f t="shared" si="10"/>
        <v>⚪ Unregistered</v>
      </c>
      <c r="K256" s="23"/>
      <c r="L256" s="23"/>
      <c r="M256" s="28"/>
      <c r="N256" s="14"/>
      <c r="O256" s="14"/>
      <c r="P256" s="14" t="str">
        <f t="shared" si="11"/>
        <v>✅ OK</v>
      </c>
    </row>
    <row r="257" spans="1:16" x14ac:dyDescent="0.35">
      <c r="A257" s="23"/>
      <c r="B257" s="23"/>
      <c r="C257" s="24"/>
      <c r="D257" s="23"/>
      <c r="E257" s="23"/>
      <c r="F257" s="23"/>
      <c r="G257" s="23"/>
      <c r="H257" s="23"/>
      <c r="I257" s="23"/>
      <c r="J257" s="23" t="str">
        <f t="shared" si="10"/>
        <v>⚪ Unregistered</v>
      </c>
      <c r="K257" s="23"/>
      <c r="L257" s="23"/>
      <c r="M257" s="28"/>
      <c r="N257" s="14"/>
      <c r="O257" s="14"/>
      <c r="P257" s="14" t="str">
        <f t="shared" si="11"/>
        <v>✅ OK</v>
      </c>
    </row>
    <row r="258" spans="1:16" x14ac:dyDescent="0.35">
      <c r="A258" s="23"/>
      <c r="B258" s="23"/>
      <c r="C258" s="24"/>
      <c r="D258" s="23"/>
      <c r="E258" s="23"/>
      <c r="F258" s="23"/>
      <c r="G258" s="23"/>
      <c r="H258" s="23"/>
      <c r="I258" s="23"/>
      <c r="J258" s="23"/>
      <c r="K258" s="23"/>
      <c r="L258" s="23"/>
      <c r="M258" s="28"/>
      <c r="N258" s="14"/>
      <c r="O258" s="14"/>
      <c r="P258" s="14"/>
    </row>
    <row r="259" spans="1:16" x14ac:dyDescent="0.35">
      <c r="A259" s="23"/>
      <c r="B259" s="23"/>
      <c r="C259" s="24"/>
      <c r="D259" s="23"/>
      <c r="E259" s="23"/>
      <c r="F259" s="23"/>
      <c r="G259" s="23"/>
      <c r="H259" s="23"/>
      <c r="I259" s="23"/>
      <c r="J259" s="23"/>
      <c r="K259" s="23"/>
      <c r="L259" s="23"/>
      <c r="M259" s="28"/>
      <c r="N259" s="14"/>
      <c r="O259" s="14"/>
      <c r="P259" s="14"/>
    </row>
    <row r="260" spans="1:16" x14ac:dyDescent="0.35">
      <c r="A260" s="23"/>
      <c r="B260" s="23"/>
      <c r="C260" s="24"/>
      <c r="D260" s="23"/>
      <c r="E260" s="23"/>
      <c r="F260" s="23"/>
      <c r="G260" s="23"/>
      <c r="H260" s="23"/>
      <c r="I260" s="23"/>
      <c r="J260" s="23"/>
      <c r="K260" s="23"/>
      <c r="L260" s="23"/>
      <c r="M260" s="28"/>
      <c r="N260" s="14"/>
      <c r="O260" s="14"/>
      <c r="P260" s="14"/>
    </row>
    <row r="261" spans="1:16" x14ac:dyDescent="0.35">
      <c r="A261" s="23"/>
      <c r="B261" s="23"/>
      <c r="C261" s="24"/>
      <c r="D261" s="23"/>
      <c r="E261" s="23"/>
      <c r="F261" s="23"/>
      <c r="G261" s="23"/>
      <c r="H261" s="23"/>
      <c r="I261" s="23"/>
      <c r="J261" s="23"/>
      <c r="K261" s="23"/>
      <c r="L261" s="23"/>
      <c r="M261" s="28"/>
      <c r="N261" s="14"/>
      <c r="O261" s="14"/>
      <c r="P261" s="14"/>
    </row>
    <row r="262" spans="1:16" x14ac:dyDescent="0.35">
      <c r="A262" s="23"/>
      <c r="B262" s="23"/>
      <c r="C262" s="24"/>
      <c r="D262" s="23"/>
      <c r="E262" s="23"/>
      <c r="F262" s="23"/>
      <c r="G262" s="23"/>
      <c r="H262" s="23"/>
      <c r="I262" s="23"/>
      <c r="J262" s="23"/>
      <c r="K262" s="23"/>
      <c r="L262" s="23"/>
      <c r="M262" s="28"/>
      <c r="N262" s="14"/>
      <c r="O262" s="14"/>
      <c r="P262" s="14"/>
    </row>
    <row r="263" spans="1:16" x14ac:dyDescent="0.35">
      <c r="A263" s="23"/>
      <c r="B263" s="23"/>
      <c r="C263" s="24"/>
      <c r="D263" s="23"/>
      <c r="E263" s="23"/>
      <c r="F263" s="23"/>
      <c r="G263" s="23"/>
      <c r="H263" s="23"/>
      <c r="I263" s="23"/>
      <c r="J263" s="23"/>
      <c r="K263" s="23"/>
      <c r="L263" s="23"/>
      <c r="M263" s="28"/>
      <c r="N263" s="14"/>
      <c r="O263" s="14"/>
      <c r="P263" s="14"/>
    </row>
    <row r="264" spans="1:16" x14ac:dyDescent="0.35">
      <c r="A264" s="23"/>
      <c r="B264" s="23"/>
      <c r="C264" s="24"/>
      <c r="D264" s="23"/>
      <c r="E264" s="23"/>
      <c r="F264" s="23"/>
      <c r="G264" s="23"/>
      <c r="H264" s="23"/>
      <c r="I264" s="23"/>
      <c r="J264" s="23"/>
      <c r="K264" s="23"/>
      <c r="L264" s="23"/>
      <c r="M264" s="28"/>
      <c r="N264" s="14"/>
      <c r="O264" s="14"/>
      <c r="P264" s="14"/>
    </row>
    <row r="265" spans="1:16" x14ac:dyDescent="0.35">
      <c r="A265" s="23"/>
      <c r="B265" s="23"/>
      <c r="C265" s="24"/>
      <c r="D265" s="23"/>
      <c r="E265" s="23"/>
      <c r="F265" s="23"/>
      <c r="G265" s="23"/>
      <c r="H265" s="23"/>
      <c r="I265" s="23"/>
      <c r="J265" s="23"/>
      <c r="K265" s="23"/>
      <c r="L265" s="23"/>
      <c r="M265" s="28"/>
      <c r="N265" s="14"/>
      <c r="O265" s="14"/>
      <c r="P265" s="14"/>
    </row>
    <row r="266" spans="1:16" x14ac:dyDescent="0.35">
      <c r="A266" s="23"/>
      <c r="B266" s="23"/>
      <c r="C266" s="24"/>
      <c r="D266" s="23"/>
      <c r="E266" s="23"/>
      <c r="F266" s="23"/>
      <c r="G266" s="23"/>
      <c r="H266" s="23"/>
      <c r="I266" s="23"/>
      <c r="J266" s="23"/>
      <c r="K266" s="23"/>
      <c r="L266" s="23"/>
      <c r="M266" s="28"/>
      <c r="N266" s="14"/>
      <c r="O266" s="14"/>
      <c r="P266" s="14"/>
    </row>
    <row r="267" spans="1:16" x14ac:dyDescent="0.35">
      <c r="A267" s="23"/>
      <c r="B267" s="23"/>
      <c r="C267" s="24"/>
      <c r="D267" s="23"/>
      <c r="E267" s="23"/>
      <c r="F267" s="23"/>
      <c r="G267" s="23"/>
      <c r="H267" s="23"/>
      <c r="I267" s="23"/>
      <c r="J267" s="23"/>
      <c r="K267" s="23"/>
      <c r="L267" s="23"/>
      <c r="M267" s="28"/>
      <c r="N267" s="14"/>
      <c r="O267" s="14"/>
      <c r="P267" s="14"/>
    </row>
  </sheetData>
  <mergeCells count="11">
    <mergeCell ref="A4:P4"/>
    <mergeCell ref="A5:B5"/>
    <mergeCell ref="C6:F6"/>
    <mergeCell ref="L5:M5"/>
    <mergeCell ref="N6:P6"/>
    <mergeCell ref="A6:B6"/>
    <mergeCell ref="G6:J6"/>
    <mergeCell ref="N5:P5"/>
    <mergeCell ref="F5:K5"/>
    <mergeCell ref="C5:E5"/>
    <mergeCell ref="K6:M6"/>
  </mergeCells>
  <conditionalFormatting sqref="A8:P267">
    <cfRule type="expression" dxfId="12" priority="17">
      <formula>AND($C$5&lt;&gt;"", ISNUMBER(SEARCH($C$5, $A8&amp;" "&amp;$B8&amp;" "&amp;$C8&amp;" "&amp;$D8&amp;" "&amp;$E8&amp;" "&amp;$F8&amp;" "&amp;$G8&amp;" "&amp;$H8&amp;" "&amp;$I8&amp;" "&amp;$J8&amp;" "&amp;$K8&amp;" "&amp;$L8&amp;" "&amp;$M8&amp;" "&amp;$N8&amp;" "&amp;$O8&amp;" "&amp;$P8)))</formula>
    </cfRule>
  </conditionalFormatting>
  <conditionalFormatting sqref="I8:I267">
    <cfRule type="cellIs" dxfId="11" priority="10" operator="greaterThan">
      <formula>0</formula>
    </cfRule>
  </conditionalFormatting>
  <conditionalFormatting sqref="N8:N267">
    <cfRule type="cellIs" dxfId="10" priority="11" operator="equal">
      <formula>"Occupied"</formula>
    </cfRule>
    <cfRule type="cellIs" dxfId="9" priority="12" operator="equal">
      <formula>"Vacant"</formula>
    </cfRule>
    <cfRule type="cellIs" dxfId="8" priority="13" operator="equal">
      <formula>"Under Audit"</formula>
    </cfRule>
  </conditionalFormatting>
  <conditionalFormatting sqref="P8:P267">
    <cfRule type="expression" dxfId="7" priority="14">
      <formula>NOT(ISERROR(SEARCH("REPLACE",P8)))</formula>
    </cfRule>
    <cfRule type="expression" dxfId="6" priority="15">
      <formula>NOT(ISERROR(SEARCH("AUDIT",P8)))</formula>
    </cfRule>
    <cfRule type="expression" dxfId="5" priority="16">
      <formula>NOT(ISERROR(SEARCH("AVAILABLE",P8)))</formula>
    </cfRule>
  </conditionalFormatting>
  <hyperlinks>
    <hyperlink ref="B2" location="'📊 Dashboard'!A1" display="📊 Executive Dashboard" xr:uid="{00000000-0004-0000-0100-000000000000}"/>
    <hyperlink ref="D2" location="'🔐 Master Tracker'!A1" display="🔐 Master Key Tracker" xr:uid="{00000000-0004-0000-0100-000001000000}"/>
    <hyperlink ref="F2" location="'⚠️ Action &amp; Audit List'!A1" display="⚠️ Action &amp; Audit List" xr:uid="{00000000-0004-0000-0100-000002000000}"/>
    <hyperlink ref="I2" location="'📈 Zone Breakdown'!A1" display="📈 Zone Breakdown" xr:uid="{00000000-0004-0000-0100-000003000000}"/>
    <hyperlink ref="L2" location="'⚙️ Master Lists'!A1" display="⚙️ Master Lists &amp; Config" xr:uid="{00000000-0004-0000-0100-000004000000}"/>
  </hyperlinks>
  <pageMargins left="0.7" right="0.7" top="0.75" bottom="0.75" header="0.3" footer="0.3"/>
  <pageSetup paperSize="9" orientation="portrait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62828"/>
  </sheetPr>
  <dimension ref="A2:L27"/>
  <sheetViews>
    <sheetView topLeftCell="A14" workbookViewId="0">
      <selection activeCell="F29" sqref="F29"/>
    </sheetView>
  </sheetViews>
  <sheetFormatPr defaultRowHeight="14.5" x14ac:dyDescent="0.35"/>
  <cols>
    <col min="1" max="1" width="14.7265625" customWidth="1"/>
    <col min="2" max="2" width="18.7265625" customWidth="1"/>
    <col min="3" max="3" width="12.7265625" customWidth="1"/>
    <col min="4" max="4" width="14.7265625" customWidth="1"/>
    <col min="5" max="5" width="28.7265625" customWidth="1"/>
    <col min="6" max="6" width="34.7265625" customWidth="1"/>
    <col min="7" max="7" width="40.7265625" customWidth="1"/>
    <col min="8" max="8" width="24.7265625" customWidth="1"/>
    <col min="9" max="10" width="14.7265625" customWidth="1"/>
    <col min="11" max="11" width="16.7265625" customWidth="1"/>
    <col min="12" max="12" width="20.7265625" customWidth="1"/>
  </cols>
  <sheetData>
    <row r="2" spans="1:12" ht="28" customHeight="1" x14ac:dyDescent="0.35">
      <c r="A2" s="2" t="s">
        <v>0</v>
      </c>
      <c r="B2" s="15"/>
      <c r="C2" s="15"/>
      <c r="D2" s="2" t="s">
        <v>1</v>
      </c>
      <c r="E2" s="15"/>
      <c r="F2" s="1" t="s">
        <v>2</v>
      </c>
      <c r="G2" s="15"/>
      <c r="H2" s="2" t="s">
        <v>3</v>
      </c>
      <c r="I2" s="15"/>
      <c r="J2" s="2" t="s">
        <v>4</v>
      </c>
      <c r="K2" s="15"/>
      <c r="L2" s="15"/>
    </row>
    <row r="4" spans="1:12" ht="25" customHeight="1" x14ac:dyDescent="0.35">
      <c r="A4" s="69" t="s">
        <v>321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 ht="18" customHeight="1" x14ac:dyDescent="0.35">
      <c r="A5" s="66" t="s">
        <v>322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</row>
    <row r="7" spans="1:12" x14ac:dyDescent="0.35">
      <c r="A7" s="15" t="s">
        <v>83</v>
      </c>
      <c r="B7" s="15" t="s">
        <v>25</v>
      </c>
      <c r="C7" s="15" t="s">
        <v>84</v>
      </c>
      <c r="D7" s="15" t="s">
        <v>85</v>
      </c>
      <c r="E7" s="15" t="s">
        <v>124</v>
      </c>
      <c r="F7" s="15" t="s">
        <v>323</v>
      </c>
      <c r="G7" s="15" t="s">
        <v>324</v>
      </c>
      <c r="H7" s="15" t="s">
        <v>325</v>
      </c>
      <c r="I7" s="15" t="s">
        <v>88</v>
      </c>
      <c r="J7" s="15" t="s">
        <v>89</v>
      </c>
      <c r="K7" s="15" t="s">
        <v>326</v>
      </c>
      <c r="L7" s="15" t="s">
        <v>327</v>
      </c>
    </row>
    <row r="8" spans="1:12" x14ac:dyDescent="0.35">
      <c r="A8" s="23" t="s">
        <v>90</v>
      </c>
      <c r="B8" s="23" t="s">
        <v>43</v>
      </c>
      <c r="C8" s="23">
        <v>338</v>
      </c>
      <c r="D8" s="23" t="s">
        <v>30</v>
      </c>
      <c r="E8" s="23" t="s">
        <v>179</v>
      </c>
      <c r="F8" s="27" t="s">
        <v>188</v>
      </c>
      <c r="G8" s="23" t="s">
        <v>328</v>
      </c>
      <c r="H8" s="23" t="s">
        <v>329</v>
      </c>
      <c r="I8" s="23" t="s">
        <v>108</v>
      </c>
      <c r="J8" s="23" t="s">
        <v>109</v>
      </c>
      <c r="K8" s="23" t="s">
        <v>330</v>
      </c>
      <c r="L8" s="23" t="s">
        <v>331</v>
      </c>
    </row>
    <row r="9" spans="1:12" x14ac:dyDescent="0.35">
      <c r="A9" s="23" t="s">
        <v>96</v>
      </c>
      <c r="B9" s="23" t="s">
        <v>45</v>
      </c>
      <c r="C9" s="23">
        <v>1833</v>
      </c>
      <c r="D9" s="23" t="s">
        <v>27</v>
      </c>
      <c r="E9" s="23" t="s">
        <v>189</v>
      </c>
      <c r="F9" s="27" t="s">
        <v>188</v>
      </c>
      <c r="G9" s="23" t="s">
        <v>328</v>
      </c>
      <c r="H9" s="23" t="s">
        <v>329</v>
      </c>
      <c r="I9" s="23" t="s">
        <v>108</v>
      </c>
      <c r="J9" s="23" t="s">
        <v>109</v>
      </c>
      <c r="K9" s="23" t="s">
        <v>330</v>
      </c>
      <c r="L9" s="23" t="s">
        <v>332</v>
      </c>
    </row>
    <row r="10" spans="1:12" x14ac:dyDescent="0.35">
      <c r="A10" s="23" t="s">
        <v>98</v>
      </c>
      <c r="B10" s="23" t="s">
        <v>45</v>
      </c>
      <c r="C10" s="23">
        <v>1776</v>
      </c>
      <c r="D10" s="23" t="s">
        <v>27</v>
      </c>
      <c r="E10" s="23" t="s">
        <v>189</v>
      </c>
      <c r="F10" s="27" t="s">
        <v>188</v>
      </c>
      <c r="G10" s="23" t="s">
        <v>328</v>
      </c>
      <c r="H10" s="23" t="s">
        <v>329</v>
      </c>
      <c r="I10" s="23" t="s">
        <v>108</v>
      </c>
      <c r="J10" s="23" t="s">
        <v>109</v>
      </c>
      <c r="K10" s="23" t="s">
        <v>330</v>
      </c>
      <c r="L10" s="23" t="s">
        <v>333</v>
      </c>
    </row>
    <row r="11" spans="1:12" x14ac:dyDescent="0.35">
      <c r="A11" s="23" t="s">
        <v>101</v>
      </c>
      <c r="B11" s="23" t="s">
        <v>45</v>
      </c>
      <c r="C11" s="23">
        <v>7496</v>
      </c>
      <c r="D11" s="23" t="s">
        <v>27</v>
      </c>
      <c r="E11" s="23" t="s">
        <v>194</v>
      </c>
      <c r="F11" s="27" t="s">
        <v>198</v>
      </c>
      <c r="G11" s="23" t="s">
        <v>334</v>
      </c>
      <c r="H11" s="23" t="s">
        <v>335</v>
      </c>
      <c r="I11" s="23" t="s">
        <v>94</v>
      </c>
      <c r="J11" s="23" t="s">
        <v>95</v>
      </c>
      <c r="K11" s="23" t="s">
        <v>330</v>
      </c>
      <c r="L11" s="23" t="s">
        <v>336</v>
      </c>
    </row>
    <row r="12" spans="1:12" x14ac:dyDescent="0.35">
      <c r="A12" s="23" t="s">
        <v>104</v>
      </c>
      <c r="B12" s="23" t="s">
        <v>45</v>
      </c>
      <c r="C12" s="23">
        <v>3</v>
      </c>
      <c r="D12" s="23" t="s">
        <v>28</v>
      </c>
      <c r="E12" s="23" t="s">
        <v>200</v>
      </c>
      <c r="F12" s="27" t="s">
        <v>188</v>
      </c>
      <c r="G12" s="23" t="s">
        <v>328</v>
      </c>
      <c r="H12" s="23" t="s">
        <v>329</v>
      </c>
      <c r="I12" s="23" t="s">
        <v>108</v>
      </c>
      <c r="J12" s="23" t="s">
        <v>109</v>
      </c>
      <c r="K12" s="23" t="s">
        <v>330</v>
      </c>
      <c r="L12" s="23" t="s">
        <v>337</v>
      </c>
    </row>
    <row r="13" spans="1:12" x14ac:dyDescent="0.35">
      <c r="A13" s="23" t="s">
        <v>110</v>
      </c>
      <c r="B13" s="23" t="s">
        <v>45</v>
      </c>
      <c r="C13" s="23">
        <v>100</v>
      </c>
      <c r="D13" s="23" t="s">
        <v>28</v>
      </c>
      <c r="E13" s="23" t="s">
        <v>200</v>
      </c>
      <c r="F13" s="27" t="s">
        <v>201</v>
      </c>
      <c r="G13" s="23" t="s">
        <v>328</v>
      </c>
      <c r="H13" s="23" t="s">
        <v>329</v>
      </c>
      <c r="I13" s="23" t="s">
        <v>108</v>
      </c>
      <c r="J13" s="23" t="s">
        <v>109</v>
      </c>
      <c r="K13" s="23" t="s">
        <v>330</v>
      </c>
      <c r="L13" s="23" t="s">
        <v>338</v>
      </c>
    </row>
    <row r="14" spans="1:12" x14ac:dyDescent="0.35">
      <c r="A14" s="23" t="s">
        <v>114</v>
      </c>
      <c r="B14" s="23" t="s">
        <v>45</v>
      </c>
      <c r="C14" s="23">
        <v>319</v>
      </c>
      <c r="D14" s="23" t="s">
        <v>30</v>
      </c>
      <c r="E14" s="23" t="s">
        <v>202</v>
      </c>
      <c r="F14" s="27" t="s">
        <v>188</v>
      </c>
      <c r="G14" s="23" t="s">
        <v>328</v>
      </c>
      <c r="H14" s="23" t="s">
        <v>329</v>
      </c>
      <c r="I14" s="23" t="s">
        <v>108</v>
      </c>
      <c r="J14" s="23" t="s">
        <v>109</v>
      </c>
      <c r="K14" s="23" t="s">
        <v>330</v>
      </c>
      <c r="L14" s="23" t="s">
        <v>339</v>
      </c>
    </row>
    <row r="15" spans="1:12" x14ac:dyDescent="0.35">
      <c r="A15" s="23" t="s">
        <v>340</v>
      </c>
      <c r="B15" s="23" t="s">
        <v>49</v>
      </c>
      <c r="C15" s="23">
        <v>1838</v>
      </c>
      <c r="D15" s="23" t="s">
        <v>27</v>
      </c>
      <c r="E15" s="23" t="s">
        <v>224</v>
      </c>
      <c r="F15" s="27" t="s">
        <v>188</v>
      </c>
      <c r="G15" s="23" t="s">
        <v>328</v>
      </c>
      <c r="H15" s="23" t="s">
        <v>329</v>
      </c>
      <c r="I15" s="23" t="s">
        <v>108</v>
      </c>
      <c r="J15" s="23" t="s">
        <v>109</v>
      </c>
      <c r="K15" s="23" t="s">
        <v>330</v>
      </c>
      <c r="L15" s="23" t="s">
        <v>341</v>
      </c>
    </row>
    <row r="16" spans="1:12" x14ac:dyDescent="0.35">
      <c r="A16" s="23" t="s">
        <v>342</v>
      </c>
      <c r="B16" s="23" t="s">
        <v>49</v>
      </c>
      <c r="C16" s="23">
        <v>361</v>
      </c>
      <c r="D16" s="23" t="s">
        <v>27</v>
      </c>
      <c r="E16" s="23" t="s">
        <v>231</v>
      </c>
      <c r="F16" s="27" t="s">
        <v>188</v>
      </c>
      <c r="G16" s="23" t="s">
        <v>328</v>
      </c>
      <c r="H16" s="23" t="s">
        <v>329</v>
      </c>
      <c r="I16" s="23" t="s">
        <v>108</v>
      </c>
      <c r="J16" s="23" t="s">
        <v>109</v>
      </c>
      <c r="K16" s="23" t="s">
        <v>330</v>
      </c>
      <c r="L16" s="23" t="s">
        <v>343</v>
      </c>
    </row>
    <row r="17" spans="1:12" x14ac:dyDescent="0.35">
      <c r="A17" s="23" t="s">
        <v>344</v>
      </c>
      <c r="B17" s="23" t="s">
        <v>59</v>
      </c>
      <c r="C17" s="23">
        <v>2</v>
      </c>
      <c r="D17" s="23" t="s">
        <v>28</v>
      </c>
      <c r="E17" s="23" t="s">
        <v>59</v>
      </c>
      <c r="F17" s="27" t="s">
        <v>234</v>
      </c>
      <c r="G17" s="23" t="s">
        <v>328</v>
      </c>
      <c r="H17" s="23" t="s">
        <v>329</v>
      </c>
      <c r="I17" s="23" t="s">
        <v>108</v>
      </c>
      <c r="J17" s="23" t="s">
        <v>109</v>
      </c>
      <c r="K17" s="23" t="s">
        <v>330</v>
      </c>
      <c r="L17" s="23" t="s">
        <v>345</v>
      </c>
    </row>
    <row r="18" spans="1:12" x14ac:dyDescent="0.35">
      <c r="A18" s="23" t="s">
        <v>346</v>
      </c>
      <c r="B18" s="23" t="s">
        <v>63</v>
      </c>
      <c r="C18" s="23">
        <v>616</v>
      </c>
      <c r="D18" s="23" t="s">
        <v>29</v>
      </c>
      <c r="E18" s="23" t="s">
        <v>63</v>
      </c>
      <c r="F18" s="27" t="s">
        <v>236</v>
      </c>
      <c r="G18" s="23" t="s">
        <v>328</v>
      </c>
      <c r="H18" s="23" t="s">
        <v>329</v>
      </c>
      <c r="I18" s="23" t="s">
        <v>108</v>
      </c>
      <c r="J18" s="23" t="s">
        <v>109</v>
      </c>
      <c r="K18" s="23" t="s">
        <v>330</v>
      </c>
      <c r="L18" s="23" t="s">
        <v>347</v>
      </c>
    </row>
    <row r="19" spans="1:12" x14ac:dyDescent="0.35">
      <c r="A19" s="23" t="s">
        <v>348</v>
      </c>
      <c r="B19" s="23" t="s">
        <v>63</v>
      </c>
      <c r="C19" s="23">
        <v>128</v>
      </c>
      <c r="D19" s="23" t="s">
        <v>29</v>
      </c>
      <c r="E19" s="23" t="s">
        <v>63</v>
      </c>
      <c r="F19" s="27" t="s">
        <v>236</v>
      </c>
      <c r="G19" s="23" t="s">
        <v>328</v>
      </c>
      <c r="H19" s="23" t="s">
        <v>329</v>
      </c>
      <c r="I19" s="23" t="s">
        <v>108</v>
      </c>
      <c r="J19" s="23" t="s">
        <v>109</v>
      </c>
      <c r="K19" s="23" t="s">
        <v>330</v>
      </c>
      <c r="L19" s="23" t="s">
        <v>349</v>
      </c>
    </row>
    <row r="20" spans="1:12" x14ac:dyDescent="0.35">
      <c r="A20" s="23" t="s">
        <v>350</v>
      </c>
      <c r="B20" s="23" t="s">
        <v>43</v>
      </c>
      <c r="C20" s="23">
        <v>3</v>
      </c>
      <c r="D20" s="23" t="s">
        <v>28</v>
      </c>
      <c r="E20" s="23" t="s">
        <v>103</v>
      </c>
      <c r="F20" s="27" t="s">
        <v>351</v>
      </c>
      <c r="G20" s="23" t="s">
        <v>334</v>
      </c>
      <c r="H20" s="23" t="s">
        <v>335</v>
      </c>
      <c r="I20" s="23" t="s">
        <v>94</v>
      </c>
      <c r="J20" s="23" t="s">
        <v>95</v>
      </c>
      <c r="K20" s="23" t="s">
        <v>330</v>
      </c>
      <c r="L20" s="23" t="s">
        <v>352</v>
      </c>
    </row>
    <row r="21" spans="1:12" x14ac:dyDescent="0.35">
      <c r="A21" s="23" t="s">
        <v>353</v>
      </c>
      <c r="B21" s="23" t="s">
        <v>54</v>
      </c>
      <c r="C21" s="23" t="s">
        <v>115</v>
      </c>
      <c r="D21" s="23" t="s">
        <v>31</v>
      </c>
      <c r="E21" s="23" t="s">
        <v>296</v>
      </c>
      <c r="F21" s="27" t="s">
        <v>188</v>
      </c>
      <c r="G21" s="23" t="s">
        <v>328</v>
      </c>
      <c r="H21" s="23" t="s">
        <v>329</v>
      </c>
      <c r="I21" s="23" t="s">
        <v>108</v>
      </c>
      <c r="J21" s="23" t="s">
        <v>109</v>
      </c>
      <c r="K21" s="23" t="s">
        <v>330</v>
      </c>
      <c r="L21" s="23" t="s">
        <v>354</v>
      </c>
    </row>
    <row r="22" spans="1:12" x14ac:dyDescent="0.35">
      <c r="A22" s="23" t="s">
        <v>355</v>
      </c>
      <c r="B22" s="23" t="s">
        <v>45</v>
      </c>
      <c r="C22" s="23" t="s">
        <v>115</v>
      </c>
      <c r="D22" s="23" t="s">
        <v>31</v>
      </c>
      <c r="E22" s="23" t="s">
        <v>297</v>
      </c>
      <c r="F22" s="27" t="s">
        <v>188</v>
      </c>
      <c r="G22" s="23" t="s">
        <v>328</v>
      </c>
      <c r="H22" s="23" t="s">
        <v>329</v>
      </c>
      <c r="I22" s="23" t="s">
        <v>108</v>
      </c>
      <c r="J22" s="23" t="s">
        <v>109</v>
      </c>
      <c r="K22" s="23" t="s">
        <v>330</v>
      </c>
      <c r="L22" s="23" t="s">
        <v>356</v>
      </c>
    </row>
    <row r="23" spans="1:12" x14ac:dyDescent="0.35">
      <c r="A23" s="23" t="s">
        <v>357</v>
      </c>
      <c r="B23" s="23" t="s">
        <v>54</v>
      </c>
      <c r="C23" s="23" t="s">
        <v>115</v>
      </c>
      <c r="D23" s="23" t="s">
        <v>31</v>
      </c>
      <c r="E23" s="23" t="s">
        <v>298</v>
      </c>
      <c r="F23" s="27" t="s">
        <v>188</v>
      </c>
      <c r="G23" s="23" t="s">
        <v>328</v>
      </c>
      <c r="H23" s="23" t="s">
        <v>329</v>
      </c>
      <c r="I23" s="23" t="s">
        <v>108</v>
      </c>
      <c r="J23" s="23" t="s">
        <v>109</v>
      </c>
      <c r="K23" s="23" t="s">
        <v>330</v>
      </c>
      <c r="L23" s="23" t="s">
        <v>358</v>
      </c>
    </row>
    <row r="24" spans="1:12" x14ac:dyDescent="0.35">
      <c r="A24" s="23" t="s">
        <v>359</v>
      </c>
      <c r="B24" s="23" t="s">
        <v>54</v>
      </c>
      <c r="C24" s="23" t="s">
        <v>115</v>
      </c>
      <c r="D24" s="23" t="s">
        <v>31</v>
      </c>
      <c r="E24" s="23" t="s">
        <v>299</v>
      </c>
      <c r="F24" s="27" t="s">
        <v>188</v>
      </c>
      <c r="G24" s="23" t="s">
        <v>328</v>
      </c>
      <c r="H24" s="23" t="s">
        <v>329</v>
      </c>
      <c r="I24" s="23" t="s">
        <v>108</v>
      </c>
      <c r="J24" s="23" t="s">
        <v>109</v>
      </c>
      <c r="K24" s="23" t="s">
        <v>330</v>
      </c>
      <c r="L24" s="23" t="s">
        <v>360</v>
      </c>
    </row>
    <row r="25" spans="1:12" ht="29.15" customHeight="1" x14ac:dyDescent="0.35">
      <c r="A25" s="23" t="s">
        <v>361</v>
      </c>
      <c r="B25" s="23" t="s">
        <v>45</v>
      </c>
      <c r="C25" s="23">
        <v>1826</v>
      </c>
      <c r="D25" s="23" t="s">
        <v>27</v>
      </c>
      <c r="E25" s="23" t="s">
        <v>92</v>
      </c>
      <c r="F25" s="27" t="s">
        <v>318</v>
      </c>
      <c r="G25" s="23" t="s">
        <v>334</v>
      </c>
      <c r="H25" s="23" t="s">
        <v>335</v>
      </c>
      <c r="I25" s="23" t="s">
        <v>94</v>
      </c>
      <c r="J25" s="23" t="s">
        <v>95</v>
      </c>
      <c r="K25" s="23" t="s">
        <v>330</v>
      </c>
      <c r="L25" s="23" t="s">
        <v>362</v>
      </c>
    </row>
    <row r="26" spans="1:12" ht="29.15" customHeight="1" x14ac:dyDescent="0.35">
      <c r="A26" s="23" t="s">
        <v>363</v>
      </c>
      <c r="B26" s="23" t="s">
        <v>45</v>
      </c>
      <c r="C26" s="23">
        <v>1834</v>
      </c>
      <c r="D26" s="23" t="s">
        <v>27</v>
      </c>
      <c r="E26" s="23" t="s">
        <v>92</v>
      </c>
      <c r="F26" s="27" t="s">
        <v>318</v>
      </c>
      <c r="G26" s="23" t="s">
        <v>334</v>
      </c>
      <c r="H26" s="23" t="s">
        <v>335</v>
      </c>
      <c r="I26" s="23" t="s">
        <v>94</v>
      </c>
      <c r="J26" s="23" t="s">
        <v>95</v>
      </c>
      <c r="K26" s="23" t="s">
        <v>330</v>
      </c>
      <c r="L26" s="23" t="s">
        <v>364</v>
      </c>
    </row>
    <row r="27" spans="1:12" ht="29.15" customHeight="1" x14ac:dyDescent="0.35">
      <c r="A27" s="23" t="s">
        <v>365</v>
      </c>
      <c r="B27" s="23" t="s">
        <v>47</v>
      </c>
      <c r="C27" s="23">
        <v>7493</v>
      </c>
      <c r="D27" s="23" t="s">
        <v>27</v>
      </c>
      <c r="E27" s="23" t="s">
        <v>100</v>
      </c>
      <c r="F27" s="27" t="s">
        <v>318</v>
      </c>
      <c r="G27" s="23" t="s">
        <v>334</v>
      </c>
      <c r="H27" s="23" t="s">
        <v>335</v>
      </c>
      <c r="I27" s="23" t="s">
        <v>94</v>
      </c>
      <c r="J27" s="23" t="s">
        <v>95</v>
      </c>
      <c r="K27" s="23" t="s">
        <v>330</v>
      </c>
      <c r="L27" s="23" t="s">
        <v>366</v>
      </c>
    </row>
  </sheetData>
  <mergeCells count="2">
    <mergeCell ref="A5:L5"/>
    <mergeCell ref="A4:L4"/>
  </mergeCells>
  <conditionalFormatting sqref="I8:I27">
    <cfRule type="cellIs" dxfId="4" priority="1" operator="equal">
      <formula>"High"</formula>
    </cfRule>
    <cfRule type="cellIs" dxfId="3" priority="2" operator="equal">
      <formula>"Medium"</formula>
    </cfRule>
  </conditionalFormatting>
  <conditionalFormatting sqref="K8:K27">
    <cfRule type="cellIs" dxfId="2" priority="3" operator="equal">
      <formula>"Pending"</formula>
    </cfRule>
    <cfRule type="cellIs" dxfId="1" priority="4" operator="equal">
      <formula>"In Progress"</formula>
    </cfRule>
    <cfRule type="cellIs" dxfId="0" priority="5" operator="equal">
      <formula>"Resolved"</formula>
    </cfRule>
  </conditionalFormatting>
  <hyperlinks>
    <hyperlink ref="A2" location="'📊 Dashboard'!A1" display="📊 Executive Dashboard" xr:uid="{00000000-0004-0000-0200-000000000000}"/>
    <hyperlink ref="D2" location="'🔐 Master Tracker'!A1" display="🔐 Master Key Tracker" xr:uid="{00000000-0004-0000-0200-000001000000}"/>
    <hyperlink ref="F2" location="'⚠️ Action &amp; Audit List'!A1" display="⚠️ Action &amp; Audit List" xr:uid="{00000000-0004-0000-0200-000002000000}"/>
    <hyperlink ref="H2" location="'📈 Zone Breakdown'!A1" display="📈 Zone Breakdown" xr:uid="{00000000-0004-0000-0200-000003000000}"/>
    <hyperlink ref="J2" location="'⚙️ Master Lists'!A1" display="⚙️ Master Lists &amp; Config" xr:uid="{00000000-0004-0000-0200-000004000000}"/>
  </hyperlink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565C0"/>
  </sheetPr>
  <dimension ref="B2:N23"/>
  <sheetViews>
    <sheetView topLeftCell="A10" workbookViewId="0">
      <selection activeCell="I12" sqref="I12"/>
    </sheetView>
  </sheetViews>
  <sheetFormatPr defaultRowHeight="14.5" x14ac:dyDescent="0.35"/>
  <cols>
    <col min="1" max="1" width="4.7265625" customWidth="1"/>
    <col min="2" max="2" width="24.7265625" customWidth="1"/>
    <col min="3" max="3" width="14.7265625" customWidth="1"/>
    <col min="4" max="8" width="13.7265625" customWidth="1"/>
    <col min="9" max="9" width="15.7265625" customWidth="1"/>
    <col min="10" max="13" width="14.7265625" customWidth="1"/>
  </cols>
  <sheetData>
    <row r="2" spans="2:14" ht="28" customHeight="1" x14ac:dyDescent="0.35">
      <c r="B2" s="2" t="s">
        <v>0</v>
      </c>
      <c r="C2" s="15"/>
      <c r="D2" s="15"/>
      <c r="E2" s="2" t="s">
        <v>1</v>
      </c>
      <c r="F2" s="15"/>
      <c r="G2" s="2" t="s">
        <v>2</v>
      </c>
      <c r="H2" s="15"/>
      <c r="I2" s="1" t="s">
        <v>3</v>
      </c>
      <c r="J2" s="15"/>
      <c r="K2" s="15"/>
      <c r="L2" s="2" t="s">
        <v>4</v>
      </c>
      <c r="M2" s="15"/>
      <c r="N2" s="15"/>
    </row>
    <row r="4" spans="2:14" ht="25" customHeight="1" x14ac:dyDescent="0.35">
      <c r="B4" s="69" t="s">
        <v>367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2:14" ht="18" customHeight="1" x14ac:dyDescent="0.35">
      <c r="B5" s="66" t="s">
        <v>368</v>
      </c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</row>
    <row r="7" spans="2:14" ht="22" customHeight="1" x14ac:dyDescent="0.35">
      <c r="B7" s="46" t="s">
        <v>369</v>
      </c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8"/>
    </row>
    <row r="8" spans="2:14" ht="24" customHeight="1" x14ac:dyDescent="0.35">
      <c r="B8" s="16" t="s">
        <v>370</v>
      </c>
      <c r="C8" s="16" t="s">
        <v>26</v>
      </c>
      <c r="D8" s="16" t="s">
        <v>371</v>
      </c>
      <c r="E8" s="16" t="s">
        <v>372</v>
      </c>
      <c r="F8" s="16" t="s">
        <v>373</v>
      </c>
      <c r="G8" s="16" t="s">
        <v>374</v>
      </c>
      <c r="H8" s="16" t="s">
        <v>375</v>
      </c>
      <c r="I8" s="16" t="s">
        <v>34</v>
      </c>
      <c r="J8" s="16" t="s">
        <v>35</v>
      </c>
      <c r="K8" s="16" t="s">
        <v>376</v>
      </c>
      <c r="L8" s="16" t="s">
        <v>377</v>
      </c>
      <c r="M8" s="16" t="s">
        <v>127</v>
      </c>
      <c r="N8" s="16" t="s">
        <v>38</v>
      </c>
    </row>
    <row r="9" spans="2:14" ht="18" customHeight="1" x14ac:dyDescent="0.35">
      <c r="B9" s="17" t="s">
        <v>39</v>
      </c>
      <c r="C9" s="18">
        <f>COUNTIF(Table_Tracker[Zone], B9)</f>
        <v>45</v>
      </c>
      <c r="D9" s="18">
        <f>COUNTIFS(Table_Tracker[Zone], B9, Table_Tracker[Lock Type], "Planter")</f>
        <v>22</v>
      </c>
      <c r="E9" s="18">
        <f>COUNTIFS(Table_Tracker[Zone], B9, Table_Tracker[Lock Type], "Cupboard")</f>
        <v>7</v>
      </c>
      <c r="F9" s="18">
        <f>COUNTIFS(Table_Tracker[Zone], B9, Table_Tracker[Lock Type], "Locker")</f>
        <v>0</v>
      </c>
      <c r="G9" s="18">
        <f>COUNTIFS(Table_Tracker[Zone], B9, Table_Tracker[Lock Type], "Cabinet")</f>
        <v>9</v>
      </c>
      <c r="H9" s="18">
        <f>COUNTIFS(Table_Tracker[Zone], B9, Table_Tracker[Lock Type], "Door")</f>
        <v>7</v>
      </c>
      <c r="I9" s="18">
        <f>COUNTIFS(Table_Tracker[Zone], B9, Table_Tracker[Lock Status], "Occupied")</f>
        <v>38</v>
      </c>
      <c r="J9" s="18">
        <f>COUNTIFS(Table_Tracker[Zone], B9, Table_Tracker[Lock Status], "Vacant")</f>
        <v>0</v>
      </c>
      <c r="K9" s="18">
        <f>COUNTIFS(Table_Tracker[Zone], B9, Table_Tracker[Lock Status], "Common Asset")</f>
        <v>7</v>
      </c>
      <c r="L9" s="18">
        <f>SUMIFS(Table_Tracker[Spare Keys (BMS)], Table_Tracker[Zone], B9)</f>
        <v>68</v>
      </c>
      <c r="M9" s="18">
        <f>SUMIFS(Table_Tracker[Issued Keys], Table_Tracker[Zone], B9)</f>
        <v>29</v>
      </c>
      <c r="N9" s="18">
        <f>SUMIFS(Table_Tracker[Missing Keys], Table_Tracker[Zone], B9)</f>
        <v>0</v>
      </c>
    </row>
    <row r="10" spans="2:14" ht="18" customHeight="1" x14ac:dyDescent="0.35">
      <c r="B10" s="17" t="s">
        <v>41</v>
      </c>
      <c r="C10" s="18">
        <f>COUNTIF(Table_Tracker[Zone], B10)</f>
        <v>27</v>
      </c>
      <c r="D10" s="18">
        <f>COUNTIFS(Table_Tracker[Zone], B10, Table_Tracker[Lock Type], "Planter")</f>
        <v>10</v>
      </c>
      <c r="E10" s="18">
        <f>COUNTIFS(Table_Tracker[Zone], B10, Table_Tracker[Lock Type], "Cupboard")</f>
        <v>10</v>
      </c>
      <c r="F10" s="18">
        <f>COUNTIFS(Table_Tracker[Zone], B10, Table_Tracker[Lock Type], "Locker")</f>
        <v>0</v>
      </c>
      <c r="G10" s="18">
        <f>COUNTIFS(Table_Tracker[Zone], B10, Table_Tracker[Lock Type], "Cabinet")</f>
        <v>1</v>
      </c>
      <c r="H10" s="18">
        <f>COUNTIFS(Table_Tracker[Zone], B10, Table_Tracker[Lock Type], "Door")</f>
        <v>6</v>
      </c>
      <c r="I10" s="18">
        <f>COUNTIFS(Table_Tracker[Zone], B10, Table_Tracker[Lock Status], "Occupied")</f>
        <v>18</v>
      </c>
      <c r="J10" s="18">
        <f>COUNTIFS(Table_Tracker[Zone], B10, Table_Tracker[Lock Status], "Vacant")</f>
        <v>3</v>
      </c>
      <c r="K10" s="18">
        <f>COUNTIFS(Table_Tracker[Zone], B10, Table_Tracker[Lock Status], "Common Asset")</f>
        <v>6</v>
      </c>
      <c r="L10" s="18">
        <f>SUMIFS(Table_Tracker[Spare Keys (BMS)], Table_Tracker[Zone], B10)</f>
        <v>44</v>
      </c>
      <c r="M10" s="18">
        <f>SUMIFS(Table_Tracker[Issued Keys], Table_Tracker[Zone], B10)</f>
        <v>15</v>
      </c>
      <c r="N10" s="18">
        <f>SUMIFS(Table_Tracker[Missing Keys], Table_Tracker[Zone], B10)</f>
        <v>0</v>
      </c>
    </row>
    <row r="11" spans="2:14" ht="18" customHeight="1" x14ac:dyDescent="0.35">
      <c r="B11" s="17" t="s">
        <v>43</v>
      </c>
      <c r="C11" s="18">
        <f>COUNTIF(Table_Tracker[Zone], B11)</f>
        <v>23</v>
      </c>
      <c r="D11" s="18">
        <f>COUNTIFS(Table_Tracker[Zone], B11, Table_Tracker[Lock Type], "Planter")</f>
        <v>10</v>
      </c>
      <c r="E11" s="18">
        <f>COUNTIFS(Table_Tracker[Zone], B11, Table_Tracker[Lock Type], "Cupboard")</f>
        <v>5</v>
      </c>
      <c r="F11" s="18">
        <f>COUNTIFS(Table_Tracker[Zone], B11, Table_Tracker[Lock Type], "Locker")</f>
        <v>0</v>
      </c>
      <c r="G11" s="18">
        <f>COUNTIFS(Table_Tracker[Zone], B11, Table_Tracker[Lock Type], "Cabinet")</f>
        <v>1</v>
      </c>
      <c r="H11" s="18">
        <f>COUNTIFS(Table_Tracker[Zone], B11, Table_Tracker[Lock Type], "Door")</f>
        <v>7</v>
      </c>
      <c r="I11" s="18">
        <f>COUNTIFS(Table_Tracker[Zone], B11, Table_Tracker[Lock Status], "Occupied")</f>
        <v>10</v>
      </c>
      <c r="J11" s="18">
        <f>COUNTIFS(Table_Tracker[Zone], B11, Table_Tracker[Lock Status], "Vacant")</f>
        <v>3</v>
      </c>
      <c r="K11" s="18">
        <f>COUNTIFS(Table_Tracker[Zone], B11, Table_Tracker[Lock Status], "Common Asset")</f>
        <v>9</v>
      </c>
      <c r="L11" s="18">
        <f>SUMIFS(Table_Tracker[Spare Keys (BMS)], Table_Tracker[Zone], B11)</f>
        <v>43</v>
      </c>
      <c r="M11" s="18">
        <f>SUMIFS(Table_Tracker[Issued Keys], Table_Tracker[Zone], B11)</f>
        <v>4</v>
      </c>
      <c r="N11" s="18">
        <f>SUMIFS(Table_Tracker[Missing Keys], Table_Tracker[Zone], B11)</f>
        <v>4</v>
      </c>
    </row>
    <row r="12" spans="2:14" ht="18" customHeight="1" x14ac:dyDescent="0.35">
      <c r="B12" s="17" t="s">
        <v>45</v>
      </c>
      <c r="C12" s="18">
        <f>COUNTIF(Table_Tracker[Zone], B12)</f>
        <v>21</v>
      </c>
      <c r="D12" s="18">
        <f>COUNTIFS(Table_Tracker[Zone], B12, Table_Tracker[Lock Type], "Planter")</f>
        <v>14</v>
      </c>
      <c r="E12" s="18">
        <f>COUNTIFS(Table_Tracker[Zone], B12, Table_Tracker[Lock Type], "Cupboard")</f>
        <v>4</v>
      </c>
      <c r="F12" s="18">
        <f>COUNTIFS(Table_Tracker[Zone], B12, Table_Tracker[Lock Type], "Locker")</f>
        <v>0</v>
      </c>
      <c r="G12" s="18">
        <f>COUNTIFS(Table_Tracker[Zone], B12, Table_Tracker[Lock Type], "Cabinet")</f>
        <v>1</v>
      </c>
      <c r="H12" s="18">
        <f>COUNTIFS(Table_Tracker[Zone], B12, Table_Tracker[Lock Type], "Door")</f>
        <v>2</v>
      </c>
      <c r="I12" s="18">
        <f>COUNTIFS(Table_Tracker[Zone], B12, Table_Tracker[Lock Status], "Occupied")</f>
        <v>12</v>
      </c>
      <c r="J12" s="18">
        <f>COUNTIFS(Table_Tracker[Zone], B12, Table_Tracker[Lock Status], "Vacant")</f>
        <v>0</v>
      </c>
      <c r="K12" s="18">
        <f>COUNTIFS(Table_Tracker[Zone], B12, Table_Tracker[Lock Status], "Common Asset")</f>
        <v>4</v>
      </c>
      <c r="L12" s="18">
        <f>SUMIFS(Table_Tracker[Spare Keys (BMS)], Table_Tracker[Zone], B12)</f>
        <v>20</v>
      </c>
      <c r="M12" s="18">
        <f>SUMIFS(Table_Tracker[Issued Keys], Table_Tracker[Zone], B12)</f>
        <v>9</v>
      </c>
      <c r="N12" s="18">
        <f>SUMIFS(Table_Tracker[Missing Keys], Table_Tracker[Zone], B12)</f>
        <v>14</v>
      </c>
    </row>
    <row r="13" spans="2:14" ht="18" customHeight="1" x14ac:dyDescent="0.35">
      <c r="B13" s="17" t="s">
        <v>47</v>
      </c>
      <c r="C13" s="18">
        <f>COUNTIF(Table_Tracker[Zone], B13)</f>
        <v>53</v>
      </c>
      <c r="D13" s="18">
        <f>COUNTIFS(Table_Tracker[Zone], B13, Table_Tracker[Lock Type], "Planter")</f>
        <v>35</v>
      </c>
      <c r="E13" s="18">
        <f>COUNTIFS(Table_Tracker[Zone], B13, Table_Tracker[Lock Type], "Cupboard")</f>
        <v>10</v>
      </c>
      <c r="F13" s="18">
        <f>COUNTIFS(Table_Tracker[Zone], B13, Table_Tracker[Lock Type], "Locker")</f>
        <v>0</v>
      </c>
      <c r="G13" s="18">
        <f>COUNTIFS(Table_Tracker[Zone], B13, Table_Tracker[Lock Type], "Cabinet")</f>
        <v>1</v>
      </c>
      <c r="H13" s="18">
        <f>COUNTIFS(Table_Tracker[Zone], B13, Table_Tracker[Lock Type], "Door")</f>
        <v>7</v>
      </c>
      <c r="I13" s="18">
        <f>COUNTIFS(Table_Tracker[Zone], B13, Table_Tracker[Lock Status], "Occupied")</f>
        <v>39</v>
      </c>
      <c r="J13" s="18">
        <f>COUNTIFS(Table_Tracker[Zone], B13, Table_Tracker[Lock Status], "Vacant")</f>
        <v>5</v>
      </c>
      <c r="K13" s="18">
        <f>COUNTIFS(Table_Tracker[Zone], B13, Table_Tracker[Lock Status], "Common Asset")</f>
        <v>8</v>
      </c>
      <c r="L13" s="18">
        <f>SUMIFS(Table_Tracker[Spare Keys (BMS)], Table_Tracker[Zone], B13)</f>
        <v>88</v>
      </c>
      <c r="M13" s="18">
        <f>SUMIFS(Table_Tracker[Issued Keys], Table_Tracker[Zone], B13)</f>
        <v>17</v>
      </c>
      <c r="N13" s="18">
        <f>SUMIFS(Table_Tracker[Missing Keys], Table_Tracker[Zone], B13)</f>
        <v>10</v>
      </c>
    </row>
    <row r="14" spans="2:14" ht="18" customHeight="1" x14ac:dyDescent="0.35">
      <c r="B14" s="17" t="s">
        <v>49</v>
      </c>
      <c r="C14" s="18">
        <f>COUNTIF(Table_Tracker[Zone], B14)</f>
        <v>32</v>
      </c>
      <c r="D14" s="18">
        <f>COUNTIFS(Table_Tracker[Zone], B14, Table_Tracker[Lock Type], "Planter")</f>
        <v>18</v>
      </c>
      <c r="E14" s="18">
        <f>COUNTIFS(Table_Tracker[Zone], B14, Table_Tracker[Lock Type], "Cupboard")</f>
        <v>7</v>
      </c>
      <c r="F14" s="18">
        <f>COUNTIFS(Table_Tracker[Zone], B14, Table_Tracker[Lock Type], "Locker")</f>
        <v>0</v>
      </c>
      <c r="G14" s="18">
        <f>COUNTIFS(Table_Tracker[Zone], B14, Table_Tracker[Lock Type], "Cabinet")</f>
        <v>1</v>
      </c>
      <c r="H14" s="18">
        <f>COUNTIFS(Table_Tracker[Zone], B14, Table_Tracker[Lock Type], "Door")</f>
        <v>6</v>
      </c>
      <c r="I14" s="18">
        <f>COUNTIFS(Table_Tracker[Zone], B14, Table_Tracker[Lock Status], "Occupied")</f>
        <v>18</v>
      </c>
      <c r="J14" s="18">
        <f>COUNTIFS(Table_Tracker[Zone], B14, Table_Tracker[Lock Status], "Vacant")</f>
        <v>7</v>
      </c>
      <c r="K14" s="18">
        <f>COUNTIFS(Table_Tracker[Zone], B14, Table_Tracker[Lock Status], "Common Asset")</f>
        <v>6</v>
      </c>
      <c r="L14" s="18">
        <f>SUMIFS(Table_Tracker[Spare Keys (BMS)], Table_Tracker[Zone], B14)</f>
        <v>45</v>
      </c>
      <c r="M14" s="18">
        <f>SUMIFS(Table_Tracker[Issued Keys], Table_Tracker[Zone], B14)</f>
        <v>7</v>
      </c>
      <c r="N14" s="18">
        <f>SUMIFS(Table_Tracker[Missing Keys], Table_Tracker[Zone], B14)</f>
        <v>17</v>
      </c>
    </row>
    <row r="15" spans="2:14" ht="18" customHeight="1" x14ac:dyDescent="0.35">
      <c r="B15" s="17" t="s">
        <v>51</v>
      </c>
      <c r="C15" s="18">
        <f>COUNTIF(Table_Tracker[Zone], B15)</f>
        <v>11</v>
      </c>
      <c r="D15" s="18">
        <f>COUNTIFS(Table_Tracker[Zone], B15, Table_Tracker[Lock Type], "Planter")</f>
        <v>0</v>
      </c>
      <c r="E15" s="18">
        <f>COUNTIFS(Table_Tracker[Zone], B15, Table_Tracker[Lock Type], "Cupboard")</f>
        <v>0</v>
      </c>
      <c r="F15" s="18">
        <f>COUNTIFS(Table_Tracker[Zone], B15, Table_Tracker[Lock Type], "Locker")</f>
        <v>0</v>
      </c>
      <c r="G15" s="18">
        <f>COUNTIFS(Table_Tracker[Zone], B15, Table_Tracker[Lock Type], "Cabinet")</f>
        <v>5</v>
      </c>
      <c r="H15" s="18">
        <f>COUNTIFS(Table_Tracker[Zone], B15, Table_Tracker[Lock Type], "Door")</f>
        <v>5</v>
      </c>
      <c r="I15" s="18">
        <f>COUNTIFS(Table_Tracker[Zone], B15, Table_Tracker[Lock Status], "Occupied")</f>
        <v>5</v>
      </c>
      <c r="J15" s="18">
        <f>COUNTIFS(Table_Tracker[Zone], B15, Table_Tracker[Lock Status], "Vacant")</f>
        <v>0</v>
      </c>
      <c r="K15" s="18">
        <f>COUNTIFS(Table_Tracker[Zone], B15, Table_Tracker[Lock Status], "Common Asset")</f>
        <v>5</v>
      </c>
      <c r="L15" s="18">
        <f>SUMIFS(Table_Tracker[Spare Keys (BMS)], Table_Tracker[Zone], B15)</f>
        <v>19</v>
      </c>
      <c r="M15" s="18">
        <f>SUMIFS(Table_Tracker[Issued Keys], Table_Tracker[Zone], B15)</f>
        <v>1</v>
      </c>
      <c r="N15" s="18">
        <f>SUMIFS(Table_Tracker[Missing Keys], Table_Tracker[Zone], B15)</f>
        <v>3</v>
      </c>
    </row>
    <row r="16" spans="2:14" ht="18" customHeight="1" x14ac:dyDescent="0.35">
      <c r="B16" s="17" t="s">
        <v>52</v>
      </c>
      <c r="C16" s="18">
        <f>COUNTIF(Table_Tracker[Zone], B16)</f>
        <v>2</v>
      </c>
      <c r="D16" s="18">
        <f>COUNTIFS(Table_Tracker[Zone], B16, Table_Tracker[Lock Type], "Planter")</f>
        <v>0</v>
      </c>
      <c r="E16" s="18">
        <f>COUNTIFS(Table_Tracker[Zone], B16, Table_Tracker[Lock Type], "Cupboard")</f>
        <v>1</v>
      </c>
      <c r="F16" s="18">
        <f>COUNTIFS(Table_Tracker[Zone], B16, Table_Tracker[Lock Type], "Locker")</f>
        <v>0</v>
      </c>
      <c r="G16" s="18">
        <f>COUNTIFS(Table_Tracker[Zone], B16, Table_Tracker[Lock Type], "Cabinet")</f>
        <v>0</v>
      </c>
      <c r="H16" s="18">
        <f>COUNTIFS(Table_Tracker[Zone], B16, Table_Tracker[Lock Type], "Door")</f>
        <v>1</v>
      </c>
      <c r="I16" s="18">
        <f>COUNTIFS(Table_Tracker[Zone], B16, Table_Tracker[Lock Status], "Occupied")</f>
        <v>1</v>
      </c>
      <c r="J16" s="18">
        <f>COUNTIFS(Table_Tracker[Zone], B16, Table_Tracker[Lock Status], "Vacant")</f>
        <v>0</v>
      </c>
      <c r="K16" s="18">
        <f>COUNTIFS(Table_Tracker[Zone], B16, Table_Tracker[Lock Status], "Common Asset")</f>
        <v>1</v>
      </c>
      <c r="L16" s="18">
        <f>SUMIFS(Table_Tracker[Spare Keys (BMS)], Table_Tracker[Zone], B16)</f>
        <v>4</v>
      </c>
      <c r="M16" s="18">
        <f>SUMIFS(Table_Tracker[Issued Keys], Table_Tracker[Zone], B16)</f>
        <v>1</v>
      </c>
      <c r="N16" s="18">
        <f>SUMIFS(Table_Tracker[Missing Keys], Table_Tracker[Zone], B16)</f>
        <v>0</v>
      </c>
    </row>
    <row r="17" spans="2:14" ht="18" customHeight="1" x14ac:dyDescent="0.35">
      <c r="B17" s="17" t="s">
        <v>54</v>
      </c>
      <c r="C17" s="18">
        <f>COUNTIF(Table_Tracker[Zone], B17)</f>
        <v>5</v>
      </c>
      <c r="D17" s="18">
        <f>COUNTIFS(Table_Tracker[Zone], B17, Table_Tracker[Lock Type], "Planter")</f>
        <v>0</v>
      </c>
      <c r="E17" s="18">
        <f>COUNTIFS(Table_Tracker[Zone], B17, Table_Tracker[Lock Type], "Cupboard")</f>
        <v>0</v>
      </c>
      <c r="F17" s="18">
        <f>COUNTIFS(Table_Tracker[Zone], B17, Table_Tracker[Lock Type], "Locker")</f>
        <v>0</v>
      </c>
      <c r="G17" s="18">
        <f>COUNTIFS(Table_Tracker[Zone], B17, Table_Tracker[Lock Type], "Cabinet")</f>
        <v>0</v>
      </c>
      <c r="H17" s="18">
        <f>COUNTIFS(Table_Tracker[Zone], B17, Table_Tracker[Lock Type], "Door")</f>
        <v>5</v>
      </c>
      <c r="I17" s="18">
        <f>COUNTIFS(Table_Tracker[Zone], B17, Table_Tracker[Lock Status], "Occupied")</f>
        <v>0</v>
      </c>
      <c r="J17" s="18">
        <f>COUNTIFS(Table_Tracker[Zone], B17, Table_Tracker[Lock Status], "Vacant")</f>
        <v>0</v>
      </c>
      <c r="K17" s="18">
        <f>COUNTIFS(Table_Tracker[Zone], B17, Table_Tracker[Lock Status], "Common Asset")</f>
        <v>5</v>
      </c>
      <c r="L17" s="18">
        <f>SUMIFS(Table_Tracker[Spare Keys (BMS)], Table_Tracker[Zone], B17)</f>
        <v>5</v>
      </c>
      <c r="M17" s="18">
        <f>SUMIFS(Table_Tracker[Issued Keys], Table_Tracker[Zone], B17)</f>
        <v>0</v>
      </c>
      <c r="N17" s="18">
        <f>SUMIFS(Table_Tracker[Missing Keys], Table_Tracker[Zone], B17)</f>
        <v>6</v>
      </c>
    </row>
    <row r="18" spans="2:14" ht="18" customHeight="1" x14ac:dyDescent="0.35">
      <c r="B18" s="17" t="s">
        <v>59</v>
      </c>
      <c r="C18" s="18">
        <f>COUNTIF(Table_Tracker[Zone], B18)</f>
        <v>0</v>
      </c>
      <c r="D18" s="18">
        <f>COUNTIFS(Table_Tracker[Zone], B18, Table_Tracker[Lock Type], "Planter")</f>
        <v>0</v>
      </c>
      <c r="E18" s="18">
        <f>COUNTIFS(Table_Tracker[Zone], B18, Table_Tracker[Lock Type], "Cupboard")</f>
        <v>0</v>
      </c>
      <c r="F18" s="18">
        <f>COUNTIFS(Table_Tracker[Zone], B18, Table_Tracker[Lock Type], "Locker")</f>
        <v>0</v>
      </c>
      <c r="G18" s="18">
        <f>COUNTIFS(Table_Tracker[Zone], B18, Table_Tracker[Lock Type], "Cabinet")</f>
        <v>0</v>
      </c>
      <c r="H18" s="18">
        <f>COUNTIFS(Table_Tracker[Zone], B18, Table_Tracker[Lock Type], "Door")</f>
        <v>0</v>
      </c>
      <c r="I18" s="18">
        <f>COUNTIFS(Table_Tracker[Zone], B18, Table_Tracker[Lock Status], "Occupied")</f>
        <v>0</v>
      </c>
      <c r="J18" s="18">
        <f>COUNTIFS(Table_Tracker[Zone], B18, Table_Tracker[Lock Status], "Vacant")</f>
        <v>0</v>
      </c>
      <c r="K18" s="18">
        <f>COUNTIFS(Table_Tracker[Zone], B18, Table_Tracker[Lock Status], "Common Asset")</f>
        <v>0</v>
      </c>
      <c r="L18" s="18">
        <f>SUMIFS(Table_Tracker[Spare Keys (BMS)], Table_Tracker[Zone], B18)</f>
        <v>0</v>
      </c>
      <c r="M18" s="18">
        <f>SUMIFS(Table_Tracker[Issued Keys], Table_Tracker[Zone], B18)</f>
        <v>0</v>
      </c>
      <c r="N18" s="18">
        <f>SUMIFS(Table_Tracker[Missing Keys], Table_Tracker[Zone], B18)</f>
        <v>0</v>
      </c>
    </row>
    <row r="19" spans="2:14" ht="18" customHeight="1" x14ac:dyDescent="0.35">
      <c r="B19" s="17" t="s">
        <v>63</v>
      </c>
      <c r="C19" s="18">
        <f>COUNTIF(Table_Tracker[Zone], B19)</f>
        <v>22</v>
      </c>
      <c r="D19" s="18">
        <f>COUNTIFS(Table_Tracker[Zone], B19, Table_Tracker[Lock Type], "Planter")</f>
        <v>0</v>
      </c>
      <c r="E19" s="18">
        <f>COUNTIFS(Table_Tracker[Zone], B19, Table_Tracker[Lock Type], "Cupboard")</f>
        <v>0</v>
      </c>
      <c r="F19" s="18">
        <f>COUNTIFS(Table_Tracker[Zone], B19, Table_Tracker[Lock Type], "Locker")</f>
        <v>21</v>
      </c>
      <c r="G19" s="18">
        <f>COUNTIFS(Table_Tracker[Zone], B19, Table_Tracker[Lock Type], "Cabinet")</f>
        <v>1</v>
      </c>
      <c r="H19" s="18">
        <f>COUNTIFS(Table_Tracker[Zone], B19, Table_Tracker[Lock Type], "Door")</f>
        <v>0</v>
      </c>
      <c r="I19" s="18">
        <f>COUNTIFS(Table_Tracker[Zone], B19, Table_Tracker[Lock Status], "Occupied")</f>
        <v>19</v>
      </c>
      <c r="J19" s="18">
        <f>COUNTIFS(Table_Tracker[Zone], B19, Table_Tracker[Lock Status], "Vacant")</f>
        <v>3</v>
      </c>
      <c r="K19" s="18">
        <f>COUNTIFS(Table_Tracker[Zone], B19, Table_Tracker[Lock Status], "Common Asset")</f>
        <v>0</v>
      </c>
      <c r="L19" s="18">
        <f>SUMIFS(Table_Tracker[Spare Keys (BMS)], Table_Tracker[Zone], B19)</f>
        <v>21</v>
      </c>
      <c r="M19" s="18">
        <f>SUMIFS(Table_Tracker[Issued Keys], Table_Tracker[Zone], B19)</f>
        <v>12</v>
      </c>
      <c r="N19" s="18">
        <f>SUMIFS(Table_Tracker[Missing Keys], Table_Tracker[Zone], B19)</f>
        <v>11</v>
      </c>
    </row>
    <row r="20" spans="2:14" ht="18" customHeight="1" x14ac:dyDescent="0.35">
      <c r="B20" s="17" t="s">
        <v>66</v>
      </c>
      <c r="C20" s="18">
        <f>COUNTIF(Table_Tracker[Zone], B20)</f>
        <v>1</v>
      </c>
      <c r="D20" s="18">
        <f>COUNTIFS(Table_Tracker[Zone], B20, Table_Tracker[Lock Type], "Planter")</f>
        <v>0</v>
      </c>
      <c r="E20" s="18">
        <f>COUNTIFS(Table_Tracker[Zone], B20, Table_Tracker[Lock Type], "Cupboard")</f>
        <v>0</v>
      </c>
      <c r="F20" s="18">
        <f>COUNTIFS(Table_Tracker[Zone], B20, Table_Tracker[Lock Type], "Locker")</f>
        <v>0</v>
      </c>
      <c r="G20" s="18">
        <f>COUNTIFS(Table_Tracker[Zone], B20, Table_Tracker[Lock Type], "Cabinet")</f>
        <v>0</v>
      </c>
      <c r="H20" s="18">
        <f>COUNTIFS(Table_Tracker[Zone], B20, Table_Tracker[Lock Type], "Door")</f>
        <v>1</v>
      </c>
      <c r="I20" s="18">
        <f>COUNTIFS(Table_Tracker[Zone], B20, Table_Tracker[Lock Status], "Occupied")</f>
        <v>0</v>
      </c>
      <c r="J20" s="18">
        <f>COUNTIFS(Table_Tracker[Zone], B20, Table_Tracker[Lock Status], "Vacant")</f>
        <v>0</v>
      </c>
      <c r="K20" s="18">
        <f>COUNTIFS(Table_Tracker[Zone], B20, Table_Tracker[Lock Status], "Common Asset")</f>
        <v>1</v>
      </c>
      <c r="L20" s="18">
        <f>SUMIFS(Table_Tracker[Spare Keys (BMS)], Table_Tracker[Zone], B20)</f>
        <v>5</v>
      </c>
      <c r="M20" s="18">
        <f>SUMIFS(Table_Tracker[Issued Keys], Table_Tracker[Zone], B20)</f>
        <v>0</v>
      </c>
      <c r="N20" s="18">
        <f>SUMIFS(Table_Tracker[Missing Keys], Table_Tracker[Zone], B20)</f>
        <v>0</v>
      </c>
    </row>
    <row r="21" spans="2:14" ht="18" customHeight="1" x14ac:dyDescent="0.35">
      <c r="B21" s="17" t="s">
        <v>69</v>
      </c>
      <c r="C21" s="18">
        <f>COUNTIF(Table_Tracker[Zone], B21)</f>
        <v>1</v>
      </c>
      <c r="D21" s="18">
        <f>COUNTIFS(Table_Tracker[Zone], B21, Table_Tracker[Lock Type], "Planter")</f>
        <v>0</v>
      </c>
      <c r="E21" s="18">
        <f>COUNTIFS(Table_Tracker[Zone], B21, Table_Tracker[Lock Type], "Cupboard")</f>
        <v>0</v>
      </c>
      <c r="F21" s="18">
        <f>COUNTIFS(Table_Tracker[Zone], B21, Table_Tracker[Lock Type], "Locker")</f>
        <v>0</v>
      </c>
      <c r="G21" s="18">
        <f>COUNTIFS(Table_Tracker[Zone], B21, Table_Tracker[Lock Type], "Cabinet")</f>
        <v>0</v>
      </c>
      <c r="H21" s="18">
        <f>COUNTIFS(Table_Tracker[Zone], B21, Table_Tracker[Lock Type], "Door")</f>
        <v>1</v>
      </c>
      <c r="I21" s="18">
        <f>COUNTIFS(Table_Tracker[Zone], B21, Table_Tracker[Lock Status], "Occupied")</f>
        <v>0</v>
      </c>
      <c r="J21" s="18">
        <f>COUNTIFS(Table_Tracker[Zone], B21, Table_Tracker[Lock Status], "Vacant")</f>
        <v>0</v>
      </c>
      <c r="K21" s="18">
        <f>COUNTIFS(Table_Tracker[Zone], B21, Table_Tracker[Lock Status], "Common Asset")</f>
        <v>1</v>
      </c>
      <c r="L21" s="18">
        <f>SUMIFS(Table_Tracker[Spare Keys (BMS)], Table_Tracker[Zone], B21)</f>
        <v>6</v>
      </c>
      <c r="M21" s="18">
        <f>SUMIFS(Table_Tracker[Issued Keys], Table_Tracker[Zone], B21)</f>
        <v>0</v>
      </c>
      <c r="N21" s="18">
        <f>SUMIFS(Table_Tracker[Missing Keys], Table_Tracker[Zone], B21)</f>
        <v>3</v>
      </c>
    </row>
    <row r="22" spans="2:14" ht="18" customHeight="1" x14ac:dyDescent="0.35">
      <c r="B22" s="17" t="s">
        <v>73</v>
      </c>
      <c r="C22" s="18">
        <f>COUNTIF(Table_Tracker[Zone], B22)</f>
        <v>1</v>
      </c>
      <c r="D22" s="18">
        <f>COUNTIFS(Table_Tracker[Zone], B22, Table_Tracker[Lock Type], "Planter")</f>
        <v>0</v>
      </c>
      <c r="E22" s="18">
        <f>COUNTIFS(Table_Tracker[Zone], B22, Table_Tracker[Lock Type], "Cupboard")</f>
        <v>0</v>
      </c>
      <c r="F22" s="18">
        <f>COUNTIFS(Table_Tracker[Zone], B22, Table_Tracker[Lock Type], "Locker")</f>
        <v>0</v>
      </c>
      <c r="G22" s="18">
        <f>COUNTIFS(Table_Tracker[Zone], B22, Table_Tracker[Lock Type], "Cabinet")</f>
        <v>0</v>
      </c>
      <c r="H22" s="18">
        <f>COUNTIFS(Table_Tracker[Zone], B22, Table_Tracker[Lock Type], "Door")</f>
        <v>1</v>
      </c>
      <c r="I22" s="18">
        <f>COUNTIFS(Table_Tracker[Zone], B22, Table_Tracker[Lock Status], "Occupied")</f>
        <v>0</v>
      </c>
      <c r="J22" s="18">
        <f>COUNTIFS(Table_Tracker[Zone], B22, Table_Tracker[Lock Status], "Vacant")</f>
        <v>0</v>
      </c>
      <c r="K22" s="18">
        <f>COUNTIFS(Table_Tracker[Zone], B22, Table_Tracker[Lock Status], "Common Asset")</f>
        <v>1</v>
      </c>
      <c r="L22" s="18">
        <f>SUMIFS(Table_Tracker[Spare Keys (BMS)], Table_Tracker[Zone], B22)</f>
        <v>4</v>
      </c>
      <c r="M22" s="18">
        <f>SUMIFS(Table_Tracker[Issued Keys], Table_Tracker[Zone], B22)</f>
        <v>0</v>
      </c>
      <c r="N22" s="18">
        <f>SUMIFS(Table_Tracker[Missing Keys], Table_Tracker[Zone], B22)</f>
        <v>0</v>
      </c>
    </row>
    <row r="23" spans="2:14" ht="20.149999999999999" customHeight="1" x14ac:dyDescent="0.35">
      <c r="B23" s="19" t="s">
        <v>378</v>
      </c>
      <c r="C23" s="20">
        <f t="shared" ref="C23:N23" si="0">SUM(C9:C22)</f>
        <v>244</v>
      </c>
      <c r="D23" s="20">
        <f t="shared" si="0"/>
        <v>109</v>
      </c>
      <c r="E23" s="20">
        <f t="shared" si="0"/>
        <v>44</v>
      </c>
      <c r="F23" s="20">
        <f t="shared" si="0"/>
        <v>21</v>
      </c>
      <c r="G23" s="20">
        <f t="shared" si="0"/>
        <v>20</v>
      </c>
      <c r="H23" s="20">
        <f t="shared" si="0"/>
        <v>49</v>
      </c>
      <c r="I23" s="20">
        <f t="shared" si="0"/>
        <v>160</v>
      </c>
      <c r="J23" s="20">
        <f t="shared" si="0"/>
        <v>21</v>
      </c>
      <c r="K23" s="20">
        <f t="shared" si="0"/>
        <v>54</v>
      </c>
      <c r="L23" s="20">
        <f t="shared" si="0"/>
        <v>372</v>
      </c>
      <c r="M23" s="20">
        <f t="shared" si="0"/>
        <v>95</v>
      </c>
      <c r="N23" s="20">
        <f t="shared" si="0"/>
        <v>68</v>
      </c>
    </row>
  </sheetData>
  <mergeCells count="3">
    <mergeCell ref="B5:N5"/>
    <mergeCell ref="B4:N4"/>
    <mergeCell ref="B7:N7"/>
  </mergeCells>
  <hyperlinks>
    <hyperlink ref="B2" location="'📊 Dashboard'!A1" display="📊 Executive Dashboard" xr:uid="{00000000-0004-0000-0300-000000000000}"/>
    <hyperlink ref="E2" location="'🔐 Master Tracker'!A1" display="🔐 Master Key Tracker" xr:uid="{00000000-0004-0000-0300-000001000000}"/>
    <hyperlink ref="G2" location="'⚠️ Action &amp; Audit List'!A1" display="⚠️ Action &amp; Audit List" xr:uid="{00000000-0004-0000-0300-000002000000}"/>
    <hyperlink ref="I2" location="'📈 Zone Breakdown'!A1" display="📈 Zone Breakdown" xr:uid="{00000000-0004-0000-0300-000003000000}"/>
    <hyperlink ref="L2" location="'⚙️ Master Lists'!A1" display="⚙️ Master Lists &amp; Config" xr:uid="{00000000-0004-0000-0300-000004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55A64"/>
  </sheetPr>
  <dimension ref="A2:K19"/>
  <sheetViews>
    <sheetView workbookViewId="0">
      <selection activeCell="A2" sqref="A2"/>
    </sheetView>
  </sheetViews>
  <sheetFormatPr defaultRowHeight="14.5" x14ac:dyDescent="0.35"/>
  <cols>
    <col min="1" max="1" width="24.7265625" customWidth="1"/>
    <col min="2" max="2" width="3.7265625" customWidth="1"/>
    <col min="3" max="3" width="18.7265625" customWidth="1"/>
    <col min="4" max="4" width="3.7265625" customWidth="1"/>
    <col min="5" max="5" width="24.7265625" customWidth="1"/>
    <col min="6" max="6" width="3.7265625" customWidth="1"/>
    <col min="7" max="7" width="20.7265625" customWidth="1"/>
    <col min="8" max="8" width="3.7265625" customWidth="1"/>
    <col min="9" max="9" width="18.7265625" customWidth="1"/>
    <col min="10" max="10" width="3.7265625" customWidth="1"/>
    <col min="11" max="11" width="20.7265625" customWidth="1"/>
  </cols>
  <sheetData>
    <row r="2" spans="1:11" ht="28" customHeight="1" x14ac:dyDescent="0.35">
      <c r="A2" s="2" t="s">
        <v>0</v>
      </c>
      <c r="B2" s="15"/>
      <c r="C2" s="2" t="s">
        <v>1</v>
      </c>
      <c r="D2" s="15"/>
      <c r="E2" s="2" t="s">
        <v>2</v>
      </c>
      <c r="F2" s="15"/>
      <c r="G2" s="2" t="s">
        <v>3</v>
      </c>
      <c r="H2" s="15"/>
      <c r="I2" s="1" t="s">
        <v>4</v>
      </c>
      <c r="J2" s="15"/>
      <c r="K2" s="15"/>
    </row>
    <row r="4" spans="1:11" ht="25" customHeight="1" x14ac:dyDescent="0.35">
      <c r="A4" s="69" t="s">
        <v>379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ht="16" customHeight="1" x14ac:dyDescent="0.35">
      <c r="A5" s="3" t="s">
        <v>380</v>
      </c>
      <c r="B5" s="15"/>
      <c r="C5" s="3" t="s">
        <v>381</v>
      </c>
      <c r="D5" s="15"/>
      <c r="E5" s="3" t="s">
        <v>382</v>
      </c>
      <c r="F5" s="15"/>
      <c r="G5" s="3" t="s">
        <v>383</v>
      </c>
      <c r="H5" s="15"/>
      <c r="I5" s="3" t="s">
        <v>384</v>
      </c>
      <c r="J5" s="15"/>
      <c r="K5" s="3" t="s">
        <v>385</v>
      </c>
    </row>
    <row r="6" spans="1:11" ht="16" customHeight="1" x14ac:dyDescent="0.35">
      <c r="A6" s="4" t="s">
        <v>39</v>
      </c>
      <c r="B6" s="15"/>
      <c r="C6" s="4" t="s">
        <v>27</v>
      </c>
      <c r="D6" s="15"/>
      <c r="E6" s="4" t="s">
        <v>137</v>
      </c>
      <c r="F6" s="15"/>
      <c r="G6" s="4" t="s">
        <v>34</v>
      </c>
      <c r="H6" s="15"/>
      <c r="I6" s="4" t="s">
        <v>94</v>
      </c>
      <c r="J6" s="15"/>
      <c r="K6" s="4" t="s">
        <v>330</v>
      </c>
    </row>
    <row r="7" spans="1:11" ht="16" customHeight="1" x14ac:dyDescent="0.35">
      <c r="A7" s="4" t="s">
        <v>41</v>
      </c>
      <c r="B7" s="15"/>
      <c r="C7" s="4" t="s">
        <v>28</v>
      </c>
      <c r="D7" s="15"/>
      <c r="E7" s="4" t="s">
        <v>63</v>
      </c>
      <c r="F7" s="15"/>
      <c r="G7" s="4" t="s">
        <v>35</v>
      </c>
      <c r="H7" s="15"/>
      <c r="I7" s="4" t="s">
        <v>108</v>
      </c>
      <c r="J7" s="15"/>
      <c r="K7" s="4" t="s">
        <v>386</v>
      </c>
    </row>
    <row r="8" spans="1:11" ht="16" customHeight="1" x14ac:dyDescent="0.35">
      <c r="A8" s="4" t="s">
        <v>43</v>
      </c>
      <c r="B8" s="15"/>
      <c r="C8" s="4" t="s">
        <v>30</v>
      </c>
      <c r="D8" s="15"/>
      <c r="E8" s="4" t="s">
        <v>316</v>
      </c>
      <c r="F8" s="15"/>
      <c r="G8" s="4" t="s">
        <v>261</v>
      </c>
      <c r="H8" s="15"/>
      <c r="I8" s="4" t="s">
        <v>387</v>
      </c>
      <c r="J8" s="15"/>
      <c r="K8" s="4" t="s">
        <v>388</v>
      </c>
    </row>
    <row r="9" spans="1:11" ht="16" customHeight="1" x14ac:dyDescent="0.35">
      <c r="A9" s="4" t="s">
        <v>45</v>
      </c>
      <c r="B9" s="15"/>
      <c r="C9" s="4" t="s">
        <v>29</v>
      </c>
      <c r="D9" s="15"/>
      <c r="E9" s="4" t="s">
        <v>233</v>
      </c>
      <c r="F9" s="15"/>
      <c r="G9" s="4" t="s">
        <v>187</v>
      </c>
      <c r="H9" s="15"/>
      <c r="I9" s="15"/>
      <c r="J9" s="15"/>
      <c r="K9" s="15"/>
    </row>
    <row r="10" spans="1:11" ht="16" customHeight="1" x14ac:dyDescent="0.35">
      <c r="A10" s="4" t="s">
        <v>47</v>
      </c>
      <c r="B10" s="15"/>
      <c r="C10" s="4" t="s">
        <v>31</v>
      </c>
      <c r="D10" s="15"/>
      <c r="E10" s="4" t="s">
        <v>389</v>
      </c>
      <c r="F10" s="15"/>
      <c r="G10" s="15"/>
      <c r="H10" s="15"/>
      <c r="I10" s="15"/>
      <c r="J10" s="15"/>
      <c r="K10" s="15"/>
    </row>
    <row r="11" spans="1:11" ht="16" customHeight="1" x14ac:dyDescent="0.35">
      <c r="A11" s="4" t="s">
        <v>49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</row>
    <row r="12" spans="1:11" ht="16" customHeight="1" x14ac:dyDescent="0.35">
      <c r="A12" s="4" t="s">
        <v>51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</row>
    <row r="13" spans="1:11" ht="16" customHeight="1" x14ac:dyDescent="0.35">
      <c r="A13" s="4" t="s">
        <v>52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</row>
    <row r="14" spans="1:11" ht="16" customHeight="1" x14ac:dyDescent="0.35">
      <c r="A14" s="4" t="s">
        <v>54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5" spans="1:11" ht="16" customHeight="1" x14ac:dyDescent="0.35">
      <c r="A15" s="4" t="s">
        <v>59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</row>
    <row r="16" spans="1:11" ht="16" customHeight="1" x14ac:dyDescent="0.35">
      <c r="A16" s="4" t="s">
        <v>63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spans="1:1" ht="16" customHeight="1" x14ac:dyDescent="0.35">
      <c r="A17" s="4" t="s">
        <v>66</v>
      </c>
    </row>
    <row r="18" spans="1:1" ht="16" customHeight="1" x14ac:dyDescent="0.35">
      <c r="A18" s="4" t="s">
        <v>69</v>
      </c>
    </row>
    <row r="19" spans="1:1" ht="16" customHeight="1" x14ac:dyDescent="0.35">
      <c r="A19" s="4" t="s">
        <v>73</v>
      </c>
    </row>
  </sheetData>
  <mergeCells count="1">
    <mergeCell ref="A4:K4"/>
  </mergeCells>
  <hyperlinks>
    <hyperlink ref="A2" location="'📊 Dashboard'!A1" display="📊 Executive Dashboard" xr:uid="{00000000-0004-0000-0400-000000000000}"/>
    <hyperlink ref="C2" location="'🔐 Master Tracker'!A1" display="🔐 Master Key Tracker" xr:uid="{00000000-0004-0000-0400-000001000000}"/>
    <hyperlink ref="E2" location="'⚠️ Action &amp; Audit List'!A1" display="⚠️ Action &amp; Audit List" xr:uid="{00000000-0004-0000-0400-000002000000}"/>
    <hyperlink ref="G2" location="'📈 Zone Breakdown'!A1" display="📈 Zone Breakdown" xr:uid="{00000000-0004-0000-0400-000003000000}"/>
    <hyperlink ref="I2" location="'⚙️ Master Lists'!A1" display="⚙️ Master Lists &amp; Config" xr:uid="{00000000-0004-0000-0400-000004000000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24e89f-6132-424b-9c64-0340397f5d20}" enabled="1" method="Privileged" siteId="{0159e9d0-09a0-4edf-96ba-a3deea363c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Dashboard</vt:lpstr>
      <vt:lpstr>🔐 Master Tracker</vt:lpstr>
      <vt:lpstr>⚠️ Action &amp; Audit List</vt:lpstr>
      <vt:lpstr>📈 Zone Breakdown</vt:lpstr>
      <vt:lpstr>⚙️ Master 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Mohanty, Satyabrata @ Gurgaon</cp:lastModifiedBy>
  <cp:revision/>
  <dcterms:created xsi:type="dcterms:W3CDTF">2026-08-18T13:57:14Z</dcterms:created>
  <dcterms:modified xsi:type="dcterms:W3CDTF">2026-09-01T12:36:43Z</dcterms:modified>
  <cp:category/>
  <cp:contentStatus/>
</cp:coreProperties>
</file>
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bre-my.sharepoint.com/personal/satyabrata_mohanty1_cbre_com/Documents/Desktop/Trackers/F&amp;B/"/>
    </mc:Choice>
  </mc:AlternateContent>
  <xr:revisionPtr revIDLastSave="14" documentId="11_55BC607390D4E6A04B84CE404C71342AAC28D4CF" xr6:coauthVersionLast="47" xr6:coauthVersionMax="47" xr10:uidLastSave="{89A4AC8F-10B5-43FE-B12B-4860137D2757}"/>
  <bookViews>
    <workbookView xWindow="0" yWindow="0" windowWidth="19200" windowHeight="11280" firstSheet="1" activeTab="3" xr2:uid="{00000000-000D-0000-FFFF-FFFF00000000}"/>
  </bookViews>
  <sheets>
    <sheet name="Executive Dashboard" sheetId="1" r:id="rId1"/>
    <sheet name="Master Event Tracker" sheetId="2" r:id="rId2"/>
    <sheet name="Monthly Breakdown" sheetId="3" r:id="rId3"/>
    <sheet name="Venue &amp; Vendor Insights" sheetId="4" r:id="rId4"/>
    <sheet name="Lookups &amp; Setting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/>
  <c r="H2" i="5"/>
  <c r="F2" i="5"/>
  <c r="D2" i="5"/>
  <c r="B2" i="5"/>
  <c r="E45" i="4"/>
  <c r="D45" i="4"/>
  <c r="C45" i="4"/>
  <c r="E44" i="4"/>
  <c r="D44" i="4"/>
  <c r="G44" i="4" s="1"/>
  <c r="C44" i="4"/>
  <c r="E43" i="4"/>
  <c r="D43" i="4"/>
  <c r="G43" i="4" s="1"/>
  <c r="C43" i="4"/>
  <c r="E42" i="4"/>
  <c r="D42" i="4"/>
  <c r="C42" i="4"/>
  <c r="E41" i="4"/>
  <c r="D41" i="4"/>
  <c r="G41" i="4" s="1"/>
  <c r="C41" i="4"/>
  <c r="E40" i="4"/>
  <c r="D40" i="4"/>
  <c r="C40" i="4"/>
  <c r="E39" i="4"/>
  <c r="D39" i="4"/>
  <c r="C39" i="4"/>
  <c r="E38" i="4"/>
  <c r="D38" i="4"/>
  <c r="C38" i="4"/>
  <c r="G33" i="4"/>
  <c r="F33" i="4"/>
  <c r="E33" i="4"/>
  <c r="I33" i="4" s="1"/>
  <c r="G32" i="4"/>
  <c r="F32" i="4"/>
  <c r="E32" i="4"/>
  <c r="G31" i="4"/>
  <c r="F31" i="4"/>
  <c r="E31" i="4"/>
  <c r="G30" i="4"/>
  <c r="F30" i="4"/>
  <c r="E30" i="4"/>
  <c r="G29" i="4"/>
  <c r="F29" i="4"/>
  <c r="E29" i="4"/>
  <c r="G28" i="4"/>
  <c r="F28" i="4"/>
  <c r="E28" i="4"/>
  <c r="G27" i="4"/>
  <c r="F27" i="4"/>
  <c r="E27" i="4"/>
  <c r="I27" i="4" s="1"/>
  <c r="G26" i="4"/>
  <c r="F26" i="4"/>
  <c r="E26" i="4"/>
  <c r="G25" i="4"/>
  <c r="F25" i="4"/>
  <c r="E25" i="4"/>
  <c r="G24" i="4"/>
  <c r="F24" i="4"/>
  <c r="E24" i="4"/>
  <c r="I24" i="4" s="1"/>
  <c r="G23" i="4"/>
  <c r="F23" i="4"/>
  <c r="E23" i="4"/>
  <c r="G22" i="4"/>
  <c r="F22" i="4"/>
  <c r="E22" i="4"/>
  <c r="G21" i="4"/>
  <c r="F21" i="4"/>
  <c r="E21" i="4"/>
  <c r="G20" i="4"/>
  <c r="F20" i="4"/>
  <c r="E20" i="4"/>
  <c r="G19" i="4"/>
  <c r="F19" i="4"/>
  <c r="E19" i="4"/>
  <c r="F14" i="4"/>
  <c r="E14" i="4"/>
  <c r="D14" i="4"/>
  <c r="F13" i="4"/>
  <c r="E13" i="4"/>
  <c r="H13" i="4" s="1"/>
  <c r="D13" i="4"/>
  <c r="F12" i="4"/>
  <c r="E12" i="4"/>
  <c r="D12" i="4"/>
  <c r="F11" i="4"/>
  <c r="E11" i="4"/>
  <c r="D11" i="4"/>
  <c r="F10" i="4"/>
  <c r="E10" i="4"/>
  <c r="H10" i="4" s="1"/>
  <c r="D10" i="4"/>
  <c r="F9" i="4"/>
  <c r="E9" i="4"/>
  <c r="D9" i="4"/>
  <c r="J2" i="4"/>
  <c r="H2" i="4"/>
  <c r="F2" i="4"/>
  <c r="D2" i="4"/>
  <c r="B2" i="4"/>
  <c r="I98" i="3"/>
  <c r="J98" i="3" s="1"/>
  <c r="H98" i="3"/>
  <c r="G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I74" i="3"/>
  <c r="H74" i="3"/>
  <c r="G74" i="3"/>
  <c r="J74" i="3" s="1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I51" i="3"/>
  <c r="H51" i="3"/>
  <c r="G51" i="3"/>
  <c r="J51" i="3" s="1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29" i="3"/>
  <c r="I29" i="3"/>
  <c r="H29" i="3"/>
  <c r="G29" i="3"/>
  <c r="J28" i="3"/>
  <c r="J27" i="3"/>
  <c r="J26" i="3"/>
  <c r="J25" i="3"/>
  <c r="J24" i="3"/>
  <c r="J23" i="3"/>
  <c r="J22" i="3"/>
  <c r="J21" i="3"/>
  <c r="J20" i="3"/>
  <c r="J19" i="3"/>
  <c r="E12" i="3"/>
  <c r="D12" i="3"/>
  <c r="C12" i="3"/>
  <c r="E11" i="3"/>
  <c r="D11" i="3"/>
  <c r="G11" i="3" s="1"/>
  <c r="C11" i="3"/>
  <c r="E10" i="3"/>
  <c r="F10" i="3" s="1"/>
  <c r="D10" i="3"/>
  <c r="C10" i="3"/>
  <c r="E9" i="3"/>
  <c r="G9" i="3" s="1"/>
  <c r="D9" i="3"/>
  <c r="C9" i="3"/>
  <c r="J2" i="3"/>
  <c r="H2" i="3"/>
  <c r="F2" i="3"/>
  <c r="D2" i="3"/>
  <c r="B2" i="3"/>
  <c r="L71" i="2"/>
  <c r="K71" i="2"/>
  <c r="J71" i="2"/>
  <c r="C71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J2" i="2"/>
  <c r="H2" i="2"/>
  <c r="F2" i="2"/>
  <c r="D2" i="2"/>
  <c r="B2" i="2"/>
  <c r="O46" i="1"/>
  <c r="N46" i="1"/>
  <c r="M46" i="1"/>
  <c r="F46" i="1"/>
  <c r="E46" i="1"/>
  <c r="D46" i="1"/>
  <c r="O45" i="1"/>
  <c r="N45" i="1"/>
  <c r="M45" i="1"/>
  <c r="F45" i="1"/>
  <c r="E45" i="1"/>
  <c r="D45" i="1"/>
  <c r="H45" i="1" s="1"/>
  <c r="O44" i="1"/>
  <c r="N44" i="1"/>
  <c r="M44" i="1"/>
  <c r="F44" i="1"/>
  <c r="E44" i="1"/>
  <c r="D44" i="1"/>
  <c r="O43" i="1"/>
  <c r="N43" i="1"/>
  <c r="M43" i="1"/>
  <c r="F43" i="1"/>
  <c r="E43" i="1"/>
  <c r="D43" i="1"/>
  <c r="H43" i="1" s="1"/>
  <c r="O42" i="1"/>
  <c r="N42" i="1"/>
  <c r="M42" i="1"/>
  <c r="F42" i="1"/>
  <c r="E42" i="1"/>
  <c r="D42" i="1"/>
  <c r="O41" i="1"/>
  <c r="N41" i="1"/>
  <c r="M41" i="1"/>
  <c r="F41" i="1"/>
  <c r="E41" i="1"/>
  <c r="D41" i="1"/>
  <c r="O40" i="1"/>
  <c r="N40" i="1"/>
  <c r="M40" i="1"/>
  <c r="F40" i="1"/>
  <c r="E40" i="1"/>
  <c r="D40" i="1"/>
  <c r="O39" i="1"/>
  <c r="N39" i="1"/>
  <c r="M39" i="1"/>
  <c r="F39" i="1"/>
  <c r="E39" i="1"/>
  <c r="D39" i="1"/>
  <c r="N17" i="1"/>
  <c r="M17" i="1"/>
  <c r="L17" i="1"/>
  <c r="N16" i="1"/>
  <c r="M16" i="1"/>
  <c r="L16" i="1"/>
  <c r="N15" i="1"/>
  <c r="M15" i="1"/>
  <c r="L15" i="1"/>
  <c r="E15" i="1"/>
  <c r="D15" i="1"/>
  <c r="G15" i="1" s="1"/>
  <c r="C15" i="1"/>
  <c r="N14" i="1"/>
  <c r="M14" i="1"/>
  <c r="L14" i="1"/>
  <c r="E14" i="1"/>
  <c r="D14" i="1"/>
  <c r="G14" i="1" s="1"/>
  <c r="C14" i="1"/>
  <c r="N13" i="1"/>
  <c r="M13" i="1"/>
  <c r="P13" i="1" s="1"/>
  <c r="L13" i="1"/>
  <c r="E13" i="1"/>
  <c r="D13" i="1"/>
  <c r="C13" i="1"/>
  <c r="N12" i="1"/>
  <c r="M12" i="1"/>
  <c r="L12" i="1"/>
  <c r="E12" i="1"/>
  <c r="D12" i="1"/>
  <c r="C12" i="1"/>
  <c r="Q7" i="1"/>
  <c r="H7" i="1"/>
  <c r="E7" i="1"/>
  <c r="B7" i="1"/>
  <c r="M4" i="1"/>
  <c r="K4" i="1"/>
  <c r="I4" i="1"/>
  <c r="G4" i="1"/>
  <c r="E4" i="1"/>
  <c r="H46" i="1" l="1"/>
  <c r="F15" i="1"/>
  <c r="M71" i="2"/>
  <c r="I31" i="4"/>
  <c r="I11" i="3"/>
  <c r="I22" i="4"/>
  <c r="G45" i="4"/>
  <c r="G39" i="4"/>
  <c r="F12" i="3"/>
  <c r="H14" i="4"/>
  <c r="N7" i="1"/>
  <c r="G42" i="4"/>
  <c r="K7" i="1"/>
  <c r="F12" i="1"/>
  <c r="H41" i="1"/>
  <c r="E34" i="4"/>
  <c r="E15" i="4"/>
  <c r="D16" i="1"/>
  <c r="F14" i="1"/>
  <c r="I12" i="3"/>
  <c r="G12" i="1"/>
  <c r="P14" i="1"/>
  <c r="C13" i="3"/>
  <c r="I19" i="4"/>
  <c r="I32" i="4"/>
  <c r="G40" i="4"/>
  <c r="P44" i="1"/>
  <c r="F15" i="4"/>
  <c r="H15" i="4" s="1"/>
  <c r="J12" i="3"/>
  <c r="E16" i="1"/>
  <c r="G46" i="1" s="1"/>
  <c r="D13" i="3"/>
  <c r="F34" i="4"/>
  <c r="I28" i="4"/>
  <c r="H11" i="4"/>
  <c r="F13" i="1"/>
  <c r="H44" i="1"/>
  <c r="D15" i="4"/>
  <c r="I29" i="4"/>
  <c r="G13" i="1"/>
  <c r="G10" i="3"/>
  <c r="H12" i="4"/>
  <c r="I20" i="4"/>
  <c r="I25" i="4"/>
  <c r="C46" i="4"/>
  <c r="H40" i="1"/>
  <c r="F11" i="3"/>
  <c r="I21" i="4"/>
  <c r="I30" i="4"/>
  <c r="G38" i="4"/>
  <c r="P16" i="1"/>
  <c r="L18" i="1"/>
  <c r="P17" i="1"/>
  <c r="N18" i="1"/>
  <c r="O13" i="1" s="1"/>
  <c r="M18" i="1"/>
  <c r="P12" i="1"/>
  <c r="P15" i="1"/>
  <c r="P45" i="1"/>
  <c r="P42" i="1"/>
  <c r="G41" i="1"/>
  <c r="P46" i="1"/>
  <c r="G45" i="1"/>
  <c r="H15" i="1"/>
  <c r="P41" i="1"/>
  <c r="G40" i="1"/>
  <c r="H12" i="1"/>
  <c r="P40" i="1"/>
  <c r="G43" i="1"/>
  <c r="P39" i="1"/>
  <c r="G44" i="1"/>
  <c r="G39" i="1"/>
  <c r="P43" i="1"/>
  <c r="H13" i="1"/>
  <c r="G42" i="1"/>
  <c r="F9" i="3"/>
  <c r="E13" i="3"/>
  <c r="H12" i="3" s="1"/>
  <c r="G34" i="4"/>
  <c r="H21" i="4" s="1"/>
  <c r="D46" i="4"/>
  <c r="E46" i="4"/>
  <c r="F44" i="4" s="1"/>
  <c r="J11" i="3"/>
  <c r="H39" i="1"/>
  <c r="H42" i="1"/>
  <c r="H14" i="1"/>
  <c r="H9" i="4"/>
  <c r="I10" i="3"/>
  <c r="G12" i="3"/>
  <c r="I23" i="4"/>
  <c r="I26" i="4"/>
  <c r="C16" i="1"/>
  <c r="F16" i="1" s="1"/>
  <c r="J10" i="3"/>
  <c r="G16" i="1" l="1"/>
  <c r="F39" i="4"/>
  <c r="H33" i="4"/>
  <c r="G13" i="4"/>
  <c r="G14" i="4"/>
  <c r="I34" i="4"/>
  <c r="G12" i="4"/>
  <c r="G46" i="4"/>
  <c r="O15" i="1"/>
  <c r="G10" i="4"/>
  <c r="O16" i="1"/>
  <c r="O14" i="1"/>
  <c r="G9" i="4"/>
  <c r="G15" i="4" s="1"/>
  <c r="O17" i="1"/>
  <c r="G11" i="4"/>
  <c r="F40" i="4"/>
  <c r="O12" i="1"/>
  <c r="P18" i="1"/>
  <c r="H31" i="4"/>
  <c r="H11" i="3"/>
  <c r="G13" i="3"/>
  <c r="F13" i="3"/>
  <c r="F45" i="4"/>
  <c r="H27" i="4"/>
  <c r="H26" i="4"/>
  <c r="H23" i="4"/>
  <c r="F43" i="4"/>
  <c r="H28" i="4"/>
  <c r="H29" i="4"/>
  <c r="H9" i="3"/>
  <c r="H30" i="4"/>
  <c r="H32" i="4"/>
  <c r="H10" i="3"/>
  <c r="H19" i="4"/>
  <c r="H16" i="1"/>
  <c r="H24" i="4"/>
  <c r="H20" i="4"/>
  <c r="H25" i="4"/>
  <c r="H22" i="4"/>
  <c r="F41" i="4"/>
  <c r="F42" i="4"/>
  <c r="F38" i="4"/>
  <c r="O18" i="1" l="1"/>
  <c r="F46" i="4"/>
  <c r="H13" i="3"/>
  <c r="H34" i="4"/>
</calcChain>
</file>

<file path=xl/sharedStrings.xml><?xml version="1.0" encoding="utf-8"?>
<sst xmlns="http://schemas.openxmlformats.org/spreadsheetml/2006/main" count="1783" uniqueCount="402">
  <si>
    <t>EVENT MANAGEMENT &amp; SPEND ANALYTICS DASHBOARD</t>
  </si>
  <si>
    <t>Executive Financial Intelligence, Headcount Metrics, Vendor Breakdown &amp; Real Estate Utilization</t>
  </si>
  <si>
    <t>Select Month Filter:</t>
  </si>
  <si>
    <t>All Months</t>
  </si>
  <si>
    <t>TOTAL EVENT SPEND</t>
  </si>
  <si>
    <t>TOTAL ATTENDEES (PAX)</t>
  </si>
  <si>
    <t>TOTAL EVENTS HOSTED</t>
  </si>
  <si>
    <t>AVERAGE SPEND / EVENT</t>
  </si>
  <si>
    <t>AVERAGE COST / PAX</t>
  </si>
  <si>
    <t>PRIMARY VENDOR SHARE</t>
  </si>
  <si>
    <t>Total budget invested</t>
  </si>
  <si>
    <t>Total participant headcount</t>
  </si>
  <si>
    <t>Completed corporate events</t>
  </si>
  <si>
    <t>Average cost per event</t>
  </si>
  <si>
    <t>Average cost per attendee</t>
  </si>
  <si>
    <t>Dominant catering partner</t>
  </si>
  <si>
    <t>MONTHLY PERFORMANCE SUMMARY</t>
  </si>
  <si>
    <t>VENDOR SPEND &amp; CONTRACT ANALYSIS (DYNAMIC FILTER)</t>
  </si>
  <si>
    <t>Month</t>
  </si>
  <si>
    <t>Events Hosted</t>
  </si>
  <si>
    <t>Total Pax</t>
  </si>
  <si>
    <t>Total Spend (₹)</t>
  </si>
  <si>
    <t>Avg Spend/Event (₹)</t>
  </si>
  <si>
    <t>Avg Cost/Pax (₹)</t>
  </si>
  <si>
    <t>% Spend Share</t>
  </si>
  <si>
    <t>Primary Vendor</t>
  </si>
  <si>
    <t>Payment Mode</t>
  </si>
  <si>
    <t>Events</t>
  </si>
  <si>
    <t>% Share</t>
  </si>
  <si>
    <t>May</t>
  </si>
  <si>
    <t>Compass</t>
  </si>
  <si>
    <t>PO</t>
  </si>
  <si>
    <t>June</t>
  </si>
  <si>
    <t>Card</t>
  </si>
  <si>
    <t>July</t>
  </si>
  <si>
    <t>Direct</t>
  </si>
  <si>
    <t>August</t>
  </si>
  <si>
    <t>Pihu</t>
  </si>
  <si>
    <t>Total / YTD</t>
  </si>
  <si>
    <t>Food Sauda</t>
  </si>
  <si>
    <t>Food Sauda / Pihu</t>
  </si>
  <si>
    <t>Total Vendor Spend</t>
  </si>
  <si>
    <t>All Modes</t>
  </si>
  <si>
    <t>TOP REQUESTORS LEADERBOARD</t>
  </si>
  <si>
    <t>KEY VENUE &amp; SPACE UTILIZATION</t>
  </si>
  <si>
    <t>Rank</t>
  </si>
  <si>
    <t>Requestor Name</t>
  </si>
  <si>
    <t>Total Attendees (Pax)</t>
  </si>
  <si>
    <t>% Share of Spend</t>
  </si>
  <si>
    <t>Avg Spend / Event</t>
  </si>
  <si>
    <t>Venue / Space</t>
  </si>
  <si>
    <t>Building</t>
  </si>
  <si>
    <t>Floor / Level</t>
  </si>
  <si>
    <t>#1</t>
  </si>
  <si>
    <t>Prerena</t>
  </si>
  <si>
    <t>DT3 | Level 3</t>
  </si>
  <si>
    <t>DT3</t>
  </si>
  <si>
    <t>Level 3</t>
  </si>
  <si>
    <t>#2</t>
  </si>
  <si>
    <t>Deshraj</t>
  </si>
  <si>
    <t>DT4 | L1 (Innovation Hub)</t>
  </si>
  <si>
    <t>DT4</t>
  </si>
  <si>
    <t>Level 1</t>
  </si>
  <si>
    <t>#3</t>
  </si>
  <si>
    <t>Ekta</t>
  </si>
  <si>
    <t>DT4 | L5 (Hackable Space)</t>
  </si>
  <si>
    <t>Level 5</t>
  </si>
  <si>
    <t>#4</t>
  </si>
  <si>
    <t>Saurabh Dutta</t>
  </si>
  <si>
    <t>DT4 | Level 1</t>
  </si>
  <si>
    <t>#5</t>
  </si>
  <si>
    <t>Property Services</t>
  </si>
  <si>
    <t>DT4 | Level 5</t>
  </si>
  <si>
    <t>#6</t>
  </si>
  <si>
    <t>Mary</t>
  </si>
  <si>
    <t>DT4 | Level 4</t>
  </si>
  <si>
    <t>Level 4</t>
  </si>
  <si>
    <t>#7</t>
  </si>
  <si>
    <t>Vibhor</t>
  </si>
  <si>
    <t>DT4 | L5 (Cafeteria)</t>
  </si>
  <si>
    <t>#8</t>
  </si>
  <si>
    <t>Shivani</t>
  </si>
  <si>
    <t>DT4 | L5 &amp; DT3</t>
  </si>
  <si>
    <t>DT4 &amp; DT3</t>
  </si>
  <si>
    <t>Multi-Floor</t>
  </si>
  <si>
    <t>MASTER EVENT TRACKER &amp; FINANCIAL REPOSITORY</t>
  </si>
  <si>
    <t>Complete consolidated dataset of 61 corporate events with verified costs, headcount, and vendor splits</t>
  </si>
  <si>
    <t>Event ID</t>
  </si>
  <si>
    <t>Ref S.No</t>
  </si>
  <si>
    <t>Event Date</t>
  </si>
  <si>
    <t>Requestor</t>
  </si>
  <si>
    <t>Floor / Zone</t>
  </si>
  <si>
    <t>Pax (Attendees)</t>
  </si>
  <si>
    <t>Base Rate (₹)</t>
  </si>
  <si>
    <t>Total Amount (₹)</t>
  </si>
  <si>
    <t>Effective Cost/Pax (₹)</t>
  </si>
  <si>
    <t>Vendor &amp; Mode (Raw)</t>
  </si>
  <si>
    <t>Event Category</t>
  </si>
  <si>
    <t>Remarks &amp; Notes</t>
  </si>
  <si>
    <t>Status</t>
  </si>
  <si>
    <t>EVT-001</t>
  </si>
  <si>
    <t>05-May</t>
  </si>
  <si>
    <t>Simran Vijay</t>
  </si>
  <si>
    <t>PIHU/CARD</t>
  </si>
  <si>
    <t>Meetings &amp; Refreshments</t>
  </si>
  <si>
    <t>Boxes Catering</t>
  </si>
  <si>
    <t>Completed</t>
  </si>
  <si>
    <t>EVT-002</t>
  </si>
  <si>
    <t>EVT-003</t>
  </si>
  <si>
    <t>13-May</t>
  </si>
  <si>
    <t>Poonam Gupta</t>
  </si>
  <si>
    <t>Hackable Space Event Refreshments</t>
  </si>
  <si>
    <t>EVT-004</t>
  </si>
  <si>
    <t>19-May</t>
  </si>
  <si>
    <t>Rupika</t>
  </si>
  <si>
    <t>Hackable Space Meeting (25*45 + 45*10)</t>
  </si>
  <si>
    <t>EVT-005</t>
  </si>
  <si>
    <t>20-May</t>
  </si>
  <si>
    <t>Blood Donation Drive</t>
  </si>
  <si>
    <t>CSR &amp; Health Drive</t>
  </si>
  <si>
    <t>Blood Donation Drive Refreshments (150*8 + 150*20)</t>
  </si>
  <si>
    <t>EVT-006</t>
  </si>
  <si>
    <t>Khusboo Kaur</t>
  </si>
  <si>
    <t>Only Tea Service</t>
  </si>
  <si>
    <t>EVT-007</t>
  </si>
  <si>
    <t>21-May</t>
  </si>
  <si>
    <t>Neeraj Panday</t>
  </si>
  <si>
    <t>Leadership &amp; Strategy</t>
  </si>
  <si>
    <t>Leadership Connect</t>
  </si>
  <si>
    <t>EVT-008</t>
  </si>
  <si>
    <t>22-May</t>
  </si>
  <si>
    <t>COMPASS/PO</t>
  </si>
  <si>
    <t>Townhall &amp; All-Hands</t>
  </si>
  <si>
    <t>Major All-Hands: 1500 at DT4 and 600 at DT3</t>
  </si>
  <si>
    <t>EVT-009</t>
  </si>
  <si>
    <t>25-May</t>
  </si>
  <si>
    <t>Kirti</t>
  </si>
  <si>
    <t>COMPASS</t>
  </si>
  <si>
    <t>Potluck, Only Tea</t>
  </si>
  <si>
    <t>EVT-010</t>
  </si>
  <si>
    <t>28-May</t>
  </si>
  <si>
    <t>XLT Meeting</t>
  </si>
  <si>
    <t>EVT-011</t>
  </si>
  <si>
    <t>05-Jun</t>
  </si>
  <si>
    <t>Poonam</t>
  </si>
  <si>
    <t>Team Meeting Refreshments (11*20 + 11*60)</t>
  </si>
  <si>
    <t>EVT-012</t>
  </si>
  <si>
    <t>Induction &amp; Training</t>
  </si>
  <si>
    <t>Master Class Session (24*20 + 24*60 + 24*20)</t>
  </si>
  <si>
    <t>EVT-013</t>
  </si>
  <si>
    <t>08-Jun</t>
  </si>
  <si>
    <t>Team Refreshments (30*25)</t>
  </si>
  <si>
    <t>EVT-014</t>
  </si>
  <si>
    <t>09-Jun</t>
  </si>
  <si>
    <t>Shikha</t>
  </si>
  <si>
    <t>DT4 | D410 (L5)</t>
  </si>
  <si>
    <t>Celebrations &amp; Engagement</t>
  </si>
  <si>
    <t>Milestone Celebration</t>
  </si>
  <si>
    <t>EVT-015</t>
  </si>
  <si>
    <t>11-Jun</t>
  </si>
  <si>
    <t>Kanchan Walia</t>
  </si>
  <si>
    <t>Innovation Hub Session</t>
  </si>
  <si>
    <t>EVT-016</t>
  </si>
  <si>
    <t>12-Jun</t>
  </si>
  <si>
    <t>Deepika</t>
  </si>
  <si>
    <t>Innovation Hub Workshop Refreshments</t>
  </si>
  <si>
    <t>EVT-017</t>
  </si>
  <si>
    <t>16-Jun</t>
  </si>
  <si>
    <t>Team Gathering - Innovation Hub</t>
  </si>
  <si>
    <t>EVT-018</t>
  </si>
  <si>
    <t>Hitesh</t>
  </si>
  <si>
    <t>Tenant Meeting</t>
  </si>
  <si>
    <t>EVT-019</t>
  </si>
  <si>
    <t>17-Jun</t>
  </si>
  <si>
    <t>DT4 | L5 (C305)</t>
  </si>
  <si>
    <t>Team Refreshments</t>
  </si>
  <si>
    <t>EVT-020</t>
  </si>
  <si>
    <t>18-Jun</t>
  </si>
  <si>
    <t>Mayank</t>
  </si>
  <si>
    <t>DT4 | Level 6</t>
  </si>
  <si>
    <t>Level 6</t>
  </si>
  <si>
    <t>Evening Tea with Risk Executives</t>
  </si>
  <si>
    <t>EVT-021</t>
  </si>
  <si>
    <t>DT4 | Zone B</t>
  </si>
  <si>
    <t>Zone B</t>
  </si>
  <si>
    <t>Townhall</t>
  </si>
  <si>
    <t>EVT-022</t>
  </si>
  <si>
    <t>23-Jun</t>
  </si>
  <si>
    <t>COMPASS/CARD</t>
  </si>
  <si>
    <t>Floor Level Event</t>
  </si>
  <si>
    <t>EVT-023</t>
  </si>
  <si>
    <t>26-Jun</t>
  </si>
  <si>
    <t>GS Townhall</t>
  </si>
  <si>
    <t>EVT-024</t>
  </si>
  <si>
    <t>29-Jun</t>
  </si>
  <si>
    <t>Team Catering (50*200 + 25*250)</t>
  </si>
  <si>
    <t>EVT-025</t>
  </si>
  <si>
    <t>30-Jun</t>
  </si>
  <si>
    <t>Leadership Lunch</t>
  </si>
  <si>
    <t>EVT-026</t>
  </si>
  <si>
    <t>EVT-027</t>
  </si>
  <si>
    <t>03-Jul</t>
  </si>
  <si>
    <t>EVT-028</t>
  </si>
  <si>
    <t>08-Jul</t>
  </si>
  <si>
    <t>EVT-029</t>
  </si>
  <si>
    <t>09-Jul</t>
  </si>
  <si>
    <t>Monika</t>
  </si>
  <si>
    <t>Team Meeting (30*20 + 10*12)</t>
  </si>
  <si>
    <t>EVT-030</t>
  </si>
  <si>
    <t>11-Jul</t>
  </si>
  <si>
    <t>Tarun Jain</t>
  </si>
  <si>
    <t>Hiring &amp; Recruitment</t>
  </si>
  <si>
    <t>Hiring Drive (50*60 + 50*20 + 30*10)</t>
  </si>
  <si>
    <t>EVT-031</t>
  </si>
  <si>
    <t>14-Jul</t>
  </si>
  <si>
    <t>Rosie</t>
  </si>
  <si>
    <t>EVT-032</t>
  </si>
  <si>
    <t>16-Jul</t>
  </si>
  <si>
    <t>Anju</t>
  </si>
  <si>
    <t>Team Meeting</t>
  </si>
  <si>
    <t>EVT-033</t>
  </si>
  <si>
    <t>18-Jul</t>
  </si>
  <si>
    <t>Hiring Drive (70*60 + 70*20 + 30*10)</t>
  </si>
  <si>
    <t>EVT-034</t>
  </si>
  <si>
    <t>20-Jul</t>
  </si>
  <si>
    <t>Team Meeting (50*20 + 20*10)</t>
  </si>
  <si>
    <t>EVT-035</t>
  </si>
  <si>
    <t>22-Jul</t>
  </si>
  <si>
    <t>Devender</t>
  </si>
  <si>
    <t>India Townhall + Fireside Chat</t>
  </si>
  <si>
    <t>EVT-036</t>
  </si>
  <si>
    <t>Sandy</t>
  </si>
  <si>
    <t>Shark Tank Event</t>
  </si>
  <si>
    <t>EVT-037</t>
  </si>
  <si>
    <t>23-Jul</t>
  </si>
  <si>
    <t>Finance Townhall</t>
  </si>
  <si>
    <t>EVT-038</t>
  </si>
  <si>
    <t>27-Jul</t>
  </si>
  <si>
    <t>Celebration with External Partner DT4</t>
  </si>
  <si>
    <t>EVT-039</t>
  </si>
  <si>
    <t>Preeti</t>
  </si>
  <si>
    <t>EVT-040</t>
  </si>
  <si>
    <t>28-Jul</t>
  </si>
  <si>
    <t>EVT-041</t>
  </si>
  <si>
    <t>Business &amp; Market Events</t>
  </si>
  <si>
    <t>Market Event Refreshments (70*20 + 70*20)</t>
  </si>
  <si>
    <t>EVT-042</t>
  </si>
  <si>
    <t>30-Jul</t>
  </si>
  <si>
    <t>SLT Weekly Meeting</t>
  </si>
  <si>
    <t>EVT-043</t>
  </si>
  <si>
    <t>31-Jul</t>
  </si>
  <si>
    <t xml:space="preserve">FOOD SAUDA </t>
  </si>
  <si>
    <t>Business Optimization &amp; Capability Workshop</t>
  </si>
  <si>
    <t>EVT-044</t>
  </si>
  <si>
    <t>03-Aug</t>
  </si>
  <si>
    <t>Vanish Khurrana</t>
  </si>
  <si>
    <t>DT4 | L5 (Zone E)</t>
  </si>
  <si>
    <t>Friends Meet (17*320 + 5*350)</t>
  </si>
  <si>
    <t>EVT-045</t>
  </si>
  <si>
    <t>Sharadha Madaan</t>
  </si>
  <si>
    <t>CET | COM Training</t>
  </si>
  <si>
    <t>EVT-046</t>
  </si>
  <si>
    <t>04-Aug</t>
  </si>
  <si>
    <t>Leadership Skill Session</t>
  </si>
  <si>
    <t>EVT-047</t>
  </si>
  <si>
    <t>EVT-048</t>
  </si>
  <si>
    <t>07-Aug</t>
  </si>
  <si>
    <t>New Grads Joining Induction (170*150 + 250*170 + 170*100)</t>
  </si>
  <si>
    <t>EVT-049</t>
  </si>
  <si>
    <t>13-Aug</t>
  </si>
  <si>
    <t>Independence Day Special Dessert (DT3)</t>
  </si>
  <si>
    <t>EVT-050</t>
  </si>
  <si>
    <t>Independence Day Special Dessert (DT4 Cafeteria)</t>
  </si>
  <si>
    <t>EVT-051</t>
  </si>
  <si>
    <t>14-Aug</t>
  </si>
  <si>
    <t>Ritika</t>
  </si>
  <si>
    <t>PO Townhall - Space Booking</t>
  </si>
  <si>
    <t>EVT-052</t>
  </si>
  <si>
    <t>Innovation Hub Meeting</t>
  </si>
  <si>
    <t>EVT-053</t>
  </si>
  <si>
    <t>17-Aug</t>
  </si>
  <si>
    <t>Sawmit</t>
  </si>
  <si>
    <t>DT4 | L6 (Zone E)</t>
  </si>
  <si>
    <t>Compliance Townhall</t>
  </si>
  <si>
    <t>EVT-054</t>
  </si>
  <si>
    <t>EVT-055</t>
  </si>
  <si>
    <t>18-Aug</t>
  </si>
  <si>
    <t>DT4 | L4 (Zone E)</t>
  </si>
  <si>
    <t>CET All Hands</t>
  </si>
  <si>
    <t>EVT-056</t>
  </si>
  <si>
    <t>FOOD SAUDA /PIHU CARD</t>
  </si>
  <si>
    <t>Distinctive Leadership (Cookies/Brownies: Pihu, Biryani: Cook House)</t>
  </si>
  <si>
    <t>EVT-057</t>
  </si>
  <si>
    <t>EVT-058</t>
  </si>
  <si>
    <t>21-Aug</t>
  </si>
  <si>
    <t>Shikha Mittal</t>
  </si>
  <si>
    <t>Group Security Townhall (80 Pax planned)</t>
  </si>
  <si>
    <t>EVT-059</t>
  </si>
  <si>
    <t>Leadership Programme</t>
  </si>
  <si>
    <t>EVT-060</t>
  </si>
  <si>
    <t>26-Aug</t>
  </si>
  <si>
    <t>EVT-061</t>
  </si>
  <si>
    <t>24-Aug</t>
  </si>
  <si>
    <t>New Joiners Induction</t>
  </si>
  <si>
    <t>TOTAL</t>
  </si>
  <si>
    <t>MONTH-OVER-MONTH STRATEGIC EVENT BREAKDOWN</t>
  </si>
  <si>
    <t>Granular event-level audit and comparative financial performance across May, June, July, and August</t>
  </si>
  <si>
    <t>MONTH-OVER-MONTH EXECUTIVE SUMMARY</t>
  </si>
  <si>
    <t>Avg Spend/Event</t>
  </si>
  <si>
    <t>Avg Cost/Pax</t>
  </si>
  <si>
    <t>% Spend</t>
  </si>
  <si>
    <t>MoM Spend Growth</t>
  </si>
  <si>
    <t>MoM Pax Growth</t>
  </si>
  <si>
    <t>-</t>
  </si>
  <si>
    <t>🌺 MAY 2026 EVENT LOG &amp; AUDIT</t>
  </si>
  <si>
    <t>10 Completed Events | Total Spend: ₹643,605 | Key Event: Prerena All-Hands (2,100 Pax)</t>
  </si>
  <si>
    <t>Date</t>
  </si>
  <si>
    <t>Venue / Location</t>
  </si>
  <si>
    <t>Pax</t>
  </si>
  <si>
    <t>Base Rate</t>
  </si>
  <si>
    <t>Cost/Pax (₹)</t>
  </si>
  <si>
    <t>Vendor</t>
  </si>
  <si>
    <t>Mode</t>
  </si>
  <si>
    <t>Remarks</t>
  </si>
  <si>
    <t>May Total</t>
  </si>
  <si>
    <t>10 Events</t>
  </si>
  <si>
    <t>☀️ JUNE 2026 EVENT LOG &amp; AUDIT</t>
  </si>
  <si>
    <t>16 Completed Events | Total Spend: ₹115,198 | Focus: Innovation Hub &amp; Department Townhalls</t>
  </si>
  <si>
    <t>June Total</t>
  </si>
  <si>
    <t>16 Events</t>
  </si>
  <si>
    <t>🌧️ JULY 2026 EVENT LOG &amp; AUDIT</t>
  </si>
  <si>
    <t>17 Completed Events | Total Spend: ₹192,420 | Focus: Hiring Drives &amp; SLT Leadership Meetings</t>
  </si>
  <si>
    <t>July Total</t>
  </si>
  <si>
    <t>17 Events</t>
  </si>
  <si>
    <t>🍁 AUGUST 2026 EVENT LOG &amp; AUDIT</t>
  </si>
  <si>
    <t>18 Completed Events | Total Spend: ₹289,080 | Key Event: Independence Day Special Dessert (2,000 Pax)</t>
  </si>
  <si>
    <t>August Total</t>
  </si>
  <si>
    <t>18 Events</t>
  </si>
  <si>
    <t>STRATEGIC VENUE, VENDOR &amp; PURPOSE ANALYTICS</t>
  </si>
  <si>
    <t>Commercial contract distribution, facilities footprint utilization, and corporate event categorization</t>
  </si>
  <si>
    <t>1. VENDOR CONTRACT &amp; COMMERCIAL ANALYSIS</t>
  </si>
  <si>
    <t>Vendor Name</t>
  </si>
  <si>
    <t>% of Budget</t>
  </si>
  <si>
    <t>Avg Cost / Pax (₹)</t>
  </si>
  <si>
    <t>Primary Use Case</t>
  </si>
  <si>
    <t>Townhalls, Large Buffets, Induction Catering</t>
  </si>
  <si>
    <t>Mid-size Townhalls &amp; Team Lunches</t>
  </si>
  <si>
    <t>Tea/Coffee &amp; Direct Refreshments</t>
  </si>
  <si>
    <t>High-frequency Snack Boxes, Tea &amp; Executive Connects</t>
  </si>
  <si>
    <t>Special Workshops &amp; Leadership Buffets</t>
  </si>
  <si>
    <t>Multi-vendor Distinctive Leadership Programmes</t>
  </si>
  <si>
    <t>Full Consolidated Portfolio</t>
  </si>
  <si>
    <t>2. REAL ESTATE &amp; VENUE FOOTPRINT UTILIZATION</t>
  </si>
  <si>
    <t>Floor / Area</t>
  </si>
  <si>
    <t>% of Total Spend</t>
  </si>
  <si>
    <t>Avg Spend / Event (₹)</t>
  </si>
  <si>
    <t>Primary Facility Purpose</t>
  </si>
  <si>
    <t>Large Townhalls, Hiring Drives &amp; Inductions</t>
  </si>
  <si>
    <t>Innovation Sessions, Partner Celebrations &amp; Townhalls</t>
  </si>
  <si>
    <t>Leadership Connects, Meetings &amp; Tea Services</t>
  </si>
  <si>
    <t>Floor Gatherings, GS Townhalls &amp; Leadership Lunches</t>
  </si>
  <si>
    <t>Box Catering &amp; Team Refreshments</t>
  </si>
  <si>
    <t>Flexible Collaboration, Leadership Training &amp; Drives</t>
  </si>
  <si>
    <t>Major Celebrations &amp; Large Capacity Townhalls</t>
  </si>
  <si>
    <t>Executive Sessions &amp; Risk Connects</t>
  </si>
  <si>
    <t>CET All-Hands</t>
  </si>
  <si>
    <t>Team Socials &amp; Friends Meets</t>
  </si>
  <si>
    <t>Compliance Townhalls</t>
  </si>
  <si>
    <t>Large Townhall Buffets</t>
  </si>
  <si>
    <t>Milestone Celebrations</t>
  </si>
  <si>
    <t>Company-wide All-Hands Simultaneous Catering</t>
  </si>
  <si>
    <t>Total Real Estate Footprint</t>
  </si>
  <si>
    <t>All Floors</t>
  </si>
  <si>
    <t>Complete Facilities Portfolio</t>
  </si>
  <si>
    <t>3. EVENT PURPOSE &amp; CATEGORY BREAKDOWN</t>
  </si>
  <si>
    <t>Budget Impact Rating</t>
  </si>
  <si>
    <t>High Impact (Major Spend)</t>
  </si>
  <si>
    <t>High Impact (Executive Focus)</t>
  </si>
  <si>
    <t>Medium Impact (Strategic Growth)</t>
  </si>
  <si>
    <t>Medium Impact (Cultural)</t>
  </si>
  <si>
    <t>Low Impact / High Frequency</t>
  </si>
  <si>
    <t>Medium Impact (Talent Acquisition)</t>
  </si>
  <si>
    <t>Low Impact (Social Initiative)</t>
  </si>
  <si>
    <t>Low Impact (Ad-hoc Event)</t>
  </si>
  <si>
    <t>Total Portfolio Spend</t>
  </si>
  <si>
    <t>Full Operational Portfolio</t>
  </si>
  <si>
    <t>SYSTEM LOOKUPS &amp; VALIDATION REFERENCE TABLES</t>
  </si>
  <si>
    <t>Centralized reference data powering all drop-downs, dynamic formulas, and automated categorizations</t>
  </si>
  <si>
    <t>Month Filter</t>
  </si>
  <si>
    <t>Months</t>
  </si>
  <si>
    <t>Categories</t>
  </si>
  <si>
    <t>Venues</t>
  </si>
  <si>
    <t>Vendors</t>
  </si>
  <si>
    <t>Payment Modes</t>
  </si>
  <si>
    <t>Requestors</t>
  </si>
  <si>
    <t>Statuses</t>
  </si>
  <si>
    <t>Buildings</t>
  </si>
  <si>
    <t>Scheduled</t>
  </si>
  <si>
    <t>Pending Invoice</t>
  </si>
  <si>
    <t>Cancelled</t>
  </si>
  <si>
    <t>General Operations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</si>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</sst>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\₹#,##0"/>
    <numFmt numFmtId="166" formatCode="0.0%"/>
  </numFmts>
  <fonts count="12" x14ac:knownFonts="1">
    <font>
      <sz val="11"/>
      <color theme="1"/>
      <name val="Calibri"/>
      <family val="2"/>
      <scheme val="minor"/>
    </font>
    <font>
      <b/>
      <sz val="9.5"/>
      <color rgb="FF1B365D"/>
      <name val="Segoe UI"/>
    </font>
    <font>
      <b/>
      <sz val="9.5"/>
      <color rgb="FFFFFFFF"/>
      <name val="Segoe UI"/>
    </font>
    <font>
      <b/>
      <sz val="15"/>
      <color rgb="FF1B365D"/>
      <name val="Segoe UI"/>
    </font>
    <font>
      <i/>
      <sz val="9.5"/>
      <color rgb="FF64748B"/>
      <name val="Segoe UI"/>
    </font>
    <font>
      <sz val="9.5"/>
      <color rgb="FF0F172A"/>
      <name val="Segoe UI"/>
    </font>
    <font>
      <b/>
      <sz val="9.5"/>
      <color rgb="FF0F172A"/>
      <name val="Segoe UI"/>
    </font>
    <font>
      <b/>
      <sz val="11"/>
      <color rgb="FFFFFFFF"/>
      <name val="Segoe UI"/>
    </font>
    <font>
      <b/>
      <sz val="8.5"/>
      <color rgb="FF2B547E"/>
      <name val="Segoe UI"/>
    </font>
    <font>
      <b/>
      <sz val="17"/>
      <color rgb="FF1B365D"/>
      <name val="Segoe UI"/>
    </font>
    <font>
      <i/>
      <sz val="8"/>
      <color rgb="FF64748B"/>
      <name val="Segoe UI"/>
    </font>
    <font>
      <b/>
      <sz val="11.5"/>
      <color rgb="FF1B365D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EBF2F7"/>
        <bgColor rgb="FFEBF2F7"/>
      </patternFill>
    </fill>
    <fill>
      <patternFill patternType="solid">
        <fgColor rgb="FF1B365D"/>
        <bgColor rgb="FF1B365D"/>
      </patternFill>
    </fill>
    <fill>
      <patternFill patternType="solid">
        <fgColor rgb="FFF9FBFC"/>
        <bgColor rgb="FFF9FBFC"/>
      </patternFill>
    </fill>
    <fill>
      <patternFill patternType="solid">
        <fgColor rgb="FFFFFFFF"/>
        <bgColor rgb="FFFFFFFF"/>
      </patternFill>
    </fill>
    <fill>
      <patternFill patternType="solid">
        <fgColor rgb="FFE2ECF4"/>
        <bgColor rgb="FFE2ECF4"/>
      </patternFill>
    </fill>
    <fill>
      <patternFill patternType="solid">
        <fgColor rgb="FFF4F8FA"/>
        <bgColor rgb="FFF4F8FA"/>
      </patternFill>
    </fill>
    <fill>
      <patternFill patternType="solid">
        <fgColor rgb="FF2B547E"/>
        <bgColor rgb="FF2B547E"/>
      </patternFill>
    </fill>
  </fills>
  <borders count="1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B365D"/>
      </bottom>
      <diagonal/>
    </border>
    <border>
      <left style="thin">
        <color rgb="FFD1D5DB"/>
      </left>
      <right style="thin">
        <color rgb="FFD1D5DB"/>
      </right>
      <top style="thin">
        <color rgb="FF1B365D"/>
      </top>
      <bottom style="double">
        <color rgb="FF1B365D"/>
      </bottom>
      <diagonal/>
    </border>
    <border>
      <left style="thin">
        <color rgb="FFD1D5DB"/>
      </left>
      <right/>
      <top style="medium">
        <color rgb="FF1B365D"/>
      </top>
      <bottom style="thin">
        <color rgb="FFD1D5DB"/>
      </bottom>
      <diagonal/>
    </border>
    <border>
      <left/>
      <right/>
      <top style="medium">
        <color rgb="FF1B365D"/>
      </top>
      <bottom style="thin">
        <color rgb="FFD1D5DB"/>
      </bottom>
      <diagonal/>
    </border>
    <border>
      <left/>
      <right style="thin">
        <color rgb="FFD1D5DB"/>
      </right>
      <top style="medium">
        <color rgb="FF1B365D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medium">
        <color rgb="FFCBD5E1"/>
      </bottom>
      <diagonal/>
    </border>
    <border>
      <left/>
      <right/>
      <top style="thin">
        <color rgb="FFD1D5DB"/>
      </top>
      <bottom style="medium">
        <color rgb="FFCBD5E1"/>
      </bottom>
      <diagonal/>
    </border>
    <border>
      <left/>
      <right style="thin">
        <color rgb="FFD1D5DB"/>
      </right>
      <top style="thin">
        <color rgb="FFD1D5DB"/>
      </top>
      <bottom style="medium">
        <color rgb="FFCBD5E1"/>
      </bottom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1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center" vertical="center"/>
    </xf>
    <xf numFmtId="3" fontId="1" fillId="6" borderId="3" xfId="0" applyNumberFormat="1" applyFont="1" applyFill="1" applyBorder="1" applyAlignment="1">
      <alignment horizontal="right" vertical="center"/>
    </xf>
    <xf numFmtId="165" fontId="1" fillId="6" borderId="3" xfId="0" applyNumberFormat="1" applyFont="1" applyFill="1" applyBorder="1" applyAlignment="1">
      <alignment horizontal="right" vertical="center"/>
    </xf>
    <xf numFmtId="164" fontId="1" fillId="6" borderId="3" xfId="0" applyNumberFormat="1" applyFont="1" applyFill="1" applyBorder="1" applyAlignment="1">
      <alignment horizontal="right" vertical="center"/>
    </xf>
    <xf numFmtId="166" fontId="1" fillId="6" borderId="3" xfId="0" applyNumberFormat="1" applyFont="1" applyFill="1" applyBorder="1" applyAlignment="1">
      <alignment horizontal="right" vertical="center"/>
    </xf>
    <xf numFmtId="0" fontId="1" fillId="6" borderId="3" xfId="0" applyFont="1" applyFill="1" applyBorder="1" applyAlignment="1">
      <alignment horizontal="left" vertical="center"/>
    </xf>
    <xf numFmtId="0" fontId="1" fillId="6" borderId="3" xfId="0" applyFont="1" applyFill="1" applyBorder="1"/>
    <xf numFmtId="0" fontId="5" fillId="5" borderId="1" xfId="0" applyFont="1" applyFill="1" applyBorder="1" applyAlignment="1">
      <alignment horizontal="right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3" fontId="1" fillId="6" borderId="3" xfId="0" applyNumberFormat="1" applyFont="1" applyFill="1" applyBorder="1" applyAlignment="1">
      <alignment horizontal="center" vertical="center"/>
    </xf>
    <xf numFmtId="165" fontId="1" fillId="6" borderId="3" xfId="0" applyNumberFormat="1" applyFont="1" applyFill="1" applyBorder="1" applyAlignment="1">
      <alignment horizontal="center" vertical="center"/>
    </xf>
    <xf numFmtId="164" fontId="1" fillId="6" borderId="3" xfId="0" applyNumberFormat="1" applyFont="1" applyFill="1" applyBorder="1" applyAlignment="1">
      <alignment horizontal="center" vertical="center"/>
    </xf>
    <xf numFmtId="166" fontId="1" fillId="6" borderId="3" xfId="0" applyNumberFormat="1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left" vertical="center"/>
    </xf>
    <xf numFmtId="3" fontId="5" fillId="5" borderId="13" xfId="0" applyNumberFormat="1" applyFont="1" applyFill="1" applyBorder="1" applyAlignment="1">
      <alignment horizontal="right" vertical="center"/>
    </xf>
    <xf numFmtId="164" fontId="5" fillId="5" borderId="13" xfId="0" applyNumberFormat="1" applyFont="1" applyFill="1" applyBorder="1" applyAlignment="1">
      <alignment horizontal="right" vertical="center"/>
    </xf>
    <xf numFmtId="165" fontId="5" fillId="5" borderId="13" xfId="0" applyNumberFormat="1" applyFont="1" applyFill="1" applyBorder="1" applyAlignment="1">
      <alignment horizontal="right" vertical="center"/>
    </xf>
    <xf numFmtId="0" fontId="10" fillId="7" borderId="10" xfId="0" applyFont="1" applyFill="1" applyBorder="1" applyAlignment="1">
      <alignment horizontal="center" vertical="center"/>
    </xf>
    <xf numFmtId="0" fontId="0" fillId="7" borderId="11" xfId="0" applyFill="1" applyBorder="1"/>
    <xf numFmtId="0" fontId="0" fillId="7" borderId="12" xfId="0" applyFill="1" applyBorder="1"/>
    <xf numFmtId="0" fontId="8" fillId="7" borderId="4" xfId="0" applyFont="1" applyFill="1" applyBorder="1" applyAlignment="1">
      <alignment horizontal="center" vertical="center"/>
    </xf>
    <xf numFmtId="0" fontId="0" fillId="7" borderId="5" xfId="0" applyFill="1" applyBorder="1"/>
    <xf numFmtId="0" fontId="0" fillId="7" borderId="6" xfId="0" applyFill="1" applyBorder="1"/>
    <xf numFmtId="3" fontId="9" fillId="7" borderId="7" xfId="0" applyNumberFormat="1" applyFont="1" applyFill="1" applyBorder="1" applyAlignment="1">
      <alignment horizontal="center" vertical="center"/>
    </xf>
    <xf numFmtId="0" fontId="0" fillId="7" borderId="8" xfId="0" applyFill="1" applyBorder="1"/>
    <xf numFmtId="0" fontId="0" fillId="7" borderId="9" xfId="0" applyFill="1" applyBorder="1"/>
    <xf numFmtId="165" fontId="9" fillId="7" borderId="7" xfId="0" applyNumberFormat="1" applyFont="1" applyFill="1" applyBorder="1" applyAlignment="1">
      <alignment horizontal="center" vertical="center"/>
    </xf>
    <xf numFmtId="164" fontId="9" fillId="7" borderId="7" xfId="0" applyNumberFormat="1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Monthly Spend Breakdown (₹)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5200458190148912E-2"/>
          <c:y val="4.7413793103448273E-2"/>
          <c:w val="0.87628865979381443"/>
          <c:h val="0.7327586206896551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'Executive Dashboard'!$E$11</c:f>
              <c:strCache>
                <c:ptCount val="1"/>
                <c:pt idx="0">
                  <c:v>Total Spend (₹)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Dashboard'!$B$12:$B$15</c:f>
              <c:strCache>
                <c:ptCount val="4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</c:strCache>
            </c:strRef>
          </c:cat>
          <c:val>
            <c:numRef>
              <c:f>'Executive Dashboard'!$E$12:$E$15</c:f>
              <c:numCache>
                <c:formatCode>\₹#,##0</c:formatCode>
                <c:ptCount val="4"/>
                <c:pt idx="0">
                  <c:v>643605</c:v>
                </c:pt>
                <c:pt idx="1">
                  <c:v>115198</c:v>
                </c:pt>
                <c:pt idx="2">
                  <c:v>192420</c:v>
                </c:pt>
                <c:pt idx="3">
                  <c:v>289080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A-4A81-BF27-D3A817C50D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Spend (₹)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Spend Distribution by Vendor &amp; Mode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'Executive Dashboard'!$N$11</c:f>
              <c:strCache>
                <c:ptCount val="1"/>
                <c:pt idx="0">
                  <c:v>Total Spend (₹)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'Executive Dashboard'!$J$12:$J$17</c:f>
              <c:strCache>
                <c:ptCount val="6"/>
                <c:pt idx="0">
                  <c:v>Compass</c:v>
                </c:pt>
                <c:pt idx="1">
                  <c:v>Compass</c:v>
                </c:pt>
                <c:pt idx="2">
                  <c:v>Compass</c:v>
                </c:pt>
                <c:pt idx="3">
                  <c:v>Pihu</c:v>
                </c:pt>
                <c:pt idx="4">
                  <c:v>Food Sauda</c:v>
                </c:pt>
                <c:pt idx="5">
                  <c:v>Food Sauda / Pihu</c:v>
                </c:pt>
              </c:strCache>
            </c:strRef>
          </c:cat>
          <c:val>
            <c:numRef>
              <c:f>'Executive Dashboard'!$N$12:$N$17</c:f>
              <c:numCache>
                <c:formatCode>\₹#,##0</c:formatCode>
                <c:ptCount val="6"/>
                <c:pt idx="0">
                  <c:v>784000</c:v>
                </c:pt>
                <c:pt idx="1">
                  <c:v>175250</c:v>
                </c:pt>
                <c:pt idx="2">
                  <c:v>2000</c:v>
                </c:pt>
                <c:pt idx="3">
                  <c:v>177623</c:v>
                </c:pt>
                <c:pt idx="4">
                  <c:v>80830</c:v>
                </c:pt>
                <c:pt idx="5">
                  <c:v>20600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59-494A-80FC-614EDD64C08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19</xdr:row>
      <xdr:rowOff>0</xdr:rowOff>
    </xdr:from>
    <xdr:ext cx="5543550" cy="2946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76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46"/>
  <sheetViews>
    <sheetView topLeftCell="G32" workbookViewId="0">
      <selection activeCell="G27" sqref="G27"/>
    </sheetView>
  </sheetViews>
  <sheetFormatPr defaultRowHeight="14.5" x14ac:dyDescent="0.35"/>
  <cols>
    <col min="1" max="1" width="3" customWidth="1"/>
    <col min="2" max="3" width="18" customWidth="1"/>
    <col min="4" max="4" width="16" customWidth="1"/>
    <col min="5" max="7" width="18" customWidth="1"/>
    <col min="8" max="8" width="16" customWidth="1"/>
    <col min="9" max="9" width="4" customWidth="1"/>
    <col min="10" max="10" width="26" customWidth="1"/>
    <col min="11" max="11" width="16" customWidth="1"/>
    <col min="12" max="12" width="14" customWidth="1"/>
    <col min="13" max="13" width="16" customWidth="1"/>
    <col min="14" max="14" width="18" customWidth="1"/>
    <col min="15" max="15" width="14" customWidth="1"/>
    <col min="16" max="16" width="18" customWidth="1"/>
    <col min="17" max="17" width="16" customWidth="1"/>
    <col min="18" max="19" width="18" customWidth="1"/>
    <col min="20" max="20" width="4" customWidth="1"/>
  </cols>
  <sheetData>
    <row r="2" spans="2:19" ht="22.5" x14ac:dyDescent="0.6">
      <c r="B2" s="1" t="s">
        <v>0</v>
      </c>
    </row>
    <row r="3" spans="2:19" x14ac:dyDescent="0.35">
      <c r="B3" s="2" t="s">
        <v>1</v>
      </c>
    </row>
    <row r="4" spans="2:19" ht="16.5" x14ac:dyDescent="0.35">
      <c r="B4" s="3" t="s">
        <v>2</v>
      </c>
      <c r="C4" s="4" t="s">
        <v>3</v>
      </c>
      <c r="E4" s="5" t="str">
        <f>HYPERLINK("#Executive Dashboard!A1", "📊 Executive Dashboard")</f>
        <v>📊 Executive Dashboard</v>
      </c>
      <c r="G4" s="6" t="str">
        <f>HYPERLINK("#Master Event Tracker!A1", "📋 Master Event Tracker")</f>
        <v>📋 Master Event Tracker</v>
      </c>
      <c r="I4" s="6" t="str">
        <f>HYPERLINK("#Monthly Breakdown!A1", "📅 Monthly Breakdown")</f>
        <v>📅 Monthly Breakdown</v>
      </c>
      <c r="K4" s="6" t="str">
        <f>HYPERLINK("#Venue &amp; Vendor Insights!A1", "🏢 Venue &amp; Vendor Insights")</f>
        <v>🏢 Venue &amp; Vendor Insights</v>
      </c>
      <c r="M4" s="6" t="str">
        <f>HYPERLINK("#Lookups &amp; Settings!A1", "⚙️ Lookups &amp; Settings")</f>
        <v>⚙️ Lookups &amp; Settings</v>
      </c>
    </row>
    <row r="6" spans="2:19" x14ac:dyDescent="0.35">
      <c r="B6" s="53" t="s">
        <v>4</v>
      </c>
      <c r="C6" s="54"/>
      <c r="D6" s="55"/>
      <c r="E6" s="53" t="s">
        <v>5</v>
      </c>
      <c r="F6" s="54"/>
      <c r="G6" s="55"/>
      <c r="H6" s="53" t="s">
        <v>6</v>
      </c>
      <c r="I6" s="54"/>
      <c r="J6" s="55"/>
      <c r="K6" s="53" t="s">
        <v>7</v>
      </c>
      <c r="L6" s="54"/>
      <c r="M6" s="55"/>
      <c r="N6" s="53" t="s">
        <v>8</v>
      </c>
      <c r="O6" s="54"/>
      <c r="P6" s="55"/>
      <c r="Q6" s="53" t="s">
        <v>9</v>
      </c>
      <c r="R6" s="54"/>
      <c r="S6" s="55"/>
    </row>
    <row r="7" spans="2:19" ht="25" x14ac:dyDescent="0.35">
      <c r="B7" s="59">
        <f>IF($C$4="All Months", SUM('Master Event Tracker'!$L$8:$L$68), SUMIFS('Master Event Tracker'!$L$8:$L$68, 'Master Event Tracker'!$D$8:$D$68, $C$4))</f>
        <v>1240303</v>
      </c>
      <c r="C7" s="57"/>
      <c r="D7" s="58"/>
      <c r="E7" s="56">
        <f>IF($C$4="All Months", SUM('Master Event Tracker'!$J$8:$J$68), SUMIFS('Master Event Tracker'!$J$8:$J$68, 'Master Event Tracker'!$D$8:$D$68, $C$4))</f>
        <v>8931</v>
      </c>
      <c r="F7" s="57"/>
      <c r="G7" s="58"/>
      <c r="H7" s="56">
        <f>IF($C$4="All Months", COUNTA('Master Event Tracker'!$B$8:$B$68), COUNTIFS('Master Event Tracker'!$D$8:$D$68, $C$4))</f>
        <v>61</v>
      </c>
      <c r="I7" s="57"/>
      <c r="J7" s="58"/>
      <c r="K7" s="59">
        <f>IF(H7&gt;0, B7/H7, 0)</f>
        <v>20332.836065573771</v>
      </c>
      <c r="L7" s="57"/>
      <c r="M7" s="58"/>
      <c r="N7" s="60">
        <f>IF(E7&gt;0, B7/E7, 0)</f>
        <v>138.87616168402195</v>
      </c>
      <c r="O7" s="57"/>
      <c r="P7" s="58"/>
      <c r="Q7" s="61" t="str">
        <f>IF($C$4="All Months", "COMPASS (77.5%)", IF($C$4="May", "COMPASS (83.4%)", IF($C$4="June", "COMPASS (60.1%)", IF($C$4="July", "COMPASS (59.6%)", "COMPASS (85.2%)"))))</f>
        <v>COMPASS (77.5%)</v>
      </c>
      <c r="R7" s="57"/>
      <c r="S7" s="58"/>
    </row>
    <row r="8" spans="2:19" x14ac:dyDescent="0.35">
      <c r="B8" s="50" t="s">
        <v>10</v>
      </c>
      <c r="C8" s="51"/>
      <c r="D8" s="52"/>
      <c r="E8" s="50" t="s">
        <v>11</v>
      </c>
      <c r="F8" s="51"/>
      <c r="G8" s="52"/>
      <c r="H8" s="50" t="s">
        <v>12</v>
      </c>
      <c r="I8" s="51"/>
      <c r="J8" s="52"/>
      <c r="K8" s="50" t="s">
        <v>13</v>
      </c>
      <c r="L8" s="51"/>
      <c r="M8" s="52"/>
      <c r="N8" s="50" t="s">
        <v>14</v>
      </c>
      <c r="O8" s="51"/>
      <c r="P8" s="52"/>
      <c r="Q8" s="50" t="s">
        <v>15</v>
      </c>
      <c r="R8" s="51"/>
      <c r="S8" s="52"/>
    </row>
    <row r="10" spans="2:19" ht="17" x14ac:dyDescent="0.45">
      <c r="B10" s="7" t="s">
        <v>16</v>
      </c>
      <c r="J10" s="7" t="s">
        <v>17</v>
      </c>
    </row>
    <row r="11" spans="2:19" x14ac:dyDescent="0.35">
      <c r="B11" s="8" t="s">
        <v>18</v>
      </c>
      <c r="C11" s="8" t="s">
        <v>19</v>
      </c>
      <c r="D11" s="8" t="s">
        <v>20</v>
      </c>
      <c r="E11" s="8" t="s">
        <v>21</v>
      </c>
      <c r="F11" s="8" t="s">
        <v>22</v>
      </c>
      <c r="G11" s="8" t="s">
        <v>23</v>
      </c>
      <c r="H11" s="8" t="s">
        <v>24</v>
      </c>
      <c r="J11" s="8" t="s">
        <v>25</v>
      </c>
      <c r="K11" s="8" t="s">
        <v>26</v>
      </c>
      <c r="L11" s="8" t="s">
        <v>27</v>
      </c>
      <c r="M11" s="8" t="s">
        <v>20</v>
      </c>
      <c r="N11" s="8" t="s">
        <v>21</v>
      </c>
      <c r="O11" s="8" t="s">
        <v>28</v>
      </c>
      <c r="P11" s="8" t="s">
        <v>23</v>
      </c>
    </row>
    <row r="12" spans="2:19" x14ac:dyDescent="0.35">
      <c r="B12" s="9" t="s">
        <v>29</v>
      </c>
      <c r="C12" s="33">
        <f>COUNTIFS('Master Event Tracker'!$D$8:$D$68, B12)</f>
        <v>10</v>
      </c>
      <c r="D12" s="33">
        <f>SUMIFS('Master Event Tracker'!$J$8:$J$68, 'Master Event Tracker'!$D$8:$D$68, B12)</f>
        <v>3500</v>
      </c>
      <c r="E12" s="34">
        <f>SUMIFS('Master Event Tracker'!$L$8:$L$68, 'Master Event Tracker'!$D$8:$D$68, B12)</f>
        <v>643605</v>
      </c>
      <c r="F12" s="34">
        <f>IF(C12&gt;0, E12/C12, 0)</f>
        <v>64360.5</v>
      </c>
      <c r="G12" s="35">
        <f>IF(D12&gt;0, E12/D12, 0)</f>
        <v>183.88714285714286</v>
      </c>
      <c r="H12" s="36">
        <f>E12/$E$16</f>
        <v>0.51890949227729033</v>
      </c>
      <c r="J12" s="14" t="s">
        <v>30</v>
      </c>
      <c r="K12" s="9" t="s">
        <v>31</v>
      </c>
      <c r="L12" s="10">
        <f>IF($C$4="All Months", COUNTIFS('Master Event Tracker'!$N$8:$N$68, J12, 'Master Event Tracker'!$O$8:$O$68, K12), COUNTIFS('Master Event Tracker'!$N$8:$N$68, J12, 'Master Event Tracker'!$O$8:$O$68, K12, 'Master Event Tracker'!$D$8:$D$68, $C$4))</f>
        <v>10</v>
      </c>
      <c r="M12" s="10">
        <f>IF($C$4="All Months", SUMIFS('Master Event Tracker'!$J$8:$J$68, 'Master Event Tracker'!$N$8:$N$68, J12, 'Master Event Tracker'!$O$8:$O$68, K12), SUMIFS('Master Event Tracker'!$J$8:$J$68, 'Master Event Tracker'!$N$8:$N$68, J12, 'Master Event Tracker'!$O$8:$O$68, K12, 'Master Event Tracker'!$D$8:$D$68, $C$4))</f>
        <v>4580</v>
      </c>
      <c r="N12" s="11">
        <f>IF($C$4="All Months", SUMIFS('Master Event Tracker'!$L$8:$L$68, 'Master Event Tracker'!$N$8:$N$68, J12, 'Master Event Tracker'!$O$8:$O$68, K12), SUMIFS('Master Event Tracker'!$L$8:$L$68, 'Master Event Tracker'!$N$8:$N$68, J12, 'Master Event Tracker'!$O$8:$O$68, K12, 'Master Event Tracker'!$D$8:$D$68, $C$4))</f>
        <v>784000</v>
      </c>
      <c r="O12" s="13">
        <f t="shared" ref="O12:O17" si="0">IF($N$18&gt;0, N12/$N$18, 0)</f>
        <v>0.63210360694120715</v>
      </c>
      <c r="P12" s="12">
        <f t="shared" ref="P12:P18" si="1">IF(M12&gt;0, N12/M12, 0)</f>
        <v>171.17903930131004</v>
      </c>
    </row>
    <row r="13" spans="2:19" x14ac:dyDescent="0.35">
      <c r="B13" s="15" t="s">
        <v>32</v>
      </c>
      <c r="C13" s="37">
        <f>COUNTIFS('Master Event Tracker'!$D$8:$D$68, B13)</f>
        <v>16</v>
      </c>
      <c r="D13" s="37">
        <f>SUMIFS('Master Event Tracker'!$J$8:$J$68, 'Master Event Tracker'!$D$8:$D$68, B13)</f>
        <v>686</v>
      </c>
      <c r="E13" s="38">
        <f>SUMIFS('Master Event Tracker'!$L$8:$L$68, 'Master Event Tracker'!$D$8:$D$68, B13)</f>
        <v>115198</v>
      </c>
      <c r="F13" s="38">
        <f>IF(C13&gt;0, E13/C13, 0)</f>
        <v>7199.875</v>
      </c>
      <c r="G13" s="39">
        <f>IF(D13&gt;0, E13/D13, 0)</f>
        <v>167.9271137026239</v>
      </c>
      <c r="H13" s="40">
        <f>E13/$E$16</f>
        <v>9.2878917490322926E-2</v>
      </c>
      <c r="J13" s="20" t="s">
        <v>30</v>
      </c>
      <c r="K13" s="15" t="s">
        <v>33</v>
      </c>
      <c r="L13" s="16">
        <f>IF($C$4="All Months", COUNTIFS('Master Event Tracker'!$N$8:$N$68, J13, 'Master Event Tracker'!$O$8:$O$68, K13), COUNTIFS('Master Event Tracker'!$N$8:$N$68, J13, 'Master Event Tracker'!$O$8:$O$68, K13, 'Master Event Tracker'!$D$8:$D$68, $C$4))</f>
        <v>13</v>
      </c>
      <c r="M13" s="16">
        <f>IF($C$4="All Months", SUMIFS('Master Event Tracker'!$J$8:$J$68, 'Master Event Tracker'!$N$8:$N$68, J13, 'Master Event Tracker'!$O$8:$O$68, K13), SUMIFS('Master Event Tracker'!$J$8:$J$68, 'Master Event Tracker'!$N$8:$N$68, J13, 'Master Event Tracker'!$O$8:$O$68, K13, 'Master Event Tracker'!$D$8:$D$68, $C$4))</f>
        <v>1200</v>
      </c>
      <c r="N13" s="17">
        <f>IF($C$4="All Months", SUMIFS('Master Event Tracker'!$L$8:$L$68, 'Master Event Tracker'!$N$8:$N$68, J13, 'Master Event Tracker'!$O$8:$O$68, K13), SUMIFS('Master Event Tracker'!$L$8:$L$68, 'Master Event Tracker'!$N$8:$N$68, J13, 'Master Event Tracker'!$O$8:$O$68, K13, 'Master Event Tracker'!$D$8:$D$68, $C$4))</f>
        <v>175250</v>
      </c>
      <c r="O13" s="19">
        <f t="shared" si="0"/>
        <v>0.14129611877097772</v>
      </c>
      <c r="P13" s="18">
        <f t="shared" si="1"/>
        <v>146.04166666666666</v>
      </c>
    </row>
    <row r="14" spans="2:19" x14ac:dyDescent="0.35">
      <c r="B14" s="9" t="s">
        <v>34</v>
      </c>
      <c r="C14" s="33">
        <f>COUNTIFS('Master Event Tracker'!$D$8:$D$68, B14)</f>
        <v>17</v>
      </c>
      <c r="D14" s="33">
        <f>SUMIFS('Master Event Tracker'!$J$8:$J$68, 'Master Event Tracker'!$D$8:$D$68, B14)</f>
        <v>1235</v>
      </c>
      <c r="E14" s="34">
        <f>SUMIFS('Master Event Tracker'!$L$8:$L$68, 'Master Event Tracker'!$D$8:$D$68, B14)</f>
        <v>192420</v>
      </c>
      <c r="F14" s="34">
        <f>IF(C14&gt;0, E14/C14, 0)</f>
        <v>11318.823529411764</v>
      </c>
      <c r="G14" s="35">
        <f>IF(D14&gt;0, E14/D14, 0)</f>
        <v>155.80566801619435</v>
      </c>
      <c r="H14" s="36">
        <f>E14/$E$16</f>
        <v>0.15513951026483044</v>
      </c>
      <c r="J14" s="14" t="s">
        <v>30</v>
      </c>
      <c r="K14" s="9" t="s">
        <v>35</v>
      </c>
      <c r="L14" s="10">
        <f>IF($C$4="All Months", COUNTIFS('Master Event Tracker'!$N$8:$N$68, J14, 'Master Event Tracker'!$O$8:$O$68, K14), COUNTIFS('Master Event Tracker'!$N$8:$N$68, J14, 'Master Event Tracker'!$O$8:$O$68, K14, 'Master Event Tracker'!$D$8:$D$68, $C$4))</f>
        <v>1</v>
      </c>
      <c r="M14" s="10">
        <f>IF($C$4="All Months", SUMIFS('Master Event Tracker'!$J$8:$J$68, 'Master Event Tracker'!$N$8:$N$68, J14, 'Master Event Tracker'!$O$8:$O$68, K14), SUMIFS('Master Event Tracker'!$J$8:$J$68, 'Master Event Tracker'!$N$8:$N$68, J14, 'Master Event Tracker'!$O$8:$O$68, K14, 'Master Event Tracker'!$D$8:$D$68, $C$4))</f>
        <v>100</v>
      </c>
      <c r="N14" s="11">
        <f>IF($C$4="All Months", SUMIFS('Master Event Tracker'!$L$8:$L$68, 'Master Event Tracker'!$N$8:$N$68, J14, 'Master Event Tracker'!$O$8:$O$68, K14), SUMIFS('Master Event Tracker'!$L$8:$L$68, 'Master Event Tracker'!$N$8:$N$68, J14, 'Master Event Tracker'!$O$8:$O$68, K14, 'Master Event Tracker'!$D$8:$D$68, $C$4))</f>
        <v>2000</v>
      </c>
      <c r="O14" s="13">
        <f t="shared" si="0"/>
        <v>1.6125092013806303E-3</v>
      </c>
      <c r="P14" s="12">
        <f t="shared" si="1"/>
        <v>20</v>
      </c>
    </row>
    <row r="15" spans="2:19" x14ac:dyDescent="0.35">
      <c r="B15" s="15" t="s">
        <v>36</v>
      </c>
      <c r="C15" s="37">
        <f>COUNTIFS('Master Event Tracker'!$D$8:$D$68, B15)</f>
        <v>18</v>
      </c>
      <c r="D15" s="37">
        <f>SUMIFS('Master Event Tracker'!$J$8:$J$68, 'Master Event Tracker'!$D$8:$D$68, B15)</f>
        <v>3510</v>
      </c>
      <c r="E15" s="38">
        <f>SUMIFS('Master Event Tracker'!$L$8:$L$68, 'Master Event Tracker'!$D$8:$D$68, B15)</f>
        <v>289080</v>
      </c>
      <c r="F15" s="38">
        <f>IF(C15&gt;0, E15/C15, 0)</f>
        <v>16060</v>
      </c>
      <c r="G15" s="39">
        <f>IF(D15&gt;0, E15/D15, 0)</f>
        <v>82.358974358974365</v>
      </c>
      <c r="H15" s="40">
        <f>E15/$E$16</f>
        <v>0.23307207996755633</v>
      </c>
      <c r="J15" s="20" t="s">
        <v>37</v>
      </c>
      <c r="K15" s="15" t="s">
        <v>33</v>
      </c>
      <c r="L15" s="16">
        <f>IF($C$4="All Months", COUNTIFS('Master Event Tracker'!$N$8:$N$68, J15, 'Master Event Tracker'!$O$8:$O$68, K15), COUNTIFS('Master Event Tracker'!$N$8:$N$68, J15, 'Master Event Tracker'!$O$8:$O$68, K15, 'Master Event Tracker'!$D$8:$D$68, $C$4))</f>
        <v>30</v>
      </c>
      <c r="M15" s="16">
        <f>IF($C$4="All Months", SUMIFS('Master Event Tracker'!$J$8:$J$68, 'Master Event Tracker'!$N$8:$N$68, J15, 'Master Event Tracker'!$O$8:$O$68, K15), SUMIFS('Master Event Tracker'!$J$8:$J$68, 'Master Event Tracker'!$N$8:$N$68, J15, 'Master Event Tracker'!$O$8:$O$68, K15, 'Master Event Tracker'!$D$8:$D$68, $C$4))</f>
        <v>2232</v>
      </c>
      <c r="N15" s="17">
        <f>IF($C$4="All Months", SUMIFS('Master Event Tracker'!$L$8:$L$68, 'Master Event Tracker'!$N$8:$N$68, J15, 'Master Event Tracker'!$O$8:$O$68, K15), SUMIFS('Master Event Tracker'!$L$8:$L$68, 'Master Event Tracker'!$N$8:$N$68, J15, 'Master Event Tracker'!$O$8:$O$68, K15, 'Master Event Tracker'!$D$8:$D$68, $C$4))</f>
        <v>177623</v>
      </c>
      <c r="O15" s="19">
        <f t="shared" si="0"/>
        <v>0.14320936093841585</v>
      </c>
      <c r="P15" s="18">
        <f t="shared" si="1"/>
        <v>79.58019713261649</v>
      </c>
    </row>
    <row r="16" spans="2:19" x14ac:dyDescent="0.35">
      <c r="B16" s="21" t="s">
        <v>38</v>
      </c>
      <c r="C16" s="41">
        <f>SUM(C12:C15)</f>
        <v>61</v>
      </c>
      <c r="D16" s="41">
        <f>SUM(D12:D15)</f>
        <v>8931</v>
      </c>
      <c r="E16" s="42">
        <f>SUM(E12:E15)</f>
        <v>1240303</v>
      </c>
      <c r="F16" s="42">
        <f>IF(C16&gt;0, E16/C16, 0)</f>
        <v>20332.836065573771</v>
      </c>
      <c r="G16" s="43">
        <f>IF(D16&gt;0, E16/D16, 0)</f>
        <v>138.87616168402195</v>
      </c>
      <c r="H16" s="44">
        <f>SUM(H12:H15)</f>
        <v>1</v>
      </c>
      <c r="J16" s="14" t="s">
        <v>39</v>
      </c>
      <c r="K16" s="9" t="s">
        <v>35</v>
      </c>
      <c r="L16" s="10">
        <f>IF($C$4="All Months", COUNTIFS('Master Event Tracker'!$N$8:$N$68, J16, 'Master Event Tracker'!$O$8:$O$68, K16), COUNTIFS('Master Event Tracker'!$N$8:$N$68, J16, 'Master Event Tracker'!$O$8:$O$68, K16, 'Master Event Tracker'!$D$8:$D$68, $C$4))</f>
        <v>5</v>
      </c>
      <c r="M16" s="10">
        <f>IF($C$4="All Months", SUMIFS('Master Event Tracker'!$J$8:$J$68, 'Master Event Tracker'!$N$8:$N$68, J16, 'Master Event Tracker'!$O$8:$O$68, K16), SUMIFS('Master Event Tracker'!$J$8:$J$68, 'Master Event Tracker'!$N$8:$N$68, J16, 'Master Event Tracker'!$O$8:$O$68, K16, 'Master Event Tracker'!$D$8:$D$68, $C$4))</f>
        <v>762</v>
      </c>
      <c r="N16" s="11">
        <f>IF($C$4="All Months", SUMIFS('Master Event Tracker'!$L$8:$L$68, 'Master Event Tracker'!$N$8:$N$68, J16, 'Master Event Tracker'!$O$8:$O$68, K16), SUMIFS('Master Event Tracker'!$L$8:$L$68, 'Master Event Tracker'!$N$8:$N$68, J16, 'Master Event Tracker'!$O$8:$O$68, K16, 'Master Event Tracker'!$D$8:$D$68, $C$4))</f>
        <v>80830</v>
      </c>
      <c r="O16" s="13">
        <f t="shared" si="0"/>
        <v>6.5169559373798175E-2</v>
      </c>
      <c r="P16" s="12">
        <f t="shared" si="1"/>
        <v>106.0761154855643</v>
      </c>
    </row>
    <row r="17" spans="10:16" x14ac:dyDescent="0.35">
      <c r="J17" s="20" t="s">
        <v>40</v>
      </c>
      <c r="K17" s="15" t="s">
        <v>33</v>
      </c>
      <c r="L17" s="16">
        <f>IF($C$4="All Months", COUNTIFS('Master Event Tracker'!$N$8:$N$68, J17, 'Master Event Tracker'!$O$8:$O$68, K17), COUNTIFS('Master Event Tracker'!$N$8:$N$68, J17, 'Master Event Tracker'!$O$8:$O$68, K17, 'Master Event Tracker'!$D$8:$D$68, $C$4))</f>
        <v>2</v>
      </c>
      <c r="M17" s="16">
        <f>IF($C$4="All Months", SUMIFS('Master Event Tracker'!$J$8:$J$68, 'Master Event Tracker'!$N$8:$N$68, J17, 'Master Event Tracker'!$O$8:$O$68, K17), SUMIFS('Master Event Tracker'!$J$8:$J$68, 'Master Event Tracker'!$N$8:$N$68, J17, 'Master Event Tracker'!$O$8:$O$68, K17, 'Master Event Tracker'!$D$8:$D$68, $C$4))</f>
        <v>57</v>
      </c>
      <c r="N17" s="17">
        <f>IF($C$4="All Months", SUMIFS('Master Event Tracker'!$L$8:$L$68, 'Master Event Tracker'!$N$8:$N$68, J17, 'Master Event Tracker'!$O$8:$O$68, K17), SUMIFS('Master Event Tracker'!$L$8:$L$68, 'Master Event Tracker'!$N$8:$N$68, J17, 'Master Event Tracker'!$O$8:$O$68, K17, 'Master Event Tracker'!$D$8:$D$68, $C$4))</f>
        <v>20600</v>
      </c>
      <c r="O17" s="19">
        <f t="shared" si="0"/>
        <v>1.6608844774220494E-2</v>
      </c>
      <c r="P17" s="18">
        <f t="shared" si="1"/>
        <v>361.40350877192981</v>
      </c>
    </row>
    <row r="18" spans="10:16" x14ac:dyDescent="0.35">
      <c r="J18" s="26" t="s">
        <v>41</v>
      </c>
      <c r="K18" s="21" t="s">
        <v>42</v>
      </c>
      <c r="L18" s="22">
        <f>SUM(L12:L17)</f>
        <v>61</v>
      </c>
      <c r="M18" s="22">
        <f>SUM(M12:M17)</f>
        <v>8931</v>
      </c>
      <c r="N18" s="23">
        <f>SUM(N12:N17)</f>
        <v>1240303</v>
      </c>
      <c r="O18" s="25">
        <f>SUM(O12:O17)</f>
        <v>1</v>
      </c>
      <c r="P18" s="24">
        <f t="shared" si="1"/>
        <v>138.87616168402195</v>
      </c>
    </row>
    <row r="37" spans="2:16" ht="17" x14ac:dyDescent="0.45">
      <c r="B37" s="7" t="s">
        <v>43</v>
      </c>
      <c r="J37" s="7" t="s">
        <v>44</v>
      </c>
    </row>
    <row r="38" spans="2:16" ht="27" x14ac:dyDescent="0.35">
      <c r="B38" s="8" t="s">
        <v>45</v>
      </c>
      <c r="C38" s="8" t="s">
        <v>46</v>
      </c>
      <c r="D38" s="8" t="s">
        <v>19</v>
      </c>
      <c r="E38" s="8" t="s">
        <v>47</v>
      </c>
      <c r="F38" s="8" t="s">
        <v>21</v>
      </c>
      <c r="G38" s="8" t="s">
        <v>48</v>
      </c>
      <c r="H38" s="8" t="s">
        <v>49</v>
      </c>
      <c r="J38" s="8" t="s">
        <v>50</v>
      </c>
      <c r="K38" s="8" t="s">
        <v>51</v>
      </c>
      <c r="L38" s="8" t="s">
        <v>52</v>
      </c>
      <c r="M38" s="8" t="s">
        <v>19</v>
      </c>
      <c r="N38" s="8" t="s">
        <v>20</v>
      </c>
      <c r="O38" s="8" t="s">
        <v>21</v>
      </c>
      <c r="P38" s="8" t="s">
        <v>48</v>
      </c>
    </row>
    <row r="39" spans="2:16" x14ac:dyDescent="0.35">
      <c r="B39" s="9" t="s">
        <v>53</v>
      </c>
      <c r="C39" s="14" t="s">
        <v>54</v>
      </c>
      <c r="D39" s="10">
        <f>COUNTIFS('Master Event Tracker'!$F$8:$F$68, C39)</f>
        <v>1</v>
      </c>
      <c r="E39" s="10">
        <f>SUMIFS('Master Event Tracker'!$J$8:$J$68, 'Master Event Tracker'!$F$8:$F$68, C39)</f>
        <v>2100</v>
      </c>
      <c r="F39" s="11">
        <f>SUMIFS('Master Event Tracker'!$L$8:$L$68, 'Master Event Tracker'!$F$8:$F$68, C39)</f>
        <v>525000</v>
      </c>
      <c r="G39" s="13">
        <f t="shared" ref="G39:G46" si="2">F39/$E$16</f>
        <v>0.42328366536241546</v>
      </c>
      <c r="H39" s="11">
        <f t="shared" ref="H39:H46" si="3">IF(D39&gt;0, F39/D39, 0)</f>
        <v>525000</v>
      </c>
      <c r="J39" s="14" t="s">
        <v>55</v>
      </c>
      <c r="K39" s="9" t="s">
        <v>56</v>
      </c>
      <c r="L39" s="14" t="s">
        <v>57</v>
      </c>
      <c r="M39" s="10">
        <f>COUNTIFS('Master Event Tracker'!$G$8:$G$68, J39)</f>
        <v>16</v>
      </c>
      <c r="N39" s="10">
        <f>SUMIFS('Master Event Tracker'!$J$8:$J$68, 'Master Event Tracker'!$G$8:$G$68, J39)</f>
        <v>1737</v>
      </c>
      <c r="O39" s="11">
        <f>SUMIFS('Master Event Tracker'!$L$8:$L$68, 'Master Event Tracker'!$G$8:$G$68, J39)</f>
        <v>260945</v>
      </c>
      <c r="P39" s="13">
        <f t="shared" ref="P39:P46" si="4">O39/$E$16</f>
        <v>0.21038810677713429</v>
      </c>
    </row>
    <row r="40" spans="2:16" x14ac:dyDescent="0.35">
      <c r="B40" s="15" t="s">
        <v>58</v>
      </c>
      <c r="C40" s="20" t="s">
        <v>59</v>
      </c>
      <c r="D40" s="16">
        <f>COUNTIFS('Master Event Tracker'!$F$8:$F$68, C40)</f>
        <v>4</v>
      </c>
      <c r="E40" s="16">
        <f>SUMIFS('Master Event Tracker'!$J$8:$J$68, 'Master Event Tracker'!$F$8:$F$68, C40)</f>
        <v>312</v>
      </c>
      <c r="F40" s="17">
        <f>SUMIFS('Master Event Tracker'!$L$8:$L$68, 'Master Event Tracker'!$F$8:$F$68, C40)</f>
        <v>114100</v>
      </c>
      <c r="G40" s="19">
        <f t="shared" si="2"/>
        <v>9.1993649938764965E-2</v>
      </c>
      <c r="H40" s="17">
        <f t="shared" si="3"/>
        <v>28525</v>
      </c>
      <c r="J40" s="20" t="s">
        <v>60</v>
      </c>
      <c r="K40" s="15" t="s">
        <v>61</v>
      </c>
      <c r="L40" s="20" t="s">
        <v>62</v>
      </c>
      <c r="M40" s="16">
        <f>COUNTIFS('Master Event Tracker'!$G$8:$G$68, J40)</f>
        <v>14</v>
      </c>
      <c r="N40" s="16">
        <f>SUMIFS('Master Event Tracker'!$J$8:$J$68, 'Master Event Tracker'!$G$8:$G$68, J40)</f>
        <v>752</v>
      </c>
      <c r="O40" s="17">
        <f>SUMIFS('Master Event Tracker'!$L$8:$L$68, 'Master Event Tracker'!$G$8:$G$68, J40)</f>
        <v>131588</v>
      </c>
      <c r="P40" s="19">
        <f t="shared" si="4"/>
        <v>0.10609343039563719</v>
      </c>
    </row>
    <row r="41" spans="2:16" x14ac:dyDescent="0.35">
      <c r="B41" s="9" t="s">
        <v>63</v>
      </c>
      <c r="C41" s="14" t="s">
        <v>64</v>
      </c>
      <c r="D41" s="10">
        <f>COUNTIFS('Master Event Tracker'!$F$8:$F$68, C41)</f>
        <v>9</v>
      </c>
      <c r="E41" s="10">
        <f>SUMIFS('Master Event Tracker'!$J$8:$J$68, 'Master Event Tracker'!$F$8:$F$68, C41)</f>
        <v>840</v>
      </c>
      <c r="F41" s="11">
        <f>SUMIFS('Master Event Tracker'!$L$8:$L$68, 'Master Event Tracker'!$F$8:$F$68, C41)</f>
        <v>105000</v>
      </c>
      <c r="G41" s="13">
        <f t="shared" si="2"/>
        <v>8.4656733072483101E-2</v>
      </c>
      <c r="H41" s="11">
        <f t="shared" si="3"/>
        <v>11666.666666666666</v>
      </c>
      <c r="J41" s="14" t="s">
        <v>65</v>
      </c>
      <c r="K41" s="9" t="s">
        <v>61</v>
      </c>
      <c r="L41" s="14" t="s">
        <v>66</v>
      </c>
      <c r="M41" s="10">
        <f>COUNTIFS('Master Event Tracker'!$G$8:$G$68, J41)</f>
        <v>8</v>
      </c>
      <c r="N41" s="10">
        <f>SUMIFS('Master Event Tracker'!$J$8:$J$68, 'Master Event Tracker'!$G$8:$G$68, J41)</f>
        <v>1440</v>
      </c>
      <c r="O41" s="11">
        <f>SUMIFS('Master Event Tracker'!$L$8:$L$68, 'Master Event Tracker'!$G$8:$G$68, J41)</f>
        <v>63615</v>
      </c>
      <c r="P41" s="13">
        <f t="shared" si="4"/>
        <v>5.1289886422914398E-2</v>
      </c>
    </row>
    <row r="42" spans="2:16" x14ac:dyDescent="0.35">
      <c r="B42" s="15" t="s">
        <v>67</v>
      </c>
      <c r="C42" s="20" t="s">
        <v>68</v>
      </c>
      <c r="D42" s="16">
        <f>COUNTIFS('Master Event Tracker'!$F$8:$F$68, C42)</f>
        <v>2</v>
      </c>
      <c r="E42" s="16">
        <f>SUMIFS('Master Event Tracker'!$J$8:$J$68, 'Master Event Tracker'!$F$8:$F$68, C42)</f>
        <v>375</v>
      </c>
      <c r="F42" s="17">
        <f>SUMIFS('Master Event Tracker'!$L$8:$L$68, 'Master Event Tracker'!$F$8:$F$68, C42)</f>
        <v>78410</v>
      </c>
      <c r="G42" s="19">
        <f t="shared" si="2"/>
        <v>6.3218423240127608E-2</v>
      </c>
      <c r="H42" s="17">
        <f t="shared" si="3"/>
        <v>39205</v>
      </c>
      <c r="J42" s="20" t="s">
        <v>69</v>
      </c>
      <c r="K42" s="15" t="s">
        <v>61</v>
      </c>
      <c r="L42" s="20" t="s">
        <v>62</v>
      </c>
      <c r="M42" s="16">
        <f>COUNTIFS('Master Event Tracker'!$G$8:$G$68, J42)</f>
        <v>7</v>
      </c>
      <c r="N42" s="16">
        <f>SUMIFS('Master Event Tracker'!$J$8:$J$68, 'Master Event Tracker'!$G$8:$G$68, J42)</f>
        <v>524</v>
      </c>
      <c r="O42" s="17">
        <f>SUMIFS('Master Event Tracker'!$L$8:$L$68, 'Master Event Tracker'!$G$8:$G$68, J42)</f>
        <v>40370</v>
      </c>
      <c r="P42" s="19">
        <f t="shared" si="4"/>
        <v>3.2548498229868023E-2</v>
      </c>
    </row>
    <row r="43" spans="2:16" x14ac:dyDescent="0.35">
      <c r="B43" s="9" t="s">
        <v>70</v>
      </c>
      <c r="C43" s="14" t="s">
        <v>71</v>
      </c>
      <c r="D43" s="10">
        <f>COUNTIFS('Master Event Tracker'!$F$8:$F$68, C43)</f>
        <v>2</v>
      </c>
      <c r="E43" s="10">
        <f>SUMIFS('Master Event Tracker'!$J$8:$J$68, 'Master Event Tracker'!$F$8:$F$68, C43)</f>
        <v>2000</v>
      </c>
      <c r="F43" s="11">
        <f>SUMIFS('Master Event Tracker'!$L$8:$L$68, 'Master Event Tracker'!$F$8:$F$68, C43)</f>
        <v>66500</v>
      </c>
      <c r="G43" s="13">
        <f t="shared" si="2"/>
        <v>5.3615930945905957E-2</v>
      </c>
      <c r="H43" s="11">
        <f t="shared" si="3"/>
        <v>33250</v>
      </c>
      <c r="J43" s="14" t="s">
        <v>72</v>
      </c>
      <c r="K43" s="9" t="s">
        <v>61</v>
      </c>
      <c r="L43" s="14" t="s">
        <v>66</v>
      </c>
      <c r="M43" s="10">
        <f>COUNTIFS('Master Event Tracker'!$G$8:$G$68, J43)</f>
        <v>2</v>
      </c>
      <c r="N43" s="10">
        <f>SUMIFS('Master Event Tracker'!$J$8:$J$68, 'Master Event Tracker'!$G$8:$G$68, J43)</f>
        <v>311</v>
      </c>
      <c r="O43" s="11">
        <f>SUMIFS('Master Event Tracker'!$L$8:$L$68, 'Master Event Tracker'!$G$8:$G$68, J43)</f>
        <v>63040</v>
      </c>
      <c r="P43" s="13">
        <f t="shared" si="4"/>
        <v>5.0826290027517471E-2</v>
      </c>
    </row>
    <row r="44" spans="2:16" x14ac:dyDescent="0.35">
      <c r="B44" s="15" t="s">
        <v>73</v>
      </c>
      <c r="C44" s="20" t="s">
        <v>74</v>
      </c>
      <c r="D44" s="16">
        <f>COUNTIFS('Master Event Tracker'!$F$8:$F$68, C44)</f>
        <v>2</v>
      </c>
      <c r="E44" s="16">
        <f>SUMIFS('Master Event Tracker'!$J$8:$J$68, 'Master Event Tracker'!$F$8:$F$68, C44)</f>
        <v>70</v>
      </c>
      <c r="F44" s="17">
        <f>SUMIFS('Master Event Tracker'!$L$8:$L$68, 'Master Event Tracker'!$F$8:$F$68, C44)</f>
        <v>58000</v>
      </c>
      <c r="G44" s="19">
        <f t="shared" si="2"/>
        <v>4.6762766840038279E-2</v>
      </c>
      <c r="H44" s="17">
        <f t="shared" si="3"/>
        <v>29000</v>
      </c>
      <c r="J44" s="20" t="s">
        <v>75</v>
      </c>
      <c r="K44" s="15" t="s">
        <v>61</v>
      </c>
      <c r="L44" s="20" t="s">
        <v>76</v>
      </c>
      <c r="M44" s="16">
        <f>COUNTIFS('Master Event Tracker'!$G$8:$G$68, J44)</f>
        <v>4</v>
      </c>
      <c r="N44" s="16">
        <f>SUMIFS('Master Event Tracker'!$J$8:$J$68, 'Master Event Tracker'!$G$8:$G$68, J44)</f>
        <v>190</v>
      </c>
      <c r="O44" s="17">
        <f>SUMIFS('Master Event Tracker'!$L$8:$L$68, 'Master Event Tracker'!$G$8:$G$68, J44)</f>
        <v>30200</v>
      </c>
      <c r="P44" s="19">
        <f t="shared" si="4"/>
        <v>2.4348888940847517E-2</v>
      </c>
    </row>
    <row r="45" spans="2:16" x14ac:dyDescent="0.35">
      <c r="B45" s="9" t="s">
        <v>77</v>
      </c>
      <c r="C45" s="14" t="s">
        <v>78</v>
      </c>
      <c r="D45" s="10">
        <f>COUNTIFS('Master Event Tracker'!$F$8:$F$68, C45)</f>
        <v>1</v>
      </c>
      <c r="E45" s="10">
        <f>SUMIFS('Master Event Tracker'!$J$8:$J$68, 'Master Event Tracker'!$F$8:$F$68, C45)</f>
        <v>95</v>
      </c>
      <c r="F45" s="11">
        <f>SUMIFS('Master Event Tracker'!$L$8:$L$68, 'Master Event Tracker'!$F$8:$F$68, C45)</f>
        <v>47500</v>
      </c>
      <c r="G45" s="13">
        <f t="shared" si="2"/>
        <v>3.8297093532789969E-2</v>
      </c>
      <c r="H45" s="11">
        <f t="shared" si="3"/>
        <v>47500</v>
      </c>
      <c r="J45" s="14" t="s">
        <v>79</v>
      </c>
      <c r="K45" s="9" t="s">
        <v>61</v>
      </c>
      <c r="L45" s="14" t="s">
        <v>66</v>
      </c>
      <c r="M45" s="10">
        <f>COUNTIFS('Master Event Tracker'!$G$8:$G$68, J45)</f>
        <v>2</v>
      </c>
      <c r="N45" s="10">
        <f>SUMIFS('Master Event Tracker'!$J$8:$J$68, 'Master Event Tracker'!$G$8:$G$68, J45)</f>
        <v>1610</v>
      </c>
      <c r="O45" s="11">
        <f>SUMIFS('Master Event Tracker'!$L$8:$L$68, 'Master Event Tracker'!$G$8:$G$68, J45)</f>
        <v>71875</v>
      </c>
      <c r="P45" s="13">
        <f t="shared" si="4"/>
        <v>5.7949549424616408E-2</v>
      </c>
    </row>
    <row r="46" spans="2:16" x14ac:dyDescent="0.35">
      <c r="B46" s="15" t="s">
        <v>80</v>
      </c>
      <c r="C46" s="20" t="s">
        <v>81</v>
      </c>
      <c r="D46" s="16">
        <f>COUNTIFS('Master Event Tracker'!$F$8:$F$68, C46)</f>
        <v>6</v>
      </c>
      <c r="E46" s="16">
        <f>SUMIFS('Master Event Tracker'!$J$8:$J$68, 'Master Event Tracker'!$F$8:$F$68, C46)</f>
        <v>268</v>
      </c>
      <c r="F46" s="17">
        <f>SUMIFS('Master Event Tracker'!$L$8:$L$68, 'Master Event Tracker'!$F$8:$F$68, C46)</f>
        <v>28030</v>
      </c>
      <c r="G46" s="19">
        <f t="shared" si="2"/>
        <v>2.2599316457349534E-2</v>
      </c>
      <c r="H46" s="17">
        <f t="shared" si="3"/>
        <v>4671.666666666667</v>
      </c>
      <c r="J46" s="20" t="s">
        <v>82</v>
      </c>
      <c r="K46" s="15" t="s">
        <v>83</v>
      </c>
      <c r="L46" s="20" t="s">
        <v>84</v>
      </c>
      <c r="M46" s="16">
        <f>COUNTIFS('Master Event Tracker'!$G$8:$G$68, J46)</f>
        <v>1</v>
      </c>
      <c r="N46" s="16">
        <f>SUMIFS('Master Event Tracker'!$J$8:$J$68, 'Master Event Tracker'!$G$8:$G$68, J46)</f>
        <v>2100</v>
      </c>
      <c r="O46" s="17">
        <f>SUMIFS('Master Event Tracker'!$L$8:$L$68, 'Master Event Tracker'!$G$8:$G$68, J46)</f>
        <v>525000</v>
      </c>
      <c r="P46" s="19">
        <f t="shared" si="4"/>
        <v>0.42328366536241546</v>
      </c>
    </row>
  </sheetData>
  <mergeCells count="18">
    <mergeCell ref="Q6:S6"/>
    <mergeCell ref="E7:G7"/>
    <mergeCell ref="K6:M6"/>
    <mergeCell ref="Q8:S8"/>
    <mergeCell ref="Q7:S7"/>
    <mergeCell ref="B8:D8"/>
    <mergeCell ref="E8:G8"/>
    <mergeCell ref="N6:P6"/>
    <mergeCell ref="H8:J8"/>
    <mergeCell ref="N8:P8"/>
    <mergeCell ref="H7:J7"/>
    <mergeCell ref="B7:D7"/>
    <mergeCell ref="B6:D6"/>
    <mergeCell ref="K7:M7"/>
    <mergeCell ref="E6:G6"/>
    <mergeCell ref="H6:J6"/>
    <mergeCell ref="K8:M8"/>
    <mergeCell ref="N7:P7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'Lookups &amp; Settings'!$B$8:$B$12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71"/>
  <sheetViews>
    <sheetView workbookViewId="0">
      <pane xSplit="1" ySplit="7" topLeftCell="B58" activePane="bottomRight" state="frozen"/>
      <selection pane="topRight"/>
      <selection pane="bottomLeft"/>
      <selection pane="bottomRight" activeCell="E72" sqref="E72"/>
    </sheetView>
  </sheetViews>
  <sheetFormatPr defaultRowHeight="14.5" x14ac:dyDescent="0.35"/>
  <cols>
    <col min="1" max="1" width="4" customWidth="1"/>
    <col min="2" max="2" width="12" customWidth="1"/>
    <col min="3" max="3" width="10" customWidth="1"/>
    <col min="4" max="4" width="11" customWidth="1"/>
    <col min="5" max="5" width="12" customWidth="1"/>
    <col min="6" max="6" width="20" customWidth="1"/>
    <col min="7" max="7" width="28" customWidth="1"/>
    <col min="8" max="8" width="13" customWidth="1"/>
    <col min="9" max="9" width="15" customWidth="1"/>
    <col min="10" max="10" width="16" customWidth="1"/>
    <col min="11" max="11" width="15" customWidth="1"/>
    <col min="12" max="12" width="18" customWidth="1"/>
    <col min="13" max="13" width="20" customWidth="1"/>
    <col min="14" max="14" width="15" customWidth="1"/>
    <col min="15" max="15" width="14" customWidth="1"/>
    <col min="16" max="16" width="22" customWidth="1"/>
    <col min="17" max="17" width="26" customWidth="1"/>
    <col min="18" max="18" width="45" customWidth="1"/>
    <col min="19" max="19" width="14" customWidth="1"/>
    <col min="20" max="20" width="4" customWidth="1"/>
  </cols>
  <sheetData>
    <row r="2" spans="2:19" x14ac:dyDescent="0.35">
      <c r="B2" s="6" t="str">
        <f>HYPERLINK("#Executive Dashboard!A1", "📊 Executive Dashboard")</f>
        <v>📊 Executive Dashboard</v>
      </c>
      <c r="D2" s="5" t="str">
        <f>HYPERLINK("#Master Event Tracker!A1", "📋 Master Event Tracker")</f>
        <v>📋 Master Event Tracker</v>
      </c>
      <c r="F2" s="6" t="str">
        <f>HYPERLINK("#Monthly Breakdown!A1", "📅 Monthly Breakdown")</f>
        <v>📅 Monthly Breakdown</v>
      </c>
      <c r="H2" s="6" t="str">
        <f>HYPERLINK("#Venue &amp; Vendor Insights!A1", "🏢 Venue &amp; Vendor Insights")</f>
        <v>🏢 Venue &amp; Vendor Insights</v>
      </c>
      <c r="J2" s="6" t="str">
        <f>HYPERLINK("#Lookups &amp; Settings!A1", "⚙️ Lookups &amp; Settings")</f>
        <v>⚙️ Lookups &amp; Settings</v>
      </c>
    </row>
    <row r="4" spans="2:19" ht="22.5" x14ac:dyDescent="0.6">
      <c r="B4" s="1" t="s">
        <v>85</v>
      </c>
    </row>
    <row r="5" spans="2:19" x14ac:dyDescent="0.35">
      <c r="B5" s="2" t="s">
        <v>86</v>
      </c>
    </row>
    <row r="7" spans="2:19" x14ac:dyDescent="0.35">
      <c r="B7" s="8" t="s">
        <v>87</v>
      </c>
      <c r="C7" s="8" t="s">
        <v>88</v>
      </c>
      <c r="D7" s="8" t="s">
        <v>18</v>
      </c>
      <c r="E7" s="8" t="s">
        <v>89</v>
      </c>
      <c r="F7" s="8" t="s">
        <v>90</v>
      </c>
      <c r="G7" s="8" t="s">
        <v>50</v>
      </c>
      <c r="H7" s="8" t="s">
        <v>51</v>
      </c>
      <c r="I7" s="8" t="s">
        <v>91</v>
      </c>
      <c r="J7" s="8" t="s">
        <v>92</v>
      </c>
      <c r="K7" s="8" t="s">
        <v>93</v>
      </c>
      <c r="L7" s="8" t="s">
        <v>94</v>
      </c>
      <c r="M7" s="8" t="s">
        <v>95</v>
      </c>
      <c r="N7" s="8" t="s">
        <v>25</v>
      </c>
      <c r="O7" s="8" t="s">
        <v>26</v>
      </c>
      <c r="P7" s="8" t="s">
        <v>96</v>
      </c>
      <c r="Q7" s="8" t="s">
        <v>97</v>
      </c>
      <c r="R7" s="8" t="s">
        <v>98</v>
      </c>
      <c r="S7" s="8" t="s">
        <v>99</v>
      </c>
    </row>
    <row r="8" spans="2:19" x14ac:dyDescent="0.35">
      <c r="B8" s="9" t="s">
        <v>100</v>
      </c>
      <c r="C8" s="9">
        <v>1</v>
      </c>
      <c r="D8" s="9" t="s">
        <v>29</v>
      </c>
      <c r="E8" s="9" t="s">
        <v>101</v>
      </c>
      <c r="F8" s="14" t="s">
        <v>102</v>
      </c>
      <c r="G8" s="14" t="s">
        <v>75</v>
      </c>
      <c r="H8" s="9" t="s">
        <v>61</v>
      </c>
      <c r="I8" s="14" t="s">
        <v>76</v>
      </c>
      <c r="J8" s="10">
        <v>60</v>
      </c>
      <c r="K8" s="12">
        <v>120</v>
      </c>
      <c r="L8" s="11">
        <v>7200</v>
      </c>
      <c r="M8" s="12">
        <f t="shared" ref="M8:M39" si="0">IF(J8&gt;0, ROUND(L8/J8, 2), K8)</f>
        <v>120</v>
      </c>
      <c r="N8" s="9" t="s">
        <v>37</v>
      </c>
      <c r="O8" s="9" t="s">
        <v>33</v>
      </c>
      <c r="P8" s="14" t="s">
        <v>103</v>
      </c>
      <c r="Q8" s="14" t="s">
        <v>104</v>
      </c>
      <c r="R8" s="14" t="s">
        <v>105</v>
      </c>
      <c r="S8" s="9" t="s">
        <v>106</v>
      </c>
    </row>
    <row r="9" spans="2:19" x14ac:dyDescent="0.35">
      <c r="B9" s="15" t="s">
        <v>107</v>
      </c>
      <c r="C9" s="15">
        <v>2</v>
      </c>
      <c r="D9" s="15" t="s">
        <v>29</v>
      </c>
      <c r="E9" s="15" t="s">
        <v>101</v>
      </c>
      <c r="F9" s="20" t="s">
        <v>68</v>
      </c>
      <c r="G9" s="20" t="s">
        <v>72</v>
      </c>
      <c r="H9" s="15" t="s">
        <v>61</v>
      </c>
      <c r="I9" s="20" t="s">
        <v>66</v>
      </c>
      <c r="J9" s="16">
        <v>300</v>
      </c>
      <c r="K9" s="18">
        <v>207.2</v>
      </c>
      <c r="L9" s="17">
        <v>62160</v>
      </c>
      <c r="M9" s="18">
        <f t="shared" si="0"/>
        <v>207.2</v>
      </c>
      <c r="N9" s="15" t="s">
        <v>37</v>
      </c>
      <c r="O9" s="15" t="s">
        <v>33</v>
      </c>
      <c r="P9" s="20" t="s">
        <v>103</v>
      </c>
      <c r="Q9" s="20" t="s">
        <v>104</v>
      </c>
      <c r="R9" s="20" t="s">
        <v>105</v>
      </c>
      <c r="S9" s="15" t="s">
        <v>106</v>
      </c>
    </row>
    <row r="10" spans="2:19" x14ac:dyDescent="0.35">
      <c r="B10" s="9" t="s">
        <v>108</v>
      </c>
      <c r="C10" s="9">
        <v>3</v>
      </c>
      <c r="D10" s="9" t="s">
        <v>29</v>
      </c>
      <c r="E10" s="9" t="s">
        <v>109</v>
      </c>
      <c r="F10" s="14" t="s">
        <v>110</v>
      </c>
      <c r="G10" s="14" t="s">
        <v>65</v>
      </c>
      <c r="H10" s="9" t="s">
        <v>61</v>
      </c>
      <c r="I10" s="14" t="s">
        <v>66</v>
      </c>
      <c r="J10" s="10">
        <v>450</v>
      </c>
      <c r="K10" s="12">
        <v>50</v>
      </c>
      <c r="L10" s="11">
        <v>22500</v>
      </c>
      <c r="M10" s="12">
        <f t="shared" si="0"/>
        <v>50</v>
      </c>
      <c r="N10" s="9" t="s">
        <v>37</v>
      </c>
      <c r="O10" s="9" t="s">
        <v>33</v>
      </c>
      <c r="P10" s="14" t="s">
        <v>103</v>
      </c>
      <c r="Q10" s="14" t="s">
        <v>104</v>
      </c>
      <c r="R10" s="14" t="s">
        <v>111</v>
      </c>
      <c r="S10" s="9" t="s">
        <v>106</v>
      </c>
    </row>
    <row r="11" spans="2:19" x14ac:dyDescent="0.35">
      <c r="B11" s="15" t="s">
        <v>112</v>
      </c>
      <c r="C11" s="15">
        <v>4</v>
      </c>
      <c r="D11" s="15" t="s">
        <v>29</v>
      </c>
      <c r="E11" s="15" t="s">
        <v>113</v>
      </c>
      <c r="F11" s="20" t="s">
        <v>114</v>
      </c>
      <c r="G11" s="20" t="s">
        <v>65</v>
      </c>
      <c r="H11" s="15" t="s">
        <v>61</v>
      </c>
      <c r="I11" s="20" t="s">
        <v>66</v>
      </c>
      <c r="J11" s="16">
        <v>45</v>
      </c>
      <c r="K11" s="18">
        <v>35</v>
      </c>
      <c r="L11" s="17">
        <v>1575</v>
      </c>
      <c r="M11" s="18">
        <f t="shared" si="0"/>
        <v>35</v>
      </c>
      <c r="N11" s="15" t="s">
        <v>37</v>
      </c>
      <c r="O11" s="15" t="s">
        <v>33</v>
      </c>
      <c r="P11" s="20" t="s">
        <v>103</v>
      </c>
      <c r="Q11" s="20" t="s">
        <v>104</v>
      </c>
      <c r="R11" s="20" t="s">
        <v>115</v>
      </c>
      <c r="S11" s="15" t="s">
        <v>106</v>
      </c>
    </row>
    <row r="12" spans="2:19" x14ac:dyDescent="0.35">
      <c r="B12" s="9" t="s">
        <v>116</v>
      </c>
      <c r="C12" s="9">
        <v>5</v>
      </c>
      <c r="D12" s="9" t="s">
        <v>29</v>
      </c>
      <c r="E12" s="9" t="s">
        <v>117</v>
      </c>
      <c r="F12" s="14" t="s">
        <v>118</v>
      </c>
      <c r="G12" s="14" t="s">
        <v>65</v>
      </c>
      <c r="H12" s="9" t="s">
        <v>61</v>
      </c>
      <c r="I12" s="14" t="s">
        <v>66</v>
      </c>
      <c r="J12" s="10">
        <v>150</v>
      </c>
      <c r="K12" s="12">
        <v>28</v>
      </c>
      <c r="L12" s="11">
        <v>4200</v>
      </c>
      <c r="M12" s="12">
        <f t="shared" si="0"/>
        <v>28</v>
      </c>
      <c r="N12" s="9" t="s">
        <v>37</v>
      </c>
      <c r="O12" s="9" t="s">
        <v>33</v>
      </c>
      <c r="P12" s="14" t="s">
        <v>103</v>
      </c>
      <c r="Q12" s="14" t="s">
        <v>119</v>
      </c>
      <c r="R12" s="14" t="s">
        <v>120</v>
      </c>
      <c r="S12" s="9" t="s">
        <v>106</v>
      </c>
    </row>
    <row r="13" spans="2:19" x14ac:dyDescent="0.35">
      <c r="B13" s="15" t="s">
        <v>121</v>
      </c>
      <c r="C13" s="15">
        <v>6</v>
      </c>
      <c r="D13" s="15" t="s">
        <v>29</v>
      </c>
      <c r="E13" s="15" t="s">
        <v>117</v>
      </c>
      <c r="F13" s="20" t="s">
        <v>122</v>
      </c>
      <c r="G13" s="20" t="s">
        <v>69</v>
      </c>
      <c r="H13" s="15" t="s">
        <v>61</v>
      </c>
      <c r="I13" s="20" t="s">
        <v>62</v>
      </c>
      <c r="J13" s="16">
        <v>200</v>
      </c>
      <c r="K13" s="18">
        <v>20</v>
      </c>
      <c r="L13" s="17">
        <v>4000</v>
      </c>
      <c r="M13" s="18">
        <f t="shared" si="0"/>
        <v>20</v>
      </c>
      <c r="N13" s="15" t="s">
        <v>37</v>
      </c>
      <c r="O13" s="15" t="s">
        <v>33</v>
      </c>
      <c r="P13" s="20" t="s">
        <v>103</v>
      </c>
      <c r="Q13" s="20" t="s">
        <v>104</v>
      </c>
      <c r="R13" s="20" t="s">
        <v>123</v>
      </c>
      <c r="S13" s="15" t="s">
        <v>106</v>
      </c>
    </row>
    <row r="14" spans="2:19" x14ac:dyDescent="0.35">
      <c r="B14" s="9" t="s">
        <v>124</v>
      </c>
      <c r="C14" s="9">
        <v>7</v>
      </c>
      <c r="D14" s="9" t="s">
        <v>29</v>
      </c>
      <c r="E14" s="9" t="s">
        <v>125</v>
      </c>
      <c r="F14" s="14" t="s">
        <v>126</v>
      </c>
      <c r="G14" s="14" t="s">
        <v>69</v>
      </c>
      <c r="H14" s="9" t="s">
        <v>61</v>
      </c>
      <c r="I14" s="14" t="s">
        <v>62</v>
      </c>
      <c r="J14" s="10">
        <v>35</v>
      </c>
      <c r="K14" s="12">
        <v>84.86</v>
      </c>
      <c r="L14" s="11">
        <v>2970</v>
      </c>
      <c r="M14" s="12">
        <f t="shared" si="0"/>
        <v>84.86</v>
      </c>
      <c r="N14" s="9" t="s">
        <v>37</v>
      </c>
      <c r="O14" s="9" t="s">
        <v>33</v>
      </c>
      <c r="P14" s="14" t="s">
        <v>103</v>
      </c>
      <c r="Q14" s="14" t="s">
        <v>127</v>
      </c>
      <c r="R14" s="14" t="s">
        <v>128</v>
      </c>
      <c r="S14" s="9" t="s">
        <v>106</v>
      </c>
    </row>
    <row r="15" spans="2:19" x14ac:dyDescent="0.35">
      <c r="B15" s="15" t="s">
        <v>129</v>
      </c>
      <c r="C15" s="15">
        <v>8</v>
      </c>
      <c r="D15" s="15" t="s">
        <v>29</v>
      </c>
      <c r="E15" s="15" t="s">
        <v>130</v>
      </c>
      <c r="F15" s="20" t="s">
        <v>54</v>
      </c>
      <c r="G15" s="20" t="s">
        <v>82</v>
      </c>
      <c r="H15" s="15" t="s">
        <v>83</v>
      </c>
      <c r="I15" s="20" t="s">
        <v>84</v>
      </c>
      <c r="J15" s="16">
        <v>2100</v>
      </c>
      <c r="K15" s="18">
        <v>250</v>
      </c>
      <c r="L15" s="17">
        <v>525000</v>
      </c>
      <c r="M15" s="18">
        <f t="shared" si="0"/>
        <v>250</v>
      </c>
      <c r="N15" s="15" t="s">
        <v>30</v>
      </c>
      <c r="O15" s="15" t="s">
        <v>31</v>
      </c>
      <c r="P15" s="20" t="s">
        <v>131</v>
      </c>
      <c r="Q15" s="20" t="s">
        <v>132</v>
      </c>
      <c r="R15" s="20" t="s">
        <v>133</v>
      </c>
      <c r="S15" s="15" t="s">
        <v>106</v>
      </c>
    </row>
    <row r="16" spans="2:19" x14ac:dyDescent="0.35">
      <c r="B16" s="9" t="s">
        <v>134</v>
      </c>
      <c r="C16" s="9">
        <v>9</v>
      </c>
      <c r="D16" s="9" t="s">
        <v>29</v>
      </c>
      <c r="E16" s="9" t="s">
        <v>135</v>
      </c>
      <c r="F16" s="14" t="s">
        <v>136</v>
      </c>
      <c r="G16" s="14" t="s">
        <v>69</v>
      </c>
      <c r="H16" s="9" t="s">
        <v>61</v>
      </c>
      <c r="I16" s="14" t="s">
        <v>62</v>
      </c>
      <c r="J16" s="10">
        <v>100</v>
      </c>
      <c r="K16" s="12">
        <v>20</v>
      </c>
      <c r="L16" s="11">
        <v>2000</v>
      </c>
      <c r="M16" s="12">
        <f t="shared" si="0"/>
        <v>20</v>
      </c>
      <c r="N16" s="9" t="s">
        <v>30</v>
      </c>
      <c r="O16" s="9" t="s">
        <v>35</v>
      </c>
      <c r="P16" s="14" t="s">
        <v>137</v>
      </c>
      <c r="Q16" s="14" t="s">
        <v>104</v>
      </c>
      <c r="R16" s="14" t="s">
        <v>138</v>
      </c>
      <c r="S16" s="9" t="s">
        <v>106</v>
      </c>
    </row>
    <row r="17" spans="2:19" x14ac:dyDescent="0.35">
      <c r="B17" s="15" t="s">
        <v>139</v>
      </c>
      <c r="C17" s="15">
        <v>10</v>
      </c>
      <c r="D17" s="15" t="s">
        <v>29</v>
      </c>
      <c r="E17" s="15" t="s">
        <v>140</v>
      </c>
      <c r="F17" s="20" t="s">
        <v>81</v>
      </c>
      <c r="G17" s="20" t="s">
        <v>69</v>
      </c>
      <c r="H17" s="15" t="s">
        <v>61</v>
      </c>
      <c r="I17" s="20" t="s">
        <v>62</v>
      </c>
      <c r="J17" s="16">
        <v>60</v>
      </c>
      <c r="K17" s="18">
        <v>200</v>
      </c>
      <c r="L17" s="17">
        <v>12000</v>
      </c>
      <c r="M17" s="18">
        <f t="shared" si="0"/>
        <v>200</v>
      </c>
      <c r="N17" s="15" t="s">
        <v>30</v>
      </c>
      <c r="O17" s="15" t="s">
        <v>31</v>
      </c>
      <c r="P17" s="20" t="s">
        <v>131</v>
      </c>
      <c r="Q17" s="20" t="s">
        <v>127</v>
      </c>
      <c r="R17" s="20" t="s">
        <v>141</v>
      </c>
      <c r="S17" s="15" t="s">
        <v>106</v>
      </c>
    </row>
    <row r="18" spans="2:19" x14ac:dyDescent="0.35">
      <c r="B18" s="9" t="s">
        <v>142</v>
      </c>
      <c r="C18" s="9">
        <v>11</v>
      </c>
      <c r="D18" s="9" t="s">
        <v>32</v>
      </c>
      <c r="E18" s="9" t="s">
        <v>143</v>
      </c>
      <c r="F18" s="14" t="s">
        <v>144</v>
      </c>
      <c r="G18" s="14" t="s">
        <v>72</v>
      </c>
      <c r="H18" s="9" t="s">
        <v>61</v>
      </c>
      <c r="I18" s="14" t="s">
        <v>66</v>
      </c>
      <c r="J18" s="10">
        <v>11</v>
      </c>
      <c r="K18" s="12">
        <v>80</v>
      </c>
      <c r="L18" s="11">
        <v>880</v>
      </c>
      <c r="M18" s="12">
        <f t="shared" si="0"/>
        <v>80</v>
      </c>
      <c r="N18" s="9" t="s">
        <v>37</v>
      </c>
      <c r="O18" s="9" t="s">
        <v>33</v>
      </c>
      <c r="P18" s="14" t="s">
        <v>103</v>
      </c>
      <c r="Q18" s="14" t="s">
        <v>104</v>
      </c>
      <c r="R18" s="14" t="s">
        <v>145</v>
      </c>
      <c r="S18" s="9" t="s">
        <v>106</v>
      </c>
    </row>
    <row r="19" spans="2:19" x14ac:dyDescent="0.35">
      <c r="B19" s="15" t="s">
        <v>146</v>
      </c>
      <c r="C19" s="15">
        <v>12</v>
      </c>
      <c r="D19" s="15" t="s">
        <v>32</v>
      </c>
      <c r="E19" s="15" t="s">
        <v>143</v>
      </c>
      <c r="F19" s="20" t="s">
        <v>81</v>
      </c>
      <c r="G19" s="20" t="s">
        <v>69</v>
      </c>
      <c r="H19" s="15" t="s">
        <v>61</v>
      </c>
      <c r="I19" s="20" t="s">
        <v>62</v>
      </c>
      <c r="J19" s="16">
        <v>24</v>
      </c>
      <c r="K19" s="18">
        <v>100</v>
      </c>
      <c r="L19" s="17">
        <v>2400</v>
      </c>
      <c r="M19" s="18">
        <f t="shared" si="0"/>
        <v>100</v>
      </c>
      <c r="N19" s="15" t="s">
        <v>37</v>
      </c>
      <c r="O19" s="15" t="s">
        <v>33</v>
      </c>
      <c r="P19" s="20" t="s">
        <v>103</v>
      </c>
      <c r="Q19" s="20" t="s">
        <v>147</v>
      </c>
      <c r="R19" s="20" t="s">
        <v>148</v>
      </c>
      <c r="S19" s="15" t="s">
        <v>106</v>
      </c>
    </row>
    <row r="20" spans="2:19" x14ac:dyDescent="0.35">
      <c r="B20" s="9" t="s">
        <v>149</v>
      </c>
      <c r="C20" s="9">
        <v>13</v>
      </c>
      <c r="D20" s="9" t="s">
        <v>32</v>
      </c>
      <c r="E20" s="9" t="s">
        <v>150</v>
      </c>
      <c r="F20" s="14" t="s">
        <v>114</v>
      </c>
      <c r="G20" s="14" t="s">
        <v>69</v>
      </c>
      <c r="H20" s="9" t="s">
        <v>61</v>
      </c>
      <c r="I20" s="14" t="s">
        <v>62</v>
      </c>
      <c r="J20" s="10">
        <v>30</v>
      </c>
      <c r="K20" s="12">
        <v>25</v>
      </c>
      <c r="L20" s="11">
        <v>750</v>
      </c>
      <c r="M20" s="12">
        <f t="shared" si="0"/>
        <v>25</v>
      </c>
      <c r="N20" s="9" t="s">
        <v>37</v>
      </c>
      <c r="O20" s="9" t="s">
        <v>33</v>
      </c>
      <c r="P20" s="14" t="s">
        <v>103</v>
      </c>
      <c r="Q20" s="14" t="s">
        <v>104</v>
      </c>
      <c r="R20" s="14" t="s">
        <v>151</v>
      </c>
      <c r="S20" s="9" t="s">
        <v>106</v>
      </c>
    </row>
    <row r="21" spans="2:19" x14ac:dyDescent="0.35">
      <c r="B21" s="15" t="s">
        <v>152</v>
      </c>
      <c r="C21" s="15">
        <v>14</v>
      </c>
      <c r="D21" s="15" t="s">
        <v>32</v>
      </c>
      <c r="E21" s="15" t="s">
        <v>153</v>
      </c>
      <c r="F21" s="20" t="s">
        <v>154</v>
      </c>
      <c r="G21" s="20" t="s">
        <v>155</v>
      </c>
      <c r="H21" s="15" t="s">
        <v>61</v>
      </c>
      <c r="I21" s="20" t="s">
        <v>66</v>
      </c>
      <c r="J21" s="16">
        <v>10</v>
      </c>
      <c r="K21" s="18">
        <v>215</v>
      </c>
      <c r="L21" s="17">
        <v>2150</v>
      </c>
      <c r="M21" s="18">
        <f t="shared" si="0"/>
        <v>215</v>
      </c>
      <c r="N21" s="15" t="s">
        <v>37</v>
      </c>
      <c r="O21" s="15" t="s">
        <v>33</v>
      </c>
      <c r="P21" s="20" t="s">
        <v>103</v>
      </c>
      <c r="Q21" s="20" t="s">
        <v>156</v>
      </c>
      <c r="R21" s="20" t="s">
        <v>157</v>
      </c>
      <c r="S21" s="15" t="s">
        <v>106</v>
      </c>
    </row>
    <row r="22" spans="2:19" x14ac:dyDescent="0.35">
      <c r="B22" s="9" t="s">
        <v>158</v>
      </c>
      <c r="C22" s="9">
        <v>15</v>
      </c>
      <c r="D22" s="9" t="s">
        <v>32</v>
      </c>
      <c r="E22" s="9" t="s">
        <v>159</v>
      </c>
      <c r="F22" s="14" t="s">
        <v>160</v>
      </c>
      <c r="G22" s="14" t="s">
        <v>60</v>
      </c>
      <c r="H22" s="9" t="s">
        <v>61</v>
      </c>
      <c r="I22" s="14" t="s">
        <v>62</v>
      </c>
      <c r="J22" s="10">
        <v>17</v>
      </c>
      <c r="K22" s="12">
        <v>121.65</v>
      </c>
      <c r="L22" s="11">
        <v>2068</v>
      </c>
      <c r="M22" s="12">
        <f t="shared" si="0"/>
        <v>121.65</v>
      </c>
      <c r="N22" s="9" t="s">
        <v>37</v>
      </c>
      <c r="O22" s="9" t="s">
        <v>33</v>
      </c>
      <c r="P22" s="14" t="s">
        <v>103</v>
      </c>
      <c r="Q22" s="14" t="s">
        <v>104</v>
      </c>
      <c r="R22" s="14" t="s">
        <v>161</v>
      </c>
      <c r="S22" s="9" t="s">
        <v>106</v>
      </c>
    </row>
    <row r="23" spans="2:19" x14ac:dyDescent="0.35">
      <c r="B23" s="15" t="s">
        <v>162</v>
      </c>
      <c r="C23" s="15">
        <v>16</v>
      </c>
      <c r="D23" s="15" t="s">
        <v>32</v>
      </c>
      <c r="E23" s="15" t="s">
        <v>163</v>
      </c>
      <c r="F23" s="20" t="s">
        <v>164</v>
      </c>
      <c r="G23" s="20" t="s">
        <v>60</v>
      </c>
      <c r="H23" s="15" t="s">
        <v>61</v>
      </c>
      <c r="I23" s="20" t="s">
        <v>62</v>
      </c>
      <c r="J23" s="16">
        <v>28</v>
      </c>
      <c r="K23" s="18">
        <v>127.5</v>
      </c>
      <c r="L23" s="17">
        <v>3570</v>
      </c>
      <c r="M23" s="18">
        <f t="shared" si="0"/>
        <v>127.5</v>
      </c>
      <c r="N23" s="15" t="s">
        <v>37</v>
      </c>
      <c r="O23" s="15" t="s">
        <v>33</v>
      </c>
      <c r="P23" s="20" t="s">
        <v>103</v>
      </c>
      <c r="Q23" s="20" t="s">
        <v>104</v>
      </c>
      <c r="R23" s="20" t="s">
        <v>165</v>
      </c>
      <c r="S23" s="15" t="s">
        <v>106</v>
      </c>
    </row>
    <row r="24" spans="2:19" x14ac:dyDescent="0.35">
      <c r="B24" s="9" t="s">
        <v>166</v>
      </c>
      <c r="C24" s="9">
        <v>17</v>
      </c>
      <c r="D24" s="9" t="s">
        <v>32</v>
      </c>
      <c r="E24" s="9" t="s">
        <v>167</v>
      </c>
      <c r="F24" s="14" t="s">
        <v>64</v>
      </c>
      <c r="G24" s="14" t="s">
        <v>60</v>
      </c>
      <c r="H24" s="9" t="s">
        <v>61</v>
      </c>
      <c r="I24" s="14" t="s">
        <v>62</v>
      </c>
      <c r="J24" s="10">
        <v>100</v>
      </c>
      <c r="K24" s="12">
        <v>150</v>
      </c>
      <c r="L24" s="11">
        <v>15000</v>
      </c>
      <c r="M24" s="12">
        <f t="shared" si="0"/>
        <v>150</v>
      </c>
      <c r="N24" s="9" t="s">
        <v>37</v>
      </c>
      <c r="O24" s="9" t="s">
        <v>33</v>
      </c>
      <c r="P24" s="14" t="s">
        <v>103</v>
      </c>
      <c r="Q24" s="14" t="s">
        <v>132</v>
      </c>
      <c r="R24" s="14" t="s">
        <v>168</v>
      </c>
      <c r="S24" s="9" t="s">
        <v>106</v>
      </c>
    </row>
    <row r="25" spans="2:19" x14ac:dyDescent="0.35">
      <c r="B25" s="15" t="s">
        <v>169</v>
      </c>
      <c r="C25" s="15">
        <v>18</v>
      </c>
      <c r="D25" s="15" t="s">
        <v>32</v>
      </c>
      <c r="E25" s="15" t="s">
        <v>167</v>
      </c>
      <c r="F25" s="20" t="s">
        <v>170</v>
      </c>
      <c r="G25" s="20" t="s">
        <v>60</v>
      </c>
      <c r="H25" s="15" t="s">
        <v>61</v>
      </c>
      <c r="I25" s="20" t="s">
        <v>62</v>
      </c>
      <c r="J25" s="16">
        <v>12</v>
      </c>
      <c r="K25" s="18">
        <v>250</v>
      </c>
      <c r="L25" s="17">
        <v>3000</v>
      </c>
      <c r="M25" s="18">
        <f t="shared" si="0"/>
        <v>250</v>
      </c>
      <c r="N25" s="15" t="s">
        <v>37</v>
      </c>
      <c r="O25" s="15" t="s">
        <v>33</v>
      </c>
      <c r="P25" s="20" t="s">
        <v>103</v>
      </c>
      <c r="Q25" s="20" t="s">
        <v>127</v>
      </c>
      <c r="R25" s="20" t="s">
        <v>171</v>
      </c>
      <c r="S25" s="15" t="s">
        <v>106</v>
      </c>
    </row>
    <row r="26" spans="2:19" x14ac:dyDescent="0.35">
      <c r="B26" s="9" t="s">
        <v>172</v>
      </c>
      <c r="C26" s="9">
        <v>19</v>
      </c>
      <c r="D26" s="9" t="s">
        <v>32</v>
      </c>
      <c r="E26" s="9" t="s">
        <v>173</v>
      </c>
      <c r="F26" s="14" t="s">
        <v>81</v>
      </c>
      <c r="G26" s="14" t="s">
        <v>174</v>
      </c>
      <c r="H26" s="9" t="s">
        <v>61</v>
      </c>
      <c r="I26" s="14" t="s">
        <v>66</v>
      </c>
      <c r="J26" s="10">
        <v>14</v>
      </c>
      <c r="K26" s="12">
        <v>45</v>
      </c>
      <c r="L26" s="11">
        <v>630</v>
      </c>
      <c r="M26" s="12">
        <f t="shared" si="0"/>
        <v>45</v>
      </c>
      <c r="N26" s="9" t="s">
        <v>37</v>
      </c>
      <c r="O26" s="9" t="s">
        <v>33</v>
      </c>
      <c r="P26" s="14" t="s">
        <v>103</v>
      </c>
      <c r="Q26" s="14" t="s">
        <v>104</v>
      </c>
      <c r="R26" s="14" t="s">
        <v>175</v>
      </c>
      <c r="S26" s="9" t="s">
        <v>106</v>
      </c>
    </row>
    <row r="27" spans="2:19" x14ac:dyDescent="0.35">
      <c r="B27" s="15" t="s">
        <v>176</v>
      </c>
      <c r="C27" s="15">
        <v>20</v>
      </c>
      <c r="D27" s="15" t="s">
        <v>32</v>
      </c>
      <c r="E27" s="15" t="s">
        <v>177</v>
      </c>
      <c r="F27" s="20" t="s">
        <v>178</v>
      </c>
      <c r="G27" s="20" t="s">
        <v>179</v>
      </c>
      <c r="H27" s="15" t="s">
        <v>61</v>
      </c>
      <c r="I27" s="20" t="s">
        <v>180</v>
      </c>
      <c r="J27" s="16">
        <v>35</v>
      </c>
      <c r="K27" s="18">
        <v>100</v>
      </c>
      <c r="L27" s="17">
        <v>3500</v>
      </c>
      <c r="M27" s="18">
        <f t="shared" si="0"/>
        <v>100</v>
      </c>
      <c r="N27" s="15" t="s">
        <v>37</v>
      </c>
      <c r="O27" s="15" t="s">
        <v>33</v>
      </c>
      <c r="P27" s="20" t="s">
        <v>103</v>
      </c>
      <c r="Q27" s="20" t="s">
        <v>127</v>
      </c>
      <c r="R27" s="20" t="s">
        <v>181</v>
      </c>
      <c r="S27" s="15" t="s">
        <v>106</v>
      </c>
    </row>
    <row r="28" spans="2:19" x14ac:dyDescent="0.35">
      <c r="B28" s="9" t="s">
        <v>182</v>
      </c>
      <c r="C28" s="9">
        <v>21</v>
      </c>
      <c r="D28" s="9" t="s">
        <v>32</v>
      </c>
      <c r="E28" s="9" t="s">
        <v>177</v>
      </c>
      <c r="F28" s="14" t="s">
        <v>154</v>
      </c>
      <c r="G28" s="14" t="s">
        <v>183</v>
      </c>
      <c r="H28" s="9" t="s">
        <v>61</v>
      </c>
      <c r="I28" s="14" t="s">
        <v>184</v>
      </c>
      <c r="J28" s="10">
        <v>80</v>
      </c>
      <c r="K28" s="12">
        <v>300</v>
      </c>
      <c r="L28" s="11">
        <v>24000</v>
      </c>
      <c r="M28" s="12">
        <f t="shared" si="0"/>
        <v>300</v>
      </c>
      <c r="N28" s="9" t="s">
        <v>30</v>
      </c>
      <c r="O28" s="9" t="s">
        <v>31</v>
      </c>
      <c r="P28" s="14" t="s">
        <v>131</v>
      </c>
      <c r="Q28" s="14" t="s">
        <v>132</v>
      </c>
      <c r="R28" s="14" t="s">
        <v>185</v>
      </c>
      <c r="S28" s="9" t="s">
        <v>106</v>
      </c>
    </row>
    <row r="29" spans="2:19" x14ac:dyDescent="0.35">
      <c r="B29" s="15" t="s">
        <v>186</v>
      </c>
      <c r="C29" s="15">
        <v>22</v>
      </c>
      <c r="D29" s="15" t="s">
        <v>32</v>
      </c>
      <c r="E29" s="15" t="s">
        <v>187</v>
      </c>
      <c r="F29" s="20" t="s">
        <v>64</v>
      </c>
      <c r="G29" s="20" t="s">
        <v>75</v>
      </c>
      <c r="H29" s="15" t="s">
        <v>61</v>
      </c>
      <c r="I29" s="20" t="s">
        <v>76</v>
      </c>
      <c r="J29" s="16">
        <v>50</v>
      </c>
      <c r="K29" s="18">
        <v>150</v>
      </c>
      <c r="L29" s="17">
        <v>7500</v>
      </c>
      <c r="M29" s="18">
        <f t="shared" si="0"/>
        <v>150</v>
      </c>
      <c r="N29" s="15" t="s">
        <v>30</v>
      </c>
      <c r="O29" s="15" t="s">
        <v>33</v>
      </c>
      <c r="P29" s="20" t="s">
        <v>188</v>
      </c>
      <c r="Q29" s="20" t="s">
        <v>104</v>
      </c>
      <c r="R29" s="20" t="s">
        <v>189</v>
      </c>
      <c r="S29" s="15" t="s">
        <v>106</v>
      </c>
    </row>
    <row r="30" spans="2:19" x14ac:dyDescent="0.35">
      <c r="B30" s="9" t="s">
        <v>190</v>
      </c>
      <c r="C30" s="9">
        <v>23</v>
      </c>
      <c r="D30" s="9" t="s">
        <v>32</v>
      </c>
      <c r="E30" s="9" t="s">
        <v>191</v>
      </c>
      <c r="F30" s="14" t="s">
        <v>64</v>
      </c>
      <c r="G30" s="14" t="s">
        <v>75</v>
      </c>
      <c r="H30" s="9" t="s">
        <v>61</v>
      </c>
      <c r="I30" s="14" t="s">
        <v>76</v>
      </c>
      <c r="J30" s="10">
        <v>50</v>
      </c>
      <c r="K30" s="12">
        <v>250</v>
      </c>
      <c r="L30" s="11">
        <v>12500</v>
      </c>
      <c r="M30" s="12">
        <f t="shared" si="0"/>
        <v>250</v>
      </c>
      <c r="N30" s="9" t="s">
        <v>30</v>
      </c>
      <c r="O30" s="9" t="s">
        <v>33</v>
      </c>
      <c r="P30" s="14" t="s">
        <v>188</v>
      </c>
      <c r="Q30" s="14" t="s">
        <v>132</v>
      </c>
      <c r="R30" s="14" t="s">
        <v>192</v>
      </c>
      <c r="S30" s="9" t="s">
        <v>106</v>
      </c>
    </row>
    <row r="31" spans="2:19" x14ac:dyDescent="0.35">
      <c r="B31" s="15" t="s">
        <v>193</v>
      </c>
      <c r="C31" s="15">
        <v>24</v>
      </c>
      <c r="D31" s="15" t="s">
        <v>32</v>
      </c>
      <c r="E31" s="15" t="s">
        <v>194</v>
      </c>
      <c r="F31" s="20" t="s">
        <v>68</v>
      </c>
      <c r="G31" s="20" t="s">
        <v>69</v>
      </c>
      <c r="H31" s="15" t="s">
        <v>61</v>
      </c>
      <c r="I31" s="20" t="s">
        <v>62</v>
      </c>
      <c r="J31" s="16">
        <v>75</v>
      </c>
      <c r="K31" s="18">
        <v>216.67</v>
      </c>
      <c r="L31" s="17">
        <v>16250</v>
      </c>
      <c r="M31" s="18">
        <f t="shared" si="0"/>
        <v>216.67</v>
      </c>
      <c r="N31" s="15" t="s">
        <v>30</v>
      </c>
      <c r="O31" s="15" t="s">
        <v>33</v>
      </c>
      <c r="P31" s="20" t="s">
        <v>188</v>
      </c>
      <c r="Q31" s="20" t="s">
        <v>104</v>
      </c>
      <c r="R31" s="20" t="s">
        <v>195</v>
      </c>
      <c r="S31" s="15" t="s">
        <v>106</v>
      </c>
    </row>
    <row r="32" spans="2:19" x14ac:dyDescent="0.35">
      <c r="B32" s="9" t="s">
        <v>196</v>
      </c>
      <c r="C32" s="9">
        <v>25</v>
      </c>
      <c r="D32" s="9" t="s">
        <v>32</v>
      </c>
      <c r="E32" s="9" t="s">
        <v>197</v>
      </c>
      <c r="F32" s="14" t="s">
        <v>81</v>
      </c>
      <c r="G32" s="14" t="s">
        <v>75</v>
      </c>
      <c r="H32" s="9" t="s">
        <v>61</v>
      </c>
      <c r="I32" s="14" t="s">
        <v>76</v>
      </c>
      <c r="J32" s="10">
        <v>30</v>
      </c>
      <c r="K32" s="12">
        <v>100</v>
      </c>
      <c r="L32" s="11">
        <v>3000</v>
      </c>
      <c r="M32" s="12">
        <f t="shared" si="0"/>
        <v>100</v>
      </c>
      <c r="N32" s="9" t="s">
        <v>30</v>
      </c>
      <c r="O32" s="9" t="s">
        <v>31</v>
      </c>
      <c r="P32" s="14" t="s">
        <v>131</v>
      </c>
      <c r="Q32" s="14" t="s">
        <v>127</v>
      </c>
      <c r="R32" s="14" t="s">
        <v>198</v>
      </c>
      <c r="S32" s="9" t="s">
        <v>106</v>
      </c>
    </row>
    <row r="33" spans="2:19" x14ac:dyDescent="0.35">
      <c r="B33" s="15" t="s">
        <v>199</v>
      </c>
      <c r="C33" s="15">
        <v>26</v>
      </c>
      <c r="D33" s="15" t="s">
        <v>32</v>
      </c>
      <c r="E33" s="15" t="s">
        <v>197</v>
      </c>
      <c r="F33" s="20" t="s">
        <v>64</v>
      </c>
      <c r="G33" s="20" t="s">
        <v>55</v>
      </c>
      <c r="H33" s="15" t="s">
        <v>56</v>
      </c>
      <c r="I33" s="20" t="s">
        <v>57</v>
      </c>
      <c r="J33" s="16">
        <v>120</v>
      </c>
      <c r="K33" s="18">
        <v>150</v>
      </c>
      <c r="L33" s="17">
        <v>18000</v>
      </c>
      <c r="M33" s="18">
        <f t="shared" si="0"/>
        <v>150</v>
      </c>
      <c r="N33" s="15" t="s">
        <v>30</v>
      </c>
      <c r="O33" s="15" t="s">
        <v>33</v>
      </c>
      <c r="P33" s="20" t="s">
        <v>188</v>
      </c>
      <c r="Q33" s="20" t="s">
        <v>132</v>
      </c>
      <c r="R33" s="20" t="s">
        <v>185</v>
      </c>
      <c r="S33" s="15" t="s">
        <v>106</v>
      </c>
    </row>
    <row r="34" spans="2:19" x14ac:dyDescent="0.35">
      <c r="B34" s="9" t="s">
        <v>200</v>
      </c>
      <c r="C34" s="9">
        <v>27</v>
      </c>
      <c r="D34" s="9" t="s">
        <v>34</v>
      </c>
      <c r="E34" s="9" t="s">
        <v>201</v>
      </c>
      <c r="F34" s="14" t="s">
        <v>81</v>
      </c>
      <c r="G34" s="14" t="s">
        <v>60</v>
      </c>
      <c r="H34" s="9" t="s">
        <v>61</v>
      </c>
      <c r="I34" s="14" t="s">
        <v>62</v>
      </c>
      <c r="J34" s="10">
        <v>40</v>
      </c>
      <c r="K34" s="12">
        <v>100</v>
      </c>
      <c r="L34" s="11">
        <v>4000</v>
      </c>
      <c r="M34" s="12">
        <f t="shared" si="0"/>
        <v>100</v>
      </c>
      <c r="N34" s="9" t="s">
        <v>30</v>
      </c>
      <c r="O34" s="9" t="s">
        <v>33</v>
      </c>
      <c r="P34" s="14" t="s">
        <v>188</v>
      </c>
      <c r="Q34" s="14" t="s">
        <v>127</v>
      </c>
      <c r="R34" s="14" t="s">
        <v>141</v>
      </c>
      <c r="S34" s="9" t="s">
        <v>106</v>
      </c>
    </row>
    <row r="35" spans="2:19" x14ac:dyDescent="0.35">
      <c r="B35" s="15" t="s">
        <v>202</v>
      </c>
      <c r="C35" s="15">
        <v>28</v>
      </c>
      <c r="D35" s="15" t="s">
        <v>34</v>
      </c>
      <c r="E35" s="15" t="s">
        <v>203</v>
      </c>
      <c r="F35" s="20" t="s">
        <v>64</v>
      </c>
      <c r="G35" s="20" t="s">
        <v>55</v>
      </c>
      <c r="H35" s="15" t="s">
        <v>56</v>
      </c>
      <c r="I35" s="20" t="s">
        <v>57</v>
      </c>
      <c r="J35" s="16">
        <v>150</v>
      </c>
      <c r="K35" s="18">
        <v>100</v>
      </c>
      <c r="L35" s="17">
        <v>15000</v>
      </c>
      <c r="M35" s="18">
        <f t="shared" si="0"/>
        <v>100</v>
      </c>
      <c r="N35" s="15" t="s">
        <v>30</v>
      </c>
      <c r="O35" s="15" t="s">
        <v>33</v>
      </c>
      <c r="P35" s="20" t="s">
        <v>188</v>
      </c>
      <c r="Q35" s="20" t="s">
        <v>132</v>
      </c>
      <c r="R35" s="20" t="s">
        <v>185</v>
      </c>
      <c r="S35" s="15" t="s">
        <v>106</v>
      </c>
    </row>
    <row r="36" spans="2:19" x14ac:dyDescent="0.35">
      <c r="B36" s="9" t="s">
        <v>204</v>
      </c>
      <c r="C36" s="9">
        <v>29</v>
      </c>
      <c r="D36" s="9" t="s">
        <v>34</v>
      </c>
      <c r="E36" s="9" t="s">
        <v>205</v>
      </c>
      <c r="F36" s="14" t="s">
        <v>206</v>
      </c>
      <c r="G36" s="14" t="s">
        <v>55</v>
      </c>
      <c r="H36" s="9" t="s">
        <v>56</v>
      </c>
      <c r="I36" s="14" t="s">
        <v>57</v>
      </c>
      <c r="J36" s="10">
        <v>30</v>
      </c>
      <c r="K36" s="12">
        <v>24</v>
      </c>
      <c r="L36" s="11">
        <v>720</v>
      </c>
      <c r="M36" s="12">
        <f t="shared" si="0"/>
        <v>24</v>
      </c>
      <c r="N36" s="9" t="s">
        <v>37</v>
      </c>
      <c r="O36" s="9" t="s">
        <v>33</v>
      </c>
      <c r="P36" s="14" t="s">
        <v>103</v>
      </c>
      <c r="Q36" s="14" t="s">
        <v>104</v>
      </c>
      <c r="R36" s="14" t="s">
        <v>207</v>
      </c>
      <c r="S36" s="9" t="s">
        <v>106</v>
      </c>
    </row>
    <row r="37" spans="2:19" x14ac:dyDescent="0.35">
      <c r="B37" s="15" t="s">
        <v>208</v>
      </c>
      <c r="C37" s="15">
        <v>30</v>
      </c>
      <c r="D37" s="15" t="s">
        <v>34</v>
      </c>
      <c r="E37" s="15" t="s">
        <v>209</v>
      </c>
      <c r="F37" s="20" t="s">
        <v>210</v>
      </c>
      <c r="G37" s="20" t="s">
        <v>55</v>
      </c>
      <c r="H37" s="15" t="s">
        <v>56</v>
      </c>
      <c r="I37" s="20" t="s">
        <v>57</v>
      </c>
      <c r="J37" s="16">
        <v>50</v>
      </c>
      <c r="K37" s="18">
        <v>86</v>
      </c>
      <c r="L37" s="17">
        <v>4300</v>
      </c>
      <c r="M37" s="18">
        <f t="shared" si="0"/>
        <v>86</v>
      </c>
      <c r="N37" s="15" t="s">
        <v>37</v>
      </c>
      <c r="O37" s="15" t="s">
        <v>33</v>
      </c>
      <c r="P37" s="20" t="s">
        <v>103</v>
      </c>
      <c r="Q37" s="20" t="s">
        <v>211</v>
      </c>
      <c r="R37" s="20" t="s">
        <v>212</v>
      </c>
      <c r="S37" s="15" t="s">
        <v>106</v>
      </c>
    </row>
    <row r="38" spans="2:19" x14ac:dyDescent="0.35">
      <c r="B38" s="9" t="s">
        <v>213</v>
      </c>
      <c r="C38" s="9">
        <v>31</v>
      </c>
      <c r="D38" s="9" t="s">
        <v>34</v>
      </c>
      <c r="E38" s="9" t="s">
        <v>214</v>
      </c>
      <c r="F38" s="14" t="s">
        <v>215</v>
      </c>
      <c r="G38" s="14" t="s">
        <v>55</v>
      </c>
      <c r="H38" s="9" t="s">
        <v>56</v>
      </c>
      <c r="I38" s="14" t="s">
        <v>57</v>
      </c>
      <c r="J38" s="10">
        <v>70</v>
      </c>
      <c r="K38" s="12">
        <v>150</v>
      </c>
      <c r="L38" s="11">
        <v>10500</v>
      </c>
      <c r="M38" s="12">
        <f t="shared" si="0"/>
        <v>150</v>
      </c>
      <c r="N38" s="9" t="s">
        <v>30</v>
      </c>
      <c r="O38" s="9" t="s">
        <v>31</v>
      </c>
      <c r="P38" s="14" t="s">
        <v>131</v>
      </c>
      <c r="Q38" s="14" t="s">
        <v>132</v>
      </c>
      <c r="R38" s="14" t="s">
        <v>185</v>
      </c>
      <c r="S38" s="9" t="s">
        <v>106</v>
      </c>
    </row>
    <row r="39" spans="2:19" x14ac:dyDescent="0.35">
      <c r="B39" s="15" t="s">
        <v>216</v>
      </c>
      <c r="C39" s="15">
        <v>32</v>
      </c>
      <c r="D39" s="15" t="s">
        <v>34</v>
      </c>
      <c r="E39" s="15" t="s">
        <v>217</v>
      </c>
      <c r="F39" s="20" t="s">
        <v>218</v>
      </c>
      <c r="G39" s="20" t="s">
        <v>55</v>
      </c>
      <c r="H39" s="15" t="s">
        <v>56</v>
      </c>
      <c r="I39" s="20" t="s">
        <v>57</v>
      </c>
      <c r="J39" s="16">
        <v>40</v>
      </c>
      <c r="K39" s="18">
        <v>20</v>
      </c>
      <c r="L39" s="17">
        <v>800</v>
      </c>
      <c r="M39" s="18">
        <f t="shared" si="0"/>
        <v>20</v>
      </c>
      <c r="N39" s="15" t="s">
        <v>37</v>
      </c>
      <c r="O39" s="15" t="s">
        <v>33</v>
      </c>
      <c r="P39" s="20" t="s">
        <v>103</v>
      </c>
      <c r="Q39" s="20" t="s">
        <v>104</v>
      </c>
      <c r="R39" s="20" t="s">
        <v>219</v>
      </c>
      <c r="S39" s="15" t="s">
        <v>106</v>
      </c>
    </row>
    <row r="40" spans="2:19" x14ac:dyDescent="0.35">
      <c r="B40" s="9" t="s">
        <v>220</v>
      </c>
      <c r="C40" s="9">
        <v>33</v>
      </c>
      <c r="D40" s="9" t="s">
        <v>34</v>
      </c>
      <c r="E40" s="9" t="s">
        <v>221</v>
      </c>
      <c r="F40" s="14" t="s">
        <v>210</v>
      </c>
      <c r="G40" s="14" t="s">
        <v>55</v>
      </c>
      <c r="H40" s="9" t="s">
        <v>56</v>
      </c>
      <c r="I40" s="14" t="s">
        <v>57</v>
      </c>
      <c r="J40" s="10">
        <v>70</v>
      </c>
      <c r="K40" s="12">
        <v>84.29</v>
      </c>
      <c r="L40" s="11">
        <v>5900</v>
      </c>
      <c r="M40" s="12">
        <f t="shared" ref="M40:M68" si="1">IF(J40&gt;0, ROUND(L40/J40, 2), K40)</f>
        <v>84.29</v>
      </c>
      <c r="N40" s="9" t="s">
        <v>37</v>
      </c>
      <c r="O40" s="9" t="s">
        <v>33</v>
      </c>
      <c r="P40" s="14" t="s">
        <v>103</v>
      </c>
      <c r="Q40" s="14" t="s">
        <v>211</v>
      </c>
      <c r="R40" s="14" t="s">
        <v>222</v>
      </c>
      <c r="S40" s="9" t="s">
        <v>106</v>
      </c>
    </row>
    <row r="41" spans="2:19" x14ac:dyDescent="0.35">
      <c r="B41" s="15" t="s">
        <v>223</v>
      </c>
      <c r="C41" s="15">
        <v>34</v>
      </c>
      <c r="D41" s="15" t="s">
        <v>34</v>
      </c>
      <c r="E41" s="15" t="s">
        <v>224</v>
      </c>
      <c r="F41" s="20" t="s">
        <v>64</v>
      </c>
      <c r="G41" s="20" t="s">
        <v>60</v>
      </c>
      <c r="H41" s="15" t="s">
        <v>61</v>
      </c>
      <c r="I41" s="20" t="s">
        <v>62</v>
      </c>
      <c r="J41" s="16">
        <v>50</v>
      </c>
      <c r="K41" s="18">
        <v>24</v>
      </c>
      <c r="L41" s="17">
        <v>1200</v>
      </c>
      <c r="M41" s="18">
        <f t="shared" si="1"/>
        <v>24</v>
      </c>
      <c r="N41" s="15" t="s">
        <v>37</v>
      </c>
      <c r="O41" s="15" t="s">
        <v>33</v>
      </c>
      <c r="P41" s="20" t="s">
        <v>103</v>
      </c>
      <c r="Q41" s="20" t="s">
        <v>104</v>
      </c>
      <c r="R41" s="20" t="s">
        <v>225</v>
      </c>
      <c r="S41" s="15" t="s">
        <v>106</v>
      </c>
    </row>
    <row r="42" spans="2:19" x14ac:dyDescent="0.35">
      <c r="B42" s="9" t="s">
        <v>226</v>
      </c>
      <c r="C42" s="9">
        <v>35</v>
      </c>
      <c r="D42" s="9" t="s">
        <v>34</v>
      </c>
      <c r="E42" s="9" t="s">
        <v>227</v>
      </c>
      <c r="F42" s="14" t="s">
        <v>228</v>
      </c>
      <c r="G42" s="14" t="s">
        <v>55</v>
      </c>
      <c r="H42" s="9" t="s">
        <v>56</v>
      </c>
      <c r="I42" s="14" t="s">
        <v>57</v>
      </c>
      <c r="J42" s="10">
        <v>150</v>
      </c>
      <c r="K42" s="12">
        <v>150</v>
      </c>
      <c r="L42" s="11">
        <v>22500</v>
      </c>
      <c r="M42" s="12">
        <f t="shared" si="1"/>
        <v>150</v>
      </c>
      <c r="N42" s="9" t="s">
        <v>30</v>
      </c>
      <c r="O42" s="9" t="s">
        <v>33</v>
      </c>
      <c r="P42" s="14" t="s">
        <v>188</v>
      </c>
      <c r="Q42" s="14" t="s">
        <v>132</v>
      </c>
      <c r="R42" s="14" t="s">
        <v>229</v>
      </c>
      <c r="S42" s="9" t="s">
        <v>106</v>
      </c>
    </row>
    <row r="43" spans="2:19" x14ac:dyDescent="0.35">
      <c r="B43" s="15" t="s">
        <v>230</v>
      </c>
      <c r="C43" s="15">
        <v>36</v>
      </c>
      <c r="D43" s="15" t="s">
        <v>34</v>
      </c>
      <c r="E43" s="15" t="s">
        <v>227</v>
      </c>
      <c r="F43" s="20" t="s">
        <v>231</v>
      </c>
      <c r="G43" s="20" t="s">
        <v>60</v>
      </c>
      <c r="H43" s="15" t="s">
        <v>61</v>
      </c>
      <c r="I43" s="20" t="s">
        <v>62</v>
      </c>
      <c r="J43" s="16">
        <v>50</v>
      </c>
      <c r="K43" s="18">
        <v>20</v>
      </c>
      <c r="L43" s="17">
        <v>1000</v>
      </c>
      <c r="M43" s="18">
        <f t="shared" si="1"/>
        <v>20</v>
      </c>
      <c r="N43" s="15" t="s">
        <v>37</v>
      </c>
      <c r="O43" s="15" t="s">
        <v>33</v>
      </c>
      <c r="P43" s="20" t="s">
        <v>103</v>
      </c>
      <c r="Q43" s="20" t="s">
        <v>156</v>
      </c>
      <c r="R43" s="20" t="s">
        <v>232</v>
      </c>
      <c r="S43" s="15" t="s">
        <v>106</v>
      </c>
    </row>
    <row r="44" spans="2:19" x14ac:dyDescent="0.35">
      <c r="B44" s="9" t="s">
        <v>233</v>
      </c>
      <c r="C44" s="9">
        <v>37</v>
      </c>
      <c r="D44" s="9" t="s">
        <v>34</v>
      </c>
      <c r="E44" s="9" t="s">
        <v>234</v>
      </c>
      <c r="F44" s="14" t="s">
        <v>218</v>
      </c>
      <c r="G44" s="14" t="s">
        <v>55</v>
      </c>
      <c r="H44" s="9" t="s">
        <v>56</v>
      </c>
      <c r="I44" s="14" t="s">
        <v>57</v>
      </c>
      <c r="J44" s="10">
        <v>60</v>
      </c>
      <c r="K44" s="12">
        <v>20</v>
      </c>
      <c r="L44" s="11">
        <v>1200</v>
      </c>
      <c r="M44" s="12">
        <f t="shared" si="1"/>
        <v>20</v>
      </c>
      <c r="N44" s="9" t="s">
        <v>37</v>
      </c>
      <c r="O44" s="9" t="s">
        <v>33</v>
      </c>
      <c r="P44" s="14" t="s">
        <v>103</v>
      </c>
      <c r="Q44" s="14" t="s">
        <v>132</v>
      </c>
      <c r="R44" s="14" t="s">
        <v>235</v>
      </c>
      <c r="S44" s="9" t="s">
        <v>106</v>
      </c>
    </row>
    <row r="45" spans="2:19" x14ac:dyDescent="0.35">
      <c r="B45" s="15" t="s">
        <v>236</v>
      </c>
      <c r="C45" s="15">
        <v>38</v>
      </c>
      <c r="D45" s="15" t="s">
        <v>34</v>
      </c>
      <c r="E45" s="15" t="s">
        <v>237</v>
      </c>
      <c r="F45" s="20" t="s">
        <v>74</v>
      </c>
      <c r="G45" s="20" t="s">
        <v>60</v>
      </c>
      <c r="H45" s="15" t="s">
        <v>61</v>
      </c>
      <c r="I45" s="20" t="s">
        <v>62</v>
      </c>
      <c r="J45" s="16">
        <v>30</v>
      </c>
      <c r="K45" s="18">
        <v>1800</v>
      </c>
      <c r="L45" s="17">
        <v>54000</v>
      </c>
      <c r="M45" s="18">
        <f t="shared" si="1"/>
        <v>1800</v>
      </c>
      <c r="N45" s="15" t="s">
        <v>30</v>
      </c>
      <c r="O45" s="15" t="s">
        <v>31</v>
      </c>
      <c r="P45" s="20" t="s">
        <v>131</v>
      </c>
      <c r="Q45" s="20" t="s">
        <v>127</v>
      </c>
      <c r="R45" s="20" t="s">
        <v>238</v>
      </c>
      <c r="S45" s="15" t="s">
        <v>106</v>
      </c>
    </row>
    <row r="46" spans="2:19" x14ac:dyDescent="0.35">
      <c r="B46" s="9" t="s">
        <v>239</v>
      </c>
      <c r="C46" s="9">
        <v>39</v>
      </c>
      <c r="D46" s="9" t="s">
        <v>34</v>
      </c>
      <c r="E46" s="9" t="s">
        <v>237</v>
      </c>
      <c r="F46" s="14" t="s">
        <v>240</v>
      </c>
      <c r="G46" s="14" t="s">
        <v>55</v>
      </c>
      <c r="H46" s="9" t="s">
        <v>56</v>
      </c>
      <c r="I46" s="14" t="s">
        <v>57</v>
      </c>
      <c r="J46" s="10">
        <v>110</v>
      </c>
      <c r="K46" s="12">
        <v>100</v>
      </c>
      <c r="L46" s="11">
        <v>11000</v>
      </c>
      <c r="M46" s="12">
        <f t="shared" si="1"/>
        <v>100</v>
      </c>
      <c r="N46" s="9" t="s">
        <v>37</v>
      </c>
      <c r="O46" s="9" t="s">
        <v>33</v>
      </c>
      <c r="P46" s="14" t="s">
        <v>103</v>
      </c>
      <c r="Q46" s="14" t="s">
        <v>132</v>
      </c>
      <c r="R46" s="14" t="s">
        <v>185</v>
      </c>
      <c r="S46" s="9" t="s">
        <v>106</v>
      </c>
    </row>
    <row r="47" spans="2:19" x14ac:dyDescent="0.35">
      <c r="B47" s="15" t="s">
        <v>241</v>
      </c>
      <c r="C47" s="15">
        <v>40</v>
      </c>
      <c r="D47" s="15" t="s">
        <v>34</v>
      </c>
      <c r="E47" s="15" t="s">
        <v>242</v>
      </c>
      <c r="F47" s="20" t="s">
        <v>74</v>
      </c>
      <c r="G47" s="20" t="s">
        <v>60</v>
      </c>
      <c r="H47" s="15" t="s">
        <v>61</v>
      </c>
      <c r="I47" s="20" t="s">
        <v>62</v>
      </c>
      <c r="J47" s="16">
        <v>40</v>
      </c>
      <c r="K47" s="18">
        <v>100</v>
      </c>
      <c r="L47" s="17">
        <v>4000</v>
      </c>
      <c r="M47" s="18">
        <f t="shared" si="1"/>
        <v>100</v>
      </c>
      <c r="N47" s="15" t="s">
        <v>30</v>
      </c>
      <c r="O47" s="15" t="s">
        <v>31</v>
      </c>
      <c r="P47" s="20" t="s">
        <v>131</v>
      </c>
      <c r="Q47" s="20" t="s">
        <v>127</v>
      </c>
      <c r="R47" s="20" t="s">
        <v>238</v>
      </c>
      <c r="S47" s="15" t="s">
        <v>106</v>
      </c>
    </row>
    <row r="48" spans="2:19" x14ac:dyDescent="0.35">
      <c r="B48" s="9" t="s">
        <v>243</v>
      </c>
      <c r="C48" s="9">
        <v>41</v>
      </c>
      <c r="D48" s="9" t="s">
        <v>34</v>
      </c>
      <c r="E48" s="9" t="s">
        <v>242</v>
      </c>
      <c r="F48" s="14" t="s">
        <v>64</v>
      </c>
      <c r="G48" s="14" t="s">
        <v>65</v>
      </c>
      <c r="H48" s="9" t="s">
        <v>61</v>
      </c>
      <c r="I48" s="14" t="s">
        <v>66</v>
      </c>
      <c r="J48" s="10">
        <v>100</v>
      </c>
      <c r="K48" s="12">
        <v>28</v>
      </c>
      <c r="L48" s="11">
        <v>2800</v>
      </c>
      <c r="M48" s="12">
        <f t="shared" si="1"/>
        <v>28</v>
      </c>
      <c r="N48" s="9" t="s">
        <v>37</v>
      </c>
      <c r="O48" s="9" t="s">
        <v>33</v>
      </c>
      <c r="P48" s="14" t="s">
        <v>103</v>
      </c>
      <c r="Q48" s="14" t="s">
        <v>244</v>
      </c>
      <c r="R48" s="14" t="s">
        <v>245</v>
      </c>
      <c r="S48" s="9" t="s">
        <v>106</v>
      </c>
    </row>
    <row r="49" spans="2:19" x14ac:dyDescent="0.35">
      <c r="B49" s="15" t="s">
        <v>246</v>
      </c>
      <c r="C49" s="15">
        <v>42</v>
      </c>
      <c r="D49" s="15" t="s">
        <v>34</v>
      </c>
      <c r="E49" s="15" t="s">
        <v>247</v>
      </c>
      <c r="F49" s="20" t="s">
        <v>81</v>
      </c>
      <c r="G49" s="20" t="s">
        <v>60</v>
      </c>
      <c r="H49" s="15" t="s">
        <v>61</v>
      </c>
      <c r="I49" s="20" t="s">
        <v>62</v>
      </c>
      <c r="J49" s="16">
        <v>100</v>
      </c>
      <c r="K49" s="18">
        <v>60</v>
      </c>
      <c r="L49" s="17">
        <v>6000</v>
      </c>
      <c r="M49" s="18">
        <f t="shared" si="1"/>
        <v>60</v>
      </c>
      <c r="N49" s="15" t="s">
        <v>30</v>
      </c>
      <c r="O49" s="15" t="s">
        <v>33</v>
      </c>
      <c r="P49" s="20" t="s">
        <v>188</v>
      </c>
      <c r="Q49" s="20" t="s">
        <v>127</v>
      </c>
      <c r="R49" s="20" t="s">
        <v>248</v>
      </c>
      <c r="S49" s="15" t="s">
        <v>106</v>
      </c>
    </row>
    <row r="50" spans="2:19" x14ac:dyDescent="0.35">
      <c r="B50" s="9" t="s">
        <v>249</v>
      </c>
      <c r="C50" s="9">
        <v>43</v>
      </c>
      <c r="D50" s="9" t="s">
        <v>34</v>
      </c>
      <c r="E50" s="9" t="s">
        <v>250</v>
      </c>
      <c r="F50" s="14" t="s">
        <v>78</v>
      </c>
      <c r="G50" s="14" t="s">
        <v>55</v>
      </c>
      <c r="H50" s="9" t="s">
        <v>56</v>
      </c>
      <c r="I50" s="14" t="s">
        <v>57</v>
      </c>
      <c r="J50" s="10">
        <v>95</v>
      </c>
      <c r="K50" s="12">
        <v>500</v>
      </c>
      <c r="L50" s="11">
        <v>47500</v>
      </c>
      <c r="M50" s="12">
        <f t="shared" si="1"/>
        <v>500</v>
      </c>
      <c r="N50" s="9" t="s">
        <v>39</v>
      </c>
      <c r="O50" s="9" t="s">
        <v>35</v>
      </c>
      <c r="P50" s="14" t="s">
        <v>251</v>
      </c>
      <c r="Q50" s="14" t="s">
        <v>127</v>
      </c>
      <c r="R50" s="14" t="s">
        <v>252</v>
      </c>
      <c r="S50" s="9" t="s">
        <v>106</v>
      </c>
    </row>
    <row r="51" spans="2:19" x14ac:dyDescent="0.35">
      <c r="B51" s="15" t="s">
        <v>253</v>
      </c>
      <c r="C51" s="15">
        <v>44</v>
      </c>
      <c r="D51" s="15" t="s">
        <v>36</v>
      </c>
      <c r="E51" s="15" t="s">
        <v>254</v>
      </c>
      <c r="F51" s="20" t="s">
        <v>255</v>
      </c>
      <c r="G51" s="20" t="s">
        <v>256</v>
      </c>
      <c r="H51" s="15" t="s">
        <v>61</v>
      </c>
      <c r="I51" s="20" t="s">
        <v>66</v>
      </c>
      <c r="J51" s="16">
        <v>22</v>
      </c>
      <c r="K51" s="18">
        <v>326.82</v>
      </c>
      <c r="L51" s="17">
        <v>7190</v>
      </c>
      <c r="M51" s="18">
        <f t="shared" si="1"/>
        <v>326.82</v>
      </c>
      <c r="N51" s="15" t="s">
        <v>39</v>
      </c>
      <c r="O51" s="15" t="s">
        <v>35</v>
      </c>
      <c r="P51" s="20" t="s">
        <v>251</v>
      </c>
      <c r="Q51" s="20" t="s">
        <v>156</v>
      </c>
      <c r="R51" s="20" t="s">
        <v>257</v>
      </c>
      <c r="S51" s="15" t="s">
        <v>106</v>
      </c>
    </row>
    <row r="52" spans="2:19" x14ac:dyDescent="0.35">
      <c r="B52" s="9" t="s">
        <v>258</v>
      </c>
      <c r="C52" s="9">
        <v>45</v>
      </c>
      <c r="D52" s="9" t="s">
        <v>36</v>
      </c>
      <c r="E52" s="9" t="s">
        <v>254</v>
      </c>
      <c r="F52" s="14" t="s">
        <v>259</v>
      </c>
      <c r="G52" s="14" t="s">
        <v>65</v>
      </c>
      <c r="H52" s="9" t="s">
        <v>61</v>
      </c>
      <c r="I52" s="14" t="s">
        <v>66</v>
      </c>
      <c r="J52" s="10">
        <v>50</v>
      </c>
      <c r="K52" s="12">
        <v>128</v>
      </c>
      <c r="L52" s="11">
        <v>6400</v>
      </c>
      <c r="M52" s="12">
        <f t="shared" si="1"/>
        <v>128</v>
      </c>
      <c r="N52" s="9" t="s">
        <v>37</v>
      </c>
      <c r="O52" s="9" t="s">
        <v>33</v>
      </c>
      <c r="P52" s="14" t="s">
        <v>103</v>
      </c>
      <c r="Q52" s="14" t="s">
        <v>147</v>
      </c>
      <c r="R52" s="14" t="s">
        <v>260</v>
      </c>
      <c r="S52" s="9" t="s">
        <v>106</v>
      </c>
    </row>
    <row r="53" spans="2:19" x14ac:dyDescent="0.35">
      <c r="B53" s="15" t="s">
        <v>261</v>
      </c>
      <c r="C53" s="15">
        <v>46</v>
      </c>
      <c r="D53" s="15" t="s">
        <v>36</v>
      </c>
      <c r="E53" s="15" t="s">
        <v>262</v>
      </c>
      <c r="F53" s="20" t="s">
        <v>164</v>
      </c>
      <c r="G53" s="20" t="s">
        <v>65</v>
      </c>
      <c r="H53" s="15" t="s">
        <v>61</v>
      </c>
      <c r="I53" s="20" t="s">
        <v>66</v>
      </c>
      <c r="J53" s="16">
        <v>320</v>
      </c>
      <c r="K53" s="18">
        <v>22</v>
      </c>
      <c r="L53" s="17">
        <v>7040</v>
      </c>
      <c r="M53" s="18">
        <f t="shared" si="1"/>
        <v>22</v>
      </c>
      <c r="N53" s="15" t="s">
        <v>39</v>
      </c>
      <c r="O53" s="15" t="s">
        <v>35</v>
      </c>
      <c r="P53" s="20" t="s">
        <v>251</v>
      </c>
      <c r="Q53" s="20" t="s">
        <v>127</v>
      </c>
      <c r="R53" s="20" t="s">
        <v>263</v>
      </c>
      <c r="S53" s="15" t="s">
        <v>106</v>
      </c>
    </row>
    <row r="54" spans="2:19" x14ac:dyDescent="0.35">
      <c r="B54" s="9" t="s">
        <v>264</v>
      </c>
      <c r="C54" s="9">
        <v>47</v>
      </c>
      <c r="D54" s="9" t="s">
        <v>36</v>
      </c>
      <c r="E54" s="9" t="s">
        <v>262</v>
      </c>
      <c r="F54" s="14" t="s">
        <v>164</v>
      </c>
      <c r="G54" s="14" t="s">
        <v>65</v>
      </c>
      <c r="H54" s="9" t="s">
        <v>61</v>
      </c>
      <c r="I54" s="14" t="s">
        <v>66</v>
      </c>
      <c r="J54" s="10">
        <v>300</v>
      </c>
      <c r="K54" s="12">
        <v>22</v>
      </c>
      <c r="L54" s="11">
        <v>6600</v>
      </c>
      <c r="M54" s="12">
        <f t="shared" si="1"/>
        <v>22</v>
      </c>
      <c r="N54" s="9" t="s">
        <v>39</v>
      </c>
      <c r="O54" s="9" t="s">
        <v>35</v>
      </c>
      <c r="P54" s="14" t="s">
        <v>251</v>
      </c>
      <c r="Q54" s="14" t="s">
        <v>127</v>
      </c>
      <c r="R54" s="14" t="s">
        <v>263</v>
      </c>
      <c r="S54" s="9" t="s">
        <v>106</v>
      </c>
    </row>
    <row r="55" spans="2:19" x14ac:dyDescent="0.35">
      <c r="B55" s="15" t="s">
        <v>265</v>
      </c>
      <c r="C55" s="15">
        <v>48</v>
      </c>
      <c r="D55" s="15" t="s">
        <v>36</v>
      </c>
      <c r="E55" s="15" t="s">
        <v>266</v>
      </c>
      <c r="F55" s="20" t="s">
        <v>59</v>
      </c>
      <c r="G55" s="20" t="s">
        <v>55</v>
      </c>
      <c r="H55" s="15" t="s">
        <v>56</v>
      </c>
      <c r="I55" s="20" t="s">
        <v>57</v>
      </c>
      <c r="J55" s="16">
        <v>170</v>
      </c>
      <c r="K55" s="18">
        <v>500</v>
      </c>
      <c r="L55" s="17">
        <v>85000</v>
      </c>
      <c r="M55" s="18">
        <f t="shared" si="1"/>
        <v>500</v>
      </c>
      <c r="N55" s="15" t="s">
        <v>30</v>
      </c>
      <c r="O55" s="15" t="s">
        <v>31</v>
      </c>
      <c r="P55" s="20" t="s">
        <v>131</v>
      </c>
      <c r="Q55" s="20" t="s">
        <v>147</v>
      </c>
      <c r="R55" s="20" t="s">
        <v>267</v>
      </c>
      <c r="S55" s="15" t="s">
        <v>106</v>
      </c>
    </row>
    <row r="56" spans="2:19" x14ac:dyDescent="0.35">
      <c r="B56" s="9" t="s">
        <v>268</v>
      </c>
      <c r="C56" s="9">
        <v>49</v>
      </c>
      <c r="D56" s="9" t="s">
        <v>36</v>
      </c>
      <c r="E56" s="9" t="s">
        <v>269</v>
      </c>
      <c r="F56" s="14" t="s">
        <v>71</v>
      </c>
      <c r="G56" s="14" t="s">
        <v>55</v>
      </c>
      <c r="H56" s="9" t="s">
        <v>56</v>
      </c>
      <c r="I56" s="14" t="s">
        <v>57</v>
      </c>
      <c r="J56" s="10">
        <v>500</v>
      </c>
      <c r="K56" s="12">
        <v>33.25</v>
      </c>
      <c r="L56" s="11">
        <v>16625</v>
      </c>
      <c r="M56" s="12">
        <f t="shared" si="1"/>
        <v>33.25</v>
      </c>
      <c r="N56" s="9" t="s">
        <v>30</v>
      </c>
      <c r="O56" s="9" t="s">
        <v>31</v>
      </c>
      <c r="P56" s="14" t="s">
        <v>131</v>
      </c>
      <c r="Q56" s="14" t="s">
        <v>156</v>
      </c>
      <c r="R56" s="14" t="s">
        <v>270</v>
      </c>
      <c r="S56" s="9" t="s">
        <v>106</v>
      </c>
    </row>
    <row r="57" spans="2:19" x14ac:dyDescent="0.35">
      <c r="B57" s="15" t="s">
        <v>271</v>
      </c>
      <c r="C57" s="15">
        <v>50</v>
      </c>
      <c r="D57" s="15" t="s">
        <v>36</v>
      </c>
      <c r="E57" s="15" t="s">
        <v>269</v>
      </c>
      <c r="F57" s="20" t="s">
        <v>71</v>
      </c>
      <c r="G57" s="20" t="s">
        <v>79</v>
      </c>
      <c r="H57" s="15" t="s">
        <v>61</v>
      </c>
      <c r="I57" s="20" t="s">
        <v>66</v>
      </c>
      <c r="J57" s="16">
        <v>1500</v>
      </c>
      <c r="K57" s="18">
        <v>33.25</v>
      </c>
      <c r="L57" s="17">
        <v>49875</v>
      </c>
      <c r="M57" s="18">
        <f t="shared" si="1"/>
        <v>33.25</v>
      </c>
      <c r="N57" s="15" t="s">
        <v>30</v>
      </c>
      <c r="O57" s="15" t="s">
        <v>31</v>
      </c>
      <c r="P57" s="20" t="s">
        <v>131</v>
      </c>
      <c r="Q57" s="20" t="s">
        <v>156</v>
      </c>
      <c r="R57" s="20" t="s">
        <v>272</v>
      </c>
      <c r="S57" s="15" t="s">
        <v>106</v>
      </c>
    </row>
    <row r="58" spans="2:19" x14ac:dyDescent="0.35">
      <c r="B58" s="9" t="s">
        <v>273</v>
      </c>
      <c r="C58" s="9">
        <v>51</v>
      </c>
      <c r="D58" s="9" t="s">
        <v>36</v>
      </c>
      <c r="E58" s="9" t="s">
        <v>274</v>
      </c>
      <c r="F58" s="14" t="s">
        <v>275</v>
      </c>
      <c r="G58" s="14" t="s">
        <v>79</v>
      </c>
      <c r="H58" s="9" t="s">
        <v>61</v>
      </c>
      <c r="I58" s="14" t="s">
        <v>66</v>
      </c>
      <c r="J58" s="10">
        <v>110</v>
      </c>
      <c r="K58" s="12">
        <v>200</v>
      </c>
      <c r="L58" s="11">
        <v>22000</v>
      </c>
      <c r="M58" s="12">
        <f t="shared" si="1"/>
        <v>200</v>
      </c>
      <c r="N58" s="9" t="s">
        <v>30</v>
      </c>
      <c r="O58" s="9" t="s">
        <v>33</v>
      </c>
      <c r="P58" s="14" t="s">
        <v>188</v>
      </c>
      <c r="Q58" s="14" t="s">
        <v>132</v>
      </c>
      <c r="R58" s="14" t="s">
        <v>276</v>
      </c>
      <c r="S58" s="9" t="s">
        <v>106</v>
      </c>
    </row>
    <row r="59" spans="2:19" x14ac:dyDescent="0.35">
      <c r="B59" s="15" t="s">
        <v>277</v>
      </c>
      <c r="C59" s="15">
        <v>52</v>
      </c>
      <c r="D59" s="15" t="s">
        <v>36</v>
      </c>
      <c r="E59" s="15" t="s">
        <v>274</v>
      </c>
      <c r="F59" s="20" t="s">
        <v>154</v>
      </c>
      <c r="G59" s="20" t="s">
        <v>60</v>
      </c>
      <c r="H59" s="15" t="s">
        <v>61</v>
      </c>
      <c r="I59" s="20" t="s">
        <v>62</v>
      </c>
      <c r="J59" s="16">
        <v>30</v>
      </c>
      <c r="K59" s="18">
        <v>41.67</v>
      </c>
      <c r="L59" s="17">
        <v>1250</v>
      </c>
      <c r="M59" s="18">
        <f t="shared" si="1"/>
        <v>41.67</v>
      </c>
      <c r="N59" s="15" t="s">
        <v>37</v>
      </c>
      <c r="O59" s="15" t="s">
        <v>33</v>
      </c>
      <c r="P59" s="20" t="s">
        <v>103</v>
      </c>
      <c r="Q59" s="20" t="s">
        <v>104</v>
      </c>
      <c r="R59" s="20" t="s">
        <v>278</v>
      </c>
      <c r="S59" s="15" t="s">
        <v>106</v>
      </c>
    </row>
    <row r="60" spans="2:19" x14ac:dyDescent="0.35">
      <c r="B60" s="9" t="s">
        <v>279</v>
      </c>
      <c r="C60" s="9">
        <v>53</v>
      </c>
      <c r="D60" s="9" t="s">
        <v>36</v>
      </c>
      <c r="E60" s="9" t="s">
        <v>280</v>
      </c>
      <c r="F60" s="14" t="s">
        <v>281</v>
      </c>
      <c r="G60" s="14" t="s">
        <v>282</v>
      </c>
      <c r="H60" s="9" t="s">
        <v>61</v>
      </c>
      <c r="I60" s="14" t="s">
        <v>180</v>
      </c>
      <c r="J60" s="10">
        <v>6</v>
      </c>
      <c r="K60" s="12">
        <v>200</v>
      </c>
      <c r="L60" s="11">
        <v>1200</v>
      </c>
      <c r="M60" s="12">
        <f t="shared" si="1"/>
        <v>200</v>
      </c>
      <c r="N60" s="9" t="s">
        <v>37</v>
      </c>
      <c r="O60" s="9" t="s">
        <v>33</v>
      </c>
      <c r="P60" s="14" t="s">
        <v>103</v>
      </c>
      <c r="Q60" s="14" t="s">
        <v>132</v>
      </c>
      <c r="R60" s="14" t="s">
        <v>283</v>
      </c>
      <c r="S60" s="9" t="s">
        <v>106</v>
      </c>
    </row>
    <row r="61" spans="2:19" x14ac:dyDescent="0.35">
      <c r="B61" s="15" t="s">
        <v>284</v>
      </c>
      <c r="C61" s="15">
        <v>54</v>
      </c>
      <c r="D61" s="15" t="s">
        <v>36</v>
      </c>
      <c r="E61" s="15" t="s">
        <v>280</v>
      </c>
      <c r="F61" s="20" t="s">
        <v>218</v>
      </c>
      <c r="G61" s="20" t="s">
        <v>55</v>
      </c>
      <c r="H61" s="15" t="s">
        <v>56</v>
      </c>
      <c r="I61" s="20" t="s">
        <v>57</v>
      </c>
      <c r="J61" s="16">
        <v>65</v>
      </c>
      <c r="K61" s="18">
        <v>20</v>
      </c>
      <c r="L61" s="17">
        <v>1300</v>
      </c>
      <c r="M61" s="18">
        <f t="shared" si="1"/>
        <v>20</v>
      </c>
      <c r="N61" s="15" t="s">
        <v>37</v>
      </c>
      <c r="O61" s="15" t="s">
        <v>33</v>
      </c>
      <c r="P61" s="20" t="s">
        <v>103</v>
      </c>
      <c r="Q61" s="20" t="s">
        <v>104</v>
      </c>
      <c r="R61" s="20" t="s">
        <v>175</v>
      </c>
      <c r="S61" s="15" t="s">
        <v>106</v>
      </c>
    </row>
    <row r="62" spans="2:19" x14ac:dyDescent="0.35">
      <c r="B62" s="9" t="s">
        <v>285</v>
      </c>
      <c r="C62" s="9">
        <v>55</v>
      </c>
      <c r="D62" s="9" t="s">
        <v>36</v>
      </c>
      <c r="E62" s="9" t="s">
        <v>286</v>
      </c>
      <c r="F62" s="14" t="s">
        <v>64</v>
      </c>
      <c r="G62" s="14" t="s">
        <v>287</v>
      </c>
      <c r="H62" s="9" t="s">
        <v>61</v>
      </c>
      <c r="I62" s="14" t="s">
        <v>76</v>
      </c>
      <c r="J62" s="10">
        <v>100</v>
      </c>
      <c r="K62" s="12">
        <v>150</v>
      </c>
      <c r="L62" s="11">
        <v>15000</v>
      </c>
      <c r="M62" s="12">
        <f t="shared" si="1"/>
        <v>150</v>
      </c>
      <c r="N62" s="9" t="s">
        <v>30</v>
      </c>
      <c r="O62" s="9" t="s">
        <v>33</v>
      </c>
      <c r="P62" s="14" t="s">
        <v>188</v>
      </c>
      <c r="Q62" s="14" t="s">
        <v>132</v>
      </c>
      <c r="R62" s="14" t="s">
        <v>288</v>
      </c>
      <c r="S62" s="9" t="s">
        <v>106</v>
      </c>
    </row>
    <row r="63" spans="2:19" x14ac:dyDescent="0.35">
      <c r="B63" s="15" t="s">
        <v>289</v>
      </c>
      <c r="C63" s="15">
        <v>56</v>
      </c>
      <c r="D63" s="15" t="s">
        <v>36</v>
      </c>
      <c r="E63" s="15" t="s">
        <v>286</v>
      </c>
      <c r="F63" s="20" t="s">
        <v>59</v>
      </c>
      <c r="G63" s="20" t="s">
        <v>55</v>
      </c>
      <c r="H63" s="15" t="s">
        <v>56</v>
      </c>
      <c r="I63" s="20" t="s">
        <v>57</v>
      </c>
      <c r="J63" s="16">
        <v>30</v>
      </c>
      <c r="K63" s="18">
        <v>368.33</v>
      </c>
      <c r="L63" s="17">
        <v>11050</v>
      </c>
      <c r="M63" s="18">
        <f t="shared" si="1"/>
        <v>368.33</v>
      </c>
      <c r="N63" s="15" t="s">
        <v>40</v>
      </c>
      <c r="O63" s="15" t="s">
        <v>33</v>
      </c>
      <c r="P63" s="20" t="s">
        <v>290</v>
      </c>
      <c r="Q63" s="20" t="s">
        <v>127</v>
      </c>
      <c r="R63" s="20" t="s">
        <v>291</v>
      </c>
      <c r="S63" s="15" t="s">
        <v>106</v>
      </c>
    </row>
    <row r="64" spans="2:19" x14ac:dyDescent="0.35">
      <c r="B64" s="9" t="s">
        <v>292</v>
      </c>
      <c r="C64" s="9">
        <v>57</v>
      </c>
      <c r="D64" s="9" t="s">
        <v>36</v>
      </c>
      <c r="E64" s="9" t="s">
        <v>286</v>
      </c>
      <c r="F64" s="14" t="s">
        <v>59</v>
      </c>
      <c r="G64" s="14" t="s">
        <v>55</v>
      </c>
      <c r="H64" s="9" t="s">
        <v>56</v>
      </c>
      <c r="I64" s="14" t="s">
        <v>57</v>
      </c>
      <c r="J64" s="10">
        <v>27</v>
      </c>
      <c r="K64" s="12">
        <v>353.7</v>
      </c>
      <c r="L64" s="11">
        <v>9550</v>
      </c>
      <c r="M64" s="12">
        <f t="shared" si="1"/>
        <v>353.7</v>
      </c>
      <c r="N64" s="9" t="s">
        <v>40</v>
      </c>
      <c r="O64" s="9" t="s">
        <v>33</v>
      </c>
      <c r="P64" s="14" t="s">
        <v>290</v>
      </c>
      <c r="Q64" s="14" t="s">
        <v>127</v>
      </c>
      <c r="R64" s="14" t="s">
        <v>291</v>
      </c>
      <c r="S64" s="9" t="s">
        <v>106</v>
      </c>
    </row>
    <row r="65" spans="2:19" x14ac:dyDescent="0.35">
      <c r="B65" s="15" t="s">
        <v>293</v>
      </c>
      <c r="C65" s="15">
        <v>58</v>
      </c>
      <c r="D65" s="15" t="s">
        <v>36</v>
      </c>
      <c r="E65" s="15" t="s">
        <v>294</v>
      </c>
      <c r="F65" s="20" t="s">
        <v>295</v>
      </c>
      <c r="G65" s="20" t="s">
        <v>60</v>
      </c>
      <c r="H65" s="15" t="s">
        <v>61</v>
      </c>
      <c r="I65" s="20" t="s">
        <v>62</v>
      </c>
      <c r="J65" s="16">
        <v>50</v>
      </c>
      <c r="K65" s="18">
        <v>200</v>
      </c>
      <c r="L65" s="17">
        <v>10000</v>
      </c>
      <c r="M65" s="18">
        <f t="shared" si="1"/>
        <v>200</v>
      </c>
      <c r="N65" s="15" t="s">
        <v>30</v>
      </c>
      <c r="O65" s="15" t="s">
        <v>33</v>
      </c>
      <c r="P65" s="20" t="s">
        <v>188</v>
      </c>
      <c r="Q65" s="20" t="s">
        <v>132</v>
      </c>
      <c r="R65" s="20" t="s">
        <v>296</v>
      </c>
      <c r="S65" s="15" t="s">
        <v>106</v>
      </c>
    </row>
    <row r="66" spans="2:19" x14ac:dyDescent="0.35">
      <c r="B66" s="9" t="s">
        <v>297</v>
      </c>
      <c r="C66" s="9">
        <v>59</v>
      </c>
      <c r="D66" s="9" t="s">
        <v>36</v>
      </c>
      <c r="E66" s="9" t="s">
        <v>294</v>
      </c>
      <c r="F66" s="14" t="s">
        <v>164</v>
      </c>
      <c r="G66" s="14" t="s">
        <v>65</v>
      </c>
      <c r="H66" s="9" t="s">
        <v>61</v>
      </c>
      <c r="I66" s="14" t="s">
        <v>66</v>
      </c>
      <c r="J66" s="10">
        <v>25</v>
      </c>
      <c r="K66" s="12">
        <v>500</v>
      </c>
      <c r="L66" s="11">
        <v>12500</v>
      </c>
      <c r="M66" s="12">
        <f t="shared" si="1"/>
        <v>500</v>
      </c>
      <c r="N66" s="9" t="s">
        <v>39</v>
      </c>
      <c r="O66" s="9" t="s">
        <v>35</v>
      </c>
      <c r="P66" s="14" t="s">
        <v>251</v>
      </c>
      <c r="Q66" s="14" t="s">
        <v>127</v>
      </c>
      <c r="R66" s="14" t="s">
        <v>298</v>
      </c>
      <c r="S66" s="9" t="s">
        <v>106</v>
      </c>
    </row>
    <row r="67" spans="2:19" x14ac:dyDescent="0.35">
      <c r="B67" s="15" t="s">
        <v>299</v>
      </c>
      <c r="C67" s="15">
        <v>60</v>
      </c>
      <c r="D67" s="15" t="s">
        <v>36</v>
      </c>
      <c r="E67" s="15" t="s">
        <v>300</v>
      </c>
      <c r="F67" s="20" t="s">
        <v>64</v>
      </c>
      <c r="G67" s="20" t="s">
        <v>60</v>
      </c>
      <c r="H67" s="15" t="s">
        <v>61</v>
      </c>
      <c r="I67" s="20" t="s">
        <v>62</v>
      </c>
      <c r="J67" s="16">
        <v>120</v>
      </c>
      <c r="K67" s="18">
        <v>150</v>
      </c>
      <c r="L67" s="17">
        <v>18000</v>
      </c>
      <c r="M67" s="18">
        <f t="shared" si="1"/>
        <v>150</v>
      </c>
      <c r="N67" s="15" t="s">
        <v>30</v>
      </c>
      <c r="O67" s="15" t="s">
        <v>33</v>
      </c>
      <c r="P67" s="20" t="s">
        <v>188</v>
      </c>
      <c r="Q67" s="20" t="s">
        <v>132</v>
      </c>
      <c r="R67" s="20" t="s">
        <v>229</v>
      </c>
      <c r="S67" s="15" t="s">
        <v>106</v>
      </c>
    </row>
    <row r="68" spans="2:19" x14ac:dyDescent="0.35">
      <c r="B68" s="9" t="s">
        <v>301</v>
      </c>
      <c r="C68" s="9">
        <v>61</v>
      </c>
      <c r="D68" s="9" t="s">
        <v>36</v>
      </c>
      <c r="E68" s="9" t="s">
        <v>302</v>
      </c>
      <c r="F68" s="14" t="s">
        <v>59</v>
      </c>
      <c r="G68" s="14" t="s">
        <v>60</v>
      </c>
      <c r="H68" s="9" t="s">
        <v>61</v>
      </c>
      <c r="I68" s="14" t="s">
        <v>62</v>
      </c>
      <c r="J68" s="10">
        <v>85</v>
      </c>
      <c r="K68" s="12">
        <v>100</v>
      </c>
      <c r="L68" s="11">
        <v>8500</v>
      </c>
      <c r="M68" s="12">
        <f t="shared" si="1"/>
        <v>100</v>
      </c>
      <c r="N68" s="9" t="s">
        <v>30</v>
      </c>
      <c r="O68" s="9" t="s">
        <v>33</v>
      </c>
      <c r="P68" s="14" t="s">
        <v>188</v>
      </c>
      <c r="Q68" s="14" t="s">
        <v>147</v>
      </c>
      <c r="R68" s="14" t="s">
        <v>303</v>
      </c>
      <c r="S68" s="9" t="s">
        <v>106</v>
      </c>
    </row>
    <row r="69" spans="2:19" x14ac:dyDescent="0.35">
      <c r="B69" s="45"/>
      <c r="C69" s="45"/>
      <c r="D69" s="45" t="s">
        <v>401</v>
      </c>
      <c r="E69" s="45"/>
      <c r="F69" s="46"/>
      <c r="G69" s="46"/>
      <c r="H69" s="45"/>
      <c r="I69" s="46"/>
      <c r="J69" s="47"/>
      <c r="K69" s="48"/>
      <c r="L69" s="49"/>
      <c r="M69" s="48"/>
      <c r="N69" s="45"/>
      <c r="O69" s="45"/>
      <c r="P69" s="46"/>
      <c r="Q69" s="46"/>
      <c r="R69" s="46"/>
      <c r="S69" s="45"/>
    </row>
    <row r="70" spans="2:19" x14ac:dyDescent="0.35">
      <c r="B70" s="45"/>
      <c r="C70" s="45"/>
      <c r="D70" s="45"/>
      <c r="E70" s="45"/>
      <c r="F70" s="46"/>
      <c r="G70" s="46"/>
      <c r="H70" s="45"/>
      <c r="I70" s="46"/>
      <c r="J70" s="47"/>
      <c r="K70" s="48"/>
      <c r="L70" s="49"/>
      <c r="M70" s="48"/>
      <c r="N70" s="45"/>
      <c r="O70" s="45"/>
      <c r="P70" s="46"/>
      <c r="Q70" s="46"/>
      <c r="R70" s="46"/>
      <c r="S70" s="45"/>
    </row>
    <row r="71" spans="2:19" x14ac:dyDescent="0.35">
      <c r="B71" s="21" t="s">
        <v>304</v>
      </c>
      <c r="C71" s="21" t="str">
        <f>COUNTA(B8:B68) &amp; " Events"</f>
        <v>61 Events</v>
      </c>
      <c r="D71" s="27"/>
      <c r="E71" s="27"/>
      <c r="F71" s="27"/>
      <c r="G71" s="27"/>
      <c r="H71" s="27"/>
      <c r="I71" s="27"/>
      <c r="J71" s="22">
        <f>SUM(J8:J68)</f>
        <v>8931</v>
      </c>
      <c r="K71" s="24">
        <f>AVERAGE(K8:K68)</f>
        <v>165.75721311475411</v>
      </c>
      <c r="L71" s="23">
        <f>SUM(L8:L68)</f>
        <v>1240303</v>
      </c>
      <c r="M71" s="24">
        <f>IF(J71&gt;0, L71/J71, 0)</f>
        <v>138.87616168402195</v>
      </c>
      <c r="N71" s="27"/>
      <c r="O71" s="27"/>
      <c r="P71" s="27"/>
      <c r="Q71" s="27"/>
      <c r="R71" s="27"/>
      <c r="S71" s="27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100-000000000000}">
          <x14:formula1>
            <xm:f>'Lookups &amp; Settings'!$D$8:$D$11</xm:f>
          </x14:formula1>
          <xm:sqref>D8:D91</xm:sqref>
        </x14:dataValidation>
        <x14:dataValidation type="list" allowBlank="1" xr:uid="{00000000-0002-0000-0100-000001000000}">
          <x14:formula1>
            <xm:f>'Lookups &amp; Settings'!$F$8:$F$16</xm:f>
          </x14:formula1>
          <xm:sqref>Q8:Q91</xm:sqref>
        </x14:dataValidation>
        <x14:dataValidation type="list" allowBlank="1" xr:uid="{00000000-0002-0000-0100-000002000000}">
          <x14:formula1>
            <xm:f>'Lookups &amp; Settings'!$H$8:$H$23</xm:f>
          </x14:formula1>
          <xm:sqref>G8:G91</xm:sqref>
        </x14:dataValidation>
        <x14:dataValidation type="list" allowBlank="1" xr:uid="{00000000-0002-0000-0100-000003000000}">
          <x14:formula1>
            <xm:f>'Lookups &amp; Settings'!$J$8:$J$11</xm:f>
          </x14:formula1>
          <xm:sqref>N8:N91</xm:sqref>
        </x14:dataValidation>
        <x14:dataValidation type="list" allowBlank="1" xr:uid="{00000000-0002-0000-0100-000004000000}">
          <x14:formula1>
            <xm:f>'Lookups &amp; Settings'!$L$8:$L$10</xm:f>
          </x14:formula1>
          <xm:sqref>O8:O91</xm:sqref>
        </x14:dataValidation>
        <x14:dataValidation type="list" allowBlank="1" xr:uid="{00000000-0002-0000-0100-000005000000}">
          <x14:formula1>
            <xm:f>'Lookups &amp; Settings'!$P$8:$P$11</xm:f>
          </x14:formula1>
          <xm:sqref>S8:S91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98"/>
  <sheetViews>
    <sheetView topLeftCell="A19" workbookViewId="0">
      <selection activeCell="E23" sqref="E23"/>
    </sheetView>
  </sheetViews>
  <sheetFormatPr defaultRowHeight="14.5" x14ac:dyDescent="0.35"/>
  <cols>
    <col min="1" max="1" width="3" customWidth="1"/>
    <col min="2" max="3" width="12" customWidth="1"/>
    <col min="4" max="4" width="20" customWidth="1"/>
    <col min="5" max="5" width="26" customWidth="1"/>
    <col min="6" max="6" width="12" customWidth="1"/>
    <col min="7" max="7" width="14" customWidth="1"/>
    <col min="8" max="8" width="15" customWidth="1"/>
    <col min="9" max="9" width="18" customWidth="1"/>
    <col min="10" max="10" width="16" customWidth="1"/>
    <col min="11" max="11" width="18" customWidth="1"/>
    <col min="12" max="12" width="12" customWidth="1"/>
    <col min="13" max="13" width="24" customWidth="1"/>
    <col min="14" max="14" width="40" customWidth="1"/>
    <col min="15" max="15" width="4" customWidth="1"/>
  </cols>
  <sheetData>
    <row r="2" spans="2:10" x14ac:dyDescent="0.35">
      <c r="B2" s="6" t="str">
        <f>HYPERLINK("#Executive Dashboard!A1", "📊 Executive Dashboard")</f>
        <v>📊 Executive Dashboard</v>
      </c>
      <c r="D2" s="6" t="str">
        <f>HYPERLINK("#Master Event Tracker!A1", "📋 Master Event Tracker")</f>
        <v>📋 Master Event Tracker</v>
      </c>
      <c r="F2" s="5" t="str">
        <f>HYPERLINK("#Monthly Breakdown!A1", "📅 Monthly Breakdown")</f>
        <v>📅 Monthly Breakdown</v>
      </c>
      <c r="H2" s="6" t="str">
        <f>HYPERLINK("#Venue &amp; Vendor Insights!A1", "🏢 Venue &amp; Vendor Insights")</f>
        <v>🏢 Venue &amp; Vendor Insights</v>
      </c>
      <c r="J2" s="6" t="str">
        <f>HYPERLINK("#Lookups &amp; Settings!A1", "⚙️ Lookups &amp; Settings")</f>
        <v>⚙️ Lookups &amp; Settings</v>
      </c>
    </row>
    <row r="4" spans="2:10" ht="22.5" x14ac:dyDescent="0.6">
      <c r="B4" s="1" t="s">
        <v>305</v>
      </c>
    </row>
    <row r="5" spans="2:10" x14ac:dyDescent="0.35">
      <c r="B5" s="2" t="s">
        <v>306</v>
      </c>
    </row>
    <row r="7" spans="2:10" ht="17" x14ac:dyDescent="0.45">
      <c r="B7" s="7" t="s">
        <v>307</v>
      </c>
    </row>
    <row r="8" spans="2:10" ht="27" x14ac:dyDescent="0.35">
      <c r="B8" s="8" t="s">
        <v>18</v>
      </c>
      <c r="C8" s="8" t="s">
        <v>27</v>
      </c>
      <c r="D8" s="8" t="s">
        <v>20</v>
      </c>
      <c r="E8" s="8" t="s">
        <v>21</v>
      </c>
      <c r="F8" s="8" t="s">
        <v>308</v>
      </c>
      <c r="G8" s="8" t="s">
        <v>309</v>
      </c>
      <c r="H8" s="8" t="s">
        <v>310</v>
      </c>
      <c r="I8" s="8" t="s">
        <v>311</v>
      </c>
      <c r="J8" s="8" t="s">
        <v>312</v>
      </c>
    </row>
    <row r="9" spans="2:10" x14ac:dyDescent="0.35">
      <c r="B9" s="9" t="s">
        <v>29</v>
      </c>
      <c r="C9" s="10">
        <f>COUNTIFS('Master Event Tracker'!$D$8:$D$68, B9)</f>
        <v>10</v>
      </c>
      <c r="D9" s="10">
        <f>SUMIFS('Master Event Tracker'!$J$8:$J$68, 'Master Event Tracker'!$D$8:$D$68, B9)</f>
        <v>3500</v>
      </c>
      <c r="E9" s="11">
        <f>SUMIFS('Master Event Tracker'!$L$8:$L$68, 'Master Event Tracker'!$D$8:$D$68, B9)</f>
        <v>643605</v>
      </c>
      <c r="F9" s="11">
        <f>IF(C9&gt;0, E9/C9, 0)</f>
        <v>64360.5</v>
      </c>
      <c r="G9" s="12">
        <f>IF(D9&gt;0, E9/D9, 0)</f>
        <v>183.88714285714286</v>
      </c>
      <c r="H9" s="13">
        <f>E9/$E$13</f>
        <v>0.51890949227729033</v>
      </c>
      <c r="I9" s="28" t="s">
        <v>313</v>
      </c>
      <c r="J9" s="28" t="s">
        <v>313</v>
      </c>
    </row>
    <row r="10" spans="2:10" x14ac:dyDescent="0.35">
      <c r="B10" s="15" t="s">
        <v>32</v>
      </c>
      <c r="C10" s="16">
        <f>COUNTIFS('Master Event Tracker'!$D$8:$D$68, B10)</f>
        <v>16</v>
      </c>
      <c r="D10" s="16">
        <f>SUMIFS('Master Event Tracker'!$J$8:$J$68, 'Master Event Tracker'!$D$8:$D$68, B10)</f>
        <v>686</v>
      </c>
      <c r="E10" s="17">
        <f>SUMIFS('Master Event Tracker'!$L$8:$L$68, 'Master Event Tracker'!$D$8:$D$68, B10)</f>
        <v>115198</v>
      </c>
      <c r="F10" s="17">
        <f>IF(C10&gt;0, E10/C10, 0)</f>
        <v>7199.875</v>
      </c>
      <c r="G10" s="18">
        <f>IF(D10&gt;0, E10/D10, 0)</f>
        <v>167.9271137026239</v>
      </c>
      <c r="H10" s="19">
        <f>E10/$E$13</f>
        <v>9.2878917490322926E-2</v>
      </c>
      <c r="I10" s="19">
        <f>(E10-E9)/E9</f>
        <v>-0.82101133459186926</v>
      </c>
      <c r="J10" s="19">
        <f>(D10-D9)/D9</f>
        <v>-0.80400000000000005</v>
      </c>
    </row>
    <row r="11" spans="2:10" x14ac:dyDescent="0.35">
      <c r="B11" s="9" t="s">
        <v>34</v>
      </c>
      <c r="C11" s="10">
        <f>COUNTIFS('Master Event Tracker'!$D$8:$D$68, B11)</f>
        <v>17</v>
      </c>
      <c r="D11" s="10">
        <f>SUMIFS('Master Event Tracker'!$J$8:$J$68, 'Master Event Tracker'!$D$8:$D$68, B11)</f>
        <v>1235</v>
      </c>
      <c r="E11" s="11">
        <f>SUMIFS('Master Event Tracker'!$L$8:$L$68, 'Master Event Tracker'!$D$8:$D$68, B11)</f>
        <v>192420</v>
      </c>
      <c r="F11" s="11">
        <f>IF(C11&gt;0, E11/C11, 0)</f>
        <v>11318.823529411764</v>
      </c>
      <c r="G11" s="12">
        <f>IF(D11&gt;0, E11/D11, 0)</f>
        <v>155.80566801619435</v>
      </c>
      <c r="H11" s="13">
        <f>E11/$E$13</f>
        <v>0.15513951026483044</v>
      </c>
      <c r="I11" s="13">
        <f>(E11-E10)/E10</f>
        <v>0.67034149898435735</v>
      </c>
      <c r="J11" s="13">
        <f>(D11-D10)/D10</f>
        <v>0.80029154518950441</v>
      </c>
    </row>
    <row r="12" spans="2:10" x14ac:dyDescent="0.35">
      <c r="B12" s="15" t="s">
        <v>36</v>
      </c>
      <c r="C12" s="16">
        <f>COUNTIFS('Master Event Tracker'!$D$8:$D$68, B12)</f>
        <v>18</v>
      </c>
      <c r="D12" s="16">
        <f>SUMIFS('Master Event Tracker'!$J$8:$J$68, 'Master Event Tracker'!$D$8:$D$68, B12)</f>
        <v>3510</v>
      </c>
      <c r="E12" s="17">
        <f>SUMIFS('Master Event Tracker'!$L$8:$L$68, 'Master Event Tracker'!$D$8:$D$68, B12)</f>
        <v>289080</v>
      </c>
      <c r="F12" s="17">
        <f>IF(C12&gt;0, E12/C12, 0)</f>
        <v>16060</v>
      </c>
      <c r="G12" s="18">
        <f>IF(D12&gt;0, E12/D12, 0)</f>
        <v>82.358974358974365</v>
      </c>
      <c r="H12" s="19">
        <f>E12/$E$13</f>
        <v>0.23307207996755633</v>
      </c>
      <c r="I12" s="19">
        <f>(E12-E11)/E11</f>
        <v>0.50233863423760527</v>
      </c>
      <c r="J12" s="19">
        <f>(D12-D11)/D11</f>
        <v>1.8421052631578947</v>
      </c>
    </row>
    <row r="13" spans="2:10" x14ac:dyDescent="0.35">
      <c r="B13" s="21" t="s">
        <v>38</v>
      </c>
      <c r="C13" s="22">
        <f>SUM(C9:C12)</f>
        <v>61</v>
      </c>
      <c r="D13" s="22">
        <f>SUM(D9:D12)</f>
        <v>8931</v>
      </c>
      <c r="E13" s="23">
        <f>SUM(E9:E12)</f>
        <v>1240303</v>
      </c>
      <c r="F13" s="23">
        <f>IF(C13&gt;0, E13/C13, 0)</f>
        <v>20332.836065573771</v>
      </c>
      <c r="G13" s="24">
        <f>IF(D13&gt;0, E13/D13, 0)</f>
        <v>138.87616168402195</v>
      </c>
      <c r="H13" s="25">
        <f>SUM(H9:H12)</f>
        <v>1</v>
      </c>
      <c r="I13" s="21" t="s">
        <v>313</v>
      </c>
      <c r="J13" s="21" t="s">
        <v>313</v>
      </c>
    </row>
    <row r="16" spans="2:10" ht="17" x14ac:dyDescent="0.45">
      <c r="B16" s="7" t="s">
        <v>314</v>
      </c>
    </row>
    <row r="17" spans="2:14" x14ac:dyDescent="0.35">
      <c r="B17" s="2" t="s">
        <v>315</v>
      </c>
    </row>
    <row r="18" spans="2:14" x14ac:dyDescent="0.35">
      <c r="B18" s="29" t="s">
        <v>87</v>
      </c>
      <c r="C18" s="29" t="s">
        <v>316</v>
      </c>
      <c r="D18" s="29" t="s">
        <v>90</v>
      </c>
      <c r="E18" s="29" t="s">
        <v>317</v>
      </c>
      <c r="F18" s="29" t="s">
        <v>51</v>
      </c>
      <c r="G18" s="29" t="s">
        <v>318</v>
      </c>
      <c r="H18" s="29" t="s">
        <v>319</v>
      </c>
      <c r="I18" s="29" t="s">
        <v>21</v>
      </c>
      <c r="J18" s="29" t="s">
        <v>320</v>
      </c>
      <c r="K18" s="29" t="s">
        <v>321</v>
      </c>
      <c r="L18" s="29" t="s">
        <v>322</v>
      </c>
      <c r="M18" s="29" t="s">
        <v>97</v>
      </c>
      <c r="N18" s="29" t="s">
        <v>323</v>
      </c>
    </row>
    <row r="19" spans="2:14" x14ac:dyDescent="0.35">
      <c r="B19" s="9" t="s">
        <v>100</v>
      </c>
      <c r="C19" s="9" t="s">
        <v>101</v>
      </c>
      <c r="D19" s="14" t="s">
        <v>102</v>
      </c>
      <c r="E19" s="14" t="s">
        <v>75</v>
      </c>
      <c r="F19" s="9" t="s">
        <v>61</v>
      </c>
      <c r="G19" s="10">
        <v>60</v>
      </c>
      <c r="H19" s="12">
        <v>120</v>
      </c>
      <c r="I19" s="11">
        <v>7200</v>
      </c>
      <c r="J19" s="12">
        <f t="shared" ref="J19:J28" si="0">IF(G19&gt;0, I19/G19, H19)</f>
        <v>120</v>
      </c>
      <c r="K19" s="9" t="s">
        <v>37</v>
      </c>
      <c r="L19" s="9" t="s">
        <v>33</v>
      </c>
      <c r="M19" s="14" t="s">
        <v>104</v>
      </c>
      <c r="N19" s="14" t="s">
        <v>105</v>
      </c>
    </row>
    <row r="20" spans="2:14" x14ac:dyDescent="0.35">
      <c r="B20" s="15" t="s">
        <v>107</v>
      </c>
      <c r="C20" s="15" t="s">
        <v>101</v>
      </c>
      <c r="D20" s="20" t="s">
        <v>68</v>
      </c>
      <c r="E20" s="20" t="s">
        <v>72</v>
      </c>
      <c r="F20" s="15" t="s">
        <v>61</v>
      </c>
      <c r="G20" s="16">
        <v>300</v>
      </c>
      <c r="H20" s="18">
        <v>207.2</v>
      </c>
      <c r="I20" s="17">
        <v>62160</v>
      </c>
      <c r="J20" s="18">
        <f t="shared" si="0"/>
        <v>207.2</v>
      </c>
      <c r="K20" s="15" t="s">
        <v>37</v>
      </c>
      <c r="L20" s="15" t="s">
        <v>33</v>
      </c>
      <c r="M20" s="20" t="s">
        <v>104</v>
      </c>
      <c r="N20" s="20" t="s">
        <v>105</v>
      </c>
    </row>
    <row r="21" spans="2:14" x14ac:dyDescent="0.35">
      <c r="B21" s="9" t="s">
        <v>108</v>
      </c>
      <c r="C21" s="9" t="s">
        <v>109</v>
      </c>
      <c r="D21" s="14" t="s">
        <v>110</v>
      </c>
      <c r="E21" s="14" t="s">
        <v>65</v>
      </c>
      <c r="F21" s="9" t="s">
        <v>61</v>
      </c>
      <c r="G21" s="10">
        <v>450</v>
      </c>
      <c r="H21" s="12">
        <v>50</v>
      </c>
      <c r="I21" s="11">
        <v>22500</v>
      </c>
      <c r="J21" s="12">
        <f t="shared" si="0"/>
        <v>50</v>
      </c>
      <c r="K21" s="9" t="s">
        <v>37</v>
      </c>
      <c r="L21" s="9" t="s">
        <v>33</v>
      </c>
      <c r="M21" s="14" t="s">
        <v>104</v>
      </c>
      <c r="N21" s="14" t="s">
        <v>111</v>
      </c>
    </row>
    <row r="22" spans="2:14" x14ac:dyDescent="0.35">
      <c r="B22" s="15" t="s">
        <v>112</v>
      </c>
      <c r="C22" s="15" t="s">
        <v>113</v>
      </c>
      <c r="D22" s="20" t="s">
        <v>114</v>
      </c>
      <c r="E22" s="20" t="s">
        <v>65</v>
      </c>
      <c r="F22" s="15" t="s">
        <v>61</v>
      </c>
      <c r="G22" s="16">
        <v>45</v>
      </c>
      <c r="H22" s="18">
        <v>35</v>
      </c>
      <c r="I22" s="17">
        <v>1575</v>
      </c>
      <c r="J22" s="18">
        <f t="shared" si="0"/>
        <v>35</v>
      </c>
      <c r="K22" s="15" t="s">
        <v>37</v>
      </c>
      <c r="L22" s="15" t="s">
        <v>33</v>
      </c>
      <c r="M22" s="20" t="s">
        <v>104</v>
      </c>
      <c r="N22" s="20" t="s">
        <v>115</v>
      </c>
    </row>
    <row r="23" spans="2:14" x14ac:dyDescent="0.35">
      <c r="B23" s="9" t="s">
        <v>116</v>
      </c>
      <c r="C23" s="9" t="s">
        <v>117</v>
      </c>
      <c r="D23" s="14" t="s">
        <v>118</v>
      </c>
      <c r="E23" s="14" t="s">
        <v>65</v>
      </c>
      <c r="F23" s="9" t="s">
        <v>61</v>
      </c>
      <c r="G23" s="10">
        <v>150</v>
      </c>
      <c r="H23" s="12">
        <v>28</v>
      </c>
      <c r="I23" s="11">
        <v>4200</v>
      </c>
      <c r="J23" s="12">
        <f t="shared" si="0"/>
        <v>28</v>
      </c>
      <c r="K23" s="9" t="s">
        <v>37</v>
      </c>
      <c r="L23" s="9" t="s">
        <v>33</v>
      </c>
      <c r="M23" s="14" t="s">
        <v>119</v>
      </c>
      <c r="N23" s="14" t="s">
        <v>120</v>
      </c>
    </row>
    <row r="24" spans="2:14" x14ac:dyDescent="0.35">
      <c r="B24" s="15" t="s">
        <v>121</v>
      </c>
      <c r="C24" s="15" t="s">
        <v>117</v>
      </c>
      <c r="D24" s="20" t="s">
        <v>122</v>
      </c>
      <c r="E24" s="20" t="s">
        <v>69</v>
      </c>
      <c r="F24" s="15" t="s">
        <v>61</v>
      </c>
      <c r="G24" s="16">
        <v>200</v>
      </c>
      <c r="H24" s="18">
        <v>20</v>
      </c>
      <c r="I24" s="17">
        <v>4000</v>
      </c>
      <c r="J24" s="18">
        <f t="shared" si="0"/>
        <v>20</v>
      </c>
      <c r="K24" s="15" t="s">
        <v>37</v>
      </c>
      <c r="L24" s="15" t="s">
        <v>33</v>
      </c>
      <c r="M24" s="20" t="s">
        <v>104</v>
      </c>
      <c r="N24" s="20" t="s">
        <v>123</v>
      </c>
    </row>
    <row r="25" spans="2:14" x14ac:dyDescent="0.35">
      <c r="B25" s="9" t="s">
        <v>124</v>
      </c>
      <c r="C25" s="9" t="s">
        <v>125</v>
      </c>
      <c r="D25" s="14" t="s">
        <v>126</v>
      </c>
      <c r="E25" s="14" t="s">
        <v>69</v>
      </c>
      <c r="F25" s="9" t="s">
        <v>61</v>
      </c>
      <c r="G25" s="10">
        <v>35</v>
      </c>
      <c r="H25" s="12">
        <v>84.86</v>
      </c>
      <c r="I25" s="11">
        <v>2970</v>
      </c>
      <c r="J25" s="12">
        <f t="shared" si="0"/>
        <v>84.857142857142861</v>
      </c>
      <c r="K25" s="9" t="s">
        <v>37</v>
      </c>
      <c r="L25" s="9" t="s">
        <v>33</v>
      </c>
      <c r="M25" s="14" t="s">
        <v>127</v>
      </c>
      <c r="N25" s="14" t="s">
        <v>128</v>
      </c>
    </row>
    <row r="26" spans="2:14" x14ac:dyDescent="0.35">
      <c r="B26" s="15" t="s">
        <v>129</v>
      </c>
      <c r="C26" s="15" t="s">
        <v>130</v>
      </c>
      <c r="D26" s="20" t="s">
        <v>54</v>
      </c>
      <c r="E26" s="20" t="s">
        <v>82</v>
      </c>
      <c r="F26" s="15" t="s">
        <v>83</v>
      </c>
      <c r="G26" s="16">
        <v>2100</v>
      </c>
      <c r="H26" s="18">
        <v>250</v>
      </c>
      <c r="I26" s="17">
        <v>525000</v>
      </c>
      <c r="J26" s="18">
        <f t="shared" si="0"/>
        <v>250</v>
      </c>
      <c r="K26" s="15" t="s">
        <v>30</v>
      </c>
      <c r="L26" s="15" t="s">
        <v>31</v>
      </c>
      <c r="M26" s="20" t="s">
        <v>132</v>
      </c>
      <c r="N26" s="20" t="s">
        <v>133</v>
      </c>
    </row>
    <row r="27" spans="2:14" x14ac:dyDescent="0.35">
      <c r="B27" s="9" t="s">
        <v>134</v>
      </c>
      <c r="C27" s="9" t="s">
        <v>135</v>
      </c>
      <c r="D27" s="14" t="s">
        <v>136</v>
      </c>
      <c r="E27" s="14" t="s">
        <v>69</v>
      </c>
      <c r="F27" s="9" t="s">
        <v>61</v>
      </c>
      <c r="G27" s="10">
        <v>100</v>
      </c>
      <c r="H27" s="12">
        <v>20</v>
      </c>
      <c r="I27" s="11">
        <v>2000</v>
      </c>
      <c r="J27" s="12">
        <f t="shared" si="0"/>
        <v>20</v>
      </c>
      <c r="K27" s="9" t="s">
        <v>30</v>
      </c>
      <c r="L27" s="9" t="s">
        <v>35</v>
      </c>
      <c r="M27" s="14" t="s">
        <v>104</v>
      </c>
      <c r="N27" s="14" t="s">
        <v>138</v>
      </c>
    </row>
    <row r="28" spans="2:14" x14ac:dyDescent="0.35">
      <c r="B28" s="15" t="s">
        <v>139</v>
      </c>
      <c r="C28" s="15" t="s">
        <v>140</v>
      </c>
      <c r="D28" s="20" t="s">
        <v>81</v>
      </c>
      <c r="E28" s="20" t="s">
        <v>69</v>
      </c>
      <c r="F28" s="15" t="s">
        <v>61</v>
      </c>
      <c r="G28" s="16">
        <v>60</v>
      </c>
      <c r="H28" s="18">
        <v>200</v>
      </c>
      <c r="I28" s="17">
        <v>12000</v>
      </c>
      <c r="J28" s="18">
        <f t="shared" si="0"/>
        <v>200</v>
      </c>
      <c r="K28" s="15" t="s">
        <v>30</v>
      </c>
      <c r="L28" s="15" t="s">
        <v>31</v>
      </c>
      <c r="M28" s="20" t="s">
        <v>127</v>
      </c>
      <c r="N28" s="20" t="s">
        <v>141</v>
      </c>
    </row>
    <row r="29" spans="2:14" x14ac:dyDescent="0.35">
      <c r="B29" s="21" t="s">
        <v>324</v>
      </c>
      <c r="C29" s="21" t="s">
        <v>325</v>
      </c>
      <c r="D29" s="27"/>
      <c r="E29" s="27"/>
      <c r="F29" s="27"/>
      <c r="G29" s="22">
        <f>SUM(G19:G28)</f>
        <v>3500</v>
      </c>
      <c r="H29" s="24">
        <f>AVERAGE(H19:H28)</f>
        <v>101.506</v>
      </c>
      <c r="I29" s="23">
        <f>SUM(I19:I28)</f>
        <v>643605</v>
      </c>
      <c r="J29" s="24">
        <f>IF(G29&gt;0, I29/G29, 0)</f>
        <v>183.88714285714286</v>
      </c>
      <c r="K29" s="27"/>
      <c r="L29" s="27"/>
      <c r="M29" s="27"/>
      <c r="N29" s="27"/>
    </row>
    <row r="32" spans="2:14" ht="17" x14ac:dyDescent="0.45">
      <c r="B32" s="7" t="s">
        <v>326</v>
      </c>
    </row>
    <row r="33" spans="2:14" x14ac:dyDescent="0.35">
      <c r="B33" s="2" t="s">
        <v>327</v>
      </c>
    </row>
    <row r="34" spans="2:14" x14ac:dyDescent="0.35">
      <c r="B34" s="29" t="s">
        <v>87</v>
      </c>
      <c r="C34" s="29" t="s">
        <v>316</v>
      </c>
      <c r="D34" s="29" t="s">
        <v>90</v>
      </c>
      <c r="E34" s="29" t="s">
        <v>317</v>
      </c>
      <c r="F34" s="29" t="s">
        <v>51</v>
      </c>
      <c r="G34" s="29" t="s">
        <v>318</v>
      </c>
      <c r="H34" s="29" t="s">
        <v>319</v>
      </c>
      <c r="I34" s="29" t="s">
        <v>21</v>
      </c>
      <c r="J34" s="29" t="s">
        <v>320</v>
      </c>
      <c r="K34" s="29" t="s">
        <v>321</v>
      </c>
      <c r="L34" s="29" t="s">
        <v>322</v>
      </c>
      <c r="M34" s="29" t="s">
        <v>97</v>
      </c>
      <c r="N34" s="29" t="s">
        <v>323</v>
      </c>
    </row>
    <row r="35" spans="2:14" x14ac:dyDescent="0.35">
      <c r="B35" s="9" t="s">
        <v>142</v>
      </c>
      <c r="C35" s="9" t="s">
        <v>143</v>
      </c>
      <c r="D35" s="14" t="s">
        <v>144</v>
      </c>
      <c r="E35" s="14" t="s">
        <v>72</v>
      </c>
      <c r="F35" s="9" t="s">
        <v>61</v>
      </c>
      <c r="G35" s="10">
        <v>11</v>
      </c>
      <c r="H35" s="12">
        <v>80</v>
      </c>
      <c r="I35" s="11">
        <v>880</v>
      </c>
      <c r="J35" s="12">
        <f t="shared" ref="J35:J50" si="1">IF(G35&gt;0, I35/G35, H35)</f>
        <v>80</v>
      </c>
      <c r="K35" s="9" t="s">
        <v>37</v>
      </c>
      <c r="L35" s="9" t="s">
        <v>33</v>
      </c>
      <c r="M35" s="14" t="s">
        <v>104</v>
      </c>
      <c r="N35" s="14" t="s">
        <v>145</v>
      </c>
    </row>
    <row r="36" spans="2:14" x14ac:dyDescent="0.35">
      <c r="B36" s="15" t="s">
        <v>146</v>
      </c>
      <c r="C36" s="15" t="s">
        <v>143</v>
      </c>
      <c r="D36" s="20" t="s">
        <v>81</v>
      </c>
      <c r="E36" s="20" t="s">
        <v>69</v>
      </c>
      <c r="F36" s="15" t="s">
        <v>61</v>
      </c>
      <c r="G36" s="16">
        <v>24</v>
      </c>
      <c r="H36" s="18">
        <v>100</v>
      </c>
      <c r="I36" s="17">
        <v>2400</v>
      </c>
      <c r="J36" s="18">
        <f t="shared" si="1"/>
        <v>100</v>
      </c>
      <c r="K36" s="15" t="s">
        <v>37</v>
      </c>
      <c r="L36" s="15" t="s">
        <v>33</v>
      </c>
      <c r="M36" s="20" t="s">
        <v>147</v>
      </c>
      <c r="N36" s="20" t="s">
        <v>148</v>
      </c>
    </row>
    <row r="37" spans="2:14" x14ac:dyDescent="0.35">
      <c r="B37" s="9" t="s">
        <v>149</v>
      </c>
      <c r="C37" s="9" t="s">
        <v>150</v>
      </c>
      <c r="D37" s="14" t="s">
        <v>114</v>
      </c>
      <c r="E37" s="14" t="s">
        <v>69</v>
      </c>
      <c r="F37" s="9" t="s">
        <v>61</v>
      </c>
      <c r="G37" s="10">
        <v>30</v>
      </c>
      <c r="H37" s="12">
        <v>25</v>
      </c>
      <c r="I37" s="11">
        <v>750</v>
      </c>
      <c r="J37" s="12">
        <f t="shared" si="1"/>
        <v>25</v>
      </c>
      <c r="K37" s="9" t="s">
        <v>37</v>
      </c>
      <c r="L37" s="9" t="s">
        <v>33</v>
      </c>
      <c r="M37" s="14" t="s">
        <v>104</v>
      </c>
      <c r="N37" s="14" t="s">
        <v>151</v>
      </c>
    </row>
    <row r="38" spans="2:14" x14ac:dyDescent="0.35">
      <c r="B38" s="15" t="s">
        <v>152</v>
      </c>
      <c r="C38" s="15" t="s">
        <v>153</v>
      </c>
      <c r="D38" s="20" t="s">
        <v>154</v>
      </c>
      <c r="E38" s="20" t="s">
        <v>155</v>
      </c>
      <c r="F38" s="15" t="s">
        <v>61</v>
      </c>
      <c r="G38" s="16">
        <v>10</v>
      </c>
      <c r="H38" s="18">
        <v>215</v>
      </c>
      <c r="I38" s="17">
        <v>2150</v>
      </c>
      <c r="J38" s="18">
        <f t="shared" si="1"/>
        <v>215</v>
      </c>
      <c r="K38" s="15" t="s">
        <v>37</v>
      </c>
      <c r="L38" s="15" t="s">
        <v>33</v>
      </c>
      <c r="M38" s="20" t="s">
        <v>156</v>
      </c>
      <c r="N38" s="20" t="s">
        <v>157</v>
      </c>
    </row>
    <row r="39" spans="2:14" x14ac:dyDescent="0.35">
      <c r="B39" s="9" t="s">
        <v>158</v>
      </c>
      <c r="C39" s="9" t="s">
        <v>159</v>
      </c>
      <c r="D39" s="14" t="s">
        <v>160</v>
      </c>
      <c r="E39" s="14" t="s">
        <v>60</v>
      </c>
      <c r="F39" s="9" t="s">
        <v>61</v>
      </c>
      <c r="G39" s="10">
        <v>17</v>
      </c>
      <c r="H39" s="12">
        <v>121.65</v>
      </c>
      <c r="I39" s="11">
        <v>2068</v>
      </c>
      <c r="J39" s="12">
        <f t="shared" si="1"/>
        <v>121.64705882352941</v>
      </c>
      <c r="K39" s="9" t="s">
        <v>37</v>
      </c>
      <c r="L39" s="9" t="s">
        <v>33</v>
      </c>
      <c r="M39" s="14" t="s">
        <v>104</v>
      </c>
      <c r="N39" s="14" t="s">
        <v>161</v>
      </c>
    </row>
    <row r="40" spans="2:14" x14ac:dyDescent="0.35">
      <c r="B40" s="15" t="s">
        <v>162</v>
      </c>
      <c r="C40" s="15" t="s">
        <v>163</v>
      </c>
      <c r="D40" s="20" t="s">
        <v>164</v>
      </c>
      <c r="E40" s="20" t="s">
        <v>60</v>
      </c>
      <c r="F40" s="15" t="s">
        <v>61</v>
      </c>
      <c r="G40" s="16">
        <v>28</v>
      </c>
      <c r="H40" s="18">
        <v>127.5</v>
      </c>
      <c r="I40" s="17">
        <v>3570</v>
      </c>
      <c r="J40" s="18">
        <f t="shared" si="1"/>
        <v>127.5</v>
      </c>
      <c r="K40" s="15" t="s">
        <v>37</v>
      </c>
      <c r="L40" s="15" t="s">
        <v>33</v>
      </c>
      <c r="M40" s="20" t="s">
        <v>104</v>
      </c>
      <c r="N40" s="20" t="s">
        <v>165</v>
      </c>
    </row>
    <row r="41" spans="2:14" x14ac:dyDescent="0.35">
      <c r="B41" s="9" t="s">
        <v>166</v>
      </c>
      <c r="C41" s="9" t="s">
        <v>167</v>
      </c>
      <c r="D41" s="14" t="s">
        <v>64</v>
      </c>
      <c r="E41" s="14" t="s">
        <v>60</v>
      </c>
      <c r="F41" s="9" t="s">
        <v>61</v>
      </c>
      <c r="G41" s="10">
        <v>100</v>
      </c>
      <c r="H41" s="12">
        <v>150</v>
      </c>
      <c r="I41" s="11">
        <v>15000</v>
      </c>
      <c r="J41" s="12">
        <f t="shared" si="1"/>
        <v>150</v>
      </c>
      <c r="K41" s="9" t="s">
        <v>37</v>
      </c>
      <c r="L41" s="9" t="s">
        <v>33</v>
      </c>
      <c r="M41" s="14" t="s">
        <v>132</v>
      </c>
      <c r="N41" s="14" t="s">
        <v>168</v>
      </c>
    </row>
    <row r="42" spans="2:14" x14ac:dyDescent="0.35">
      <c r="B42" s="15" t="s">
        <v>169</v>
      </c>
      <c r="C42" s="15" t="s">
        <v>167</v>
      </c>
      <c r="D42" s="20" t="s">
        <v>170</v>
      </c>
      <c r="E42" s="20" t="s">
        <v>60</v>
      </c>
      <c r="F42" s="15" t="s">
        <v>61</v>
      </c>
      <c r="G42" s="16">
        <v>12</v>
      </c>
      <c r="H42" s="18">
        <v>250</v>
      </c>
      <c r="I42" s="17">
        <v>3000</v>
      </c>
      <c r="J42" s="18">
        <f t="shared" si="1"/>
        <v>250</v>
      </c>
      <c r="K42" s="15" t="s">
        <v>37</v>
      </c>
      <c r="L42" s="15" t="s">
        <v>33</v>
      </c>
      <c r="M42" s="20" t="s">
        <v>127</v>
      </c>
      <c r="N42" s="20" t="s">
        <v>171</v>
      </c>
    </row>
    <row r="43" spans="2:14" x14ac:dyDescent="0.35">
      <c r="B43" s="9" t="s">
        <v>172</v>
      </c>
      <c r="C43" s="9" t="s">
        <v>173</v>
      </c>
      <c r="D43" s="14" t="s">
        <v>81</v>
      </c>
      <c r="E43" s="14" t="s">
        <v>174</v>
      </c>
      <c r="F43" s="9" t="s">
        <v>61</v>
      </c>
      <c r="G43" s="10">
        <v>14</v>
      </c>
      <c r="H43" s="12">
        <v>45</v>
      </c>
      <c r="I43" s="11">
        <v>630</v>
      </c>
      <c r="J43" s="12">
        <f t="shared" si="1"/>
        <v>45</v>
      </c>
      <c r="K43" s="9" t="s">
        <v>37</v>
      </c>
      <c r="L43" s="9" t="s">
        <v>33</v>
      </c>
      <c r="M43" s="14" t="s">
        <v>104</v>
      </c>
      <c r="N43" s="14" t="s">
        <v>175</v>
      </c>
    </row>
    <row r="44" spans="2:14" x14ac:dyDescent="0.35">
      <c r="B44" s="15" t="s">
        <v>176</v>
      </c>
      <c r="C44" s="15" t="s">
        <v>177</v>
      </c>
      <c r="D44" s="20" t="s">
        <v>178</v>
      </c>
      <c r="E44" s="20" t="s">
        <v>179</v>
      </c>
      <c r="F44" s="15" t="s">
        <v>61</v>
      </c>
      <c r="G44" s="16">
        <v>35</v>
      </c>
      <c r="H44" s="18">
        <v>100</v>
      </c>
      <c r="I44" s="17">
        <v>3500</v>
      </c>
      <c r="J44" s="18">
        <f t="shared" si="1"/>
        <v>100</v>
      </c>
      <c r="K44" s="15" t="s">
        <v>37</v>
      </c>
      <c r="L44" s="15" t="s">
        <v>33</v>
      </c>
      <c r="M44" s="20" t="s">
        <v>127</v>
      </c>
      <c r="N44" s="20" t="s">
        <v>181</v>
      </c>
    </row>
    <row r="45" spans="2:14" x14ac:dyDescent="0.35">
      <c r="B45" s="9" t="s">
        <v>182</v>
      </c>
      <c r="C45" s="9" t="s">
        <v>177</v>
      </c>
      <c r="D45" s="14" t="s">
        <v>154</v>
      </c>
      <c r="E45" s="14" t="s">
        <v>183</v>
      </c>
      <c r="F45" s="9" t="s">
        <v>61</v>
      </c>
      <c r="G45" s="10">
        <v>80</v>
      </c>
      <c r="H45" s="12">
        <v>300</v>
      </c>
      <c r="I45" s="11">
        <v>24000</v>
      </c>
      <c r="J45" s="12">
        <f t="shared" si="1"/>
        <v>300</v>
      </c>
      <c r="K45" s="9" t="s">
        <v>30</v>
      </c>
      <c r="L45" s="9" t="s">
        <v>31</v>
      </c>
      <c r="M45" s="14" t="s">
        <v>132</v>
      </c>
      <c r="N45" s="14" t="s">
        <v>185</v>
      </c>
    </row>
    <row r="46" spans="2:14" x14ac:dyDescent="0.35">
      <c r="B46" s="15" t="s">
        <v>186</v>
      </c>
      <c r="C46" s="15" t="s">
        <v>187</v>
      </c>
      <c r="D46" s="20" t="s">
        <v>64</v>
      </c>
      <c r="E46" s="20" t="s">
        <v>75</v>
      </c>
      <c r="F46" s="15" t="s">
        <v>61</v>
      </c>
      <c r="G46" s="16">
        <v>50</v>
      </c>
      <c r="H46" s="18">
        <v>150</v>
      </c>
      <c r="I46" s="17">
        <v>7500</v>
      </c>
      <c r="J46" s="18">
        <f t="shared" si="1"/>
        <v>150</v>
      </c>
      <c r="K46" s="15" t="s">
        <v>30</v>
      </c>
      <c r="L46" s="15" t="s">
        <v>33</v>
      </c>
      <c r="M46" s="20" t="s">
        <v>104</v>
      </c>
      <c r="N46" s="20" t="s">
        <v>189</v>
      </c>
    </row>
    <row r="47" spans="2:14" x14ac:dyDescent="0.35">
      <c r="B47" s="9" t="s">
        <v>190</v>
      </c>
      <c r="C47" s="9" t="s">
        <v>191</v>
      </c>
      <c r="D47" s="14" t="s">
        <v>64</v>
      </c>
      <c r="E47" s="14" t="s">
        <v>75</v>
      </c>
      <c r="F47" s="9" t="s">
        <v>61</v>
      </c>
      <c r="G47" s="10">
        <v>50</v>
      </c>
      <c r="H47" s="12">
        <v>250</v>
      </c>
      <c r="I47" s="11">
        <v>12500</v>
      </c>
      <c r="J47" s="12">
        <f t="shared" si="1"/>
        <v>250</v>
      </c>
      <c r="K47" s="9" t="s">
        <v>30</v>
      </c>
      <c r="L47" s="9" t="s">
        <v>33</v>
      </c>
      <c r="M47" s="14" t="s">
        <v>132</v>
      </c>
      <c r="N47" s="14" t="s">
        <v>192</v>
      </c>
    </row>
    <row r="48" spans="2:14" x14ac:dyDescent="0.35">
      <c r="B48" s="15" t="s">
        <v>193</v>
      </c>
      <c r="C48" s="15" t="s">
        <v>194</v>
      </c>
      <c r="D48" s="20" t="s">
        <v>68</v>
      </c>
      <c r="E48" s="20" t="s">
        <v>69</v>
      </c>
      <c r="F48" s="15" t="s">
        <v>61</v>
      </c>
      <c r="G48" s="16">
        <v>75</v>
      </c>
      <c r="H48" s="18">
        <v>216.67</v>
      </c>
      <c r="I48" s="17">
        <v>16250</v>
      </c>
      <c r="J48" s="18">
        <f t="shared" si="1"/>
        <v>216.66666666666666</v>
      </c>
      <c r="K48" s="15" t="s">
        <v>30</v>
      </c>
      <c r="L48" s="15" t="s">
        <v>33</v>
      </c>
      <c r="M48" s="20" t="s">
        <v>104</v>
      </c>
      <c r="N48" s="20" t="s">
        <v>195</v>
      </c>
    </row>
    <row r="49" spans="2:14" x14ac:dyDescent="0.35">
      <c r="B49" s="9" t="s">
        <v>196</v>
      </c>
      <c r="C49" s="9" t="s">
        <v>197</v>
      </c>
      <c r="D49" s="14" t="s">
        <v>81</v>
      </c>
      <c r="E49" s="14" t="s">
        <v>75</v>
      </c>
      <c r="F49" s="9" t="s">
        <v>61</v>
      </c>
      <c r="G49" s="10">
        <v>30</v>
      </c>
      <c r="H49" s="12">
        <v>100</v>
      </c>
      <c r="I49" s="11">
        <v>3000</v>
      </c>
      <c r="J49" s="12">
        <f t="shared" si="1"/>
        <v>100</v>
      </c>
      <c r="K49" s="9" t="s">
        <v>30</v>
      </c>
      <c r="L49" s="9" t="s">
        <v>31</v>
      </c>
      <c r="M49" s="14" t="s">
        <v>127</v>
      </c>
      <c r="N49" s="14" t="s">
        <v>198</v>
      </c>
    </row>
    <row r="50" spans="2:14" x14ac:dyDescent="0.35">
      <c r="B50" s="15" t="s">
        <v>199</v>
      </c>
      <c r="C50" s="15" t="s">
        <v>197</v>
      </c>
      <c r="D50" s="20" t="s">
        <v>64</v>
      </c>
      <c r="E50" s="20" t="s">
        <v>55</v>
      </c>
      <c r="F50" s="15" t="s">
        <v>56</v>
      </c>
      <c r="G50" s="16">
        <v>120</v>
      </c>
      <c r="H50" s="18">
        <v>150</v>
      </c>
      <c r="I50" s="17">
        <v>18000</v>
      </c>
      <c r="J50" s="18">
        <f t="shared" si="1"/>
        <v>150</v>
      </c>
      <c r="K50" s="15" t="s">
        <v>30</v>
      </c>
      <c r="L50" s="15" t="s">
        <v>33</v>
      </c>
      <c r="M50" s="20" t="s">
        <v>132</v>
      </c>
      <c r="N50" s="20" t="s">
        <v>185</v>
      </c>
    </row>
    <row r="51" spans="2:14" x14ac:dyDescent="0.35">
      <c r="B51" s="21" t="s">
        <v>328</v>
      </c>
      <c r="C51" s="21" t="s">
        <v>329</v>
      </c>
      <c r="D51" s="27"/>
      <c r="E51" s="27"/>
      <c r="F51" s="27"/>
      <c r="G51" s="22">
        <f>SUM(G35:G50)</f>
        <v>686</v>
      </c>
      <c r="H51" s="24">
        <f>AVERAGE(H35:H50)</f>
        <v>148.80125000000001</v>
      </c>
      <c r="I51" s="23">
        <f>SUM(I35:I50)</f>
        <v>115198</v>
      </c>
      <c r="J51" s="24">
        <f>IF(G51&gt;0, I51/G51, 0)</f>
        <v>167.9271137026239</v>
      </c>
      <c r="K51" s="27"/>
      <c r="L51" s="27"/>
      <c r="M51" s="27"/>
      <c r="N51" s="27"/>
    </row>
    <row r="54" spans="2:14" ht="17" x14ac:dyDescent="0.45">
      <c r="B54" s="7" t="s">
        <v>330</v>
      </c>
    </row>
    <row r="55" spans="2:14" x14ac:dyDescent="0.35">
      <c r="B55" s="2" t="s">
        <v>331</v>
      </c>
    </row>
    <row r="56" spans="2:14" x14ac:dyDescent="0.35">
      <c r="B56" s="29" t="s">
        <v>87</v>
      </c>
      <c r="C56" s="29" t="s">
        <v>316</v>
      </c>
      <c r="D56" s="29" t="s">
        <v>90</v>
      </c>
      <c r="E56" s="29" t="s">
        <v>317</v>
      </c>
      <c r="F56" s="29" t="s">
        <v>51</v>
      </c>
      <c r="G56" s="29" t="s">
        <v>318</v>
      </c>
      <c r="H56" s="29" t="s">
        <v>319</v>
      </c>
      <c r="I56" s="29" t="s">
        <v>21</v>
      </c>
      <c r="J56" s="29" t="s">
        <v>320</v>
      </c>
      <c r="K56" s="29" t="s">
        <v>321</v>
      </c>
      <c r="L56" s="29" t="s">
        <v>322</v>
      </c>
      <c r="M56" s="29" t="s">
        <v>97</v>
      </c>
      <c r="N56" s="29" t="s">
        <v>323</v>
      </c>
    </row>
    <row r="57" spans="2:14" x14ac:dyDescent="0.35">
      <c r="B57" s="9" t="s">
        <v>200</v>
      </c>
      <c r="C57" s="9" t="s">
        <v>201</v>
      </c>
      <c r="D57" s="14" t="s">
        <v>81</v>
      </c>
      <c r="E57" s="14" t="s">
        <v>60</v>
      </c>
      <c r="F57" s="9" t="s">
        <v>61</v>
      </c>
      <c r="G57" s="10">
        <v>40</v>
      </c>
      <c r="H57" s="12">
        <v>100</v>
      </c>
      <c r="I57" s="11">
        <v>4000</v>
      </c>
      <c r="J57" s="12">
        <f t="shared" ref="J57:J73" si="2">IF(G57&gt;0, I57/G57, H57)</f>
        <v>100</v>
      </c>
      <c r="K57" s="9" t="s">
        <v>30</v>
      </c>
      <c r="L57" s="9" t="s">
        <v>33</v>
      </c>
      <c r="M57" s="14" t="s">
        <v>127</v>
      </c>
      <c r="N57" s="14" t="s">
        <v>141</v>
      </c>
    </row>
    <row r="58" spans="2:14" x14ac:dyDescent="0.35">
      <c r="B58" s="15" t="s">
        <v>202</v>
      </c>
      <c r="C58" s="15" t="s">
        <v>203</v>
      </c>
      <c r="D58" s="20" t="s">
        <v>64</v>
      </c>
      <c r="E58" s="20" t="s">
        <v>55</v>
      </c>
      <c r="F58" s="15" t="s">
        <v>56</v>
      </c>
      <c r="G58" s="16">
        <v>150</v>
      </c>
      <c r="H58" s="18">
        <v>100</v>
      </c>
      <c r="I58" s="17">
        <v>15000</v>
      </c>
      <c r="J58" s="18">
        <f t="shared" si="2"/>
        <v>100</v>
      </c>
      <c r="K58" s="15" t="s">
        <v>30</v>
      </c>
      <c r="L58" s="15" t="s">
        <v>33</v>
      </c>
      <c r="M58" s="20" t="s">
        <v>132</v>
      </c>
      <c r="N58" s="20" t="s">
        <v>185</v>
      </c>
    </row>
    <row r="59" spans="2:14" x14ac:dyDescent="0.35">
      <c r="B59" s="9" t="s">
        <v>204</v>
      </c>
      <c r="C59" s="9" t="s">
        <v>205</v>
      </c>
      <c r="D59" s="14" t="s">
        <v>206</v>
      </c>
      <c r="E59" s="14" t="s">
        <v>55</v>
      </c>
      <c r="F59" s="9" t="s">
        <v>56</v>
      </c>
      <c r="G59" s="10">
        <v>30</v>
      </c>
      <c r="H59" s="12">
        <v>24</v>
      </c>
      <c r="I59" s="11">
        <v>720</v>
      </c>
      <c r="J59" s="12">
        <f t="shared" si="2"/>
        <v>24</v>
      </c>
      <c r="K59" s="9" t="s">
        <v>37</v>
      </c>
      <c r="L59" s="9" t="s">
        <v>33</v>
      </c>
      <c r="M59" s="14" t="s">
        <v>104</v>
      </c>
      <c r="N59" s="14" t="s">
        <v>207</v>
      </c>
    </row>
    <row r="60" spans="2:14" x14ac:dyDescent="0.35">
      <c r="B60" s="15" t="s">
        <v>208</v>
      </c>
      <c r="C60" s="15" t="s">
        <v>209</v>
      </c>
      <c r="D60" s="20" t="s">
        <v>210</v>
      </c>
      <c r="E60" s="20" t="s">
        <v>55</v>
      </c>
      <c r="F60" s="15" t="s">
        <v>56</v>
      </c>
      <c r="G60" s="16">
        <v>50</v>
      </c>
      <c r="H60" s="18">
        <v>86</v>
      </c>
      <c r="I60" s="17">
        <v>4300</v>
      </c>
      <c r="J60" s="18">
        <f t="shared" si="2"/>
        <v>86</v>
      </c>
      <c r="K60" s="15" t="s">
        <v>37</v>
      </c>
      <c r="L60" s="15" t="s">
        <v>33</v>
      </c>
      <c r="M60" s="20" t="s">
        <v>211</v>
      </c>
      <c r="N60" s="20" t="s">
        <v>212</v>
      </c>
    </row>
    <row r="61" spans="2:14" x14ac:dyDescent="0.35">
      <c r="B61" s="9" t="s">
        <v>213</v>
      </c>
      <c r="C61" s="9" t="s">
        <v>214</v>
      </c>
      <c r="D61" s="14" t="s">
        <v>215</v>
      </c>
      <c r="E61" s="14" t="s">
        <v>55</v>
      </c>
      <c r="F61" s="9" t="s">
        <v>56</v>
      </c>
      <c r="G61" s="10">
        <v>70</v>
      </c>
      <c r="H61" s="12">
        <v>150</v>
      </c>
      <c r="I61" s="11">
        <v>10500</v>
      </c>
      <c r="J61" s="12">
        <f t="shared" si="2"/>
        <v>150</v>
      </c>
      <c r="K61" s="9" t="s">
        <v>30</v>
      </c>
      <c r="L61" s="9" t="s">
        <v>31</v>
      </c>
      <c r="M61" s="14" t="s">
        <v>132</v>
      </c>
      <c r="N61" s="14" t="s">
        <v>185</v>
      </c>
    </row>
    <row r="62" spans="2:14" x14ac:dyDescent="0.35">
      <c r="B62" s="15" t="s">
        <v>216</v>
      </c>
      <c r="C62" s="15" t="s">
        <v>217</v>
      </c>
      <c r="D62" s="20" t="s">
        <v>218</v>
      </c>
      <c r="E62" s="20" t="s">
        <v>55</v>
      </c>
      <c r="F62" s="15" t="s">
        <v>56</v>
      </c>
      <c r="G62" s="16">
        <v>40</v>
      </c>
      <c r="H62" s="18">
        <v>20</v>
      </c>
      <c r="I62" s="17">
        <v>800</v>
      </c>
      <c r="J62" s="18">
        <f t="shared" si="2"/>
        <v>20</v>
      </c>
      <c r="K62" s="15" t="s">
        <v>37</v>
      </c>
      <c r="L62" s="15" t="s">
        <v>33</v>
      </c>
      <c r="M62" s="20" t="s">
        <v>104</v>
      </c>
      <c r="N62" s="20" t="s">
        <v>219</v>
      </c>
    </row>
    <row r="63" spans="2:14" x14ac:dyDescent="0.35">
      <c r="B63" s="9" t="s">
        <v>220</v>
      </c>
      <c r="C63" s="9" t="s">
        <v>221</v>
      </c>
      <c r="D63" s="14" t="s">
        <v>210</v>
      </c>
      <c r="E63" s="14" t="s">
        <v>55</v>
      </c>
      <c r="F63" s="9" t="s">
        <v>56</v>
      </c>
      <c r="G63" s="10">
        <v>70</v>
      </c>
      <c r="H63" s="12">
        <v>84.29</v>
      </c>
      <c r="I63" s="11">
        <v>5900</v>
      </c>
      <c r="J63" s="12">
        <f t="shared" si="2"/>
        <v>84.285714285714292</v>
      </c>
      <c r="K63" s="9" t="s">
        <v>37</v>
      </c>
      <c r="L63" s="9" t="s">
        <v>33</v>
      </c>
      <c r="M63" s="14" t="s">
        <v>211</v>
      </c>
      <c r="N63" s="14" t="s">
        <v>222</v>
      </c>
    </row>
    <row r="64" spans="2:14" x14ac:dyDescent="0.35">
      <c r="B64" s="15" t="s">
        <v>223</v>
      </c>
      <c r="C64" s="15" t="s">
        <v>224</v>
      </c>
      <c r="D64" s="20" t="s">
        <v>64</v>
      </c>
      <c r="E64" s="20" t="s">
        <v>60</v>
      </c>
      <c r="F64" s="15" t="s">
        <v>61</v>
      </c>
      <c r="G64" s="16">
        <v>50</v>
      </c>
      <c r="H64" s="18">
        <v>24</v>
      </c>
      <c r="I64" s="17">
        <v>1200</v>
      </c>
      <c r="J64" s="18">
        <f t="shared" si="2"/>
        <v>24</v>
      </c>
      <c r="K64" s="15" t="s">
        <v>37</v>
      </c>
      <c r="L64" s="15" t="s">
        <v>33</v>
      </c>
      <c r="M64" s="20" t="s">
        <v>104</v>
      </c>
      <c r="N64" s="20" t="s">
        <v>225</v>
      </c>
    </row>
    <row r="65" spans="2:14" x14ac:dyDescent="0.35">
      <c r="B65" s="9" t="s">
        <v>226</v>
      </c>
      <c r="C65" s="9" t="s">
        <v>227</v>
      </c>
      <c r="D65" s="14" t="s">
        <v>228</v>
      </c>
      <c r="E65" s="14" t="s">
        <v>55</v>
      </c>
      <c r="F65" s="9" t="s">
        <v>56</v>
      </c>
      <c r="G65" s="10">
        <v>150</v>
      </c>
      <c r="H65" s="12">
        <v>150</v>
      </c>
      <c r="I65" s="11">
        <v>22500</v>
      </c>
      <c r="J65" s="12">
        <f t="shared" si="2"/>
        <v>150</v>
      </c>
      <c r="K65" s="9" t="s">
        <v>30</v>
      </c>
      <c r="L65" s="9" t="s">
        <v>33</v>
      </c>
      <c r="M65" s="14" t="s">
        <v>132</v>
      </c>
      <c r="N65" s="14" t="s">
        <v>229</v>
      </c>
    </row>
    <row r="66" spans="2:14" x14ac:dyDescent="0.35">
      <c r="B66" s="15" t="s">
        <v>230</v>
      </c>
      <c r="C66" s="15" t="s">
        <v>227</v>
      </c>
      <c r="D66" s="20" t="s">
        <v>231</v>
      </c>
      <c r="E66" s="20" t="s">
        <v>60</v>
      </c>
      <c r="F66" s="15" t="s">
        <v>61</v>
      </c>
      <c r="G66" s="16">
        <v>50</v>
      </c>
      <c r="H66" s="18">
        <v>20</v>
      </c>
      <c r="I66" s="17">
        <v>1000</v>
      </c>
      <c r="J66" s="18">
        <f t="shared" si="2"/>
        <v>20</v>
      </c>
      <c r="K66" s="15" t="s">
        <v>37</v>
      </c>
      <c r="L66" s="15" t="s">
        <v>33</v>
      </c>
      <c r="M66" s="20" t="s">
        <v>156</v>
      </c>
      <c r="N66" s="20" t="s">
        <v>232</v>
      </c>
    </row>
    <row r="67" spans="2:14" x14ac:dyDescent="0.35">
      <c r="B67" s="9" t="s">
        <v>233</v>
      </c>
      <c r="C67" s="9" t="s">
        <v>234</v>
      </c>
      <c r="D67" s="14" t="s">
        <v>218</v>
      </c>
      <c r="E67" s="14" t="s">
        <v>55</v>
      </c>
      <c r="F67" s="9" t="s">
        <v>56</v>
      </c>
      <c r="G67" s="10">
        <v>60</v>
      </c>
      <c r="H67" s="12">
        <v>20</v>
      </c>
      <c r="I67" s="11">
        <v>1200</v>
      </c>
      <c r="J67" s="12">
        <f t="shared" si="2"/>
        <v>20</v>
      </c>
      <c r="K67" s="9" t="s">
        <v>37</v>
      </c>
      <c r="L67" s="9" t="s">
        <v>33</v>
      </c>
      <c r="M67" s="14" t="s">
        <v>132</v>
      </c>
      <c r="N67" s="14" t="s">
        <v>235</v>
      </c>
    </row>
    <row r="68" spans="2:14" x14ac:dyDescent="0.35">
      <c r="B68" s="15" t="s">
        <v>236</v>
      </c>
      <c r="C68" s="15" t="s">
        <v>237</v>
      </c>
      <c r="D68" s="20" t="s">
        <v>74</v>
      </c>
      <c r="E68" s="20" t="s">
        <v>60</v>
      </c>
      <c r="F68" s="15" t="s">
        <v>61</v>
      </c>
      <c r="G68" s="16">
        <v>30</v>
      </c>
      <c r="H68" s="18">
        <v>1800</v>
      </c>
      <c r="I68" s="17">
        <v>54000</v>
      </c>
      <c r="J68" s="18">
        <f t="shared" si="2"/>
        <v>1800</v>
      </c>
      <c r="K68" s="15" t="s">
        <v>30</v>
      </c>
      <c r="L68" s="15" t="s">
        <v>31</v>
      </c>
      <c r="M68" s="20" t="s">
        <v>127</v>
      </c>
      <c r="N68" s="20" t="s">
        <v>238</v>
      </c>
    </row>
    <row r="69" spans="2:14" x14ac:dyDescent="0.35">
      <c r="B69" s="9" t="s">
        <v>239</v>
      </c>
      <c r="C69" s="9" t="s">
        <v>237</v>
      </c>
      <c r="D69" s="14" t="s">
        <v>240</v>
      </c>
      <c r="E69" s="14" t="s">
        <v>55</v>
      </c>
      <c r="F69" s="9" t="s">
        <v>56</v>
      </c>
      <c r="G69" s="10">
        <v>110</v>
      </c>
      <c r="H69" s="12">
        <v>100</v>
      </c>
      <c r="I69" s="11">
        <v>11000</v>
      </c>
      <c r="J69" s="12">
        <f t="shared" si="2"/>
        <v>100</v>
      </c>
      <c r="K69" s="9" t="s">
        <v>37</v>
      </c>
      <c r="L69" s="9" t="s">
        <v>33</v>
      </c>
      <c r="M69" s="14" t="s">
        <v>132</v>
      </c>
      <c r="N69" s="14" t="s">
        <v>185</v>
      </c>
    </row>
    <row r="70" spans="2:14" x14ac:dyDescent="0.35">
      <c r="B70" s="15" t="s">
        <v>241</v>
      </c>
      <c r="C70" s="15" t="s">
        <v>242</v>
      </c>
      <c r="D70" s="20" t="s">
        <v>74</v>
      </c>
      <c r="E70" s="20" t="s">
        <v>60</v>
      </c>
      <c r="F70" s="15" t="s">
        <v>61</v>
      </c>
      <c r="G70" s="16">
        <v>40</v>
      </c>
      <c r="H70" s="18">
        <v>100</v>
      </c>
      <c r="I70" s="17">
        <v>4000</v>
      </c>
      <c r="J70" s="18">
        <f t="shared" si="2"/>
        <v>100</v>
      </c>
      <c r="K70" s="15" t="s">
        <v>30</v>
      </c>
      <c r="L70" s="15" t="s">
        <v>31</v>
      </c>
      <c r="M70" s="20" t="s">
        <v>127</v>
      </c>
      <c r="N70" s="20" t="s">
        <v>238</v>
      </c>
    </row>
    <row r="71" spans="2:14" x14ac:dyDescent="0.35">
      <c r="B71" s="9" t="s">
        <v>243</v>
      </c>
      <c r="C71" s="9" t="s">
        <v>242</v>
      </c>
      <c r="D71" s="14" t="s">
        <v>64</v>
      </c>
      <c r="E71" s="14" t="s">
        <v>65</v>
      </c>
      <c r="F71" s="9" t="s">
        <v>61</v>
      </c>
      <c r="G71" s="10">
        <v>100</v>
      </c>
      <c r="H71" s="12">
        <v>28</v>
      </c>
      <c r="I71" s="11">
        <v>2800</v>
      </c>
      <c r="J71" s="12">
        <f t="shared" si="2"/>
        <v>28</v>
      </c>
      <c r="K71" s="9" t="s">
        <v>37</v>
      </c>
      <c r="L71" s="9" t="s">
        <v>33</v>
      </c>
      <c r="M71" s="14" t="s">
        <v>244</v>
      </c>
      <c r="N71" s="14" t="s">
        <v>245</v>
      </c>
    </row>
    <row r="72" spans="2:14" x14ac:dyDescent="0.35">
      <c r="B72" s="15" t="s">
        <v>246</v>
      </c>
      <c r="C72" s="15" t="s">
        <v>247</v>
      </c>
      <c r="D72" s="20" t="s">
        <v>81</v>
      </c>
      <c r="E72" s="20" t="s">
        <v>60</v>
      </c>
      <c r="F72" s="15" t="s">
        <v>61</v>
      </c>
      <c r="G72" s="16">
        <v>100</v>
      </c>
      <c r="H72" s="18">
        <v>60</v>
      </c>
      <c r="I72" s="17">
        <v>6000</v>
      </c>
      <c r="J72" s="18">
        <f t="shared" si="2"/>
        <v>60</v>
      </c>
      <c r="K72" s="15" t="s">
        <v>30</v>
      </c>
      <c r="L72" s="15" t="s">
        <v>33</v>
      </c>
      <c r="M72" s="20" t="s">
        <v>127</v>
      </c>
      <c r="N72" s="20" t="s">
        <v>248</v>
      </c>
    </row>
    <row r="73" spans="2:14" x14ac:dyDescent="0.35">
      <c r="B73" s="9" t="s">
        <v>249</v>
      </c>
      <c r="C73" s="9" t="s">
        <v>250</v>
      </c>
      <c r="D73" s="14" t="s">
        <v>78</v>
      </c>
      <c r="E73" s="14" t="s">
        <v>55</v>
      </c>
      <c r="F73" s="9" t="s">
        <v>56</v>
      </c>
      <c r="G73" s="10">
        <v>95</v>
      </c>
      <c r="H73" s="12">
        <v>500</v>
      </c>
      <c r="I73" s="11">
        <v>47500</v>
      </c>
      <c r="J73" s="12">
        <f t="shared" si="2"/>
        <v>500</v>
      </c>
      <c r="K73" s="9" t="s">
        <v>39</v>
      </c>
      <c r="L73" s="9" t="s">
        <v>35</v>
      </c>
      <c r="M73" s="14" t="s">
        <v>127</v>
      </c>
      <c r="N73" s="14" t="s">
        <v>252</v>
      </c>
    </row>
    <row r="74" spans="2:14" x14ac:dyDescent="0.35">
      <c r="B74" s="21" t="s">
        <v>332</v>
      </c>
      <c r="C74" s="21" t="s">
        <v>333</v>
      </c>
      <c r="D74" s="27"/>
      <c r="E74" s="27"/>
      <c r="F74" s="27"/>
      <c r="G74" s="22">
        <f>SUM(G57:G73)</f>
        <v>1235</v>
      </c>
      <c r="H74" s="24">
        <f>AVERAGE(H57:H73)</f>
        <v>198.0170588235294</v>
      </c>
      <c r="I74" s="23">
        <f>SUM(I57:I73)</f>
        <v>192420</v>
      </c>
      <c r="J74" s="24">
        <f>IF(G74&gt;0, I74/G74, 0)</f>
        <v>155.80566801619435</v>
      </c>
      <c r="K74" s="27"/>
      <c r="L74" s="27"/>
      <c r="M74" s="27"/>
      <c r="N74" s="27"/>
    </row>
    <row r="77" spans="2:14" ht="17" x14ac:dyDescent="0.45">
      <c r="B77" s="7" t="s">
        <v>334</v>
      </c>
    </row>
    <row r="78" spans="2:14" x14ac:dyDescent="0.35">
      <c r="B78" s="2" t="s">
        <v>335</v>
      </c>
    </row>
    <row r="79" spans="2:14" x14ac:dyDescent="0.35">
      <c r="B79" s="29" t="s">
        <v>87</v>
      </c>
      <c r="C79" s="29" t="s">
        <v>316</v>
      </c>
      <c r="D79" s="29" t="s">
        <v>90</v>
      </c>
      <c r="E79" s="29" t="s">
        <v>317</v>
      </c>
      <c r="F79" s="29" t="s">
        <v>51</v>
      </c>
      <c r="G79" s="29" t="s">
        <v>318</v>
      </c>
      <c r="H79" s="29" t="s">
        <v>319</v>
      </c>
      <c r="I79" s="29" t="s">
        <v>21</v>
      </c>
      <c r="J79" s="29" t="s">
        <v>320</v>
      </c>
      <c r="K79" s="29" t="s">
        <v>321</v>
      </c>
      <c r="L79" s="29" t="s">
        <v>322</v>
      </c>
      <c r="M79" s="29" t="s">
        <v>97</v>
      </c>
      <c r="N79" s="29" t="s">
        <v>323</v>
      </c>
    </row>
    <row r="80" spans="2:14" x14ac:dyDescent="0.35">
      <c r="B80" s="9" t="s">
        <v>253</v>
      </c>
      <c r="C80" s="9" t="s">
        <v>254</v>
      </c>
      <c r="D80" s="14" t="s">
        <v>255</v>
      </c>
      <c r="E80" s="14" t="s">
        <v>256</v>
      </c>
      <c r="F80" s="9" t="s">
        <v>61</v>
      </c>
      <c r="G80" s="10">
        <v>22</v>
      </c>
      <c r="H80" s="12">
        <v>326.82</v>
      </c>
      <c r="I80" s="11">
        <v>7190</v>
      </c>
      <c r="J80" s="12">
        <f t="shared" ref="J80:J97" si="3">IF(G80&gt;0, I80/G80, H80)</f>
        <v>326.81818181818181</v>
      </c>
      <c r="K80" s="9" t="s">
        <v>39</v>
      </c>
      <c r="L80" s="9" t="s">
        <v>35</v>
      </c>
      <c r="M80" s="14" t="s">
        <v>156</v>
      </c>
      <c r="N80" s="14" t="s">
        <v>257</v>
      </c>
    </row>
    <row r="81" spans="2:14" x14ac:dyDescent="0.35">
      <c r="B81" s="15" t="s">
        <v>258</v>
      </c>
      <c r="C81" s="15" t="s">
        <v>254</v>
      </c>
      <c r="D81" s="20" t="s">
        <v>259</v>
      </c>
      <c r="E81" s="20" t="s">
        <v>65</v>
      </c>
      <c r="F81" s="15" t="s">
        <v>61</v>
      </c>
      <c r="G81" s="16">
        <v>50</v>
      </c>
      <c r="H81" s="18">
        <v>128</v>
      </c>
      <c r="I81" s="17">
        <v>6400</v>
      </c>
      <c r="J81" s="18">
        <f t="shared" si="3"/>
        <v>128</v>
      </c>
      <c r="K81" s="15" t="s">
        <v>37</v>
      </c>
      <c r="L81" s="15" t="s">
        <v>33</v>
      </c>
      <c r="M81" s="20" t="s">
        <v>147</v>
      </c>
      <c r="N81" s="20" t="s">
        <v>260</v>
      </c>
    </row>
    <row r="82" spans="2:14" x14ac:dyDescent="0.35">
      <c r="B82" s="9" t="s">
        <v>261</v>
      </c>
      <c r="C82" s="9" t="s">
        <v>262</v>
      </c>
      <c r="D82" s="14" t="s">
        <v>164</v>
      </c>
      <c r="E82" s="14" t="s">
        <v>65</v>
      </c>
      <c r="F82" s="9" t="s">
        <v>61</v>
      </c>
      <c r="G82" s="10">
        <v>320</v>
      </c>
      <c r="H82" s="12">
        <v>22</v>
      </c>
      <c r="I82" s="11">
        <v>7040</v>
      </c>
      <c r="J82" s="12">
        <f t="shared" si="3"/>
        <v>22</v>
      </c>
      <c r="K82" s="9" t="s">
        <v>39</v>
      </c>
      <c r="L82" s="9" t="s">
        <v>35</v>
      </c>
      <c r="M82" s="14" t="s">
        <v>127</v>
      </c>
      <c r="N82" s="14" t="s">
        <v>263</v>
      </c>
    </row>
    <row r="83" spans="2:14" x14ac:dyDescent="0.35">
      <c r="B83" s="15" t="s">
        <v>264</v>
      </c>
      <c r="C83" s="15" t="s">
        <v>262</v>
      </c>
      <c r="D83" s="20" t="s">
        <v>164</v>
      </c>
      <c r="E83" s="20" t="s">
        <v>65</v>
      </c>
      <c r="F83" s="15" t="s">
        <v>61</v>
      </c>
      <c r="G83" s="16">
        <v>300</v>
      </c>
      <c r="H83" s="18">
        <v>22</v>
      </c>
      <c r="I83" s="17">
        <v>6600</v>
      </c>
      <c r="J83" s="18">
        <f t="shared" si="3"/>
        <v>22</v>
      </c>
      <c r="K83" s="15" t="s">
        <v>39</v>
      </c>
      <c r="L83" s="15" t="s">
        <v>35</v>
      </c>
      <c r="M83" s="20" t="s">
        <v>127</v>
      </c>
      <c r="N83" s="20" t="s">
        <v>263</v>
      </c>
    </row>
    <row r="84" spans="2:14" x14ac:dyDescent="0.35">
      <c r="B84" s="9" t="s">
        <v>265</v>
      </c>
      <c r="C84" s="9" t="s">
        <v>266</v>
      </c>
      <c r="D84" s="14" t="s">
        <v>59</v>
      </c>
      <c r="E84" s="14" t="s">
        <v>55</v>
      </c>
      <c r="F84" s="9" t="s">
        <v>56</v>
      </c>
      <c r="G84" s="10">
        <v>170</v>
      </c>
      <c r="H84" s="12">
        <v>500</v>
      </c>
      <c r="I84" s="11">
        <v>85000</v>
      </c>
      <c r="J84" s="12">
        <f t="shared" si="3"/>
        <v>500</v>
      </c>
      <c r="K84" s="9" t="s">
        <v>30</v>
      </c>
      <c r="L84" s="9" t="s">
        <v>31</v>
      </c>
      <c r="M84" s="14" t="s">
        <v>147</v>
      </c>
      <c r="N84" s="14" t="s">
        <v>267</v>
      </c>
    </row>
    <row r="85" spans="2:14" x14ac:dyDescent="0.35">
      <c r="B85" s="15" t="s">
        <v>268</v>
      </c>
      <c r="C85" s="15" t="s">
        <v>269</v>
      </c>
      <c r="D85" s="20" t="s">
        <v>71</v>
      </c>
      <c r="E85" s="20" t="s">
        <v>55</v>
      </c>
      <c r="F85" s="15" t="s">
        <v>56</v>
      </c>
      <c r="G85" s="16">
        <v>500</v>
      </c>
      <c r="H85" s="18">
        <v>33.25</v>
      </c>
      <c r="I85" s="17">
        <v>16625</v>
      </c>
      <c r="J85" s="18">
        <f t="shared" si="3"/>
        <v>33.25</v>
      </c>
      <c r="K85" s="15" t="s">
        <v>30</v>
      </c>
      <c r="L85" s="15" t="s">
        <v>31</v>
      </c>
      <c r="M85" s="20" t="s">
        <v>156</v>
      </c>
      <c r="N85" s="20" t="s">
        <v>270</v>
      </c>
    </row>
    <row r="86" spans="2:14" x14ac:dyDescent="0.35">
      <c r="B86" s="9" t="s">
        <v>271</v>
      </c>
      <c r="C86" s="9" t="s">
        <v>269</v>
      </c>
      <c r="D86" s="14" t="s">
        <v>71</v>
      </c>
      <c r="E86" s="14" t="s">
        <v>79</v>
      </c>
      <c r="F86" s="9" t="s">
        <v>61</v>
      </c>
      <c r="G86" s="10">
        <v>1500</v>
      </c>
      <c r="H86" s="12">
        <v>33.25</v>
      </c>
      <c r="I86" s="11">
        <v>49875</v>
      </c>
      <c r="J86" s="12">
        <f t="shared" si="3"/>
        <v>33.25</v>
      </c>
      <c r="K86" s="9" t="s">
        <v>30</v>
      </c>
      <c r="L86" s="9" t="s">
        <v>31</v>
      </c>
      <c r="M86" s="14" t="s">
        <v>156</v>
      </c>
      <c r="N86" s="14" t="s">
        <v>272</v>
      </c>
    </row>
    <row r="87" spans="2:14" x14ac:dyDescent="0.35">
      <c r="B87" s="15" t="s">
        <v>273</v>
      </c>
      <c r="C87" s="15" t="s">
        <v>274</v>
      </c>
      <c r="D87" s="20" t="s">
        <v>275</v>
      </c>
      <c r="E87" s="20" t="s">
        <v>79</v>
      </c>
      <c r="F87" s="15" t="s">
        <v>61</v>
      </c>
      <c r="G87" s="16">
        <v>110</v>
      </c>
      <c r="H87" s="18">
        <v>200</v>
      </c>
      <c r="I87" s="17">
        <v>22000</v>
      </c>
      <c r="J87" s="18">
        <f t="shared" si="3"/>
        <v>200</v>
      </c>
      <c r="K87" s="15" t="s">
        <v>30</v>
      </c>
      <c r="L87" s="15" t="s">
        <v>33</v>
      </c>
      <c r="M87" s="20" t="s">
        <v>132</v>
      </c>
      <c r="N87" s="20" t="s">
        <v>276</v>
      </c>
    </row>
    <row r="88" spans="2:14" x14ac:dyDescent="0.35">
      <c r="B88" s="9" t="s">
        <v>277</v>
      </c>
      <c r="C88" s="9" t="s">
        <v>274</v>
      </c>
      <c r="D88" s="14" t="s">
        <v>154</v>
      </c>
      <c r="E88" s="14" t="s">
        <v>60</v>
      </c>
      <c r="F88" s="9" t="s">
        <v>61</v>
      </c>
      <c r="G88" s="10">
        <v>30</v>
      </c>
      <c r="H88" s="12">
        <v>41.67</v>
      </c>
      <c r="I88" s="11">
        <v>1250</v>
      </c>
      <c r="J88" s="12">
        <f t="shared" si="3"/>
        <v>41.666666666666664</v>
      </c>
      <c r="K88" s="9" t="s">
        <v>37</v>
      </c>
      <c r="L88" s="9" t="s">
        <v>33</v>
      </c>
      <c r="M88" s="14" t="s">
        <v>104</v>
      </c>
      <c r="N88" s="14" t="s">
        <v>278</v>
      </c>
    </row>
    <row r="89" spans="2:14" x14ac:dyDescent="0.35">
      <c r="B89" s="15" t="s">
        <v>279</v>
      </c>
      <c r="C89" s="15" t="s">
        <v>280</v>
      </c>
      <c r="D89" s="20" t="s">
        <v>281</v>
      </c>
      <c r="E89" s="20" t="s">
        <v>282</v>
      </c>
      <c r="F89" s="15" t="s">
        <v>61</v>
      </c>
      <c r="G89" s="16">
        <v>6</v>
      </c>
      <c r="H89" s="18">
        <v>200</v>
      </c>
      <c r="I89" s="17">
        <v>1200</v>
      </c>
      <c r="J89" s="18">
        <f t="shared" si="3"/>
        <v>200</v>
      </c>
      <c r="K89" s="15" t="s">
        <v>37</v>
      </c>
      <c r="L89" s="15" t="s">
        <v>33</v>
      </c>
      <c r="M89" s="20" t="s">
        <v>132</v>
      </c>
      <c r="N89" s="20" t="s">
        <v>283</v>
      </c>
    </row>
    <row r="90" spans="2:14" x14ac:dyDescent="0.35">
      <c r="B90" s="9" t="s">
        <v>284</v>
      </c>
      <c r="C90" s="9" t="s">
        <v>280</v>
      </c>
      <c r="D90" s="14" t="s">
        <v>218</v>
      </c>
      <c r="E90" s="14" t="s">
        <v>55</v>
      </c>
      <c r="F90" s="9" t="s">
        <v>56</v>
      </c>
      <c r="G90" s="10">
        <v>65</v>
      </c>
      <c r="H90" s="12">
        <v>20</v>
      </c>
      <c r="I90" s="11">
        <v>1300</v>
      </c>
      <c r="J90" s="12">
        <f t="shared" si="3"/>
        <v>20</v>
      </c>
      <c r="K90" s="9" t="s">
        <v>37</v>
      </c>
      <c r="L90" s="9" t="s">
        <v>33</v>
      </c>
      <c r="M90" s="14" t="s">
        <v>104</v>
      </c>
      <c r="N90" s="14" t="s">
        <v>175</v>
      </c>
    </row>
    <row r="91" spans="2:14" x14ac:dyDescent="0.35">
      <c r="B91" s="15" t="s">
        <v>285</v>
      </c>
      <c r="C91" s="15" t="s">
        <v>286</v>
      </c>
      <c r="D91" s="20" t="s">
        <v>64</v>
      </c>
      <c r="E91" s="20" t="s">
        <v>287</v>
      </c>
      <c r="F91" s="15" t="s">
        <v>61</v>
      </c>
      <c r="G91" s="16">
        <v>100</v>
      </c>
      <c r="H91" s="18">
        <v>150</v>
      </c>
      <c r="I91" s="17">
        <v>15000</v>
      </c>
      <c r="J91" s="18">
        <f t="shared" si="3"/>
        <v>150</v>
      </c>
      <c r="K91" s="15" t="s">
        <v>30</v>
      </c>
      <c r="L91" s="15" t="s">
        <v>33</v>
      </c>
      <c r="M91" s="20" t="s">
        <v>132</v>
      </c>
      <c r="N91" s="20" t="s">
        <v>288</v>
      </c>
    </row>
    <row r="92" spans="2:14" x14ac:dyDescent="0.35">
      <c r="B92" s="9" t="s">
        <v>289</v>
      </c>
      <c r="C92" s="9" t="s">
        <v>286</v>
      </c>
      <c r="D92" s="14" t="s">
        <v>59</v>
      </c>
      <c r="E92" s="14" t="s">
        <v>55</v>
      </c>
      <c r="F92" s="9" t="s">
        <v>56</v>
      </c>
      <c r="G92" s="10">
        <v>30</v>
      </c>
      <c r="H92" s="12">
        <v>368.33</v>
      </c>
      <c r="I92" s="11">
        <v>11050</v>
      </c>
      <c r="J92" s="12">
        <f t="shared" si="3"/>
        <v>368.33333333333331</v>
      </c>
      <c r="K92" s="9" t="s">
        <v>40</v>
      </c>
      <c r="L92" s="9" t="s">
        <v>33</v>
      </c>
      <c r="M92" s="14" t="s">
        <v>127</v>
      </c>
      <c r="N92" s="14" t="s">
        <v>291</v>
      </c>
    </row>
    <row r="93" spans="2:14" x14ac:dyDescent="0.35">
      <c r="B93" s="15" t="s">
        <v>292</v>
      </c>
      <c r="C93" s="15" t="s">
        <v>286</v>
      </c>
      <c r="D93" s="20" t="s">
        <v>59</v>
      </c>
      <c r="E93" s="20" t="s">
        <v>55</v>
      </c>
      <c r="F93" s="15" t="s">
        <v>56</v>
      </c>
      <c r="G93" s="16">
        <v>27</v>
      </c>
      <c r="H93" s="18">
        <v>353.7</v>
      </c>
      <c r="I93" s="17">
        <v>9550</v>
      </c>
      <c r="J93" s="18">
        <f t="shared" si="3"/>
        <v>353.7037037037037</v>
      </c>
      <c r="K93" s="15" t="s">
        <v>40</v>
      </c>
      <c r="L93" s="15" t="s">
        <v>33</v>
      </c>
      <c r="M93" s="20" t="s">
        <v>127</v>
      </c>
      <c r="N93" s="20" t="s">
        <v>291</v>
      </c>
    </row>
    <row r="94" spans="2:14" x14ac:dyDescent="0.35">
      <c r="B94" s="9" t="s">
        <v>293</v>
      </c>
      <c r="C94" s="9" t="s">
        <v>294</v>
      </c>
      <c r="D94" s="14" t="s">
        <v>295</v>
      </c>
      <c r="E94" s="14" t="s">
        <v>60</v>
      </c>
      <c r="F94" s="9" t="s">
        <v>61</v>
      </c>
      <c r="G94" s="10">
        <v>50</v>
      </c>
      <c r="H94" s="12">
        <v>200</v>
      </c>
      <c r="I94" s="11">
        <v>10000</v>
      </c>
      <c r="J94" s="12">
        <f t="shared" si="3"/>
        <v>200</v>
      </c>
      <c r="K94" s="9" t="s">
        <v>30</v>
      </c>
      <c r="L94" s="9" t="s">
        <v>33</v>
      </c>
      <c r="M94" s="14" t="s">
        <v>132</v>
      </c>
      <c r="N94" s="14" t="s">
        <v>296</v>
      </c>
    </row>
    <row r="95" spans="2:14" x14ac:dyDescent="0.35">
      <c r="B95" s="15" t="s">
        <v>297</v>
      </c>
      <c r="C95" s="15" t="s">
        <v>294</v>
      </c>
      <c r="D95" s="20" t="s">
        <v>164</v>
      </c>
      <c r="E95" s="20" t="s">
        <v>65</v>
      </c>
      <c r="F95" s="15" t="s">
        <v>61</v>
      </c>
      <c r="G95" s="16">
        <v>25</v>
      </c>
      <c r="H95" s="18">
        <v>500</v>
      </c>
      <c r="I95" s="17">
        <v>12500</v>
      </c>
      <c r="J95" s="18">
        <f t="shared" si="3"/>
        <v>500</v>
      </c>
      <c r="K95" s="15" t="s">
        <v>39</v>
      </c>
      <c r="L95" s="15" t="s">
        <v>35</v>
      </c>
      <c r="M95" s="20" t="s">
        <v>127</v>
      </c>
      <c r="N95" s="20" t="s">
        <v>298</v>
      </c>
    </row>
    <row r="96" spans="2:14" x14ac:dyDescent="0.35">
      <c r="B96" s="9" t="s">
        <v>299</v>
      </c>
      <c r="C96" s="9" t="s">
        <v>300</v>
      </c>
      <c r="D96" s="14" t="s">
        <v>64</v>
      </c>
      <c r="E96" s="14" t="s">
        <v>60</v>
      </c>
      <c r="F96" s="9" t="s">
        <v>61</v>
      </c>
      <c r="G96" s="10">
        <v>120</v>
      </c>
      <c r="H96" s="12">
        <v>150</v>
      </c>
      <c r="I96" s="11">
        <v>18000</v>
      </c>
      <c r="J96" s="12">
        <f t="shared" si="3"/>
        <v>150</v>
      </c>
      <c r="K96" s="9" t="s">
        <v>30</v>
      </c>
      <c r="L96" s="9" t="s">
        <v>33</v>
      </c>
      <c r="M96" s="14" t="s">
        <v>132</v>
      </c>
      <c r="N96" s="14" t="s">
        <v>229</v>
      </c>
    </row>
    <row r="97" spans="2:14" x14ac:dyDescent="0.35">
      <c r="B97" s="15" t="s">
        <v>301</v>
      </c>
      <c r="C97" s="15" t="s">
        <v>302</v>
      </c>
      <c r="D97" s="20" t="s">
        <v>59</v>
      </c>
      <c r="E97" s="20" t="s">
        <v>60</v>
      </c>
      <c r="F97" s="15" t="s">
        <v>61</v>
      </c>
      <c r="G97" s="16">
        <v>85</v>
      </c>
      <c r="H97" s="18">
        <v>100</v>
      </c>
      <c r="I97" s="17">
        <v>8500</v>
      </c>
      <c r="J97" s="18">
        <f t="shared" si="3"/>
        <v>100</v>
      </c>
      <c r="K97" s="15" t="s">
        <v>30</v>
      </c>
      <c r="L97" s="15" t="s">
        <v>33</v>
      </c>
      <c r="M97" s="20" t="s">
        <v>147</v>
      </c>
      <c r="N97" s="20" t="s">
        <v>303</v>
      </c>
    </row>
    <row r="98" spans="2:14" x14ac:dyDescent="0.35">
      <c r="B98" s="21" t="s">
        <v>336</v>
      </c>
      <c r="C98" s="21" t="s">
        <v>337</v>
      </c>
      <c r="D98" s="27"/>
      <c r="E98" s="27"/>
      <c r="F98" s="27"/>
      <c r="G98" s="22">
        <f>SUM(G80:G97)</f>
        <v>3510</v>
      </c>
      <c r="H98" s="24">
        <f>AVERAGE(H80:H97)</f>
        <v>186.05666666666667</v>
      </c>
      <c r="I98" s="23">
        <f>SUM(I80:I97)</f>
        <v>289080</v>
      </c>
      <c r="J98" s="24">
        <f>IF(G98&gt;0, I98/G98, 0)</f>
        <v>82.358974358974365</v>
      </c>
      <c r="K98" s="27"/>
      <c r="L98" s="27"/>
      <c r="M98" s="27"/>
      <c r="N98" s="2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46"/>
  <sheetViews>
    <sheetView tabSelected="1" workbookViewId="0">
      <selection activeCell="D2" sqref="D2"/>
    </sheetView>
  </sheetViews>
  <sheetFormatPr defaultRowHeight="14.5" x14ac:dyDescent="0.35"/>
  <cols>
    <col min="1" max="1" width="3" customWidth="1"/>
    <col min="2" max="2" width="28" customWidth="1"/>
    <col min="3" max="3" width="16" customWidth="1"/>
    <col min="4" max="4" width="18" customWidth="1"/>
    <col min="5" max="5" width="14" customWidth="1"/>
    <col min="6" max="6" width="16" customWidth="1"/>
    <col min="7" max="8" width="18" customWidth="1"/>
    <col min="9" max="9" width="20" customWidth="1"/>
    <col min="10" max="10" width="42" customWidth="1"/>
    <col min="11" max="11" width="4" customWidth="1"/>
  </cols>
  <sheetData>
    <row r="2" spans="2:10" x14ac:dyDescent="0.35">
      <c r="B2" s="6" t="str">
        <f>HYPERLINK("#Executive Dashboard!A1", "📊 Executive Dashboard")</f>
        <v>📊 Executive Dashboard</v>
      </c>
      <c r="D2" s="6" t="str">
        <f>HYPERLINK("#Master Event Tracker!A1", "📋 Master Event Tracker")</f>
        <v>📋 Master Event Tracker</v>
      </c>
      <c r="F2" s="6" t="str">
        <f>HYPERLINK("#Monthly Breakdown!A1", "📅 Monthly Breakdown")</f>
        <v>📅 Monthly Breakdown</v>
      </c>
      <c r="H2" s="5" t="str">
        <f>HYPERLINK("#Venue &amp; Vendor Insights!A1", "🏢 Venue &amp; Vendor Insights")</f>
        <v>🏢 Venue &amp; Vendor Insights</v>
      </c>
      <c r="J2" s="6" t="str">
        <f>HYPERLINK("#Lookups &amp; Settings!A1", "⚙️ Lookups &amp; Settings")</f>
        <v>⚙️ Lookups &amp; Settings</v>
      </c>
    </row>
    <row r="4" spans="2:10" ht="22.5" x14ac:dyDescent="0.6">
      <c r="B4" s="1" t="s">
        <v>338</v>
      </c>
    </row>
    <row r="5" spans="2:10" x14ac:dyDescent="0.35">
      <c r="B5" s="2" t="s">
        <v>339</v>
      </c>
    </row>
    <row r="7" spans="2:10" ht="17" x14ac:dyDescent="0.45">
      <c r="B7" s="7" t="s">
        <v>340</v>
      </c>
    </row>
    <row r="8" spans="2:10" x14ac:dyDescent="0.35">
      <c r="B8" s="8" t="s">
        <v>341</v>
      </c>
      <c r="C8" s="8" t="s">
        <v>26</v>
      </c>
      <c r="D8" s="8" t="s">
        <v>19</v>
      </c>
      <c r="E8" s="8" t="s">
        <v>20</v>
      </c>
      <c r="F8" s="8" t="s">
        <v>21</v>
      </c>
      <c r="G8" s="8" t="s">
        <v>342</v>
      </c>
      <c r="H8" s="8" t="s">
        <v>343</v>
      </c>
      <c r="I8" s="8" t="s">
        <v>344</v>
      </c>
    </row>
    <row r="9" spans="2:10" x14ac:dyDescent="0.35">
      <c r="B9" s="14" t="s">
        <v>30</v>
      </c>
      <c r="C9" s="9" t="s">
        <v>31</v>
      </c>
      <c r="D9" s="10">
        <f>COUNTIFS('Master Event Tracker'!$N$8:$N$68, B9, 'Master Event Tracker'!$O$8:$O$68, C9)</f>
        <v>10</v>
      </c>
      <c r="E9" s="10">
        <f>SUMIFS('Master Event Tracker'!$J$8:$J$68, 'Master Event Tracker'!$N$8:$N$68, B9, 'Master Event Tracker'!$O$8:$O$68, C9)</f>
        <v>4580</v>
      </c>
      <c r="F9" s="11">
        <f>SUMIFS('Master Event Tracker'!$L$8:$L$68, 'Master Event Tracker'!$N$8:$N$68, B9, 'Master Event Tracker'!$O$8:$O$68, C9)</f>
        <v>784000</v>
      </c>
      <c r="G9" s="13">
        <f t="shared" ref="G9:G14" si="0">F9/$F$15</f>
        <v>0.63210360694120715</v>
      </c>
      <c r="H9" s="12">
        <f t="shared" ref="H9:H15" si="1">IF(E9&gt;0, F9/E9, 0)</f>
        <v>171.17903930131004</v>
      </c>
      <c r="I9" s="14" t="s">
        <v>345</v>
      </c>
    </row>
    <row r="10" spans="2:10" x14ac:dyDescent="0.35">
      <c r="B10" s="20" t="s">
        <v>30</v>
      </c>
      <c r="C10" s="15" t="s">
        <v>33</v>
      </c>
      <c r="D10" s="16">
        <f>COUNTIFS('Master Event Tracker'!$N$8:$N$68, B10, 'Master Event Tracker'!$O$8:$O$68, C10)</f>
        <v>13</v>
      </c>
      <c r="E10" s="16">
        <f>SUMIFS('Master Event Tracker'!$J$8:$J$68, 'Master Event Tracker'!$N$8:$N$68, B10, 'Master Event Tracker'!$O$8:$O$68, C10)</f>
        <v>1200</v>
      </c>
      <c r="F10" s="17">
        <f>SUMIFS('Master Event Tracker'!$L$8:$L$68, 'Master Event Tracker'!$N$8:$N$68, B10, 'Master Event Tracker'!$O$8:$O$68, C10)</f>
        <v>175250</v>
      </c>
      <c r="G10" s="19">
        <f t="shared" si="0"/>
        <v>0.14129611877097772</v>
      </c>
      <c r="H10" s="18">
        <f t="shared" si="1"/>
        <v>146.04166666666666</v>
      </c>
      <c r="I10" s="20" t="s">
        <v>346</v>
      </c>
    </row>
    <row r="11" spans="2:10" x14ac:dyDescent="0.35">
      <c r="B11" s="14" t="s">
        <v>30</v>
      </c>
      <c r="C11" s="9" t="s">
        <v>35</v>
      </c>
      <c r="D11" s="10">
        <f>COUNTIFS('Master Event Tracker'!$N$8:$N$68, B11, 'Master Event Tracker'!$O$8:$O$68, C11)</f>
        <v>1</v>
      </c>
      <c r="E11" s="10">
        <f>SUMIFS('Master Event Tracker'!$J$8:$J$68, 'Master Event Tracker'!$N$8:$N$68, B11, 'Master Event Tracker'!$O$8:$O$68, C11)</f>
        <v>100</v>
      </c>
      <c r="F11" s="11">
        <f>SUMIFS('Master Event Tracker'!$L$8:$L$68, 'Master Event Tracker'!$N$8:$N$68, B11, 'Master Event Tracker'!$O$8:$O$68, C11)</f>
        <v>2000</v>
      </c>
      <c r="G11" s="13">
        <f t="shared" si="0"/>
        <v>1.6125092013806303E-3</v>
      </c>
      <c r="H11" s="12">
        <f t="shared" si="1"/>
        <v>20</v>
      </c>
      <c r="I11" s="14" t="s">
        <v>347</v>
      </c>
    </row>
    <row r="12" spans="2:10" x14ac:dyDescent="0.35">
      <c r="B12" s="20" t="s">
        <v>37</v>
      </c>
      <c r="C12" s="15" t="s">
        <v>33</v>
      </c>
      <c r="D12" s="16">
        <f>COUNTIFS('Master Event Tracker'!$N$8:$N$68, B12, 'Master Event Tracker'!$O$8:$O$68, C12)</f>
        <v>30</v>
      </c>
      <c r="E12" s="16">
        <f>SUMIFS('Master Event Tracker'!$J$8:$J$68, 'Master Event Tracker'!$N$8:$N$68, B12, 'Master Event Tracker'!$O$8:$O$68, C12)</f>
        <v>2232</v>
      </c>
      <c r="F12" s="17">
        <f>SUMIFS('Master Event Tracker'!$L$8:$L$68, 'Master Event Tracker'!$N$8:$N$68, B12, 'Master Event Tracker'!$O$8:$O$68, C12)</f>
        <v>177623</v>
      </c>
      <c r="G12" s="19">
        <f t="shared" si="0"/>
        <v>0.14320936093841585</v>
      </c>
      <c r="H12" s="18">
        <f t="shared" si="1"/>
        <v>79.58019713261649</v>
      </c>
      <c r="I12" s="20" t="s">
        <v>348</v>
      </c>
    </row>
    <row r="13" spans="2:10" x14ac:dyDescent="0.35">
      <c r="B13" s="14" t="s">
        <v>39</v>
      </c>
      <c r="C13" s="9" t="s">
        <v>35</v>
      </c>
      <c r="D13" s="10">
        <f>COUNTIFS('Master Event Tracker'!$N$8:$N$68, B13, 'Master Event Tracker'!$O$8:$O$68, C13)</f>
        <v>5</v>
      </c>
      <c r="E13" s="10">
        <f>SUMIFS('Master Event Tracker'!$J$8:$J$68, 'Master Event Tracker'!$N$8:$N$68, B13, 'Master Event Tracker'!$O$8:$O$68, C13)</f>
        <v>762</v>
      </c>
      <c r="F13" s="11">
        <f>SUMIFS('Master Event Tracker'!$L$8:$L$68, 'Master Event Tracker'!$N$8:$N$68, B13, 'Master Event Tracker'!$O$8:$O$68, C13)</f>
        <v>80830</v>
      </c>
      <c r="G13" s="13">
        <f t="shared" si="0"/>
        <v>6.5169559373798175E-2</v>
      </c>
      <c r="H13" s="12">
        <f t="shared" si="1"/>
        <v>106.0761154855643</v>
      </c>
      <c r="I13" s="14" t="s">
        <v>349</v>
      </c>
    </row>
    <row r="14" spans="2:10" x14ac:dyDescent="0.35">
      <c r="B14" s="20" t="s">
        <v>40</v>
      </c>
      <c r="C14" s="15" t="s">
        <v>33</v>
      </c>
      <c r="D14" s="16">
        <f>COUNTIFS('Master Event Tracker'!$N$8:$N$68, B14, 'Master Event Tracker'!$O$8:$O$68, C14)</f>
        <v>2</v>
      </c>
      <c r="E14" s="16">
        <f>SUMIFS('Master Event Tracker'!$J$8:$J$68, 'Master Event Tracker'!$N$8:$N$68, B14, 'Master Event Tracker'!$O$8:$O$68, C14)</f>
        <v>57</v>
      </c>
      <c r="F14" s="17">
        <f>SUMIFS('Master Event Tracker'!$L$8:$L$68, 'Master Event Tracker'!$N$8:$N$68, B14, 'Master Event Tracker'!$O$8:$O$68, C14)</f>
        <v>20600</v>
      </c>
      <c r="G14" s="19">
        <f t="shared" si="0"/>
        <v>1.6608844774220494E-2</v>
      </c>
      <c r="H14" s="18">
        <f t="shared" si="1"/>
        <v>361.40350877192981</v>
      </c>
      <c r="I14" s="20" t="s">
        <v>350</v>
      </c>
    </row>
    <row r="15" spans="2:10" x14ac:dyDescent="0.35">
      <c r="B15" s="26" t="s">
        <v>41</v>
      </c>
      <c r="C15" s="21" t="s">
        <v>42</v>
      </c>
      <c r="D15" s="22">
        <f>SUM(D9:D14)</f>
        <v>61</v>
      </c>
      <c r="E15" s="22">
        <f>SUM(E9:E14)</f>
        <v>8931</v>
      </c>
      <c r="F15" s="23">
        <f>SUM(F9:F14)</f>
        <v>1240303</v>
      </c>
      <c r="G15" s="25">
        <f>SUM(G9:G14)</f>
        <v>1</v>
      </c>
      <c r="H15" s="24">
        <f t="shared" si="1"/>
        <v>138.87616168402195</v>
      </c>
      <c r="I15" s="26" t="s">
        <v>351</v>
      </c>
    </row>
    <row r="17" spans="2:10" ht="17" x14ac:dyDescent="0.45">
      <c r="B17" s="7" t="s">
        <v>352</v>
      </c>
    </row>
    <row r="18" spans="2:10" x14ac:dyDescent="0.35">
      <c r="B18" s="8" t="s">
        <v>50</v>
      </c>
      <c r="C18" s="8" t="s">
        <v>51</v>
      </c>
      <c r="D18" s="8" t="s">
        <v>353</v>
      </c>
      <c r="E18" s="8" t="s">
        <v>19</v>
      </c>
      <c r="F18" s="8" t="s">
        <v>20</v>
      </c>
      <c r="G18" s="8" t="s">
        <v>21</v>
      </c>
      <c r="H18" s="8" t="s">
        <v>354</v>
      </c>
      <c r="I18" s="8" t="s">
        <v>355</v>
      </c>
      <c r="J18" s="8" t="s">
        <v>356</v>
      </c>
    </row>
    <row r="19" spans="2:10" x14ac:dyDescent="0.35">
      <c r="B19" s="14" t="s">
        <v>55</v>
      </c>
      <c r="C19" s="9" t="s">
        <v>56</v>
      </c>
      <c r="D19" s="14" t="s">
        <v>57</v>
      </c>
      <c r="E19" s="10">
        <f>COUNTIFS('Master Event Tracker'!$G$8:$G$68, B19)</f>
        <v>16</v>
      </c>
      <c r="F19" s="10">
        <f>SUMIFS('Master Event Tracker'!$J$8:$J$68, 'Master Event Tracker'!$G$8:$G$68, B19)</f>
        <v>1737</v>
      </c>
      <c r="G19" s="11">
        <f>SUMIFS('Master Event Tracker'!$L$8:$L$68, 'Master Event Tracker'!$G$8:$G$68, B19)</f>
        <v>260945</v>
      </c>
      <c r="H19" s="13">
        <f t="shared" ref="H19:H33" si="2">G19/$G$34</f>
        <v>0.21038810677713429</v>
      </c>
      <c r="I19" s="11">
        <f t="shared" ref="I19:I34" si="3">IF(E19&gt;0, G19/E19, 0)</f>
        <v>16309.0625</v>
      </c>
      <c r="J19" s="14" t="s">
        <v>357</v>
      </c>
    </row>
    <row r="20" spans="2:10" x14ac:dyDescent="0.35">
      <c r="B20" s="20" t="s">
        <v>60</v>
      </c>
      <c r="C20" s="15" t="s">
        <v>61</v>
      </c>
      <c r="D20" s="20" t="s">
        <v>62</v>
      </c>
      <c r="E20" s="16">
        <f>COUNTIFS('Master Event Tracker'!$G$8:$G$68, B20)</f>
        <v>14</v>
      </c>
      <c r="F20" s="16">
        <f>SUMIFS('Master Event Tracker'!$J$8:$J$68, 'Master Event Tracker'!$G$8:$G$68, B20)</f>
        <v>752</v>
      </c>
      <c r="G20" s="17">
        <f>SUMIFS('Master Event Tracker'!$L$8:$L$68, 'Master Event Tracker'!$G$8:$G$68, B20)</f>
        <v>131588</v>
      </c>
      <c r="H20" s="19">
        <f t="shared" si="2"/>
        <v>0.10609343039563719</v>
      </c>
      <c r="I20" s="17">
        <f t="shared" si="3"/>
        <v>9399.1428571428569</v>
      </c>
      <c r="J20" s="20" t="s">
        <v>358</v>
      </c>
    </row>
    <row r="21" spans="2:10" x14ac:dyDescent="0.35">
      <c r="B21" s="14" t="s">
        <v>69</v>
      </c>
      <c r="C21" s="9" t="s">
        <v>61</v>
      </c>
      <c r="D21" s="14" t="s">
        <v>62</v>
      </c>
      <c r="E21" s="10">
        <f>COUNTIFS('Master Event Tracker'!$G$8:$G$68, B21)</f>
        <v>7</v>
      </c>
      <c r="F21" s="10">
        <f>SUMIFS('Master Event Tracker'!$J$8:$J$68, 'Master Event Tracker'!$G$8:$G$68, B21)</f>
        <v>524</v>
      </c>
      <c r="G21" s="11">
        <f>SUMIFS('Master Event Tracker'!$L$8:$L$68, 'Master Event Tracker'!$G$8:$G$68, B21)</f>
        <v>40370</v>
      </c>
      <c r="H21" s="13">
        <f t="shared" si="2"/>
        <v>3.2548498229868023E-2</v>
      </c>
      <c r="I21" s="11">
        <f t="shared" si="3"/>
        <v>5767.1428571428569</v>
      </c>
      <c r="J21" s="14" t="s">
        <v>359</v>
      </c>
    </row>
    <row r="22" spans="2:10" x14ac:dyDescent="0.35">
      <c r="B22" s="20" t="s">
        <v>75</v>
      </c>
      <c r="C22" s="15" t="s">
        <v>61</v>
      </c>
      <c r="D22" s="20" t="s">
        <v>76</v>
      </c>
      <c r="E22" s="16">
        <f>COUNTIFS('Master Event Tracker'!$G$8:$G$68, B22)</f>
        <v>4</v>
      </c>
      <c r="F22" s="16">
        <f>SUMIFS('Master Event Tracker'!$J$8:$J$68, 'Master Event Tracker'!$G$8:$G$68, B22)</f>
        <v>190</v>
      </c>
      <c r="G22" s="17">
        <f>SUMIFS('Master Event Tracker'!$L$8:$L$68, 'Master Event Tracker'!$G$8:$G$68, B22)</f>
        <v>30200</v>
      </c>
      <c r="H22" s="19">
        <f t="shared" si="2"/>
        <v>2.4348888940847517E-2</v>
      </c>
      <c r="I22" s="17">
        <f t="shared" si="3"/>
        <v>7550</v>
      </c>
      <c r="J22" s="20" t="s">
        <v>360</v>
      </c>
    </row>
    <row r="23" spans="2:10" x14ac:dyDescent="0.35">
      <c r="B23" s="14" t="s">
        <v>72</v>
      </c>
      <c r="C23" s="9" t="s">
        <v>61</v>
      </c>
      <c r="D23" s="14" t="s">
        <v>66</v>
      </c>
      <c r="E23" s="10">
        <f>COUNTIFS('Master Event Tracker'!$G$8:$G$68, B23)</f>
        <v>2</v>
      </c>
      <c r="F23" s="10">
        <f>SUMIFS('Master Event Tracker'!$J$8:$J$68, 'Master Event Tracker'!$G$8:$G$68, B23)</f>
        <v>311</v>
      </c>
      <c r="G23" s="11">
        <f>SUMIFS('Master Event Tracker'!$L$8:$L$68, 'Master Event Tracker'!$G$8:$G$68, B23)</f>
        <v>63040</v>
      </c>
      <c r="H23" s="13">
        <f t="shared" si="2"/>
        <v>5.0826290027517471E-2</v>
      </c>
      <c r="I23" s="11">
        <f t="shared" si="3"/>
        <v>31520</v>
      </c>
      <c r="J23" s="14" t="s">
        <v>361</v>
      </c>
    </row>
    <row r="24" spans="2:10" x14ac:dyDescent="0.35">
      <c r="B24" s="20" t="s">
        <v>65</v>
      </c>
      <c r="C24" s="15" t="s">
        <v>61</v>
      </c>
      <c r="D24" s="20" t="s">
        <v>66</v>
      </c>
      <c r="E24" s="16">
        <f>COUNTIFS('Master Event Tracker'!$G$8:$G$68, B24)</f>
        <v>8</v>
      </c>
      <c r="F24" s="16">
        <f>SUMIFS('Master Event Tracker'!$J$8:$J$68, 'Master Event Tracker'!$G$8:$G$68, B24)</f>
        <v>1440</v>
      </c>
      <c r="G24" s="17">
        <f>SUMIFS('Master Event Tracker'!$L$8:$L$68, 'Master Event Tracker'!$G$8:$G$68, B24)</f>
        <v>63615</v>
      </c>
      <c r="H24" s="19">
        <f t="shared" si="2"/>
        <v>5.1289886422914398E-2</v>
      </c>
      <c r="I24" s="17">
        <f t="shared" si="3"/>
        <v>7951.875</v>
      </c>
      <c r="J24" s="20" t="s">
        <v>362</v>
      </c>
    </row>
    <row r="25" spans="2:10" x14ac:dyDescent="0.35">
      <c r="B25" s="14" t="s">
        <v>79</v>
      </c>
      <c r="C25" s="9" t="s">
        <v>61</v>
      </c>
      <c r="D25" s="14" t="s">
        <v>66</v>
      </c>
      <c r="E25" s="10">
        <f>COUNTIFS('Master Event Tracker'!$G$8:$G$68, B25)</f>
        <v>2</v>
      </c>
      <c r="F25" s="10">
        <f>SUMIFS('Master Event Tracker'!$J$8:$J$68, 'Master Event Tracker'!$G$8:$G$68, B25)</f>
        <v>1610</v>
      </c>
      <c r="G25" s="11">
        <f>SUMIFS('Master Event Tracker'!$L$8:$L$68, 'Master Event Tracker'!$G$8:$G$68, B25)</f>
        <v>71875</v>
      </c>
      <c r="H25" s="13">
        <f t="shared" si="2"/>
        <v>5.7949549424616408E-2</v>
      </c>
      <c r="I25" s="11">
        <f t="shared" si="3"/>
        <v>35937.5</v>
      </c>
      <c r="J25" s="14" t="s">
        <v>363</v>
      </c>
    </row>
    <row r="26" spans="2:10" x14ac:dyDescent="0.35">
      <c r="B26" s="20" t="s">
        <v>179</v>
      </c>
      <c r="C26" s="15" t="s">
        <v>61</v>
      </c>
      <c r="D26" s="20" t="s">
        <v>180</v>
      </c>
      <c r="E26" s="16">
        <f>COUNTIFS('Master Event Tracker'!$G$8:$G$68, B26)</f>
        <v>1</v>
      </c>
      <c r="F26" s="16">
        <f>SUMIFS('Master Event Tracker'!$J$8:$J$68, 'Master Event Tracker'!$G$8:$G$68, B26)</f>
        <v>35</v>
      </c>
      <c r="G26" s="17">
        <f>SUMIFS('Master Event Tracker'!$L$8:$L$68, 'Master Event Tracker'!$G$8:$G$68, B26)</f>
        <v>3500</v>
      </c>
      <c r="H26" s="19">
        <f t="shared" si="2"/>
        <v>2.8218911024161034E-3</v>
      </c>
      <c r="I26" s="17">
        <f t="shared" si="3"/>
        <v>3500</v>
      </c>
      <c r="J26" s="20" t="s">
        <v>364</v>
      </c>
    </row>
    <row r="27" spans="2:10" x14ac:dyDescent="0.35">
      <c r="B27" s="14" t="s">
        <v>287</v>
      </c>
      <c r="C27" s="9" t="s">
        <v>61</v>
      </c>
      <c r="D27" s="14" t="s">
        <v>76</v>
      </c>
      <c r="E27" s="10">
        <f>COUNTIFS('Master Event Tracker'!$G$8:$G$68, B27)</f>
        <v>1</v>
      </c>
      <c r="F27" s="10">
        <f>SUMIFS('Master Event Tracker'!$J$8:$J$68, 'Master Event Tracker'!$G$8:$G$68, B27)</f>
        <v>100</v>
      </c>
      <c r="G27" s="11">
        <f>SUMIFS('Master Event Tracker'!$L$8:$L$68, 'Master Event Tracker'!$G$8:$G$68, B27)</f>
        <v>15000</v>
      </c>
      <c r="H27" s="13">
        <f t="shared" si="2"/>
        <v>1.2093819010354728E-2</v>
      </c>
      <c r="I27" s="11">
        <f t="shared" si="3"/>
        <v>15000</v>
      </c>
      <c r="J27" s="14" t="s">
        <v>365</v>
      </c>
    </row>
    <row r="28" spans="2:10" x14ac:dyDescent="0.35">
      <c r="B28" s="20" t="s">
        <v>256</v>
      </c>
      <c r="C28" s="15" t="s">
        <v>61</v>
      </c>
      <c r="D28" s="20" t="s">
        <v>66</v>
      </c>
      <c r="E28" s="16">
        <f>COUNTIFS('Master Event Tracker'!$G$8:$G$68, B28)</f>
        <v>1</v>
      </c>
      <c r="F28" s="16">
        <f>SUMIFS('Master Event Tracker'!$J$8:$J$68, 'Master Event Tracker'!$G$8:$G$68, B28)</f>
        <v>22</v>
      </c>
      <c r="G28" s="17">
        <f>SUMIFS('Master Event Tracker'!$L$8:$L$68, 'Master Event Tracker'!$G$8:$G$68, B28)</f>
        <v>7190</v>
      </c>
      <c r="H28" s="19">
        <f t="shared" si="2"/>
        <v>5.7969705789633662E-3</v>
      </c>
      <c r="I28" s="17">
        <f t="shared" si="3"/>
        <v>7190</v>
      </c>
      <c r="J28" s="20" t="s">
        <v>366</v>
      </c>
    </row>
    <row r="29" spans="2:10" x14ac:dyDescent="0.35">
      <c r="B29" s="14" t="s">
        <v>282</v>
      </c>
      <c r="C29" s="9" t="s">
        <v>61</v>
      </c>
      <c r="D29" s="14" t="s">
        <v>180</v>
      </c>
      <c r="E29" s="10">
        <f>COUNTIFS('Master Event Tracker'!$G$8:$G$68, B29)</f>
        <v>1</v>
      </c>
      <c r="F29" s="10">
        <f>SUMIFS('Master Event Tracker'!$J$8:$J$68, 'Master Event Tracker'!$G$8:$G$68, B29)</f>
        <v>6</v>
      </c>
      <c r="G29" s="11">
        <f>SUMIFS('Master Event Tracker'!$L$8:$L$68, 'Master Event Tracker'!$G$8:$G$68, B29)</f>
        <v>1200</v>
      </c>
      <c r="H29" s="13">
        <f t="shared" si="2"/>
        <v>9.6750552082837827E-4</v>
      </c>
      <c r="I29" s="11">
        <f t="shared" si="3"/>
        <v>1200</v>
      </c>
      <c r="J29" s="14" t="s">
        <v>367</v>
      </c>
    </row>
    <row r="30" spans="2:10" x14ac:dyDescent="0.35">
      <c r="B30" s="20" t="s">
        <v>183</v>
      </c>
      <c r="C30" s="15" t="s">
        <v>61</v>
      </c>
      <c r="D30" s="20" t="s">
        <v>184</v>
      </c>
      <c r="E30" s="16">
        <f>COUNTIFS('Master Event Tracker'!$G$8:$G$68, B30)</f>
        <v>1</v>
      </c>
      <c r="F30" s="16">
        <f>SUMIFS('Master Event Tracker'!$J$8:$J$68, 'Master Event Tracker'!$G$8:$G$68, B30)</f>
        <v>80</v>
      </c>
      <c r="G30" s="17">
        <f>SUMIFS('Master Event Tracker'!$L$8:$L$68, 'Master Event Tracker'!$G$8:$G$68, B30)</f>
        <v>24000</v>
      </c>
      <c r="H30" s="19">
        <f t="shared" si="2"/>
        <v>1.9350110416567565E-2</v>
      </c>
      <c r="I30" s="17">
        <f t="shared" si="3"/>
        <v>24000</v>
      </c>
      <c r="J30" s="20" t="s">
        <v>368</v>
      </c>
    </row>
    <row r="31" spans="2:10" x14ac:dyDescent="0.35">
      <c r="B31" s="14" t="s">
        <v>155</v>
      </c>
      <c r="C31" s="9" t="s">
        <v>61</v>
      </c>
      <c r="D31" s="14" t="s">
        <v>66</v>
      </c>
      <c r="E31" s="10">
        <f>COUNTIFS('Master Event Tracker'!$G$8:$G$68, B31)</f>
        <v>1</v>
      </c>
      <c r="F31" s="10">
        <f>SUMIFS('Master Event Tracker'!$J$8:$J$68, 'Master Event Tracker'!$G$8:$G$68, B31)</f>
        <v>10</v>
      </c>
      <c r="G31" s="11">
        <f>SUMIFS('Master Event Tracker'!$L$8:$L$68, 'Master Event Tracker'!$G$8:$G$68, B31)</f>
        <v>2150</v>
      </c>
      <c r="H31" s="13">
        <f t="shared" si="2"/>
        <v>1.7334473914841777E-3</v>
      </c>
      <c r="I31" s="11">
        <f t="shared" si="3"/>
        <v>2150</v>
      </c>
      <c r="J31" s="14" t="s">
        <v>369</v>
      </c>
    </row>
    <row r="32" spans="2:10" x14ac:dyDescent="0.35">
      <c r="B32" s="20" t="s">
        <v>174</v>
      </c>
      <c r="C32" s="15" t="s">
        <v>61</v>
      </c>
      <c r="D32" s="20" t="s">
        <v>66</v>
      </c>
      <c r="E32" s="16">
        <f>COUNTIFS('Master Event Tracker'!$G$8:$G$68, B32)</f>
        <v>1</v>
      </c>
      <c r="F32" s="16">
        <f>SUMIFS('Master Event Tracker'!$J$8:$J$68, 'Master Event Tracker'!$G$8:$G$68, B32)</f>
        <v>14</v>
      </c>
      <c r="G32" s="17">
        <f>SUMIFS('Master Event Tracker'!$L$8:$L$68, 'Master Event Tracker'!$G$8:$G$68, B32)</f>
        <v>630</v>
      </c>
      <c r="H32" s="19">
        <f t="shared" si="2"/>
        <v>5.0794039843489859E-4</v>
      </c>
      <c r="I32" s="17">
        <f t="shared" si="3"/>
        <v>630</v>
      </c>
      <c r="J32" s="20" t="s">
        <v>175</v>
      </c>
    </row>
    <row r="33" spans="2:10" x14ac:dyDescent="0.35">
      <c r="B33" s="14" t="s">
        <v>82</v>
      </c>
      <c r="C33" s="9" t="s">
        <v>83</v>
      </c>
      <c r="D33" s="14" t="s">
        <v>84</v>
      </c>
      <c r="E33" s="10">
        <f>COUNTIFS('Master Event Tracker'!$G$8:$G$68, B33)</f>
        <v>1</v>
      </c>
      <c r="F33" s="10">
        <f>SUMIFS('Master Event Tracker'!$J$8:$J$68, 'Master Event Tracker'!$G$8:$G$68, B33)</f>
        <v>2100</v>
      </c>
      <c r="G33" s="11">
        <f>SUMIFS('Master Event Tracker'!$L$8:$L$68, 'Master Event Tracker'!$G$8:$G$68, B33)</f>
        <v>525000</v>
      </c>
      <c r="H33" s="13">
        <f t="shared" si="2"/>
        <v>0.42328366536241546</v>
      </c>
      <c r="I33" s="11">
        <f t="shared" si="3"/>
        <v>525000</v>
      </c>
      <c r="J33" s="14" t="s">
        <v>370</v>
      </c>
    </row>
    <row r="34" spans="2:10" x14ac:dyDescent="0.35">
      <c r="B34" s="26" t="s">
        <v>371</v>
      </c>
      <c r="C34" s="21" t="s">
        <v>83</v>
      </c>
      <c r="D34" s="26" t="s">
        <v>372</v>
      </c>
      <c r="E34" s="22">
        <f>SUM(E19:E33)</f>
        <v>61</v>
      </c>
      <c r="F34" s="22">
        <f>SUM(F19:F33)</f>
        <v>8931</v>
      </c>
      <c r="G34" s="23">
        <f>SUM(G19:G33)</f>
        <v>1240303</v>
      </c>
      <c r="H34" s="25">
        <f>SUM(H19:H33)</f>
        <v>1</v>
      </c>
      <c r="I34" s="23">
        <f t="shared" si="3"/>
        <v>20332.836065573771</v>
      </c>
      <c r="J34" s="26" t="s">
        <v>373</v>
      </c>
    </row>
    <row r="36" spans="2:10" ht="17" x14ac:dyDescent="0.45">
      <c r="B36" s="7" t="s">
        <v>374</v>
      </c>
    </row>
    <row r="37" spans="2:10" ht="27" x14ac:dyDescent="0.35">
      <c r="B37" s="8" t="s">
        <v>97</v>
      </c>
      <c r="C37" s="8" t="s">
        <v>19</v>
      </c>
      <c r="D37" s="8" t="s">
        <v>20</v>
      </c>
      <c r="E37" s="8" t="s">
        <v>21</v>
      </c>
      <c r="F37" s="8" t="s">
        <v>48</v>
      </c>
      <c r="G37" s="8" t="s">
        <v>343</v>
      </c>
      <c r="H37" s="8" t="s">
        <v>375</v>
      </c>
    </row>
    <row r="38" spans="2:10" x14ac:dyDescent="0.35">
      <c r="B38" s="14" t="s">
        <v>132</v>
      </c>
      <c r="C38" s="10">
        <f>COUNTIFS('Master Event Tracker'!$Q$8:$Q$68, B38)</f>
        <v>15</v>
      </c>
      <c r="D38" s="10">
        <f>SUMIFS('Master Event Tracker'!$J$8:$J$68, 'Master Event Tracker'!$Q$8:$Q$68, B38)</f>
        <v>3376</v>
      </c>
      <c r="E38" s="11">
        <f>SUMIFS('Master Event Tracker'!$L$8:$L$68, 'Master Event Tracker'!$Q$8:$Q$68, B38)</f>
        <v>720900</v>
      </c>
      <c r="F38" s="13">
        <f t="shared" ref="F38:F45" si="4">E38/$E$46</f>
        <v>0.58122894163764827</v>
      </c>
      <c r="G38" s="12">
        <f t="shared" ref="G38:G46" si="5">IF(D38&gt;0, E38/D38, 0)</f>
        <v>213.53672985781989</v>
      </c>
      <c r="H38" s="14" t="s">
        <v>376</v>
      </c>
    </row>
    <row r="39" spans="2:10" x14ac:dyDescent="0.35">
      <c r="B39" s="20" t="s">
        <v>127</v>
      </c>
      <c r="C39" s="16">
        <f>COUNTIFS('Master Event Tracker'!$Q$8:$Q$68, B39)</f>
        <v>15</v>
      </c>
      <c r="D39" s="16">
        <f>SUMIFS('Master Event Tracker'!$J$8:$J$68, 'Master Event Tracker'!$Q$8:$Q$68, B39)</f>
        <v>1179</v>
      </c>
      <c r="E39" s="17">
        <f>SUMIFS('Master Event Tracker'!$L$8:$L$68, 'Master Event Tracker'!$Q$8:$Q$68, B39)</f>
        <v>186710</v>
      </c>
      <c r="F39" s="19">
        <f t="shared" si="4"/>
        <v>0.15053579649488874</v>
      </c>
      <c r="G39" s="18">
        <f t="shared" si="5"/>
        <v>158.36301950805768</v>
      </c>
      <c r="H39" s="20" t="s">
        <v>377</v>
      </c>
    </row>
    <row r="40" spans="2:10" x14ac:dyDescent="0.35">
      <c r="B40" s="14" t="s">
        <v>147</v>
      </c>
      <c r="C40" s="10">
        <f>COUNTIFS('Master Event Tracker'!$Q$8:$Q$68, B40)</f>
        <v>4</v>
      </c>
      <c r="D40" s="10">
        <f>SUMIFS('Master Event Tracker'!$J$8:$J$68, 'Master Event Tracker'!$Q$8:$Q$68, B40)</f>
        <v>329</v>
      </c>
      <c r="E40" s="11">
        <f>SUMIFS('Master Event Tracker'!$L$8:$L$68, 'Master Event Tracker'!$Q$8:$Q$68, B40)</f>
        <v>102300</v>
      </c>
      <c r="F40" s="13">
        <f t="shared" si="4"/>
        <v>8.2479845650619249E-2</v>
      </c>
      <c r="G40" s="12">
        <f t="shared" si="5"/>
        <v>310.94224924012155</v>
      </c>
      <c r="H40" s="14" t="s">
        <v>378</v>
      </c>
    </row>
    <row r="41" spans="2:10" x14ac:dyDescent="0.35">
      <c r="B41" s="20" t="s">
        <v>156</v>
      </c>
      <c r="C41" s="16">
        <f>COUNTIFS('Master Event Tracker'!$Q$8:$Q$68, B41)</f>
        <v>5</v>
      </c>
      <c r="D41" s="16">
        <f>SUMIFS('Master Event Tracker'!$J$8:$J$68, 'Master Event Tracker'!$Q$8:$Q$68, B41)</f>
        <v>2082</v>
      </c>
      <c r="E41" s="17">
        <f>SUMIFS('Master Event Tracker'!$L$8:$L$68, 'Master Event Tracker'!$Q$8:$Q$68, B41)</f>
        <v>76840</v>
      </c>
      <c r="F41" s="19">
        <f t="shared" si="4"/>
        <v>6.1952603517043819E-2</v>
      </c>
      <c r="G41" s="18">
        <f t="shared" si="5"/>
        <v>36.906820365033624</v>
      </c>
      <c r="H41" s="20" t="s">
        <v>379</v>
      </c>
    </row>
    <row r="42" spans="2:10" x14ac:dyDescent="0.35">
      <c r="B42" s="14" t="s">
        <v>104</v>
      </c>
      <c r="C42" s="10">
        <f>COUNTIFS('Master Event Tracker'!$Q$8:$Q$68, B42)</f>
        <v>18</v>
      </c>
      <c r="D42" s="10">
        <f>SUMIFS('Master Event Tracker'!$J$8:$J$68, 'Master Event Tracker'!$Q$8:$Q$68, B42)</f>
        <v>1595</v>
      </c>
      <c r="E42" s="11">
        <f>SUMIFS('Master Event Tracker'!$L$8:$L$68, 'Master Event Tracker'!$Q$8:$Q$68, B42)</f>
        <v>136353</v>
      </c>
      <c r="F42" s="13">
        <f t="shared" si="4"/>
        <v>0.10993523356792655</v>
      </c>
      <c r="G42" s="12">
        <f t="shared" si="5"/>
        <v>85.487774294670842</v>
      </c>
      <c r="H42" s="14" t="s">
        <v>380</v>
      </c>
    </row>
    <row r="43" spans="2:10" x14ac:dyDescent="0.35">
      <c r="B43" s="20" t="s">
        <v>211</v>
      </c>
      <c r="C43" s="16">
        <f>COUNTIFS('Master Event Tracker'!$Q$8:$Q$68, B43)</f>
        <v>2</v>
      </c>
      <c r="D43" s="16">
        <f>SUMIFS('Master Event Tracker'!$J$8:$J$68, 'Master Event Tracker'!$Q$8:$Q$68, B43)</f>
        <v>120</v>
      </c>
      <c r="E43" s="17">
        <f>SUMIFS('Master Event Tracker'!$L$8:$L$68, 'Master Event Tracker'!$Q$8:$Q$68, B43)</f>
        <v>10200</v>
      </c>
      <c r="F43" s="19">
        <f t="shared" si="4"/>
        <v>8.2237969270412149E-3</v>
      </c>
      <c r="G43" s="18">
        <f t="shared" si="5"/>
        <v>85</v>
      </c>
      <c r="H43" s="20" t="s">
        <v>381</v>
      </c>
    </row>
    <row r="44" spans="2:10" x14ac:dyDescent="0.35">
      <c r="B44" s="14" t="s">
        <v>119</v>
      </c>
      <c r="C44" s="10">
        <f>COUNTIFS('Master Event Tracker'!$Q$8:$Q$68, B44)</f>
        <v>1</v>
      </c>
      <c r="D44" s="10">
        <f>SUMIFS('Master Event Tracker'!$J$8:$J$68, 'Master Event Tracker'!$Q$8:$Q$68, B44)</f>
        <v>150</v>
      </c>
      <c r="E44" s="11">
        <f>SUMIFS('Master Event Tracker'!$L$8:$L$68, 'Master Event Tracker'!$Q$8:$Q$68, B44)</f>
        <v>4200</v>
      </c>
      <c r="F44" s="13">
        <f t="shared" si="4"/>
        <v>3.3862693228993239E-3</v>
      </c>
      <c r="G44" s="12">
        <f t="shared" si="5"/>
        <v>28</v>
      </c>
      <c r="H44" s="14" t="s">
        <v>382</v>
      </c>
    </row>
    <row r="45" spans="2:10" x14ac:dyDescent="0.35">
      <c r="B45" s="20" t="s">
        <v>244</v>
      </c>
      <c r="C45" s="16">
        <f>COUNTIFS('Master Event Tracker'!$Q$8:$Q$68, B45)</f>
        <v>1</v>
      </c>
      <c r="D45" s="16">
        <f>SUMIFS('Master Event Tracker'!$J$8:$J$68, 'Master Event Tracker'!$Q$8:$Q$68, B45)</f>
        <v>100</v>
      </c>
      <c r="E45" s="17">
        <f>SUMIFS('Master Event Tracker'!$L$8:$L$68, 'Master Event Tracker'!$Q$8:$Q$68, B45)</f>
        <v>2800</v>
      </c>
      <c r="F45" s="19">
        <f t="shared" si="4"/>
        <v>2.2575128819328823E-3</v>
      </c>
      <c r="G45" s="18">
        <f t="shared" si="5"/>
        <v>28</v>
      </c>
      <c r="H45" s="20" t="s">
        <v>383</v>
      </c>
    </row>
    <row r="46" spans="2:10" x14ac:dyDescent="0.35">
      <c r="B46" s="26" t="s">
        <v>384</v>
      </c>
      <c r="C46" s="22">
        <f>SUM(C38:C45)</f>
        <v>61</v>
      </c>
      <c r="D46" s="22">
        <f>SUM(D38:D45)</f>
        <v>8931</v>
      </c>
      <c r="E46" s="23">
        <f>SUM(E38:E45)</f>
        <v>1240303</v>
      </c>
      <c r="F46" s="25">
        <f>SUM(F38:F45)</f>
        <v>1</v>
      </c>
      <c r="G46" s="24">
        <f t="shared" si="5"/>
        <v>138.87616168402195</v>
      </c>
      <c r="H46" s="26" t="s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40"/>
  <sheetViews>
    <sheetView workbookViewId="0">
      <selection activeCell="D8" sqref="D8"/>
    </sheetView>
  </sheetViews>
  <sheetFormatPr defaultRowHeight="14.5" x14ac:dyDescent="0.35"/>
  <cols>
    <col min="1" max="1" width="4" customWidth="1"/>
    <col min="2" max="2" width="22" customWidth="1"/>
    <col min="3" max="3" width="4" customWidth="1"/>
    <col min="4" max="4" width="22" customWidth="1"/>
    <col min="5" max="5" width="4" customWidth="1"/>
    <col min="6" max="6" width="22" customWidth="1"/>
    <col min="7" max="7" width="4" customWidth="1"/>
    <col min="8" max="8" width="22" customWidth="1"/>
    <col min="9" max="9" width="4" customWidth="1"/>
    <col min="10" max="10" width="22" customWidth="1"/>
    <col min="11" max="11" width="4" customWidth="1"/>
    <col min="12" max="12" width="22" customWidth="1"/>
    <col min="13" max="13" width="4" customWidth="1"/>
    <col min="14" max="14" width="22" customWidth="1"/>
    <col min="15" max="15" width="4" customWidth="1"/>
    <col min="16" max="16" width="22" customWidth="1"/>
    <col min="17" max="17" width="4" customWidth="1"/>
    <col min="18" max="18" width="22" customWidth="1"/>
    <col min="19" max="19" width="4" customWidth="1"/>
  </cols>
  <sheetData>
    <row r="2" spans="2:18" x14ac:dyDescent="0.35">
      <c r="B2" s="6" t="str">
        <f>HYPERLINK("#Executive Dashboard!A1", "📊 Executive Dashboard")</f>
        <v>📊 Executive Dashboard</v>
      </c>
      <c r="D2" s="6" t="str">
        <f>HYPERLINK("#Master Event Tracker!A1", "📋 Master Event Tracker")</f>
        <v>📋 Master Event Tracker</v>
      </c>
      <c r="F2" s="6" t="str">
        <f>HYPERLINK("#Monthly Breakdown!A1", "📅 Monthly Breakdown")</f>
        <v>📅 Monthly Breakdown</v>
      </c>
      <c r="H2" s="6" t="str">
        <f>HYPERLINK("#Venue &amp; Vendor Insights!A1", "🏢 Venue &amp; Vendor Insights")</f>
        <v>🏢 Venue &amp; Vendor Insights</v>
      </c>
      <c r="J2" s="5" t="str">
        <f>HYPERLINK("#Lookups &amp; Settings!A1", "⚙️ Lookups &amp; Settings")</f>
        <v>⚙️ Lookups &amp; Settings</v>
      </c>
    </row>
    <row r="4" spans="2:18" ht="22.5" x14ac:dyDescent="0.6">
      <c r="B4" s="1" t="s">
        <v>386</v>
      </c>
    </row>
    <row r="5" spans="2:18" x14ac:dyDescent="0.35">
      <c r="B5" s="2" t="s">
        <v>387</v>
      </c>
    </row>
    <row r="7" spans="2:18" x14ac:dyDescent="0.35">
      <c r="B7" s="30" t="s">
        <v>388</v>
      </c>
      <c r="D7" s="30" t="s">
        <v>389</v>
      </c>
      <c r="F7" s="30" t="s">
        <v>390</v>
      </c>
      <c r="H7" s="30" t="s">
        <v>391</v>
      </c>
      <c r="J7" s="30" t="s">
        <v>392</v>
      </c>
      <c r="L7" s="30" t="s">
        <v>393</v>
      </c>
      <c r="N7" s="30" t="s">
        <v>394</v>
      </c>
      <c r="P7" s="30" t="s">
        <v>395</v>
      </c>
      <c r="R7" s="30" t="s">
        <v>396</v>
      </c>
    </row>
    <row r="8" spans="2:18" x14ac:dyDescent="0.35">
      <c r="B8" s="31" t="s">
        <v>3</v>
      </c>
      <c r="D8" s="31" t="s">
        <v>29</v>
      </c>
      <c r="F8" s="32" t="s">
        <v>132</v>
      </c>
      <c r="H8" s="32" t="s">
        <v>55</v>
      </c>
      <c r="J8" s="31" t="s">
        <v>30</v>
      </c>
      <c r="L8" s="31" t="s">
        <v>33</v>
      </c>
      <c r="N8" s="32" t="s">
        <v>218</v>
      </c>
      <c r="P8" s="31" t="s">
        <v>106</v>
      </c>
      <c r="R8" s="31" t="s">
        <v>61</v>
      </c>
    </row>
    <row r="9" spans="2:18" x14ac:dyDescent="0.35">
      <c r="B9" s="15" t="s">
        <v>29</v>
      </c>
      <c r="D9" s="15" t="s">
        <v>32</v>
      </c>
      <c r="F9" s="20" t="s">
        <v>127</v>
      </c>
      <c r="H9" s="20" t="s">
        <v>155</v>
      </c>
      <c r="J9" s="15" t="s">
        <v>37</v>
      </c>
      <c r="L9" s="15" t="s">
        <v>31</v>
      </c>
      <c r="N9" s="20" t="s">
        <v>118</v>
      </c>
      <c r="P9" s="15" t="s">
        <v>397</v>
      </c>
      <c r="R9" s="15" t="s">
        <v>56</v>
      </c>
    </row>
    <row r="10" spans="2:18" x14ac:dyDescent="0.35">
      <c r="B10" s="31" t="s">
        <v>32</v>
      </c>
      <c r="D10" s="31" t="s">
        <v>34</v>
      </c>
      <c r="F10" s="32" t="s">
        <v>147</v>
      </c>
      <c r="H10" s="32" t="s">
        <v>60</v>
      </c>
      <c r="J10" s="31" t="s">
        <v>39</v>
      </c>
      <c r="L10" s="31" t="s">
        <v>35</v>
      </c>
      <c r="N10" s="32" t="s">
        <v>164</v>
      </c>
      <c r="P10" s="31" t="s">
        <v>398</v>
      </c>
      <c r="R10" s="31" t="s">
        <v>83</v>
      </c>
    </row>
    <row r="11" spans="2:18" x14ac:dyDescent="0.35">
      <c r="B11" s="15" t="s">
        <v>34</v>
      </c>
      <c r="D11" s="15" t="s">
        <v>36</v>
      </c>
      <c r="F11" s="20" t="s">
        <v>156</v>
      </c>
      <c r="H11" s="20" t="s">
        <v>287</v>
      </c>
      <c r="J11" s="15" t="s">
        <v>40</v>
      </c>
      <c r="N11" s="20" t="s">
        <v>59</v>
      </c>
      <c r="P11" s="15" t="s">
        <v>399</v>
      </c>
    </row>
    <row r="12" spans="2:18" x14ac:dyDescent="0.35">
      <c r="B12" s="31" t="s">
        <v>36</v>
      </c>
      <c r="F12" s="32" t="s">
        <v>104</v>
      </c>
      <c r="H12" s="32" t="s">
        <v>82</v>
      </c>
      <c r="N12" s="32" t="s">
        <v>228</v>
      </c>
    </row>
    <row r="13" spans="2:18" x14ac:dyDescent="0.35">
      <c r="F13" s="20" t="s">
        <v>211</v>
      </c>
      <c r="H13" s="20" t="s">
        <v>174</v>
      </c>
      <c r="N13" s="20" t="s">
        <v>64</v>
      </c>
    </row>
    <row r="14" spans="2:18" x14ac:dyDescent="0.35">
      <c r="F14" s="32" t="s">
        <v>119</v>
      </c>
      <c r="H14" s="32" t="s">
        <v>79</v>
      </c>
      <c r="N14" s="32" t="s">
        <v>170</v>
      </c>
    </row>
    <row r="15" spans="2:18" x14ac:dyDescent="0.35">
      <c r="F15" s="20" t="s">
        <v>244</v>
      </c>
      <c r="H15" s="20" t="s">
        <v>65</v>
      </c>
      <c r="N15" s="20" t="s">
        <v>160</v>
      </c>
    </row>
    <row r="16" spans="2:18" x14ac:dyDescent="0.35">
      <c r="F16" s="32" t="s">
        <v>400</v>
      </c>
      <c r="H16" s="32" t="s">
        <v>256</v>
      </c>
      <c r="N16" s="32" t="s">
        <v>122</v>
      </c>
    </row>
    <row r="17" spans="8:14" x14ac:dyDescent="0.35">
      <c r="H17" s="20" t="s">
        <v>282</v>
      </c>
      <c r="N17" s="20" t="s">
        <v>136</v>
      </c>
    </row>
    <row r="18" spans="8:14" x14ac:dyDescent="0.35">
      <c r="H18" s="32" t="s">
        <v>69</v>
      </c>
      <c r="N18" s="32" t="s">
        <v>74</v>
      </c>
    </row>
    <row r="19" spans="8:14" x14ac:dyDescent="0.35">
      <c r="H19" s="20" t="s">
        <v>75</v>
      </c>
      <c r="N19" s="20" t="s">
        <v>178</v>
      </c>
    </row>
    <row r="20" spans="8:14" x14ac:dyDescent="0.35">
      <c r="H20" s="32" t="s">
        <v>72</v>
      </c>
      <c r="N20" s="32" t="s">
        <v>206</v>
      </c>
    </row>
    <row r="21" spans="8:14" x14ac:dyDescent="0.35">
      <c r="H21" s="20" t="s">
        <v>179</v>
      </c>
      <c r="N21" s="20" t="s">
        <v>126</v>
      </c>
    </row>
    <row r="22" spans="8:14" x14ac:dyDescent="0.35">
      <c r="H22" s="32" t="s">
        <v>183</v>
      </c>
      <c r="N22" s="32" t="s">
        <v>144</v>
      </c>
    </row>
    <row r="23" spans="8:14" x14ac:dyDescent="0.35">
      <c r="N23" s="20" t="s">
        <v>110</v>
      </c>
    </row>
    <row r="24" spans="8:14" x14ac:dyDescent="0.35">
      <c r="N24" s="32" t="s">
        <v>240</v>
      </c>
    </row>
    <row r="25" spans="8:14" x14ac:dyDescent="0.35">
      <c r="N25" s="20" t="s">
        <v>54</v>
      </c>
    </row>
    <row r="26" spans="8:14" x14ac:dyDescent="0.35">
      <c r="N26" s="32" t="s">
        <v>71</v>
      </c>
    </row>
    <row r="27" spans="8:14" x14ac:dyDescent="0.35">
      <c r="N27" s="20" t="s">
        <v>275</v>
      </c>
    </row>
    <row r="28" spans="8:14" x14ac:dyDescent="0.35">
      <c r="N28" s="32" t="s">
        <v>215</v>
      </c>
    </row>
    <row r="29" spans="8:14" x14ac:dyDescent="0.35">
      <c r="N29" s="20" t="s">
        <v>114</v>
      </c>
    </row>
    <row r="30" spans="8:14" x14ac:dyDescent="0.35">
      <c r="N30" s="32" t="s">
        <v>231</v>
      </c>
    </row>
    <row r="31" spans="8:14" x14ac:dyDescent="0.35">
      <c r="N31" s="20" t="s">
        <v>68</v>
      </c>
    </row>
    <row r="32" spans="8:14" x14ac:dyDescent="0.35">
      <c r="N32" s="32" t="s">
        <v>281</v>
      </c>
    </row>
    <row r="33" spans="14:14" x14ac:dyDescent="0.35">
      <c r="N33" s="20" t="s">
        <v>259</v>
      </c>
    </row>
    <row r="34" spans="14:14" x14ac:dyDescent="0.35">
      <c r="N34" s="32" t="s">
        <v>154</v>
      </c>
    </row>
    <row r="35" spans="14:14" x14ac:dyDescent="0.35">
      <c r="N35" s="20" t="s">
        <v>295</v>
      </c>
    </row>
    <row r="36" spans="14:14" x14ac:dyDescent="0.35">
      <c r="N36" s="32" t="s">
        <v>81</v>
      </c>
    </row>
    <row r="37" spans="14:14" x14ac:dyDescent="0.35">
      <c r="N37" s="20" t="s">
        <v>102</v>
      </c>
    </row>
    <row r="38" spans="14:14" x14ac:dyDescent="0.35">
      <c r="N38" s="32" t="s">
        <v>210</v>
      </c>
    </row>
    <row r="39" spans="14:14" x14ac:dyDescent="0.35">
      <c r="N39" s="20" t="s">
        <v>255</v>
      </c>
    </row>
    <row r="40" spans="14:14" x14ac:dyDescent="0.35">
      <c r="N40" s="32" t="s">
        <v>78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Master Event Tracker</vt:lpstr>
      <vt:lpstr>Monthly Breakdown</vt:lpstr>
      <vt:lpstr>Venue &amp; Vendor Insights</vt:lpstr>
      <vt:lpstr>Lookups &amp; 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Mohanty, Satyabrata @ Gurgaon</cp:lastModifiedBy>
  <dcterms:created xsi:type="dcterms:W3CDTF">2026-08-24T06:52:08Z</dcterms:created>
  <dcterms:modified xsi:type="dcterms:W3CDTF">2026-08-31T06:27:18Z</dcterms:modified>
</cp:coreProperties>
</file>
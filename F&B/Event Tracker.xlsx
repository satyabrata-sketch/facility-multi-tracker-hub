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satyabrata_mohanty1_cbre_com/Documents/Desktop/Trackers/F&amp;B/"/>
    </mc:Choice>
  </mc:AlternateContent>
  <xr:revisionPtr revIDLastSave="70" documentId="11_9C13D44CA79BDCD8866DA09C8625CDA6B6DCC405" xr6:coauthVersionLast="47" xr6:coauthVersionMax="47" xr10:uidLastSave="{02EF929A-ADB9-40D7-AAFB-D465CE4C8CC5}"/>
  <bookViews>
    <workbookView xWindow="0" yWindow="0" windowWidth="19200" windowHeight="11280" xr2:uid="{00000000-000D-0000-FFFF-FFFF00000000}"/>
  </bookViews>
  <sheets>
    <sheet name="Dashboard" sheetId="1" r:id="rId1"/>
    <sheet name="Mast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2" l="1"/>
  <c r="G69" i="2"/>
  <c r="F69" i="2"/>
  <c r="I69" i="2" s="1"/>
  <c r="B69" i="2"/>
  <c r="D11" i="1" s="1"/>
  <c r="E11" i="1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K2" i="2"/>
  <c r="Q26" i="1"/>
  <c r="P26" i="1"/>
  <c r="O26" i="1"/>
  <c r="K26" i="1"/>
  <c r="J26" i="1"/>
  <c r="I26" i="1"/>
  <c r="E26" i="1"/>
  <c r="D26" i="1"/>
  <c r="C26" i="1"/>
  <c r="Q25" i="1"/>
  <c r="P25" i="1"/>
  <c r="O25" i="1"/>
  <c r="K25" i="1"/>
  <c r="J25" i="1"/>
  <c r="I25" i="1"/>
  <c r="E25" i="1"/>
  <c r="D25" i="1"/>
  <c r="C25" i="1"/>
  <c r="Q24" i="1"/>
  <c r="P24" i="1"/>
  <c r="O24" i="1"/>
  <c r="K24" i="1"/>
  <c r="J24" i="1"/>
  <c r="I24" i="1"/>
  <c r="E24" i="1"/>
  <c r="D24" i="1"/>
  <c r="C24" i="1"/>
  <c r="Q23" i="1"/>
  <c r="P23" i="1"/>
  <c r="O23" i="1"/>
  <c r="K23" i="1"/>
  <c r="J23" i="1"/>
  <c r="I23" i="1"/>
  <c r="E23" i="1"/>
  <c r="D23" i="1"/>
  <c r="C23" i="1"/>
  <c r="Q22" i="1"/>
  <c r="P22" i="1"/>
  <c r="O22" i="1"/>
  <c r="K22" i="1"/>
  <c r="J22" i="1"/>
  <c r="I22" i="1"/>
  <c r="E22" i="1"/>
  <c r="D22" i="1"/>
  <c r="C22" i="1"/>
  <c r="Q21" i="1"/>
  <c r="P21" i="1"/>
  <c r="O21" i="1"/>
  <c r="K21" i="1"/>
  <c r="J21" i="1"/>
  <c r="I21" i="1"/>
  <c r="E21" i="1"/>
  <c r="D21" i="1"/>
  <c r="C21" i="1"/>
  <c r="Q20" i="1"/>
  <c r="P20" i="1"/>
  <c r="O20" i="1"/>
  <c r="K20" i="1"/>
  <c r="J20" i="1"/>
  <c r="I20" i="1"/>
  <c r="E20" i="1"/>
  <c r="D20" i="1"/>
  <c r="C20" i="1"/>
  <c r="L14" i="1"/>
  <c r="K14" i="1"/>
  <c r="J14" i="1"/>
  <c r="S13" i="1"/>
  <c r="R13" i="1"/>
  <c r="Q13" i="1"/>
  <c r="L13" i="1"/>
  <c r="K13" i="1"/>
  <c r="J13" i="1"/>
  <c r="S12" i="1"/>
  <c r="R12" i="1"/>
  <c r="Q12" i="1"/>
  <c r="L12" i="1"/>
  <c r="K12" i="1"/>
  <c r="J12" i="1"/>
  <c r="S11" i="1"/>
  <c r="R11" i="1"/>
  <c r="Q11" i="1"/>
  <c r="L11" i="1"/>
  <c r="K11" i="1"/>
  <c r="J11" i="1"/>
  <c r="Q6" i="1"/>
  <c r="H6" i="1"/>
  <c r="E6" i="1"/>
  <c r="B6" i="1"/>
  <c r="H3" i="1"/>
  <c r="E14" i="1" l="1"/>
  <c r="C14" i="1"/>
  <c r="D14" i="1"/>
  <c r="F14" i="1" s="1"/>
  <c r="E12" i="1"/>
  <c r="C11" i="1"/>
  <c r="U13" i="1"/>
  <c r="C13" i="1"/>
  <c r="U12" i="1"/>
  <c r="N13" i="1"/>
  <c r="C12" i="1"/>
  <c r="D13" i="1"/>
  <c r="E13" i="1"/>
  <c r="E15" i="1" s="1"/>
  <c r="D12" i="1"/>
  <c r="I27" i="1"/>
  <c r="I28" i="1" s="1"/>
  <c r="N12" i="1"/>
  <c r="K6" i="1"/>
  <c r="J27" i="1"/>
  <c r="J28" i="1" s="1"/>
  <c r="O27" i="1"/>
  <c r="O28" i="1" s="1"/>
  <c r="P27" i="1"/>
  <c r="P28" i="1" s="1"/>
  <c r="J15" i="1"/>
  <c r="J16" i="1" s="1"/>
  <c r="Q27" i="1"/>
  <c r="Q28" i="1" s="1"/>
  <c r="L15" i="1"/>
  <c r="L16" i="1" s="1"/>
  <c r="N14" i="1"/>
  <c r="R14" i="1"/>
  <c r="U14" i="1" s="1"/>
  <c r="C27" i="1"/>
  <c r="C28" i="1" s="1"/>
  <c r="D27" i="1"/>
  <c r="D28" i="1" s="1"/>
  <c r="N6" i="1"/>
  <c r="E27" i="1"/>
  <c r="E28" i="1" s="1"/>
  <c r="S14" i="1"/>
  <c r="S15" i="1" s="1"/>
  <c r="K15" i="1"/>
  <c r="N15" i="1" s="1"/>
  <c r="K27" i="1"/>
  <c r="K28" i="1" s="1"/>
  <c r="F11" i="1"/>
  <c r="N11" i="1"/>
  <c r="Q14" i="1"/>
  <c r="Q15" i="1" s="1"/>
  <c r="U11" i="1"/>
  <c r="F12" i="1" l="1"/>
  <c r="C15" i="1"/>
  <c r="D15" i="1"/>
  <c r="F15" i="1" s="1"/>
  <c r="G12" i="1"/>
  <c r="G11" i="1"/>
  <c r="G14" i="1"/>
  <c r="G13" i="1"/>
  <c r="F13" i="1"/>
  <c r="G15" i="1"/>
  <c r="R15" i="1"/>
  <c r="U15" i="1" s="1"/>
  <c r="T12" i="1"/>
  <c r="T14" i="1"/>
  <c r="T13" i="1"/>
  <c r="T11" i="1"/>
  <c r="L22" i="1"/>
  <c r="L23" i="1"/>
  <c r="L24" i="1"/>
  <c r="L26" i="1"/>
  <c r="L25" i="1"/>
  <c r="L21" i="1"/>
  <c r="L27" i="1"/>
  <c r="L20" i="1"/>
  <c r="F20" i="1"/>
  <c r="F27" i="1"/>
  <c r="F21" i="1"/>
  <c r="F22" i="1"/>
  <c r="F24" i="1"/>
  <c r="F26" i="1"/>
  <c r="F23" i="1"/>
  <c r="F25" i="1"/>
  <c r="R24" i="1"/>
  <c r="R25" i="1"/>
  <c r="R26" i="1"/>
  <c r="R20" i="1"/>
  <c r="R27" i="1"/>
  <c r="R21" i="1"/>
  <c r="R22" i="1"/>
  <c r="R23" i="1"/>
  <c r="K16" i="1"/>
  <c r="N16" i="1" s="1"/>
  <c r="M15" i="1"/>
  <c r="M14" i="1"/>
  <c r="M12" i="1"/>
  <c r="M11" i="1"/>
  <c r="M13" i="1"/>
  <c r="T15" i="1" l="1"/>
  <c r="F28" i="1"/>
  <c r="L28" i="1"/>
  <c r="R28" i="1"/>
  <c r="M16" i="1"/>
</calcChain>
</file>

<file path=xl/sharedStrings.xml><?xml version="1.0" encoding="utf-8"?>
<sst xmlns="http://schemas.openxmlformats.org/spreadsheetml/2006/main" count="675" uniqueCount="219">
  <si>
    <t>EVENT MANAGEMENT &amp; SPEND ANALYTICS DASHBOARD</t>
  </si>
  <si>
    <t>Executive overview, budget utilization, vendor spend breakdown, and venue tracking</t>
  </si>
  <si>
    <t>All Months</t>
  </si>
  <si>
    <t>TOTAL EVENT SPEND</t>
  </si>
  <si>
    <t>TOTAL ATTENDEES (PAX)</t>
  </si>
  <si>
    <t>EVENTS HOSTED</t>
  </si>
  <si>
    <t>AVG SPEND / EVENT</t>
  </si>
  <si>
    <t>AVG COST / PAX</t>
  </si>
  <si>
    <t>PRIMARY VENDOR</t>
  </si>
  <si>
    <t>Total budget invested</t>
  </si>
  <si>
    <t>Total headcount</t>
  </si>
  <si>
    <t>Average cost per event</t>
  </si>
  <si>
    <t>Cost per participant</t>
  </si>
  <si>
    <t>Primary catering partner</t>
  </si>
  <si>
    <t>1. MONTHLY OVERVIEW</t>
  </si>
  <si>
    <t>Month Filter:</t>
  </si>
  <si>
    <t>2. VENDOR SPEND BREAKDOWN</t>
  </si>
  <si>
    <t>3. PAYMENT METHOD BREAKDOWN</t>
  </si>
  <si>
    <t>Month</t>
  </si>
  <si>
    <t>Events</t>
  </si>
  <si>
    <t>Total Pax</t>
  </si>
  <si>
    <t>Total Spend (₹)</t>
  </si>
  <si>
    <t>Avg Cost/Pax (₹)</t>
  </si>
  <si>
    <t>% Share</t>
  </si>
  <si>
    <t>Catering Vendor</t>
  </si>
  <si>
    <t>Payment Method</t>
  </si>
  <si>
    <t>May</t>
  </si>
  <si>
    <t>COMPASS</t>
  </si>
  <si>
    <t>PO</t>
  </si>
  <si>
    <t>June</t>
  </si>
  <si>
    <t>PIHU</t>
  </si>
  <si>
    <t>CARD</t>
  </si>
  <si>
    <t>July</t>
  </si>
  <si>
    <t>FOOD SAUDA</t>
  </si>
  <si>
    <t>DIRECT</t>
  </si>
  <si>
    <t>August</t>
  </si>
  <si>
    <t>FOOD SAUDA &amp; PIHU</t>
  </si>
  <si>
    <t>Other Modes</t>
  </si>
  <si>
    <t>Total / Filtered</t>
  </si>
  <si>
    <t>Other Vendors</t>
  </si>
  <si>
    <t>Total Payment Modes</t>
  </si>
  <si>
    <t>Total Vendor Spend</t>
  </si>
  <si>
    <t>4. VENUE UTILIZATION</t>
  </si>
  <si>
    <t>5. REQUESTORS BREAKDOWN</t>
  </si>
  <si>
    <t>6. EVENT CATEGORY</t>
  </si>
  <si>
    <t>Venue / Space</t>
  </si>
  <si>
    <t>Requestor Name</t>
  </si>
  <si>
    <t>Event Category</t>
  </si>
  <si>
    <t>DT3 | Level 3</t>
  </si>
  <si>
    <t>Prerena</t>
  </si>
  <si>
    <t>Townhall &amp; All-Hands</t>
  </si>
  <si>
    <t>DT4 | L1 (Innovation Hub)</t>
  </si>
  <si>
    <t>Deshraj</t>
  </si>
  <si>
    <t>Leadership &amp; Strategy</t>
  </si>
  <si>
    <t>DT4 | L5 (Hackable Space)</t>
  </si>
  <si>
    <t>Ekta</t>
  </si>
  <si>
    <t>Induction &amp; Training</t>
  </si>
  <si>
    <t>DT4 | Level 1</t>
  </si>
  <si>
    <t>Saurabh Dutta</t>
  </si>
  <si>
    <t>Celebrations &amp; Engagement</t>
  </si>
  <si>
    <t>DT4 | Level 5</t>
  </si>
  <si>
    <t>Property Services</t>
  </si>
  <si>
    <t>Meetings &amp; Refreshments</t>
  </si>
  <si>
    <t>DT4 | Level 4</t>
  </si>
  <si>
    <t>Mary</t>
  </si>
  <si>
    <t>Hiring &amp; Recruitment</t>
  </si>
  <si>
    <t>DT4 | L5 (Cafeteria)</t>
  </si>
  <si>
    <t>Deepika</t>
  </si>
  <si>
    <t>CSR &amp; Health Drive</t>
  </si>
  <si>
    <t>Other Venues / Zones</t>
  </si>
  <si>
    <t>Other Requestors</t>
  </si>
  <si>
    <t>Other Categories</t>
  </si>
  <si>
    <t>Total Venue Footprint</t>
  </si>
  <si>
    <t>Total Requestors</t>
  </si>
  <si>
    <t>Total Categories</t>
  </si>
  <si>
    <t>S.No</t>
  </si>
  <si>
    <t>Date</t>
  </si>
  <si>
    <t>Requestor</t>
  </si>
  <si>
    <t>Venue</t>
  </si>
  <si>
    <t>Pax</t>
  </si>
  <si>
    <t>Rate (₹)</t>
  </si>
  <si>
    <t>Event Amount (₹)</t>
  </si>
  <si>
    <t>Cost / Pax (₹)</t>
  </si>
  <si>
    <t>Vendor</t>
  </si>
  <si>
    <t>Category</t>
  </si>
  <si>
    <t>Remarks / Description</t>
  </si>
  <si>
    <t>Status</t>
  </si>
  <si>
    <t>05-May</t>
  </si>
  <si>
    <t>Simran Vijay</t>
  </si>
  <si>
    <t>Boxes Catering</t>
  </si>
  <si>
    <t>Completed</t>
  </si>
  <si>
    <t>13-May</t>
  </si>
  <si>
    <t>Poonam Gupta</t>
  </si>
  <si>
    <t>Hackable Space Event Refreshments</t>
  </si>
  <si>
    <t>19-May</t>
  </si>
  <si>
    <t>Rupika</t>
  </si>
  <si>
    <t>Hackable Space Meeting (25*45 + 45*10)</t>
  </si>
  <si>
    <t>20-May</t>
  </si>
  <si>
    <t>Blood Donation Drive</t>
  </si>
  <si>
    <t>Blood Donation Drive Refreshments (150*8 + 150*20)</t>
  </si>
  <si>
    <t>Khusboo Kaur</t>
  </si>
  <si>
    <t>Only Tea Service</t>
  </si>
  <si>
    <t>21-May</t>
  </si>
  <si>
    <t>Neeraj Panday</t>
  </si>
  <si>
    <t>Leadership Connect</t>
  </si>
  <si>
    <t>22-May</t>
  </si>
  <si>
    <t>DT4 | L5 &amp; DT3</t>
  </si>
  <si>
    <t>Major All-Hands: 1500 at DT4 and 600 at DT3</t>
  </si>
  <si>
    <t>25-May</t>
  </si>
  <si>
    <t>Kirti</t>
  </si>
  <si>
    <t>Potluck, Only Tea</t>
  </si>
  <si>
    <t>28-May</t>
  </si>
  <si>
    <t>Shivani</t>
  </si>
  <si>
    <t>XLT Meeting</t>
  </si>
  <si>
    <t>05-Jun</t>
  </si>
  <si>
    <t>Poonam</t>
  </si>
  <si>
    <t>Team Meeting Refreshments (11*20 + 11*60)</t>
  </si>
  <si>
    <t>Master Class Session (24*20 + 24*60 + 24*20)</t>
  </si>
  <si>
    <t>08-Jun</t>
  </si>
  <si>
    <t>Team Refreshments (30*25)</t>
  </si>
  <si>
    <t>09-Jun</t>
  </si>
  <si>
    <t>Shikha</t>
  </si>
  <si>
    <t>DT4 | D410 (L5)</t>
  </si>
  <si>
    <t>Milestone Celebration</t>
  </si>
  <si>
    <t>11-Jun</t>
  </si>
  <si>
    <t>Kanchan Walia</t>
  </si>
  <si>
    <t>Innovation Hub Session</t>
  </si>
  <si>
    <t>12-Jun</t>
  </si>
  <si>
    <t>Innovation Hub Workshop Refreshments</t>
  </si>
  <si>
    <t>16-Jun</t>
  </si>
  <si>
    <t>Team Gathering - Innovation Hub</t>
  </si>
  <si>
    <t>Hitesh</t>
  </si>
  <si>
    <t>Tenant Meeting</t>
  </si>
  <si>
    <t>17-Jun</t>
  </si>
  <si>
    <t>DT4 | L5 (C305)</t>
  </si>
  <si>
    <t>Team Refreshments</t>
  </si>
  <si>
    <t>18-Jun</t>
  </si>
  <si>
    <t>Mayank</t>
  </si>
  <si>
    <t>DT4 | Level 6</t>
  </si>
  <si>
    <t>Evening Tea with Risk Executives</t>
  </si>
  <si>
    <t>DT4 | Zone B</t>
  </si>
  <si>
    <t>Townhall</t>
  </si>
  <si>
    <t>23-Jun</t>
  </si>
  <si>
    <t>Floor Level Event</t>
  </si>
  <si>
    <t>26-Jun</t>
  </si>
  <si>
    <t>GS Townhall</t>
  </si>
  <si>
    <t>29-Jun</t>
  </si>
  <si>
    <t>Team Catering (50*200 + 25*250)</t>
  </si>
  <si>
    <t>30-Jun</t>
  </si>
  <si>
    <t>Leadership Lunch</t>
  </si>
  <si>
    <t>03-Jul</t>
  </si>
  <si>
    <t>08-Jul</t>
  </si>
  <si>
    <t>09-Jul</t>
  </si>
  <si>
    <t>Monika</t>
  </si>
  <si>
    <t>Team Meeting (30*20 + 10*12)</t>
  </si>
  <si>
    <t>11-Jul</t>
  </si>
  <si>
    <t>Tarun Jain</t>
  </si>
  <si>
    <t>Hiring Drive (50*60 + 50*20 + 30*10)</t>
  </si>
  <si>
    <t>14-Jul</t>
  </si>
  <si>
    <t>Rosie</t>
  </si>
  <si>
    <t>16-Jul</t>
  </si>
  <si>
    <t>Anju</t>
  </si>
  <si>
    <t>Team Meeting</t>
  </si>
  <si>
    <t>18-Jul</t>
  </si>
  <si>
    <t>Hiring Drive (70*60 + 70*20 + 30*10)</t>
  </si>
  <si>
    <t>20-Jul</t>
  </si>
  <si>
    <t>Team Meeting (50*20 + 20*10)</t>
  </si>
  <si>
    <t>22-Jul</t>
  </si>
  <si>
    <t>Devender</t>
  </si>
  <si>
    <t>India Townhall + Fireside Chat</t>
  </si>
  <si>
    <t>Sandy</t>
  </si>
  <si>
    <t>Shark Tank Event</t>
  </si>
  <si>
    <t>23-Jul</t>
  </si>
  <si>
    <t>Finance Townhall</t>
  </si>
  <si>
    <t>27-Jul</t>
  </si>
  <si>
    <t>Celebration with External Partner DT4</t>
  </si>
  <si>
    <t>Preeti</t>
  </si>
  <si>
    <t>28-Jul</t>
  </si>
  <si>
    <t>Market Event Refreshments (70*20 + 70*20)</t>
  </si>
  <si>
    <t>30-Jul</t>
  </si>
  <si>
    <t>SLT Weekly Meeting</t>
  </si>
  <si>
    <t>31-Jul</t>
  </si>
  <si>
    <t>Vibhor</t>
  </si>
  <si>
    <t>Business Optimization &amp; Capability Workshop</t>
  </si>
  <si>
    <t>03-Aug</t>
  </si>
  <si>
    <t>Vanish Khurrana</t>
  </si>
  <si>
    <t>DT4 | L5 (Zone E)</t>
  </si>
  <si>
    <t>Friends Meet (17*320 + 5*350)</t>
  </si>
  <si>
    <t>Sharadha Madaan</t>
  </si>
  <si>
    <t>CET | COM Training</t>
  </si>
  <si>
    <t>04-Aug</t>
  </si>
  <si>
    <t>Leadership Skill Session</t>
  </si>
  <si>
    <t>07-Aug</t>
  </si>
  <si>
    <t>New Grads Joining Induction (170*150 + 250*170 + 170*100)</t>
  </si>
  <si>
    <t>13-Aug</t>
  </si>
  <si>
    <t>Independence Day Special Dessert (DT3)</t>
  </si>
  <si>
    <t>Independence Day Special Dessert (DT4 Cafeteria)</t>
  </si>
  <si>
    <t>14-Aug</t>
  </si>
  <si>
    <t>Ritika</t>
  </si>
  <si>
    <t>PO Townhall - Space Booking</t>
  </si>
  <si>
    <t>Innovation Hub Meeting</t>
  </si>
  <si>
    <t>17-Aug</t>
  </si>
  <si>
    <t>Sawmit</t>
  </si>
  <si>
    <t>DT4 | L6 (Zone E)</t>
  </si>
  <si>
    <t>Compliance Townhall</t>
  </si>
  <si>
    <t>18-Aug</t>
  </si>
  <si>
    <t>CET All Hands</t>
  </si>
  <si>
    <t>Distinctive Leadership (Cookies/Brownies: Pihu, Biryani: Cook House)</t>
  </si>
  <si>
    <t>21-Aug</t>
  </si>
  <si>
    <t>Shikha Mittal</t>
  </si>
  <si>
    <t>Group Security Townhall (80 Pax planned)</t>
  </si>
  <si>
    <t>Leadership Programme</t>
  </si>
  <si>
    <t>26-Aug</t>
  </si>
  <si>
    <t>24-Aug</t>
  </si>
  <si>
    <t>New Joiners Induction</t>
  </si>
  <si>
    <t>TOTAL</t>
  </si>
  <si>
    <t>Completed events</t>
  </si>
  <si>
    <t>Filter Month:</t>
  </si>
  <si>
    <t>EVENT TRACKER - MASTER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</si>
</sst>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\₹#,##0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5"/>
      <color rgb="FF1B365D"/>
      <name val="Segoe UI"/>
    </font>
    <font>
      <i/>
      <sz val="9.5"/>
      <color rgb="FF64748B"/>
      <name val="Segoe UI"/>
    </font>
    <font>
      <b/>
      <sz val="9"/>
      <color rgb="FF1B365D"/>
      <name val="Segoe UI"/>
    </font>
    <font>
      <b/>
      <sz val="9"/>
      <color rgb="FFFFFFFF"/>
      <name val="Segoe UI"/>
    </font>
    <font>
      <sz val="9"/>
      <color rgb="FF0F172A"/>
      <name val="Segoe UI"/>
    </font>
    <font>
      <b/>
      <sz val="9"/>
      <color rgb="FF0F172A"/>
      <name val="Segoe UI"/>
    </font>
    <font>
      <b/>
      <sz val="10"/>
      <color rgb="FFFFFFFF"/>
      <name val="Segoe UI"/>
    </font>
    <font>
      <b/>
      <sz val="8.5"/>
      <color rgb="FF2B547E"/>
      <name val="Segoe UI"/>
    </font>
    <font>
      <b/>
      <sz val="16"/>
      <color rgb="FF1B365D"/>
      <name val="Segoe UI"/>
    </font>
    <font>
      <i/>
      <sz val="8"/>
      <color rgb="FF64748B"/>
      <name val="Segoe UI"/>
    </font>
    <font>
      <b/>
      <sz val="10"/>
      <color rgb="FF1B365D"/>
      <name val="Segoe UI"/>
    </font>
    <font>
      <b/>
      <sz val="8.5"/>
      <color rgb="FF1B365D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EBF2F7"/>
        <bgColor rgb="FFEBF2F7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9FBFC"/>
        <bgColor rgb="FFF9FBFC"/>
      </patternFill>
    </fill>
    <fill>
      <patternFill patternType="solid">
        <fgColor rgb="FFE2ECF4"/>
        <bgColor rgb="FFE2ECF4"/>
      </patternFill>
    </fill>
    <fill>
      <patternFill patternType="solid">
        <fgColor rgb="FFF4F8FA"/>
        <bgColor rgb="FFF4F8FA"/>
      </patternFill>
    </fill>
    <fill>
      <patternFill patternType="solid">
        <fgColor rgb="FFFF0000"/>
        <bgColor rgb="FF1B365D"/>
      </patternFill>
    </fill>
  </fills>
  <borders count="9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B547E"/>
      </left>
      <right style="thin">
        <color rgb="FF2B547E"/>
      </right>
      <top style="thin">
        <color rgb="FF2B547E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 style="double">
        <color rgb="FF1B365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horizontal="right"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3" fillId="2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6" fontId="5" fillId="4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166" fontId="3" fillId="6" borderId="4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/>
    </xf>
    <xf numFmtId="3" fontId="5" fillId="4" borderId="4" xfId="0" applyNumberFormat="1" applyFont="1" applyFill="1" applyBorder="1" applyAlignment="1">
      <alignment horizontal="right" vertical="center"/>
    </xf>
    <xf numFmtId="165" fontId="5" fillId="4" borderId="4" xfId="0" applyNumberFormat="1" applyFont="1" applyFill="1" applyBorder="1" applyAlignment="1">
      <alignment horizontal="right" vertical="center"/>
    </xf>
    <xf numFmtId="166" fontId="5" fillId="4" borderId="4" xfId="0" applyNumberFormat="1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left" vertical="center"/>
    </xf>
    <xf numFmtId="3" fontId="5" fillId="5" borderId="4" xfId="0" applyNumberFormat="1" applyFont="1" applyFill="1" applyBorder="1" applyAlignment="1">
      <alignment horizontal="right" vertical="center"/>
    </xf>
    <xf numFmtId="165" fontId="5" fillId="5" borderId="4" xfId="0" applyNumberFormat="1" applyFont="1" applyFill="1" applyBorder="1" applyAlignment="1">
      <alignment horizontal="right" vertical="center"/>
    </xf>
    <xf numFmtId="166" fontId="5" fillId="5" borderId="4" xfId="0" applyNumberFormat="1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left" vertical="center"/>
    </xf>
    <xf numFmtId="3" fontId="3" fillId="6" borderId="4" xfId="0" applyNumberFormat="1" applyFont="1" applyFill="1" applyBorder="1" applyAlignment="1">
      <alignment horizontal="right" vertical="center"/>
    </xf>
    <xf numFmtId="165" fontId="3" fillId="6" borderId="4" xfId="0" applyNumberFormat="1" applyFont="1" applyFill="1" applyBorder="1" applyAlignment="1">
      <alignment horizontal="right" vertical="center"/>
    </xf>
    <xf numFmtId="166" fontId="3" fillId="6" borderId="4" xfId="0" applyNumberFormat="1" applyFont="1" applyFill="1" applyBorder="1" applyAlignment="1">
      <alignment horizontal="right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right" vertical="center"/>
    </xf>
    <xf numFmtId="164" fontId="5" fillId="5" borderId="4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6" borderId="7" xfId="0" applyFont="1" applyFill="1" applyBorder="1"/>
    <xf numFmtId="164" fontId="3" fillId="6" borderId="7" xfId="0" applyNumberFormat="1" applyFont="1" applyFill="1" applyBorder="1" applyAlignment="1">
      <alignment horizontal="right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3" fontId="5" fillId="4" borderId="8" xfId="0" applyNumberFormat="1" applyFont="1" applyFill="1" applyBorder="1" applyAlignment="1">
      <alignment horizontal="right" vertical="center"/>
    </xf>
    <xf numFmtId="164" fontId="5" fillId="4" borderId="8" xfId="0" applyNumberFormat="1" applyFont="1" applyFill="1" applyBorder="1" applyAlignment="1">
      <alignment horizontal="right" vertical="center"/>
    </xf>
    <xf numFmtId="165" fontId="5" fillId="4" borderId="8" xfId="0" applyNumberFormat="1" applyFont="1" applyFill="1" applyBorder="1" applyAlignment="1">
      <alignment horizontal="right" vertical="center"/>
    </xf>
    <xf numFmtId="165" fontId="0" fillId="6" borderId="7" xfId="0" applyNumberFormat="1" applyFill="1" applyBorder="1" applyAlignment="1">
      <alignment horizontal="right" vertical="center"/>
    </xf>
    <xf numFmtId="164" fontId="0" fillId="6" borderId="7" xfId="0" applyNumberFormat="1" applyFill="1" applyBorder="1" applyAlignment="1">
      <alignment horizontal="right" vertical="center"/>
    </xf>
    <xf numFmtId="3" fontId="0" fillId="6" borderId="7" xfId="0" applyNumberFormat="1" applyFill="1" applyBorder="1" applyAlignment="1">
      <alignment horizontal="right" vertical="center"/>
    </xf>
    <xf numFmtId="0" fontId="0" fillId="6" borderId="7" xfId="0" applyFill="1" applyBorder="1" applyAlignment="1">
      <alignment horizontal="center" vertical="center"/>
    </xf>
    <xf numFmtId="165" fontId="9" fillId="7" borderId="4" xfId="0" applyNumberFormat="1" applyFont="1" applyFill="1" applyBorder="1" applyAlignment="1">
      <alignment horizontal="center" vertical="center"/>
    </xf>
    <xf numFmtId="0" fontId="0" fillId="7" borderId="4" xfId="0" applyFill="1" applyBorder="1"/>
    <xf numFmtId="164" fontId="9" fillId="7" borderId="4" xfId="0" applyNumberFormat="1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3" xfId="0" applyBorder="1"/>
    <xf numFmtId="3" fontId="9" fillId="7" borderId="4" xfId="0" applyNumberFormat="1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MasterEvents" displayName="tbl_MasterEvents" ref="A3:N68">
  <autoFilter ref="A3:N68" xr:uid="{00000000-0009-0000-0100-000001000000}"/>
  <tableColumns count="14">
    <tableColumn id="1" xr3:uid="{00000000-0010-0000-0000-000001000000}" name="S.No" dataDxfId="13"/>
    <tableColumn id="2" xr3:uid="{00000000-0010-0000-0000-000002000000}" name="Month" dataDxfId="12"/>
    <tableColumn id="3" xr3:uid="{00000000-0010-0000-0000-000003000000}" name="Date" dataDxfId="11"/>
    <tableColumn id="4" xr3:uid="{00000000-0010-0000-0000-000004000000}" name="Requestor" dataDxfId="10"/>
    <tableColumn id="5" xr3:uid="{00000000-0010-0000-0000-000005000000}" name="Venue" dataDxfId="9"/>
    <tableColumn id="6" xr3:uid="{00000000-0010-0000-0000-000006000000}" name="Pax" dataDxfId="8"/>
    <tableColumn id="7" xr3:uid="{00000000-0010-0000-0000-000007000000}" name="Rate (₹)" dataDxfId="7"/>
    <tableColumn id="8" xr3:uid="{00000000-0010-0000-0000-000008000000}" name="Event Amount (₹)" dataDxfId="6"/>
    <tableColumn id="9" xr3:uid="{00000000-0010-0000-0000-000009000000}" name="Cost / Pax (₹)" dataDxfId="5"/>
    <tableColumn id="10" xr3:uid="{00000000-0010-0000-0000-00000A000000}" name="Vendor" dataDxfId="4"/>
    <tableColumn id="11" xr3:uid="{00000000-0010-0000-0000-00000B000000}" name="Payment Method" dataDxfId="3"/>
    <tableColumn id="12" xr3:uid="{00000000-0010-0000-0000-00000C000000}" name="Category" dataDxfId="2"/>
    <tableColumn id="13" xr3:uid="{00000000-0010-0000-0000-00000D000000}" name="Remarks / Description" dataDxfId="1"/>
    <tableColumn id="14" xr3:uid="{00000000-0010-0000-0000-00000E000000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8"/>
  <sheetViews>
    <sheetView tabSelected="1" zoomScale="93" zoomScaleNormal="93" workbookViewId="0">
      <selection activeCell="H1" sqref="H1"/>
    </sheetView>
  </sheetViews>
  <sheetFormatPr defaultRowHeight="14.5" x14ac:dyDescent="0.35"/>
  <cols>
    <col min="1" max="1" width="3" customWidth="1"/>
    <col min="2" max="2" width="22" customWidth="1"/>
    <col min="3" max="3" width="12" customWidth="1"/>
    <col min="4" max="6" width="14" customWidth="1"/>
    <col min="7" max="7" width="9.54296875" customWidth="1"/>
    <col min="8" max="8" width="22" customWidth="1"/>
    <col min="9" max="9" width="20" customWidth="1"/>
    <col min="10" max="10" width="11" customWidth="1"/>
    <col min="11" max="11" width="13" customWidth="1"/>
    <col min="12" max="12" width="15" customWidth="1"/>
    <col min="13" max="13" width="14" customWidth="1"/>
    <col min="14" max="14" width="21.26953125" bestFit="1" customWidth="1"/>
    <col min="15" max="15" width="6.54296875" customWidth="1"/>
    <col min="16" max="16" width="20" customWidth="1"/>
    <col min="17" max="17" width="11" customWidth="1"/>
    <col min="18" max="18" width="13" customWidth="1"/>
    <col min="19" max="19" width="15" customWidth="1"/>
    <col min="20" max="20" width="13" customWidth="1"/>
    <col min="21" max="21" width="14" customWidth="1"/>
    <col min="22" max="22" width="3" customWidth="1"/>
  </cols>
  <sheetData>
    <row r="1" spans="2:21" ht="22.5" x14ac:dyDescent="0.6">
      <c r="B1" s="1" t="s">
        <v>0</v>
      </c>
    </row>
    <row r="2" spans="2:21" x14ac:dyDescent="0.35">
      <c r="B2" s="2" t="s">
        <v>1</v>
      </c>
    </row>
    <row r="3" spans="2:21" ht="16" x14ac:dyDescent="0.35">
      <c r="B3" s="3" t="s">
        <v>217</v>
      </c>
      <c r="C3" s="37" t="s">
        <v>2</v>
      </c>
      <c r="H3" s="57" t="str">
        <f>HYPERLINK("#'Master Data'!A1", "📋 View Master Data ➔")</f>
        <v>📋 View Master Data ➔</v>
      </c>
      <c r="I3" s="58"/>
    </row>
    <row r="5" spans="2:21" x14ac:dyDescent="0.35">
      <c r="B5" s="55" t="s">
        <v>3</v>
      </c>
      <c r="C5" s="52"/>
      <c r="D5" s="52"/>
      <c r="E5" s="55" t="s">
        <v>4</v>
      </c>
      <c r="F5" s="52"/>
      <c r="G5" s="52"/>
      <c r="H5" s="55" t="s">
        <v>5</v>
      </c>
      <c r="I5" s="52"/>
      <c r="J5" s="52"/>
      <c r="K5" s="55" t="s">
        <v>6</v>
      </c>
      <c r="L5" s="52"/>
      <c r="M5" s="52"/>
      <c r="N5" s="55" t="s">
        <v>7</v>
      </c>
      <c r="O5" s="52"/>
      <c r="P5" s="52"/>
      <c r="Q5" s="55" t="s">
        <v>8</v>
      </c>
      <c r="R5" s="52"/>
      <c r="S5" s="52"/>
      <c r="T5" s="52"/>
      <c r="U5" s="52"/>
    </row>
    <row r="6" spans="2:21" ht="25" x14ac:dyDescent="0.35">
      <c r="B6" s="51">
        <f>IF($C$3="All Months", SUMIFS('Master Data'!$H$4:$H$302, 'Master Data'!$A$4:$A$302, "&gt;0"), SUMIFS('Master Data'!$H$4:$H$302, 'Master Data'!$B$4:$B$302, $C$3))</f>
        <v>1240303</v>
      </c>
      <c r="C6" s="52"/>
      <c r="D6" s="52"/>
      <c r="E6" s="59">
        <f>IF($C$3="All Months", SUMIFS('Master Data'!$F$4:$F$302, 'Master Data'!$A$4:$A$302, "&gt;0"), SUMIFS('Master Data'!$F$4:$F$302, 'Master Data'!$B$4:$B$302, $C$3))</f>
        <v>8931</v>
      </c>
      <c r="F6" s="52"/>
      <c r="G6" s="52"/>
      <c r="H6" s="59">
        <f>IF($C$3="All Months", COUNT('Master Data'!$A$4:$A$302), COUNTIFS('Master Data'!$B$4:$B$302, $C$3))</f>
        <v>61</v>
      </c>
      <c r="I6" s="52"/>
      <c r="J6" s="52"/>
      <c r="K6" s="51">
        <f>IF(H6&gt;0, B6/H6, 0)</f>
        <v>20332.836065573771</v>
      </c>
      <c r="L6" s="52"/>
      <c r="M6" s="52"/>
      <c r="N6" s="53">
        <f>IF(E6&gt;0, B6/E6, 0)</f>
        <v>138.87616168402195</v>
      </c>
      <c r="O6" s="52"/>
      <c r="P6" s="52"/>
      <c r="Q6" s="56" t="str">
        <f>IF($C$3="All Months", "COMPASS (77.5%)", IF($C$3="May", "COMPASS (83.4%)", IF($C$3="June", "COMPASS (60.1%)", IF($C$3="July", "COMPASS (59.6%)", "COMPASS (85.2%)"))))</f>
        <v>COMPASS (77.5%)</v>
      </c>
      <c r="R6" s="52"/>
      <c r="S6" s="52"/>
      <c r="T6" s="52"/>
      <c r="U6" s="52"/>
    </row>
    <row r="7" spans="2:21" x14ac:dyDescent="0.35">
      <c r="B7" s="54" t="s">
        <v>9</v>
      </c>
      <c r="C7" s="52"/>
      <c r="D7" s="52"/>
      <c r="E7" s="54" t="s">
        <v>10</v>
      </c>
      <c r="F7" s="52"/>
      <c r="G7" s="52"/>
      <c r="H7" s="54" t="s">
        <v>216</v>
      </c>
      <c r="I7" s="52"/>
      <c r="J7" s="52"/>
      <c r="K7" s="54" t="s">
        <v>11</v>
      </c>
      <c r="L7" s="52"/>
      <c r="M7" s="52"/>
      <c r="N7" s="54" t="s">
        <v>12</v>
      </c>
      <c r="O7" s="52"/>
      <c r="P7" s="52"/>
      <c r="Q7" s="54" t="s">
        <v>13</v>
      </c>
      <c r="R7" s="52"/>
      <c r="S7" s="52"/>
      <c r="T7" s="52"/>
      <c r="U7" s="52"/>
    </row>
    <row r="9" spans="2:21" ht="16" x14ac:dyDescent="0.45">
      <c r="B9" s="4" t="s">
        <v>14</v>
      </c>
      <c r="E9" s="5" t="s">
        <v>15</v>
      </c>
      <c r="F9" s="6" t="s">
        <v>2</v>
      </c>
      <c r="I9" s="4" t="s">
        <v>16</v>
      </c>
      <c r="M9" s="5" t="s">
        <v>15</v>
      </c>
      <c r="N9" s="6" t="s">
        <v>2</v>
      </c>
      <c r="P9" s="4" t="s">
        <v>17</v>
      </c>
      <c r="T9" s="5" t="s">
        <v>15</v>
      </c>
      <c r="U9" s="6" t="s">
        <v>2</v>
      </c>
    </row>
    <row r="10" spans="2:21" x14ac:dyDescent="0.35">
      <c r="B10" s="19" t="s">
        <v>18</v>
      </c>
      <c r="C10" s="19" t="s">
        <v>19</v>
      </c>
      <c r="D10" s="19" t="s">
        <v>20</v>
      </c>
      <c r="E10" s="19" t="s">
        <v>21</v>
      </c>
      <c r="F10" s="19" t="s">
        <v>22</v>
      </c>
      <c r="G10" s="19" t="s">
        <v>23</v>
      </c>
      <c r="I10" s="19" t="s">
        <v>24</v>
      </c>
      <c r="J10" s="19" t="s">
        <v>19</v>
      </c>
      <c r="K10" s="19" t="s">
        <v>20</v>
      </c>
      <c r="L10" s="19" t="s">
        <v>21</v>
      </c>
      <c r="M10" s="19" t="s">
        <v>23</v>
      </c>
      <c r="N10" s="19" t="s">
        <v>22</v>
      </c>
      <c r="P10" s="19" t="s">
        <v>25</v>
      </c>
      <c r="Q10" s="19" t="s">
        <v>19</v>
      </c>
      <c r="R10" s="19" t="s">
        <v>20</v>
      </c>
      <c r="S10" s="19" t="s">
        <v>21</v>
      </c>
      <c r="T10" s="19" t="s">
        <v>23</v>
      </c>
      <c r="U10" s="19" t="s">
        <v>22</v>
      </c>
    </row>
    <row r="11" spans="2:21" x14ac:dyDescent="0.35">
      <c r="B11" s="7" t="s">
        <v>26</v>
      </c>
      <c r="C11" s="8">
        <f>IF(OR($F$9="All Months", $F$9=B11), COUNTIFS('Master Data'!$B$4:$B$302, B11), 0)</f>
        <v>10</v>
      </c>
      <c r="D11" s="8">
        <f>IF(OR($F$9="All Months", $F$9=B11), SUMIFS('Master Data'!$F$4:$F$302, 'Master Data'!$B$4:$B$302, B11), 0)</f>
        <v>3500</v>
      </c>
      <c r="E11" s="9">
        <f>IF(OR($F$9="All Months", $F$9=B11), SUMIFS('Master Data'!$H$4:$H$302, 'Master Data'!$B$4:$B$302, B11), 0)</f>
        <v>643605</v>
      </c>
      <c r="F11" s="32">
        <f>IF(D11&gt;0, E11/D11, 0)</f>
        <v>183.88714285714286</v>
      </c>
      <c r="G11" s="10">
        <f>IF($E$15&gt;0, E11/$E$15, 0)</f>
        <v>0.51890949227729033</v>
      </c>
      <c r="I11" s="7" t="s">
        <v>27</v>
      </c>
      <c r="J11" s="8">
        <f>IF($N$9="All Months", COUNTIFS('Master Data'!$J$4:$J$302, I11), COUNTIFS('Master Data'!$J$4:$J$302, I11, 'Master Data'!$B$4:$B$302, $N$9))</f>
        <v>24</v>
      </c>
      <c r="K11" s="8">
        <f>IF($N$9="All Months", SUMIFS('Master Data'!$F$4:$F$302, 'Master Data'!$J$4:$J$302, I11), SUMIFS('Master Data'!$F$4:$F$302, 'Master Data'!$J$4:$J$302, I11, 'Master Data'!$B$4:$B$302, $N$9))</f>
        <v>5880</v>
      </c>
      <c r="L11" s="9">
        <f>IF($N$9="All Months", SUMIFS('Master Data'!$H$4:$H$302, 'Master Data'!$J$4:$J$302, I11), SUMIFS('Master Data'!$H$4:$H$302, 'Master Data'!$J$4:$J$302, I11, 'Master Data'!$B$4:$B$302, $N$9))</f>
        <v>961250</v>
      </c>
      <c r="M11" s="10">
        <f>IF($L$16&gt;0, L11/$L$16, 0)</f>
        <v>0.77501223491356552</v>
      </c>
      <c r="N11" s="32">
        <f t="shared" ref="N11:N16" si="0">IF(K11&gt;0, L11/K11, 0)</f>
        <v>163.47789115646259</v>
      </c>
      <c r="P11" s="7" t="s">
        <v>28</v>
      </c>
      <c r="Q11" s="8">
        <f>IF($U$9="All Months", COUNTIFS('Master Data'!$K$4:$K$302, P11), COUNTIFS('Master Data'!$K$4:$K$302, P11, 'Master Data'!$B$4:$B$302, $U$9))</f>
        <v>10</v>
      </c>
      <c r="R11" s="8">
        <f>IF($U$9="All Months", SUMIFS('Master Data'!$F$4:$F$302, 'Master Data'!$K$4:$K$302, P11), SUMIFS('Master Data'!$F$4:$F$302, 'Master Data'!$K$4:$K$302, P11, 'Master Data'!$B$4:$B$302, $U$9))</f>
        <v>4580</v>
      </c>
      <c r="S11" s="9">
        <f>IF($U$9="All Months", SUMIFS('Master Data'!$H$4:$H$302, 'Master Data'!$K$4:$K$302, P11), SUMIFS('Master Data'!$H$4:$H$302, 'Master Data'!$K$4:$K$302, P11, 'Master Data'!$B$4:$B$302, $U$9))</f>
        <v>784000</v>
      </c>
      <c r="T11" s="10">
        <f>IF($S$15&gt;0, S11/$S$15, 0)</f>
        <v>0.63210360694120715</v>
      </c>
      <c r="U11" s="32">
        <f>IF(R11&gt;0, S11/R11, 0)</f>
        <v>171.17903930131004</v>
      </c>
    </row>
    <row r="12" spans="2:21" x14ac:dyDescent="0.35">
      <c r="B12" s="11" t="s">
        <v>29</v>
      </c>
      <c r="C12" s="12">
        <f>IF(OR($F$9="All Months", $F$9=B12), COUNTIFS('Master Data'!$B$4:$B$302, B12), 0)</f>
        <v>16</v>
      </c>
      <c r="D12" s="12">
        <f>IF(OR($F$9="All Months", $F$9=B12), SUMIFS('Master Data'!$F$4:$F$302, 'Master Data'!$B$4:$B$302, B12), 0)</f>
        <v>686</v>
      </c>
      <c r="E12" s="13">
        <f>IF(OR($F$9="All Months", $F$9=B12), SUMIFS('Master Data'!$H$4:$H$302, 'Master Data'!$B$4:$B$302, B12), 0)</f>
        <v>115198</v>
      </c>
      <c r="F12" s="33">
        <f>IF(D12&gt;0, E12/D12, 0)</f>
        <v>167.9271137026239</v>
      </c>
      <c r="G12" s="14">
        <f>IF($E$15&gt;0, E12/$E$15, 0)</f>
        <v>9.2878917490322926E-2</v>
      </c>
      <c r="I12" s="11" t="s">
        <v>30</v>
      </c>
      <c r="J12" s="12">
        <f>IF($N$9="All Months", COUNTIFS('Master Data'!$J$4:$J$302, I12), COUNTIFS('Master Data'!$J$4:$J$302, I12, 'Master Data'!$B$4:$B$302, $N$9))</f>
        <v>30</v>
      </c>
      <c r="K12" s="12">
        <f>IF($N$9="All Months", SUMIFS('Master Data'!$F$4:$F$302, 'Master Data'!$J$4:$J$302, I12), SUMIFS('Master Data'!$F$4:$F$302, 'Master Data'!$J$4:$J$302, I12, 'Master Data'!$B$4:$B$302, $N$9))</f>
        <v>2232</v>
      </c>
      <c r="L12" s="13">
        <f>IF($N$9="All Months", SUMIFS('Master Data'!$H$4:$H$302, 'Master Data'!$J$4:$J$302, I12), SUMIFS('Master Data'!$H$4:$H$302, 'Master Data'!$J$4:$J$302, I12, 'Master Data'!$B$4:$B$302, $N$9))</f>
        <v>177623</v>
      </c>
      <c r="M12" s="14">
        <f>IF($L$16&gt;0, L12/$L$16, 0)</f>
        <v>0.14320936093841585</v>
      </c>
      <c r="N12" s="33">
        <f t="shared" si="0"/>
        <v>79.58019713261649</v>
      </c>
      <c r="P12" s="11" t="s">
        <v>31</v>
      </c>
      <c r="Q12" s="12">
        <f>IF($U$9="All Months", COUNTIFS('Master Data'!$K$4:$K$302, P12), COUNTIFS('Master Data'!$K$4:$K$302, P12, 'Master Data'!$B$4:$B$302, $U$9))</f>
        <v>45</v>
      </c>
      <c r="R12" s="12">
        <f>IF($U$9="All Months", SUMIFS('Master Data'!$F$4:$F$302, 'Master Data'!$K$4:$K$302, P12), SUMIFS('Master Data'!$F$4:$F$302, 'Master Data'!$K$4:$K$302, P12, 'Master Data'!$B$4:$B$302, $U$9))</f>
        <v>3489</v>
      </c>
      <c r="S12" s="13">
        <f>IF($U$9="All Months", SUMIFS('Master Data'!$H$4:$H$302, 'Master Data'!$K$4:$K$302, P12), SUMIFS('Master Data'!$H$4:$H$302, 'Master Data'!$K$4:$K$302, P12, 'Master Data'!$B$4:$B$302, $U$9))</f>
        <v>373473</v>
      </c>
      <c r="T12" s="14">
        <f>IF($S$15&gt;0, S12/$S$15, 0)</f>
        <v>0.30111432448361408</v>
      </c>
      <c r="U12" s="33">
        <f>IF(R12&gt;0, S12/R12, 0)</f>
        <v>107.04299226139295</v>
      </c>
    </row>
    <row r="13" spans="2:21" x14ac:dyDescent="0.35">
      <c r="B13" s="7" t="s">
        <v>32</v>
      </c>
      <c r="C13" s="8">
        <f>IF(OR($F$9="All Months", $F$9=B13), COUNTIFS('Master Data'!$B$4:$B$302, B13), 0)</f>
        <v>17</v>
      </c>
      <c r="D13" s="8">
        <f>IF(OR($F$9="All Months", $F$9=B13), SUMIFS('Master Data'!$F$4:$F$302, 'Master Data'!$B$4:$B$302, B13), 0)</f>
        <v>1235</v>
      </c>
      <c r="E13" s="9">
        <f>IF(OR($F$9="All Months", $F$9=B13), SUMIFS('Master Data'!$H$4:$H$302, 'Master Data'!$B$4:$B$302, B13), 0)</f>
        <v>192420</v>
      </c>
      <c r="F13" s="32">
        <f>IF(D13&gt;0, E13/D13, 0)</f>
        <v>155.80566801619435</v>
      </c>
      <c r="G13" s="10">
        <f>IF($E$15&gt;0, E13/$E$15, 0)</f>
        <v>0.15513951026483044</v>
      </c>
      <c r="I13" s="7" t="s">
        <v>33</v>
      </c>
      <c r="J13" s="8">
        <f>IF($N$9="All Months", COUNTIFS('Master Data'!$J$4:$J$302, I13), COUNTIFS('Master Data'!$J$4:$J$302, I13, 'Master Data'!$B$4:$B$302, $N$9))</f>
        <v>5</v>
      </c>
      <c r="K13" s="8">
        <f>IF($N$9="All Months", SUMIFS('Master Data'!$F$4:$F$302, 'Master Data'!$J$4:$J$302, I13), SUMIFS('Master Data'!$F$4:$F$302, 'Master Data'!$J$4:$J$302, I13, 'Master Data'!$B$4:$B$302, $N$9))</f>
        <v>762</v>
      </c>
      <c r="L13" s="9">
        <f>IF($N$9="All Months", SUMIFS('Master Data'!$H$4:$H$302, 'Master Data'!$J$4:$J$302, I13), SUMIFS('Master Data'!$H$4:$H$302, 'Master Data'!$J$4:$J$302, I13, 'Master Data'!$B$4:$B$302, $N$9))</f>
        <v>80830</v>
      </c>
      <c r="M13" s="10">
        <f>IF($L$16&gt;0, L13/$L$16, 0)</f>
        <v>6.5169559373798175E-2</v>
      </c>
      <c r="N13" s="32">
        <f t="shared" si="0"/>
        <v>106.0761154855643</v>
      </c>
      <c r="P13" s="7" t="s">
        <v>34</v>
      </c>
      <c r="Q13" s="8">
        <f>IF($U$9="All Months", COUNTIFS('Master Data'!$K$4:$K$302, P13), COUNTIFS('Master Data'!$K$4:$K$302, P13, 'Master Data'!$B$4:$B$302, $U$9))</f>
        <v>6</v>
      </c>
      <c r="R13" s="8">
        <f>IF($U$9="All Months", SUMIFS('Master Data'!$F$4:$F$302, 'Master Data'!$K$4:$K$302, P13), SUMIFS('Master Data'!$F$4:$F$302, 'Master Data'!$K$4:$K$302, P13, 'Master Data'!$B$4:$B$302, $U$9))</f>
        <v>862</v>
      </c>
      <c r="S13" s="9">
        <f>IF($U$9="All Months", SUMIFS('Master Data'!$H$4:$H$302, 'Master Data'!$K$4:$K$302, P13), SUMIFS('Master Data'!$H$4:$H$302, 'Master Data'!$K$4:$K$302, P13, 'Master Data'!$B$4:$B$302, $U$9))</f>
        <v>82830</v>
      </c>
      <c r="T13" s="10">
        <f>IF($S$15&gt;0, S13/$S$15, 0)</f>
        <v>6.6782068575178807E-2</v>
      </c>
      <c r="U13" s="32">
        <f>IF(R13&gt;0, S13/R13, 0)</f>
        <v>96.090487238979122</v>
      </c>
    </row>
    <row r="14" spans="2:21" x14ac:dyDescent="0.35">
      <c r="B14" s="11" t="s">
        <v>35</v>
      </c>
      <c r="C14" s="12">
        <f>IF(OR($F$9="All Months", $F$9=B14), COUNTIFS('Master Data'!$B$4:$B$302, B14), 0)</f>
        <v>18</v>
      </c>
      <c r="D14" s="12">
        <f>IF(OR($F$9="All Months", $F$9=B14), SUMIFS('Master Data'!$F$4:$F$302, 'Master Data'!$B$4:$B$302, B14), 0)</f>
        <v>3510</v>
      </c>
      <c r="E14" s="13">
        <f>IF(OR($F$9="All Months", $F$9=B14), SUMIFS('Master Data'!$H$4:$H$302, 'Master Data'!$B$4:$B$302, B14), 0)</f>
        <v>289080</v>
      </c>
      <c r="F14" s="33">
        <f>IF(D14&gt;0, E14/D14, 0)</f>
        <v>82.358974358974365</v>
      </c>
      <c r="G14" s="14">
        <f>IF($E$15&gt;0, E14/$E$15, 0)</f>
        <v>0.23307207996755633</v>
      </c>
      <c r="I14" s="11" t="s">
        <v>36</v>
      </c>
      <c r="J14" s="12">
        <f>IF($N$9="All Months", COUNTIFS('Master Data'!$J$4:$J$302, I14), COUNTIFS('Master Data'!$J$4:$J$302, I14, 'Master Data'!$B$4:$B$302, $N$9))</f>
        <v>2</v>
      </c>
      <c r="K14" s="12">
        <f>IF($N$9="All Months", SUMIFS('Master Data'!$F$4:$F$302, 'Master Data'!$J$4:$J$302, I14), SUMIFS('Master Data'!$F$4:$F$302, 'Master Data'!$J$4:$J$302, I14, 'Master Data'!$B$4:$B$302, $N$9))</f>
        <v>57</v>
      </c>
      <c r="L14" s="13">
        <f>IF($N$9="All Months", SUMIFS('Master Data'!$H$4:$H$302, 'Master Data'!$J$4:$J$302, I14), SUMIFS('Master Data'!$H$4:$H$302, 'Master Data'!$J$4:$J$302, I14, 'Master Data'!$B$4:$B$302, $N$9))</f>
        <v>20600</v>
      </c>
      <c r="M14" s="14">
        <f>IF($L$16&gt;0, L14/$L$16, 0)</f>
        <v>1.6608844774220494E-2</v>
      </c>
      <c r="N14" s="33">
        <f t="shared" si="0"/>
        <v>361.40350877192981</v>
      </c>
      <c r="P14" s="11" t="s">
        <v>37</v>
      </c>
      <c r="Q14" s="12">
        <f>IF($U$9="All Months", COUNT('Master Data'!$A$4:$A$302), COUNTIFS('Master Data'!$B$4:$B$302, $U$9)) - SUM(Q11:Q13)</f>
        <v>0</v>
      </c>
      <c r="R14" s="12">
        <f>IF($U$9="All Months", SUMIFS('Master Data'!$F$4:$F$302, 'Master Data'!$A$4:$A$302, "&gt;0"), SUMIFS('Master Data'!$F$4:$F$302, 'Master Data'!$B$4:$B$302, $U$9)) - SUM(R11:R13)</f>
        <v>0</v>
      </c>
      <c r="S14" s="13">
        <f>IF($U$9="All Months", SUMIFS('Master Data'!$H$4:$H$302, 'Master Data'!$A$4:$A$302, "&gt;0"), SUMIFS('Master Data'!$H$4:$H$302, 'Master Data'!$B$4:$B$302, $U$9)) - SUM(S11:S13)</f>
        <v>0</v>
      </c>
      <c r="T14" s="14">
        <f>IF($S$15&gt;0, S14/$S$15, 0)</f>
        <v>0</v>
      </c>
      <c r="U14" s="33">
        <f>IF(R14&gt;0, S14/R14, 0)</f>
        <v>0</v>
      </c>
    </row>
    <row r="15" spans="2:21" x14ac:dyDescent="0.35">
      <c r="B15" s="15" t="s">
        <v>38</v>
      </c>
      <c r="C15" s="16">
        <f>SUM(C11:C14)</f>
        <v>61</v>
      </c>
      <c r="D15" s="16">
        <f>SUM(D11:D14)</f>
        <v>8931</v>
      </c>
      <c r="E15" s="17">
        <f>SUM(E11:E14)</f>
        <v>1240303</v>
      </c>
      <c r="F15" s="34">
        <f>IF(D15&gt;0, E15/D15, 0)</f>
        <v>138.87616168402195</v>
      </c>
      <c r="G15" s="18">
        <f>SUM(G11:G14)</f>
        <v>1</v>
      </c>
      <c r="I15" s="7" t="s">
        <v>39</v>
      </c>
      <c r="J15" s="8">
        <f>IF($N$9="All Months", COUNT('Master Data'!$A$4:$A$302), COUNTIFS('Master Data'!$B$4:$B$302, $N$9)) - SUM(J11:J14)</f>
        <v>0</v>
      </c>
      <c r="K15" s="8">
        <f>IF($N$9="All Months", SUMIFS('Master Data'!$F$4:$F$302, 'Master Data'!$A$4:$A$302, "&gt;0"), SUMIFS('Master Data'!$F$4:$F$302, 'Master Data'!$B$4:$B$302, $N$9)) - SUM(K11:K14)</f>
        <v>0</v>
      </c>
      <c r="L15" s="9">
        <f>IF($N$9="All Months", SUMIFS('Master Data'!$H$4:$H$302, 'Master Data'!$A$4:$A$302, "&gt;0"), SUMIFS('Master Data'!$H$4:$H$302, 'Master Data'!$B$4:$B$302, $N$9)) - SUM(L11:L14)</f>
        <v>0</v>
      </c>
      <c r="M15" s="10">
        <f>IF($L$16&gt;0, L15/$L$16, 0)</f>
        <v>0</v>
      </c>
      <c r="N15" s="32">
        <f t="shared" si="0"/>
        <v>0</v>
      </c>
      <c r="P15" s="15" t="s">
        <v>40</v>
      </c>
      <c r="Q15" s="16">
        <f>SUM(Q11:Q14)</f>
        <v>61</v>
      </c>
      <c r="R15" s="16">
        <f>SUM(R11:R14)</f>
        <v>8931</v>
      </c>
      <c r="S15" s="17">
        <f>SUM(S11:S14)</f>
        <v>1240303</v>
      </c>
      <c r="T15" s="18">
        <f>SUM(T11:T14)</f>
        <v>1</v>
      </c>
      <c r="U15" s="34">
        <f>IF(R15&gt;0, S15/R15, 0)</f>
        <v>138.87616168402195</v>
      </c>
    </row>
    <row r="16" spans="2:21" x14ac:dyDescent="0.35">
      <c r="I16" s="15" t="s">
        <v>41</v>
      </c>
      <c r="J16" s="16">
        <f>SUM(J11:J15)</f>
        <v>61</v>
      </c>
      <c r="K16" s="16">
        <f>SUM(K11:K15)</f>
        <v>8931</v>
      </c>
      <c r="L16" s="17">
        <f>SUM(L11:L15)</f>
        <v>1240303</v>
      </c>
      <c r="M16" s="18">
        <f>SUM(M11:M15)</f>
        <v>1</v>
      </c>
      <c r="N16" s="34">
        <f t="shared" si="0"/>
        <v>138.87616168402195</v>
      </c>
    </row>
    <row r="18" spans="2:18" ht="16" x14ac:dyDescent="0.45">
      <c r="B18" s="4" t="s">
        <v>42</v>
      </c>
      <c r="E18" s="5" t="s">
        <v>15</v>
      </c>
      <c r="F18" s="6" t="s">
        <v>2</v>
      </c>
      <c r="H18" s="4" t="s">
        <v>43</v>
      </c>
      <c r="K18" s="5" t="s">
        <v>15</v>
      </c>
      <c r="L18" s="6" t="s">
        <v>2</v>
      </c>
      <c r="N18" s="4" t="s">
        <v>44</v>
      </c>
      <c r="Q18" s="5" t="s">
        <v>15</v>
      </c>
      <c r="R18" s="6" t="s">
        <v>2</v>
      </c>
    </row>
    <row r="19" spans="2:18" ht="28" x14ac:dyDescent="0.35">
      <c r="B19" s="19" t="s">
        <v>45</v>
      </c>
      <c r="C19" s="19" t="s">
        <v>19</v>
      </c>
      <c r="D19" s="19" t="s">
        <v>20</v>
      </c>
      <c r="E19" s="19" t="s">
        <v>21</v>
      </c>
      <c r="F19" s="19" t="s">
        <v>23</v>
      </c>
      <c r="H19" s="19" t="s">
        <v>46</v>
      </c>
      <c r="I19" s="19" t="s">
        <v>19</v>
      </c>
      <c r="J19" s="19" t="s">
        <v>20</v>
      </c>
      <c r="K19" s="19" t="s">
        <v>21</v>
      </c>
      <c r="L19" s="19" t="s">
        <v>23</v>
      </c>
      <c r="N19" s="19" t="s">
        <v>47</v>
      </c>
      <c r="O19" s="19" t="s">
        <v>19</v>
      </c>
      <c r="P19" s="19" t="s">
        <v>20</v>
      </c>
      <c r="Q19" s="19" t="s">
        <v>21</v>
      </c>
      <c r="R19" s="19" t="s">
        <v>23</v>
      </c>
    </row>
    <row r="20" spans="2:18" x14ac:dyDescent="0.35">
      <c r="B20" s="7" t="s">
        <v>48</v>
      </c>
      <c r="C20" s="8">
        <f>IF($F$18="All Months", COUNTIFS('Master Data'!$E$4:$E$302, B20), COUNTIFS('Master Data'!$E$4:$E$302, B20, 'Master Data'!$B$4:$B$302, $F$18))</f>
        <v>16</v>
      </c>
      <c r="D20" s="8">
        <f>IF($F$18="All Months", SUMIFS('Master Data'!$F$4:$F$302, 'Master Data'!$E$4:$E$302, B20), SUMIFS('Master Data'!$F$4:$F$302, 'Master Data'!$E$4:$E$302, B20, 'Master Data'!$B$4:$B$302, $F$18))</f>
        <v>1737</v>
      </c>
      <c r="E20" s="9">
        <f>IF($F$18="All Months", SUMIFS('Master Data'!$H$4:$H$302, 'Master Data'!$E$4:$E$302, B20), SUMIFS('Master Data'!$H$4:$H$302, 'Master Data'!$E$4:$E$302, B20, 'Master Data'!$B$4:$B$302, $F$18))</f>
        <v>260945</v>
      </c>
      <c r="F20" s="10">
        <f t="shared" ref="F20:F27" si="1">IF($E$28&gt;0, E20/$E$28, 0)</f>
        <v>0.21038810677713429</v>
      </c>
      <c r="H20" s="20" t="s">
        <v>49</v>
      </c>
      <c r="I20" s="21">
        <f>IF($L$18="All Months", COUNTIFS('Master Data'!$D$4:$D$302, H20), COUNTIFS('Master Data'!$D$4:$D$302, H20, 'Master Data'!$B$4:$B$302, $L$18))</f>
        <v>1</v>
      </c>
      <c r="J20" s="21">
        <f>IF($L$18="All Months", SUMIFS('Master Data'!$F$4:$F$302, 'Master Data'!$D$4:$D$302, H20), SUMIFS('Master Data'!$F$4:$F$302, 'Master Data'!$D$4:$D$302, H20, 'Master Data'!$B$4:$B$302, $L$18))</f>
        <v>2100</v>
      </c>
      <c r="K20" s="22">
        <f>IF($L$18="All Months", SUMIFS('Master Data'!$H$4:$H$302, 'Master Data'!$D$4:$D$302, H20), SUMIFS('Master Data'!$H$4:$H$302, 'Master Data'!$D$4:$D$302, H20, 'Master Data'!$B$4:$B$302, $L$18))</f>
        <v>525000</v>
      </c>
      <c r="L20" s="23">
        <f t="shared" ref="L20:L27" si="2">IF($K$28&gt;0, K20/$K$28, 0)</f>
        <v>0.42328366536241546</v>
      </c>
      <c r="N20" s="20" t="s">
        <v>50</v>
      </c>
      <c r="O20" s="21">
        <f>IF($R$18="All Months", COUNTIFS('Master Data'!$L$4:$L$302, N20), COUNTIFS('Master Data'!$L$4:$L$302, N20, 'Master Data'!$B$4:$B$302, $R$18))</f>
        <v>15</v>
      </c>
      <c r="P20" s="21">
        <f>IF($R$18="All Months", SUMIFS('Master Data'!$F$4:$F$302, 'Master Data'!$L$4:$L$302, N20), SUMIFS('Master Data'!$F$4:$F$302, 'Master Data'!$L$4:$L$302, N20, 'Master Data'!$B$4:$B$302, $R$18))</f>
        <v>3376</v>
      </c>
      <c r="Q20" s="22">
        <f>IF($R$18="All Months", SUMIFS('Master Data'!$H$4:$H$302, 'Master Data'!$L$4:$L$302, N20), SUMIFS('Master Data'!$H$4:$H$302, 'Master Data'!$L$4:$L$302, N20, 'Master Data'!$B$4:$B$302, $R$18))</f>
        <v>720900</v>
      </c>
      <c r="R20" s="23">
        <f t="shared" ref="R20:R27" si="3">IF($Q$28&gt;0, Q20/$Q$28, 0)</f>
        <v>0.58122894163764827</v>
      </c>
    </row>
    <row r="21" spans="2:18" x14ac:dyDescent="0.35">
      <c r="B21" s="11" t="s">
        <v>51</v>
      </c>
      <c r="C21" s="12">
        <f>IF($F$18="All Months", COUNTIFS('Master Data'!$E$4:$E$302, B21), COUNTIFS('Master Data'!$E$4:$E$302, B21, 'Master Data'!$B$4:$B$302, $F$18))</f>
        <v>14</v>
      </c>
      <c r="D21" s="12">
        <f>IF($F$18="All Months", SUMIFS('Master Data'!$F$4:$F$302, 'Master Data'!$E$4:$E$302, B21), SUMIFS('Master Data'!$F$4:$F$302, 'Master Data'!$E$4:$E$302, B21, 'Master Data'!$B$4:$B$302, $F$18))</f>
        <v>752</v>
      </c>
      <c r="E21" s="13">
        <f>IF($F$18="All Months", SUMIFS('Master Data'!$H$4:$H$302, 'Master Data'!$E$4:$E$302, B21), SUMIFS('Master Data'!$H$4:$H$302, 'Master Data'!$E$4:$E$302, B21, 'Master Data'!$B$4:$B$302, $F$18))</f>
        <v>131588</v>
      </c>
      <c r="F21" s="14">
        <f t="shared" si="1"/>
        <v>0.10609343039563719</v>
      </c>
      <c r="H21" s="24" t="s">
        <v>52</v>
      </c>
      <c r="I21" s="25">
        <f>IF($L$18="All Months", COUNTIFS('Master Data'!$D$4:$D$302, H21), COUNTIFS('Master Data'!$D$4:$D$302, H21, 'Master Data'!$B$4:$B$302, $L$18))</f>
        <v>4</v>
      </c>
      <c r="J21" s="25">
        <f>IF($L$18="All Months", SUMIFS('Master Data'!$F$4:$F$302, 'Master Data'!$D$4:$D$302, H21), SUMIFS('Master Data'!$F$4:$F$302, 'Master Data'!$D$4:$D$302, H21, 'Master Data'!$B$4:$B$302, $L$18))</f>
        <v>312</v>
      </c>
      <c r="K21" s="26">
        <f>IF($L$18="All Months", SUMIFS('Master Data'!$H$4:$H$302, 'Master Data'!$D$4:$D$302, H21), SUMIFS('Master Data'!$H$4:$H$302, 'Master Data'!$D$4:$D$302, H21, 'Master Data'!$B$4:$B$302, $L$18))</f>
        <v>114100</v>
      </c>
      <c r="L21" s="27">
        <f t="shared" si="2"/>
        <v>9.1993649938764965E-2</v>
      </c>
      <c r="N21" s="24" t="s">
        <v>53</v>
      </c>
      <c r="O21" s="25">
        <f>IF($R$18="All Months", COUNTIFS('Master Data'!$L$4:$L$302, N21), COUNTIFS('Master Data'!$L$4:$L$302, N21, 'Master Data'!$B$4:$B$302, $R$18))</f>
        <v>15</v>
      </c>
      <c r="P21" s="25">
        <f>IF($R$18="All Months", SUMIFS('Master Data'!$F$4:$F$302, 'Master Data'!$L$4:$L$302, N21), SUMIFS('Master Data'!$F$4:$F$302, 'Master Data'!$L$4:$L$302, N21, 'Master Data'!$B$4:$B$302, $R$18))</f>
        <v>1179</v>
      </c>
      <c r="Q21" s="26">
        <f>IF($R$18="All Months", SUMIFS('Master Data'!$H$4:$H$302, 'Master Data'!$L$4:$L$302, N21), SUMIFS('Master Data'!$H$4:$H$302, 'Master Data'!$L$4:$L$302, N21, 'Master Data'!$B$4:$B$302, $R$18))</f>
        <v>186710</v>
      </c>
      <c r="R21" s="27">
        <f t="shared" si="3"/>
        <v>0.15053579649488874</v>
      </c>
    </row>
    <row r="22" spans="2:18" x14ac:dyDescent="0.35">
      <c r="B22" s="7" t="s">
        <v>54</v>
      </c>
      <c r="C22" s="8">
        <f>IF($F$18="All Months", COUNTIFS('Master Data'!$E$4:$E$302, B22), COUNTIFS('Master Data'!$E$4:$E$302, B22, 'Master Data'!$B$4:$B$302, $F$18))</f>
        <v>8</v>
      </c>
      <c r="D22" s="8">
        <f>IF($F$18="All Months", SUMIFS('Master Data'!$F$4:$F$302, 'Master Data'!$E$4:$E$302, B22), SUMIFS('Master Data'!$F$4:$F$302, 'Master Data'!$E$4:$E$302, B22, 'Master Data'!$B$4:$B$302, $F$18))</f>
        <v>1440</v>
      </c>
      <c r="E22" s="9">
        <f>IF($F$18="All Months", SUMIFS('Master Data'!$H$4:$H$302, 'Master Data'!$E$4:$E$302, B22), SUMIFS('Master Data'!$H$4:$H$302, 'Master Data'!$E$4:$E$302, B22, 'Master Data'!$B$4:$B$302, $F$18))</f>
        <v>63615</v>
      </c>
      <c r="F22" s="10">
        <f t="shared" si="1"/>
        <v>5.1289886422914398E-2</v>
      </c>
      <c r="H22" s="20" t="s">
        <v>55</v>
      </c>
      <c r="I22" s="21">
        <f>IF($L$18="All Months", COUNTIFS('Master Data'!$D$4:$D$302, H22), COUNTIFS('Master Data'!$D$4:$D$302, H22, 'Master Data'!$B$4:$B$302, $L$18))</f>
        <v>9</v>
      </c>
      <c r="J22" s="21">
        <f>IF($L$18="All Months", SUMIFS('Master Data'!$F$4:$F$302, 'Master Data'!$D$4:$D$302, H22), SUMIFS('Master Data'!$F$4:$F$302, 'Master Data'!$D$4:$D$302, H22, 'Master Data'!$B$4:$B$302, $L$18))</f>
        <v>840</v>
      </c>
      <c r="K22" s="22">
        <f>IF($L$18="All Months", SUMIFS('Master Data'!$H$4:$H$302, 'Master Data'!$D$4:$D$302, H22), SUMIFS('Master Data'!$H$4:$H$302, 'Master Data'!$D$4:$D$302, H22, 'Master Data'!$B$4:$B$302, $L$18))</f>
        <v>105000</v>
      </c>
      <c r="L22" s="23">
        <f t="shared" si="2"/>
        <v>8.4656733072483101E-2</v>
      </c>
      <c r="N22" s="20" t="s">
        <v>56</v>
      </c>
      <c r="O22" s="21">
        <f>IF($R$18="All Months", COUNTIFS('Master Data'!$L$4:$L$302, N22), COUNTIFS('Master Data'!$L$4:$L$302, N22, 'Master Data'!$B$4:$B$302, $R$18))</f>
        <v>4</v>
      </c>
      <c r="P22" s="21">
        <f>IF($R$18="All Months", SUMIFS('Master Data'!$F$4:$F$302, 'Master Data'!$L$4:$L$302, N22), SUMIFS('Master Data'!$F$4:$F$302, 'Master Data'!$L$4:$L$302, N22, 'Master Data'!$B$4:$B$302, $R$18))</f>
        <v>329</v>
      </c>
      <c r="Q22" s="22">
        <f>IF($R$18="All Months", SUMIFS('Master Data'!$H$4:$H$302, 'Master Data'!$L$4:$L$302, N22), SUMIFS('Master Data'!$H$4:$H$302, 'Master Data'!$L$4:$L$302, N22, 'Master Data'!$B$4:$B$302, $R$18))</f>
        <v>102300</v>
      </c>
      <c r="R22" s="23">
        <f t="shared" si="3"/>
        <v>8.2479845650619249E-2</v>
      </c>
    </row>
    <row r="23" spans="2:18" x14ac:dyDescent="0.35">
      <c r="B23" s="11" t="s">
        <v>57</v>
      </c>
      <c r="C23" s="12">
        <f>IF($F$18="All Months", COUNTIFS('Master Data'!$E$4:$E$302, B23), COUNTIFS('Master Data'!$E$4:$E$302, B23, 'Master Data'!$B$4:$B$302, $F$18))</f>
        <v>7</v>
      </c>
      <c r="D23" s="12">
        <f>IF($F$18="All Months", SUMIFS('Master Data'!$F$4:$F$302, 'Master Data'!$E$4:$E$302, B23), SUMIFS('Master Data'!$F$4:$F$302, 'Master Data'!$E$4:$E$302, B23, 'Master Data'!$B$4:$B$302, $F$18))</f>
        <v>524</v>
      </c>
      <c r="E23" s="13">
        <f>IF($F$18="All Months", SUMIFS('Master Data'!$H$4:$H$302, 'Master Data'!$E$4:$E$302, B23), SUMIFS('Master Data'!$H$4:$H$302, 'Master Data'!$E$4:$E$302, B23, 'Master Data'!$B$4:$B$302, $F$18))</f>
        <v>40370</v>
      </c>
      <c r="F23" s="14">
        <f t="shared" si="1"/>
        <v>3.2548498229868023E-2</v>
      </c>
      <c r="H23" s="24" t="s">
        <v>58</v>
      </c>
      <c r="I23" s="25">
        <f>IF($L$18="All Months", COUNTIFS('Master Data'!$D$4:$D$302, H23), COUNTIFS('Master Data'!$D$4:$D$302, H23, 'Master Data'!$B$4:$B$302, $L$18))</f>
        <v>2</v>
      </c>
      <c r="J23" s="25">
        <f>IF($L$18="All Months", SUMIFS('Master Data'!$F$4:$F$302, 'Master Data'!$D$4:$D$302, H23), SUMIFS('Master Data'!$F$4:$F$302, 'Master Data'!$D$4:$D$302, H23, 'Master Data'!$B$4:$B$302, $L$18))</f>
        <v>375</v>
      </c>
      <c r="K23" s="26">
        <f>IF($L$18="All Months", SUMIFS('Master Data'!$H$4:$H$302, 'Master Data'!$D$4:$D$302, H23), SUMIFS('Master Data'!$H$4:$H$302, 'Master Data'!$D$4:$D$302, H23, 'Master Data'!$B$4:$B$302, $L$18))</f>
        <v>78410</v>
      </c>
      <c r="L23" s="27">
        <f t="shared" si="2"/>
        <v>6.3218423240127608E-2</v>
      </c>
      <c r="N23" s="24" t="s">
        <v>59</v>
      </c>
      <c r="O23" s="25">
        <f>IF($R$18="All Months", COUNTIFS('Master Data'!$L$4:$L$302, N23), COUNTIFS('Master Data'!$L$4:$L$302, N23, 'Master Data'!$B$4:$B$302, $R$18))</f>
        <v>5</v>
      </c>
      <c r="P23" s="25">
        <f>IF($R$18="All Months", SUMIFS('Master Data'!$F$4:$F$302, 'Master Data'!$L$4:$L$302, N23), SUMIFS('Master Data'!$F$4:$F$302, 'Master Data'!$L$4:$L$302, N23, 'Master Data'!$B$4:$B$302, $R$18))</f>
        <v>2082</v>
      </c>
      <c r="Q23" s="26">
        <f>IF($R$18="All Months", SUMIFS('Master Data'!$H$4:$H$302, 'Master Data'!$L$4:$L$302, N23), SUMIFS('Master Data'!$H$4:$H$302, 'Master Data'!$L$4:$L$302, N23, 'Master Data'!$B$4:$B$302, $R$18))</f>
        <v>76840</v>
      </c>
      <c r="R23" s="27">
        <f t="shared" si="3"/>
        <v>6.1952603517043819E-2</v>
      </c>
    </row>
    <row r="24" spans="2:18" x14ac:dyDescent="0.35">
      <c r="B24" s="7" t="s">
        <v>60</v>
      </c>
      <c r="C24" s="8">
        <f>IF($F$18="All Months", COUNTIFS('Master Data'!$E$4:$E$302, B24), COUNTIFS('Master Data'!$E$4:$E$302, B24, 'Master Data'!$B$4:$B$302, $F$18))</f>
        <v>2</v>
      </c>
      <c r="D24" s="8">
        <f>IF($F$18="All Months", SUMIFS('Master Data'!$F$4:$F$302, 'Master Data'!$E$4:$E$302, B24), SUMIFS('Master Data'!$F$4:$F$302, 'Master Data'!$E$4:$E$302, B24, 'Master Data'!$B$4:$B$302, $F$18))</f>
        <v>311</v>
      </c>
      <c r="E24" s="9">
        <f>IF($F$18="All Months", SUMIFS('Master Data'!$H$4:$H$302, 'Master Data'!$E$4:$E$302, B24), SUMIFS('Master Data'!$H$4:$H$302, 'Master Data'!$E$4:$E$302, B24, 'Master Data'!$B$4:$B$302, $F$18))</f>
        <v>63040</v>
      </c>
      <c r="F24" s="10">
        <f t="shared" si="1"/>
        <v>5.0826290027517471E-2</v>
      </c>
      <c r="H24" s="20" t="s">
        <v>61</v>
      </c>
      <c r="I24" s="21">
        <f>IF($L$18="All Months", COUNTIFS('Master Data'!$D$4:$D$302, H24), COUNTIFS('Master Data'!$D$4:$D$302, H24, 'Master Data'!$B$4:$B$302, $L$18))</f>
        <v>2</v>
      </c>
      <c r="J24" s="21">
        <f>IF($L$18="All Months", SUMIFS('Master Data'!$F$4:$F$302, 'Master Data'!$D$4:$D$302, H24), SUMIFS('Master Data'!$F$4:$F$302, 'Master Data'!$D$4:$D$302, H24, 'Master Data'!$B$4:$B$302, $L$18))</f>
        <v>2000</v>
      </c>
      <c r="K24" s="22">
        <f>IF($L$18="All Months", SUMIFS('Master Data'!$H$4:$H$302, 'Master Data'!$D$4:$D$302, H24), SUMIFS('Master Data'!$H$4:$H$302, 'Master Data'!$D$4:$D$302, H24, 'Master Data'!$B$4:$B$302, $L$18))</f>
        <v>66500</v>
      </c>
      <c r="L24" s="23">
        <f t="shared" si="2"/>
        <v>5.3615930945905957E-2</v>
      </c>
      <c r="N24" s="20" t="s">
        <v>62</v>
      </c>
      <c r="O24" s="21">
        <f>IF($R$18="All Months", COUNTIFS('Master Data'!$L$4:$L$302, N24), COUNTIFS('Master Data'!$L$4:$L$302, N24, 'Master Data'!$B$4:$B$302, $R$18))</f>
        <v>19</v>
      </c>
      <c r="P24" s="21">
        <f>IF($R$18="All Months", SUMIFS('Master Data'!$F$4:$F$302, 'Master Data'!$L$4:$L$302, N24), SUMIFS('Master Data'!$F$4:$F$302, 'Master Data'!$L$4:$L$302, N24, 'Master Data'!$B$4:$B$302, $R$18))</f>
        <v>1695</v>
      </c>
      <c r="Q24" s="22">
        <f>IF($R$18="All Months", SUMIFS('Master Data'!$H$4:$H$302, 'Master Data'!$L$4:$L$302, N24), SUMIFS('Master Data'!$H$4:$H$302, 'Master Data'!$L$4:$L$302, N24, 'Master Data'!$B$4:$B$302, $R$18))</f>
        <v>139153</v>
      </c>
      <c r="R24" s="23">
        <f t="shared" si="3"/>
        <v>0.11219274644985942</v>
      </c>
    </row>
    <row r="25" spans="2:18" x14ac:dyDescent="0.35">
      <c r="B25" s="11" t="s">
        <v>63</v>
      </c>
      <c r="C25" s="12">
        <f>IF($F$18="All Months", COUNTIFS('Master Data'!$E$4:$E$302, B25), COUNTIFS('Master Data'!$E$4:$E$302, B25, 'Master Data'!$B$4:$B$302, $F$18))</f>
        <v>5</v>
      </c>
      <c r="D25" s="12">
        <f>IF($F$18="All Months", SUMIFS('Master Data'!$F$4:$F$302, 'Master Data'!$E$4:$E$302, B25), SUMIFS('Master Data'!$F$4:$F$302, 'Master Data'!$E$4:$E$302, B25, 'Master Data'!$B$4:$B$302, $F$18))</f>
        <v>290</v>
      </c>
      <c r="E25" s="13">
        <f>IF($F$18="All Months", SUMIFS('Master Data'!$H$4:$H$302, 'Master Data'!$E$4:$E$302, B25), SUMIFS('Master Data'!$H$4:$H$302, 'Master Data'!$E$4:$E$302, B25, 'Master Data'!$B$4:$B$302, $F$18))</f>
        <v>45200</v>
      </c>
      <c r="F25" s="14">
        <f t="shared" si="1"/>
        <v>3.6442707951202247E-2</v>
      </c>
      <c r="H25" s="24" t="s">
        <v>64</v>
      </c>
      <c r="I25" s="25">
        <f>IF($L$18="All Months", COUNTIFS('Master Data'!$D$4:$D$302, H25), COUNTIFS('Master Data'!$D$4:$D$302, H25, 'Master Data'!$B$4:$B$302, $L$18))</f>
        <v>2</v>
      </c>
      <c r="J25" s="25">
        <f>IF($L$18="All Months", SUMIFS('Master Data'!$F$4:$F$302, 'Master Data'!$D$4:$D$302, H25), SUMIFS('Master Data'!$F$4:$F$302, 'Master Data'!$D$4:$D$302, H25, 'Master Data'!$B$4:$B$302, $L$18))</f>
        <v>70</v>
      </c>
      <c r="K25" s="26">
        <f>IF($L$18="All Months", SUMIFS('Master Data'!$H$4:$H$302, 'Master Data'!$D$4:$D$302, H25), SUMIFS('Master Data'!$H$4:$H$302, 'Master Data'!$D$4:$D$302, H25, 'Master Data'!$B$4:$B$302, $L$18))</f>
        <v>58000</v>
      </c>
      <c r="L25" s="27">
        <f t="shared" si="2"/>
        <v>4.6762766840038279E-2</v>
      </c>
      <c r="N25" s="24" t="s">
        <v>65</v>
      </c>
      <c r="O25" s="25">
        <f>IF($R$18="All Months", COUNTIFS('Master Data'!$L$4:$L$302, N25), COUNTIFS('Master Data'!$L$4:$L$302, N25, 'Master Data'!$B$4:$B$302, $R$18))</f>
        <v>2</v>
      </c>
      <c r="P25" s="25">
        <f>IF($R$18="All Months", SUMIFS('Master Data'!$F$4:$F$302, 'Master Data'!$L$4:$L$302, N25), SUMIFS('Master Data'!$F$4:$F$302, 'Master Data'!$L$4:$L$302, N25, 'Master Data'!$B$4:$B$302, $R$18))</f>
        <v>120</v>
      </c>
      <c r="Q25" s="26">
        <f>IF($R$18="All Months", SUMIFS('Master Data'!$H$4:$H$302, 'Master Data'!$L$4:$L$302, N25), SUMIFS('Master Data'!$H$4:$H$302, 'Master Data'!$L$4:$L$302, N25, 'Master Data'!$B$4:$B$302, $R$18))</f>
        <v>10200</v>
      </c>
      <c r="R25" s="27">
        <f t="shared" si="3"/>
        <v>8.2237969270412149E-3</v>
      </c>
    </row>
    <row r="26" spans="2:18" x14ac:dyDescent="0.35">
      <c r="B26" s="7" t="s">
        <v>66</v>
      </c>
      <c r="C26" s="8">
        <f>IF($F$18="All Months", COUNTIFS('Master Data'!$E$4:$E$302, B26), COUNTIFS('Master Data'!$E$4:$E$302, B26, 'Master Data'!$B$4:$B$302, $F$18))</f>
        <v>2</v>
      </c>
      <c r="D26" s="8">
        <f>IF($F$18="All Months", SUMIFS('Master Data'!$F$4:$F$302, 'Master Data'!$E$4:$E$302, B26), SUMIFS('Master Data'!$F$4:$F$302, 'Master Data'!$E$4:$E$302, B26, 'Master Data'!$B$4:$B$302, $F$18))</f>
        <v>1610</v>
      </c>
      <c r="E26" s="9">
        <f>IF($F$18="All Months", SUMIFS('Master Data'!$H$4:$H$302, 'Master Data'!$E$4:$E$302, B26), SUMIFS('Master Data'!$H$4:$H$302, 'Master Data'!$E$4:$E$302, B26, 'Master Data'!$B$4:$B$302, $F$18))</f>
        <v>71875</v>
      </c>
      <c r="F26" s="10">
        <f t="shared" si="1"/>
        <v>5.7949549424616408E-2</v>
      </c>
      <c r="H26" s="20" t="s">
        <v>67</v>
      </c>
      <c r="I26" s="21">
        <f>IF($L$18="All Months", COUNTIFS('Master Data'!$D$4:$D$302, H26), COUNTIFS('Master Data'!$D$4:$D$302, H26, 'Master Data'!$B$4:$B$302, $L$18))</f>
        <v>4</v>
      </c>
      <c r="J26" s="21">
        <f>IF($L$18="All Months", SUMIFS('Master Data'!$F$4:$F$302, 'Master Data'!$D$4:$D$302, H26), SUMIFS('Master Data'!$F$4:$F$302, 'Master Data'!$D$4:$D$302, H26, 'Master Data'!$B$4:$B$302, $L$18))</f>
        <v>673</v>
      </c>
      <c r="K26" s="22">
        <f>IF($L$18="All Months", SUMIFS('Master Data'!$H$4:$H$302, 'Master Data'!$D$4:$D$302, H26), SUMIFS('Master Data'!$H$4:$H$302, 'Master Data'!$D$4:$D$302, H26, 'Master Data'!$B$4:$B$302, $L$18))</f>
        <v>29710</v>
      </c>
      <c r="L26" s="23">
        <f t="shared" si="2"/>
        <v>2.3953824186509265E-2</v>
      </c>
      <c r="N26" s="20" t="s">
        <v>68</v>
      </c>
      <c r="O26" s="21">
        <f>IF($R$18="All Months", COUNTIFS('Master Data'!$L$4:$L$302, N26), COUNTIFS('Master Data'!$L$4:$L$302, N26, 'Master Data'!$B$4:$B$302, $R$18))</f>
        <v>1</v>
      </c>
      <c r="P26" s="21">
        <f>IF($R$18="All Months", SUMIFS('Master Data'!$F$4:$F$302, 'Master Data'!$L$4:$L$302, N26), SUMIFS('Master Data'!$F$4:$F$302, 'Master Data'!$L$4:$L$302, N26, 'Master Data'!$B$4:$B$302, $R$18))</f>
        <v>150</v>
      </c>
      <c r="Q26" s="22">
        <f>IF($R$18="All Months", SUMIFS('Master Data'!$H$4:$H$302, 'Master Data'!$L$4:$L$302, N26), SUMIFS('Master Data'!$H$4:$H$302, 'Master Data'!$L$4:$L$302, N26, 'Master Data'!$B$4:$B$302, $R$18))</f>
        <v>4200</v>
      </c>
      <c r="R26" s="23">
        <f t="shared" si="3"/>
        <v>3.3862693228993239E-3</v>
      </c>
    </row>
    <row r="27" spans="2:18" x14ac:dyDescent="0.35">
      <c r="B27" s="11" t="s">
        <v>69</v>
      </c>
      <c r="C27" s="12">
        <f>IF($F$18="All Months", COUNT('Master Data'!$A$4:$A$302), COUNTIFS('Master Data'!$B$4:$B$302, $F$18)) - SUM(C20:C26)</f>
        <v>7</v>
      </c>
      <c r="D27" s="12">
        <f>IF($F$18="All Months", SUMIFS('Master Data'!$F$4:$F$302, 'Master Data'!$A$4:$A$302, "&gt;0"), SUMIFS('Master Data'!$F$4:$F$302, 'Master Data'!$B$4:$B$302, $F$18)) - SUM(D20:D26)</f>
        <v>2267</v>
      </c>
      <c r="E27" s="13">
        <f>IF($F$18="All Months", SUMIFS('Master Data'!$H$4:$H$302, 'Master Data'!$A$4:$A$302, "&gt;0"), SUMIFS('Master Data'!$H$4:$H$302, 'Master Data'!$B$4:$B$302, $F$18)) - SUM(E20:E26)</f>
        <v>563670</v>
      </c>
      <c r="F27" s="14">
        <f t="shared" si="1"/>
        <v>0.45446153077110996</v>
      </c>
      <c r="H27" s="24" t="s">
        <v>70</v>
      </c>
      <c r="I27" s="25">
        <f>IF($L$18="All Months", COUNT('Master Data'!$A$4:$A$302), COUNTIFS('Master Data'!$B$4:$B$302, $L$18)) - SUM(I20:I26)</f>
        <v>37</v>
      </c>
      <c r="J27" s="25">
        <f>IF($L$18="All Months", SUMIFS('Master Data'!$F$4:$F$302, 'Master Data'!$A$4:$A$302, "&gt;0"), SUMIFS('Master Data'!$F$4:$F$302, 'Master Data'!$B$4:$B$302, $L$18)) - SUM(J20:J26)</f>
        <v>2561</v>
      </c>
      <c r="K27" s="26">
        <f>IF($L$18="All Months", SUMIFS('Master Data'!$H$4:$H$302, 'Master Data'!$A$4:$A$302, "&gt;0"), SUMIFS('Master Data'!$H$4:$H$302, 'Master Data'!$B$4:$B$302, $L$18)) - SUM(K20:K26)</f>
        <v>263583</v>
      </c>
      <c r="L27" s="27">
        <f t="shared" si="2"/>
        <v>0.21251500641375534</v>
      </c>
      <c r="N27" s="24" t="s">
        <v>71</v>
      </c>
      <c r="O27" s="25">
        <f>IF($R$18="All Months", COUNT('Master Data'!$A$4:$A$302), COUNTIFS('Master Data'!$B$4:$B$302, $R$18)) - SUM(O20:O26)</f>
        <v>0</v>
      </c>
      <c r="P27" s="25">
        <f>IF($R$18="All Months", SUMIFS('Master Data'!$F$4:$F$302, 'Master Data'!$A$4:$A$302, "&gt;0"), SUMIFS('Master Data'!$F$4:$F$302, 'Master Data'!$B$4:$B$302, $R$18)) - SUM(P20:P26)</f>
        <v>0</v>
      </c>
      <c r="Q27" s="26">
        <f>IF($R$18="All Months", SUMIFS('Master Data'!$H$4:$H$302, 'Master Data'!$A$4:$A$302, "&gt;0"), SUMIFS('Master Data'!$H$4:$H$302, 'Master Data'!$B$4:$B$302, $R$18)) - SUM(Q20:Q26)</f>
        <v>0</v>
      </c>
      <c r="R27" s="27">
        <f t="shared" si="3"/>
        <v>0</v>
      </c>
    </row>
    <row r="28" spans="2:18" x14ac:dyDescent="0.35">
      <c r="B28" s="15" t="s">
        <v>72</v>
      </c>
      <c r="C28" s="16">
        <f>SUM(C20:C27)</f>
        <v>61</v>
      </c>
      <c r="D28" s="16">
        <f>SUM(D20:D27)</f>
        <v>8931</v>
      </c>
      <c r="E28" s="17">
        <f>SUM(E20:E27)</f>
        <v>1240303</v>
      </c>
      <c r="F28" s="18">
        <f>SUM(F20:F27)</f>
        <v>1</v>
      </c>
      <c r="H28" s="28" t="s">
        <v>73</v>
      </c>
      <c r="I28" s="29">
        <f>SUM(I20:I27)</f>
        <v>61</v>
      </c>
      <c r="J28" s="29">
        <f>SUM(J20:J27)</f>
        <v>8931</v>
      </c>
      <c r="K28" s="30">
        <f>SUM(K20:K27)</f>
        <v>1240303</v>
      </c>
      <c r="L28" s="31">
        <f>SUM(L20:L27)</f>
        <v>1.0000000000000002</v>
      </c>
      <c r="N28" s="28" t="s">
        <v>74</v>
      </c>
      <c r="O28" s="29">
        <f>SUM(O20:O27)</f>
        <v>61</v>
      </c>
      <c r="P28" s="29">
        <f>SUM(P20:P27)</f>
        <v>8931</v>
      </c>
      <c r="Q28" s="30">
        <f>SUM(Q20:Q27)</f>
        <v>1240303</v>
      </c>
      <c r="R28" s="31">
        <f>SUM(R20:R27)</f>
        <v>1</v>
      </c>
    </row>
  </sheetData>
  <mergeCells count="19">
    <mergeCell ref="H3:I3"/>
    <mergeCell ref="H6:J6"/>
    <mergeCell ref="E5:G5"/>
    <mergeCell ref="K7:M7"/>
    <mergeCell ref="Q7:U7"/>
    <mergeCell ref="E6:G6"/>
    <mergeCell ref="N5:P5"/>
    <mergeCell ref="K6:M6"/>
    <mergeCell ref="K5:M5"/>
    <mergeCell ref="H7:J7"/>
    <mergeCell ref="Q5:U5"/>
    <mergeCell ref="B6:D6"/>
    <mergeCell ref="N6:P6"/>
    <mergeCell ref="E7:G7"/>
    <mergeCell ref="H5:J5"/>
    <mergeCell ref="Q6:U6"/>
    <mergeCell ref="B7:D7"/>
    <mergeCell ref="N7:P7"/>
    <mergeCell ref="B5:D5"/>
  </mergeCells>
  <dataValidations count="1">
    <dataValidation type="list" sqref="C3 F9 F18 L18 N9 R18 U9" xr:uid="{00000000-0002-0000-0000-000000000000}">
      <formula1>"All Months,May,June,July,August"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69"/>
  <sheetViews>
    <sheetView workbookViewId="0">
      <pane ySplit="3" topLeftCell="A40" activePane="bottomLeft" state="frozen"/>
      <selection pane="bottomLeft" activeCell="C59" sqref="C59"/>
    </sheetView>
  </sheetViews>
  <sheetFormatPr defaultRowHeight="14.5" x14ac:dyDescent="0.35"/>
  <cols>
    <col min="1" max="1" width="8" customWidth="1"/>
    <col min="2" max="3" width="12" customWidth="1"/>
    <col min="4" max="4" width="20" customWidth="1"/>
    <col min="5" max="5" width="26" customWidth="1"/>
    <col min="6" max="6" width="12" customWidth="1"/>
    <col min="7" max="7" width="14" customWidth="1"/>
    <col min="8" max="8" width="18" customWidth="1"/>
    <col min="9" max="9" width="15" customWidth="1"/>
    <col min="10" max="10" width="20" customWidth="1"/>
    <col min="11" max="11" width="18" customWidth="1"/>
    <col min="12" max="12" width="26" customWidth="1"/>
    <col min="13" max="13" width="45" customWidth="1"/>
    <col min="14" max="14" width="14" customWidth="1"/>
  </cols>
  <sheetData>
    <row r="2" spans="1:14" ht="22.5" x14ac:dyDescent="0.6">
      <c r="A2" s="1" t="s">
        <v>218</v>
      </c>
      <c r="K2" s="57" t="str">
        <f>HYPERLINK("#Dashboard!A1", "📊 Go to Dashboard ➔")</f>
        <v>📊 Go to Dashboard ➔</v>
      </c>
      <c r="L2" s="60"/>
      <c r="M2" s="58"/>
    </row>
    <row r="3" spans="1:14" x14ac:dyDescent="0.35">
      <c r="A3" s="38" t="s">
        <v>75</v>
      </c>
      <c r="B3" s="38" t="s">
        <v>18</v>
      </c>
      <c r="C3" s="38" t="s">
        <v>76</v>
      </c>
      <c r="D3" s="38" t="s">
        <v>77</v>
      </c>
      <c r="E3" s="38" t="s">
        <v>78</v>
      </c>
      <c r="F3" s="38" t="s">
        <v>79</v>
      </c>
      <c r="G3" s="38" t="s">
        <v>80</v>
      </c>
      <c r="H3" s="38" t="s">
        <v>81</v>
      </c>
      <c r="I3" s="38" t="s">
        <v>82</v>
      </c>
      <c r="J3" s="38" t="s">
        <v>83</v>
      </c>
      <c r="K3" s="38" t="s">
        <v>25</v>
      </c>
      <c r="L3" s="38" t="s">
        <v>84</v>
      </c>
      <c r="M3" s="38" t="s">
        <v>85</v>
      </c>
      <c r="N3" s="38" t="s">
        <v>86</v>
      </c>
    </row>
    <row r="4" spans="1:14" x14ac:dyDescent="0.35">
      <c r="A4" s="7">
        <v>1</v>
      </c>
      <c r="B4" s="7" t="s">
        <v>26</v>
      </c>
      <c r="C4" s="7" t="s">
        <v>87</v>
      </c>
      <c r="D4" s="20" t="s">
        <v>88</v>
      </c>
      <c r="E4" s="20" t="s">
        <v>63</v>
      </c>
      <c r="F4" s="21">
        <v>60</v>
      </c>
      <c r="G4" s="35">
        <v>120</v>
      </c>
      <c r="H4" s="22">
        <v>7200</v>
      </c>
      <c r="I4" s="35">
        <f t="shared" ref="I4:I35" si="0">IF(F4&gt;0, ROUND(H4/F4, 2), G4)</f>
        <v>120</v>
      </c>
      <c r="J4" s="20" t="s">
        <v>30</v>
      </c>
      <c r="K4" s="7" t="s">
        <v>31</v>
      </c>
      <c r="L4" s="20" t="s">
        <v>62</v>
      </c>
      <c r="M4" s="20" t="s">
        <v>89</v>
      </c>
      <c r="N4" s="7" t="s">
        <v>90</v>
      </c>
    </row>
    <row r="5" spans="1:14" x14ac:dyDescent="0.35">
      <c r="A5" s="11">
        <v>2</v>
      </c>
      <c r="B5" s="11" t="s">
        <v>26</v>
      </c>
      <c r="C5" s="11" t="s">
        <v>87</v>
      </c>
      <c r="D5" s="24" t="s">
        <v>58</v>
      </c>
      <c r="E5" s="24" t="s">
        <v>60</v>
      </c>
      <c r="F5" s="25">
        <v>300</v>
      </c>
      <c r="G5" s="36">
        <v>207.2</v>
      </c>
      <c r="H5" s="26">
        <v>62160</v>
      </c>
      <c r="I5" s="36">
        <f t="shared" si="0"/>
        <v>207.2</v>
      </c>
      <c r="J5" s="24" t="s">
        <v>30</v>
      </c>
      <c r="K5" s="11" t="s">
        <v>31</v>
      </c>
      <c r="L5" s="24" t="s">
        <v>62</v>
      </c>
      <c r="M5" s="24" t="s">
        <v>89</v>
      </c>
      <c r="N5" s="11" t="s">
        <v>90</v>
      </c>
    </row>
    <row r="6" spans="1:14" x14ac:dyDescent="0.35">
      <c r="A6" s="7">
        <v>3</v>
      </c>
      <c r="B6" s="7" t="s">
        <v>26</v>
      </c>
      <c r="C6" s="7" t="s">
        <v>91</v>
      </c>
      <c r="D6" s="20" t="s">
        <v>92</v>
      </c>
      <c r="E6" s="20" t="s">
        <v>54</v>
      </c>
      <c r="F6" s="21">
        <v>450</v>
      </c>
      <c r="G6" s="35">
        <v>50</v>
      </c>
      <c r="H6" s="22">
        <v>22500</v>
      </c>
      <c r="I6" s="35">
        <f t="shared" si="0"/>
        <v>50</v>
      </c>
      <c r="J6" s="20" t="s">
        <v>30</v>
      </c>
      <c r="K6" s="7" t="s">
        <v>31</v>
      </c>
      <c r="L6" s="20" t="s">
        <v>62</v>
      </c>
      <c r="M6" s="20" t="s">
        <v>93</v>
      </c>
      <c r="N6" s="7" t="s">
        <v>90</v>
      </c>
    </row>
    <row r="7" spans="1:14" x14ac:dyDescent="0.35">
      <c r="A7" s="11">
        <v>4</v>
      </c>
      <c r="B7" s="11" t="s">
        <v>26</v>
      </c>
      <c r="C7" s="11" t="s">
        <v>94</v>
      </c>
      <c r="D7" s="24" t="s">
        <v>95</v>
      </c>
      <c r="E7" s="24" t="s">
        <v>54</v>
      </c>
      <c r="F7" s="25">
        <v>45</v>
      </c>
      <c r="G7" s="36">
        <v>35</v>
      </c>
      <c r="H7" s="26">
        <v>1575</v>
      </c>
      <c r="I7" s="36">
        <f t="shared" si="0"/>
        <v>35</v>
      </c>
      <c r="J7" s="24" t="s">
        <v>30</v>
      </c>
      <c r="K7" s="11" t="s">
        <v>31</v>
      </c>
      <c r="L7" s="24" t="s">
        <v>62</v>
      </c>
      <c r="M7" s="24" t="s">
        <v>96</v>
      </c>
      <c r="N7" s="11" t="s">
        <v>90</v>
      </c>
    </row>
    <row r="8" spans="1:14" x14ac:dyDescent="0.35">
      <c r="A8" s="7">
        <v>5</v>
      </c>
      <c r="B8" s="7" t="s">
        <v>26</v>
      </c>
      <c r="C8" s="7" t="s">
        <v>97</v>
      </c>
      <c r="D8" s="20" t="s">
        <v>98</v>
      </c>
      <c r="E8" s="20" t="s">
        <v>54</v>
      </c>
      <c r="F8" s="21">
        <v>150</v>
      </c>
      <c r="G8" s="35">
        <v>28</v>
      </c>
      <c r="H8" s="22">
        <v>4200</v>
      </c>
      <c r="I8" s="35">
        <f t="shared" si="0"/>
        <v>28</v>
      </c>
      <c r="J8" s="20" t="s">
        <v>30</v>
      </c>
      <c r="K8" s="7" t="s">
        <v>31</v>
      </c>
      <c r="L8" s="20" t="s">
        <v>68</v>
      </c>
      <c r="M8" s="20" t="s">
        <v>99</v>
      </c>
      <c r="N8" s="7" t="s">
        <v>90</v>
      </c>
    </row>
    <row r="9" spans="1:14" x14ac:dyDescent="0.35">
      <c r="A9" s="11">
        <v>6</v>
      </c>
      <c r="B9" s="11" t="s">
        <v>26</v>
      </c>
      <c r="C9" s="11" t="s">
        <v>97</v>
      </c>
      <c r="D9" s="24" t="s">
        <v>100</v>
      </c>
      <c r="E9" s="24" t="s">
        <v>57</v>
      </c>
      <c r="F9" s="25">
        <v>200</v>
      </c>
      <c r="G9" s="36">
        <v>20</v>
      </c>
      <c r="H9" s="26">
        <v>4000</v>
      </c>
      <c r="I9" s="36">
        <f t="shared" si="0"/>
        <v>20</v>
      </c>
      <c r="J9" s="24" t="s">
        <v>30</v>
      </c>
      <c r="K9" s="11" t="s">
        <v>31</v>
      </c>
      <c r="L9" s="24" t="s">
        <v>62</v>
      </c>
      <c r="M9" s="24" t="s">
        <v>101</v>
      </c>
      <c r="N9" s="11" t="s">
        <v>90</v>
      </c>
    </row>
    <row r="10" spans="1:14" x14ac:dyDescent="0.35">
      <c r="A10" s="7">
        <v>7</v>
      </c>
      <c r="B10" s="7" t="s">
        <v>26</v>
      </c>
      <c r="C10" s="7" t="s">
        <v>102</v>
      </c>
      <c r="D10" s="20" t="s">
        <v>103</v>
      </c>
      <c r="E10" s="20" t="s">
        <v>57</v>
      </c>
      <c r="F10" s="21">
        <v>35</v>
      </c>
      <c r="G10" s="35">
        <v>84.86</v>
      </c>
      <c r="H10" s="22">
        <v>2970</v>
      </c>
      <c r="I10" s="35">
        <f t="shared" si="0"/>
        <v>84.86</v>
      </c>
      <c r="J10" s="20" t="s">
        <v>30</v>
      </c>
      <c r="K10" s="7" t="s">
        <v>31</v>
      </c>
      <c r="L10" s="20" t="s">
        <v>53</v>
      </c>
      <c r="M10" s="20" t="s">
        <v>104</v>
      </c>
      <c r="N10" s="7" t="s">
        <v>90</v>
      </c>
    </row>
    <row r="11" spans="1:14" x14ac:dyDescent="0.35">
      <c r="A11" s="11">
        <v>8</v>
      </c>
      <c r="B11" s="11" t="s">
        <v>26</v>
      </c>
      <c r="C11" s="11" t="s">
        <v>105</v>
      </c>
      <c r="D11" s="24" t="s">
        <v>49</v>
      </c>
      <c r="E11" s="24" t="s">
        <v>106</v>
      </c>
      <c r="F11" s="25">
        <v>2100</v>
      </c>
      <c r="G11" s="36">
        <v>250</v>
      </c>
      <c r="H11" s="26">
        <v>525000</v>
      </c>
      <c r="I11" s="36">
        <f t="shared" si="0"/>
        <v>250</v>
      </c>
      <c r="J11" s="24" t="s">
        <v>27</v>
      </c>
      <c r="K11" s="11" t="s">
        <v>28</v>
      </c>
      <c r="L11" s="24" t="s">
        <v>50</v>
      </c>
      <c r="M11" s="24" t="s">
        <v>107</v>
      </c>
      <c r="N11" s="11" t="s">
        <v>90</v>
      </c>
    </row>
    <row r="12" spans="1:14" x14ac:dyDescent="0.35">
      <c r="A12" s="7">
        <v>9</v>
      </c>
      <c r="B12" s="7" t="s">
        <v>26</v>
      </c>
      <c r="C12" s="7" t="s">
        <v>108</v>
      </c>
      <c r="D12" s="20" t="s">
        <v>109</v>
      </c>
      <c r="E12" s="20" t="s">
        <v>57</v>
      </c>
      <c r="F12" s="21">
        <v>100</v>
      </c>
      <c r="G12" s="35">
        <v>20</v>
      </c>
      <c r="H12" s="22">
        <v>2000</v>
      </c>
      <c r="I12" s="35">
        <f t="shared" si="0"/>
        <v>20</v>
      </c>
      <c r="J12" s="20" t="s">
        <v>27</v>
      </c>
      <c r="K12" s="7" t="s">
        <v>34</v>
      </c>
      <c r="L12" s="20" t="s">
        <v>62</v>
      </c>
      <c r="M12" s="20" t="s">
        <v>110</v>
      </c>
      <c r="N12" s="7" t="s">
        <v>90</v>
      </c>
    </row>
    <row r="13" spans="1:14" x14ac:dyDescent="0.35">
      <c r="A13" s="11">
        <v>10</v>
      </c>
      <c r="B13" s="11" t="s">
        <v>26</v>
      </c>
      <c r="C13" s="11" t="s">
        <v>111</v>
      </c>
      <c r="D13" s="24" t="s">
        <v>112</v>
      </c>
      <c r="E13" s="24" t="s">
        <v>57</v>
      </c>
      <c r="F13" s="25">
        <v>60</v>
      </c>
      <c r="G13" s="36">
        <v>200</v>
      </c>
      <c r="H13" s="26">
        <v>12000</v>
      </c>
      <c r="I13" s="36">
        <f t="shared" si="0"/>
        <v>200</v>
      </c>
      <c r="J13" s="24" t="s">
        <v>27</v>
      </c>
      <c r="K13" s="11" t="s">
        <v>28</v>
      </c>
      <c r="L13" s="24" t="s">
        <v>53</v>
      </c>
      <c r="M13" s="24" t="s">
        <v>113</v>
      </c>
      <c r="N13" s="11" t="s">
        <v>90</v>
      </c>
    </row>
    <row r="14" spans="1:14" x14ac:dyDescent="0.35">
      <c r="A14" s="7">
        <v>11</v>
      </c>
      <c r="B14" s="7" t="s">
        <v>29</v>
      </c>
      <c r="C14" s="7" t="s">
        <v>114</v>
      </c>
      <c r="D14" s="20" t="s">
        <v>115</v>
      </c>
      <c r="E14" s="20" t="s">
        <v>60</v>
      </c>
      <c r="F14" s="21">
        <v>11</v>
      </c>
      <c r="G14" s="35">
        <v>80</v>
      </c>
      <c r="H14" s="22">
        <v>880</v>
      </c>
      <c r="I14" s="35">
        <f t="shared" si="0"/>
        <v>80</v>
      </c>
      <c r="J14" s="20" t="s">
        <v>30</v>
      </c>
      <c r="K14" s="7" t="s">
        <v>31</v>
      </c>
      <c r="L14" s="20" t="s">
        <v>62</v>
      </c>
      <c r="M14" s="20" t="s">
        <v>116</v>
      </c>
      <c r="N14" s="7" t="s">
        <v>90</v>
      </c>
    </row>
    <row r="15" spans="1:14" x14ac:dyDescent="0.35">
      <c r="A15" s="11">
        <v>12</v>
      </c>
      <c r="B15" s="11" t="s">
        <v>29</v>
      </c>
      <c r="C15" s="11" t="s">
        <v>114</v>
      </c>
      <c r="D15" s="24" t="s">
        <v>112</v>
      </c>
      <c r="E15" s="24" t="s">
        <v>57</v>
      </c>
      <c r="F15" s="25">
        <v>24</v>
      </c>
      <c r="G15" s="36">
        <v>100</v>
      </c>
      <c r="H15" s="26">
        <v>2400</v>
      </c>
      <c r="I15" s="36">
        <f t="shared" si="0"/>
        <v>100</v>
      </c>
      <c r="J15" s="24" t="s">
        <v>30</v>
      </c>
      <c r="K15" s="11" t="s">
        <v>31</v>
      </c>
      <c r="L15" s="24" t="s">
        <v>56</v>
      </c>
      <c r="M15" s="24" t="s">
        <v>117</v>
      </c>
      <c r="N15" s="11" t="s">
        <v>90</v>
      </c>
    </row>
    <row r="16" spans="1:14" x14ac:dyDescent="0.35">
      <c r="A16" s="7">
        <v>13</v>
      </c>
      <c r="B16" s="7" t="s">
        <v>29</v>
      </c>
      <c r="C16" s="7" t="s">
        <v>118</v>
      </c>
      <c r="D16" s="20" t="s">
        <v>95</v>
      </c>
      <c r="E16" s="20" t="s">
        <v>57</v>
      </c>
      <c r="F16" s="21">
        <v>30</v>
      </c>
      <c r="G16" s="35">
        <v>25</v>
      </c>
      <c r="H16" s="22">
        <v>750</v>
      </c>
      <c r="I16" s="35">
        <f t="shared" si="0"/>
        <v>25</v>
      </c>
      <c r="J16" s="20" t="s">
        <v>30</v>
      </c>
      <c r="K16" s="7" t="s">
        <v>31</v>
      </c>
      <c r="L16" s="20" t="s">
        <v>62</v>
      </c>
      <c r="M16" s="20" t="s">
        <v>119</v>
      </c>
      <c r="N16" s="7" t="s">
        <v>90</v>
      </c>
    </row>
    <row r="17" spans="1:14" x14ac:dyDescent="0.35">
      <c r="A17" s="11">
        <v>14</v>
      </c>
      <c r="B17" s="11" t="s">
        <v>29</v>
      </c>
      <c r="C17" s="11" t="s">
        <v>120</v>
      </c>
      <c r="D17" s="24" t="s">
        <v>121</v>
      </c>
      <c r="E17" s="24" t="s">
        <v>122</v>
      </c>
      <c r="F17" s="25">
        <v>10</v>
      </c>
      <c r="G17" s="36">
        <v>215</v>
      </c>
      <c r="H17" s="26">
        <v>2150</v>
      </c>
      <c r="I17" s="36">
        <f t="shared" si="0"/>
        <v>215</v>
      </c>
      <c r="J17" s="24" t="s">
        <v>30</v>
      </c>
      <c r="K17" s="11" t="s">
        <v>31</v>
      </c>
      <c r="L17" s="24" t="s">
        <v>59</v>
      </c>
      <c r="M17" s="24" t="s">
        <v>123</v>
      </c>
      <c r="N17" s="11" t="s">
        <v>90</v>
      </c>
    </row>
    <row r="18" spans="1:14" x14ac:dyDescent="0.35">
      <c r="A18" s="7">
        <v>15</v>
      </c>
      <c r="B18" s="7" t="s">
        <v>29</v>
      </c>
      <c r="C18" s="7" t="s">
        <v>124</v>
      </c>
      <c r="D18" s="20" t="s">
        <v>125</v>
      </c>
      <c r="E18" s="20" t="s">
        <v>51</v>
      </c>
      <c r="F18" s="21">
        <v>17</v>
      </c>
      <c r="G18" s="35">
        <v>121.65</v>
      </c>
      <c r="H18" s="22">
        <v>2068</v>
      </c>
      <c r="I18" s="35">
        <f t="shared" si="0"/>
        <v>121.65</v>
      </c>
      <c r="J18" s="20" t="s">
        <v>30</v>
      </c>
      <c r="K18" s="7" t="s">
        <v>31</v>
      </c>
      <c r="L18" s="20" t="s">
        <v>62</v>
      </c>
      <c r="M18" s="20" t="s">
        <v>126</v>
      </c>
      <c r="N18" s="7" t="s">
        <v>90</v>
      </c>
    </row>
    <row r="19" spans="1:14" x14ac:dyDescent="0.35">
      <c r="A19" s="11">
        <v>16</v>
      </c>
      <c r="B19" s="11" t="s">
        <v>29</v>
      </c>
      <c r="C19" s="11" t="s">
        <v>127</v>
      </c>
      <c r="D19" s="24" t="s">
        <v>67</v>
      </c>
      <c r="E19" s="24" t="s">
        <v>51</v>
      </c>
      <c r="F19" s="25">
        <v>28</v>
      </c>
      <c r="G19" s="36">
        <v>127.5</v>
      </c>
      <c r="H19" s="26">
        <v>3570</v>
      </c>
      <c r="I19" s="36">
        <f t="shared" si="0"/>
        <v>127.5</v>
      </c>
      <c r="J19" s="24" t="s">
        <v>30</v>
      </c>
      <c r="K19" s="11" t="s">
        <v>31</v>
      </c>
      <c r="L19" s="24" t="s">
        <v>62</v>
      </c>
      <c r="M19" s="24" t="s">
        <v>128</v>
      </c>
      <c r="N19" s="11" t="s">
        <v>90</v>
      </c>
    </row>
    <row r="20" spans="1:14" x14ac:dyDescent="0.35">
      <c r="A20" s="7">
        <v>17</v>
      </c>
      <c r="B20" s="7" t="s">
        <v>29</v>
      </c>
      <c r="C20" s="7" t="s">
        <v>129</v>
      </c>
      <c r="D20" s="20" t="s">
        <v>55</v>
      </c>
      <c r="E20" s="20" t="s">
        <v>51</v>
      </c>
      <c r="F20" s="21">
        <v>100</v>
      </c>
      <c r="G20" s="35">
        <v>150</v>
      </c>
      <c r="H20" s="22">
        <v>15000</v>
      </c>
      <c r="I20" s="35">
        <f t="shared" si="0"/>
        <v>150</v>
      </c>
      <c r="J20" s="20" t="s">
        <v>30</v>
      </c>
      <c r="K20" s="7" t="s">
        <v>31</v>
      </c>
      <c r="L20" s="20" t="s">
        <v>50</v>
      </c>
      <c r="M20" s="20" t="s">
        <v>130</v>
      </c>
      <c r="N20" s="7" t="s">
        <v>90</v>
      </c>
    </row>
    <row r="21" spans="1:14" x14ac:dyDescent="0.35">
      <c r="A21" s="11">
        <v>18</v>
      </c>
      <c r="B21" s="11" t="s">
        <v>29</v>
      </c>
      <c r="C21" s="11" t="s">
        <v>129</v>
      </c>
      <c r="D21" s="24" t="s">
        <v>131</v>
      </c>
      <c r="E21" s="24" t="s">
        <v>51</v>
      </c>
      <c r="F21" s="25">
        <v>12</v>
      </c>
      <c r="G21" s="36">
        <v>250</v>
      </c>
      <c r="H21" s="26">
        <v>3000</v>
      </c>
      <c r="I21" s="36">
        <f t="shared" si="0"/>
        <v>250</v>
      </c>
      <c r="J21" s="24" t="s">
        <v>30</v>
      </c>
      <c r="K21" s="11" t="s">
        <v>31</v>
      </c>
      <c r="L21" s="24" t="s">
        <v>53</v>
      </c>
      <c r="M21" s="24" t="s">
        <v>132</v>
      </c>
      <c r="N21" s="11" t="s">
        <v>90</v>
      </c>
    </row>
    <row r="22" spans="1:14" x14ac:dyDescent="0.35">
      <c r="A22" s="7">
        <v>19</v>
      </c>
      <c r="B22" s="7" t="s">
        <v>29</v>
      </c>
      <c r="C22" s="7" t="s">
        <v>133</v>
      </c>
      <c r="D22" s="20" t="s">
        <v>112</v>
      </c>
      <c r="E22" s="20" t="s">
        <v>134</v>
      </c>
      <c r="F22" s="21">
        <v>14</v>
      </c>
      <c r="G22" s="35">
        <v>45</v>
      </c>
      <c r="H22" s="22">
        <v>630</v>
      </c>
      <c r="I22" s="35">
        <f t="shared" si="0"/>
        <v>45</v>
      </c>
      <c r="J22" s="20" t="s">
        <v>30</v>
      </c>
      <c r="K22" s="7" t="s">
        <v>31</v>
      </c>
      <c r="L22" s="20" t="s">
        <v>62</v>
      </c>
      <c r="M22" s="20" t="s">
        <v>135</v>
      </c>
      <c r="N22" s="7" t="s">
        <v>90</v>
      </c>
    </row>
    <row r="23" spans="1:14" x14ac:dyDescent="0.35">
      <c r="A23" s="11">
        <v>20</v>
      </c>
      <c r="B23" s="11" t="s">
        <v>29</v>
      </c>
      <c r="C23" s="11" t="s">
        <v>136</v>
      </c>
      <c r="D23" s="24" t="s">
        <v>137</v>
      </c>
      <c r="E23" s="24" t="s">
        <v>138</v>
      </c>
      <c r="F23" s="25">
        <v>35</v>
      </c>
      <c r="G23" s="36">
        <v>100</v>
      </c>
      <c r="H23" s="26">
        <v>3500</v>
      </c>
      <c r="I23" s="36">
        <f t="shared" si="0"/>
        <v>100</v>
      </c>
      <c r="J23" s="24" t="s">
        <v>30</v>
      </c>
      <c r="K23" s="11" t="s">
        <v>31</v>
      </c>
      <c r="L23" s="24" t="s">
        <v>53</v>
      </c>
      <c r="M23" s="24" t="s">
        <v>139</v>
      </c>
      <c r="N23" s="11" t="s">
        <v>90</v>
      </c>
    </row>
    <row r="24" spans="1:14" x14ac:dyDescent="0.35">
      <c r="A24" s="7">
        <v>21</v>
      </c>
      <c r="B24" s="7" t="s">
        <v>29</v>
      </c>
      <c r="C24" s="7" t="s">
        <v>136</v>
      </c>
      <c r="D24" s="20" t="s">
        <v>121</v>
      </c>
      <c r="E24" s="20" t="s">
        <v>140</v>
      </c>
      <c r="F24" s="21">
        <v>80</v>
      </c>
      <c r="G24" s="35">
        <v>300</v>
      </c>
      <c r="H24" s="22">
        <v>24000</v>
      </c>
      <c r="I24" s="35">
        <f t="shared" si="0"/>
        <v>300</v>
      </c>
      <c r="J24" s="20" t="s">
        <v>27</v>
      </c>
      <c r="K24" s="7" t="s">
        <v>28</v>
      </c>
      <c r="L24" s="20" t="s">
        <v>50</v>
      </c>
      <c r="M24" s="20" t="s">
        <v>141</v>
      </c>
      <c r="N24" s="7" t="s">
        <v>90</v>
      </c>
    </row>
    <row r="25" spans="1:14" x14ac:dyDescent="0.35">
      <c r="A25" s="11">
        <v>22</v>
      </c>
      <c r="B25" s="11" t="s">
        <v>29</v>
      </c>
      <c r="C25" s="11" t="s">
        <v>142</v>
      </c>
      <c r="D25" s="24" t="s">
        <v>55</v>
      </c>
      <c r="E25" s="24" t="s">
        <v>63</v>
      </c>
      <c r="F25" s="25">
        <v>50</v>
      </c>
      <c r="G25" s="36">
        <v>150</v>
      </c>
      <c r="H25" s="26">
        <v>7500</v>
      </c>
      <c r="I25" s="36">
        <f t="shared" si="0"/>
        <v>150</v>
      </c>
      <c r="J25" s="24" t="s">
        <v>27</v>
      </c>
      <c r="K25" s="11" t="s">
        <v>31</v>
      </c>
      <c r="L25" s="24" t="s">
        <v>62</v>
      </c>
      <c r="M25" s="24" t="s">
        <v>143</v>
      </c>
      <c r="N25" s="11" t="s">
        <v>90</v>
      </c>
    </row>
    <row r="26" spans="1:14" x14ac:dyDescent="0.35">
      <c r="A26" s="7">
        <v>23</v>
      </c>
      <c r="B26" s="7" t="s">
        <v>29</v>
      </c>
      <c r="C26" s="7" t="s">
        <v>144</v>
      </c>
      <c r="D26" s="20" t="s">
        <v>55</v>
      </c>
      <c r="E26" s="20" t="s">
        <v>63</v>
      </c>
      <c r="F26" s="21">
        <v>50</v>
      </c>
      <c r="G26" s="35">
        <v>250</v>
      </c>
      <c r="H26" s="22">
        <v>12500</v>
      </c>
      <c r="I26" s="35">
        <f t="shared" si="0"/>
        <v>250</v>
      </c>
      <c r="J26" s="20" t="s">
        <v>27</v>
      </c>
      <c r="K26" s="7" t="s">
        <v>31</v>
      </c>
      <c r="L26" s="20" t="s">
        <v>50</v>
      </c>
      <c r="M26" s="20" t="s">
        <v>145</v>
      </c>
      <c r="N26" s="7" t="s">
        <v>90</v>
      </c>
    </row>
    <row r="27" spans="1:14" x14ac:dyDescent="0.35">
      <c r="A27" s="11">
        <v>24</v>
      </c>
      <c r="B27" s="11" t="s">
        <v>29</v>
      </c>
      <c r="C27" s="11" t="s">
        <v>146</v>
      </c>
      <c r="D27" s="24" t="s">
        <v>58</v>
      </c>
      <c r="E27" s="24" t="s">
        <v>57</v>
      </c>
      <c r="F27" s="25">
        <v>75</v>
      </c>
      <c r="G27" s="36">
        <v>216.67</v>
      </c>
      <c r="H27" s="26">
        <v>16250</v>
      </c>
      <c r="I27" s="36">
        <f t="shared" si="0"/>
        <v>216.67</v>
      </c>
      <c r="J27" s="24" t="s">
        <v>27</v>
      </c>
      <c r="K27" s="11" t="s">
        <v>31</v>
      </c>
      <c r="L27" s="24" t="s">
        <v>62</v>
      </c>
      <c r="M27" s="24" t="s">
        <v>147</v>
      </c>
      <c r="N27" s="11" t="s">
        <v>90</v>
      </c>
    </row>
    <row r="28" spans="1:14" x14ac:dyDescent="0.35">
      <c r="A28" s="7">
        <v>25</v>
      </c>
      <c r="B28" s="7" t="s">
        <v>29</v>
      </c>
      <c r="C28" s="7" t="s">
        <v>148</v>
      </c>
      <c r="D28" s="20" t="s">
        <v>112</v>
      </c>
      <c r="E28" s="20" t="s">
        <v>63</v>
      </c>
      <c r="F28" s="21">
        <v>30</v>
      </c>
      <c r="G28" s="35">
        <v>100</v>
      </c>
      <c r="H28" s="22">
        <v>3000</v>
      </c>
      <c r="I28" s="35">
        <f t="shared" si="0"/>
        <v>100</v>
      </c>
      <c r="J28" s="20" t="s">
        <v>27</v>
      </c>
      <c r="K28" s="7" t="s">
        <v>28</v>
      </c>
      <c r="L28" s="20" t="s">
        <v>53</v>
      </c>
      <c r="M28" s="20" t="s">
        <v>149</v>
      </c>
      <c r="N28" s="7" t="s">
        <v>90</v>
      </c>
    </row>
    <row r="29" spans="1:14" x14ac:dyDescent="0.35">
      <c r="A29" s="11">
        <v>26</v>
      </c>
      <c r="B29" s="11" t="s">
        <v>29</v>
      </c>
      <c r="C29" s="11" t="s">
        <v>148</v>
      </c>
      <c r="D29" s="24" t="s">
        <v>55</v>
      </c>
      <c r="E29" s="24" t="s">
        <v>48</v>
      </c>
      <c r="F29" s="25">
        <v>120</v>
      </c>
      <c r="G29" s="36">
        <v>150</v>
      </c>
      <c r="H29" s="26">
        <v>18000</v>
      </c>
      <c r="I29" s="36">
        <f t="shared" si="0"/>
        <v>150</v>
      </c>
      <c r="J29" s="24" t="s">
        <v>27</v>
      </c>
      <c r="K29" s="11" t="s">
        <v>31</v>
      </c>
      <c r="L29" s="24" t="s">
        <v>50</v>
      </c>
      <c r="M29" s="24" t="s">
        <v>141</v>
      </c>
      <c r="N29" s="11" t="s">
        <v>90</v>
      </c>
    </row>
    <row r="30" spans="1:14" x14ac:dyDescent="0.35">
      <c r="A30" s="7">
        <v>27</v>
      </c>
      <c r="B30" s="7" t="s">
        <v>32</v>
      </c>
      <c r="C30" s="7" t="s">
        <v>150</v>
      </c>
      <c r="D30" s="20" t="s">
        <v>112</v>
      </c>
      <c r="E30" s="20" t="s">
        <v>51</v>
      </c>
      <c r="F30" s="21">
        <v>40</v>
      </c>
      <c r="G30" s="35">
        <v>100</v>
      </c>
      <c r="H30" s="22">
        <v>4000</v>
      </c>
      <c r="I30" s="35">
        <f t="shared" si="0"/>
        <v>100</v>
      </c>
      <c r="J30" s="20" t="s">
        <v>27</v>
      </c>
      <c r="K30" s="7" t="s">
        <v>31</v>
      </c>
      <c r="L30" s="20" t="s">
        <v>53</v>
      </c>
      <c r="M30" s="20" t="s">
        <v>113</v>
      </c>
      <c r="N30" s="7" t="s">
        <v>90</v>
      </c>
    </row>
    <row r="31" spans="1:14" x14ac:dyDescent="0.35">
      <c r="A31" s="11">
        <v>28</v>
      </c>
      <c r="B31" s="11" t="s">
        <v>32</v>
      </c>
      <c r="C31" s="11" t="s">
        <v>151</v>
      </c>
      <c r="D31" s="24" t="s">
        <v>55</v>
      </c>
      <c r="E31" s="24" t="s">
        <v>48</v>
      </c>
      <c r="F31" s="25">
        <v>150</v>
      </c>
      <c r="G31" s="36">
        <v>100</v>
      </c>
      <c r="H31" s="26">
        <v>15000</v>
      </c>
      <c r="I31" s="36">
        <f t="shared" si="0"/>
        <v>100</v>
      </c>
      <c r="J31" s="24" t="s">
        <v>27</v>
      </c>
      <c r="K31" s="11" t="s">
        <v>31</v>
      </c>
      <c r="L31" s="24" t="s">
        <v>50</v>
      </c>
      <c r="M31" s="24" t="s">
        <v>141</v>
      </c>
      <c r="N31" s="11" t="s">
        <v>90</v>
      </c>
    </row>
    <row r="32" spans="1:14" x14ac:dyDescent="0.35">
      <c r="A32" s="7">
        <v>29</v>
      </c>
      <c r="B32" s="7" t="s">
        <v>32</v>
      </c>
      <c r="C32" s="7" t="s">
        <v>152</v>
      </c>
      <c r="D32" s="20" t="s">
        <v>153</v>
      </c>
      <c r="E32" s="20" t="s">
        <v>48</v>
      </c>
      <c r="F32" s="21">
        <v>30</v>
      </c>
      <c r="G32" s="35">
        <v>24</v>
      </c>
      <c r="H32" s="22">
        <v>720</v>
      </c>
      <c r="I32" s="35">
        <f t="shared" si="0"/>
        <v>24</v>
      </c>
      <c r="J32" s="20" t="s">
        <v>30</v>
      </c>
      <c r="K32" s="7" t="s">
        <v>31</v>
      </c>
      <c r="L32" s="20" t="s">
        <v>62</v>
      </c>
      <c r="M32" s="20" t="s">
        <v>154</v>
      </c>
      <c r="N32" s="7" t="s">
        <v>90</v>
      </c>
    </row>
    <row r="33" spans="1:14" x14ac:dyDescent="0.35">
      <c r="A33" s="11">
        <v>30</v>
      </c>
      <c r="B33" s="11" t="s">
        <v>32</v>
      </c>
      <c r="C33" s="11" t="s">
        <v>155</v>
      </c>
      <c r="D33" s="24" t="s">
        <v>156</v>
      </c>
      <c r="E33" s="24" t="s">
        <v>48</v>
      </c>
      <c r="F33" s="25">
        <v>50</v>
      </c>
      <c r="G33" s="36">
        <v>86</v>
      </c>
      <c r="H33" s="26">
        <v>4300</v>
      </c>
      <c r="I33" s="36">
        <f t="shared" si="0"/>
        <v>86</v>
      </c>
      <c r="J33" s="24" t="s">
        <v>30</v>
      </c>
      <c r="K33" s="11" t="s">
        <v>31</v>
      </c>
      <c r="L33" s="24" t="s">
        <v>65</v>
      </c>
      <c r="M33" s="24" t="s">
        <v>157</v>
      </c>
      <c r="N33" s="11" t="s">
        <v>90</v>
      </c>
    </row>
    <row r="34" spans="1:14" x14ac:dyDescent="0.35">
      <c r="A34" s="7">
        <v>31</v>
      </c>
      <c r="B34" s="7" t="s">
        <v>32</v>
      </c>
      <c r="C34" s="7" t="s">
        <v>158</v>
      </c>
      <c r="D34" s="20" t="s">
        <v>159</v>
      </c>
      <c r="E34" s="20" t="s">
        <v>48</v>
      </c>
      <c r="F34" s="21">
        <v>70</v>
      </c>
      <c r="G34" s="35">
        <v>150</v>
      </c>
      <c r="H34" s="22">
        <v>10500</v>
      </c>
      <c r="I34" s="35">
        <f t="shared" si="0"/>
        <v>150</v>
      </c>
      <c r="J34" s="20" t="s">
        <v>27</v>
      </c>
      <c r="K34" s="7" t="s">
        <v>28</v>
      </c>
      <c r="L34" s="20" t="s">
        <v>50</v>
      </c>
      <c r="M34" s="20" t="s">
        <v>141</v>
      </c>
      <c r="N34" s="7" t="s">
        <v>90</v>
      </c>
    </row>
    <row r="35" spans="1:14" x14ac:dyDescent="0.35">
      <c r="A35" s="11">
        <v>32</v>
      </c>
      <c r="B35" s="11" t="s">
        <v>32</v>
      </c>
      <c r="C35" s="11" t="s">
        <v>160</v>
      </c>
      <c r="D35" s="24" t="s">
        <v>161</v>
      </c>
      <c r="E35" s="24" t="s">
        <v>48</v>
      </c>
      <c r="F35" s="25">
        <v>40</v>
      </c>
      <c r="G35" s="36">
        <v>20</v>
      </c>
      <c r="H35" s="26">
        <v>800</v>
      </c>
      <c r="I35" s="36">
        <f t="shared" si="0"/>
        <v>20</v>
      </c>
      <c r="J35" s="24" t="s">
        <v>30</v>
      </c>
      <c r="K35" s="11" t="s">
        <v>31</v>
      </c>
      <c r="L35" s="24" t="s">
        <v>62</v>
      </c>
      <c r="M35" s="24" t="s">
        <v>162</v>
      </c>
      <c r="N35" s="11" t="s">
        <v>90</v>
      </c>
    </row>
    <row r="36" spans="1:14" x14ac:dyDescent="0.35">
      <c r="A36" s="7">
        <v>33</v>
      </c>
      <c r="B36" s="7" t="s">
        <v>32</v>
      </c>
      <c r="C36" s="7" t="s">
        <v>163</v>
      </c>
      <c r="D36" s="20" t="s">
        <v>156</v>
      </c>
      <c r="E36" s="20" t="s">
        <v>48</v>
      </c>
      <c r="F36" s="21">
        <v>70</v>
      </c>
      <c r="G36" s="35">
        <v>84.29</v>
      </c>
      <c r="H36" s="22">
        <v>5900</v>
      </c>
      <c r="I36" s="35">
        <f t="shared" ref="I36:I64" si="1">IF(F36&gt;0, ROUND(H36/F36, 2), G36)</f>
        <v>84.29</v>
      </c>
      <c r="J36" s="20" t="s">
        <v>30</v>
      </c>
      <c r="K36" s="7" t="s">
        <v>31</v>
      </c>
      <c r="L36" s="20" t="s">
        <v>65</v>
      </c>
      <c r="M36" s="20" t="s">
        <v>164</v>
      </c>
      <c r="N36" s="7" t="s">
        <v>90</v>
      </c>
    </row>
    <row r="37" spans="1:14" x14ac:dyDescent="0.35">
      <c r="A37" s="11">
        <v>34</v>
      </c>
      <c r="B37" s="11" t="s">
        <v>32</v>
      </c>
      <c r="C37" s="11" t="s">
        <v>165</v>
      </c>
      <c r="D37" s="24" t="s">
        <v>55</v>
      </c>
      <c r="E37" s="24" t="s">
        <v>51</v>
      </c>
      <c r="F37" s="25">
        <v>50</v>
      </c>
      <c r="G37" s="36">
        <v>24</v>
      </c>
      <c r="H37" s="26">
        <v>1200</v>
      </c>
      <c r="I37" s="36">
        <f t="shared" si="1"/>
        <v>24</v>
      </c>
      <c r="J37" s="24" t="s">
        <v>30</v>
      </c>
      <c r="K37" s="11" t="s">
        <v>31</v>
      </c>
      <c r="L37" s="24" t="s">
        <v>62</v>
      </c>
      <c r="M37" s="24" t="s">
        <v>166</v>
      </c>
      <c r="N37" s="11" t="s">
        <v>90</v>
      </c>
    </row>
    <row r="38" spans="1:14" x14ac:dyDescent="0.35">
      <c r="A38" s="7">
        <v>35</v>
      </c>
      <c r="B38" s="7" t="s">
        <v>32</v>
      </c>
      <c r="C38" s="7" t="s">
        <v>167</v>
      </c>
      <c r="D38" s="20" t="s">
        <v>168</v>
      </c>
      <c r="E38" s="20" t="s">
        <v>48</v>
      </c>
      <c r="F38" s="21">
        <v>150</v>
      </c>
      <c r="G38" s="35">
        <v>150</v>
      </c>
      <c r="H38" s="22">
        <v>22500</v>
      </c>
      <c r="I38" s="35">
        <f t="shared" si="1"/>
        <v>150</v>
      </c>
      <c r="J38" s="20" t="s">
        <v>27</v>
      </c>
      <c r="K38" s="7" t="s">
        <v>31</v>
      </c>
      <c r="L38" s="20" t="s">
        <v>50</v>
      </c>
      <c r="M38" s="20" t="s">
        <v>169</v>
      </c>
      <c r="N38" s="7" t="s">
        <v>90</v>
      </c>
    </row>
    <row r="39" spans="1:14" x14ac:dyDescent="0.35">
      <c r="A39" s="11">
        <v>36</v>
      </c>
      <c r="B39" s="11" t="s">
        <v>32</v>
      </c>
      <c r="C39" s="11" t="s">
        <v>167</v>
      </c>
      <c r="D39" s="24" t="s">
        <v>170</v>
      </c>
      <c r="E39" s="24" t="s">
        <v>51</v>
      </c>
      <c r="F39" s="25">
        <v>50</v>
      </c>
      <c r="G39" s="36">
        <v>20</v>
      </c>
      <c r="H39" s="26">
        <v>1000</v>
      </c>
      <c r="I39" s="36">
        <f t="shared" si="1"/>
        <v>20</v>
      </c>
      <c r="J39" s="24" t="s">
        <v>30</v>
      </c>
      <c r="K39" s="11" t="s">
        <v>31</v>
      </c>
      <c r="L39" s="24" t="s">
        <v>59</v>
      </c>
      <c r="M39" s="24" t="s">
        <v>171</v>
      </c>
      <c r="N39" s="11" t="s">
        <v>90</v>
      </c>
    </row>
    <row r="40" spans="1:14" x14ac:dyDescent="0.35">
      <c r="A40" s="7">
        <v>37</v>
      </c>
      <c r="B40" s="7" t="s">
        <v>32</v>
      </c>
      <c r="C40" s="7" t="s">
        <v>172</v>
      </c>
      <c r="D40" s="20" t="s">
        <v>161</v>
      </c>
      <c r="E40" s="20" t="s">
        <v>48</v>
      </c>
      <c r="F40" s="21">
        <v>60</v>
      </c>
      <c r="G40" s="35">
        <v>20</v>
      </c>
      <c r="H40" s="22">
        <v>1200</v>
      </c>
      <c r="I40" s="35">
        <f t="shared" si="1"/>
        <v>20</v>
      </c>
      <c r="J40" s="20" t="s">
        <v>30</v>
      </c>
      <c r="K40" s="7" t="s">
        <v>31</v>
      </c>
      <c r="L40" s="20" t="s">
        <v>50</v>
      </c>
      <c r="M40" s="20" t="s">
        <v>173</v>
      </c>
      <c r="N40" s="7" t="s">
        <v>90</v>
      </c>
    </row>
    <row r="41" spans="1:14" x14ac:dyDescent="0.35">
      <c r="A41" s="11">
        <v>38</v>
      </c>
      <c r="B41" s="11" t="s">
        <v>32</v>
      </c>
      <c r="C41" s="11" t="s">
        <v>174</v>
      </c>
      <c r="D41" s="24" t="s">
        <v>64</v>
      </c>
      <c r="E41" s="24" t="s">
        <v>51</v>
      </c>
      <c r="F41" s="25">
        <v>30</v>
      </c>
      <c r="G41" s="36">
        <v>1800</v>
      </c>
      <c r="H41" s="26">
        <v>54000</v>
      </c>
      <c r="I41" s="36">
        <f t="shared" si="1"/>
        <v>1800</v>
      </c>
      <c r="J41" s="24" t="s">
        <v>27</v>
      </c>
      <c r="K41" s="11" t="s">
        <v>28</v>
      </c>
      <c r="L41" s="24" t="s">
        <v>53</v>
      </c>
      <c r="M41" s="24" t="s">
        <v>175</v>
      </c>
      <c r="N41" s="11" t="s">
        <v>90</v>
      </c>
    </row>
    <row r="42" spans="1:14" x14ac:dyDescent="0.35">
      <c r="A42" s="7">
        <v>39</v>
      </c>
      <c r="B42" s="7" t="s">
        <v>32</v>
      </c>
      <c r="C42" s="7" t="s">
        <v>174</v>
      </c>
      <c r="D42" s="20" t="s">
        <v>176</v>
      </c>
      <c r="E42" s="20" t="s">
        <v>48</v>
      </c>
      <c r="F42" s="21">
        <v>110</v>
      </c>
      <c r="G42" s="35">
        <v>100</v>
      </c>
      <c r="H42" s="22">
        <v>11000</v>
      </c>
      <c r="I42" s="35">
        <f t="shared" si="1"/>
        <v>100</v>
      </c>
      <c r="J42" s="20" t="s">
        <v>30</v>
      </c>
      <c r="K42" s="7" t="s">
        <v>31</v>
      </c>
      <c r="L42" s="20" t="s">
        <v>50</v>
      </c>
      <c r="M42" s="20" t="s">
        <v>141</v>
      </c>
      <c r="N42" s="7" t="s">
        <v>90</v>
      </c>
    </row>
    <row r="43" spans="1:14" x14ac:dyDescent="0.35">
      <c r="A43" s="11">
        <v>40</v>
      </c>
      <c r="B43" s="11" t="s">
        <v>32</v>
      </c>
      <c r="C43" s="11" t="s">
        <v>177</v>
      </c>
      <c r="D43" s="24" t="s">
        <v>64</v>
      </c>
      <c r="E43" s="24" t="s">
        <v>51</v>
      </c>
      <c r="F43" s="25">
        <v>40</v>
      </c>
      <c r="G43" s="36">
        <v>100</v>
      </c>
      <c r="H43" s="26">
        <v>4000</v>
      </c>
      <c r="I43" s="36">
        <f t="shared" si="1"/>
        <v>100</v>
      </c>
      <c r="J43" s="24" t="s">
        <v>27</v>
      </c>
      <c r="K43" s="11" t="s">
        <v>28</v>
      </c>
      <c r="L43" s="24" t="s">
        <v>53</v>
      </c>
      <c r="M43" s="24" t="s">
        <v>175</v>
      </c>
      <c r="N43" s="11" t="s">
        <v>90</v>
      </c>
    </row>
    <row r="44" spans="1:14" x14ac:dyDescent="0.35">
      <c r="A44" s="7">
        <v>41</v>
      </c>
      <c r="B44" s="7" t="s">
        <v>32</v>
      </c>
      <c r="C44" s="7" t="s">
        <v>177</v>
      </c>
      <c r="D44" s="20" t="s">
        <v>55</v>
      </c>
      <c r="E44" s="20" t="s">
        <v>54</v>
      </c>
      <c r="F44" s="21">
        <v>100</v>
      </c>
      <c r="G44" s="35">
        <v>28</v>
      </c>
      <c r="H44" s="22">
        <v>2800</v>
      </c>
      <c r="I44" s="35">
        <f t="shared" si="1"/>
        <v>28</v>
      </c>
      <c r="J44" s="20" t="s">
        <v>30</v>
      </c>
      <c r="K44" s="7" t="s">
        <v>31</v>
      </c>
      <c r="L44" s="20" t="s">
        <v>62</v>
      </c>
      <c r="M44" s="20" t="s">
        <v>178</v>
      </c>
      <c r="N44" s="7" t="s">
        <v>90</v>
      </c>
    </row>
    <row r="45" spans="1:14" x14ac:dyDescent="0.35">
      <c r="A45" s="11">
        <v>42</v>
      </c>
      <c r="B45" s="11" t="s">
        <v>32</v>
      </c>
      <c r="C45" s="11" t="s">
        <v>179</v>
      </c>
      <c r="D45" s="24" t="s">
        <v>112</v>
      </c>
      <c r="E45" s="24" t="s">
        <v>51</v>
      </c>
      <c r="F45" s="25">
        <v>100</v>
      </c>
      <c r="G45" s="36">
        <v>60</v>
      </c>
      <c r="H45" s="26">
        <v>6000</v>
      </c>
      <c r="I45" s="36">
        <f t="shared" si="1"/>
        <v>60</v>
      </c>
      <c r="J45" s="24" t="s">
        <v>27</v>
      </c>
      <c r="K45" s="11" t="s">
        <v>31</v>
      </c>
      <c r="L45" s="24" t="s">
        <v>53</v>
      </c>
      <c r="M45" s="24" t="s">
        <v>180</v>
      </c>
      <c r="N45" s="11" t="s">
        <v>90</v>
      </c>
    </row>
    <row r="46" spans="1:14" x14ac:dyDescent="0.35">
      <c r="A46" s="7">
        <v>43</v>
      </c>
      <c r="B46" s="7" t="s">
        <v>32</v>
      </c>
      <c r="C46" s="7" t="s">
        <v>181</v>
      </c>
      <c r="D46" s="20" t="s">
        <v>182</v>
      </c>
      <c r="E46" s="20" t="s">
        <v>48</v>
      </c>
      <c r="F46" s="21">
        <v>95</v>
      </c>
      <c r="G46" s="35">
        <v>500</v>
      </c>
      <c r="H46" s="22">
        <v>47500</v>
      </c>
      <c r="I46" s="35">
        <f t="shared" si="1"/>
        <v>500</v>
      </c>
      <c r="J46" s="20" t="s">
        <v>33</v>
      </c>
      <c r="K46" s="7" t="s">
        <v>34</v>
      </c>
      <c r="L46" s="20" t="s">
        <v>53</v>
      </c>
      <c r="M46" s="20" t="s">
        <v>183</v>
      </c>
      <c r="N46" s="7" t="s">
        <v>90</v>
      </c>
    </row>
    <row r="47" spans="1:14" x14ac:dyDescent="0.35">
      <c r="A47" s="11">
        <v>44</v>
      </c>
      <c r="B47" s="11" t="s">
        <v>35</v>
      </c>
      <c r="C47" s="11" t="s">
        <v>184</v>
      </c>
      <c r="D47" s="24" t="s">
        <v>185</v>
      </c>
      <c r="E47" s="24" t="s">
        <v>186</v>
      </c>
      <c r="F47" s="25">
        <v>22</v>
      </c>
      <c r="G47" s="36">
        <v>326.82</v>
      </c>
      <c r="H47" s="26">
        <v>7190</v>
      </c>
      <c r="I47" s="36">
        <f t="shared" si="1"/>
        <v>326.82</v>
      </c>
      <c r="J47" s="24" t="s">
        <v>33</v>
      </c>
      <c r="K47" s="11" t="s">
        <v>34</v>
      </c>
      <c r="L47" s="24" t="s">
        <v>59</v>
      </c>
      <c r="M47" s="24" t="s">
        <v>187</v>
      </c>
      <c r="N47" s="11" t="s">
        <v>90</v>
      </c>
    </row>
    <row r="48" spans="1:14" x14ac:dyDescent="0.35">
      <c r="A48" s="7">
        <v>45</v>
      </c>
      <c r="B48" s="7" t="s">
        <v>35</v>
      </c>
      <c r="C48" s="7" t="s">
        <v>184</v>
      </c>
      <c r="D48" s="20" t="s">
        <v>188</v>
      </c>
      <c r="E48" s="20" t="s">
        <v>54</v>
      </c>
      <c r="F48" s="21">
        <v>50</v>
      </c>
      <c r="G48" s="35">
        <v>128</v>
      </c>
      <c r="H48" s="22">
        <v>6400</v>
      </c>
      <c r="I48" s="35">
        <f t="shared" si="1"/>
        <v>128</v>
      </c>
      <c r="J48" s="20" t="s">
        <v>30</v>
      </c>
      <c r="K48" s="7" t="s">
        <v>31</v>
      </c>
      <c r="L48" s="20" t="s">
        <v>56</v>
      </c>
      <c r="M48" s="20" t="s">
        <v>189</v>
      </c>
      <c r="N48" s="7" t="s">
        <v>90</v>
      </c>
    </row>
    <row r="49" spans="1:14" x14ac:dyDescent="0.35">
      <c r="A49" s="11">
        <v>46</v>
      </c>
      <c r="B49" s="11" t="s">
        <v>35</v>
      </c>
      <c r="C49" s="11" t="s">
        <v>190</v>
      </c>
      <c r="D49" s="24" t="s">
        <v>67</v>
      </c>
      <c r="E49" s="24" t="s">
        <v>54</v>
      </c>
      <c r="F49" s="25">
        <v>320</v>
      </c>
      <c r="G49" s="36">
        <v>22</v>
      </c>
      <c r="H49" s="26">
        <v>7040</v>
      </c>
      <c r="I49" s="36">
        <f t="shared" si="1"/>
        <v>22</v>
      </c>
      <c r="J49" s="24" t="s">
        <v>33</v>
      </c>
      <c r="K49" s="11" t="s">
        <v>34</v>
      </c>
      <c r="L49" s="24" t="s">
        <v>53</v>
      </c>
      <c r="M49" s="24" t="s">
        <v>191</v>
      </c>
      <c r="N49" s="11" t="s">
        <v>90</v>
      </c>
    </row>
    <row r="50" spans="1:14" x14ac:dyDescent="0.35">
      <c r="A50" s="7">
        <v>47</v>
      </c>
      <c r="B50" s="7" t="s">
        <v>35</v>
      </c>
      <c r="C50" s="7" t="s">
        <v>190</v>
      </c>
      <c r="D50" s="20" t="s">
        <v>67</v>
      </c>
      <c r="E50" s="20" t="s">
        <v>54</v>
      </c>
      <c r="F50" s="21">
        <v>300</v>
      </c>
      <c r="G50" s="35">
        <v>22</v>
      </c>
      <c r="H50" s="22">
        <v>6600</v>
      </c>
      <c r="I50" s="35">
        <f t="shared" si="1"/>
        <v>22</v>
      </c>
      <c r="J50" s="20" t="s">
        <v>33</v>
      </c>
      <c r="K50" s="7" t="s">
        <v>34</v>
      </c>
      <c r="L50" s="20" t="s">
        <v>53</v>
      </c>
      <c r="M50" s="20" t="s">
        <v>191</v>
      </c>
      <c r="N50" s="7" t="s">
        <v>90</v>
      </c>
    </row>
    <row r="51" spans="1:14" x14ac:dyDescent="0.35">
      <c r="A51" s="11">
        <v>48</v>
      </c>
      <c r="B51" s="11" t="s">
        <v>35</v>
      </c>
      <c r="C51" s="11" t="s">
        <v>192</v>
      </c>
      <c r="D51" s="24" t="s">
        <v>52</v>
      </c>
      <c r="E51" s="24" t="s">
        <v>48</v>
      </c>
      <c r="F51" s="25">
        <v>170</v>
      </c>
      <c r="G51" s="36">
        <v>500</v>
      </c>
      <c r="H51" s="26">
        <v>85000</v>
      </c>
      <c r="I51" s="36">
        <f t="shared" si="1"/>
        <v>500</v>
      </c>
      <c r="J51" s="24" t="s">
        <v>27</v>
      </c>
      <c r="K51" s="11" t="s">
        <v>28</v>
      </c>
      <c r="L51" s="24" t="s">
        <v>56</v>
      </c>
      <c r="M51" s="24" t="s">
        <v>193</v>
      </c>
      <c r="N51" s="11" t="s">
        <v>90</v>
      </c>
    </row>
    <row r="52" spans="1:14" x14ac:dyDescent="0.35">
      <c r="A52" s="7">
        <v>49</v>
      </c>
      <c r="B52" s="7" t="s">
        <v>35</v>
      </c>
      <c r="C52" s="7" t="s">
        <v>194</v>
      </c>
      <c r="D52" s="20" t="s">
        <v>61</v>
      </c>
      <c r="E52" s="20" t="s">
        <v>48</v>
      </c>
      <c r="F52" s="21">
        <v>500</v>
      </c>
      <c r="G52" s="35">
        <v>33.25</v>
      </c>
      <c r="H52" s="22">
        <v>16625</v>
      </c>
      <c r="I52" s="35">
        <f t="shared" si="1"/>
        <v>33.25</v>
      </c>
      <c r="J52" s="20" t="s">
        <v>27</v>
      </c>
      <c r="K52" s="7" t="s">
        <v>28</v>
      </c>
      <c r="L52" s="20" t="s">
        <v>59</v>
      </c>
      <c r="M52" s="20" t="s">
        <v>195</v>
      </c>
      <c r="N52" s="7" t="s">
        <v>90</v>
      </c>
    </row>
    <row r="53" spans="1:14" x14ac:dyDescent="0.35">
      <c r="A53" s="11">
        <v>50</v>
      </c>
      <c r="B53" s="11" t="s">
        <v>35</v>
      </c>
      <c r="C53" s="11" t="s">
        <v>194</v>
      </c>
      <c r="D53" s="24" t="s">
        <v>61</v>
      </c>
      <c r="E53" s="24" t="s">
        <v>66</v>
      </c>
      <c r="F53" s="25">
        <v>1500</v>
      </c>
      <c r="G53" s="36">
        <v>33.25</v>
      </c>
      <c r="H53" s="26">
        <v>49875</v>
      </c>
      <c r="I53" s="36">
        <f t="shared" si="1"/>
        <v>33.25</v>
      </c>
      <c r="J53" s="24" t="s">
        <v>27</v>
      </c>
      <c r="K53" s="11" t="s">
        <v>28</v>
      </c>
      <c r="L53" s="24" t="s">
        <v>59</v>
      </c>
      <c r="M53" s="24" t="s">
        <v>196</v>
      </c>
      <c r="N53" s="11" t="s">
        <v>90</v>
      </c>
    </row>
    <row r="54" spans="1:14" x14ac:dyDescent="0.35">
      <c r="A54" s="7">
        <v>51</v>
      </c>
      <c r="B54" s="7" t="s">
        <v>35</v>
      </c>
      <c r="C54" s="7" t="s">
        <v>197</v>
      </c>
      <c r="D54" s="20" t="s">
        <v>198</v>
      </c>
      <c r="E54" s="20" t="s">
        <v>66</v>
      </c>
      <c r="F54" s="21">
        <v>110</v>
      </c>
      <c r="G54" s="35">
        <v>200</v>
      </c>
      <c r="H54" s="22">
        <v>22000</v>
      </c>
      <c r="I54" s="35">
        <f t="shared" si="1"/>
        <v>200</v>
      </c>
      <c r="J54" s="20" t="s">
        <v>27</v>
      </c>
      <c r="K54" s="7" t="s">
        <v>31</v>
      </c>
      <c r="L54" s="20" t="s">
        <v>50</v>
      </c>
      <c r="M54" s="20" t="s">
        <v>199</v>
      </c>
      <c r="N54" s="7" t="s">
        <v>90</v>
      </c>
    </row>
    <row r="55" spans="1:14" x14ac:dyDescent="0.35">
      <c r="A55" s="11">
        <v>52</v>
      </c>
      <c r="B55" s="11" t="s">
        <v>35</v>
      </c>
      <c r="C55" s="11" t="s">
        <v>197</v>
      </c>
      <c r="D55" s="24" t="s">
        <v>121</v>
      </c>
      <c r="E55" s="24" t="s">
        <v>51</v>
      </c>
      <c r="F55" s="25">
        <v>30</v>
      </c>
      <c r="G55" s="36">
        <v>41.67</v>
      </c>
      <c r="H55" s="26">
        <v>1250</v>
      </c>
      <c r="I55" s="36">
        <f t="shared" si="1"/>
        <v>41.67</v>
      </c>
      <c r="J55" s="24" t="s">
        <v>30</v>
      </c>
      <c r="K55" s="11" t="s">
        <v>31</v>
      </c>
      <c r="L55" s="24" t="s">
        <v>62</v>
      </c>
      <c r="M55" s="24" t="s">
        <v>200</v>
      </c>
      <c r="N55" s="11" t="s">
        <v>90</v>
      </c>
    </row>
    <row r="56" spans="1:14" x14ac:dyDescent="0.35">
      <c r="A56" s="7">
        <v>53</v>
      </c>
      <c r="B56" s="7" t="s">
        <v>35</v>
      </c>
      <c r="C56" s="7" t="s">
        <v>201</v>
      </c>
      <c r="D56" s="20" t="s">
        <v>202</v>
      </c>
      <c r="E56" s="20" t="s">
        <v>203</v>
      </c>
      <c r="F56" s="21">
        <v>6</v>
      </c>
      <c r="G56" s="35">
        <v>200</v>
      </c>
      <c r="H56" s="22">
        <v>1200</v>
      </c>
      <c r="I56" s="35">
        <f t="shared" si="1"/>
        <v>200</v>
      </c>
      <c r="J56" s="20" t="s">
        <v>30</v>
      </c>
      <c r="K56" s="7" t="s">
        <v>31</v>
      </c>
      <c r="L56" s="20" t="s">
        <v>50</v>
      </c>
      <c r="M56" s="20" t="s">
        <v>204</v>
      </c>
      <c r="N56" s="7" t="s">
        <v>90</v>
      </c>
    </row>
    <row r="57" spans="1:14" x14ac:dyDescent="0.35">
      <c r="A57" s="11">
        <v>54</v>
      </c>
      <c r="B57" s="11" t="s">
        <v>35</v>
      </c>
      <c r="C57" s="11" t="s">
        <v>201</v>
      </c>
      <c r="D57" s="24" t="s">
        <v>161</v>
      </c>
      <c r="E57" s="24" t="s">
        <v>48</v>
      </c>
      <c r="F57" s="25">
        <v>65</v>
      </c>
      <c r="G57" s="36">
        <v>20</v>
      </c>
      <c r="H57" s="26">
        <v>1300</v>
      </c>
      <c r="I57" s="36">
        <f t="shared" si="1"/>
        <v>20</v>
      </c>
      <c r="J57" s="24" t="s">
        <v>30</v>
      </c>
      <c r="K57" s="11" t="s">
        <v>31</v>
      </c>
      <c r="L57" s="24" t="s">
        <v>62</v>
      </c>
      <c r="M57" s="24" t="s">
        <v>135</v>
      </c>
      <c r="N57" s="11" t="s">
        <v>90</v>
      </c>
    </row>
    <row r="58" spans="1:14" x14ac:dyDescent="0.35">
      <c r="A58" s="7">
        <v>55</v>
      </c>
      <c r="B58" s="7" t="s">
        <v>35</v>
      </c>
      <c r="C58" s="7" t="s">
        <v>205</v>
      </c>
      <c r="D58" s="20" t="s">
        <v>55</v>
      </c>
      <c r="E58" s="20" t="s">
        <v>63</v>
      </c>
      <c r="F58" s="21">
        <v>100</v>
      </c>
      <c r="G58" s="35">
        <v>150</v>
      </c>
      <c r="H58" s="22">
        <v>15000</v>
      </c>
      <c r="I58" s="35">
        <f t="shared" si="1"/>
        <v>150</v>
      </c>
      <c r="J58" s="20" t="s">
        <v>27</v>
      </c>
      <c r="K58" s="7" t="s">
        <v>31</v>
      </c>
      <c r="L58" s="20" t="s">
        <v>50</v>
      </c>
      <c r="M58" s="20" t="s">
        <v>206</v>
      </c>
      <c r="N58" s="7" t="s">
        <v>90</v>
      </c>
    </row>
    <row r="59" spans="1:14" x14ac:dyDescent="0.35">
      <c r="A59" s="11">
        <v>56</v>
      </c>
      <c r="B59" s="11" t="s">
        <v>35</v>
      </c>
      <c r="C59" s="11" t="s">
        <v>205</v>
      </c>
      <c r="D59" s="24" t="s">
        <v>52</v>
      </c>
      <c r="E59" s="24" t="s">
        <v>48</v>
      </c>
      <c r="F59" s="25">
        <v>30</v>
      </c>
      <c r="G59" s="36">
        <v>368.33</v>
      </c>
      <c r="H59" s="26">
        <v>11050</v>
      </c>
      <c r="I59" s="36">
        <f t="shared" si="1"/>
        <v>368.33</v>
      </c>
      <c r="J59" s="24" t="s">
        <v>36</v>
      </c>
      <c r="K59" s="11" t="s">
        <v>31</v>
      </c>
      <c r="L59" s="24" t="s">
        <v>53</v>
      </c>
      <c r="M59" s="24" t="s">
        <v>207</v>
      </c>
      <c r="N59" s="11" t="s">
        <v>90</v>
      </c>
    </row>
    <row r="60" spans="1:14" x14ac:dyDescent="0.35">
      <c r="A60" s="7">
        <v>57</v>
      </c>
      <c r="B60" s="7" t="s">
        <v>35</v>
      </c>
      <c r="C60" s="7" t="s">
        <v>205</v>
      </c>
      <c r="D60" s="20" t="s">
        <v>52</v>
      </c>
      <c r="E60" s="20" t="s">
        <v>48</v>
      </c>
      <c r="F60" s="21">
        <v>27</v>
      </c>
      <c r="G60" s="35">
        <v>353.7</v>
      </c>
      <c r="H60" s="22">
        <v>9550</v>
      </c>
      <c r="I60" s="35">
        <f t="shared" si="1"/>
        <v>353.7</v>
      </c>
      <c r="J60" s="20" t="s">
        <v>36</v>
      </c>
      <c r="K60" s="7" t="s">
        <v>31</v>
      </c>
      <c r="L60" s="20" t="s">
        <v>53</v>
      </c>
      <c r="M60" s="20" t="s">
        <v>207</v>
      </c>
      <c r="N60" s="7" t="s">
        <v>90</v>
      </c>
    </row>
    <row r="61" spans="1:14" x14ac:dyDescent="0.35">
      <c r="A61" s="11">
        <v>58</v>
      </c>
      <c r="B61" s="11" t="s">
        <v>35</v>
      </c>
      <c r="C61" s="11" t="s">
        <v>208</v>
      </c>
      <c r="D61" s="24" t="s">
        <v>209</v>
      </c>
      <c r="E61" s="24" t="s">
        <v>51</v>
      </c>
      <c r="F61" s="25">
        <v>50</v>
      </c>
      <c r="G61" s="36">
        <v>200</v>
      </c>
      <c r="H61" s="26">
        <v>10000</v>
      </c>
      <c r="I61" s="36">
        <f t="shared" si="1"/>
        <v>200</v>
      </c>
      <c r="J61" s="24" t="s">
        <v>27</v>
      </c>
      <c r="K61" s="11" t="s">
        <v>31</v>
      </c>
      <c r="L61" s="24" t="s">
        <v>50</v>
      </c>
      <c r="M61" s="24" t="s">
        <v>210</v>
      </c>
      <c r="N61" s="11" t="s">
        <v>90</v>
      </c>
    </row>
    <row r="62" spans="1:14" x14ac:dyDescent="0.35">
      <c r="A62" s="7">
        <v>59</v>
      </c>
      <c r="B62" s="7" t="s">
        <v>35</v>
      </c>
      <c r="C62" s="7" t="s">
        <v>208</v>
      </c>
      <c r="D62" s="20" t="s">
        <v>67</v>
      </c>
      <c r="E62" s="20" t="s">
        <v>54</v>
      </c>
      <c r="F62" s="21">
        <v>25</v>
      </c>
      <c r="G62" s="35">
        <v>500</v>
      </c>
      <c r="H62" s="22">
        <v>12500</v>
      </c>
      <c r="I62" s="35">
        <f t="shared" si="1"/>
        <v>500</v>
      </c>
      <c r="J62" s="20" t="s">
        <v>33</v>
      </c>
      <c r="K62" s="7" t="s">
        <v>34</v>
      </c>
      <c r="L62" s="20" t="s">
        <v>53</v>
      </c>
      <c r="M62" s="20" t="s">
        <v>211</v>
      </c>
      <c r="N62" s="7" t="s">
        <v>90</v>
      </c>
    </row>
    <row r="63" spans="1:14" x14ac:dyDescent="0.35">
      <c r="A63" s="11">
        <v>60</v>
      </c>
      <c r="B63" s="11" t="s">
        <v>35</v>
      </c>
      <c r="C63" s="11" t="s">
        <v>212</v>
      </c>
      <c r="D63" s="24" t="s">
        <v>55</v>
      </c>
      <c r="E63" s="24" t="s">
        <v>51</v>
      </c>
      <c r="F63" s="25">
        <v>120</v>
      </c>
      <c r="G63" s="36">
        <v>150</v>
      </c>
      <c r="H63" s="26">
        <v>18000</v>
      </c>
      <c r="I63" s="36">
        <f t="shared" si="1"/>
        <v>150</v>
      </c>
      <c r="J63" s="24" t="s">
        <v>27</v>
      </c>
      <c r="K63" s="11" t="s">
        <v>31</v>
      </c>
      <c r="L63" s="24" t="s">
        <v>50</v>
      </c>
      <c r="M63" s="24" t="s">
        <v>169</v>
      </c>
      <c r="N63" s="11" t="s">
        <v>90</v>
      </c>
    </row>
    <row r="64" spans="1:14" x14ac:dyDescent="0.35">
      <c r="A64" s="7">
        <v>61</v>
      </c>
      <c r="B64" s="7" t="s">
        <v>35</v>
      </c>
      <c r="C64" s="7" t="s">
        <v>213</v>
      </c>
      <c r="D64" s="20" t="s">
        <v>52</v>
      </c>
      <c r="E64" s="20" t="s">
        <v>51</v>
      </c>
      <c r="F64" s="21">
        <v>85</v>
      </c>
      <c r="G64" s="35">
        <v>100</v>
      </c>
      <c r="H64" s="22">
        <v>8500</v>
      </c>
      <c r="I64" s="35">
        <f t="shared" si="1"/>
        <v>100</v>
      </c>
      <c r="J64" s="20" t="s">
        <v>27</v>
      </c>
      <c r="K64" s="7" t="s">
        <v>31</v>
      </c>
      <c r="L64" s="20" t="s">
        <v>56</v>
      </c>
      <c r="M64" s="20" t="s">
        <v>214</v>
      </c>
      <c r="N64" s="7" t="s">
        <v>90</v>
      </c>
    </row>
    <row r="65" spans="1:14" x14ac:dyDescent="0.35">
      <c r="A65" s="42"/>
      <c r="B65" s="42"/>
      <c r="C65" s="42"/>
      <c r="D65" s="43"/>
      <c r="E65" s="43"/>
      <c r="F65" s="44"/>
      <c r="G65" s="45"/>
      <c r="H65" s="46"/>
      <c r="I65" s="45"/>
      <c r="J65" s="43"/>
      <c r="K65" s="42"/>
      <c r="L65" s="43"/>
      <c r="M65" s="43"/>
      <c r="N65" s="42"/>
    </row>
    <row r="66" spans="1:14" x14ac:dyDescent="0.35">
      <c r="A66" s="42"/>
      <c r="B66" s="42"/>
      <c r="C66" s="42"/>
      <c r="D66" s="43"/>
      <c r="E66" s="43"/>
      <c r="F66" s="44"/>
      <c r="G66" s="45"/>
      <c r="H66" s="46"/>
      <c r="I66" s="45"/>
      <c r="J66" s="43"/>
      <c r="K66" s="42"/>
      <c r="L66" s="43"/>
      <c r="M66" s="43"/>
      <c r="N66" s="42"/>
    </row>
    <row r="67" spans="1:14" x14ac:dyDescent="0.35">
      <c r="A67" s="42"/>
      <c r="B67" s="42"/>
      <c r="C67" s="42"/>
      <c r="D67" s="43"/>
      <c r="E67" s="43"/>
      <c r="F67" s="44"/>
      <c r="G67" s="45"/>
      <c r="H67" s="46"/>
      <c r="I67" s="45"/>
      <c r="J67" s="43"/>
      <c r="K67" s="42"/>
      <c r="L67" s="43"/>
      <c r="M67" s="43"/>
      <c r="N67" s="42"/>
    </row>
    <row r="68" spans="1:14" x14ac:dyDescent="0.35">
      <c r="A68" s="42"/>
      <c r="B68" s="42"/>
      <c r="C68" s="42"/>
      <c r="D68" s="43"/>
      <c r="E68" s="43"/>
      <c r="F68" s="44"/>
      <c r="G68" s="45"/>
      <c r="H68" s="46"/>
      <c r="I68" s="45"/>
      <c r="J68" s="43"/>
      <c r="K68" s="42"/>
      <c r="L68" s="43"/>
      <c r="M68" s="43"/>
      <c r="N68" s="42"/>
    </row>
    <row r="69" spans="1:14" ht="15" x14ac:dyDescent="0.4">
      <c r="A69" s="39" t="s">
        <v>215</v>
      </c>
      <c r="B69" s="50" t="str">
        <f>COUNT(A4:A68) &amp; " Events"</f>
        <v>61 Events</v>
      </c>
      <c r="C69" s="40"/>
      <c r="D69" s="40"/>
      <c r="E69" s="40"/>
      <c r="F69" s="49">
        <f>SUM(F4:F68)</f>
        <v>8931</v>
      </c>
      <c r="G69" s="48">
        <f>AVERAGE(G4:G68)</f>
        <v>165.75721311475411</v>
      </c>
      <c r="H69" s="47">
        <f>SUM(H4:H68)</f>
        <v>1240303</v>
      </c>
      <c r="I69" s="41">
        <f>IF(F69&gt;0, H69/F69, 0)</f>
        <v>138.87616168402195</v>
      </c>
      <c r="J69" s="40"/>
      <c r="K69" s="40"/>
      <c r="L69" s="40"/>
      <c r="M69" s="40"/>
      <c r="N69" s="40"/>
    </row>
  </sheetData>
  <mergeCells count="1">
    <mergeCell ref="K2:M2"/>
  </mergeCells>
  <dataValidations count="5">
    <dataValidation type="list" allowBlank="1" sqref="B4:B502" xr:uid="{00000000-0002-0000-0100-000000000000}">
      <formula1>"May,June,July,August,September,October,November,December"</formula1>
    </dataValidation>
    <dataValidation type="list" allowBlank="1" sqref="J4:J502" xr:uid="{00000000-0002-0000-0100-000001000000}">
      <formula1>"COMPASS,PIHU,FOOD SAUDA,FOOD SAUDA &amp; PIHU,Other"</formula1>
    </dataValidation>
    <dataValidation type="list" allowBlank="1" sqref="K4:K502" xr:uid="{00000000-0002-0000-0100-000002000000}">
      <formula1>"CARD,PO,DIRECT,CASH,ONLINE INVOICE"</formula1>
    </dataValidation>
    <dataValidation type="list" allowBlank="1" sqref="L4:L502" xr:uid="{00000000-0002-0000-0100-000003000000}">
      <formula1>"Townhall &amp; All-Hands,Leadership &amp; Strategy,Induction &amp; Training,Celebrations &amp; Engagement,Meetings &amp; Refreshments,Hiring &amp; Recruitment,CSR &amp; Health Drive"</formula1>
    </dataValidation>
    <dataValidation type="list" allowBlank="1" sqref="N4:N502" xr:uid="{00000000-0002-0000-0100-000004000000}">
      <formula1>"Completed,Scheduled,Pending Invoice,Cancelled"</formula1>
    </dataValidation>
  </dataValidation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Mohanty, Satyabrata @ Gurgaon</cp:lastModifiedBy>
  <dcterms:created xsi:type="dcterms:W3CDTF">2026-08-24T08:01:05Z</dcterms:created>
  <dcterms:modified xsi:type="dcterms:W3CDTF">2026-08-31T06:28:14Z</dcterms:modified>
</cp:coreProperties>
</file>
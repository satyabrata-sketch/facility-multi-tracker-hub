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₹#,##0"/>
    <numFmt numFmtId="166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64748B"/>
      <sz val="9.5"/>
    </font>
    <font>
      <name val="Segoe UI"/>
      <b val="1"/>
      <color rgb="001B365D"/>
      <sz val="9"/>
    </font>
    <font>
      <name val="Segoe UI"/>
      <b val="1"/>
      <color rgb="00FFFFFF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FFFFFF"/>
      <sz val="10"/>
    </font>
    <font>
      <name val="Segoe UI"/>
      <b val="1"/>
      <color rgb="002B547E"/>
      <sz val="8.5"/>
    </font>
    <font>
      <name val="Segoe UI"/>
      <b val="1"/>
      <color rgb="001B365D"/>
      <sz val="16"/>
    </font>
    <font>
      <name val="Segoe UI"/>
      <i val="1"/>
      <color rgb="0064748B"/>
      <sz val="8"/>
    </font>
    <font>
      <name val="Segoe UI"/>
      <b val="1"/>
      <color rgb="001B365D"/>
      <sz val="10"/>
    </font>
    <font>
      <name val="Segoe UI"/>
      <b val="1"/>
      <color rgb="001B365D"/>
      <sz val="8.5"/>
    </font>
  </fonts>
  <fills count="8">
    <fill>
      <patternFill/>
    </fill>
    <fill>
      <patternFill patternType="gray125"/>
    </fill>
    <fill>
      <patternFill patternType="solid">
        <fgColor rgb="00EBF2F7"/>
        <bgColor rgb="00EBF2F7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9FBFC"/>
        <bgColor rgb="00F9FBFC"/>
      </patternFill>
    </fill>
    <fill>
      <patternFill patternType="solid">
        <fgColor rgb="00E2ECF4"/>
        <bgColor rgb="00E2ECF4"/>
      </patternFill>
    </fill>
    <fill>
      <patternFill patternType="solid">
        <fgColor rgb="00F4F8FA"/>
        <bgColor rgb="00F4F8FA"/>
      </patternFill>
    </fill>
  </fills>
  <borders count="1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1B365D"/>
      </top>
      <bottom style="double">
        <color rgb="001B365D"/>
      </bottom>
    </border>
    <border>
      <left style="thin">
        <color rgb="00D1D5DB"/>
      </left>
      <right/>
      <top style="medium">
        <color rgb="001B365D"/>
      </top>
      <bottom style="thin">
        <color rgb="00D1D5DB"/>
      </bottom>
    </border>
    <border>
      <left/>
      <right/>
      <top style="medium">
        <color rgb="001B365D"/>
      </top>
      <bottom style="thin">
        <color rgb="00D1D5DB"/>
      </bottom>
    </border>
    <border>
      <left/>
      <right style="thin">
        <color rgb="00D1D5DB"/>
      </right>
      <top style="medium">
        <color rgb="001B365D"/>
      </top>
      <bottom style="thin">
        <color rgb="00D1D5DB"/>
      </bottom>
    </border>
    <border>
      <left style="thin">
        <color rgb="00D1D5DB"/>
      </left>
      <right/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</border>
    <border>
      <left/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 style="thin">
        <color rgb="00D1D5DB"/>
      </top>
      <bottom style="medium">
        <color rgb="00CBD5E1"/>
      </bottom>
    </border>
    <border>
      <left/>
      <right/>
      <top style="thin">
        <color rgb="00D1D5DB"/>
      </top>
      <bottom style="medium">
        <color rgb="00CBD5E1"/>
      </bottom>
    </border>
    <border>
      <left/>
      <right style="thin">
        <color rgb="00D1D5DB"/>
      </right>
      <top style="thin">
        <color rgb="00D1D5DB"/>
      </top>
      <bottom style="medium">
        <color rgb="00CBD5E1"/>
      </bottom>
    </border>
    <border>
      <left style="thin">
        <color rgb="002B547E"/>
      </left>
      <right style="thin">
        <color rgb="002B547E"/>
      </right>
      <top style="thin">
        <color rgb="002B547E"/>
      </top>
      <bottom style="thin">
        <color rgb="002B547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2" borderId="1" applyAlignment="1" pivotButton="0" quotePrefix="0" xfId="0">
      <alignment horizontal="center" vertical="center"/>
    </xf>
    <xf numFmtId="0" fontId="8" fillId="7" borderId="8" applyAlignment="1" pivotButton="0" quotePrefix="0" xfId="0">
      <alignment horizontal="center" vertical="center"/>
    </xf>
    <xf numFmtId="0" fontId="0" fillId="7" borderId="9" pivotButton="0" quotePrefix="0" xfId="0"/>
    <xf numFmtId="0" fontId="0" fillId="7" borderId="10" pivotButton="0" quotePrefix="0" xfId="0"/>
    <xf numFmtId="165" fontId="9" fillId="7" borderId="11" applyAlignment="1" pivotButton="0" quotePrefix="0" xfId="0">
      <alignment horizontal="center" vertical="center"/>
    </xf>
    <xf numFmtId="0" fontId="0" fillId="7" borderId="12" pivotButton="0" quotePrefix="0" xfId="0"/>
    <xf numFmtId="0" fontId="0" fillId="7" borderId="13" pivotButton="0" quotePrefix="0" xfId="0"/>
    <xf numFmtId="3" fontId="9" fillId="7" borderId="11" applyAlignment="1" pivotButton="0" quotePrefix="0" xfId="0">
      <alignment horizontal="center" vertical="center"/>
    </xf>
    <xf numFmtId="164" fontId="9" fillId="7" borderId="11" applyAlignment="1" pivotButton="0" quotePrefix="0" xfId="0">
      <alignment horizontal="center" vertical="center"/>
    </xf>
    <xf numFmtId="0" fontId="9" fillId="7" borderId="11" applyAlignment="1" pivotButton="0" quotePrefix="0" xfId="0">
      <alignment horizontal="center" vertical="center"/>
    </xf>
    <xf numFmtId="0" fontId="10" fillId="7" borderId="14" applyAlignment="1" pivotButton="0" quotePrefix="0" xfId="0">
      <alignment horizontal="center" vertical="center"/>
    </xf>
    <xf numFmtId="0" fontId="0" fillId="7" borderId="15" pivotButton="0" quotePrefix="0" xfId="0"/>
    <xf numFmtId="0" fontId="0" fillId="7" borderId="16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right" vertical="center"/>
    </xf>
    <xf numFmtId="0" fontId="3" fillId="2" borderId="1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3" fillId="6" borderId="7" applyAlignment="1" pivotButton="0" quotePrefix="0" xfId="0">
      <alignment horizontal="center" vertical="center"/>
    </xf>
    <xf numFmtId="3" fontId="3" fillId="6" borderId="7" applyAlignment="1" pivotButton="0" quotePrefix="0" xfId="0">
      <alignment horizontal="right" vertical="center"/>
    </xf>
    <xf numFmtId="165" fontId="3" fillId="6" borderId="7" applyAlignment="1" pivotButton="0" quotePrefix="0" xfId="0">
      <alignment horizontal="right" vertical="center"/>
    </xf>
    <xf numFmtId="164" fontId="3" fillId="6" borderId="7" applyAlignment="1" pivotButton="0" quotePrefix="0" xfId="0">
      <alignment horizontal="right" vertical="center"/>
    </xf>
    <xf numFmtId="166" fontId="3" fillId="6" borderId="7" applyAlignment="1" pivotButton="0" quotePrefix="0" xfId="0">
      <alignment horizontal="right" vertical="center"/>
    </xf>
    <xf numFmtId="0" fontId="3" fillId="6" borderId="7" applyAlignment="1" pivotButton="0" quotePrefix="0" xfId="0">
      <alignment horizontal="left" vertical="center"/>
    </xf>
    <xf numFmtId="0" fontId="0" fillId="0" borderId="4" pivotButton="0" quotePrefix="0" xfId="0"/>
    <xf numFmtId="0" fontId="3" fillId="6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 Breakdown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'Dashboard'!$B$12:$B$15</f>
            </numRef>
          </cat>
          <val>
            <numRef>
              <f>'Dashboard'!$E$12:$E$15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Spend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Vendor Spend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'Dashboard'!L11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'Dashboard'!$I$12:$I$16</f>
            </numRef>
          </cat>
          <val>
            <numRef>
              <f>'Dashboard'!$L$12:$L$16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Method Share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'Dashboard'!S11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'Dashboard'!$P$12:$P$15</f>
            </numRef>
          </cat>
          <val>
            <numRef>
              <f>'Dashboard'!$S$12:$S$15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41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41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19</row>
      <rowOff>0</rowOff>
    </from>
    <ext cx="41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sterEvents" displayName="tbl_MasterEvents" ref="A5:N66" headerRowCount="1">
  <autoFilter ref="A5:N66"/>
  <tableColumns count="14">
    <tableColumn id="1" name="S.No"/>
    <tableColumn id="2" name="Month"/>
    <tableColumn id="3" name="Date"/>
    <tableColumn id="4" name="Requestor"/>
    <tableColumn id="5" name="Venue"/>
    <tableColumn id="6" name="Pax"/>
    <tableColumn id="7" name="Rate (₹)"/>
    <tableColumn id="8" name="Event Amount (₹)"/>
    <tableColumn id="9" name="Cost / Pax (₹)"/>
    <tableColumn id="10" name="Vendor"/>
    <tableColumn id="11" name="Payment Method"/>
    <tableColumn id="12" name="Category"/>
    <tableColumn id="13" name="Remarks / Description"/>
    <tableColumn id="14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4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3" customWidth="1" min="7" max="7"/>
    <col width="22" customWidth="1" min="8" max="8"/>
    <col width="20" customWidth="1" min="9" max="9"/>
    <col width="11" customWidth="1" min="10" max="10"/>
    <col width="13" customWidth="1" min="11" max="11"/>
    <col width="15" customWidth="1" min="12" max="12"/>
    <col width="14" customWidth="1" min="13" max="13"/>
    <col width="14" customWidth="1" min="14" max="14"/>
    <col width="3" customWidth="1" min="15" max="15"/>
    <col width="20" customWidth="1" min="16" max="16"/>
    <col width="11" customWidth="1" min="17" max="17"/>
    <col width="13" customWidth="1" min="18" max="18"/>
    <col width="15" customWidth="1" min="19" max="19"/>
    <col width="13" customWidth="1" min="20" max="20"/>
    <col width="14" customWidth="1" min="21" max="21"/>
    <col width="3" customWidth="1" min="22" max="22"/>
  </cols>
  <sheetData>
    <row r="2">
      <c r="B2" s="1" t="inlineStr">
        <is>
          <t>EVENT MANAGEMENT &amp; SPEND ANALYTICS DASHBOARD</t>
        </is>
      </c>
    </row>
    <row r="3">
      <c r="B3" s="2" t="inlineStr">
        <is>
          <t>Executive overview, budget utilization, vendor spend breakdown, and venue tracking</t>
        </is>
      </c>
    </row>
    <row r="4">
      <c r="B4" s="3" t="inlineStr">
        <is>
          <t>Overall KPI Month:</t>
        </is>
      </c>
      <c r="C4" s="4" t="inlineStr">
        <is>
          <t>All Months</t>
        </is>
      </c>
      <c r="E4" s="5">
        <f>HYPERLINK("#Dashboard!A1", "📊 Dashboard (Active)")</f>
        <v/>
      </c>
      <c r="F4" s="6" t="n"/>
      <c r="H4" s="7">
        <f>HYPERLINK("#'Master Data'!A1", "📋 View Master Data ➔")</f>
        <v/>
      </c>
      <c r="I4" s="6" t="n"/>
    </row>
    <row r="6">
      <c r="B6" s="8" t="inlineStr">
        <is>
          <t>TOTAL EVENT SPEND</t>
        </is>
      </c>
      <c r="C6" s="9" t="n"/>
      <c r="D6" s="10" t="n"/>
      <c r="E6" s="8" t="inlineStr">
        <is>
          <t>TOTAL ATTENDEES (PAX)</t>
        </is>
      </c>
      <c r="F6" s="9" t="n"/>
      <c r="G6" s="10" t="n"/>
      <c r="H6" s="8" t="inlineStr">
        <is>
          <t>EVENTS HOSTED</t>
        </is>
      </c>
      <c r="I6" s="9" t="n"/>
      <c r="J6" s="10" t="n"/>
      <c r="K6" s="8" t="inlineStr">
        <is>
          <t>AVG SPEND / EVENT</t>
        </is>
      </c>
      <c r="L6" s="9" t="n"/>
      <c r="M6" s="10" t="n"/>
      <c r="N6" s="8" t="inlineStr">
        <is>
          <t>AVG COST / PAX</t>
        </is>
      </c>
      <c r="O6" s="9" t="n"/>
      <c r="P6" s="10" t="n"/>
      <c r="Q6" s="8" t="inlineStr">
        <is>
          <t>PRIMARY VENDOR</t>
        </is>
      </c>
      <c r="R6" s="9" t="n"/>
      <c r="S6" s="9" t="n"/>
      <c r="T6" s="9" t="n"/>
      <c r="U6" s="10" t="n"/>
    </row>
    <row r="7">
      <c r="B7" s="11">
        <f>IF($C$4="All Months", SUMIFS('Master Data'!$H$6:$H$300, 'Master Data'!$A$6:$A$300, "&gt;0"), SUMIFS('Master Data'!$H$6:$H$300, 'Master Data'!$B$6:$B$300, $C$4))</f>
        <v/>
      </c>
      <c r="C7" s="12" t="n"/>
      <c r="D7" s="13" t="n"/>
      <c r="E7" s="14">
        <f>IF($C$4="All Months", SUMIFS('Master Data'!$F$6:$F$300, 'Master Data'!$A$6:$A$300, "&gt;0"), SUMIFS('Master Data'!$F$6:$F$300, 'Master Data'!$B$6:$B$300, $C$4))</f>
        <v/>
      </c>
      <c r="F7" s="12" t="n"/>
      <c r="G7" s="13" t="n"/>
      <c r="H7" s="14">
        <f>IF($C$4="All Months", COUNT('Master Data'!$A$6:$A$300), COUNTIFS('Master Data'!$B$6:$B$300, $C$4))</f>
        <v/>
      </c>
      <c r="I7" s="12" t="n"/>
      <c r="J7" s="13" t="n"/>
      <c r="K7" s="11">
        <f>IF(H7&gt;0, B7/H7, 0)</f>
        <v/>
      </c>
      <c r="L7" s="12" t="n"/>
      <c r="M7" s="13" t="n"/>
      <c r="N7" s="15">
        <f>IF(E7&gt;0, B7/E7, 0)</f>
        <v/>
      </c>
      <c r="O7" s="12" t="n"/>
      <c r="P7" s="13" t="n"/>
      <c r="Q7" s="16">
        <f>IF($C$4="All Months", "COMPASS (77.5%)", IF($C$4="May", "COMPASS (83.4%)", IF($C$4="June", "COMPASS (60.1%)", IF($C$4="July", "COMPASS (59.6%)", "COMPASS (85.2%)"))))</f>
        <v/>
      </c>
      <c r="R7" s="12" t="n"/>
      <c r="S7" s="12" t="n"/>
      <c r="T7" s="12" t="n"/>
      <c r="U7" s="13" t="n"/>
    </row>
    <row r="8">
      <c r="B8" s="17" t="inlineStr">
        <is>
          <t>Total budget invested</t>
        </is>
      </c>
      <c r="C8" s="18" t="n"/>
      <c r="D8" s="19" t="n"/>
      <c r="E8" s="17" t="inlineStr">
        <is>
          <t>Total headcount</t>
        </is>
      </c>
      <c r="F8" s="18" t="n"/>
      <c r="G8" s="19" t="n"/>
      <c r="H8" s="17" t="inlineStr">
        <is>
          <t>Completed corporate events</t>
        </is>
      </c>
      <c r="I8" s="18" t="n"/>
      <c r="J8" s="19" t="n"/>
      <c r="K8" s="17" t="inlineStr">
        <is>
          <t>Average cost per event</t>
        </is>
      </c>
      <c r="L8" s="18" t="n"/>
      <c r="M8" s="19" t="n"/>
      <c r="N8" s="17" t="inlineStr">
        <is>
          <t>Cost per participant</t>
        </is>
      </c>
      <c r="O8" s="18" t="n"/>
      <c r="P8" s="19" t="n"/>
      <c r="Q8" s="17" t="inlineStr">
        <is>
          <t>Primary catering partner</t>
        </is>
      </c>
      <c r="R8" s="18" t="n"/>
      <c r="S8" s="18" t="n"/>
      <c r="T8" s="18" t="n"/>
      <c r="U8" s="19" t="n"/>
    </row>
    <row r="10">
      <c r="B10" s="20" t="inlineStr">
        <is>
          <t>1. MONTHLY OVERVIEW</t>
        </is>
      </c>
      <c r="E10" s="21" t="inlineStr">
        <is>
          <t>Month Filter:</t>
        </is>
      </c>
      <c r="F10" s="22" t="inlineStr">
        <is>
          <t>All Months</t>
        </is>
      </c>
      <c r="I10" s="20" t="inlineStr">
        <is>
          <t>2. VENDOR SPEND BREAKDOWN</t>
        </is>
      </c>
      <c r="M10" s="21" t="inlineStr">
        <is>
          <t>Month Filter:</t>
        </is>
      </c>
      <c r="N10" s="22" t="inlineStr">
        <is>
          <t>All Months</t>
        </is>
      </c>
      <c r="P10" s="20" t="inlineStr">
        <is>
          <t>3. PAYMENT METHOD BREAKDOWN</t>
        </is>
      </c>
      <c r="T10" s="21" t="inlineStr">
        <is>
          <t>Month Filter:</t>
        </is>
      </c>
      <c r="U10" s="22" t="inlineStr">
        <is>
          <t>All Months</t>
        </is>
      </c>
    </row>
    <row r="11">
      <c r="B11" s="23" t="inlineStr">
        <is>
          <t>Month</t>
        </is>
      </c>
      <c r="C11" s="23" t="inlineStr">
        <is>
          <t>Events</t>
        </is>
      </c>
      <c r="D11" s="23" t="inlineStr">
        <is>
          <t>Total Pax</t>
        </is>
      </c>
      <c r="E11" s="23" t="inlineStr">
        <is>
          <t>Total Spend (₹)</t>
        </is>
      </c>
      <c r="F11" s="23" t="inlineStr">
        <is>
          <t>Avg Cost/Pax (₹)</t>
        </is>
      </c>
      <c r="G11" s="23" t="inlineStr">
        <is>
          <t>% Share</t>
        </is>
      </c>
      <c r="I11" s="23" t="inlineStr">
        <is>
          <t>Catering Vendor</t>
        </is>
      </c>
      <c r="J11" s="23" t="inlineStr">
        <is>
          <t>Events</t>
        </is>
      </c>
      <c r="K11" s="23" t="inlineStr">
        <is>
          <t>Total Pax</t>
        </is>
      </c>
      <c r="L11" s="23" t="inlineStr">
        <is>
          <t>Total Spend (₹)</t>
        </is>
      </c>
      <c r="M11" s="23" t="inlineStr">
        <is>
          <t>% Share</t>
        </is>
      </c>
      <c r="N11" s="23" t="inlineStr">
        <is>
          <t>Avg Cost/Pax (₹)</t>
        </is>
      </c>
      <c r="P11" s="23" t="inlineStr">
        <is>
          <t>Payment Method</t>
        </is>
      </c>
      <c r="Q11" s="23" t="inlineStr">
        <is>
          <t>Events</t>
        </is>
      </c>
      <c r="R11" s="23" t="inlineStr">
        <is>
          <t>Total Pax</t>
        </is>
      </c>
      <c r="S11" s="23" t="inlineStr">
        <is>
          <t>Total Spend (₹)</t>
        </is>
      </c>
      <c r="T11" s="23" t="inlineStr">
        <is>
          <t>% Share</t>
        </is>
      </c>
      <c r="U11" s="23" t="inlineStr">
        <is>
          <t>Avg Cost/Pax (₹)</t>
        </is>
      </c>
    </row>
    <row r="12">
      <c r="B12" s="24" t="inlineStr">
        <is>
          <t>May</t>
        </is>
      </c>
      <c r="C12" s="25">
        <f>IF(OR($F$10="All Months", $F$10=B12), COUNTIFS('Master Data'!$B$6:$B$300, B12), 0)</f>
        <v/>
      </c>
      <c r="D12" s="25">
        <f>IF(OR($F$10="All Months", $F$10=B12), SUMIFS('Master Data'!$F$6:$F$300, 'Master Data'!$B$6:$B$300, B12), 0)</f>
        <v/>
      </c>
      <c r="E12" s="26">
        <f>IF(OR($F$10="All Months", $F$10=B12), SUMIFS('Master Data'!$H$6:$H$300, 'Master Data'!$B$6:$B$300, B12), 0)</f>
        <v/>
      </c>
      <c r="F12" s="27">
        <f>IF(D12&gt;0, E12/D12, 0)</f>
        <v/>
      </c>
      <c r="G12" s="28">
        <f>IF($E$16&gt;0, E12/$E$16, 0)</f>
        <v/>
      </c>
      <c r="I12" s="29" t="inlineStr">
        <is>
          <t>COMPASS</t>
        </is>
      </c>
      <c r="J12" s="25">
        <f>IF($N$10="All Months", COUNTIFS('Master Data'!$J$6:$J$300, I12), COUNTIFS('Master Data'!$J$6:$J$300, I12, 'Master Data'!$B$6:$B$300, $N$10))</f>
        <v/>
      </c>
      <c r="K12" s="25">
        <f>IF($N$10="All Months", SUMIFS('Master Data'!$F$6:$F$300, 'Master Data'!$J$6:$J$300, I12), SUMIFS('Master Data'!$F$6:$F$300, 'Master Data'!$J$6:$J$300, I12, 'Master Data'!$B$6:$B$300, $N$10))</f>
        <v/>
      </c>
      <c r="L12" s="26">
        <f>IF($N$10="All Months", SUMIFS('Master Data'!$H$6:$H$300, 'Master Data'!$J$6:$J$300, I12), SUMIFS('Master Data'!$H$6:$H$300, 'Master Data'!$J$6:$J$300, I12, 'Master Data'!$B$6:$B$300, $N$10))</f>
        <v/>
      </c>
      <c r="M12" s="28">
        <f>IF($L$17&gt;0, L12/$L$17, 0)</f>
        <v/>
      </c>
      <c r="N12" s="27">
        <f>IF(K12&gt;0, L12/K12, 0)</f>
        <v/>
      </c>
      <c r="P12" s="29" t="inlineStr">
        <is>
          <t>PO</t>
        </is>
      </c>
      <c r="Q12" s="25">
        <f>IF($U$10="All Months", COUNTIFS('Master Data'!$K$6:$K$300, P12), COUNTIFS('Master Data'!$K$6:$K$300, P12, 'Master Data'!$B$6:$B$300, $U$10))</f>
        <v/>
      </c>
      <c r="R12" s="25">
        <f>IF($U$10="All Months", SUMIFS('Master Data'!$F$6:$F$300, 'Master Data'!$K$6:$K$300, P12), SUMIFS('Master Data'!$F$6:$F$300, 'Master Data'!$K$6:$K$300, P12, 'Master Data'!$B$6:$B$300, $U$10))</f>
        <v/>
      </c>
      <c r="S12" s="26">
        <f>IF($U$10="All Months", SUMIFS('Master Data'!$H$6:$H$300, 'Master Data'!$K$6:$K$300, P12), SUMIFS('Master Data'!$H$6:$H$300, 'Master Data'!$K$6:$K$300, P12, 'Master Data'!$B$6:$B$300, $U$10))</f>
        <v/>
      </c>
      <c r="T12" s="28">
        <f>IF($S$16&gt;0, S12/$S$16, 0)</f>
        <v/>
      </c>
      <c r="U12" s="27">
        <f>IF(R12&gt;0, S12/R12, 0)</f>
        <v/>
      </c>
    </row>
    <row r="13">
      <c r="B13" s="30" t="inlineStr">
        <is>
          <t>June</t>
        </is>
      </c>
      <c r="C13" s="31">
        <f>IF(OR($F$10="All Months", $F$10=B13), COUNTIFS('Master Data'!$B$6:$B$300, B13), 0)</f>
        <v/>
      </c>
      <c r="D13" s="31">
        <f>IF(OR($F$10="All Months", $F$10=B13), SUMIFS('Master Data'!$F$6:$F$300, 'Master Data'!$B$6:$B$300, B13), 0)</f>
        <v/>
      </c>
      <c r="E13" s="32">
        <f>IF(OR($F$10="All Months", $F$10=B13), SUMIFS('Master Data'!$H$6:$H$300, 'Master Data'!$B$6:$B$300, B13), 0)</f>
        <v/>
      </c>
      <c r="F13" s="33">
        <f>IF(D13&gt;0, E13/D13, 0)</f>
        <v/>
      </c>
      <c r="G13" s="34">
        <f>IF($E$16&gt;0, E13/$E$16, 0)</f>
        <v/>
      </c>
      <c r="I13" s="35" t="inlineStr">
        <is>
          <t>PIHU</t>
        </is>
      </c>
      <c r="J13" s="31">
        <f>IF($N$10="All Months", COUNTIFS('Master Data'!$J$6:$J$300, I13), COUNTIFS('Master Data'!$J$6:$J$300, I13, 'Master Data'!$B$6:$B$300, $N$10))</f>
        <v/>
      </c>
      <c r="K13" s="31">
        <f>IF($N$10="All Months", SUMIFS('Master Data'!$F$6:$F$300, 'Master Data'!$J$6:$J$300, I13), SUMIFS('Master Data'!$F$6:$F$300, 'Master Data'!$J$6:$J$300, I13, 'Master Data'!$B$6:$B$300, $N$10))</f>
        <v/>
      </c>
      <c r="L13" s="32">
        <f>IF($N$10="All Months", SUMIFS('Master Data'!$H$6:$H$300, 'Master Data'!$J$6:$J$300, I13), SUMIFS('Master Data'!$H$6:$H$300, 'Master Data'!$J$6:$J$300, I13, 'Master Data'!$B$6:$B$300, $N$10))</f>
        <v/>
      </c>
      <c r="M13" s="34">
        <f>IF($L$17&gt;0, L13/$L$17, 0)</f>
        <v/>
      </c>
      <c r="N13" s="33">
        <f>IF(K13&gt;0, L13/K13, 0)</f>
        <v/>
      </c>
      <c r="P13" s="35" t="inlineStr">
        <is>
          <t>CARD</t>
        </is>
      </c>
      <c r="Q13" s="31">
        <f>IF($U$10="All Months", COUNTIFS('Master Data'!$K$6:$K$300, P13), COUNTIFS('Master Data'!$K$6:$K$300, P13, 'Master Data'!$B$6:$B$300, $U$10))</f>
        <v/>
      </c>
      <c r="R13" s="31">
        <f>IF($U$10="All Months", SUMIFS('Master Data'!$F$6:$F$300, 'Master Data'!$K$6:$K$300, P13), SUMIFS('Master Data'!$F$6:$F$300, 'Master Data'!$K$6:$K$300, P13, 'Master Data'!$B$6:$B$300, $U$10))</f>
        <v/>
      </c>
      <c r="S13" s="32">
        <f>IF($U$10="All Months", SUMIFS('Master Data'!$H$6:$H$300, 'Master Data'!$K$6:$K$300, P13), SUMIFS('Master Data'!$H$6:$H$300, 'Master Data'!$K$6:$K$300, P13, 'Master Data'!$B$6:$B$300, $U$10))</f>
        <v/>
      </c>
      <c r="T13" s="34">
        <f>IF($S$16&gt;0, S13/$S$16, 0)</f>
        <v/>
      </c>
      <c r="U13" s="33">
        <f>IF(R13&gt;0, S13/R13, 0)</f>
        <v/>
      </c>
    </row>
    <row r="14">
      <c r="B14" s="24" t="inlineStr">
        <is>
          <t>July</t>
        </is>
      </c>
      <c r="C14" s="25">
        <f>IF(OR($F$10="All Months", $F$10=B14), COUNTIFS('Master Data'!$B$6:$B$300, B14), 0)</f>
        <v/>
      </c>
      <c r="D14" s="25">
        <f>IF(OR($F$10="All Months", $F$10=B14), SUMIFS('Master Data'!$F$6:$F$300, 'Master Data'!$B$6:$B$300, B14), 0)</f>
        <v/>
      </c>
      <c r="E14" s="26">
        <f>IF(OR($F$10="All Months", $F$10=B14), SUMIFS('Master Data'!$H$6:$H$300, 'Master Data'!$B$6:$B$300, B14), 0)</f>
        <v/>
      </c>
      <c r="F14" s="27">
        <f>IF(D14&gt;0, E14/D14, 0)</f>
        <v/>
      </c>
      <c r="G14" s="28">
        <f>IF($E$16&gt;0, E14/$E$16, 0)</f>
        <v/>
      </c>
      <c r="I14" s="29" t="inlineStr">
        <is>
          <t>FOOD SAUDA</t>
        </is>
      </c>
      <c r="J14" s="25">
        <f>IF($N$10="All Months", COUNTIFS('Master Data'!$J$6:$J$300, I14), COUNTIFS('Master Data'!$J$6:$J$300, I14, 'Master Data'!$B$6:$B$300, $N$10))</f>
        <v/>
      </c>
      <c r="K14" s="25">
        <f>IF($N$10="All Months", SUMIFS('Master Data'!$F$6:$F$300, 'Master Data'!$J$6:$J$300, I14), SUMIFS('Master Data'!$F$6:$F$300, 'Master Data'!$J$6:$J$300, I14, 'Master Data'!$B$6:$B$300, $N$10))</f>
        <v/>
      </c>
      <c r="L14" s="26">
        <f>IF($N$10="All Months", SUMIFS('Master Data'!$H$6:$H$300, 'Master Data'!$J$6:$J$300, I14), SUMIFS('Master Data'!$H$6:$H$300, 'Master Data'!$J$6:$J$300, I14, 'Master Data'!$B$6:$B$300, $N$10))</f>
        <v/>
      </c>
      <c r="M14" s="28">
        <f>IF($L$17&gt;0, L14/$L$17, 0)</f>
        <v/>
      </c>
      <c r="N14" s="27">
        <f>IF(K14&gt;0, L14/K14, 0)</f>
        <v/>
      </c>
      <c r="P14" s="29" t="inlineStr">
        <is>
          <t>DIRECT</t>
        </is>
      </c>
      <c r="Q14" s="25">
        <f>IF($U$10="All Months", COUNTIFS('Master Data'!$K$6:$K$300, P14), COUNTIFS('Master Data'!$K$6:$K$300, P14, 'Master Data'!$B$6:$B$300, $U$10))</f>
        <v/>
      </c>
      <c r="R14" s="25">
        <f>IF($U$10="All Months", SUMIFS('Master Data'!$F$6:$F$300, 'Master Data'!$K$6:$K$300, P14), SUMIFS('Master Data'!$F$6:$F$300, 'Master Data'!$K$6:$K$300, P14, 'Master Data'!$B$6:$B$300, $U$10))</f>
        <v/>
      </c>
      <c r="S14" s="26">
        <f>IF($U$10="All Months", SUMIFS('Master Data'!$H$6:$H$300, 'Master Data'!$K$6:$K$300, P14), SUMIFS('Master Data'!$H$6:$H$300, 'Master Data'!$K$6:$K$300, P14, 'Master Data'!$B$6:$B$300, $U$10))</f>
        <v/>
      </c>
      <c r="T14" s="28">
        <f>IF($S$16&gt;0, S14/$S$16, 0)</f>
        <v/>
      </c>
      <c r="U14" s="27">
        <f>IF(R14&gt;0, S14/R14, 0)</f>
        <v/>
      </c>
    </row>
    <row r="15">
      <c r="B15" s="30" t="inlineStr">
        <is>
          <t>August</t>
        </is>
      </c>
      <c r="C15" s="31">
        <f>IF(OR($F$10="All Months", $F$10=B15), COUNTIFS('Master Data'!$B$6:$B$300, B15), 0)</f>
        <v/>
      </c>
      <c r="D15" s="31">
        <f>IF(OR($F$10="All Months", $F$10=B15), SUMIFS('Master Data'!$F$6:$F$300, 'Master Data'!$B$6:$B$300, B15), 0)</f>
        <v/>
      </c>
      <c r="E15" s="32">
        <f>IF(OR($F$10="All Months", $F$10=B15), SUMIFS('Master Data'!$H$6:$H$300, 'Master Data'!$B$6:$B$300, B15), 0)</f>
        <v/>
      </c>
      <c r="F15" s="33">
        <f>IF(D15&gt;0, E15/D15, 0)</f>
        <v/>
      </c>
      <c r="G15" s="34">
        <f>IF($E$16&gt;0, E15/$E$16, 0)</f>
        <v/>
      </c>
      <c r="I15" s="35" t="inlineStr">
        <is>
          <t>FOOD SAUDA &amp; PIHU</t>
        </is>
      </c>
      <c r="J15" s="31">
        <f>IF($N$10="All Months", COUNTIFS('Master Data'!$J$6:$J$300, I15), COUNTIFS('Master Data'!$J$6:$J$300, I15, 'Master Data'!$B$6:$B$300, $N$10))</f>
        <v/>
      </c>
      <c r="K15" s="31">
        <f>IF($N$10="All Months", SUMIFS('Master Data'!$F$6:$F$300, 'Master Data'!$J$6:$J$300, I15), SUMIFS('Master Data'!$F$6:$F$300, 'Master Data'!$J$6:$J$300, I15, 'Master Data'!$B$6:$B$300, $N$10))</f>
        <v/>
      </c>
      <c r="L15" s="32">
        <f>IF($N$10="All Months", SUMIFS('Master Data'!$H$6:$H$300, 'Master Data'!$J$6:$J$300, I15), SUMIFS('Master Data'!$H$6:$H$300, 'Master Data'!$J$6:$J$300, I15, 'Master Data'!$B$6:$B$300, $N$10))</f>
        <v/>
      </c>
      <c r="M15" s="34">
        <f>IF($L$17&gt;0, L15/$L$17, 0)</f>
        <v/>
      </c>
      <c r="N15" s="33">
        <f>IF(K15&gt;0, L15/K15, 0)</f>
        <v/>
      </c>
      <c r="P15" s="35" t="inlineStr">
        <is>
          <t>Other Modes</t>
        </is>
      </c>
      <c r="Q15" s="31">
        <f>IF($U$10="All Months", COUNT('Master Data'!$A$6:$A$300), COUNTIFS('Master Data'!$B$6:$B$300, $U$10)) - SUM(Q12:Q14)</f>
        <v/>
      </c>
      <c r="R15" s="31">
        <f>IF($U$10="All Months", SUMIFS('Master Data'!$F$6:$F$300, 'Master Data'!$A$6:$A$300, "&gt;0"), SUMIFS('Master Data'!$F$6:$F$300, 'Master Data'!$B$6:$B$300, $U$10)) - SUM(R12:R14)</f>
        <v/>
      </c>
      <c r="S15" s="32">
        <f>IF($U$10="All Months", SUMIFS('Master Data'!$H$6:$H$300, 'Master Data'!$A$6:$A$300, "&gt;0"), SUMIFS('Master Data'!$H$6:$H$300, 'Master Data'!$B$6:$B$300, $U$10)) - SUM(S12:S14)</f>
        <v/>
      </c>
      <c r="T15" s="34">
        <f>IF($S$16&gt;0, S15/$S$16, 0)</f>
        <v/>
      </c>
      <c r="U15" s="33">
        <f>IF(R15&gt;0, S15/R15, 0)</f>
        <v/>
      </c>
    </row>
    <row r="16">
      <c r="B16" s="36" t="inlineStr">
        <is>
          <t>Total / Filtered</t>
        </is>
      </c>
      <c r="C16" s="37">
        <f>SUM(C12:C15)</f>
        <v/>
      </c>
      <c r="D16" s="37">
        <f>SUM(D12:D15)</f>
        <v/>
      </c>
      <c r="E16" s="38">
        <f>SUM(E12:E15)</f>
        <v/>
      </c>
      <c r="F16" s="39">
        <f>IF(D16&gt;0, E16/D16, 0)</f>
        <v/>
      </c>
      <c r="G16" s="40">
        <f>SUM(G12:G15)</f>
        <v/>
      </c>
      <c r="I16" s="29" t="inlineStr">
        <is>
          <t>Other Vendors</t>
        </is>
      </c>
      <c r="J16" s="25">
        <f>IF($N$10="All Months", COUNT('Master Data'!$A$6:$A$300), COUNTIFS('Master Data'!$B$6:$B$300, $N$10)) - SUM(J12:J15)</f>
        <v/>
      </c>
      <c r="K16" s="25">
        <f>IF($N$10="All Months", SUMIFS('Master Data'!$F$6:$F$300, 'Master Data'!$A$6:$A$300, "&gt;0"), SUMIFS('Master Data'!$F$6:$F$300, 'Master Data'!$B$6:$B$300, $N$10)) - SUM(K12:K15)</f>
        <v/>
      </c>
      <c r="L16" s="26">
        <f>IF($N$10="All Months", SUMIFS('Master Data'!$H$6:$H$300, 'Master Data'!$A$6:$A$300, "&gt;0"), SUMIFS('Master Data'!$H$6:$H$300, 'Master Data'!$B$6:$B$300, $N$10)) - SUM(L12:L15)</f>
        <v/>
      </c>
      <c r="M16" s="28">
        <f>IF($L$17&gt;0, L16/$L$17, 0)</f>
        <v/>
      </c>
      <c r="N16" s="27">
        <f>IF(K16&gt;0, L16/K16, 0)</f>
        <v/>
      </c>
      <c r="P16" s="41" t="inlineStr">
        <is>
          <t>Total Payment Modes</t>
        </is>
      </c>
      <c r="Q16" s="37">
        <f>SUM(Q12:Q15)</f>
        <v/>
      </c>
      <c r="R16" s="37">
        <f>SUM(R12:R15)</f>
        <v/>
      </c>
      <c r="S16" s="38">
        <f>SUM(S12:S15)</f>
        <v/>
      </c>
      <c r="T16" s="40">
        <f>SUM(T12:T15)</f>
        <v/>
      </c>
      <c r="U16" s="39">
        <f>IF(R16&gt;0, S16/R16, 0)</f>
        <v/>
      </c>
    </row>
    <row r="17">
      <c r="I17" s="41" t="inlineStr">
        <is>
          <t>Total Vendor Spend</t>
        </is>
      </c>
      <c r="J17" s="37">
        <f>SUM(J12:J16)</f>
        <v/>
      </c>
      <c r="K17" s="37">
        <f>SUM(K12:K16)</f>
        <v/>
      </c>
      <c r="L17" s="38">
        <f>SUM(L12:L16)</f>
        <v/>
      </c>
      <c r="M17" s="40">
        <f>SUM(M12:M16)</f>
        <v/>
      </c>
      <c r="N17" s="39">
        <f>IF(K17&gt;0, L17/K17, 0)</f>
        <v/>
      </c>
    </row>
    <row r="37">
      <c r="B37" s="20" t="inlineStr">
        <is>
          <t>4. VENUE UTILIZATION</t>
        </is>
      </c>
      <c r="E37" s="21" t="inlineStr">
        <is>
          <t>Month Filter:</t>
        </is>
      </c>
      <c r="F37" s="22" t="inlineStr">
        <is>
          <t>All Months</t>
        </is>
      </c>
      <c r="H37" s="20" t="inlineStr">
        <is>
          <t>5. REQUESTORS BREAKDOWN</t>
        </is>
      </c>
      <c r="K37" s="21" t="inlineStr">
        <is>
          <t>Month Filter:</t>
        </is>
      </c>
      <c r="L37" s="22" t="inlineStr">
        <is>
          <t>All Months</t>
        </is>
      </c>
      <c r="N37" s="20" t="inlineStr">
        <is>
          <t>6. EVENT CATEGORY</t>
        </is>
      </c>
      <c r="Q37" s="21" t="inlineStr">
        <is>
          <t>Month Filter:</t>
        </is>
      </c>
      <c r="R37" s="22" t="inlineStr">
        <is>
          <t>All Months</t>
        </is>
      </c>
    </row>
    <row r="38">
      <c r="B38" s="23" t="inlineStr">
        <is>
          <t>Venue / Space</t>
        </is>
      </c>
      <c r="C38" s="23" t="inlineStr">
        <is>
          <t>Events</t>
        </is>
      </c>
      <c r="D38" s="23" t="inlineStr">
        <is>
          <t>Total Pax</t>
        </is>
      </c>
      <c r="E38" s="23" t="inlineStr">
        <is>
          <t>Total Spend (₹)</t>
        </is>
      </c>
      <c r="F38" s="23" t="inlineStr">
        <is>
          <t>% Share</t>
        </is>
      </c>
      <c r="H38" s="23" t="inlineStr">
        <is>
          <t>Requestor Name</t>
        </is>
      </c>
      <c r="I38" s="23" t="inlineStr">
        <is>
          <t>Events</t>
        </is>
      </c>
      <c r="J38" s="23" t="inlineStr">
        <is>
          <t>Total Pax</t>
        </is>
      </c>
      <c r="K38" s="23" t="inlineStr">
        <is>
          <t>Total Spend (₹)</t>
        </is>
      </c>
      <c r="L38" s="23" t="inlineStr">
        <is>
          <t>% Share</t>
        </is>
      </c>
      <c r="N38" s="23" t="inlineStr">
        <is>
          <t>Event Category</t>
        </is>
      </c>
      <c r="O38" s="23" t="inlineStr">
        <is>
          <t>Events</t>
        </is>
      </c>
      <c r="P38" s="23" t="inlineStr">
        <is>
          <t>Total Pax</t>
        </is>
      </c>
      <c r="Q38" s="23" t="inlineStr">
        <is>
          <t>Total Spend (₹)</t>
        </is>
      </c>
      <c r="R38" s="23" t="inlineStr">
        <is>
          <t>% Share</t>
        </is>
      </c>
    </row>
    <row r="39">
      <c r="B39" s="29" t="inlineStr">
        <is>
          <t>DT3 | Level 3</t>
        </is>
      </c>
      <c r="C39" s="25">
        <f>IF($F$37="All Months", COUNTIFS('Master Data'!$E$6:$E$300, B39), COUNTIFS('Master Data'!$E$6:$E$300, B39, 'Master Data'!$B$6:$B$300, $F$37))</f>
        <v/>
      </c>
      <c r="D39" s="25">
        <f>IF($F$37="All Months", SUMIFS('Master Data'!$F$6:$F$300, 'Master Data'!$E$6:$E$300, B39), SUMIFS('Master Data'!$F$6:$F$300, 'Master Data'!$E$6:$E$300, B39, 'Master Data'!$B$6:$B$300, $F$37))</f>
        <v/>
      </c>
      <c r="E39" s="26">
        <f>IF($F$37="All Months", SUMIFS('Master Data'!$H$6:$H$300, 'Master Data'!$E$6:$E$300, B39), SUMIFS('Master Data'!$H$6:$H$300, 'Master Data'!$E$6:$E$300, B39, 'Master Data'!$B$6:$B$300, $F$37))</f>
        <v/>
      </c>
      <c r="F39" s="28">
        <f>IF($E$47&gt;0, E39/$E$47, 0)</f>
        <v/>
      </c>
      <c r="H39" s="29" t="inlineStr">
        <is>
          <t>Prerena</t>
        </is>
      </c>
      <c r="I39" s="25">
        <f>IF($L$37="All Months", COUNTIFS('Master Data'!$D$6:$D$300, H39), COUNTIFS('Master Data'!$D$6:$D$300, H39, 'Master Data'!$B$6:$B$300, $L$37))</f>
        <v/>
      </c>
      <c r="J39" s="25">
        <f>IF($L$37="All Months", SUMIFS('Master Data'!$F$6:$F$300, 'Master Data'!$D$6:$D$300, H39), SUMIFS('Master Data'!$F$6:$F$300, 'Master Data'!$D$6:$D$300, H39, 'Master Data'!$B$6:$B$300, $L$37))</f>
        <v/>
      </c>
      <c r="K39" s="26">
        <f>IF($L$37="All Months", SUMIFS('Master Data'!$H$6:$H$300, 'Master Data'!$D$6:$D$300, H39), SUMIFS('Master Data'!$H$6:$H$300, 'Master Data'!$D$6:$D$300, H39, 'Master Data'!$B$6:$B$300, $L$37))</f>
        <v/>
      </c>
      <c r="L39" s="28">
        <f>IF($K$47&gt;0, K39/$K$47, 0)</f>
        <v/>
      </c>
      <c r="N39" s="29" t="inlineStr">
        <is>
          <t>Townhall &amp; All-Hands</t>
        </is>
      </c>
      <c r="O39" s="25">
        <f>IF($R$37="All Months", COUNTIFS('Master Data'!$L$6:$L$300, N39), COUNTIFS('Master Data'!$L$6:$L$300, N39, 'Master Data'!$B$6:$B$300, $R$37))</f>
        <v/>
      </c>
      <c r="P39" s="25">
        <f>IF($R$37="All Months", SUMIFS('Master Data'!$F$6:$F$300, 'Master Data'!$L$6:$L$300, N39), SUMIFS('Master Data'!$F$6:$F$300, 'Master Data'!$L$6:$L$300, N39, 'Master Data'!$B$6:$B$300, $R$37))</f>
        <v/>
      </c>
      <c r="Q39" s="26">
        <f>IF($R$37="All Months", SUMIFS('Master Data'!$H$6:$H$300, 'Master Data'!$L$6:$L$300, N39), SUMIFS('Master Data'!$H$6:$H$300, 'Master Data'!$L$6:$L$300, N39, 'Master Data'!$B$6:$B$300, $R$37))</f>
        <v/>
      </c>
      <c r="R39" s="28">
        <f>IF($Q$47&gt;0, Q39/$Q$47, 0)</f>
        <v/>
      </c>
    </row>
    <row r="40">
      <c r="B40" s="35" t="inlineStr">
        <is>
          <t>DT4 | L1 (Innovation Hub)</t>
        </is>
      </c>
      <c r="C40" s="31">
        <f>IF($F$37="All Months", COUNTIFS('Master Data'!$E$6:$E$300, B40), COUNTIFS('Master Data'!$E$6:$E$300, B40, 'Master Data'!$B$6:$B$300, $F$37))</f>
        <v/>
      </c>
      <c r="D40" s="31">
        <f>IF($F$37="All Months", SUMIFS('Master Data'!$F$6:$F$300, 'Master Data'!$E$6:$E$300, B40), SUMIFS('Master Data'!$F$6:$F$300, 'Master Data'!$E$6:$E$300, B40, 'Master Data'!$B$6:$B$300, $F$37))</f>
        <v/>
      </c>
      <c r="E40" s="32">
        <f>IF($F$37="All Months", SUMIFS('Master Data'!$H$6:$H$300, 'Master Data'!$E$6:$E$300, B40), SUMIFS('Master Data'!$H$6:$H$300, 'Master Data'!$E$6:$E$300, B40, 'Master Data'!$B$6:$B$300, $F$37))</f>
        <v/>
      </c>
      <c r="F40" s="34">
        <f>IF($E$47&gt;0, E40/$E$47, 0)</f>
        <v/>
      </c>
      <c r="H40" s="35" t="inlineStr">
        <is>
          <t>Deshraj</t>
        </is>
      </c>
      <c r="I40" s="31">
        <f>IF($L$37="All Months", COUNTIFS('Master Data'!$D$6:$D$300, H40), COUNTIFS('Master Data'!$D$6:$D$300, H40, 'Master Data'!$B$6:$B$300, $L$37))</f>
        <v/>
      </c>
      <c r="J40" s="31">
        <f>IF($L$37="All Months", SUMIFS('Master Data'!$F$6:$F$300, 'Master Data'!$D$6:$D$300, H40), SUMIFS('Master Data'!$F$6:$F$300, 'Master Data'!$D$6:$D$300, H40, 'Master Data'!$B$6:$B$300, $L$37))</f>
        <v/>
      </c>
      <c r="K40" s="32">
        <f>IF($L$37="All Months", SUMIFS('Master Data'!$H$6:$H$300, 'Master Data'!$D$6:$D$300, H40), SUMIFS('Master Data'!$H$6:$H$300, 'Master Data'!$D$6:$D$300, H40, 'Master Data'!$B$6:$B$300, $L$37))</f>
        <v/>
      </c>
      <c r="L40" s="34">
        <f>IF($K$47&gt;0, K40/$K$47, 0)</f>
        <v/>
      </c>
      <c r="N40" s="35" t="inlineStr">
        <is>
          <t>Leadership &amp; Strategy</t>
        </is>
      </c>
      <c r="O40" s="31">
        <f>IF($R$37="All Months", COUNTIFS('Master Data'!$L$6:$L$300, N40), COUNTIFS('Master Data'!$L$6:$L$300, N40, 'Master Data'!$B$6:$B$300, $R$37))</f>
        <v/>
      </c>
      <c r="P40" s="31">
        <f>IF($R$37="All Months", SUMIFS('Master Data'!$F$6:$F$300, 'Master Data'!$L$6:$L$300, N40), SUMIFS('Master Data'!$F$6:$F$300, 'Master Data'!$L$6:$L$300, N40, 'Master Data'!$B$6:$B$300, $R$37))</f>
        <v/>
      </c>
      <c r="Q40" s="32">
        <f>IF($R$37="All Months", SUMIFS('Master Data'!$H$6:$H$300, 'Master Data'!$L$6:$L$300, N40), SUMIFS('Master Data'!$H$6:$H$300, 'Master Data'!$L$6:$L$300, N40, 'Master Data'!$B$6:$B$300, $R$37))</f>
        <v/>
      </c>
      <c r="R40" s="34">
        <f>IF($Q$47&gt;0, Q40/$Q$47, 0)</f>
        <v/>
      </c>
    </row>
    <row r="41">
      <c r="B41" s="29" t="inlineStr">
        <is>
          <t>DT4 | L5 (Hackable Space)</t>
        </is>
      </c>
      <c r="C41" s="25">
        <f>IF($F$37="All Months", COUNTIFS('Master Data'!$E$6:$E$300, B41), COUNTIFS('Master Data'!$E$6:$E$300, B41, 'Master Data'!$B$6:$B$300, $F$37))</f>
        <v/>
      </c>
      <c r="D41" s="25">
        <f>IF($F$37="All Months", SUMIFS('Master Data'!$F$6:$F$300, 'Master Data'!$E$6:$E$300, B41), SUMIFS('Master Data'!$F$6:$F$300, 'Master Data'!$E$6:$E$300, B41, 'Master Data'!$B$6:$B$300, $F$37))</f>
        <v/>
      </c>
      <c r="E41" s="26">
        <f>IF($F$37="All Months", SUMIFS('Master Data'!$H$6:$H$300, 'Master Data'!$E$6:$E$300, B41), SUMIFS('Master Data'!$H$6:$H$300, 'Master Data'!$E$6:$E$300, B41, 'Master Data'!$B$6:$B$300, $F$37))</f>
        <v/>
      </c>
      <c r="F41" s="28">
        <f>IF($E$47&gt;0, E41/$E$47, 0)</f>
        <v/>
      </c>
      <c r="H41" s="29" t="inlineStr">
        <is>
          <t>Ekta</t>
        </is>
      </c>
      <c r="I41" s="25">
        <f>IF($L$37="All Months", COUNTIFS('Master Data'!$D$6:$D$300, H41), COUNTIFS('Master Data'!$D$6:$D$300, H41, 'Master Data'!$B$6:$B$300, $L$37))</f>
        <v/>
      </c>
      <c r="J41" s="25">
        <f>IF($L$37="All Months", SUMIFS('Master Data'!$F$6:$F$300, 'Master Data'!$D$6:$D$300, H41), SUMIFS('Master Data'!$F$6:$F$300, 'Master Data'!$D$6:$D$300, H41, 'Master Data'!$B$6:$B$300, $L$37))</f>
        <v/>
      </c>
      <c r="K41" s="26">
        <f>IF($L$37="All Months", SUMIFS('Master Data'!$H$6:$H$300, 'Master Data'!$D$6:$D$300, H41), SUMIFS('Master Data'!$H$6:$H$300, 'Master Data'!$D$6:$D$300, H41, 'Master Data'!$B$6:$B$300, $L$37))</f>
        <v/>
      </c>
      <c r="L41" s="28">
        <f>IF($K$47&gt;0, K41/$K$47, 0)</f>
        <v/>
      </c>
      <c r="N41" s="29" t="inlineStr">
        <is>
          <t>Induction &amp; Training</t>
        </is>
      </c>
      <c r="O41" s="25">
        <f>IF($R$37="All Months", COUNTIFS('Master Data'!$L$6:$L$300, N41), COUNTIFS('Master Data'!$L$6:$L$300, N41, 'Master Data'!$B$6:$B$300, $R$37))</f>
        <v/>
      </c>
      <c r="P41" s="25">
        <f>IF($R$37="All Months", SUMIFS('Master Data'!$F$6:$F$300, 'Master Data'!$L$6:$L$300, N41), SUMIFS('Master Data'!$F$6:$F$300, 'Master Data'!$L$6:$L$300, N41, 'Master Data'!$B$6:$B$300, $R$37))</f>
        <v/>
      </c>
      <c r="Q41" s="26">
        <f>IF($R$37="All Months", SUMIFS('Master Data'!$H$6:$H$300, 'Master Data'!$L$6:$L$300, N41), SUMIFS('Master Data'!$H$6:$H$300, 'Master Data'!$L$6:$L$300, N41, 'Master Data'!$B$6:$B$300, $R$37))</f>
        <v/>
      </c>
      <c r="R41" s="28">
        <f>IF($Q$47&gt;0, Q41/$Q$47, 0)</f>
        <v/>
      </c>
    </row>
    <row r="42">
      <c r="B42" s="35" t="inlineStr">
        <is>
          <t>DT4 | Level 1</t>
        </is>
      </c>
      <c r="C42" s="31">
        <f>IF($F$37="All Months", COUNTIFS('Master Data'!$E$6:$E$300, B42), COUNTIFS('Master Data'!$E$6:$E$300, B42, 'Master Data'!$B$6:$B$300, $F$37))</f>
        <v/>
      </c>
      <c r="D42" s="31">
        <f>IF($F$37="All Months", SUMIFS('Master Data'!$F$6:$F$300, 'Master Data'!$E$6:$E$300, B42), SUMIFS('Master Data'!$F$6:$F$300, 'Master Data'!$E$6:$E$300, B42, 'Master Data'!$B$6:$B$300, $F$37))</f>
        <v/>
      </c>
      <c r="E42" s="32">
        <f>IF($F$37="All Months", SUMIFS('Master Data'!$H$6:$H$300, 'Master Data'!$E$6:$E$300, B42), SUMIFS('Master Data'!$H$6:$H$300, 'Master Data'!$E$6:$E$300, B42, 'Master Data'!$B$6:$B$300, $F$37))</f>
        <v/>
      </c>
      <c r="F42" s="34">
        <f>IF($E$47&gt;0, E42/$E$47, 0)</f>
        <v/>
      </c>
      <c r="H42" s="35" t="inlineStr">
        <is>
          <t>Saurabh Dutta</t>
        </is>
      </c>
      <c r="I42" s="31">
        <f>IF($L$37="All Months", COUNTIFS('Master Data'!$D$6:$D$300, H42), COUNTIFS('Master Data'!$D$6:$D$300, H42, 'Master Data'!$B$6:$B$300, $L$37))</f>
        <v/>
      </c>
      <c r="J42" s="31">
        <f>IF($L$37="All Months", SUMIFS('Master Data'!$F$6:$F$300, 'Master Data'!$D$6:$D$300, H42), SUMIFS('Master Data'!$F$6:$F$300, 'Master Data'!$D$6:$D$300, H42, 'Master Data'!$B$6:$B$300, $L$37))</f>
        <v/>
      </c>
      <c r="K42" s="32">
        <f>IF($L$37="All Months", SUMIFS('Master Data'!$H$6:$H$300, 'Master Data'!$D$6:$D$300, H42), SUMIFS('Master Data'!$H$6:$H$300, 'Master Data'!$D$6:$D$300, H42, 'Master Data'!$B$6:$B$300, $L$37))</f>
        <v/>
      </c>
      <c r="L42" s="34">
        <f>IF($K$47&gt;0, K42/$K$47, 0)</f>
        <v/>
      </c>
      <c r="N42" s="35" t="inlineStr">
        <is>
          <t>Celebrations &amp; Engagement</t>
        </is>
      </c>
      <c r="O42" s="31">
        <f>IF($R$37="All Months", COUNTIFS('Master Data'!$L$6:$L$300, N42), COUNTIFS('Master Data'!$L$6:$L$300, N42, 'Master Data'!$B$6:$B$300, $R$37))</f>
        <v/>
      </c>
      <c r="P42" s="31">
        <f>IF($R$37="All Months", SUMIFS('Master Data'!$F$6:$F$300, 'Master Data'!$L$6:$L$300, N42), SUMIFS('Master Data'!$F$6:$F$300, 'Master Data'!$L$6:$L$300, N42, 'Master Data'!$B$6:$B$300, $R$37))</f>
        <v/>
      </c>
      <c r="Q42" s="32">
        <f>IF($R$37="All Months", SUMIFS('Master Data'!$H$6:$H$300, 'Master Data'!$L$6:$L$300, N42), SUMIFS('Master Data'!$H$6:$H$300, 'Master Data'!$L$6:$L$300, N42, 'Master Data'!$B$6:$B$300, $R$37))</f>
        <v/>
      </c>
      <c r="R42" s="34">
        <f>IF($Q$47&gt;0, Q42/$Q$47, 0)</f>
        <v/>
      </c>
    </row>
    <row r="43">
      <c r="B43" s="29" t="inlineStr">
        <is>
          <t>DT4 | Level 5</t>
        </is>
      </c>
      <c r="C43" s="25">
        <f>IF($F$37="All Months", COUNTIFS('Master Data'!$E$6:$E$300, B43), COUNTIFS('Master Data'!$E$6:$E$300, B43, 'Master Data'!$B$6:$B$300, $F$37))</f>
        <v/>
      </c>
      <c r="D43" s="25">
        <f>IF($F$37="All Months", SUMIFS('Master Data'!$F$6:$F$300, 'Master Data'!$E$6:$E$300, B43), SUMIFS('Master Data'!$F$6:$F$300, 'Master Data'!$E$6:$E$300, B43, 'Master Data'!$B$6:$B$300, $F$37))</f>
        <v/>
      </c>
      <c r="E43" s="26">
        <f>IF($F$37="All Months", SUMIFS('Master Data'!$H$6:$H$300, 'Master Data'!$E$6:$E$300, B43), SUMIFS('Master Data'!$H$6:$H$300, 'Master Data'!$E$6:$E$300, B43, 'Master Data'!$B$6:$B$300, $F$37))</f>
        <v/>
      </c>
      <c r="F43" s="28">
        <f>IF($E$47&gt;0, E43/$E$47, 0)</f>
        <v/>
      </c>
      <c r="H43" s="29" t="inlineStr">
        <is>
          <t>Property Services</t>
        </is>
      </c>
      <c r="I43" s="25">
        <f>IF($L$37="All Months", COUNTIFS('Master Data'!$D$6:$D$300, H43), COUNTIFS('Master Data'!$D$6:$D$300, H43, 'Master Data'!$B$6:$B$300, $L$37))</f>
        <v/>
      </c>
      <c r="J43" s="25">
        <f>IF($L$37="All Months", SUMIFS('Master Data'!$F$6:$F$300, 'Master Data'!$D$6:$D$300, H43), SUMIFS('Master Data'!$F$6:$F$300, 'Master Data'!$D$6:$D$300, H43, 'Master Data'!$B$6:$B$300, $L$37))</f>
        <v/>
      </c>
      <c r="K43" s="26">
        <f>IF($L$37="All Months", SUMIFS('Master Data'!$H$6:$H$300, 'Master Data'!$D$6:$D$300, H43), SUMIFS('Master Data'!$H$6:$H$300, 'Master Data'!$D$6:$D$300, H43, 'Master Data'!$B$6:$B$300, $L$37))</f>
        <v/>
      </c>
      <c r="L43" s="28">
        <f>IF($K$47&gt;0, K43/$K$47, 0)</f>
        <v/>
      </c>
      <c r="N43" s="29" t="inlineStr">
        <is>
          <t>Meetings &amp; Refreshments</t>
        </is>
      </c>
      <c r="O43" s="25">
        <f>IF($R$37="All Months", COUNTIFS('Master Data'!$L$6:$L$300, N43), COUNTIFS('Master Data'!$L$6:$L$300, N43, 'Master Data'!$B$6:$B$300, $R$37))</f>
        <v/>
      </c>
      <c r="P43" s="25">
        <f>IF($R$37="All Months", SUMIFS('Master Data'!$F$6:$F$300, 'Master Data'!$L$6:$L$300, N43), SUMIFS('Master Data'!$F$6:$F$300, 'Master Data'!$L$6:$L$300, N43, 'Master Data'!$B$6:$B$300, $R$37))</f>
        <v/>
      </c>
      <c r="Q43" s="26">
        <f>IF($R$37="All Months", SUMIFS('Master Data'!$H$6:$H$300, 'Master Data'!$L$6:$L$300, N43), SUMIFS('Master Data'!$H$6:$H$300, 'Master Data'!$L$6:$L$300, N43, 'Master Data'!$B$6:$B$300, $R$37))</f>
        <v/>
      </c>
      <c r="R43" s="28">
        <f>IF($Q$47&gt;0, Q43/$Q$47, 0)</f>
        <v/>
      </c>
    </row>
    <row r="44">
      <c r="B44" s="35" t="inlineStr">
        <is>
          <t>DT4 | Level 4</t>
        </is>
      </c>
      <c r="C44" s="31">
        <f>IF($F$37="All Months", COUNTIFS('Master Data'!$E$6:$E$300, B44), COUNTIFS('Master Data'!$E$6:$E$300, B44, 'Master Data'!$B$6:$B$300, $F$37))</f>
        <v/>
      </c>
      <c r="D44" s="31">
        <f>IF($F$37="All Months", SUMIFS('Master Data'!$F$6:$F$300, 'Master Data'!$E$6:$E$300, B44), SUMIFS('Master Data'!$F$6:$F$300, 'Master Data'!$E$6:$E$300, B44, 'Master Data'!$B$6:$B$300, $F$37))</f>
        <v/>
      </c>
      <c r="E44" s="32">
        <f>IF($F$37="All Months", SUMIFS('Master Data'!$H$6:$H$300, 'Master Data'!$E$6:$E$300, B44), SUMIFS('Master Data'!$H$6:$H$300, 'Master Data'!$E$6:$E$300, B44, 'Master Data'!$B$6:$B$300, $F$37))</f>
        <v/>
      </c>
      <c r="F44" s="34">
        <f>IF($E$47&gt;0, E44/$E$47, 0)</f>
        <v/>
      </c>
      <c r="H44" s="35" t="inlineStr">
        <is>
          <t>Mary</t>
        </is>
      </c>
      <c r="I44" s="31">
        <f>IF($L$37="All Months", COUNTIFS('Master Data'!$D$6:$D$300, H44), COUNTIFS('Master Data'!$D$6:$D$300, H44, 'Master Data'!$B$6:$B$300, $L$37))</f>
        <v/>
      </c>
      <c r="J44" s="31">
        <f>IF($L$37="All Months", SUMIFS('Master Data'!$F$6:$F$300, 'Master Data'!$D$6:$D$300, H44), SUMIFS('Master Data'!$F$6:$F$300, 'Master Data'!$D$6:$D$300, H44, 'Master Data'!$B$6:$B$300, $L$37))</f>
        <v/>
      </c>
      <c r="K44" s="32">
        <f>IF($L$37="All Months", SUMIFS('Master Data'!$H$6:$H$300, 'Master Data'!$D$6:$D$300, H44), SUMIFS('Master Data'!$H$6:$H$300, 'Master Data'!$D$6:$D$300, H44, 'Master Data'!$B$6:$B$300, $L$37))</f>
        <v/>
      </c>
      <c r="L44" s="34">
        <f>IF($K$47&gt;0, K44/$K$47, 0)</f>
        <v/>
      </c>
      <c r="N44" s="35" t="inlineStr">
        <is>
          <t>Hiring &amp; Recruitment</t>
        </is>
      </c>
      <c r="O44" s="31">
        <f>IF($R$37="All Months", COUNTIFS('Master Data'!$L$6:$L$300, N44), COUNTIFS('Master Data'!$L$6:$L$300, N44, 'Master Data'!$B$6:$B$300, $R$37))</f>
        <v/>
      </c>
      <c r="P44" s="31">
        <f>IF($R$37="All Months", SUMIFS('Master Data'!$F$6:$F$300, 'Master Data'!$L$6:$L$300, N44), SUMIFS('Master Data'!$F$6:$F$300, 'Master Data'!$L$6:$L$300, N44, 'Master Data'!$B$6:$B$300, $R$37))</f>
        <v/>
      </c>
      <c r="Q44" s="32">
        <f>IF($R$37="All Months", SUMIFS('Master Data'!$H$6:$H$300, 'Master Data'!$L$6:$L$300, N44), SUMIFS('Master Data'!$H$6:$H$300, 'Master Data'!$L$6:$L$300, N44, 'Master Data'!$B$6:$B$300, $R$37))</f>
        <v/>
      </c>
      <c r="R44" s="34">
        <f>IF($Q$47&gt;0, Q44/$Q$47, 0)</f>
        <v/>
      </c>
    </row>
    <row r="45">
      <c r="B45" s="29" t="inlineStr">
        <is>
          <t>DT4 | L5 (Cafeteria)</t>
        </is>
      </c>
      <c r="C45" s="25">
        <f>IF($F$37="All Months", COUNTIFS('Master Data'!$E$6:$E$300, B45), COUNTIFS('Master Data'!$E$6:$E$300, B45, 'Master Data'!$B$6:$B$300, $F$37))</f>
        <v/>
      </c>
      <c r="D45" s="25">
        <f>IF($F$37="All Months", SUMIFS('Master Data'!$F$6:$F$300, 'Master Data'!$E$6:$E$300, B45), SUMIFS('Master Data'!$F$6:$F$300, 'Master Data'!$E$6:$E$300, B45, 'Master Data'!$B$6:$B$300, $F$37))</f>
        <v/>
      </c>
      <c r="E45" s="26">
        <f>IF($F$37="All Months", SUMIFS('Master Data'!$H$6:$H$300, 'Master Data'!$E$6:$E$300, B45), SUMIFS('Master Data'!$H$6:$H$300, 'Master Data'!$E$6:$E$300, B45, 'Master Data'!$B$6:$B$300, $F$37))</f>
        <v/>
      </c>
      <c r="F45" s="28">
        <f>IF($E$47&gt;0, E45/$E$47, 0)</f>
        <v/>
      </c>
      <c r="H45" s="29" t="inlineStr">
        <is>
          <t>Deepika</t>
        </is>
      </c>
      <c r="I45" s="25">
        <f>IF($L$37="All Months", COUNTIFS('Master Data'!$D$6:$D$300, H45), COUNTIFS('Master Data'!$D$6:$D$300, H45, 'Master Data'!$B$6:$B$300, $L$37))</f>
        <v/>
      </c>
      <c r="J45" s="25">
        <f>IF($L$37="All Months", SUMIFS('Master Data'!$F$6:$F$300, 'Master Data'!$D$6:$D$300, H45), SUMIFS('Master Data'!$F$6:$F$300, 'Master Data'!$D$6:$D$300, H45, 'Master Data'!$B$6:$B$300, $L$37))</f>
        <v/>
      </c>
      <c r="K45" s="26">
        <f>IF($L$37="All Months", SUMIFS('Master Data'!$H$6:$H$300, 'Master Data'!$D$6:$D$300, H45), SUMIFS('Master Data'!$H$6:$H$300, 'Master Data'!$D$6:$D$300, H45, 'Master Data'!$B$6:$B$300, $L$37))</f>
        <v/>
      </c>
      <c r="L45" s="28">
        <f>IF($K$47&gt;0, K45/$K$47, 0)</f>
        <v/>
      </c>
      <c r="N45" s="29" t="inlineStr">
        <is>
          <t>CSR &amp; Health Drive</t>
        </is>
      </c>
      <c r="O45" s="25">
        <f>IF($R$37="All Months", COUNTIFS('Master Data'!$L$6:$L$300, N45), COUNTIFS('Master Data'!$L$6:$L$300, N45, 'Master Data'!$B$6:$B$300, $R$37))</f>
        <v/>
      </c>
      <c r="P45" s="25">
        <f>IF($R$37="All Months", SUMIFS('Master Data'!$F$6:$F$300, 'Master Data'!$L$6:$L$300, N45), SUMIFS('Master Data'!$F$6:$F$300, 'Master Data'!$L$6:$L$300, N45, 'Master Data'!$B$6:$B$300, $R$37))</f>
        <v/>
      </c>
      <c r="Q45" s="26">
        <f>IF($R$37="All Months", SUMIFS('Master Data'!$H$6:$H$300, 'Master Data'!$L$6:$L$300, N45), SUMIFS('Master Data'!$H$6:$H$300, 'Master Data'!$L$6:$L$300, N45, 'Master Data'!$B$6:$B$300, $R$37))</f>
        <v/>
      </c>
      <c r="R45" s="28">
        <f>IF($Q$47&gt;0, Q45/$Q$47, 0)</f>
        <v/>
      </c>
    </row>
    <row r="46">
      <c r="B46" s="35" t="inlineStr">
        <is>
          <t>Other Venues / Zones</t>
        </is>
      </c>
      <c r="C46" s="31">
        <f>IF($F$37="All Months", COUNT('Master Data'!$A$6:$A$300), COUNTIFS('Master Data'!$B$6:$B$300, $F$37)) - SUM(C39:C45)</f>
        <v/>
      </c>
      <c r="D46" s="31">
        <f>IF($F$37="All Months", SUMIFS('Master Data'!$F$6:$F$300, 'Master Data'!$A$6:$A$300, "&gt;0"), SUMIFS('Master Data'!$F$6:$F$300, 'Master Data'!$B$6:$B$300, $F$37)) - SUM(D39:D45)</f>
        <v/>
      </c>
      <c r="E46" s="32">
        <f>IF($F$37="All Months", SUMIFS('Master Data'!$H$6:$H$300, 'Master Data'!$A$6:$A$300, "&gt;0"), SUMIFS('Master Data'!$H$6:$H$300, 'Master Data'!$B$6:$B$300, $F$37)) - SUM(E39:E45)</f>
        <v/>
      </c>
      <c r="F46" s="34">
        <f>IF($E$47&gt;0, E46/$E$47, 0)</f>
        <v/>
      </c>
      <c r="H46" s="35" t="inlineStr">
        <is>
          <t>Other Requestors</t>
        </is>
      </c>
      <c r="I46" s="31">
        <f>IF($L$37="All Months", COUNT('Master Data'!$A$6:$A$300), COUNTIFS('Master Data'!$B$6:$B$300, $L$37)) - SUM(I39:I45)</f>
        <v/>
      </c>
      <c r="J46" s="31">
        <f>IF($L$37="All Months", SUMIFS('Master Data'!$F$6:$F$300, 'Master Data'!$A$6:$A$300, "&gt;0"), SUMIFS('Master Data'!$F$6:$F$300, 'Master Data'!$B$6:$B$300, $L$37)) - SUM(J39:J45)</f>
        <v/>
      </c>
      <c r="K46" s="32">
        <f>IF($L$37="All Months", SUMIFS('Master Data'!$H$6:$H$300, 'Master Data'!$A$6:$A$300, "&gt;0"), SUMIFS('Master Data'!$H$6:$H$300, 'Master Data'!$B$6:$B$300, $L$37)) - SUM(K39:K45)</f>
        <v/>
      </c>
      <c r="L46" s="34">
        <f>IF($K$47&gt;0, K46/$K$47, 0)</f>
        <v/>
      </c>
      <c r="N46" s="35" t="inlineStr">
        <is>
          <t>Other Categories</t>
        </is>
      </c>
      <c r="O46" s="31">
        <f>IF($R$37="All Months", COUNT('Master Data'!$A$6:$A$300), COUNTIFS('Master Data'!$B$6:$B$300, $R$37)) - SUM(O39:O45)</f>
        <v/>
      </c>
      <c r="P46" s="31">
        <f>IF($R$37="All Months", SUMIFS('Master Data'!$F$6:$F$300, 'Master Data'!$A$6:$A$300, "&gt;0"), SUMIFS('Master Data'!$F$6:$F$300, 'Master Data'!$B$6:$B$300, $R$37)) - SUM(P39:P45)</f>
        <v/>
      </c>
      <c r="Q46" s="32">
        <f>IF($R$37="All Months", SUMIFS('Master Data'!$H$6:$H$300, 'Master Data'!$A$6:$A$300, "&gt;0"), SUMIFS('Master Data'!$H$6:$H$300, 'Master Data'!$B$6:$B$300, $R$37)) - SUM(Q39:Q45)</f>
        <v/>
      </c>
      <c r="R46" s="34">
        <f>IF($Q$47&gt;0, Q46/$Q$47, 0)</f>
        <v/>
      </c>
    </row>
    <row r="47">
      <c r="B47" s="41" t="inlineStr">
        <is>
          <t>Total Venue Footprint</t>
        </is>
      </c>
      <c r="C47" s="37">
        <f>SUM(C39:C46)</f>
        <v/>
      </c>
      <c r="D47" s="37">
        <f>SUM(D39:D46)</f>
        <v/>
      </c>
      <c r="E47" s="38">
        <f>SUM(E39:E46)</f>
        <v/>
      </c>
      <c r="F47" s="40">
        <f>SUM(F39:F46)</f>
        <v/>
      </c>
      <c r="H47" s="41" t="inlineStr">
        <is>
          <t>Total Requestors</t>
        </is>
      </c>
      <c r="I47" s="37">
        <f>SUM(I39:I46)</f>
        <v/>
      </c>
      <c r="J47" s="37">
        <f>SUM(J39:J46)</f>
        <v/>
      </c>
      <c r="K47" s="38">
        <f>SUM(K39:K46)</f>
        <v/>
      </c>
      <c r="L47" s="40">
        <f>SUM(L39:L46)</f>
        <v/>
      </c>
      <c r="N47" s="41" t="inlineStr">
        <is>
          <t>Total Categories</t>
        </is>
      </c>
      <c r="O47" s="37">
        <f>SUM(O39:O46)</f>
        <v/>
      </c>
      <c r="P47" s="37">
        <f>SUM(P39:P46)</f>
        <v/>
      </c>
      <c r="Q47" s="38">
        <f>SUM(Q39:Q46)</f>
        <v/>
      </c>
      <c r="R47" s="40">
        <f>SUM(R39:R46)</f>
        <v/>
      </c>
    </row>
  </sheetData>
  <mergeCells count="20">
    <mergeCell ref="Q7:U7"/>
    <mergeCell ref="B8:D8"/>
    <mergeCell ref="N8:P8"/>
    <mergeCell ref="H4:I4"/>
    <mergeCell ref="H7:J7"/>
    <mergeCell ref="E6:G6"/>
    <mergeCell ref="E4:F4"/>
    <mergeCell ref="K8:M8"/>
    <mergeCell ref="Q8:U8"/>
    <mergeCell ref="E7:G7"/>
    <mergeCell ref="B6:D6"/>
    <mergeCell ref="N6:P6"/>
    <mergeCell ref="K7:M7"/>
    <mergeCell ref="K6:M6"/>
    <mergeCell ref="H8:J8"/>
    <mergeCell ref="Q6:U6"/>
    <mergeCell ref="B7:D7"/>
    <mergeCell ref="N7:P7"/>
    <mergeCell ref="E8:G8"/>
    <mergeCell ref="H6:J6"/>
  </mergeCells>
  <dataValidations count="1">
    <dataValidation sqref="C4 F10 F37 L37 N10 R37 U10" showDropDown="0" showInputMessage="0" showErrorMessage="0" allowBlank="0" type="list">
      <formula1>"All Months,May,June,July,August"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6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26" customWidth="1" min="5" max="5"/>
    <col width="12" customWidth="1" min="6" max="6"/>
    <col width="14" customWidth="1" min="7" max="7"/>
    <col width="18" customWidth="1" min="8" max="8"/>
    <col width="15" customWidth="1" min="9" max="9"/>
    <col width="20" customWidth="1" min="10" max="10"/>
    <col width="18" customWidth="1" min="11" max="11"/>
    <col width="26" customWidth="1" min="12" max="12"/>
    <col width="45" customWidth="1" min="13" max="13"/>
    <col width="14" customWidth="1" min="14" max="14"/>
  </cols>
  <sheetData>
    <row r="2">
      <c r="A2" s="1" t="inlineStr">
        <is>
          <t>EVENT TRACKER - MASTER DATA REPOSITORY</t>
        </is>
      </c>
      <c r="K2" s="7">
        <f>HYPERLINK("#Dashboard!A1", "📊 Go to Dashboard ➔")</f>
        <v/>
      </c>
      <c r="L2" s="42" t="n"/>
      <c r="M2" s="6" t="n"/>
    </row>
    <row r="3">
      <c r="A3" s="2" t="inlineStr">
        <is>
          <t>Enter and manage all event records below. When you insert a row, Excel automatically applies all formatting, formulas, and dropdowns.</t>
        </is>
      </c>
    </row>
    <row r="5">
      <c r="A5" s="23" t="inlineStr">
        <is>
          <t>S.No</t>
        </is>
      </c>
      <c r="B5" s="23" t="inlineStr">
        <is>
          <t>Month</t>
        </is>
      </c>
      <c r="C5" s="23" t="inlineStr">
        <is>
          <t>Date</t>
        </is>
      </c>
      <c r="D5" s="23" t="inlineStr">
        <is>
          <t>Requestor</t>
        </is>
      </c>
      <c r="E5" s="23" t="inlineStr">
        <is>
          <t>Venue</t>
        </is>
      </c>
      <c r="F5" s="23" t="inlineStr">
        <is>
          <t>Pax</t>
        </is>
      </c>
      <c r="G5" s="23" t="inlineStr">
        <is>
          <t>Rate (₹)</t>
        </is>
      </c>
      <c r="H5" s="23" t="inlineStr">
        <is>
          <t>Event Amount (₹)</t>
        </is>
      </c>
      <c r="I5" s="23" t="inlineStr">
        <is>
          <t>Cost / Pax (₹)</t>
        </is>
      </c>
      <c r="J5" s="23" t="inlineStr">
        <is>
          <t>Vendor</t>
        </is>
      </c>
      <c r="K5" s="23" t="inlineStr">
        <is>
          <t>Payment Method</t>
        </is>
      </c>
      <c r="L5" s="23" t="inlineStr">
        <is>
          <t>Category</t>
        </is>
      </c>
      <c r="M5" s="23" t="inlineStr">
        <is>
          <t>Remarks / Description</t>
        </is>
      </c>
      <c r="N5" s="23" t="inlineStr">
        <is>
          <t>Status</t>
        </is>
      </c>
    </row>
    <row r="6">
      <c r="A6" s="24" t="n">
        <v>1</v>
      </c>
      <c r="B6" s="24" t="inlineStr">
        <is>
          <t>May</t>
        </is>
      </c>
      <c r="C6" s="24" t="inlineStr">
        <is>
          <t>05-May</t>
        </is>
      </c>
      <c r="D6" s="29" t="inlineStr">
        <is>
          <t>Simran Vijay</t>
        </is>
      </c>
      <c r="E6" s="29" t="inlineStr">
        <is>
          <t>DT4 | Level 4</t>
        </is>
      </c>
      <c r="F6" s="25" t="n">
        <v>60</v>
      </c>
      <c r="G6" s="27" t="n">
        <v>120</v>
      </c>
      <c r="H6" s="26" t="n">
        <v>7200</v>
      </c>
      <c r="I6" s="27">
        <f>IF(F6&gt;0, ROUND(H6/F6, 2), G6)</f>
        <v/>
      </c>
      <c r="J6" s="29" t="inlineStr">
        <is>
          <t>PIHU</t>
        </is>
      </c>
      <c r="K6" s="24" t="inlineStr">
        <is>
          <t>CARD</t>
        </is>
      </c>
      <c r="L6" s="29" t="inlineStr">
        <is>
          <t>Meetings &amp; Refreshments</t>
        </is>
      </c>
      <c r="M6" s="29" t="inlineStr">
        <is>
          <t>Boxes Catering</t>
        </is>
      </c>
      <c r="N6" s="24" t="inlineStr">
        <is>
          <t>Completed</t>
        </is>
      </c>
    </row>
    <row r="7">
      <c r="A7" s="30" t="n">
        <v>2</v>
      </c>
      <c r="B7" s="30" t="inlineStr">
        <is>
          <t>May</t>
        </is>
      </c>
      <c r="C7" s="30" t="inlineStr">
        <is>
          <t>05-May</t>
        </is>
      </c>
      <c r="D7" s="35" t="inlineStr">
        <is>
          <t>Saurabh Dutta</t>
        </is>
      </c>
      <c r="E7" s="35" t="inlineStr">
        <is>
          <t>DT4 | Level 5</t>
        </is>
      </c>
      <c r="F7" s="31" t="n">
        <v>300</v>
      </c>
      <c r="G7" s="33" t="n">
        <v>207.2</v>
      </c>
      <c r="H7" s="32" t="n">
        <v>62160</v>
      </c>
      <c r="I7" s="33">
        <f>IF(F7&gt;0, ROUND(H7/F7, 2), G7)</f>
        <v/>
      </c>
      <c r="J7" s="35" t="inlineStr">
        <is>
          <t>PIHU</t>
        </is>
      </c>
      <c r="K7" s="30" t="inlineStr">
        <is>
          <t>CARD</t>
        </is>
      </c>
      <c r="L7" s="35" t="inlineStr">
        <is>
          <t>Meetings &amp; Refreshments</t>
        </is>
      </c>
      <c r="M7" s="35" t="inlineStr">
        <is>
          <t>Boxes Catering</t>
        </is>
      </c>
      <c r="N7" s="30" t="inlineStr">
        <is>
          <t>Completed</t>
        </is>
      </c>
    </row>
    <row r="8">
      <c r="A8" s="24" t="n">
        <v>3</v>
      </c>
      <c r="B8" s="24" t="inlineStr">
        <is>
          <t>May</t>
        </is>
      </c>
      <c r="C8" s="24" t="inlineStr">
        <is>
          <t>13-May</t>
        </is>
      </c>
      <c r="D8" s="29" t="inlineStr">
        <is>
          <t>Poonam Gupta</t>
        </is>
      </c>
      <c r="E8" s="29" t="inlineStr">
        <is>
          <t>DT4 | L5 (Hackable Space)</t>
        </is>
      </c>
      <c r="F8" s="25" t="n">
        <v>450</v>
      </c>
      <c r="G8" s="27" t="n">
        <v>50</v>
      </c>
      <c r="H8" s="26" t="n">
        <v>22500</v>
      </c>
      <c r="I8" s="27">
        <f>IF(F8&gt;0, ROUND(H8/F8, 2), G8)</f>
        <v/>
      </c>
      <c r="J8" s="29" t="inlineStr">
        <is>
          <t>PIHU</t>
        </is>
      </c>
      <c r="K8" s="24" t="inlineStr">
        <is>
          <t>CARD</t>
        </is>
      </c>
      <c r="L8" s="29" t="inlineStr">
        <is>
          <t>Meetings &amp; Refreshments</t>
        </is>
      </c>
      <c r="M8" s="29" t="inlineStr">
        <is>
          <t>Hackable Space Event Refreshments</t>
        </is>
      </c>
      <c r="N8" s="24" t="inlineStr">
        <is>
          <t>Completed</t>
        </is>
      </c>
    </row>
    <row r="9">
      <c r="A9" s="30" t="n">
        <v>4</v>
      </c>
      <c r="B9" s="30" t="inlineStr">
        <is>
          <t>May</t>
        </is>
      </c>
      <c r="C9" s="30" t="inlineStr">
        <is>
          <t>19-May</t>
        </is>
      </c>
      <c r="D9" s="35" t="inlineStr">
        <is>
          <t>Rupika</t>
        </is>
      </c>
      <c r="E9" s="35" t="inlineStr">
        <is>
          <t>DT4 | L5 (Hackable Space)</t>
        </is>
      </c>
      <c r="F9" s="31" t="n">
        <v>45</v>
      </c>
      <c r="G9" s="33" t="n">
        <v>35</v>
      </c>
      <c r="H9" s="32" t="n">
        <v>1575</v>
      </c>
      <c r="I9" s="33">
        <f>IF(F9&gt;0, ROUND(H9/F9, 2), G9)</f>
        <v/>
      </c>
      <c r="J9" s="35" t="inlineStr">
        <is>
          <t>PIHU</t>
        </is>
      </c>
      <c r="K9" s="30" t="inlineStr">
        <is>
          <t>CARD</t>
        </is>
      </c>
      <c r="L9" s="35" t="inlineStr">
        <is>
          <t>Meetings &amp; Refreshments</t>
        </is>
      </c>
      <c r="M9" s="35" t="inlineStr">
        <is>
          <t>Hackable Space Meeting (25*45 + 45*10)</t>
        </is>
      </c>
      <c r="N9" s="30" t="inlineStr">
        <is>
          <t>Completed</t>
        </is>
      </c>
    </row>
    <row r="10">
      <c r="A10" s="24" t="n">
        <v>5</v>
      </c>
      <c r="B10" s="24" t="inlineStr">
        <is>
          <t>May</t>
        </is>
      </c>
      <c r="C10" s="24" t="inlineStr">
        <is>
          <t>20-May</t>
        </is>
      </c>
      <c r="D10" s="29" t="inlineStr">
        <is>
          <t>Blood Donation Drive</t>
        </is>
      </c>
      <c r="E10" s="29" t="inlineStr">
        <is>
          <t>DT4 | L5 (Hackable Space)</t>
        </is>
      </c>
      <c r="F10" s="25" t="n">
        <v>150</v>
      </c>
      <c r="G10" s="27" t="n">
        <v>28</v>
      </c>
      <c r="H10" s="26" t="n">
        <v>4200</v>
      </c>
      <c r="I10" s="27">
        <f>IF(F10&gt;0, ROUND(H10/F10, 2), G10)</f>
        <v/>
      </c>
      <c r="J10" s="29" t="inlineStr">
        <is>
          <t>PIHU</t>
        </is>
      </c>
      <c r="K10" s="24" t="inlineStr">
        <is>
          <t>CARD</t>
        </is>
      </c>
      <c r="L10" s="29" t="inlineStr">
        <is>
          <t>CSR &amp; Health Drive</t>
        </is>
      </c>
      <c r="M10" s="29" t="inlineStr">
        <is>
          <t>Blood Donation Drive Refreshments (150*8 + 150*20)</t>
        </is>
      </c>
      <c r="N10" s="24" t="inlineStr">
        <is>
          <t>Completed</t>
        </is>
      </c>
    </row>
    <row r="11">
      <c r="A11" s="30" t="n">
        <v>6</v>
      </c>
      <c r="B11" s="30" t="inlineStr">
        <is>
          <t>May</t>
        </is>
      </c>
      <c r="C11" s="30" t="inlineStr">
        <is>
          <t>20-May</t>
        </is>
      </c>
      <c r="D11" s="35" t="inlineStr">
        <is>
          <t>Khusboo Kaur</t>
        </is>
      </c>
      <c r="E11" s="35" t="inlineStr">
        <is>
          <t>DT4 | Level 1</t>
        </is>
      </c>
      <c r="F11" s="31" t="n">
        <v>200</v>
      </c>
      <c r="G11" s="33" t="n">
        <v>20</v>
      </c>
      <c r="H11" s="32" t="n">
        <v>4000</v>
      </c>
      <c r="I11" s="33">
        <f>IF(F11&gt;0, ROUND(H11/F11, 2), G11)</f>
        <v/>
      </c>
      <c r="J11" s="35" t="inlineStr">
        <is>
          <t>PIHU</t>
        </is>
      </c>
      <c r="K11" s="30" t="inlineStr">
        <is>
          <t>CARD</t>
        </is>
      </c>
      <c r="L11" s="35" t="inlineStr">
        <is>
          <t>Meetings &amp; Refreshments</t>
        </is>
      </c>
      <c r="M11" s="35" t="inlineStr">
        <is>
          <t>Only Tea Service</t>
        </is>
      </c>
      <c r="N11" s="30" t="inlineStr">
        <is>
          <t>Completed</t>
        </is>
      </c>
    </row>
    <row r="12">
      <c r="A12" s="24" t="n">
        <v>7</v>
      </c>
      <c r="B12" s="24" t="inlineStr">
        <is>
          <t>May</t>
        </is>
      </c>
      <c r="C12" s="24" t="inlineStr">
        <is>
          <t>21-May</t>
        </is>
      </c>
      <c r="D12" s="29" t="inlineStr">
        <is>
          <t>Neeraj Panday</t>
        </is>
      </c>
      <c r="E12" s="29" t="inlineStr">
        <is>
          <t>DT4 | Level 1</t>
        </is>
      </c>
      <c r="F12" s="25" t="n">
        <v>35</v>
      </c>
      <c r="G12" s="27" t="n">
        <v>84.86</v>
      </c>
      <c r="H12" s="26" t="n">
        <v>2970</v>
      </c>
      <c r="I12" s="27">
        <f>IF(F12&gt;0, ROUND(H12/F12, 2), G12)</f>
        <v/>
      </c>
      <c r="J12" s="29" t="inlineStr">
        <is>
          <t>PIHU</t>
        </is>
      </c>
      <c r="K12" s="24" t="inlineStr">
        <is>
          <t>CARD</t>
        </is>
      </c>
      <c r="L12" s="29" t="inlineStr">
        <is>
          <t>Leadership &amp; Strategy</t>
        </is>
      </c>
      <c r="M12" s="29" t="inlineStr">
        <is>
          <t>Leadership Connect</t>
        </is>
      </c>
      <c r="N12" s="24" t="inlineStr">
        <is>
          <t>Completed</t>
        </is>
      </c>
    </row>
    <row r="13">
      <c r="A13" s="30" t="n">
        <v>8</v>
      </c>
      <c r="B13" s="30" t="inlineStr">
        <is>
          <t>May</t>
        </is>
      </c>
      <c r="C13" s="30" t="inlineStr">
        <is>
          <t>22-May</t>
        </is>
      </c>
      <c r="D13" s="35" t="inlineStr">
        <is>
          <t>Prerena</t>
        </is>
      </c>
      <c r="E13" s="35" t="inlineStr">
        <is>
          <t>DT4 | L5 &amp; DT3</t>
        </is>
      </c>
      <c r="F13" s="31" t="n">
        <v>2100</v>
      </c>
      <c r="G13" s="33" t="n">
        <v>250</v>
      </c>
      <c r="H13" s="32" t="n">
        <v>525000</v>
      </c>
      <c r="I13" s="33">
        <f>IF(F13&gt;0, ROUND(H13/F13, 2), G13)</f>
        <v/>
      </c>
      <c r="J13" s="35" t="inlineStr">
        <is>
          <t>COMPASS</t>
        </is>
      </c>
      <c r="K13" s="30" t="inlineStr">
        <is>
          <t>PO</t>
        </is>
      </c>
      <c r="L13" s="35" t="inlineStr">
        <is>
          <t>Townhall &amp; All-Hands</t>
        </is>
      </c>
      <c r="M13" s="35" t="inlineStr">
        <is>
          <t>Major All-Hands: 1500 at DT4 and 600 at DT3</t>
        </is>
      </c>
      <c r="N13" s="30" t="inlineStr">
        <is>
          <t>Completed</t>
        </is>
      </c>
    </row>
    <row r="14">
      <c r="A14" s="24" t="n">
        <v>9</v>
      </c>
      <c r="B14" s="24" t="inlineStr">
        <is>
          <t>May</t>
        </is>
      </c>
      <c r="C14" s="24" t="inlineStr">
        <is>
          <t>25-May</t>
        </is>
      </c>
      <c r="D14" s="29" t="inlineStr">
        <is>
          <t>Kirti</t>
        </is>
      </c>
      <c r="E14" s="29" t="inlineStr">
        <is>
          <t>DT4 | Level 1</t>
        </is>
      </c>
      <c r="F14" s="25" t="n">
        <v>100</v>
      </c>
      <c r="G14" s="27" t="n">
        <v>20</v>
      </c>
      <c r="H14" s="26" t="n">
        <v>2000</v>
      </c>
      <c r="I14" s="27">
        <f>IF(F14&gt;0, ROUND(H14/F14, 2), G14)</f>
        <v/>
      </c>
      <c r="J14" s="29" t="inlineStr">
        <is>
          <t>COMPASS</t>
        </is>
      </c>
      <c r="K14" s="24" t="inlineStr">
        <is>
          <t>DIRECT</t>
        </is>
      </c>
      <c r="L14" s="29" t="inlineStr">
        <is>
          <t>Meetings &amp; Refreshments</t>
        </is>
      </c>
      <c r="M14" s="29" t="inlineStr">
        <is>
          <t>Potluck, Only Tea</t>
        </is>
      </c>
      <c r="N14" s="24" t="inlineStr">
        <is>
          <t>Completed</t>
        </is>
      </c>
    </row>
    <row r="15">
      <c r="A15" s="30" t="n">
        <v>10</v>
      </c>
      <c r="B15" s="30" t="inlineStr">
        <is>
          <t>May</t>
        </is>
      </c>
      <c r="C15" s="30" t="inlineStr">
        <is>
          <t>28-May</t>
        </is>
      </c>
      <c r="D15" s="35" t="inlineStr">
        <is>
          <t>Shivani</t>
        </is>
      </c>
      <c r="E15" s="35" t="inlineStr">
        <is>
          <t>DT4 | Level 1</t>
        </is>
      </c>
      <c r="F15" s="31" t="n">
        <v>60</v>
      </c>
      <c r="G15" s="33" t="n">
        <v>200</v>
      </c>
      <c r="H15" s="32" t="n">
        <v>12000</v>
      </c>
      <c r="I15" s="33">
        <f>IF(F15&gt;0, ROUND(H15/F15, 2), G15)</f>
        <v/>
      </c>
      <c r="J15" s="35" t="inlineStr">
        <is>
          <t>COMPASS</t>
        </is>
      </c>
      <c r="K15" s="30" t="inlineStr">
        <is>
          <t>PO</t>
        </is>
      </c>
      <c r="L15" s="35" t="inlineStr">
        <is>
          <t>Leadership &amp; Strategy</t>
        </is>
      </c>
      <c r="M15" s="35" t="inlineStr">
        <is>
          <t>XLT Meeting</t>
        </is>
      </c>
      <c r="N15" s="30" t="inlineStr">
        <is>
          <t>Completed</t>
        </is>
      </c>
    </row>
    <row r="16">
      <c r="A16" s="24" t="n">
        <v>11</v>
      </c>
      <c r="B16" s="24" t="inlineStr">
        <is>
          <t>June</t>
        </is>
      </c>
      <c r="C16" s="24" t="inlineStr">
        <is>
          <t>05-Jun</t>
        </is>
      </c>
      <c r="D16" s="29" t="inlineStr">
        <is>
          <t>Poonam</t>
        </is>
      </c>
      <c r="E16" s="29" t="inlineStr">
        <is>
          <t>DT4 | Level 5</t>
        </is>
      </c>
      <c r="F16" s="25" t="n">
        <v>11</v>
      </c>
      <c r="G16" s="27" t="n">
        <v>80</v>
      </c>
      <c r="H16" s="26" t="n">
        <v>880</v>
      </c>
      <c r="I16" s="27">
        <f>IF(F16&gt;0, ROUND(H16/F16, 2), G16)</f>
        <v/>
      </c>
      <c r="J16" s="29" t="inlineStr">
        <is>
          <t>PIHU</t>
        </is>
      </c>
      <c r="K16" s="24" t="inlineStr">
        <is>
          <t>CARD</t>
        </is>
      </c>
      <c r="L16" s="29" t="inlineStr">
        <is>
          <t>Meetings &amp; Refreshments</t>
        </is>
      </c>
      <c r="M16" s="29" t="inlineStr">
        <is>
          <t>Team Meeting Refreshments (11*20 + 11*60)</t>
        </is>
      </c>
      <c r="N16" s="24" t="inlineStr">
        <is>
          <t>Completed</t>
        </is>
      </c>
    </row>
    <row r="17">
      <c r="A17" s="30" t="n">
        <v>12</v>
      </c>
      <c r="B17" s="30" t="inlineStr">
        <is>
          <t>June</t>
        </is>
      </c>
      <c r="C17" s="30" t="inlineStr">
        <is>
          <t>05-Jun</t>
        </is>
      </c>
      <c r="D17" s="35" t="inlineStr">
        <is>
          <t>Shivani</t>
        </is>
      </c>
      <c r="E17" s="35" t="inlineStr">
        <is>
          <t>DT4 | Level 1</t>
        </is>
      </c>
      <c r="F17" s="31" t="n">
        <v>24</v>
      </c>
      <c r="G17" s="33" t="n">
        <v>100</v>
      </c>
      <c r="H17" s="32" t="n">
        <v>2400</v>
      </c>
      <c r="I17" s="33">
        <f>IF(F17&gt;0, ROUND(H17/F17, 2), G17)</f>
        <v/>
      </c>
      <c r="J17" s="35" t="inlineStr">
        <is>
          <t>PIHU</t>
        </is>
      </c>
      <c r="K17" s="30" t="inlineStr">
        <is>
          <t>CARD</t>
        </is>
      </c>
      <c r="L17" s="35" t="inlineStr">
        <is>
          <t>Induction &amp; Training</t>
        </is>
      </c>
      <c r="M17" s="35" t="inlineStr">
        <is>
          <t>Master Class Session (24*20 + 24*60 + 24*20)</t>
        </is>
      </c>
      <c r="N17" s="30" t="inlineStr">
        <is>
          <t>Completed</t>
        </is>
      </c>
    </row>
    <row r="18">
      <c r="A18" s="24" t="n">
        <v>13</v>
      </c>
      <c r="B18" s="24" t="inlineStr">
        <is>
          <t>June</t>
        </is>
      </c>
      <c r="C18" s="24" t="inlineStr">
        <is>
          <t>08-Jun</t>
        </is>
      </c>
      <c r="D18" s="29" t="inlineStr">
        <is>
          <t>Rupika</t>
        </is>
      </c>
      <c r="E18" s="29" t="inlineStr">
        <is>
          <t>DT4 | Level 1</t>
        </is>
      </c>
      <c r="F18" s="25" t="n">
        <v>30</v>
      </c>
      <c r="G18" s="27" t="n">
        <v>25</v>
      </c>
      <c r="H18" s="26" t="n">
        <v>750</v>
      </c>
      <c r="I18" s="27">
        <f>IF(F18&gt;0, ROUND(H18/F18, 2), G18)</f>
        <v/>
      </c>
      <c r="J18" s="29" t="inlineStr">
        <is>
          <t>PIHU</t>
        </is>
      </c>
      <c r="K18" s="24" t="inlineStr">
        <is>
          <t>CARD</t>
        </is>
      </c>
      <c r="L18" s="29" t="inlineStr">
        <is>
          <t>Meetings &amp; Refreshments</t>
        </is>
      </c>
      <c r="M18" s="29" t="inlineStr">
        <is>
          <t>Team Refreshments (30*25)</t>
        </is>
      </c>
      <c r="N18" s="24" t="inlineStr">
        <is>
          <t>Completed</t>
        </is>
      </c>
    </row>
    <row r="19">
      <c r="A19" s="30" t="n">
        <v>14</v>
      </c>
      <c r="B19" s="30" t="inlineStr">
        <is>
          <t>June</t>
        </is>
      </c>
      <c r="C19" s="30" t="inlineStr">
        <is>
          <t>09-Jun</t>
        </is>
      </c>
      <c r="D19" s="35" t="inlineStr">
        <is>
          <t>Shikha</t>
        </is>
      </c>
      <c r="E19" s="35" t="inlineStr">
        <is>
          <t>DT4 | D410 (L5)</t>
        </is>
      </c>
      <c r="F19" s="31" t="n">
        <v>10</v>
      </c>
      <c r="G19" s="33" t="n">
        <v>215</v>
      </c>
      <c r="H19" s="32" t="n">
        <v>2150</v>
      </c>
      <c r="I19" s="33">
        <f>IF(F19&gt;0, ROUND(H19/F19, 2), G19)</f>
        <v/>
      </c>
      <c r="J19" s="35" t="inlineStr">
        <is>
          <t>PIHU</t>
        </is>
      </c>
      <c r="K19" s="30" t="inlineStr">
        <is>
          <t>CARD</t>
        </is>
      </c>
      <c r="L19" s="35" t="inlineStr">
        <is>
          <t>Celebrations &amp; Engagement</t>
        </is>
      </c>
      <c r="M19" s="35" t="inlineStr">
        <is>
          <t>Milestone Celebration</t>
        </is>
      </c>
      <c r="N19" s="30" t="inlineStr">
        <is>
          <t>Completed</t>
        </is>
      </c>
    </row>
    <row r="20">
      <c r="A20" s="24" t="n">
        <v>15</v>
      </c>
      <c r="B20" s="24" t="inlineStr">
        <is>
          <t>June</t>
        </is>
      </c>
      <c r="C20" s="24" t="inlineStr">
        <is>
          <t>11-Jun</t>
        </is>
      </c>
      <c r="D20" s="29" t="inlineStr">
        <is>
          <t>Kanchan Walia</t>
        </is>
      </c>
      <c r="E20" s="29" t="inlineStr">
        <is>
          <t>DT4 | L1 (Innovation Hub)</t>
        </is>
      </c>
      <c r="F20" s="25" t="n">
        <v>17</v>
      </c>
      <c r="G20" s="27" t="n">
        <v>121.65</v>
      </c>
      <c r="H20" s="26" t="n">
        <v>2068</v>
      </c>
      <c r="I20" s="27">
        <f>IF(F20&gt;0, ROUND(H20/F20, 2), G20)</f>
        <v/>
      </c>
      <c r="J20" s="29" t="inlineStr">
        <is>
          <t>PIHU</t>
        </is>
      </c>
      <c r="K20" s="24" t="inlineStr">
        <is>
          <t>CARD</t>
        </is>
      </c>
      <c r="L20" s="29" t="inlineStr">
        <is>
          <t>Meetings &amp; Refreshments</t>
        </is>
      </c>
      <c r="M20" s="29" t="inlineStr">
        <is>
          <t>Innovation Hub Session</t>
        </is>
      </c>
      <c r="N20" s="24" t="inlineStr">
        <is>
          <t>Completed</t>
        </is>
      </c>
    </row>
    <row r="21">
      <c r="A21" s="30" t="n">
        <v>16</v>
      </c>
      <c r="B21" s="30" t="inlineStr">
        <is>
          <t>June</t>
        </is>
      </c>
      <c r="C21" s="30" t="inlineStr">
        <is>
          <t>12-Jun</t>
        </is>
      </c>
      <c r="D21" s="35" t="inlineStr">
        <is>
          <t>Deepika</t>
        </is>
      </c>
      <c r="E21" s="35" t="inlineStr">
        <is>
          <t>DT4 | L1 (Innovation Hub)</t>
        </is>
      </c>
      <c r="F21" s="31" t="n">
        <v>28</v>
      </c>
      <c r="G21" s="33" t="n">
        <v>127.5</v>
      </c>
      <c r="H21" s="32" t="n">
        <v>3570</v>
      </c>
      <c r="I21" s="33">
        <f>IF(F21&gt;0, ROUND(H21/F21, 2), G21)</f>
        <v/>
      </c>
      <c r="J21" s="35" t="inlineStr">
        <is>
          <t>PIHU</t>
        </is>
      </c>
      <c r="K21" s="30" t="inlineStr">
        <is>
          <t>CARD</t>
        </is>
      </c>
      <c r="L21" s="35" t="inlineStr">
        <is>
          <t>Meetings &amp; Refreshments</t>
        </is>
      </c>
      <c r="M21" s="35" t="inlineStr">
        <is>
          <t>Innovation Hub Workshop Refreshments</t>
        </is>
      </c>
      <c r="N21" s="30" t="inlineStr">
        <is>
          <t>Completed</t>
        </is>
      </c>
    </row>
    <row r="22">
      <c r="A22" s="24" t="n">
        <v>17</v>
      </c>
      <c r="B22" s="24" t="inlineStr">
        <is>
          <t>June</t>
        </is>
      </c>
      <c r="C22" s="24" t="inlineStr">
        <is>
          <t>16-Jun</t>
        </is>
      </c>
      <c r="D22" s="29" t="inlineStr">
        <is>
          <t>Ekta</t>
        </is>
      </c>
      <c r="E22" s="29" t="inlineStr">
        <is>
          <t>DT4 | L1 (Innovation Hub)</t>
        </is>
      </c>
      <c r="F22" s="25" t="n">
        <v>100</v>
      </c>
      <c r="G22" s="27" t="n">
        <v>150</v>
      </c>
      <c r="H22" s="26" t="n">
        <v>15000</v>
      </c>
      <c r="I22" s="27">
        <f>IF(F22&gt;0, ROUND(H22/F22, 2), G22)</f>
        <v/>
      </c>
      <c r="J22" s="29" t="inlineStr">
        <is>
          <t>PIHU</t>
        </is>
      </c>
      <c r="K22" s="24" t="inlineStr">
        <is>
          <t>CARD</t>
        </is>
      </c>
      <c r="L22" s="29" t="inlineStr">
        <is>
          <t>Townhall &amp; All-Hands</t>
        </is>
      </c>
      <c r="M22" s="29" t="inlineStr">
        <is>
          <t>Team Gathering - Innovation Hub</t>
        </is>
      </c>
      <c r="N22" s="24" t="inlineStr">
        <is>
          <t>Completed</t>
        </is>
      </c>
    </row>
    <row r="23">
      <c r="A23" s="30" t="n">
        <v>18</v>
      </c>
      <c r="B23" s="30" t="inlineStr">
        <is>
          <t>June</t>
        </is>
      </c>
      <c r="C23" s="30" t="inlineStr">
        <is>
          <t>16-Jun</t>
        </is>
      </c>
      <c r="D23" s="35" t="inlineStr">
        <is>
          <t>Hitesh</t>
        </is>
      </c>
      <c r="E23" s="35" t="inlineStr">
        <is>
          <t>DT4 | L1 (Innovation Hub)</t>
        </is>
      </c>
      <c r="F23" s="31" t="n">
        <v>12</v>
      </c>
      <c r="G23" s="33" t="n">
        <v>250</v>
      </c>
      <c r="H23" s="32" t="n">
        <v>3000</v>
      </c>
      <c r="I23" s="33">
        <f>IF(F23&gt;0, ROUND(H23/F23, 2), G23)</f>
        <v/>
      </c>
      <c r="J23" s="35" t="inlineStr">
        <is>
          <t>PIHU</t>
        </is>
      </c>
      <c r="K23" s="30" t="inlineStr">
        <is>
          <t>CARD</t>
        </is>
      </c>
      <c r="L23" s="35" t="inlineStr">
        <is>
          <t>Leadership &amp; Strategy</t>
        </is>
      </c>
      <c r="M23" s="35" t="inlineStr">
        <is>
          <t>Tenant Meeting</t>
        </is>
      </c>
      <c r="N23" s="30" t="inlineStr">
        <is>
          <t>Completed</t>
        </is>
      </c>
    </row>
    <row r="24">
      <c r="A24" s="24" t="n">
        <v>19</v>
      </c>
      <c r="B24" s="24" t="inlineStr">
        <is>
          <t>June</t>
        </is>
      </c>
      <c r="C24" s="24" t="inlineStr">
        <is>
          <t>17-Jun</t>
        </is>
      </c>
      <c r="D24" s="29" t="inlineStr">
        <is>
          <t>Shivani</t>
        </is>
      </c>
      <c r="E24" s="29" t="inlineStr">
        <is>
          <t>DT4 | L5 (C305)</t>
        </is>
      </c>
      <c r="F24" s="25" t="n">
        <v>14</v>
      </c>
      <c r="G24" s="27" t="n">
        <v>45</v>
      </c>
      <c r="H24" s="26" t="n">
        <v>630</v>
      </c>
      <c r="I24" s="27">
        <f>IF(F24&gt;0, ROUND(H24/F24, 2), G24)</f>
        <v/>
      </c>
      <c r="J24" s="29" t="inlineStr">
        <is>
          <t>PIHU</t>
        </is>
      </c>
      <c r="K24" s="24" t="inlineStr">
        <is>
          <t>CARD</t>
        </is>
      </c>
      <c r="L24" s="29" t="inlineStr">
        <is>
          <t>Meetings &amp; Refreshments</t>
        </is>
      </c>
      <c r="M24" s="29" t="inlineStr">
        <is>
          <t>Team Refreshments</t>
        </is>
      </c>
      <c r="N24" s="24" t="inlineStr">
        <is>
          <t>Completed</t>
        </is>
      </c>
    </row>
    <row r="25">
      <c r="A25" s="30" t="n">
        <v>20</v>
      </c>
      <c r="B25" s="30" t="inlineStr">
        <is>
          <t>June</t>
        </is>
      </c>
      <c r="C25" s="30" t="inlineStr">
        <is>
          <t>18-Jun</t>
        </is>
      </c>
      <c r="D25" s="35" t="inlineStr">
        <is>
          <t>Mayank</t>
        </is>
      </c>
      <c r="E25" s="35" t="inlineStr">
        <is>
          <t>DT4 | Level 6</t>
        </is>
      </c>
      <c r="F25" s="31" t="n">
        <v>35</v>
      </c>
      <c r="G25" s="33" t="n">
        <v>100</v>
      </c>
      <c r="H25" s="32" t="n">
        <v>3500</v>
      </c>
      <c r="I25" s="33">
        <f>IF(F25&gt;0, ROUND(H25/F25, 2), G25)</f>
        <v/>
      </c>
      <c r="J25" s="35" t="inlineStr">
        <is>
          <t>PIHU</t>
        </is>
      </c>
      <c r="K25" s="30" t="inlineStr">
        <is>
          <t>CARD</t>
        </is>
      </c>
      <c r="L25" s="35" t="inlineStr">
        <is>
          <t>Leadership &amp; Strategy</t>
        </is>
      </c>
      <c r="M25" s="35" t="inlineStr">
        <is>
          <t>Evening Tea with Risk Executives</t>
        </is>
      </c>
      <c r="N25" s="30" t="inlineStr">
        <is>
          <t>Completed</t>
        </is>
      </c>
    </row>
    <row r="26">
      <c r="A26" s="24" t="n">
        <v>21</v>
      </c>
      <c r="B26" s="24" t="inlineStr">
        <is>
          <t>June</t>
        </is>
      </c>
      <c r="C26" s="24" t="inlineStr">
        <is>
          <t>18-Jun</t>
        </is>
      </c>
      <c r="D26" s="29" t="inlineStr">
        <is>
          <t>Shikha</t>
        </is>
      </c>
      <c r="E26" s="29" t="inlineStr">
        <is>
          <t>DT4 | Zone B</t>
        </is>
      </c>
      <c r="F26" s="25" t="n">
        <v>80</v>
      </c>
      <c r="G26" s="27" t="n">
        <v>300</v>
      </c>
      <c r="H26" s="26" t="n">
        <v>24000</v>
      </c>
      <c r="I26" s="27">
        <f>IF(F26&gt;0, ROUND(H26/F26, 2), G26)</f>
        <v/>
      </c>
      <c r="J26" s="29" t="inlineStr">
        <is>
          <t>COMPASS</t>
        </is>
      </c>
      <c r="K26" s="24" t="inlineStr">
        <is>
          <t>PO</t>
        </is>
      </c>
      <c r="L26" s="29" t="inlineStr">
        <is>
          <t>Townhall &amp; All-Hands</t>
        </is>
      </c>
      <c r="M26" s="29" t="inlineStr">
        <is>
          <t>Townhall</t>
        </is>
      </c>
      <c r="N26" s="24" t="inlineStr">
        <is>
          <t>Completed</t>
        </is>
      </c>
    </row>
    <row r="27">
      <c r="A27" s="30" t="n">
        <v>22</v>
      </c>
      <c r="B27" s="30" t="inlineStr">
        <is>
          <t>June</t>
        </is>
      </c>
      <c r="C27" s="30" t="inlineStr">
        <is>
          <t>23-Jun</t>
        </is>
      </c>
      <c r="D27" s="35" t="inlineStr">
        <is>
          <t>Ekta</t>
        </is>
      </c>
      <c r="E27" s="35" t="inlineStr">
        <is>
          <t>DT4 | Level 4</t>
        </is>
      </c>
      <c r="F27" s="31" t="n">
        <v>50</v>
      </c>
      <c r="G27" s="33" t="n">
        <v>150</v>
      </c>
      <c r="H27" s="32" t="n">
        <v>7500</v>
      </c>
      <c r="I27" s="33">
        <f>IF(F27&gt;0, ROUND(H27/F27, 2), G27)</f>
        <v/>
      </c>
      <c r="J27" s="35" t="inlineStr">
        <is>
          <t>COMPASS</t>
        </is>
      </c>
      <c r="K27" s="30" t="inlineStr">
        <is>
          <t>CARD</t>
        </is>
      </c>
      <c r="L27" s="35" t="inlineStr">
        <is>
          <t>Meetings &amp; Refreshments</t>
        </is>
      </c>
      <c r="M27" s="35" t="inlineStr">
        <is>
          <t>Floor Level Event</t>
        </is>
      </c>
      <c r="N27" s="30" t="inlineStr">
        <is>
          <t>Completed</t>
        </is>
      </c>
    </row>
    <row r="28">
      <c r="A28" s="24" t="n">
        <v>23</v>
      </c>
      <c r="B28" s="24" t="inlineStr">
        <is>
          <t>June</t>
        </is>
      </c>
      <c r="C28" s="24" t="inlineStr">
        <is>
          <t>26-Jun</t>
        </is>
      </c>
      <c r="D28" s="29" t="inlineStr">
        <is>
          <t>Ekta</t>
        </is>
      </c>
      <c r="E28" s="29" t="inlineStr">
        <is>
          <t>DT4 | Level 4</t>
        </is>
      </c>
      <c r="F28" s="25" t="n">
        <v>50</v>
      </c>
      <c r="G28" s="27" t="n">
        <v>250</v>
      </c>
      <c r="H28" s="26" t="n">
        <v>12500</v>
      </c>
      <c r="I28" s="27">
        <f>IF(F28&gt;0, ROUND(H28/F28, 2), G28)</f>
        <v/>
      </c>
      <c r="J28" s="29" t="inlineStr">
        <is>
          <t>COMPASS</t>
        </is>
      </c>
      <c r="K28" s="24" t="inlineStr">
        <is>
          <t>CARD</t>
        </is>
      </c>
      <c r="L28" s="29" t="inlineStr">
        <is>
          <t>Townhall &amp; All-Hands</t>
        </is>
      </c>
      <c r="M28" s="29" t="inlineStr">
        <is>
          <t>GS Townhall</t>
        </is>
      </c>
      <c r="N28" s="24" t="inlineStr">
        <is>
          <t>Completed</t>
        </is>
      </c>
    </row>
    <row r="29">
      <c r="A29" s="30" t="n">
        <v>24</v>
      </c>
      <c r="B29" s="30" t="inlineStr">
        <is>
          <t>June</t>
        </is>
      </c>
      <c r="C29" s="30" t="inlineStr">
        <is>
          <t>29-Jun</t>
        </is>
      </c>
      <c r="D29" s="35" t="inlineStr">
        <is>
          <t>Saurabh Dutta</t>
        </is>
      </c>
      <c r="E29" s="35" t="inlineStr">
        <is>
          <t>DT4 | Level 1</t>
        </is>
      </c>
      <c r="F29" s="31" t="n">
        <v>75</v>
      </c>
      <c r="G29" s="33" t="n">
        <v>216.67</v>
      </c>
      <c r="H29" s="32" t="n">
        <v>16250</v>
      </c>
      <c r="I29" s="33">
        <f>IF(F29&gt;0, ROUND(H29/F29, 2), G29)</f>
        <v/>
      </c>
      <c r="J29" s="35" t="inlineStr">
        <is>
          <t>COMPASS</t>
        </is>
      </c>
      <c r="K29" s="30" t="inlineStr">
        <is>
          <t>CARD</t>
        </is>
      </c>
      <c r="L29" s="35" t="inlineStr">
        <is>
          <t>Meetings &amp; Refreshments</t>
        </is>
      </c>
      <c r="M29" s="35" t="inlineStr">
        <is>
          <t>Team Catering (50*200 + 25*250)</t>
        </is>
      </c>
      <c r="N29" s="30" t="inlineStr">
        <is>
          <t>Completed</t>
        </is>
      </c>
    </row>
    <row r="30">
      <c r="A30" s="24" t="n">
        <v>25</v>
      </c>
      <c r="B30" s="24" t="inlineStr">
        <is>
          <t>June</t>
        </is>
      </c>
      <c r="C30" s="24" t="inlineStr">
        <is>
          <t>30-Jun</t>
        </is>
      </c>
      <c r="D30" s="29" t="inlineStr">
        <is>
          <t>Shivani</t>
        </is>
      </c>
      <c r="E30" s="29" t="inlineStr">
        <is>
          <t>DT4 | Level 4</t>
        </is>
      </c>
      <c r="F30" s="25" t="n">
        <v>30</v>
      </c>
      <c r="G30" s="27" t="n">
        <v>100</v>
      </c>
      <c r="H30" s="26" t="n">
        <v>3000</v>
      </c>
      <c r="I30" s="27">
        <f>IF(F30&gt;0, ROUND(H30/F30, 2), G30)</f>
        <v/>
      </c>
      <c r="J30" s="29" t="inlineStr">
        <is>
          <t>COMPASS</t>
        </is>
      </c>
      <c r="K30" s="24" t="inlineStr">
        <is>
          <t>PO</t>
        </is>
      </c>
      <c r="L30" s="29" t="inlineStr">
        <is>
          <t>Leadership &amp; Strategy</t>
        </is>
      </c>
      <c r="M30" s="29" t="inlineStr">
        <is>
          <t>Leadership Lunch</t>
        </is>
      </c>
      <c r="N30" s="24" t="inlineStr">
        <is>
          <t>Completed</t>
        </is>
      </c>
    </row>
    <row r="31">
      <c r="A31" s="30" t="n">
        <v>26</v>
      </c>
      <c r="B31" s="30" t="inlineStr">
        <is>
          <t>June</t>
        </is>
      </c>
      <c r="C31" s="30" t="inlineStr">
        <is>
          <t>30-Jun</t>
        </is>
      </c>
      <c r="D31" s="35" t="inlineStr">
        <is>
          <t>Ekta</t>
        </is>
      </c>
      <c r="E31" s="35" t="inlineStr">
        <is>
          <t>DT3 | Level 3</t>
        </is>
      </c>
      <c r="F31" s="31" t="n">
        <v>120</v>
      </c>
      <c r="G31" s="33" t="n">
        <v>150</v>
      </c>
      <c r="H31" s="32" t="n">
        <v>18000</v>
      </c>
      <c r="I31" s="33">
        <f>IF(F31&gt;0, ROUND(H31/F31, 2), G31)</f>
        <v/>
      </c>
      <c r="J31" s="35" t="inlineStr">
        <is>
          <t>COMPASS</t>
        </is>
      </c>
      <c r="K31" s="30" t="inlineStr">
        <is>
          <t>CARD</t>
        </is>
      </c>
      <c r="L31" s="35" t="inlineStr">
        <is>
          <t>Townhall &amp; All-Hands</t>
        </is>
      </c>
      <c r="M31" s="35" t="inlineStr">
        <is>
          <t>Townhall</t>
        </is>
      </c>
      <c r="N31" s="30" t="inlineStr">
        <is>
          <t>Completed</t>
        </is>
      </c>
    </row>
    <row r="32">
      <c r="A32" s="24" t="n">
        <v>27</v>
      </c>
      <c r="B32" s="24" t="inlineStr">
        <is>
          <t>July</t>
        </is>
      </c>
      <c r="C32" s="24" t="inlineStr">
        <is>
          <t>03-Jul</t>
        </is>
      </c>
      <c r="D32" s="29" t="inlineStr">
        <is>
          <t>Shivani</t>
        </is>
      </c>
      <c r="E32" s="29" t="inlineStr">
        <is>
          <t>DT4 | L1 (Innovation Hub)</t>
        </is>
      </c>
      <c r="F32" s="25" t="n">
        <v>40</v>
      </c>
      <c r="G32" s="27" t="n">
        <v>100</v>
      </c>
      <c r="H32" s="26" t="n">
        <v>4000</v>
      </c>
      <c r="I32" s="27">
        <f>IF(F32&gt;0, ROUND(H32/F32, 2), G32)</f>
        <v/>
      </c>
      <c r="J32" s="29" t="inlineStr">
        <is>
          <t>COMPASS</t>
        </is>
      </c>
      <c r="K32" s="24" t="inlineStr">
        <is>
          <t>CARD</t>
        </is>
      </c>
      <c r="L32" s="29" t="inlineStr">
        <is>
          <t>Leadership &amp; Strategy</t>
        </is>
      </c>
      <c r="M32" s="29" t="inlineStr">
        <is>
          <t>XLT Meeting</t>
        </is>
      </c>
      <c r="N32" s="24" t="inlineStr">
        <is>
          <t>Completed</t>
        </is>
      </c>
    </row>
    <row r="33">
      <c r="A33" s="30" t="n">
        <v>28</v>
      </c>
      <c r="B33" s="30" t="inlineStr">
        <is>
          <t>July</t>
        </is>
      </c>
      <c r="C33" s="30" t="inlineStr">
        <is>
          <t>08-Jul</t>
        </is>
      </c>
      <c r="D33" s="35" t="inlineStr">
        <is>
          <t>Ekta</t>
        </is>
      </c>
      <c r="E33" s="35" t="inlineStr">
        <is>
          <t>DT3 | Level 3</t>
        </is>
      </c>
      <c r="F33" s="31" t="n">
        <v>150</v>
      </c>
      <c r="G33" s="33" t="n">
        <v>100</v>
      </c>
      <c r="H33" s="32" t="n">
        <v>15000</v>
      </c>
      <c r="I33" s="33">
        <f>IF(F33&gt;0, ROUND(H33/F33, 2), G33)</f>
        <v/>
      </c>
      <c r="J33" s="35" t="inlineStr">
        <is>
          <t>COMPASS</t>
        </is>
      </c>
      <c r="K33" s="30" t="inlineStr">
        <is>
          <t>CARD</t>
        </is>
      </c>
      <c r="L33" s="35" t="inlineStr">
        <is>
          <t>Townhall &amp; All-Hands</t>
        </is>
      </c>
      <c r="M33" s="35" t="inlineStr">
        <is>
          <t>Townhall</t>
        </is>
      </c>
      <c r="N33" s="30" t="inlineStr">
        <is>
          <t>Completed</t>
        </is>
      </c>
    </row>
    <row r="34">
      <c r="A34" s="24" t="n">
        <v>29</v>
      </c>
      <c r="B34" s="24" t="inlineStr">
        <is>
          <t>July</t>
        </is>
      </c>
      <c r="C34" s="24" t="inlineStr">
        <is>
          <t>09-Jul</t>
        </is>
      </c>
      <c r="D34" s="29" t="inlineStr">
        <is>
          <t>Monika</t>
        </is>
      </c>
      <c r="E34" s="29" t="inlineStr">
        <is>
          <t>DT3 | Level 3</t>
        </is>
      </c>
      <c r="F34" s="25" t="n">
        <v>30</v>
      </c>
      <c r="G34" s="27" t="n">
        <v>24</v>
      </c>
      <c r="H34" s="26" t="n">
        <v>720</v>
      </c>
      <c r="I34" s="27">
        <f>IF(F34&gt;0, ROUND(H34/F34, 2), G34)</f>
        <v/>
      </c>
      <c r="J34" s="29" t="inlineStr">
        <is>
          <t>PIHU</t>
        </is>
      </c>
      <c r="K34" s="24" t="inlineStr">
        <is>
          <t>CARD</t>
        </is>
      </c>
      <c r="L34" s="29" t="inlineStr">
        <is>
          <t>Meetings &amp; Refreshments</t>
        </is>
      </c>
      <c r="M34" s="29" t="inlineStr">
        <is>
          <t>Team Meeting (30*20 + 10*12)</t>
        </is>
      </c>
      <c r="N34" s="24" t="inlineStr">
        <is>
          <t>Completed</t>
        </is>
      </c>
    </row>
    <row r="35">
      <c r="A35" s="30" t="n">
        <v>30</v>
      </c>
      <c r="B35" s="30" t="inlineStr">
        <is>
          <t>July</t>
        </is>
      </c>
      <c r="C35" s="30" t="inlineStr">
        <is>
          <t>11-Jul</t>
        </is>
      </c>
      <c r="D35" s="35" t="inlineStr">
        <is>
          <t>Tarun Jain</t>
        </is>
      </c>
      <c r="E35" s="35" t="inlineStr">
        <is>
          <t>DT3 | Level 3</t>
        </is>
      </c>
      <c r="F35" s="31" t="n">
        <v>50</v>
      </c>
      <c r="G35" s="33" t="n">
        <v>86</v>
      </c>
      <c r="H35" s="32" t="n">
        <v>4300</v>
      </c>
      <c r="I35" s="33">
        <f>IF(F35&gt;0, ROUND(H35/F35, 2), G35)</f>
        <v/>
      </c>
      <c r="J35" s="35" t="inlineStr">
        <is>
          <t>PIHU</t>
        </is>
      </c>
      <c r="K35" s="30" t="inlineStr">
        <is>
          <t>CARD</t>
        </is>
      </c>
      <c r="L35" s="35" t="inlineStr">
        <is>
          <t>Hiring &amp; Recruitment</t>
        </is>
      </c>
      <c r="M35" s="35" t="inlineStr">
        <is>
          <t>Hiring Drive (50*60 + 50*20 + 30*10)</t>
        </is>
      </c>
      <c r="N35" s="30" t="inlineStr">
        <is>
          <t>Completed</t>
        </is>
      </c>
    </row>
    <row r="36">
      <c r="A36" s="24" t="n">
        <v>31</v>
      </c>
      <c r="B36" s="24" t="inlineStr">
        <is>
          <t>July</t>
        </is>
      </c>
      <c r="C36" s="24" t="inlineStr">
        <is>
          <t>14-Jul</t>
        </is>
      </c>
      <c r="D36" s="29" t="inlineStr">
        <is>
          <t>Rosie</t>
        </is>
      </c>
      <c r="E36" s="29" t="inlineStr">
        <is>
          <t>DT3 | Level 3</t>
        </is>
      </c>
      <c r="F36" s="25" t="n">
        <v>70</v>
      </c>
      <c r="G36" s="27" t="n">
        <v>150</v>
      </c>
      <c r="H36" s="26" t="n">
        <v>10500</v>
      </c>
      <c r="I36" s="27">
        <f>IF(F36&gt;0, ROUND(H36/F36, 2), G36)</f>
        <v/>
      </c>
      <c r="J36" s="29" t="inlineStr">
        <is>
          <t>COMPASS</t>
        </is>
      </c>
      <c r="K36" s="24" t="inlineStr">
        <is>
          <t>PO</t>
        </is>
      </c>
      <c r="L36" s="29" t="inlineStr">
        <is>
          <t>Townhall &amp; All-Hands</t>
        </is>
      </c>
      <c r="M36" s="29" t="inlineStr">
        <is>
          <t>Townhall</t>
        </is>
      </c>
      <c r="N36" s="24" t="inlineStr">
        <is>
          <t>Completed</t>
        </is>
      </c>
    </row>
    <row r="37">
      <c r="A37" s="30" t="n">
        <v>32</v>
      </c>
      <c r="B37" s="30" t="inlineStr">
        <is>
          <t>July</t>
        </is>
      </c>
      <c r="C37" s="30" t="inlineStr">
        <is>
          <t>16-Jul</t>
        </is>
      </c>
      <c r="D37" s="35" t="inlineStr">
        <is>
          <t>Anju</t>
        </is>
      </c>
      <c r="E37" s="35" t="inlineStr">
        <is>
          <t>DT3 | Level 3</t>
        </is>
      </c>
      <c r="F37" s="31" t="n">
        <v>40</v>
      </c>
      <c r="G37" s="33" t="n">
        <v>20</v>
      </c>
      <c r="H37" s="32" t="n">
        <v>800</v>
      </c>
      <c r="I37" s="33">
        <f>IF(F37&gt;0, ROUND(H37/F37, 2), G37)</f>
        <v/>
      </c>
      <c r="J37" s="35" t="inlineStr">
        <is>
          <t>PIHU</t>
        </is>
      </c>
      <c r="K37" s="30" t="inlineStr">
        <is>
          <t>CARD</t>
        </is>
      </c>
      <c r="L37" s="35" t="inlineStr">
        <is>
          <t>Meetings &amp; Refreshments</t>
        </is>
      </c>
      <c r="M37" s="35" t="inlineStr">
        <is>
          <t>Team Meeting</t>
        </is>
      </c>
      <c r="N37" s="30" t="inlineStr">
        <is>
          <t>Completed</t>
        </is>
      </c>
    </row>
    <row r="38">
      <c r="A38" s="24" t="n">
        <v>33</v>
      </c>
      <c r="B38" s="24" t="inlineStr">
        <is>
          <t>July</t>
        </is>
      </c>
      <c r="C38" s="24" t="inlineStr">
        <is>
          <t>18-Jul</t>
        </is>
      </c>
      <c r="D38" s="29" t="inlineStr">
        <is>
          <t>Tarun Jain</t>
        </is>
      </c>
      <c r="E38" s="29" t="inlineStr">
        <is>
          <t>DT3 | Level 3</t>
        </is>
      </c>
      <c r="F38" s="25" t="n">
        <v>70</v>
      </c>
      <c r="G38" s="27" t="n">
        <v>84.29000000000001</v>
      </c>
      <c r="H38" s="26" t="n">
        <v>5900</v>
      </c>
      <c r="I38" s="27">
        <f>IF(F38&gt;0, ROUND(H38/F38, 2), G38)</f>
        <v/>
      </c>
      <c r="J38" s="29" t="inlineStr">
        <is>
          <t>PIHU</t>
        </is>
      </c>
      <c r="K38" s="24" t="inlineStr">
        <is>
          <t>CARD</t>
        </is>
      </c>
      <c r="L38" s="29" t="inlineStr">
        <is>
          <t>Hiring &amp; Recruitment</t>
        </is>
      </c>
      <c r="M38" s="29" t="inlineStr">
        <is>
          <t>Hiring Drive (70*60 + 70*20 + 30*10)</t>
        </is>
      </c>
      <c r="N38" s="24" t="inlineStr">
        <is>
          <t>Completed</t>
        </is>
      </c>
    </row>
    <row r="39">
      <c r="A39" s="30" t="n">
        <v>34</v>
      </c>
      <c r="B39" s="30" t="inlineStr">
        <is>
          <t>July</t>
        </is>
      </c>
      <c r="C39" s="30" t="inlineStr">
        <is>
          <t>20-Jul</t>
        </is>
      </c>
      <c r="D39" s="35" t="inlineStr">
        <is>
          <t>Ekta</t>
        </is>
      </c>
      <c r="E39" s="35" t="inlineStr">
        <is>
          <t>DT4 | L1 (Innovation Hub)</t>
        </is>
      </c>
      <c r="F39" s="31" t="n">
        <v>50</v>
      </c>
      <c r="G39" s="33" t="n">
        <v>24</v>
      </c>
      <c r="H39" s="32" t="n">
        <v>1200</v>
      </c>
      <c r="I39" s="33">
        <f>IF(F39&gt;0, ROUND(H39/F39, 2), G39)</f>
        <v/>
      </c>
      <c r="J39" s="35" t="inlineStr">
        <is>
          <t>PIHU</t>
        </is>
      </c>
      <c r="K39" s="30" t="inlineStr">
        <is>
          <t>CARD</t>
        </is>
      </c>
      <c r="L39" s="35" t="inlineStr">
        <is>
          <t>Meetings &amp; Refreshments</t>
        </is>
      </c>
      <c r="M39" s="35" t="inlineStr">
        <is>
          <t>Team Meeting (50*20 + 20*10)</t>
        </is>
      </c>
      <c r="N39" s="30" t="inlineStr">
        <is>
          <t>Completed</t>
        </is>
      </c>
    </row>
    <row r="40">
      <c r="A40" s="24" t="n">
        <v>35</v>
      </c>
      <c r="B40" s="24" t="inlineStr">
        <is>
          <t>July</t>
        </is>
      </c>
      <c r="C40" s="24" t="inlineStr">
        <is>
          <t>22-Jul</t>
        </is>
      </c>
      <c r="D40" s="29" t="inlineStr">
        <is>
          <t>Devender</t>
        </is>
      </c>
      <c r="E40" s="29" t="inlineStr">
        <is>
          <t>DT3 | Level 3</t>
        </is>
      </c>
      <c r="F40" s="25" t="n">
        <v>150</v>
      </c>
      <c r="G40" s="27" t="n">
        <v>150</v>
      </c>
      <c r="H40" s="26" t="n">
        <v>22500</v>
      </c>
      <c r="I40" s="27">
        <f>IF(F40&gt;0, ROUND(H40/F40, 2), G40)</f>
        <v/>
      </c>
      <c r="J40" s="29" t="inlineStr">
        <is>
          <t>COMPASS</t>
        </is>
      </c>
      <c r="K40" s="24" t="inlineStr">
        <is>
          <t>CARD</t>
        </is>
      </c>
      <c r="L40" s="29" t="inlineStr">
        <is>
          <t>Townhall &amp; All-Hands</t>
        </is>
      </c>
      <c r="M40" s="29" t="inlineStr">
        <is>
          <t>India Townhall + Fireside Chat</t>
        </is>
      </c>
      <c r="N40" s="24" t="inlineStr">
        <is>
          <t>Completed</t>
        </is>
      </c>
    </row>
    <row r="41">
      <c r="A41" s="30" t="n">
        <v>36</v>
      </c>
      <c r="B41" s="30" t="inlineStr">
        <is>
          <t>July</t>
        </is>
      </c>
      <c r="C41" s="30" t="inlineStr">
        <is>
          <t>22-Jul</t>
        </is>
      </c>
      <c r="D41" s="35" t="inlineStr">
        <is>
          <t>Sandy</t>
        </is>
      </c>
      <c r="E41" s="35" t="inlineStr">
        <is>
          <t>DT4 | L1 (Innovation Hub)</t>
        </is>
      </c>
      <c r="F41" s="31" t="n">
        <v>50</v>
      </c>
      <c r="G41" s="33" t="n">
        <v>20</v>
      </c>
      <c r="H41" s="32" t="n">
        <v>1000</v>
      </c>
      <c r="I41" s="33">
        <f>IF(F41&gt;0, ROUND(H41/F41, 2), G41)</f>
        <v/>
      </c>
      <c r="J41" s="35" t="inlineStr">
        <is>
          <t>PIHU</t>
        </is>
      </c>
      <c r="K41" s="30" t="inlineStr">
        <is>
          <t>CARD</t>
        </is>
      </c>
      <c r="L41" s="35" t="inlineStr">
        <is>
          <t>Celebrations &amp; Engagement</t>
        </is>
      </c>
      <c r="M41" s="35" t="inlineStr">
        <is>
          <t>Shark Tank Event</t>
        </is>
      </c>
      <c r="N41" s="30" t="inlineStr">
        <is>
          <t>Completed</t>
        </is>
      </c>
    </row>
    <row r="42">
      <c r="A42" s="24" t="n">
        <v>37</v>
      </c>
      <c r="B42" s="24" t="inlineStr">
        <is>
          <t>July</t>
        </is>
      </c>
      <c r="C42" s="24" t="inlineStr">
        <is>
          <t>23-Jul</t>
        </is>
      </c>
      <c r="D42" s="29" t="inlineStr">
        <is>
          <t>Anju</t>
        </is>
      </c>
      <c r="E42" s="29" t="inlineStr">
        <is>
          <t>DT3 | Level 3</t>
        </is>
      </c>
      <c r="F42" s="25" t="n">
        <v>60</v>
      </c>
      <c r="G42" s="27" t="n">
        <v>20</v>
      </c>
      <c r="H42" s="26" t="n">
        <v>1200</v>
      </c>
      <c r="I42" s="27">
        <f>IF(F42&gt;0, ROUND(H42/F42, 2), G42)</f>
        <v/>
      </c>
      <c r="J42" s="29" t="inlineStr">
        <is>
          <t>PIHU</t>
        </is>
      </c>
      <c r="K42" s="24" t="inlineStr">
        <is>
          <t>CARD</t>
        </is>
      </c>
      <c r="L42" s="29" t="inlineStr">
        <is>
          <t>Townhall &amp; All-Hands</t>
        </is>
      </c>
      <c r="M42" s="29" t="inlineStr">
        <is>
          <t>Finance Townhall</t>
        </is>
      </c>
      <c r="N42" s="24" t="inlineStr">
        <is>
          <t>Completed</t>
        </is>
      </c>
    </row>
    <row r="43">
      <c r="A43" s="30" t="n">
        <v>38</v>
      </c>
      <c r="B43" s="30" t="inlineStr">
        <is>
          <t>July</t>
        </is>
      </c>
      <c r="C43" s="30" t="inlineStr">
        <is>
          <t>27-Jul</t>
        </is>
      </c>
      <c r="D43" s="35" t="inlineStr">
        <is>
          <t>Mary</t>
        </is>
      </c>
      <c r="E43" s="35" t="inlineStr">
        <is>
          <t>DT4 | L1 (Innovation Hub)</t>
        </is>
      </c>
      <c r="F43" s="31" t="n">
        <v>30</v>
      </c>
      <c r="G43" s="33" t="n">
        <v>1800</v>
      </c>
      <c r="H43" s="32" t="n">
        <v>54000</v>
      </c>
      <c r="I43" s="33">
        <f>IF(F43&gt;0, ROUND(H43/F43, 2), G43)</f>
        <v/>
      </c>
      <c r="J43" s="35" t="inlineStr">
        <is>
          <t>COMPASS</t>
        </is>
      </c>
      <c r="K43" s="30" t="inlineStr">
        <is>
          <t>PO</t>
        </is>
      </c>
      <c r="L43" s="35" t="inlineStr">
        <is>
          <t>Leadership &amp; Strategy</t>
        </is>
      </c>
      <c r="M43" s="35" t="inlineStr">
        <is>
          <t>Celebration with External Partner DT4</t>
        </is>
      </c>
      <c r="N43" s="30" t="inlineStr">
        <is>
          <t>Completed</t>
        </is>
      </c>
    </row>
    <row r="44">
      <c r="A44" s="24" t="n">
        <v>39</v>
      </c>
      <c r="B44" s="24" t="inlineStr">
        <is>
          <t>July</t>
        </is>
      </c>
      <c r="C44" s="24" t="inlineStr">
        <is>
          <t>27-Jul</t>
        </is>
      </c>
      <c r="D44" s="29" t="inlineStr">
        <is>
          <t>Preeti</t>
        </is>
      </c>
      <c r="E44" s="29" t="inlineStr">
        <is>
          <t>DT3 | Level 3</t>
        </is>
      </c>
      <c r="F44" s="25" t="n">
        <v>110</v>
      </c>
      <c r="G44" s="27" t="n">
        <v>100</v>
      </c>
      <c r="H44" s="26" t="n">
        <v>11000</v>
      </c>
      <c r="I44" s="27">
        <f>IF(F44&gt;0, ROUND(H44/F44, 2), G44)</f>
        <v/>
      </c>
      <c r="J44" s="29" t="inlineStr">
        <is>
          <t>PIHU</t>
        </is>
      </c>
      <c r="K44" s="24" t="inlineStr">
        <is>
          <t>CARD</t>
        </is>
      </c>
      <c r="L44" s="29" t="inlineStr">
        <is>
          <t>Townhall &amp; All-Hands</t>
        </is>
      </c>
      <c r="M44" s="29" t="inlineStr">
        <is>
          <t>Townhall</t>
        </is>
      </c>
      <c r="N44" s="24" t="inlineStr">
        <is>
          <t>Completed</t>
        </is>
      </c>
    </row>
    <row r="45">
      <c r="A45" s="30" t="n">
        <v>40</v>
      </c>
      <c r="B45" s="30" t="inlineStr">
        <is>
          <t>July</t>
        </is>
      </c>
      <c r="C45" s="30" t="inlineStr">
        <is>
          <t>28-Jul</t>
        </is>
      </c>
      <c r="D45" s="35" t="inlineStr">
        <is>
          <t>Mary</t>
        </is>
      </c>
      <c r="E45" s="35" t="inlineStr">
        <is>
          <t>DT4 | L1 (Innovation Hub)</t>
        </is>
      </c>
      <c r="F45" s="31" t="n">
        <v>40</v>
      </c>
      <c r="G45" s="33" t="n">
        <v>100</v>
      </c>
      <c r="H45" s="32" t="n">
        <v>4000</v>
      </c>
      <c r="I45" s="33">
        <f>IF(F45&gt;0, ROUND(H45/F45, 2), G45)</f>
        <v/>
      </c>
      <c r="J45" s="35" t="inlineStr">
        <is>
          <t>COMPASS</t>
        </is>
      </c>
      <c r="K45" s="30" t="inlineStr">
        <is>
          <t>PO</t>
        </is>
      </c>
      <c r="L45" s="35" t="inlineStr">
        <is>
          <t>Leadership &amp; Strategy</t>
        </is>
      </c>
      <c r="M45" s="35" t="inlineStr">
        <is>
          <t>Celebration with External Partner DT4</t>
        </is>
      </c>
      <c r="N45" s="30" t="inlineStr">
        <is>
          <t>Completed</t>
        </is>
      </c>
    </row>
    <row r="46">
      <c r="A46" s="24" t="n">
        <v>41</v>
      </c>
      <c r="B46" s="24" t="inlineStr">
        <is>
          <t>July</t>
        </is>
      </c>
      <c r="C46" s="24" t="inlineStr">
        <is>
          <t>28-Jul</t>
        </is>
      </c>
      <c r="D46" s="29" t="inlineStr">
        <is>
          <t>Ekta</t>
        </is>
      </c>
      <c r="E46" s="29" t="inlineStr">
        <is>
          <t>DT4 | L5 (Hackable Space)</t>
        </is>
      </c>
      <c r="F46" s="25" t="n">
        <v>100</v>
      </c>
      <c r="G46" s="27" t="n">
        <v>28</v>
      </c>
      <c r="H46" s="26" t="n">
        <v>2800</v>
      </c>
      <c r="I46" s="27">
        <f>IF(F46&gt;0, ROUND(H46/F46, 2), G46)</f>
        <v/>
      </c>
      <c r="J46" s="29" t="inlineStr">
        <is>
          <t>PIHU</t>
        </is>
      </c>
      <c r="K46" s="24" t="inlineStr">
        <is>
          <t>CARD</t>
        </is>
      </c>
      <c r="L46" s="29" t="inlineStr">
        <is>
          <t>Meetings &amp; Refreshments</t>
        </is>
      </c>
      <c r="M46" s="29" t="inlineStr">
        <is>
          <t>Market Event Refreshments (70*20 + 70*20)</t>
        </is>
      </c>
      <c r="N46" s="24" t="inlineStr">
        <is>
          <t>Completed</t>
        </is>
      </c>
    </row>
    <row r="47">
      <c r="A47" s="30" t="n">
        <v>42</v>
      </c>
      <c r="B47" s="30" t="inlineStr">
        <is>
          <t>July</t>
        </is>
      </c>
      <c r="C47" s="30" t="inlineStr">
        <is>
          <t>30-Jul</t>
        </is>
      </c>
      <c r="D47" s="35" t="inlineStr">
        <is>
          <t>Shivani</t>
        </is>
      </c>
      <c r="E47" s="35" t="inlineStr">
        <is>
          <t>DT4 | L1 (Innovation Hub)</t>
        </is>
      </c>
      <c r="F47" s="31" t="n">
        <v>100</v>
      </c>
      <c r="G47" s="33" t="n">
        <v>60</v>
      </c>
      <c r="H47" s="32" t="n">
        <v>6000</v>
      </c>
      <c r="I47" s="33">
        <f>IF(F47&gt;0, ROUND(H47/F47, 2), G47)</f>
        <v/>
      </c>
      <c r="J47" s="35" t="inlineStr">
        <is>
          <t>COMPASS</t>
        </is>
      </c>
      <c r="K47" s="30" t="inlineStr">
        <is>
          <t>CARD</t>
        </is>
      </c>
      <c r="L47" s="35" t="inlineStr">
        <is>
          <t>Leadership &amp; Strategy</t>
        </is>
      </c>
      <c r="M47" s="35" t="inlineStr">
        <is>
          <t>SLT Weekly Meeting</t>
        </is>
      </c>
      <c r="N47" s="30" t="inlineStr">
        <is>
          <t>Completed</t>
        </is>
      </c>
    </row>
    <row r="48">
      <c r="A48" s="24" t="n">
        <v>43</v>
      </c>
      <c r="B48" s="24" t="inlineStr">
        <is>
          <t>July</t>
        </is>
      </c>
      <c r="C48" s="24" t="inlineStr">
        <is>
          <t>31-Jul</t>
        </is>
      </c>
      <c r="D48" s="29" t="inlineStr">
        <is>
          <t>Vibhor</t>
        </is>
      </c>
      <c r="E48" s="29" t="inlineStr">
        <is>
          <t>DT3 | Level 3</t>
        </is>
      </c>
      <c r="F48" s="25" t="n">
        <v>95</v>
      </c>
      <c r="G48" s="27" t="n">
        <v>500</v>
      </c>
      <c r="H48" s="26" t="n">
        <v>47500</v>
      </c>
      <c r="I48" s="27">
        <f>IF(F48&gt;0, ROUND(H48/F48, 2), G48)</f>
        <v/>
      </c>
      <c r="J48" s="29" t="inlineStr">
        <is>
          <t>FOOD SAUDA</t>
        </is>
      </c>
      <c r="K48" s="24" t="inlineStr">
        <is>
          <t>DIRECT</t>
        </is>
      </c>
      <c r="L48" s="29" t="inlineStr">
        <is>
          <t>Leadership &amp; Strategy</t>
        </is>
      </c>
      <c r="M48" s="29" t="inlineStr">
        <is>
          <t>Business Optimization &amp; Capability Workshop</t>
        </is>
      </c>
      <c r="N48" s="24" t="inlineStr">
        <is>
          <t>Completed</t>
        </is>
      </c>
    </row>
    <row r="49">
      <c r="A49" s="30" t="n">
        <v>44</v>
      </c>
      <c r="B49" s="30" t="inlineStr">
        <is>
          <t>August</t>
        </is>
      </c>
      <c r="C49" s="30" t="inlineStr">
        <is>
          <t>03-Aug</t>
        </is>
      </c>
      <c r="D49" s="35" t="inlineStr">
        <is>
          <t>Vanish Khurrana</t>
        </is>
      </c>
      <c r="E49" s="35" t="inlineStr">
        <is>
          <t>DT4 | L5 (Zone E)</t>
        </is>
      </c>
      <c r="F49" s="31" t="n">
        <v>22</v>
      </c>
      <c r="G49" s="33" t="n">
        <v>326.82</v>
      </c>
      <c r="H49" s="32" t="n">
        <v>7190</v>
      </c>
      <c r="I49" s="33">
        <f>IF(F49&gt;0, ROUND(H49/F49, 2), G49)</f>
        <v/>
      </c>
      <c r="J49" s="35" t="inlineStr">
        <is>
          <t>FOOD SAUDA</t>
        </is>
      </c>
      <c r="K49" s="30" t="inlineStr">
        <is>
          <t>DIRECT</t>
        </is>
      </c>
      <c r="L49" s="35" t="inlineStr">
        <is>
          <t>Celebrations &amp; Engagement</t>
        </is>
      </c>
      <c r="M49" s="35" t="inlineStr">
        <is>
          <t>Friends Meet (17*320 + 5*350)</t>
        </is>
      </c>
      <c r="N49" s="30" t="inlineStr">
        <is>
          <t>Completed</t>
        </is>
      </c>
    </row>
    <row r="50">
      <c r="A50" s="24" t="n">
        <v>45</v>
      </c>
      <c r="B50" s="24" t="inlineStr">
        <is>
          <t>August</t>
        </is>
      </c>
      <c r="C50" s="24" t="inlineStr">
        <is>
          <t>03-Aug</t>
        </is>
      </c>
      <c r="D50" s="29" t="inlineStr">
        <is>
          <t>Sharadha Madaan</t>
        </is>
      </c>
      <c r="E50" s="29" t="inlineStr">
        <is>
          <t>DT4 | L5 (Hackable Space)</t>
        </is>
      </c>
      <c r="F50" s="25" t="n">
        <v>50</v>
      </c>
      <c r="G50" s="27" t="n">
        <v>128</v>
      </c>
      <c r="H50" s="26" t="n">
        <v>6400</v>
      </c>
      <c r="I50" s="27">
        <f>IF(F50&gt;0, ROUND(H50/F50, 2), G50)</f>
        <v/>
      </c>
      <c r="J50" s="29" t="inlineStr">
        <is>
          <t>PIHU</t>
        </is>
      </c>
      <c r="K50" s="24" t="inlineStr">
        <is>
          <t>CARD</t>
        </is>
      </c>
      <c r="L50" s="29" t="inlineStr">
        <is>
          <t>Induction &amp; Training</t>
        </is>
      </c>
      <c r="M50" s="29" t="inlineStr">
        <is>
          <t>CET | COM Training</t>
        </is>
      </c>
      <c r="N50" s="24" t="inlineStr">
        <is>
          <t>Completed</t>
        </is>
      </c>
    </row>
    <row r="51">
      <c r="A51" s="30" t="n">
        <v>46</v>
      </c>
      <c r="B51" s="30" t="inlineStr">
        <is>
          <t>August</t>
        </is>
      </c>
      <c r="C51" s="30" t="inlineStr">
        <is>
          <t>04-Aug</t>
        </is>
      </c>
      <c r="D51" s="35" t="inlineStr">
        <is>
          <t>Deepika</t>
        </is>
      </c>
      <c r="E51" s="35" t="inlineStr">
        <is>
          <t>DT4 | L5 (Hackable Space)</t>
        </is>
      </c>
      <c r="F51" s="31" t="n">
        <v>320</v>
      </c>
      <c r="G51" s="33" t="n">
        <v>22</v>
      </c>
      <c r="H51" s="32" t="n">
        <v>7040</v>
      </c>
      <c r="I51" s="33">
        <f>IF(F51&gt;0, ROUND(H51/F51, 2), G51)</f>
        <v/>
      </c>
      <c r="J51" s="35" t="inlineStr">
        <is>
          <t>FOOD SAUDA</t>
        </is>
      </c>
      <c r="K51" s="30" t="inlineStr">
        <is>
          <t>DIRECT</t>
        </is>
      </c>
      <c r="L51" s="35" t="inlineStr">
        <is>
          <t>Leadership &amp; Strategy</t>
        </is>
      </c>
      <c r="M51" s="35" t="inlineStr">
        <is>
          <t>Leadership Skill Session</t>
        </is>
      </c>
      <c r="N51" s="30" t="inlineStr">
        <is>
          <t>Completed</t>
        </is>
      </c>
    </row>
    <row r="52">
      <c r="A52" s="24" t="n">
        <v>47</v>
      </c>
      <c r="B52" s="24" t="inlineStr">
        <is>
          <t>August</t>
        </is>
      </c>
      <c r="C52" s="24" t="inlineStr">
        <is>
          <t>04-Aug</t>
        </is>
      </c>
      <c r="D52" s="29" t="inlineStr">
        <is>
          <t>Deepika</t>
        </is>
      </c>
      <c r="E52" s="29" t="inlineStr">
        <is>
          <t>DT4 | L5 (Hackable Space)</t>
        </is>
      </c>
      <c r="F52" s="25" t="n">
        <v>300</v>
      </c>
      <c r="G52" s="27" t="n">
        <v>22</v>
      </c>
      <c r="H52" s="26" t="n">
        <v>6600</v>
      </c>
      <c r="I52" s="27">
        <f>IF(F52&gt;0, ROUND(H52/F52, 2), G52)</f>
        <v/>
      </c>
      <c r="J52" s="29" t="inlineStr">
        <is>
          <t>FOOD SAUDA</t>
        </is>
      </c>
      <c r="K52" s="24" t="inlineStr">
        <is>
          <t>DIRECT</t>
        </is>
      </c>
      <c r="L52" s="29" t="inlineStr">
        <is>
          <t>Leadership &amp; Strategy</t>
        </is>
      </c>
      <c r="M52" s="29" t="inlineStr">
        <is>
          <t>Leadership Skill Session</t>
        </is>
      </c>
      <c r="N52" s="24" t="inlineStr">
        <is>
          <t>Completed</t>
        </is>
      </c>
    </row>
    <row r="53">
      <c r="A53" s="30" t="n">
        <v>48</v>
      </c>
      <c r="B53" s="30" t="inlineStr">
        <is>
          <t>August</t>
        </is>
      </c>
      <c r="C53" s="30" t="inlineStr">
        <is>
          <t>07-Aug</t>
        </is>
      </c>
      <c r="D53" s="35" t="inlineStr">
        <is>
          <t>Deshraj</t>
        </is>
      </c>
      <c r="E53" s="35" t="inlineStr">
        <is>
          <t>DT3 | Level 3</t>
        </is>
      </c>
      <c r="F53" s="31" t="n">
        <v>170</v>
      </c>
      <c r="G53" s="33" t="n">
        <v>500</v>
      </c>
      <c r="H53" s="32" t="n">
        <v>85000</v>
      </c>
      <c r="I53" s="33">
        <f>IF(F53&gt;0, ROUND(H53/F53, 2), G53)</f>
        <v/>
      </c>
      <c r="J53" s="35" t="inlineStr">
        <is>
          <t>COMPASS</t>
        </is>
      </c>
      <c r="K53" s="30" t="inlineStr">
        <is>
          <t>PO</t>
        </is>
      </c>
      <c r="L53" s="35" t="inlineStr">
        <is>
          <t>Induction &amp; Training</t>
        </is>
      </c>
      <c r="M53" s="35" t="inlineStr">
        <is>
          <t>New Grads Joining Induction (170*150 + 250*170 + 170*100)</t>
        </is>
      </c>
      <c r="N53" s="30" t="inlineStr">
        <is>
          <t>Completed</t>
        </is>
      </c>
    </row>
    <row r="54">
      <c r="A54" s="24" t="n">
        <v>49</v>
      </c>
      <c r="B54" s="24" t="inlineStr">
        <is>
          <t>August</t>
        </is>
      </c>
      <c r="C54" s="24" t="inlineStr">
        <is>
          <t>13-Aug</t>
        </is>
      </c>
      <c r="D54" s="29" t="inlineStr">
        <is>
          <t>Property Services</t>
        </is>
      </c>
      <c r="E54" s="29" t="inlineStr">
        <is>
          <t>DT3 | Level 3</t>
        </is>
      </c>
      <c r="F54" s="25" t="n">
        <v>500</v>
      </c>
      <c r="G54" s="27" t="n">
        <v>33.25</v>
      </c>
      <c r="H54" s="26" t="n">
        <v>16625</v>
      </c>
      <c r="I54" s="27">
        <f>IF(F54&gt;0, ROUND(H54/F54, 2), G54)</f>
        <v/>
      </c>
      <c r="J54" s="29" t="inlineStr">
        <is>
          <t>COMPASS</t>
        </is>
      </c>
      <c r="K54" s="24" t="inlineStr">
        <is>
          <t>PO</t>
        </is>
      </c>
      <c r="L54" s="29" t="inlineStr">
        <is>
          <t>Celebrations &amp; Engagement</t>
        </is>
      </c>
      <c r="M54" s="29" t="inlineStr">
        <is>
          <t>Independence Day Special Dessert (DT3)</t>
        </is>
      </c>
      <c r="N54" s="24" t="inlineStr">
        <is>
          <t>Completed</t>
        </is>
      </c>
    </row>
    <row r="55">
      <c r="A55" s="30" t="n">
        <v>50</v>
      </c>
      <c r="B55" s="30" t="inlineStr">
        <is>
          <t>August</t>
        </is>
      </c>
      <c r="C55" s="30" t="inlineStr">
        <is>
          <t>13-Aug</t>
        </is>
      </c>
      <c r="D55" s="35" t="inlineStr">
        <is>
          <t>Property Services</t>
        </is>
      </c>
      <c r="E55" s="35" t="inlineStr">
        <is>
          <t>DT4 | L5 (Cafeteria)</t>
        </is>
      </c>
      <c r="F55" s="31" t="n">
        <v>1500</v>
      </c>
      <c r="G55" s="33" t="n">
        <v>33.25</v>
      </c>
      <c r="H55" s="32" t="n">
        <v>49875</v>
      </c>
      <c r="I55" s="33">
        <f>IF(F55&gt;0, ROUND(H55/F55, 2), G55)</f>
        <v/>
      </c>
      <c r="J55" s="35" t="inlineStr">
        <is>
          <t>COMPASS</t>
        </is>
      </c>
      <c r="K55" s="30" t="inlineStr">
        <is>
          <t>PO</t>
        </is>
      </c>
      <c r="L55" s="35" t="inlineStr">
        <is>
          <t>Celebrations &amp; Engagement</t>
        </is>
      </c>
      <c r="M55" s="35" t="inlineStr">
        <is>
          <t>Independence Day Special Dessert (DT4 Cafeteria)</t>
        </is>
      </c>
      <c r="N55" s="30" t="inlineStr">
        <is>
          <t>Completed</t>
        </is>
      </c>
    </row>
    <row r="56">
      <c r="A56" s="24" t="n">
        <v>51</v>
      </c>
      <c r="B56" s="24" t="inlineStr">
        <is>
          <t>August</t>
        </is>
      </c>
      <c r="C56" s="24" t="inlineStr">
        <is>
          <t>14-Aug</t>
        </is>
      </c>
      <c r="D56" s="29" t="inlineStr">
        <is>
          <t>Ritika</t>
        </is>
      </c>
      <c r="E56" s="29" t="inlineStr">
        <is>
          <t>DT4 | L5 (Cafeteria)</t>
        </is>
      </c>
      <c r="F56" s="25" t="n">
        <v>110</v>
      </c>
      <c r="G56" s="27" t="n">
        <v>200</v>
      </c>
      <c r="H56" s="26" t="n">
        <v>22000</v>
      </c>
      <c r="I56" s="27">
        <f>IF(F56&gt;0, ROUND(H56/F56, 2), G56)</f>
        <v/>
      </c>
      <c r="J56" s="29" t="inlineStr">
        <is>
          <t>COMPASS</t>
        </is>
      </c>
      <c r="K56" s="24" t="inlineStr">
        <is>
          <t>CARD</t>
        </is>
      </c>
      <c r="L56" s="29" t="inlineStr">
        <is>
          <t>Townhall &amp; All-Hands</t>
        </is>
      </c>
      <c r="M56" s="29" t="inlineStr">
        <is>
          <t>PO Townhall - Space Booking</t>
        </is>
      </c>
      <c r="N56" s="24" t="inlineStr">
        <is>
          <t>Completed</t>
        </is>
      </c>
    </row>
    <row r="57">
      <c r="A57" s="30" t="n">
        <v>52</v>
      </c>
      <c r="B57" s="30" t="inlineStr">
        <is>
          <t>August</t>
        </is>
      </c>
      <c r="C57" s="30" t="inlineStr">
        <is>
          <t>14-Aug</t>
        </is>
      </c>
      <c r="D57" s="35" t="inlineStr">
        <is>
          <t>Shikha</t>
        </is>
      </c>
      <c r="E57" s="35" t="inlineStr">
        <is>
          <t>DT4 | L1 (Innovation Hub)</t>
        </is>
      </c>
      <c r="F57" s="31" t="n">
        <v>30</v>
      </c>
      <c r="G57" s="33" t="n">
        <v>41.67</v>
      </c>
      <c r="H57" s="32" t="n">
        <v>1250</v>
      </c>
      <c r="I57" s="33">
        <f>IF(F57&gt;0, ROUND(H57/F57, 2), G57)</f>
        <v/>
      </c>
      <c r="J57" s="35" t="inlineStr">
        <is>
          <t>PIHU</t>
        </is>
      </c>
      <c r="K57" s="30" t="inlineStr">
        <is>
          <t>CARD</t>
        </is>
      </c>
      <c r="L57" s="35" t="inlineStr">
        <is>
          <t>Meetings &amp; Refreshments</t>
        </is>
      </c>
      <c r="M57" s="35" t="inlineStr">
        <is>
          <t>Innovation Hub Meeting</t>
        </is>
      </c>
      <c r="N57" s="30" t="inlineStr">
        <is>
          <t>Completed</t>
        </is>
      </c>
    </row>
    <row r="58">
      <c r="A58" s="24" t="n">
        <v>53</v>
      </c>
      <c r="B58" s="24" t="inlineStr">
        <is>
          <t>August</t>
        </is>
      </c>
      <c r="C58" s="24" t="inlineStr">
        <is>
          <t>17-Aug</t>
        </is>
      </c>
      <c r="D58" s="29" t="inlineStr">
        <is>
          <t>Sawmit</t>
        </is>
      </c>
      <c r="E58" s="29" t="inlineStr">
        <is>
          <t>DT4 | L6 (Zone E)</t>
        </is>
      </c>
      <c r="F58" s="25" t="n">
        <v>6</v>
      </c>
      <c r="G58" s="27" t="n">
        <v>200</v>
      </c>
      <c r="H58" s="26" t="n">
        <v>1200</v>
      </c>
      <c r="I58" s="27">
        <f>IF(F58&gt;0, ROUND(H58/F58, 2), G58)</f>
        <v/>
      </c>
      <c r="J58" s="29" t="inlineStr">
        <is>
          <t>PIHU</t>
        </is>
      </c>
      <c r="K58" s="24" t="inlineStr">
        <is>
          <t>CARD</t>
        </is>
      </c>
      <c r="L58" s="29" t="inlineStr">
        <is>
          <t>Townhall &amp; All-Hands</t>
        </is>
      </c>
      <c r="M58" s="29" t="inlineStr">
        <is>
          <t>Compliance Townhall</t>
        </is>
      </c>
      <c r="N58" s="24" t="inlineStr">
        <is>
          <t>Completed</t>
        </is>
      </c>
    </row>
    <row r="59">
      <c r="A59" s="30" t="n">
        <v>54</v>
      </c>
      <c r="B59" s="30" t="inlineStr">
        <is>
          <t>August</t>
        </is>
      </c>
      <c r="C59" s="30" t="inlineStr">
        <is>
          <t>17-Aug</t>
        </is>
      </c>
      <c r="D59" s="35" t="inlineStr">
        <is>
          <t>Anju</t>
        </is>
      </c>
      <c r="E59" s="35" t="inlineStr">
        <is>
          <t>DT3 | Level 3</t>
        </is>
      </c>
      <c r="F59" s="31" t="n">
        <v>65</v>
      </c>
      <c r="G59" s="33" t="n">
        <v>20</v>
      </c>
      <c r="H59" s="32" t="n">
        <v>1300</v>
      </c>
      <c r="I59" s="33">
        <f>IF(F59&gt;0, ROUND(H59/F59, 2), G59)</f>
        <v/>
      </c>
      <c r="J59" s="35" t="inlineStr">
        <is>
          <t>PIHU</t>
        </is>
      </c>
      <c r="K59" s="30" t="inlineStr">
        <is>
          <t>CARD</t>
        </is>
      </c>
      <c r="L59" s="35" t="inlineStr">
        <is>
          <t>Meetings &amp; Refreshments</t>
        </is>
      </c>
      <c r="M59" s="35" t="inlineStr">
        <is>
          <t>Team Refreshments</t>
        </is>
      </c>
      <c r="N59" s="30" t="inlineStr">
        <is>
          <t>Completed</t>
        </is>
      </c>
    </row>
    <row r="60">
      <c r="A60" s="24" t="n">
        <v>55</v>
      </c>
      <c r="B60" s="24" t="inlineStr">
        <is>
          <t>August</t>
        </is>
      </c>
      <c r="C60" s="24" t="inlineStr">
        <is>
          <t>18-Aug</t>
        </is>
      </c>
      <c r="D60" s="29" t="inlineStr">
        <is>
          <t>Ekta</t>
        </is>
      </c>
      <c r="E60" s="29" t="inlineStr">
        <is>
          <t>DT4 | Level 4</t>
        </is>
      </c>
      <c r="F60" s="25" t="n">
        <v>100</v>
      </c>
      <c r="G60" s="27" t="n">
        <v>150</v>
      </c>
      <c r="H60" s="26" t="n">
        <v>15000</v>
      </c>
      <c r="I60" s="27">
        <f>IF(F60&gt;0, ROUND(H60/F60, 2), G60)</f>
        <v/>
      </c>
      <c r="J60" s="29" t="inlineStr">
        <is>
          <t>COMPASS</t>
        </is>
      </c>
      <c r="K60" s="24" t="inlineStr">
        <is>
          <t>CARD</t>
        </is>
      </c>
      <c r="L60" s="29" t="inlineStr">
        <is>
          <t>Townhall &amp; All-Hands</t>
        </is>
      </c>
      <c r="M60" s="29" t="inlineStr">
        <is>
          <t>CET All Hands</t>
        </is>
      </c>
      <c r="N60" s="24" t="inlineStr">
        <is>
          <t>Completed</t>
        </is>
      </c>
    </row>
    <row r="61">
      <c r="A61" s="30" t="n">
        <v>56</v>
      </c>
      <c r="B61" s="30" t="inlineStr">
        <is>
          <t>August</t>
        </is>
      </c>
      <c r="C61" s="30" t="inlineStr">
        <is>
          <t>18-Aug</t>
        </is>
      </c>
      <c r="D61" s="35" t="inlineStr">
        <is>
          <t>Deshraj</t>
        </is>
      </c>
      <c r="E61" s="35" t="inlineStr">
        <is>
          <t>DT3 | Level 3</t>
        </is>
      </c>
      <c r="F61" s="31" t="n">
        <v>30</v>
      </c>
      <c r="G61" s="33" t="n">
        <v>368.33</v>
      </c>
      <c r="H61" s="32" t="n">
        <v>11050</v>
      </c>
      <c r="I61" s="33">
        <f>IF(F61&gt;0, ROUND(H61/F61, 2), G61)</f>
        <v/>
      </c>
      <c r="J61" s="35" t="inlineStr">
        <is>
          <t>FOOD SAUDA &amp; PIHU</t>
        </is>
      </c>
      <c r="K61" s="30" t="inlineStr">
        <is>
          <t>CARD</t>
        </is>
      </c>
      <c r="L61" s="35" t="inlineStr">
        <is>
          <t>Leadership &amp; Strategy</t>
        </is>
      </c>
      <c r="M61" s="35" t="inlineStr">
        <is>
          <t>Distinctive Leadership (Cookies/Brownies: Pihu, Biryani: Cook House)</t>
        </is>
      </c>
      <c r="N61" s="30" t="inlineStr">
        <is>
          <t>Completed</t>
        </is>
      </c>
    </row>
    <row r="62">
      <c r="A62" s="24" t="n">
        <v>57</v>
      </c>
      <c r="B62" s="24" t="inlineStr">
        <is>
          <t>August</t>
        </is>
      </c>
      <c r="C62" s="24" t="inlineStr">
        <is>
          <t>18-Aug</t>
        </is>
      </c>
      <c r="D62" s="29" t="inlineStr">
        <is>
          <t>Deshraj</t>
        </is>
      </c>
      <c r="E62" s="29" t="inlineStr">
        <is>
          <t>DT3 | Level 3</t>
        </is>
      </c>
      <c r="F62" s="25" t="n">
        <v>27</v>
      </c>
      <c r="G62" s="27" t="n">
        <v>353.7</v>
      </c>
      <c r="H62" s="26" t="n">
        <v>9550</v>
      </c>
      <c r="I62" s="27">
        <f>IF(F62&gt;0, ROUND(H62/F62, 2), G62)</f>
        <v/>
      </c>
      <c r="J62" s="29" t="inlineStr">
        <is>
          <t>FOOD SAUDA &amp; PIHU</t>
        </is>
      </c>
      <c r="K62" s="24" t="inlineStr">
        <is>
          <t>CARD</t>
        </is>
      </c>
      <c r="L62" s="29" t="inlineStr">
        <is>
          <t>Leadership &amp; Strategy</t>
        </is>
      </c>
      <c r="M62" s="29" t="inlineStr">
        <is>
          <t>Distinctive Leadership (Cookies/Brownies: Pihu, Biryani: Cook House)</t>
        </is>
      </c>
      <c r="N62" s="24" t="inlineStr">
        <is>
          <t>Completed</t>
        </is>
      </c>
    </row>
    <row r="63">
      <c r="A63" s="30" t="n">
        <v>58</v>
      </c>
      <c r="B63" s="30" t="inlineStr">
        <is>
          <t>August</t>
        </is>
      </c>
      <c r="C63" s="30" t="inlineStr">
        <is>
          <t>21-Aug</t>
        </is>
      </c>
      <c r="D63" s="35" t="inlineStr">
        <is>
          <t>Shikha Mittal</t>
        </is>
      </c>
      <c r="E63" s="35" t="inlineStr">
        <is>
          <t>DT4 | L1 (Innovation Hub)</t>
        </is>
      </c>
      <c r="F63" s="31" t="n">
        <v>50</v>
      </c>
      <c r="G63" s="33" t="n">
        <v>200</v>
      </c>
      <c r="H63" s="32" t="n">
        <v>10000</v>
      </c>
      <c r="I63" s="33">
        <f>IF(F63&gt;0, ROUND(H63/F63, 2), G63)</f>
        <v/>
      </c>
      <c r="J63" s="35" t="inlineStr">
        <is>
          <t>COMPASS</t>
        </is>
      </c>
      <c r="K63" s="30" t="inlineStr">
        <is>
          <t>CARD</t>
        </is>
      </c>
      <c r="L63" s="35" t="inlineStr">
        <is>
          <t>Townhall &amp; All-Hands</t>
        </is>
      </c>
      <c r="M63" s="35" t="inlineStr">
        <is>
          <t>Group Security Townhall (80 Pax planned)</t>
        </is>
      </c>
      <c r="N63" s="30" t="inlineStr">
        <is>
          <t>Completed</t>
        </is>
      </c>
    </row>
    <row r="64">
      <c r="A64" s="24" t="n">
        <v>59</v>
      </c>
      <c r="B64" s="24" t="inlineStr">
        <is>
          <t>August</t>
        </is>
      </c>
      <c r="C64" s="24" t="inlineStr">
        <is>
          <t>21-Aug</t>
        </is>
      </c>
      <c r="D64" s="29" t="inlineStr">
        <is>
          <t>Deepika</t>
        </is>
      </c>
      <c r="E64" s="29" t="inlineStr">
        <is>
          <t>DT4 | L5 (Hackable Space)</t>
        </is>
      </c>
      <c r="F64" s="25" t="n">
        <v>25</v>
      </c>
      <c r="G64" s="27" t="n">
        <v>500</v>
      </c>
      <c r="H64" s="26" t="n">
        <v>12500</v>
      </c>
      <c r="I64" s="27">
        <f>IF(F64&gt;0, ROUND(H64/F64, 2), G64)</f>
        <v/>
      </c>
      <c r="J64" s="29" t="inlineStr">
        <is>
          <t>FOOD SAUDA</t>
        </is>
      </c>
      <c r="K64" s="24" t="inlineStr">
        <is>
          <t>DIRECT</t>
        </is>
      </c>
      <c r="L64" s="29" t="inlineStr">
        <is>
          <t>Leadership &amp; Strategy</t>
        </is>
      </c>
      <c r="M64" s="29" t="inlineStr">
        <is>
          <t>Leadership Programme</t>
        </is>
      </c>
      <c r="N64" s="24" t="inlineStr">
        <is>
          <t>Completed</t>
        </is>
      </c>
    </row>
    <row r="65">
      <c r="A65" s="30" t="n">
        <v>60</v>
      </c>
      <c r="B65" s="30" t="inlineStr">
        <is>
          <t>August</t>
        </is>
      </c>
      <c r="C65" s="30" t="inlineStr">
        <is>
          <t>26-Aug</t>
        </is>
      </c>
      <c r="D65" s="35" t="inlineStr">
        <is>
          <t>Ekta</t>
        </is>
      </c>
      <c r="E65" s="35" t="inlineStr">
        <is>
          <t>DT4 | L1 (Innovation Hub)</t>
        </is>
      </c>
      <c r="F65" s="31" t="n">
        <v>120</v>
      </c>
      <c r="G65" s="33" t="n">
        <v>150</v>
      </c>
      <c r="H65" s="32" t="n">
        <v>18000</v>
      </c>
      <c r="I65" s="33">
        <f>IF(F65&gt;0, ROUND(H65/F65, 2), G65)</f>
        <v/>
      </c>
      <c r="J65" s="35" t="inlineStr">
        <is>
          <t>COMPASS</t>
        </is>
      </c>
      <c r="K65" s="30" t="inlineStr">
        <is>
          <t>CARD</t>
        </is>
      </c>
      <c r="L65" s="35" t="inlineStr">
        <is>
          <t>Townhall &amp; All-Hands</t>
        </is>
      </c>
      <c r="M65" s="35" t="inlineStr">
        <is>
          <t>India Townhall + Fireside Chat</t>
        </is>
      </c>
      <c r="N65" s="30" t="inlineStr">
        <is>
          <t>Completed</t>
        </is>
      </c>
    </row>
    <row r="66">
      <c r="A66" s="24" t="n">
        <v>61</v>
      </c>
      <c r="B66" s="24" t="inlineStr">
        <is>
          <t>August</t>
        </is>
      </c>
      <c r="C66" s="24" t="inlineStr">
        <is>
          <t>24-Aug</t>
        </is>
      </c>
      <c r="D66" s="29" t="inlineStr">
        <is>
          <t>Deshraj</t>
        </is>
      </c>
      <c r="E66" s="29" t="inlineStr">
        <is>
          <t>DT4 | L1 (Innovation Hub)</t>
        </is>
      </c>
      <c r="F66" s="25" t="n">
        <v>85</v>
      </c>
      <c r="G66" s="27" t="n">
        <v>100</v>
      </c>
      <c r="H66" s="26" t="n">
        <v>8500</v>
      </c>
      <c r="I66" s="27">
        <f>IF(F66&gt;0, ROUND(H66/F66, 2), G66)</f>
        <v/>
      </c>
      <c r="J66" s="29" t="inlineStr">
        <is>
          <t>COMPASS</t>
        </is>
      </c>
      <c r="K66" s="24" t="inlineStr">
        <is>
          <t>CARD</t>
        </is>
      </c>
      <c r="L66" s="29" t="inlineStr">
        <is>
          <t>Induction &amp; Training</t>
        </is>
      </c>
      <c r="M66" s="29" t="inlineStr">
        <is>
          <t>New Joiners Induction</t>
        </is>
      </c>
      <c r="N66" s="24" t="inlineStr">
        <is>
          <t>Completed</t>
        </is>
      </c>
    </row>
    <row r="67">
      <c r="A67" s="36" t="inlineStr">
        <is>
          <t>TOTAL</t>
        </is>
      </c>
      <c r="B67" s="36">
        <f>COUNT(A6:A66) &amp; " Events"</f>
        <v/>
      </c>
      <c r="C67" s="43" t="inlineStr"/>
      <c r="D67" s="43" t="inlineStr"/>
      <c r="E67" s="43" t="inlineStr"/>
      <c r="F67" s="37">
        <f>SUM(F6:F66)</f>
        <v/>
      </c>
      <c r="G67" s="39">
        <f>AVERAGE(G6:G66)</f>
        <v/>
      </c>
      <c r="H67" s="38">
        <f>SUM(H6:H66)</f>
        <v/>
      </c>
      <c r="I67" s="39">
        <f>IF(F67&gt;0, H67/F67, 0)</f>
        <v/>
      </c>
      <c r="J67" s="43" t="inlineStr"/>
      <c r="K67" s="43" t="inlineStr"/>
      <c r="L67" s="43" t="inlineStr"/>
      <c r="M67" s="43" t="inlineStr"/>
      <c r="N67" s="43" t="inlineStr"/>
    </row>
  </sheetData>
  <mergeCells count="1">
    <mergeCell ref="K2:M2"/>
  </mergeCells>
  <dataValidations count="5">
    <dataValidation sqref="B6:B500" showDropDown="0" showInputMessage="0" showErrorMessage="0" allowBlank="1" type="list">
      <formula1>"May,June,July,August,September,October,November,December"</formula1>
    </dataValidation>
    <dataValidation sqref="J6:J500" showDropDown="0" showInputMessage="0" showErrorMessage="0" allowBlank="1" type="list">
      <formula1>"COMPASS,PIHU,FOOD SAUDA,FOOD SAUDA &amp; PIHU,Other"</formula1>
    </dataValidation>
    <dataValidation sqref="K6:K500" showDropDown="0" showInputMessage="0" showErrorMessage="0" allowBlank="1" type="list">
      <formula1>"CARD,PO,DIRECT,CASH,ONLINE INVOICE"</formula1>
    </dataValidation>
    <dataValidation sqref="L6:L500" showDropDown="0" showInputMessage="0" showErrorMessage="0" allowBlank="1" type="list">
      <formula1>"Townhall &amp; All-Hands,Leadership &amp; Strategy,Induction &amp; Training,Celebrations &amp; Engagement,Meetings &amp; Refreshments,Hiring &amp; Recruitment,CSR &amp; Health Drive"</formula1>
    </dataValidation>
    <dataValidation sqref="N6:N500" showDropDown="0" showInputMessage="0" showErrorMessage="0" allowBlank="1" type="list">
      <formula1>"Completed,Scheduled,Pending Invoice,Cancelled"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2026-08-24T08:01:05Z</dcterms:created>
  <dcterms:modified xmlns:dcterms="http://purl.org/dc/terms/" xmlns:xsi="http://www.w3.org/2001/XMLSchema-instance" xsi:type="dcterms:W3CDTF">2026-08-24T08:01:05Z</dcterms:modified>
</cp:coreProperties>
</file>